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 Me" sheetId="1" state="visible" r:id="rId3"/>
    <sheet name="Assumptions" sheetId="2" state="visible" r:id="rId4"/>
    <sheet name="Player Data" sheetId="3" state="visible" r:id="rId5"/>
    <sheet name="Scoring Model" sheetId="4" state="visible" r:id="rId6"/>
  </sheets>
  <definedNames>
    <definedName function="false" hidden="true" localSheetId="2" name="_xlnm._FilterDatabase" vbProcedure="false">'Player Data'!$A$1:$AA$1001</definedName>
    <definedName function="false" hidden="true" localSheetId="3" name="_xlnm._FilterDatabase" vbProcedure="false">'Scoring Model'!$A$1:$AG$1001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<sst xmlns="http://schemas.openxmlformats.org/spreadsheetml/2006/main" count="11187" uniqueCount="2848">
  <si>
    <t xml:space="preserve">Global Lower-Tier Scouting Model</t>
  </si>
  <si>
    <t xml:space="preserve">A statistical model for spotting players who are performing above their market visibility, worldwide.</t>
  </si>
  <si>
    <t xml:space="preserve">What this workbook does</t>
  </si>
  <si>
    <t xml:space="preserve">Player Data holds 1000 SAMPLE players (fictional, ages 17-26, across 32 countries on six continents) illustrating the schema. Scoring Model computes per-90 rates, ranks each player against peers at the same position, and produces an Undervalued Score: the gap between how well a player performs and how visible they already are in the market.</t>
  </si>
  <si>
    <t xml:space="preserve">Color legend</t>
  </si>
  <si>
    <t xml:space="preserve">Blue text = a value you type in or edit.</t>
  </si>
  <si>
    <t xml:space="preserve">Black text = a formula that only uses cells on its own sheet.</t>
  </si>
  <si>
    <t xml:space="preserve">Green text = a formula that pulls from another sheet.</t>
  </si>
  <si>
    <t xml:space="preserve">Yellow fill = an assumption you can tune (weights, tier multipliers).</t>
  </si>
  <si>
    <t xml:space="preserve">How to use it</t>
  </si>
  <si>
    <t xml:space="preserve">1. Add players to Player Data. Position must be GK, DF, MF, or FW; Tier must be 2, 3, or 4.</t>
  </si>
  <si>
    <t xml:space="preserve">2. Scoring Model updates automatically and ranks every player against others in the same position, worldwide.</t>
  </si>
  <si>
    <t xml:space="preserve">3. Sort or filter Scoring Model by the Undervalued Score or Flag column (AutoFilter is enabled) to build a shortlist.</t>
  </si>
  <si>
    <t xml:space="preserve">4. Tune the weights on Assumptions if you want to emphasize different skills.</t>
  </si>
  <si>
    <t xml:space="preserve">Representation &amp; contact</t>
  </si>
  <si>
    <t xml:space="preserve">Player Data tracks Has Agent (Yes/No/Unknown), Contract Expires, a Club Contact Email (illustrative format), and a Preferred Contact Route. Players under 18 are always routed to the club's youth/academy office, never direct contact.</t>
  </si>
  <si>
    <t xml:space="preserve">Verifying identity and age</t>
  </si>
  <si>
    <t xml:space="preserve">Age Verification Source names the real national federation registry to check. Verify Age / Bio is a live Transfermarkt search link (not a fixed profile URL), so it never misattributes this sample data to a real person. Age fraud is a known risk in scouting outside the top divisions -- always confirm DOB against an official source.</t>
  </si>
  <si>
    <t xml:space="preserve">Database freshness</t>
  </si>
  <si>
    <t xml:space="preserve">Date Added / Last Updated track when a player entered the database and when their stats were last refreshed. This workbook is regenerated on a weekly cadence: existing players get a light stat refresh (simulating a week of match activity) and 10 new players are added. See weekly_update.py.</t>
  </si>
  <si>
    <t xml:space="preserve">Tactical system fit</t>
  </si>
  <si>
    <t xml:space="preserve">System Fit is a rules-based read of which tactical system a player's statistical profile suits best (High Press, Possession / Build-from-the-Back, Counter-Attack / Transition, Low Block / Park the Bus, Direct / Target Approach, or Flexible / Multi-System), derived from their percentiles and pass-vs-carry tendency. It's a heuristic based on sample data, not a scout's tactical assessment.</t>
  </si>
  <si>
    <t xml:space="preserve">Realistic transfer targets</t>
  </si>
  <si>
    <t xml:space="preserve">Transfer Pathway Countries lists the two realistic destination countries for each player's country, based on well-known lower-tier/global scouting corridors (e.g. Balkans -&gt; Austria/Turkey, West Africa -&gt; Belgium/Portugal). Move Type classifies whether a player's performance percentile supports a Step-Up move, a Lateral Move, or is best served staying and developing. The prototype app shows the full Top 5 Realistic Transfer Targets breakdown with illustrative (fictional) destination clubs -- these are model output, not real clubs' actual interest.</t>
  </si>
  <si>
    <t xml:space="preserve">Goalkeeper scoring (revised)</t>
  </si>
  <si>
    <t xml:space="preserve">Goalkeepers previously reused the outfield GA/Prog/Def formulas, which barely differentiated one keeper from another. Grounded in real goalkeeper-analytics research (PSxG+/-, save %, distribution accuracy, and FBref's #OPA sweeper-actions-outside-the-box metric), GK scoring now uses three keeper-specific factors instead: Shot-Stopping (saves minus a 1.5x goals-conceded penalty -- a simplified proxy for PSxG+/- since this dataset has no shot-level data), Distribution (pass completion %), and Sweeper Actions per 90. These slot into the same weighted-percentile structure as outfield players, just with goalkeeper-appropriate inputs.</t>
  </si>
  <si>
    <t xml:space="preserve">How this differs from Wyscout / InStat</t>
  </si>
  <si>
    <t xml:space="preserve">Wyscout (which absorbed InStat after Hudl's 2021 acquisition) is a strong, broad tool -- 250+ competitions, video plus data -- but it's built for club recruitment departments and priced/structured accordingly, and it's a general-purpose search-and-filter tool rather than one built around a specific discovery workflow. This model's differentiation is narrower and more specific: an explicit Undervalued Score (performance percentile minus market-visibility percentile, not just raw stats), representation-status tracking built into the core workflow (Has Agent, minor-safety contact routing) rather than bolted on, and a weekly-growing sample database designed for someone building a client base from scratch rather than a club with an existing scouting department and budget.</t>
  </si>
  <si>
    <t xml:space="preserve">Important caveat</t>
  </si>
  <si>
    <t xml:space="preserve">This model is a filter, not a verdict. It can't see injuries, attitude, or off-pitch risk. Treat a high score as "go watch this player," never as "sign this player."</t>
  </si>
  <si>
    <t xml:space="preserve">Model Assumptions</t>
  </si>
  <si>
    <t xml:space="preserve">Scoring weights (must sum to 1.00)</t>
  </si>
  <si>
    <t xml:space="preserve">Factor</t>
  </si>
  <si>
    <t xml:space="preserve">Weight</t>
  </si>
  <si>
    <t xml:space="preserve">Rationale</t>
  </si>
  <si>
    <t xml:space="preserve">Goals + Assists per 90</t>
  </si>
  <si>
    <t xml:space="preserve">Counting production -- least reliable across levels, so weighted lowest.</t>
  </si>
  <si>
    <t xml:space="preserve">Progressive actions per 90 (passes + carries)</t>
  </si>
  <si>
    <t xml:space="preserve">Ball-progression skill -- travels well across league quality.</t>
  </si>
  <si>
    <t xml:space="preserve">Defensive actions per 90 (tackles + interceptions)</t>
  </si>
  <si>
    <t xml:space="preserve">Durable, possession-adjusted signal of work rate/defensive skill.</t>
  </si>
  <si>
    <t xml:space="preserve">Youth factor (younger relative to peers scores higher)</t>
  </si>
  <si>
    <t xml:space="preserve">A teenager holding a starting role is a stronger signal than a 26-year-old doing the same.</t>
  </si>
  <si>
    <t xml:space="preserve">Total</t>
  </si>
  <si>
    <t xml:space="preserve">League tier strength multiplier</t>
  </si>
  <si>
    <t xml:space="preserve">Tier</t>
  </si>
  <si>
    <t xml:space="preserve">Multiplier</t>
  </si>
  <si>
    <t xml:space="preserve">Note</t>
  </si>
  <si>
    <t xml:space="preserve">2nd division -- strongest tier in scope.</t>
  </si>
  <si>
    <t xml:space="preserve">3rd division -- solid output here still discounted vs. tier 2.</t>
  </si>
  <si>
    <t xml:space="preserve">4th division -- output must be well above peers to overcome the discount.</t>
  </si>
  <si>
    <t xml:space="preserve">Flag thresholds (Undervalued Score, percentage points)</t>
  </si>
  <si>
    <t xml:space="preserve">High Priority &gt;=</t>
  </si>
  <si>
    <t xml:space="preserve">Watchlist &gt;=</t>
  </si>
  <si>
    <t xml:space="preserve">System fit thresholds (percentile, 0-1)</t>
  </si>
  <si>
    <t xml:space="preserve">High-percentile cutoff</t>
  </si>
  <si>
    <t xml:space="preserve">Youth cutoff (for pressing fit)</t>
  </si>
  <si>
    <t xml:space="preserve">Pass-driven cutoff (pass/carry ratio)</t>
  </si>
  <si>
    <t xml:space="preserve">Low-percentile cutoff</t>
  </si>
  <si>
    <t xml:space="preserve">Transfer pathway countries (by player country)</t>
  </si>
  <si>
    <t xml:space="preserve">Country</t>
  </si>
  <si>
    <t xml:space="preserve">Pathway Countries</t>
  </si>
  <si>
    <t xml:space="preserve">Iceland</t>
  </si>
  <si>
    <t xml:space="preserve">Norway, Belgium</t>
  </si>
  <si>
    <t xml:space="preserve">Montenegro</t>
  </si>
  <si>
    <t xml:space="preserve">Austria, Turkey</t>
  </si>
  <si>
    <t xml:space="preserve">Croatia</t>
  </si>
  <si>
    <t xml:space="preserve">Serbia</t>
  </si>
  <si>
    <t xml:space="preserve">North Macedonia</t>
  </si>
  <si>
    <t xml:space="preserve">Slovenia</t>
  </si>
  <si>
    <t xml:space="preserve">Austria, Poland</t>
  </si>
  <si>
    <t xml:space="preserve">Albania</t>
  </si>
  <si>
    <t xml:space="preserve">Turkey, Poland</t>
  </si>
  <si>
    <t xml:space="preserve">Estonia</t>
  </si>
  <si>
    <t xml:space="preserve">Poland, Norway</t>
  </si>
  <si>
    <t xml:space="preserve">Latvia</t>
  </si>
  <si>
    <t xml:space="preserve">Georgia</t>
  </si>
  <si>
    <t xml:space="preserve">Bolivia</t>
  </si>
  <si>
    <t xml:space="preserve">Argentina, Portugal</t>
  </si>
  <si>
    <t xml:space="preserve">Paraguay</t>
  </si>
  <si>
    <t xml:space="preserve">Ecuador</t>
  </si>
  <si>
    <t xml:space="preserve">Uruguay</t>
  </si>
  <si>
    <t xml:space="preserve">Venezuela</t>
  </si>
  <si>
    <t xml:space="preserve">Ghana</t>
  </si>
  <si>
    <t xml:space="preserve">Belgium, Portugal</t>
  </si>
  <si>
    <t xml:space="preserve">Senegal</t>
  </si>
  <si>
    <t xml:space="preserve">Zambia</t>
  </si>
  <si>
    <t xml:space="preserve">Ivory Coast</t>
  </si>
  <si>
    <t xml:space="preserve">Mali</t>
  </si>
  <si>
    <t xml:space="preserve">Cameroon</t>
  </si>
  <si>
    <t xml:space="preserve">Japan</t>
  </si>
  <si>
    <t xml:space="preserve">Belgium, Australia</t>
  </si>
  <si>
    <t xml:space="preserve">South Korea</t>
  </si>
  <si>
    <t xml:space="preserve">Belgium, Saudi Arabia</t>
  </si>
  <si>
    <t xml:space="preserve">Uzbekistan</t>
  </si>
  <si>
    <t xml:space="preserve">Turkey, Saudi Arabia</t>
  </si>
  <si>
    <t xml:space="preserve">Thailand</t>
  </si>
  <si>
    <t xml:space="preserve">Australia, Saudi Arabia</t>
  </si>
  <si>
    <t xml:space="preserve">Vietnam</t>
  </si>
  <si>
    <t xml:space="preserve">Iraq</t>
  </si>
  <si>
    <t xml:space="preserve">Costa Rica</t>
  </si>
  <si>
    <t xml:space="preserve">Mexico, United States</t>
  </si>
  <si>
    <t xml:space="preserve">Honduras</t>
  </si>
  <si>
    <t xml:space="preserve">Panama</t>
  </si>
  <si>
    <t xml:space="preserve">Jamaica</t>
  </si>
  <si>
    <t xml:space="preserve">United States, Mexico</t>
  </si>
  <si>
    <t xml:space="preserve">New Zealand</t>
  </si>
  <si>
    <t xml:space="preserve">Australia, United States</t>
  </si>
  <si>
    <t xml:space="preserve">Player Name</t>
  </si>
  <si>
    <t xml:space="preserve">League</t>
  </si>
  <si>
    <t xml:space="preserve">Club</t>
  </si>
  <si>
    <t xml:space="preserve">Position</t>
  </si>
  <si>
    <t xml:space="preserve">Age</t>
  </si>
  <si>
    <t xml:space="preserve">Minutes Played</t>
  </si>
  <si>
    <t xml:space="preserve">Goals</t>
  </si>
  <si>
    <t xml:space="preserve">Assists</t>
  </si>
  <si>
    <t xml:space="preserve">Progressive Passes</t>
  </si>
  <si>
    <t xml:space="preserve">Progressive Carries</t>
  </si>
  <si>
    <t xml:space="preserve">Tackles + Interceptions</t>
  </si>
  <si>
    <t xml:space="preserve">Saves (GK)</t>
  </si>
  <si>
    <t xml:space="preserve">Goals Conceded (GK)</t>
  </si>
  <si>
    <t xml:space="preserve">Pass Completion % (GK)</t>
  </si>
  <si>
    <t xml:space="preserve">Sweeper Actions (GK)</t>
  </si>
  <si>
    <t xml:space="preserve">Clean Sheets (GK)</t>
  </si>
  <si>
    <t xml:space="preserve">Market Value (EUR)</t>
  </si>
  <si>
    <t xml:space="preserve">Has Agent</t>
  </si>
  <si>
    <t xml:space="preserve">Contract Expires (Year)</t>
  </si>
  <si>
    <t xml:space="preserve">Club Contact Email</t>
  </si>
  <si>
    <t xml:space="preserve">Preferred Contact Route</t>
  </si>
  <si>
    <t xml:space="preserve">Age Verification Source</t>
  </si>
  <si>
    <t xml:space="preserve">Date Added</t>
  </si>
  <si>
    <t xml:space="preserve">Last Updated</t>
  </si>
  <si>
    <t xml:space="preserve">Verify Age / Bio</t>
  </si>
  <si>
    <t xml:space="preserve">Nejc Krajnc</t>
  </si>
  <si>
    <t xml:space="preserve">Slovenia Regional League</t>
  </si>
  <si>
    <t xml:space="preserve">Koper FC</t>
  </si>
  <si>
    <t xml:space="preserve">DF</t>
  </si>
  <si>
    <t xml:space="preserve">No</t>
  </si>
  <si>
    <t xml:space="preserve">info@koperfc.si</t>
  </si>
  <si>
    <t xml:space="preserve">Club sporting director / first-team office</t>
  </si>
  <si>
    <t xml:space="preserve">NZS (Football Association of Slovenia) player registry</t>
  </si>
  <si>
    <t xml:space="preserve">2026-07-14</t>
  </si>
  <si>
    <t xml:space="preserve">2026-07-15</t>
  </si>
  <si>
    <t xml:space="preserve">Hoang Le</t>
  </si>
  <si>
    <t xml:space="preserve">Vietnam Second Division - West</t>
  </si>
  <si>
    <t xml:space="preserve">Da Nang Town</t>
  </si>
  <si>
    <t xml:space="preserve">info@danangtown.vn</t>
  </si>
  <si>
    <t xml:space="preserve">Club youth/academy office ONLY - player is a minor, do not contact directly</t>
  </si>
  <si>
    <t xml:space="preserve">VFF (Vietnam Football Federation) player registry</t>
  </si>
  <si>
    <t xml:space="preserve">Filip Stojanovski</t>
  </si>
  <si>
    <t xml:space="preserve">North Macedonia Regional League</t>
  </si>
  <si>
    <t xml:space="preserve">Ohrid Rangers</t>
  </si>
  <si>
    <t xml:space="preserve">info@ohridrangers.mk</t>
  </si>
  <si>
    <t xml:space="preserve">FFM (Football Federation of North Macedonia) player registry</t>
  </si>
  <si>
    <t xml:space="preserve">Ha-joon Jung</t>
  </si>
  <si>
    <t xml:space="preserve">South Korea Second Division</t>
  </si>
  <si>
    <t xml:space="preserve">Daejeon FC</t>
  </si>
  <si>
    <t xml:space="preserve">GK</t>
  </si>
  <si>
    <t xml:space="preserve">info@daejeonfc.kr</t>
  </si>
  <si>
    <t xml:space="preserve">KFA (Korea Football Association) player registry</t>
  </si>
  <si>
    <t xml:space="preserve">Junior Perez</t>
  </si>
  <si>
    <t xml:space="preserve">Venezuela Regional League</t>
  </si>
  <si>
    <t xml:space="preserve">Barquisimeto SC</t>
  </si>
  <si>
    <t xml:space="preserve">FW</t>
  </si>
  <si>
    <t xml:space="preserve">Unknown</t>
  </si>
  <si>
    <t xml:space="preserve">info@barquisimetosc.ve</t>
  </si>
  <si>
    <t xml:space="preserve">FVF (Venezuelan Football Federation) player registry</t>
  </si>
  <si>
    <t xml:space="preserve">Rasmus Kukk</t>
  </si>
  <si>
    <t xml:space="preserve">Estonia Second Division - West</t>
  </si>
  <si>
    <t xml:space="preserve">Narva Wanderers</t>
  </si>
  <si>
    <t xml:space="preserve">MF</t>
  </si>
  <si>
    <t xml:space="preserve">info@narvawanderers.ee</t>
  </si>
  <si>
    <t xml:space="preserve">EJL (Estonian Football Association) player registry</t>
  </si>
  <si>
    <t xml:space="preserve">Ardit Krasniqi</t>
  </si>
  <si>
    <t xml:space="preserve">Albania Third Tier - North</t>
  </si>
  <si>
    <t xml:space="preserve">Durres Rangers</t>
  </si>
  <si>
    <t xml:space="preserve">info@durresrangers.al</t>
  </si>
  <si>
    <t xml:space="preserve">FSHF (Albanian Football Association) player registry</t>
  </si>
  <si>
    <t xml:space="preserve">Ivan Matic</t>
  </si>
  <si>
    <t xml:space="preserve">Croatia Third Tier - South</t>
  </si>
  <si>
    <t xml:space="preserve">Osijek SC</t>
  </si>
  <si>
    <t xml:space="preserve">info@osijeksc.hr</t>
  </si>
  <si>
    <t xml:space="preserve">HNS (Croatian Football Federation) player registry</t>
  </si>
  <si>
    <t xml:space="preserve">Mustafa Mahmoud</t>
  </si>
  <si>
    <t xml:space="preserve">Iraq Third Tier - North</t>
  </si>
  <si>
    <t xml:space="preserve">Basra United</t>
  </si>
  <si>
    <t xml:space="preserve">Yes</t>
  </si>
  <si>
    <t xml:space="preserve">info@basraunited.iq</t>
  </si>
  <si>
    <t xml:space="preserve">Go through the player's agent - ask the club to confirm representation first</t>
  </si>
  <si>
    <t xml:space="preserve">IFA (Iraq Football Association) player registry</t>
  </si>
  <si>
    <t xml:space="preserve">Sander Mets</t>
  </si>
  <si>
    <t xml:space="preserve">Tallinn Rangers</t>
  </si>
  <si>
    <t xml:space="preserve">info@tallinnrangers.ee</t>
  </si>
  <si>
    <t xml:space="preserve">Edgars Vitols</t>
  </si>
  <si>
    <t xml:space="preserve">Latvia Second Division - East</t>
  </si>
  <si>
    <t xml:space="preserve">Daugavpils Rangers</t>
  </si>
  <si>
    <t xml:space="preserve">info@daugavpilsrangers.lv</t>
  </si>
  <si>
    <t xml:space="preserve">LFF (Latvian Football Federation) player registry</t>
  </si>
  <si>
    <t xml:space="preserve">Ahmed Mahmoud</t>
  </si>
  <si>
    <t xml:space="preserve">Iraq Regional League</t>
  </si>
  <si>
    <t xml:space="preserve">Basra SC</t>
  </si>
  <si>
    <t xml:space="preserve">info@basrasc.iq</t>
  </si>
  <si>
    <t xml:space="preserve">Eric Onana</t>
  </si>
  <si>
    <t xml:space="preserve">Cameroon Regional League</t>
  </si>
  <si>
    <t xml:space="preserve">Bafoussam Athletic</t>
  </si>
  <si>
    <t xml:space="preserve">info@bafoussamathletic.cm</t>
  </si>
  <si>
    <t xml:space="preserve">FECAFOOT (Cameroonian Football Federation) player registry</t>
  </si>
  <si>
    <t xml:space="preserve">Einar Einarsson</t>
  </si>
  <si>
    <t xml:space="preserve">Iceland Provincial League</t>
  </si>
  <si>
    <t xml:space="preserve">Keflavik Rovers</t>
  </si>
  <si>
    <t xml:space="preserve">info@keflavikrovers.is</t>
  </si>
  <si>
    <t xml:space="preserve">KSI (Icelandic Football Association) player registry</t>
  </si>
  <si>
    <t xml:space="preserve">Chai Rattanakosin</t>
  </si>
  <si>
    <t xml:space="preserve">Thailand Third Tier - North</t>
  </si>
  <si>
    <t xml:space="preserve">Khon Kaen FC</t>
  </si>
  <si>
    <t xml:space="preserve">info@khonkaenfc.th</t>
  </si>
  <si>
    <t xml:space="preserve">FAT (Football Association of Thailand) player registry</t>
  </si>
  <si>
    <t xml:space="preserve">Jose Morales</t>
  </si>
  <si>
    <t xml:space="preserve">Costa Rica Regional League</t>
  </si>
  <si>
    <t xml:space="preserve">San Jose Rovers</t>
  </si>
  <si>
    <t xml:space="preserve">info@sanjoserovers.cr</t>
  </si>
  <si>
    <t xml:space="preserve">FEDEFUTBOL (Costa Rican Football Federation) player registry</t>
  </si>
  <si>
    <t xml:space="preserve">Diyorbek Rashidov</t>
  </si>
  <si>
    <t xml:space="preserve">Uzbekistan Third Tier - North</t>
  </si>
  <si>
    <t xml:space="preserve">Tashkent Rovers</t>
  </si>
  <si>
    <t xml:space="preserve">info@tashkentrovers.uz</t>
  </si>
  <si>
    <t xml:space="preserve">UFF (Uzbekistan Football Federation) player registry</t>
  </si>
  <si>
    <t xml:space="preserve">Nikola Ilic</t>
  </si>
  <si>
    <t xml:space="preserve">Montenegro Second Division - West</t>
  </si>
  <si>
    <t xml:space="preserve">Budva SC</t>
  </si>
  <si>
    <t xml:space="preserve">info@budvasc.me</t>
  </si>
  <si>
    <t xml:space="preserve">FSCG (Football Association of Montenegro) player registry</t>
  </si>
  <si>
    <t xml:space="preserve">Nemanja Nikolic</t>
  </si>
  <si>
    <t xml:space="preserve">Serbia Provincial League</t>
  </si>
  <si>
    <t xml:space="preserve">Nis Wanderers</t>
  </si>
  <si>
    <t xml:space="preserve">info@niswanderers.rs</t>
  </si>
  <si>
    <t xml:space="preserve">FSS (Football Association of Serbia) player registry</t>
  </si>
  <si>
    <t xml:space="preserve">Luka Gelashvili</t>
  </si>
  <si>
    <t xml:space="preserve">Georgia Reserve League</t>
  </si>
  <si>
    <t xml:space="preserve">Kutaisi Wanderers</t>
  </si>
  <si>
    <t xml:space="preserve">info@kutaisiwanderers.ge</t>
  </si>
  <si>
    <t xml:space="preserve">GFF (Georgian Football Federation) player registry</t>
  </si>
  <si>
    <t xml:space="preserve">Nam Nguyen</t>
  </si>
  <si>
    <t xml:space="preserve">Vietnam Regional League</t>
  </si>
  <si>
    <t xml:space="preserve">Can Tho Rangers</t>
  </si>
  <si>
    <t xml:space="preserve">info@canthorangers.vn</t>
  </si>
  <si>
    <t xml:space="preserve">Roberts Vitols</t>
  </si>
  <si>
    <t xml:space="preserve">Latvia Second Division - West</t>
  </si>
  <si>
    <t xml:space="preserve">Jelgava Town</t>
  </si>
  <si>
    <t xml:space="preserve">info@jelgavatown.lv</t>
  </si>
  <si>
    <t xml:space="preserve">Nika Kiknadze</t>
  </si>
  <si>
    <t xml:space="preserve">Georgia Second Division - West</t>
  </si>
  <si>
    <t xml:space="preserve">Rustavi Rovers</t>
  </si>
  <si>
    <t xml:space="preserve">info@rustavirovers.ge</t>
  </si>
  <si>
    <t xml:space="preserve">Uros Stankovic</t>
  </si>
  <si>
    <t xml:space="preserve">Serbia Second Division</t>
  </si>
  <si>
    <t xml:space="preserve">Cacak United</t>
  </si>
  <si>
    <t xml:space="preserve">info@cacakunited.rs</t>
  </si>
  <si>
    <t xml:space="preserve">Vasil Stojanovski</t>
  </si>
  <si>
    <t xml:space="preserve">Ohrid FC</t>
  </si>
  <si>
    <t xml:space="preserve">info@ohridfc.mk</t>
  </si>
  <si>
    <t xml:space="preserve">Abdoulaye Diop</t>
  </si>
  <si>
    <t xml:space="preserve">Senegal Third Tier - South</t>
  </si>
  <si>
    <t xml:space="preserve">Ziguinchor SC</t>
  </si>
  <si>
    <t xml:space="preserve">info@ziguinchorsc.sn</t>
  </si>
  <si>
    <t xml:space="preserve">FSF (Senegalese Football Federation) player registry</t>
  </si>
  <si>
    <t xml:space="preserve">Do-yun Kang</t>
  </si>
  <si>
    <t xml:space="preserve">South Korea Amateur League</t>
  </si>
  <si>
    <t xml:space="preserve">Gwangju Town</t>
  </si>
  <si>
    <t xml:space="preserve">info@gwangjutown.kr</t>
  </si>
  <si>
    <t xml:space="preserve">Andre Powell</t>
  </si>
  <si>
    <t xml:space="preserve">Jamaica Second Division</t>
  </si>
  <si>
    <t xml:space="preserve">Kingston United</t>
  </si>
  <si>
    <t xml:space="preserve">info@kingstonunited.jm</t>
  </si>
  <si>
    <t xml:space="preserve">JFF (Jamaica Football Federation) player registry</t>
  </si>
  <si>
    <t xml:space="preserve">Aron Olafsson</t>
  </si>
  <si>
    <t xml:space="preserve">Iceland Second Division</t>
  </si>
  <si>
    <t xml:space="preserve">Keflavik FC</t>
  </si>
  <si>
    <t xml:space="preserve">info@keflavikfc.is</t>
  </si>
  <si>
    <t xml:space="preserve">Cole Clarke</t>
  </si>
  <si>
    <t xml:space="preserve">New Zealand Second Division</t>
  </si>
  <si>
    <t xml:space="preserve">Christchurch City</t>
  </si>
  <si>
    <t xml:space="preserve">info@christchurchcity.nz</t>
  </si>
  <si>
    <t xml:space="preserve">NZF (New Zealand Football) player registry</t>
  </si>
  <si>
    <t xml:space="preserve">Sora Takahashi</t>
  </si>
  <si>
    <t xml:space="preserve">Japan Second Division</t>
  </si>
  <si>
    <t xml:space="preserve">Nagoya FC</t>
  </si>
  <si>
    <t xml:space="preserve">info@nagoyafc.jp</t>
  </si>
  <si>
    <t xml:space="preserve">JFA (Japan Football Association) player registry</t>
  </si>
  <si>
    <t xml:space="preserve">Darko Naumovski</t>
  </si>
  <si>
    <t xml:space="preserve">Bitola United</t>
  </si>
  <si>
    <t xml:space="preserve">info@bitolaunited.mk</t>
  </si>
  <si>
    <t xml:space="preserve">Patrick Ngoy</t>
  </si>
  <si>
    <t xml:space="preserve">Cameroon Amateur League</t>
  </si>
  <si>
    <t xml:space="preserve">Garoua Town</t>
  </si>
  <si>
    <t xml:space="preserve">info@garouatown.cm</t>
  </si>
  <si>
    <t xml:space="preserve">Andres Mets</t>
  </si>
  <si>
    <t xml:space="preserve">Estonia Regional League</t>
  </si>
  <si>
    <t xml:space="preserve">Narva Rovers</t>
  </si>
  <si>
    <t xml:space="preserve">info@narvarovers.ee</t>
  </si>
  <si>
    <t xml:space="preserve">Bryan Quinonez</t>
  </si>
  <si>
    <t xml:space="preserve">Ecuador Third Tier - South</t>
  </si>
  <si>
    <t xml:space="preserve">Manta Town</t>
  </si>
  <si>
    <t xml:space="preserve">info@mantatown.ec</t>
  </si>
  <si>
    <t xml:space="preserve">FEF (Ecuadorian Football Federation) player registry</t>
  </si>
  <si>
    <t xml:space="preserve">Luka Lomidze</t>
  </si>
  <si>
    <t xml:space="preserve">Rustavi City</t>
  </si>
  <si>
    <t xml:space="preserve">info@rustavicity.ge</t>
  </si>
  <si>
    <t xml:space="preserve">Seo-jun Kim</t>
  </si>
  <si>
    <t xml:space="preserve">South Korea Regional League</t>
  </si>
  <si>
    <t xml:space="preserve">Daejeon Town</t>
  </si>
  <si>
    <t xml:space="preserve">info@daejeontown.kr</t>
  </si>
  <si>
    <t xml:space="preserve">Marlon Bailey</t>
  </si>
  <si>
    <t xml:space="preserve">Jamaica Second Division - East</t>
  </si>
  <si>
    <t xml:space="preserve">Kingston Wanderers</t>
  </si>
  <si>
    <t xml:space="preserve">info@kingstonwanderers.jm</t>
  </si>
  <si>
    <t xml:space="preserve">Sekou Keita</t>
  </si>
  <si>
    <t xml:space="preserve">Mali Provincial League</t>
  </si>
  <si>
    <t xml:space="preserve">Bamako Wanderers</t>
  </si>
  <si>
    <t xml:space="preserve">info@bamakowanderers.ml</t>
  </si>
  <si>
    <t xml:space="preserve">FEMAFOOT (Malian Football Federation) player registry</t>
  </si>
  <si>
    <t xml:space="preserve">Bryan Mendoza</t>
  </si>
  <si>
    <t xml:space="preserve">Ecuador Provincial League</t>
  </si>
  <si>
    <t xml:space="preserve">Guayaquil Athletic</t>
  </si>
  <si>
    <t xml:space="preserve">info@guayaquilathletic.ec</t>
  </si>
  <si>
    <t xml:space="preserve">Andre Reid</t>
  </si>
  <si>
    <t xml:space="preserve">Jamaica Third Tier - South</t>
  </si>
  <si>
    <t xml:space="preserve">Kingston Town</t>
  </si>
  <si>
    <t xml:space="preserve">info@kingstontown.jm</t>
  </si>
  <si>
    <t xml:space="preserve">Ousmane Ndiaye</t>
  </si>
  <si>
    <t xml:space="preserve">Senegal Provincial League</t>
  </si>
  <si>
    <t xml:space="preserve">Thies City</t>
  </si>
  <si>
    <t xml:space="preserve">info@thiescity.sn</t>
  </si>
  <si>
    <t xml:space="preserve">Sardor Rustamov</t>
  </si>
  <si>
    <t xml:space="preserve">Uzbekistan Second Division - East</t>
  </si>
  <si>
    <t xml:space="preserve">Andijan Rovers</t>
  </si>
  <si>
    <t xml:space="preserve">info@andijanrovers.uz</t>
  </si>
  <si>
    <t xml:space="preserve">Franck Traore</t>
  </si>
  <si>
    <t xml:space="preserve">Ivory Coast Second Division - East</t>
  </si>
  <si>
    <t xml:space="preserve">San Pedro Athletic</t>
  </si>
  <si>
    <t xml:space="preserve">info@sanpedroathletic.ci</t>
  </si>
  <si>
    <t xml:space="preserve">FIF (Ivorian Football Federation) player registry</t>
  </si>
  <si>
    <t xml:space="preserve">Bakary Camara</t>
  </si>
  <si>
    <t xml:space="preserve">Mali Regional League</t>
  </si>
  <si>
    <t xml:space="preserve">Mopti City</t>
  </si>
  <si>
    <t xml:space="preserve">info@mopticity.ml</t>
  </si>
  <si>
    <t xml:space="preserve">Serge Traore</t>
  </si>
  <si>
    <t xml:space="preserve">Ivory Coast Reserve League</t>
  </si>
  <si>
    <t xml:space="preserve">Yamoussoukro Rangers</t>
  </si>
  <si>
    <t xml:space="preserve">info@yamoussoukrorangers.ci</t>
  </si>
  <si>
    <t xml:space="preserve">Bekzod Rustamov</t>
  </si>
  <si>
    <t xml:space="preserve">Uzbekistan Third Tier - South</t>
  </si>
  <si>
    <t xml:space="preserve">Tashkent Town</t>
  </si>
  <si>
    <t xml:space="preserve">info@tashkenttown.uz</t>
  </si>
  <si>
    <t xml:space="preserve">Gonzalo Fernandez</t>
  </si>
  <si>
    <t xml:space="preserve">Bolivia Second Division</t>
  </si>
  <si>
    <t xml:space="preserve">Cochabamba United</t>
  </si>
  <si>
    <t xml:space="preserve">info@cochabambaunited.bo</t>
  </si>
  <si>
    <t xml:space="preserve">FBF (Bolivian Football Federation) player registry</t>
  </si>
  <si>
    <t xml:space="preserve">Gentian Meta</t>
  </si>
  <si>
    <t xml:space="preserve">Albania Amateur League</t>
  </si>
  <si>
    <t xml:space="preserve">Elbasan Wanderers</t>
  </si>
  <si>
    <t xml:space="preserve">info@elbasanwanderers.al</t>
  </si>
  <si>
    <t xml:space="preserve">Didier Kouassi</t>
  </si>
  <si>
    <t xml:space="preserve">Ivory Coast Second Division</t>
  </si>
  <si>
    <t xml:space="preserve">Bouake Rangers</t>
  </si>
  <si>
    <t xml:space="preserve">info@bouakerangers.ci</t>
  </si>
  <si>
    <t xml:space="preserve">Callum Brown</t>
  </si>
  <si>
    <t xml:space="preserve">New Zealand Third Tier - South</t>
  </si>
  <si>
    <t xml:space="preserve">Wellington FC</t>
  </si>
  <si>
    <t xml:space="preserve">info@wellingtonfc.nz</t>
  </si>
  <si>
    <t xml:space="preserve">Omar Kareem</t>
  </si>
  <si>
    <t xml:space="preserve">Iraq Amateur League</t>
  </si>
  <si>
    <t xml:space="preserve">Najaf Rangers</t>
  </si>
  <si>
    <t xml:space="preserve">info@najafrangers.iq</t>
  </si>
  <si>
    <t xml:space="preserve">Kwame Mensah</t>
  </si>
  <si>
    <t xml:space="preserve">Ghana Second Division - West</t>
  </si>
  <si>
    <t xml:space="preserve">Kumasi SC</t>
  </si>
  <si>
    <t xml:space="preserve">info@kumasisc.gh</t>
  </si>
  <si>
    <t xml:space="preserve">GFA (Ghana Football Association) player registry</t>
  </si>
  <si>
    <t xml:space="preserve">Dusan Stankovic</t>
  </si>
  <si>
    <t xml:space="preserve">Serbia Second Division - West</t>
  </si>
  <si>
    <t xml:space="preserve">Vojvodina SC</t>
  </si>
  <si>
    <t xml:space="preserve">info@vojvodinasc.rs</t>
  </si>
  <si>
    <t xml:space="preserve">Marko Radovic</t>
  </si>
  <si>
    <t xml:space="preserve">Montenegro Reserve League</t>
  </si>
  <si>
    <t xml:space="preserve">Podgorica Rovers</t>
  </si>
  <si>
    <t xml:space="preserve">info@podgoricarovers.me</t>
  </si>
  <si>
    <t xml:space="preserve">Toni Kovac</t>
  </si>
  <si>
    <t xml:space="preserve">Croatia Amateur League</t>
  </si>
  <si>
    <t xml:space="preserve">Bijelo Brdo United</t>
  </si>
  <si>
    <t xml:space="preserve">info@bijelobrdounited.hr</t>
  </si>
  <si>
    <t xml:space="preserve">Aron Sigurdsson</t>
  </si>
  <si>
    <t xml:space="preserve">Iceland Second Division - West</t>
  </si>
  <si>
    <t xml:space="preserve">Keflavik United</t>
  </si>
  <si>
    <t xml:space="preserve">info@keflavikunited.is</t>
  </si>
  <si>
    <t xml:space="preserve">Janis Ozols</t>
  </si>
  <si>
    <t xml:space="preserve">Daugavpils Wanderers</t>
  </si>
  <si>
    <t xml:space="preserve">info@daugavpilswanderers.lv</t>
  </si>
  <si>
    <t xml:space="preserve">Kwabena Asante</t>
  </si>
  <si>
    <t xml:space="preserve">Ghana Reserve League</t>
  </si>
  <si>
    <t xml:space="preserve">Sekondi Rangers</t>
  </si>
  <si>
    <t xml:space="preserve">info@sekondirangers.gh</t>
  </si>
  <si>
    <t xml:space="preserve">Facundo Acosta</t>
  </si>
  <si>
    <t xml:space="preserve">Uruguay Second Division</t>
  </si>
  <si>
    <t xml:space="preserve">Rivera United</t>
  </si>
  <si>
    <t xml:space="preserve">info@riveraunited.uy</t>
  </si>
  <si>
    <t xml:space="preserve">AUF (Uruguayan Football Association) player registry</t>
  </si>
  <si>
    <t xml:space="preserve">Rodrigo Sanchez</t>
  </si>
  <si>
    <t xml:space="preserve">Paraguay Second Division - East</t>
  </si>
  <si>
    <t xml:space="preserve">Encarnacion Town</t>
  </si>
  <si>
    <t xml:space="preserve">info@encarnaciontown.py</t>
  </si>
  <si>
    <t xml:space="preserve">APF (Paraguayan Football Association) player registry</t>
  </si>
  <si>
    <t xml:space="preserve">Pongsak Rattanakosin</t>
  </si>
  <si>
    <t xml:space="preserve">Thailand Reserve League</t>
  </si>
  <si>
    <t xml:space="preserve">Khon Kaen SC</t>
  </si>
  <si>
    <t xml:space="preserve">info@khonkaensc.th</t>
  </si>
  <si>
    <t xml:space="preserve">Kaito Ito</t>
  </si>
  <si>
    <t xml:space="preserve">Japan Second Division - East</t>
  </si>
  <si>
    <t xml:space="preserve">Sapporo Athletic</t>
  </si>
  <si>
    <t xml:space="preserve">info@sapporoathletic.jp</t>
  </si>
  <si>
    <t xml:space="preserve">Jon Einarsson</t>
  </si>
  <si>
    <t xml:space="preserve">Iceland Amateur League</t>
  </si>
  <si>
    <t xml:space="preserve">Selfoss City</t>
  </si>
  <si>
    <t xml:space="preserve">info@selfosscity.is</t>
  </si>
  <si>
    <t xml:space="preserve">Jan Horvat</t>
  </si>
  <si>
    <t xml:space="preserve">Slovenia Second Division - West</t>
  </si>
  <si>
    <t xml:space="preserve">Maribor City</t>
  </si>
  <si>
    <t xml:space="preserve">info@mariborcity.si</t>
  </si>
  <si>
    <t xml:space="preserve">Wuilker Perez</t>
  </si>
  <si>
    <t xml:space="preserve">Venezuela Second Division</t>
  </si>
  <si>
    <t xml:space="preserve">Barquisimeto Rangers</t>
  </si>
  <si>
    <t xml:space="preserve">info@barquisimetorangers.ve</t>
  </si>
  <si>
    <t xml:space="preserve">Emmanuel Boateng</t>
  </si>
  <si>
    <t xml:space="preserve">Ghana Third Tier - South</t>
  </si>
  <si>
    <t xml:space="preserve">Sekondi FC</t>
  </si>
  <si>
    <t xml:space="preserve">info@sekondifc.gh</t>
  </si>
  <si>
    <t xml:space="preserve">Luka Barisic</t>
  </si>
  <si>
    <t xml:space="preserve">Croatia Reserve League</t>
  </si>
  <si>
    <t xml:space="preserve">Rudes Town</t>
  </si>
  <si>
    <t xml:space="preserve">info@rudestown.hr</t>
  </si>
  <si>
    <t xml:space="preserve">Filip Ilic</t>
  </si>
  <si>
    <t xml:space="preserve">Montenegro Regional League</t>
  </si>
  <si>
    <t xml:space="preserve">Niksic Town</t>
  </si>
  <si>
    <t xml:space="preserve">info@niksictown.me</t>
  </si>
  <si>
    <t xml:space="preserve">Nicolas Fernandez</t>
  </si>
  <si>
    <t xml:space="preserve">Bolivia Third Tier - South</t>
  </si>
  <si>
    <t xml:space="preserve">La Paz Athletic</t>
  </si>
  <si>
    <t xml:space="preserve">info@lapazathletic.bo</t>
  </si>
  <si>
    <t xml:space="preserve">Wesly Mejia</t>
  </si>
  <si>
    <t xml:space="preserve">Honduras Third Tier - North</t>
  </si>
  <si>
    <t xml:space="preserve">San Pedro Sula City</t>
  </si>
  <si>
    <t xml:space="preserve">info@sanpedrosulacity.hn</t>
  </si>
  <si>
    <t xml:space="preserve">FENAFUTH (Honduran Football Federation) player registry</t>
  </si>
  <si>
    <t xml:space="preserve">Nicolas Acosta</t>
  </si>
  <si>
    <t xml:space="preserve">Uruguay Provincial League</t>
  </si>
  <si>
    <t xml:space="preserve">Paysandu Wanderers</t>
  </si>
  <si>
    <t xml:space="preserve">info@paysanduwanderers.uy</t>
  </si>
  <si>
    <t xml:space="preserve">Petar Kovacevic</t>
  </si>
  <si>
    <t xml:space="preserve">Danilovgrad Wanderers</t>
  </si>
  <si>
    <t xml:space="preserve">info@danilovgradwanderers.me</t>
  </si>
  <si>
    <t xml:space="preserve">Phong Nguyen</t>
  </si>
  <si>
    <t xml:space="preserve">Vietnam Second Division</t>
  </si>
  <si>
    <t xml:space="preserve">Can Tho FC</t>
  </si>
  <si>
    <t xml:space="preserve">info@canthofc.vn</t>
  </si>
  <si>
    <t xml:space="preserve">Federico Silva</t>
  </si>
  <si>
    <t xml:space="preserve">Uruguay Third Tier - North</t>
  </si>
  <si>
    <t xml:space="preserve">Montevideo City</t>
  </si>
  <si>
    <t xml:space="preserve">info@montevideocity.uy</t>
  </si>
  <si>
    <t xml:space="preserve">Mwansa Tembo</t>
  </si>
  <si>
    <t xml:space="preserve">Zambia Reserve League</t>
  </si>
  <si>
    <t xml:space="preserve">Lusaka City</t>
  </si>
  <si>
    <t xml:space="preserve">info@lusakacity.zm</t>
  </si>
  <si>
    <t xml:space="preserve">FAZ (Football Association of Zambia) player registry</t>
  </si>
  <si>
    <t xml:space="preserve">Ziga Kranjc</t>
  </si>
  <si>
    <t xml:space="preserve">Celje Athletic</t>
  </si>
  <si>
    <t xml:space="preserve">info@celjeathletic.si</t>
  </si>
  <si>
    <t xml:space="preserve">Adalberto Murillo</t>
  </si>
  <si>
    <t xml:space="preserve">Panama Regional League</t>
  </si>
  <si>
    <t xml:space="preserve">Panama City Rangers</t>
  </si>
  <si>
    <t xml:space="preserve">info@panamacityrangers.pa</t>
  </si>
  <si>
    <t xml:space="preserve">FEPAFUT (Panamanian Football Federation) player registry</t>
  </si>
  <si>
    <t xml:space="preserve">Wesly Figueroa</t>
  </si>
  <si>
    <t xml:space="preserve">San Pedro Sula Athletic</t>
  </si>
  <si>
    <t xml:space="preserve">info@sanpedrosulaathletic.hn</t>
  </si>
  <si>
    <t xml:space="preserve">Kelvin Tembo</t>
  </si>
  <si>
    <t xml:space="preserve">Zambia Second Division</t>
  </si>
  <si>
    <t xml:space="preserve">Livingstone Town</t>
  </si>
  <si>
    <t xml:space="preserve">info@livingstonetown.zm</t>
  </si>
  <si>
    <t xml:space="preserve">Rodrigo Perez</t>
  </si>
  <si>
    <t xml:space="preserve">Encarnacion City</t>
  </si>
  <si>
    <t xml:space="preserve">info@encarnacioncity.py</t>
  </si>
  <si>
    <t xml:space="preserve">Miguel Solano</t>
  </si>
  <si>
    <t xml:space="preserve">Costa Rica Third Tier - South</t>
  </si>
  <si>
    <t xml:space="preserve">Alajuela FC</t>
  </si>
  <si>
    <t xml:space="preserve">info@alajuelafc.cr</t>
  </si>
  <si>
    <t xml:space="preserve">Jose Solano</t>
  </si>
  <si>
    <t xml:space="preserve">Costa Rica Second Division - West</t>
  </si>
  <si>
    <t xml:space="preserve">San Jose United</t>
  </si>
  <si>
    <t xml:space="preserve">info@sanjoseunited.cr</t>
  </si>
  <si>
    <t xml:space="preserve">Jose Murillo</t>
  </si>
  <si>
    <t xml:space="preserve">Panama Provincial League</t>
  </si>
  <si>
    <t xml:space="preserve">Santiago SC</t>
  </si>
  <si>
    <t xml:space="preserve">info@santiagosc.pa</t>
  </si>
  <si>
    <t xml:space="preserve">Milos Stankovic</t>
  </si>
  <si>
    <t xml:space="preserve">Serbia Regional League</t>
  </si>
  <si>
    <t xml:space="preserve">Backa Topola Town</t>
  </si>
  <si>
    <t xml:space="preserve">info@backatopolatown.rs</t>
  </si>
  <si>
    <t xml:space="preserve">Carlos Suarez</t>
  </si>
  <si>
    <t xml:space="preserve">Ecuador Second Division - East</t>
  </si>
  <si>
    <t xml:space="preserve">Cuenca Rovers</t>
  </si>
  <si>
    <t xml:space="preserve">info@cuencarovers.ec</t>
  </si>
  <si>
    <t xml:space="preserve">Rodrigo Ramirez</t>
  </si>
  <si>
    <t xml:space="preserve">Paraguay Second Division - West</t>
  </si>
  <si>
    <t xml:space="preserve">Asuncion Rovers</t>
  </si>
  <si>
    <t xml:space="preserve">info@asuncionrovers.py</t>
  </si>
  <si>
    <t xml:space="preserve">Haruto Watanabe</t>
  </si>
  <si>
    <t xml:space="preserve">Japan Second Division - West</t>
  </si>
  <si>
    <t xml:space="preserve">Nagoya City</t>
  </si>
  <si>
    <t xml:space="preserve">info@nagoyacity.jp</t>
  </si>
  <si>
    <t xml:space="preserve">Bledi Krasniqi</t>
  </si>
  <si>
    <t xml:space="preserve">Albania Provincial League</t>
  </si>
  <si>
    <t xml:space="preserve">Shkoder Rovers</t>
  </si>
  <si>
    <t xml:space="preserve">info@shkoderrovers.al</t>
  </si>
  <si>
    <t xml:space="preserve">Somchai Charoensuk</t>
  </si>
  <si>
    <t xml:space="preserve">Thailand Second Division - East</t>
  </si>
  <si>
    <t xml:space="preserve">Nonthaburi Wanderers</t>
  </si>
  <si>
    <t xml:space="preserve">info@nonthaburiwanderers.th</t>
  </si>
  <si>
    <t xml:space="preserve">Given Phiri</t>
  </si>
  <si>
    <t xml:space="preserve">Livingstone Wanderers</t>
  </si>
  <si>
    <t xml:space="preserve">info@livingstonewanderers.zm</t>
  </si>
  <si>
    <t xml:space="preserve">Jose Escobar</t>
  </si>
  <si>
    <t xml:space="preserve">Panama Reserve League</t>
  </si>
  <si>
    <t xml:space="preserve">David Athletic</t>
  </si>
  <si>
    <t xml:space="preserve">info@davidathletic.pa</t>
  </si>
  <si>
    <t xml:space="preserve">Mamadou Ndiaye</t>
  </si>
  <si>
    <t xml:space="preserve">Senegal Third Tier - North</t>
  </si>
  <si>
    <t xml:space="preserve">Saint-Louis SC</t>
  </si>
  <si>
    <t xml:space="preserve">info@saintlouissc.sn</t>
  </si>
  <si>
    <t xml:space="preserve">Josip Radic</t>
  </si>
  <si>
    <t xml:space="preserve">Croatia Second Division - West</t>
  </si>
  <si>
    <t xml:space="preserve">Rudes FC</t>
  </si>
  <si>
    <t xml:space="preserve">info@rudesfc.hr</t>
  </si>
  <si>
    <t xml:space="preserve">Diego Vargas</t>
  </si>
  <si>
    <t xml:space="preserve">Bolivia Provincial League</t>
  </si>
  <si>
    <t xml:space="preserve">Cochabamba Wanderers</t>
  </si>
  <si>
    <t xml:space="preserve">info@cochabambawanderers.bo</t>
  </si>
  <si>
    <t xml:space="preserve">Samuel Fotso</t>
  </si>
  <si>
    <t xml:space="preserve">Cameroon Third Tier - North</t>
  </si>
  <si>
    <t xml:space="preserve">Douala Town</t>
  </si>
  <si>
    <t xml:space="preserve">info@doualatown.cm</t>
  </si>
  <si>
    <t xml:space="preserve">Jesus Perez</t>
  </si>
  <si>
    <t xml:space="preserve">Venezuela Third Tier - North</t>
  </si>
  <si>
    <t xml:space="preserve">Maracaibo Rangers</t>
  </si>
  <si>
    <t xml:space="preserve">info@maracaiborangers.ve</t>
  </si>
  <si>
    <t xml:space="preserve">Noah Brown</t>
  </si>
  <si>
    <t xml:space="preserve">New Zealand Reserve League</t>
  </si>
  <si>
    <t xml:space="preserve">Christchurch Wanderers</t>
  </si>
  <si>
    <t xml:space="preserve">info@christchurchwanderers.nz</t>
  </si>
  <si>
    <t xml:space="preserve">Anthony Palacios</t>
  </si>
  <si>
    <t xml:space="preserve">Choluteca Rovers</t>
  </si>
  <si>
    <t xml:space="preserve">info@cholutecarovers.hn</t>
  </si>
  <si>
    <t xml:space="preserve">Amadou Sidibe</t>
  </si>
  <si>
    <t xml:space="preserve">Mali Amateur League</t>
  </si>
  <si>
    <t xml:space="preserve">Sikasso Town</t>
  </si>
  <si>
    <t xml:space="preserve">info@sikassotown.ml</t>
  </si>
  <si>
    <t xml:space="preserve">Bruno Acosta</t>
  </si>
  <si>
    <t xml:space="preserve">Uruguay Third Tier - South</t>
  </si>
  <si>
    <t xml:space="preserve">Montevideo Rovers</t>
  </si>
  <si>
    <t xml:space="preserve">info@montevideorovers.uy</t>
  </si>
  <si>
    <t xml:space="preserve">Anderson Rojas</t>
  </si>
  <si>
    <t xml:space="preserve">Caracas Town</t>
  </si>
  <si>
    <t xml:space="preserve">info@caracastown.ve</t>
  </si>
  <si>
    <t xml:space="preserve">Hussein Mahmoud</t>
  </si>
  <si>
    <t xml:space="preserve">Iraq Second Division</t>
  </si>
  <si>
    <t xml:space="preserve">Bakary Diarra</t>
  </si>
  <si>
    <t xml:space="preserve">Cristian Gonzalez</t>
  </si>
  <si>
    <t xml:space="preserve">Encarnacion United</t>
  </si>
  <si>
    <t xml:space="preserve">info@encarnacionunited.py</t>
  </si>
  <si>
    <t xml:space="preserve">Erion Duro</t>
  </si>
  <si>
    <t xml:space="preserve">Albania Reserve League</t>
  </si>
  <si>
    <t xml:space="preserve">Durres Athletic</t>
  </si>
  <si>
    <t xml:space="preserve">info@durresathletic.al</t>
  </si>
  <si>
    <t xml:space="preserve">Vladimir Stankovic</t>
  </si>
  <si>
    <t xml:space="preserve">Serbia Third Tier - South</t>
  </si>
  <si>
    <t xml:space="preserve">Kraljevo Town</t>
  </si>
  <si>
    <t xml:space="preserve">info@kraljevotown.rs</t>
  </si>
  <si>
    <t xml:space="preserve">Filip Vukotic</t>
  </si>
  <si>
    <t xml:space="preserve">Montenegro Amateur League</t>
  </si>
  <si>
    <t xml:space="preserve">Kemar Campbell</t>
  </si>
  <si>
    <t xml:space="preserve">Jamaica Second Division - West</t>
  </si>
  <si>
    <t xml:space="preserve">Kingston Rangers</t>
  </si>
  <si>
    <t xml:space="preserve">info@kingstonrangers.jm</t>
  </si>
  <si>
    <t xml:space="preserve">Jasur Yusupov</t>
  </si>
  <si>
    <t xml:space="preserve">Uzbekistan Reserve League</t>
  </si>
  <si>
    <t xml:space="preserve">Tashkent City</t>
  </si>
  <si>
    <t xml:space="preserve">info@tashkentcity.uz</t>
  </si>
  <si>
    <t xml:space="preserve">Dusan Jovanovic</t>
  </si>
  <si>
    <t xml:space="preserve">Backa Topola United</t>
  </si>
  <si>
    <t xml:space="preserve">info@backatopolaunited.rs</t>
  </si>
  <si>
    <t xml:space="preserve">2026-07-17</t>
  </si>
  <si>
    <t xml:space="preserve">Franco Vargas</t>
  </si>
  <si>
    <t xml:space="preserve">Cochabamba Athletic</t>
  </si>
  <si>
    <t xml:space="preserve">info@cochabambaathletic.bo</t>
  </si>
  <si>
    <t xml:space="preserve">Igor Ristovski</t>
  </si>
  <si>
    <t xml:space="preserve">North Macedonia Second Division</t>
  </si>
  <si>
    <t xml:space="preserve">Skopje United</t>
  </si>
  <si>
    <t xml:space="preserve">info@skopjeunited.mk</t>
  </si>
  <si>
    <t xml:space="preserve">Minh Nguyen</t>
  </si>
  <si>
    <t xml:space="preserve">Vietnam Provincial League</t>
  </si>
  <si>
    <t xml:space="preserve">Da Nang Rangers</t>
  </si>
  <si>
    <t xml:space="preserve">info@danangrangers.vn</t>
  </si>
  <si>
    <t xml:space="preserve">Sekou Camara</t>
  </si>
  <si>
    <t xml:space="preserve">Mali Third Tier - South</t>
  </si>
  <si>
    <t xml:space="preserve">Sikasso FC</t>
  </si>
  <si>
    <t xml:space="preserve">info@sikassofc.ml</t>
  </si>
  <si>
    <t xml:space="preserve">Luka Beridze</t>
  </si>
  <si>
    <t xml:space="preserve">Georgia Third Tier - South</t>
  </si>
  <si>
    <t xml:space="preserve">Tbilisi Town</t>
  </si>
  <si>
    <t xml:space="preserve">info@tbilisitown.ge</t>
  </si>
  <si>
    <t xml:space="preserve">Bakary Sidibe</t>
  </si>
  <si>
    <t xml:space="preserve">Mopti United</t>
  </si>
  <si>
    <t xml:space="preserve">info@moptiunited.ml</t>
  </si>
  <si>
    <t xml:space="preserve">Karim Hassan</t>
  </si>
  <si>
    <t xml:space="preserve">Iraq Second Division - West</t>
  </si>
  <si>
    <t xml:space="preserve">Najaf City</t>
  </si>
  <si>
    <t xml:space="preserve">info@najafcity.iq</t>
  </si>
  <si>
    <t xml:space="preserve">Bekzod Yusupov</t>
  </si>
  <si>
    <t xml:space="preserve">Uzbekistan Provincial League</t>
  </si>
  <si>
    <t xml:space="preserve">Bukhara SC</t>
  </si>
  <si>
    <t xml:space="preserve">info@bukharasc.uz</t>
  </si>
  <si>
    <t xml:space="preserve">Ened Meta</t>
  </si>
  <si>
    <t xml:space="preserve">Albania Second Division - East</t>
  </si>
  <si>
    <t xml:space="preserve">Elbasan SC</t>
  </si>
  <si>
    <t xml:space="preserve">info@elbasansc.al</t>
  </si>
  <si>
    <t xml:space="preserve">Dusan Nikolic</t>
  </si>
  <si>
    <t xml:space="preserve">Serbia Amateur League</t>
  </si>
  <si>
    <t xml:space="preserve">Backa Topola City</t>
  </si>
  <si>
    <t xml:space="preserve">info@backatopolacity.rs</t>
  </si>
  <si>
    <t xml:space="preserve">Blaze Angelovski</t>
  </si>
  <si>
    <t xml:space="preserve">North Macedonia Amateur League</t>
  </si>
  <si>
    <t xml:space="preserve">Negotino Town</t>
  </si>
  <si>
    <t xml:space="preserve">info@negotinotown.mk</t>
  </si>
  <si>
    <t xml:space="preserve">Ronaldo Gonzalez</t>
  </si>
  <si>
    <t xml:space="preserve">Venezuela Third Tier - South</t>
  </si>
  <si>
    <t xml:space="preserve">Yeferson Martinez</t>
  </si>
  <si>
    <t xml:space="preserve">Venezuela Second Division - West</t>
  </si>
  <si>
    <t xml:space="preserve">Caracas United</t>
  </si>
  <si>
    <t xml:space="preserve">info@caracasunited.ve</t>
  </si>
  <si>
    <t xml:space="preserve">Ibrahima Diallo</t>
  </si>
  <si>
    <t xml:space="preserve">Mamadou Gueye</t>
  </si>
  <si>
    <t xml:space="preserve">Senegal Second Division - East</t>
  </si>
  <si>
    <t xml:space="preserve">Dakar Wanderers</t>
  </si>
  <si>
    <t xml:space="preserve">info@dakarwanderers.sn</t>
  </si>
  <si>
    <t xml:space="preserve">Phong Le</t>
  </si>
  <si>
    <t xml:space="preserve">Hanoi Athletic</t>
  </si>
  <si>
    <t xml:space="preserve">info@hanoiathletic.vn</t>
  </si>
  <si>
    <t xml:space="preserve">Emiliano Ramirez</t>
  </si>
  <si>
    <t xml:space="preserve">Luque Wanderers</t>
  </si>
  <si>
    <t xml:space="preserve">info@luquewanderers.py</t>
  </si>
  <si>
    <t xml:space="preserve">Karl Saar</t>
  </si>
  <si>
    <t xml:space="preserve">Estonia Third Tier - North</t>
  </si>
  <si>
    <t xml:space="preserve">Tallinn City</t>
  </si>
  <si>
    <t xml:space="preserve">info@tallinncity.ee</t>
  </si>
  <si>
    <t xml:space="preserve">Chai Wongsa</t>
  </si>
  <si>
    <t xml:space="preserve">Thailand Second Division - West</t>
  </si>
  <si>
    <t xml:space="preserve">Nonthaburi Town</t>
  </si>
  <si>
    <t xml:space="preserve">info@nonthaburitown.th</t>
  </si>
  <si>
    <t xml:space="preserve">Mustafa Kareem</t>
  </si>
  <si>
    <t xml:space="preserve">Najaf Athletic</t>
  </si>
  <si>
    <t xml:space="preserve">info@najafathletic.iq</t>
  </si>
  <si>
    <t xml:space="preserve">Ardit Meta</t>
  </si>
  <si>
    <t xml:space="preserve">Kittipong Rattanakosin</t>
  </si>
  <si>
    <t xml:space="preserve">Bangkok Rangers</t>
  </si>
  <si>
    <t xml:space="preserve">info@bangkokrangers.th</t>
  </si>
  <si>
    <t xml:space="preserve">Ahmed Abbas</t>
  </si>
  <si>
    <t xml:space="preserve">Iraq Second Division - East</t>
  </si>
  <si>
    <t xml:space="preserve">Baghdad United</t>
  </si>
  <si>
    <t xml:space="preserve">info@baghdadunited.iq</t>
  </si>
  <si>
    <t xml:space="preserve">Federico Pereira</t>
  </si>
  <si>
    <t xml:space="preserve">Uruguay Reserve League</t>
  </si>
  <si>
    <t xml:space="preserve">Rivera Athletic</t>
  </si>
  <si>
    <t xml:space="preserve">info@riveraathletic.uy</t>
  </si>
  <si>
    <t xml:space="preserve">Gentian Shala</t>
  </si>
  <si>
    <t xml:space="preserve">Eric Mbia</t>
  </si>
  <si>
    <t xml:space="preserve">Cameroon Second Division - West</t>
  </si>
  <si>
    <t xml:space="preserve">Vasil Trajkovski</t>
  </si>
  <si>
    <t xml:space="preserve">North Macedonia Provincial League</t>
  </si>
  <si>
    <t xml:space="preserve">Bitola City</t>
  </si>
  <si>
    <t xml:space="preserve">info@bitolacity.mk</t>
  </si>
  <si>
    <t xml:space="preserve">Tim Kovac</t>
  </si>
  <si>
    <t xml:space="preserve">Slovenia Third Tier - South</t>
  </si>
  <si>
    <t xml:space="preserve">Maribor Wanderers</t>
  </si>
  <si>
    <t xml:space="preserve">info@mariborwanderers.si</t>
  </si>
  <si>
    <t xml:space="preserve">Kevin Martinez</t>
  </si>
  <si>
    <t xml:space="preserve">Honduras Amateur League</t>
  </si>
  <si>
    <t xml:space="preserve">Choluteca Athletic</t>
  </si>
  <si>
    <t xml:space="preserve">info@cholutecaathletic.hn</t>
  </si>
  <si>
    <t xml:space="preserve">Franco Martinez</t>
  </si>
  <si>
    <t xml:space="preserve">La Paz SC</t>
  </si>
  <si>
    <t xml:space="preserve">info@lapazsc.bo</t>
  </si>
  <si>
    <t xml:space="preserve">Bjarni Petursson</t>
  </si>
  <si>
    <t xml:space="preserve">Keflavik SC</t>
  </si>
  <si>
    <t xml:space="preserve">info@keflaviksc.is</t>
  </si>
  <si>
    <t xml:space="preserve">Abdoulaye Ndiaye</t>
  </si>
  <si>
    <t xml:space="preserve">Senegal Regional League</t>
  </si>
  <si>
    <t xml:space="preserve">Ziguinchor Rangers</t>
  </si>
  <si>
    <t xml:space="preserve">info@ziguinchorrangers.sn</t>
  </si>
  <si>
    <t xml:space="preserve">Callum Taylor</t>
  </si>
  <si>
    <t xml:space="preserve">Hamilton FC</t>
  </si>
  <si>
    <t xml:space="preserve">info@hamiltonfc.nz</t>
  </si>
  <si>
    <t xml:space="preserve">Ethan Clarke</t>
  </si>
  <si>
    <t xml:space="preserve">Hamilton Wanderers</t>
  </si>
  <si>
    <t xml:space="preserve">info@hamiltonwanderers.nz</t>
  </si>
  <si>
    <t xml:space="preserve">Cheikh Gueye</t>
  </si>
  <si>
    <t xml:space="preserve">Senegal Amateur League</t>
  </si>
  <si>
    <t xml:space="preserve">Saint-Louis FC</t>
  </si>
  <si>
    <t xml:space="preserve">info@saintlouisfc.sn</t>
  </si>
  <si>
    <t xml:space="preserve">Ha-joon Kim</t>
  </si>
  <si>
    <t xml:space="preserve">South Korea Third Tier - South</t>
  </si>
  <si>
    <t xml:space="preserve">Incheon Town</t>
  </si>
  <si>
    <t xml:space="preserve">info@incheontown.kr</t>
  </si>
  <si>
    <t xml:space="preserve">Miguel Morales</t>
  </si>
  <si>
    <t xml:space="preserve">Sebastian Sanchez</t>
  </si>
  <si>
    <t xml:space="preserve">Luque Town</t>
  </si>
  <si>
    <t xml:space="preserve">info@luquetown.py</t>
  </si>
  <si>
    <t xml:space="preserve">Emiliano Sanchez</t>
  </si>
  <si>
    <t xml:space="preserve">Encarnacion Athletic</t>
  </si>
  <si>
    <t xml:space="preserve">info@encarnacionathletic.py</t>
  </si>
  <si>
    <t xml:space="preserve">Rodrigo Cardozo</t>
  </si>
  <si>
    <t xml:space="preserve">Paraguay Reserve League</t>
  </si>
  <si>
    <t xml:space="preserve">Luque City</t>
  </si>
  <si>
    <t xml:space="preserve">info@luquecity.py</t>
  </si>
  <si>
    <t xml:space="preserve">Janis Berzins</t>
  </si>
  <si>
    <t xml:space="preserve">Jelgava Rovers</t>
  </si>
  <si>
    <t xml:space="preserve">info@jelgavarovers.lv</t>
  </si>
  <si>
    <t xml:space="preserve">Maximiliano Rodriguez</t>
  </si>
  <si>
    <t xml:space="preserve">Rivera City</t>
  </si>
  <si>
    <t xml:space="preserve">info@riveracity.uy</t>
  </si>
  <si>
    <t xml:space="preserve">Levan Kiknadze</t>
  </si>
  <si>
    <t xml:space="preserve">Georgia Second Division - East</t>
  </si>
  <si>
    <t xml:space="preserve">Goran Stojanovski</t>
  </si>
  <si>
    <t xml:space="preserve">Ronaldo Rojas</t>
  </si>
  <si>
    <t xml:space="preserve">Venezuela Provincial League</t>
  </si>
  <si>
    <t xml:space="preserve">Valencia FC</t>
  </si>
  <si>
    <t xml:space="preserve">info@valenciafc.ve</t>
  </si>
  <si>
    <t xml:space="preserve">Mateo Rodriguez</t>
  </si>
  <si>
    <t xml:space="preserve">La Paz Town</t>
  </si>
  <si>
    <t xml:space="preserve">info@lapaztown.bo</t>
  </si>
  <si>
    <t xml:space="preserve">Goran Angelovski</t>
  </si>
  <si>
    <t xml:space="preserve">Stip SC</t>
  </si>
  <si>
    <t xml:space="preserve">info@stipsc.mk</t>
  </si>
  <si>
    <t xml:space="preserve">Andre Ngoy</t>
  </si>
  <si>
    <t xml:space="preserve">Garoua Athletic</t>
  </si>
  <si>
    <t xml:space="preserve">info@garouaathletic.cm</t>
  </si>
  <si>
    <t xml:space="preserve">Roberts Liepa</t>
  </si>
  <si>
    <t xml:space="preserve">Riga FC</t>
  </si>
  <si>
    <t xml:space="preserve">info@rigafc.lv</t>
  </si>
  <si>
    <t xml:space="preserve">Marlon Martinez</t>
  </si>
  <si>
    <t xml:space="preserve">Honduras Regional League</t>
  </si>
  <si>
    <t xml:space="preserve">La Ceiba Rangers</t>
  </si>
  <si>
    <t xml:space="preserve">info@laceibarangers.hn</t>
  </si>
  <si>
    <t xml:space="preserve">Ronaldo Hernandez</t>
  </si>
  <si>
    <t xml:space="preserve">Maracaibo Rovers</t>
  </si>
  <si>
    <t xml:space="preserve">info@maracaiborovers.ve</t>
  </si>
  <si>
    <t xml:space="preserve">Vladimir Jovanovic</t>
  </si>
  <si>
    <t xml:space="preserve">Kevin Elvir</t>
  </si>
  <si>
    <t xml:space="preserve">San Pedro Sula SC</t>
  </si>
  <si>
    <t xml:space="preserve">info@sanpedrosulasc.hn</t>
  </si>
  <si>
    <t xml:space="preserve">Mateo Martinez</t>
  </si>
  <si>
    <t xml:space="preserve">Bolivia Reserve League</t>
  </si>
  <si>
    <t xml:space="preserve">Santa Cruz FC</t>
  </si>
  <si>
    <t xml:space="preserve">info@santacruzfc.bo</t>
  </si>
  <si>
    <t xml:space="preserve">Karim Jabbar</t>
  </si>
  <si>
    <t xml:space="preserve">Souleymane Diarra</t>
  </si>
  <si>
    <t xml:space="preserve">Kayes Town</t>
  </si>
  <si>
    <t xml:space="preserve">info@kayestown.ml</t>
  </si>
  <si>
    <t xml:space="preserve">Minh Hoang</t>
  </si>
  <si>
    <t xml:space="preserve">Vietnam Third Tier - North</t>
  </si>
  <si>
    <t xml:space="preserve">Can Tho SC</t>
  </si>
  <si>
    <t xml:space="preserve">info@canthosc.vn</t>
  </si>
  <si>
    <t xml:space="preserve">Maximiliano Silva</t>
  </si>
  <si>
    <t xml:space="preserve">Montevideo Town</t>
  </si>
  <si>
    <t xml:space="preserve">info@montevideotown.uy</t>
  </si>
  <si>
    <t xml:space="preserve">Arturs Vitols</t>
  </si>
  <si>
    <t xml:space="preserve">Cole Brown</t>
  </si>
  <si>
    <t xml:space="preserve">New Zealand Second Division - East</t>
  </si>
  <si>
    <t xml:space="preserve">Auckland Athletic</t>
  </si>
  <si>
    <t xml:space="preserve">info@aucklandathletic.nz</t>
  </si>
  <si>
    <t xml:space="preserve">Kittipong Srisawat</t>
  </si>
  <si>
    <t xml:space="preserve">Thailand Regional League</t>
  </si>
  <si>
    <t xml:space="preserve">Nonthaburi Rovers</t>
  </si>
  <si>
    <t xml:space="preserve">info@nonthaburirovers.th</t>
  </si>
  <si>
    <t xml:space="preserve">Tim Zupan</t>
  </si>
  <si>
    <t xml:space="preserve">Ljubljana City</t>
  </si>
  <si>
    <t xml:space="preserve">info@ljubljanacity.si</t>
  </si>
  <si>
    <t xml:space="preserve">Vladimir Milic</t>
  </si>
  <si>
    <t xml:space="preserve">Backa Topola SC</t>
  </si>
  <si>
    <t xml:space="preserve">info@backatopolasc.rs</t>
  </si>
  <si>
    <t xml:space="preserve">Ibrahim Agyemang</t>
  </si>
  <si>
    <t xml:space="preserve">Tamale Rangers</t>
  </si>
  <si>
    <t xml:space="preserve">info@tamalerangers.gh</t>
  </si>
  <si>
    <t xml:space="preserve">Gonzalo Martinez</t>
  </si>
  <si>
    <t xml:space="preserve">Sucre United</t>
  </si>
  <si>
    <t xml:space="preserve">info@sucreunited.bo</t>
  </si>
  <si>
    <t xml:space="preserve">Janis Liepa</t>
  </si>
  <si>
    <t xml:space="preserve">Latvia Second Division</t>
  </si>
  <si>
    <t xml:space="preserve">Liepaja SC</t>
  </si>
  <si>
    <t xml:space="preserve">info@liepajasc.lv</t>
  </si>
  <si>
    <t xml:space="preserve">Nattapong Boonmee</t>
  </si>
  <si>
    <t xml:space="preserve">Chiang Mai United</t>
  </si>
  <si>
    <t xml:space="preserve">info@chiangmaiunited.th</t>
  </si>
  <si>
    <t xml:space="preserve">Jose Campos</t>
  </si>
  <si>
    <t xml:space="preserve">Cartago City</t>
  </si>
  <si>
    <t xml:space="preserve">info@cartagocity.cr</t>
  </si>
  <si>
    <t xml:space="preserve">Michael Perez</t>
  </si>
  <si>
    <t xml:space="preserve">Panama Third Tier - South</t>
  </si>
  <si>
    <t xml:space="preserve">Colon Rovers</t>
  </si>
  <si>
    <t xml:space="preserve">info@colonrovers.pa</t>
  </si>
  <si>
    <t xml:space="preserve">Emiliano Perez</t>
  </si>
  <si>
    <t xml:space="preserve">Paraguay Second Division</t>
  </si>
  <si>
    <t xml:space="preserve">Ciudad del Este City</t>
  </si>
  <si>
    <t xml:space="preserve">info@ciudaddelestecity.py</t>
  </si>
  <si>
    <t xml:space="preserve">Souleymane Sidibe</t>
  </si>
  <si>
    <t xml:space="preserve">Arturs Liepa</t>
  </si>
  <si>
    <t xml:space="preserve">Latvia Regional League</t>
  </si>
  <si>
    <t xml:space="preserve">Liepaja Athletic</t>
  </si>
  <si>
    <t xml:space="preserve">info@liepajaathletic.lv</t>
  </si>
  <si>
    <t xml:space="preserve">Ousmane Sow</t>
  </si>
  <si>
    <t xml:space="preserve">Thies FC</t>
  </si>
  <si>
    <t xml:space="preserve">info@thiesfc.sn</t>
  </si>
  <si>
    <t xml:space="preserve">Nattapong Sanguan</t>
  </si>
  <si>
    <t xml:space="preserve">Bangkok Athletic</t>
  </si>
  <si>
    <t xml:space="preserve">info@bangkokathletic.th</t>
  </si>
  <si>
    <t xml:space="preserve">Ahmed Hassan</t>
  </si>
  <si>
    <t xml:space="preserve">Basra City</t>
  </si>
  <si>
    <t xml:space="preserve">info@basracity.iq</t>
  </si>
  <si>
    <t xml:space="preserve">Anon Sanguan</t>
  </si>
  <si>
    <t xml:space="preserve">Chiang Mai Rangers</t>
  </si>
  <si>
    <t xml:space="preserve">info@chiangmairangers.th</t>
  </si>
  <si>
    <t xml:space="preserve">Liam Smith</t>
  </si>
  <si>
    <t xml:space="preserve">New Zealand Regional League</t>
  </si>
  <si>
    <t xml:space="preserve">Auckland Rovers</t>
  </si>
  <si>
    <t xml:space="preserve">info@aucklandrovers.nz</t>
  </si>
  <si>
    <t xml:space="preserve">Esteban Morales</t>
  </si>
  <si>
    <t xml:space="preserve">Costa Rica Second Division - East</t>
  </si>
  <si>
    <t xml:space="preserve">Heredia Rovers</t>
  </si>
  <si>
    <t xml:space="preserve">info@herediarovers.cr</t>
  </si>
  <si>
    <t xml:space="preserve">Michael Godoy</t>
  </si>
  <si>
    <t xml:space="preserve">David Town</t>
  </si>
  <si>
    <t xml:space="preserve">info@davidtown.pa</t>
  </si>
  <si>
    <t xml:space="preserve">Yuto Ito</t>
  </si>
  <si>
    <t xml:space="preserve">Japan Regional League</t>
  </si>
  <si>
    <t xml:space="preserve">Nagoya Wanderers</t>
  </si>
  <si>
    <t xml:space="preserve">info@nagoyawanderers.jp</t>
  </si>
  <si>
    <t xml:space="preserve">Dusan Milic</t>
  </si>
  <si>
    <t xml:space="preserve">Dobanovci Wanderers</t>
  </si>
  <si>
    <t xml:space="preserve">info@dobanovciwanderers.rs</t>
  </si>
  <si>
    <t xml:space="preserve">Ethan Taylor</t>
  </si>
  <si>
    <t xml:space="preserve">New Zealand Third Tier - North</t>
  </si>
  <si>
    <t xml:space="preserve">Saba Kiknadze</t>
  </si>
  <si>
    <t xml:space="preserve">Tbilisi Athletic</t>
  </si>
  <si>
    <t xml:space="preserve">info@tbilisiathletic.ge</t>
  </si>
  <si>
    <t xml:space="preserve">Modibo Camara</t>
  </si>
  <si>
    <t xml:space="preserve">Mopti Town</t>
  </si>
  <si>
    <t xml:space="preserve">info@moptitown.ml</t>
  </si>
  <si>
    <t xml:space="preserve">Cole Mitchell</t>
  </si>
  <si>
    <t xml:space="preserve">New Zealand Second Division - West</t>
  </si>
  <si>
    <t xml:space="preserve">Wellington Rangers</t>
  </si>
  <si>
    <t xml:space="preserve">info@wellingtonrangers.nz</t>
  </si>
  <si>
    <t xml:space="preserve">Wuilker Rojas</t>
  </si>
  <si>
    <t xml:space="preserve">Jose Castillo</t>
  </si>
  <si>
    <t xml:space="preserve">Cartago Town</t>
  </si>
  <si>
    <t xml:space="preserve">info@cartagotown.cr</t>
  </si>
  <si>
    <t xml:space="preserve">Nicolas Vargas</t>
  </si>
  <si>
    <t xml:space="preserve">Cochabamba Rovers</t>
  </si>
  <si>
    <t xml:space="preserve">info@cochabambarovers.bo</t>
  </si>
  <si>
    <t xml:space="preserve">Filip Radovic</t>
  </si>
  <si>
    <t xml:space="preserve">Podgorica SC</t>
  </si>
  <si>
    <t xml:space="preserve">info@podgoricasc.me</t>
  </si>
  <si>
    <t xml:space="preserve">Carlos Ramirez</t>
  </si>
  <si>
    <t xml:space="preserve">San Jose Town</t>
  </si>
  <si>
    <t xml:space="preserve">info@sanjosetown.cr</t>
  </si>
  <si>
    <t xml:space="preserve">Sherzod Karimov</t>
  </si>
  <si>
    <t xml:space="preserve">Bukhara Wanderers</t>
  </si>
  <si>
    <t xml:space="preserve">info@bukharawanderers.uz</t>
  </si>
  <si>
    <t xml:space="preserve">Luis Castillo</t>
  </si>
  <si>
    <t xml:space="preserve">Costa Rica Provincial League</t>
  </si>
  <si>
    <t xml:space="preserve">Cartago SC</t>
  </si>
  <si>
    <t xml:space="preserve">info@cartagosc.cr</t>
  </si>
  <si>
    <t xml:space="preserve">Luka Kovacevic</t>
  </si>
  <si>
    <t xml:space="preserve">Medimurje SC</t>
  </si>
  <si>
    <t xml:space="preserve">info@medimurjesc.hr</t>
  </si>
  <si>
    <t xml:space="preserve">Gentian Bardhi</t>
  </si>
  <si>
    <t xml:space="preserve">Vlore Rovers</t>
  </si>
  <si>
    <t xml:space="preserve">info@vlorerovers.al</t>
  </si>
  <si>
    <t xml:space="preserve">Aleksandar Milic</t>
  </si>
  <si>
    <t xml:space="preserve">Nis United</t>
  </si>
  <si>
    <t xml:space="preserve">info@nisunited.rs</t>
  </si>
  <si>
    <t xml:space="preserve">Yuto Suzuki</t>
  </si>
  <si>
    <t xml:space="preserve">Japan Provincial League</t>
  </si>
  <si>
    <t xml:space="preserve">Fukuoka United</t>
  </si>
  <si>
    <t xml:space="preserve">info@fukuokaunited.jp</t>
  </si>
  <si>
    <t xml:space="preserve">Ethan Wilson</t>
  </si>
  <si>
    <t xml:space="preserve">Hamilton Rovers</t>
  </si>
  <si>
    <t xml:space="preserve">info@hamiltonrovers.nz</t>
  </si>
  <si>
    <t xml:space="preserve">Wuilker Gonzalez</t>
  </si>
  <si>
    <t xml:space="preserve">Barquisimeto Wanderers</t>
  </si>
  <si>
    <t xml:space="preserve">info@barquisimetowanderers.ve</t>
  </si>
  <si>
    <t xml:space="preserve">Aron Halldorsson</t>
  </si>
  <si>
    <t xml:space="preserve">Iceland Second Division - East</t>
  </si>
  <si>
    <t xml:space="preserve">Selfoss Wanderers</t>
  </si>
  <si>
    <t xml:space="preserve">info@selfosswanderers.is</t>
  </si>
  <si>
    <t xml:space="preserve">Kristers Kalns</t>
  </si>
  <si>
    <t xml:space="preserve">Latvia Third Tier - North</t>
  </si>
  <si>
    <t xml:space="preserve">Daugavpils City</t>
  </si>
  <si>
    <t xml:space="preserve">info@daugavpilscity.lv</t>
  </si>
  <si>
    <t xml:space="preserve">Klodian Bardhi</t>
  </si>
  <si>
    <t xml:space="preserve">Samuel Etoo</t>
  </si>
  <si>
    <t xml:space="preserve">Douala FC</t>
  </si>
  <si>
    <t xml:space="preserve">info@doualafc.cm</t>
  </si>
  <si>
    <t xml:space="preserve">Bryan Mejia</t>
  </si>
  <si>
    <t xml:space="preserve">Honduras Provincial League</t>
  </si>
  <si>
    <t xml:space="preserve">Tegucigalpa Town</t>
  </si>
  <si>
    <t xml:space="preserve">info@tegucigalpatown.hn</t>
  </si>
  <si>
    <t xml:space="preserve">Karim Salim</t>
  </si>
  <si>
    <t xml:space="preserve">Iraq Provincial League</t>
  </si>
  <si>
    <t xml:space="preserve">Erbil FC</t>
  </si>
  <si>
    <t xml:space="preserve">info@erbilfc.iq</t>
  </si>
  <si>
    <t xml:space="preserve">Ibrahim Owusu</t>
  </si>
  <si>
    <t xml:space="preserve">Kumasi FC</t>
  </si>
  <si>
    <t xml:space="preserve">info@kumasifc.gh</t>
  </si>
  <si>
    <t xml:space="preserve">Ivan Perez</t>
  </si>
  <si>
    <t xml:space="preserve">Ciudad del Este Town</t>
  </si>
  <si>
    <t xml:space="preserve">info@ciudaddelestetown.py</t>
  </si>
  <si>
    <t xml:space="preserve">Otabek Yusupov</t>
  </si>
  <si>
    <t xml:space="preserve">Samarkand Rangers</t>
  </si>
  <si>
    <t xml:space="preserve">info@samarkandrangers.uz</t>
  </si>
  <si>
    <t xml:space="preserve">Karl Petursson</t>
  </si>
  <si>
    <t xml:space="preserve">Iceland Regional League</t>
  </si>
  <si>
    <t xml:space="preserve">Reykjavik FC</t>
  </si>
  <si>
    <t xml:space="preserve">info@reykjavikfc.is</t>
  </si>
  <si>
    <t xml:space="preserve">Emmanuel Mensah</t>
  </si>
  <si>
    <t xml:space="preserve">Ghana Amateur League</t>
  </si>
  <si>
    <t xml:space="preserve">Kumasi Wanderers</t>
  </si>
  <si>
    <t xml:space="preserve">info@kumasiwanderers.gh</t>
  </si>
  <si>
    <t xml:space="preserve">Yves Diabate</t>
  </si>
  <si>
    <t xml:space="preserve">Ivory Coast Third Tier - South</t>
  </si>
  <si>
    <t xml:space="preserve">Bouake FC</t>
  </si>
  <si>
    <t xml:space="preserve">info@bouakefc.ci</t>
  </si>
  <si>
    <t xml:space="preserve">Phong Tran</t>
  </si>
  <si>
    <t xml:space="preserve">Hai Phong Athletic</t>
  </si>
  <si>
    <t xml:space="preserve">info@haiphongathletic.vn</t>
  </si>
  <si>
    <t xml:space="preserve">Vasil Ristovski</t>
  </si>
  <si>
    <t xml:space="preserve">North Macedonia Second Division - West</t>
  </si>
  <si>
    <t xml:space="preserve">Ohrid City</t>
  </si>
  <si>
    <t xml:space="preserve">info@ohridcity.mk</t>
  </si>
  <si>
    <t xml:space="preserve">Jesus Rondon</t>
  </si>
  <si>
    <t xml:space="preserve">Didier Diabate</t>
  </si>
  <si>
    <t xml:space="preserve">Ivory Coast Provincial League</t>
  </si>
  <si>
    <t xml:space="preserve">Abidjan Athletic</t>
  </si>
  <si>
    <t xml:space="preserve">info@abidjanathletic.ci</t>
  </si>
  <si>
    <t xml:space="preserve">Milos Krstic</t>
  </si>
  <si>
    <t xml:space="preserve">Nis Athletic</t>
  </si>
  <si>
    <t xml:space="preserve">info@nisathletic.rs</t>
  </si>
  <si>
    <t xml:space="preserve">Luka Kiknadze</t>
  </si>
  <si>
    <t xml:space="preserve">Tbilisi FC</t>
  </si>
  <si>
    <t xml:space="preserve">info@tbilisifc.ge</t>
  </si>
  <si>
    <t xml:space="preserve">Jean Onana</t>
  </si>
  <si>
    <t xml:space="preserve">Cameroon Second Division</t>
  </si>
  <si>
    <t xml:space="preserve">Douala United</t>
  </si>
  <si>
    <t xml:space="preserve">info@doualaunited.cm</t>
  </si>
  <si>
    <t xml:space="preserve">Wesly Martinez</t>
  </si>
  <si>
    <t xml:space="preserve">Choluteca SC</t>
  </si>
  <si>
    <t xml:space="preserve">info@cholutecasc.hn</t>
  </si>
  <si>
    <t xml:space="preserve">Duc Le</t>
  </si>
  <si>
    <t xml:space="preserve">Hai Phong Wanderers</t>
  </si>
  <si>
    <t xml:space="preserve">info@haiphongwanderers.vn</t>
  </si>
  <si>
    <t xml:space="preserve">Amadou Camara</t>
  </si>
  <si>
    <t xml:space="preserve">Sikasso City</t>
  </si>
  <si>
    <t xml:space="preserve">info@sikassocity.ml</t>
  </si>
  <si>
    <t xml:space="preserve">Omar Abbas</t>
  </si>
  <si>
    <t xml:space="preserve">Basra Rovers</t>
  </si>
  <si>
    <t xml:space="preserve">info@basrarovers.iq</t>
  </si>
  <si>
    <t xml:space="preserve">Max Kone</t>
  </si>
  <si>
    <t xml:space="preserve">Yamoussoukro Wanderers</t>
  </si>
  <si>
    <t xml:space="preserve">info@yamoussoukrowanderers.ci</t>
  </si>
  <si>
    <t xml:space="preserve">Arturs Ozols</t>
  </si>
  <si>
    <t xml:space="preserve">Liepaja FC</t>
  </si>
  <si>
    <t xml:space="preserve">info@liepajafc.lv</t>
  </si>
  <si>
    <t xml:space="preserve">Mustafa Salim</t>
  </si>
  <si>
    <t xml:space="preserve">Erbil SC</t>
  </si>
  <si>
    <t xml:space="preserve">info@erbilsc.iq</t>
  </si>
  <si>
    <t xml:space="preserve">Darko Mitrovski</t>
  </si>
  <si>
    <t xml:space="preserve">Jan Novak</t>
  </si>
  <si>
    <t xml:space="preserve">Slovenia Third Tier - North</t>
  </si>
  <si>
    <t xml:space="preserve">Ljubljana FC</t>
  </si>
  <si>
    <t xml:space="preserve">info@ljubljanafc.si</t>
  </si>
  <si>
    <t xml:space="preserve">Andres Chavez</t>
  </si>
  <si>
    <t xml:space="preserve">Cuenca Rangers</t>
  </si>
  <si>
    <t xml:space="preserve">info@cuencarangers.ec</t>
  </si>
  <si>
    <t xml:space="preserve">Cristian Perez</t>
  </si>
  <si>
    <t xml:space="preserve">Asuncion FC</t>
  </si>
  <si>
    <t xml:space="preserve">info@asuncionfc.py</t>
  </si>
  <si>
    <t xml:space="preserve">Romell Figueroa</t>
  </si>
  <si>
    <t xml:space="preserve">Honduras Second Division</t>
  </si>
  <si>
    <t xml:space="preserve">Emmanuel Sakala</t>
  </si>
  <si>
    <t xml:space="preserve">Zambia Amateur League</t>
  </si>
  <si>
    <t xml:space="preserve">Kitwe City</t>
  </si>
  <si>
    <t xml:space="preserve">info@kitwecity.zm</t>
  </si>
  <si>
    <t xml:space="preserve">Franck Bamba</t>
  </si>
  <si>
    <t xml:space="preserve">Abidjan Wanderers</t>
  </si>
  <si>
    <t xml:space="preserve">info@abidjanwanderers.ci</t>
  </si>
  <si>
    <t xml:space="preserve">Jean Fotso</t>
  </si>
  <si>
    <t xml:space="preserve">Cameroon Second Division - East</t>
  </si>
  <si>
    <t xml:space="preserve">Garoua City</t>
  </si>
  <si>
    <t xml:space="preserve">info@garouacity.cm</t>
  </si>
  <si>
    <t xml:space="preserve">Hussein Abbas</t>
  </si>
  <si>
    <t xml:space="preserve">Baghdad Rangers</t>
  </si>
  <si>
    <t xml:space="preserve">info@baghdadrangers.iq</t>
  </si>
  <si>
    <t xml:space="preserve">Yaw Owusu</t>
  </si>
  <si>
    <t xml:space="preserve">Ghana Provincial League</t>
  </si>
  <si>
    <t xml:space="preserve">Accra Athletic</t>
  </si>
  <si>
    <t xml:space="preserve">info@accraathletic.gh</t>
  </si>
  <si>
    <t xml:space="preserve">Oumar Camara</t>
  </si>
  <si>
    <t xml:space="preserve">Mali Second Division - East</t>
  </si>
  <si>
    <t xml:space="preserve">Kayes Rovers</t>
  </si>
  <si>
    <t xml:space="preserve">info@kayesrovers.ml</t>
  </si>
  <si>
    <t xml:space="preserve">Santiago Flores</t>
  </si>
  <si>
    <t xml:space="preserve">Bolivia Amateur League</t>
  </si>
  <si>
    <t xml:space="preserve">Sucre Rangers</t>
  </si>
  <si>
    <t xml:space="preserve">info@sucrerangers.bo</t>
  </si>
  <si>
    <t xml:space="preserve">Ivan Ramirez</t>
  </si>
  <si>
    <t xml:space="preserve">Paraguay Amateur League</t>
  </si>
  <si>
    <t xml:space="preserve">Bruno Ferreira</t>
  </si>
  <si>
    <t xml:space="preserve">Uruguay Second Division - East</t>
  </si>
  <si>
    <t xml:space="preserve">Montevideo FC</t>
  </si>
  <si>
    <t xml:space="preserve">info@montevideofc.uy</t>
  </si>
  <si>
    <t xml:space="preserve">Domagoj Matic</t>
  </si>
  <si>
    <t xml:space="preserve">Croatia Third Tier - North</t>
  </si>
  <si>
    <t xml:space="preserve">Medimurje Athletic</t>
  </si>
  <si>
    <t xml:space="preserve">info@medimurjeathletic.hr</t>
  </si>
  <si>
    <t xml:space="preserve">Kristers Vitols</t>
  </si>
  <si>
    <t xml:space="preserve">Do-yun Park</t>
  </si>
  <si>
    <t xml:space="preserve">Daegu Athletic</t>
  </si>
  <si>
    <t xml:space="preserve">info@daeguathletic.kr</t>
  </si>
  <si>
    <t xml:space="preserve">Marko Novak</t>
  </si>
  <si>
    <t xml:space="preserve">Bijelo Brdo Rangers</t>
  </si>
  <si>
    <t xml:space="preserve">info@bijelobrdorangers.hr</t>
  </si>
  <si>
    <t xml:space="preserve">Rasmus Saar</t>
  </si>
  <si>
    <t xml:space="preserve">Narva SC</t>
  </si>
  <si>
    <t xml:space="preserve">info@narvasc.ee</t>
  </si>
  <si>
    <t xml:space="preserve">Giorgi Gelashvili</t>
  </si>
  <si>
    <t xml:space="preserve">Georgia Amateur League</t>
  </si>
  <si>
    <t xml:space="preserve">Rustavi FC</t>
  </si>
  <si>
    <t xml:space="preserve">info@rustavifc.ge</t>
  </si>
  <si>
    <t xml:space="preserve">Bakary Traore</t>
  </si>
  <si>
    <t xml:space="preserve">Bamako Rovers</t>
  </si>
  <si>
    <t xml:space="preserve">info@bamakorovers.ml</t>
  </si>
  <si>
    <t xml:space="preserve">Kaito Sato</t>
  </si>
  <si>
    <t xml:space="preserve">Fukuoka Wanderers</t>
  </si>
  <si>
    <t xml:space="preserve">info@fukuokawanderers.jp</t>
  </si>
  <si>
    <t xml:space="preserve">Marlon Campbell</t>
  </si>
  <si>
    <t xml:space="preserve">Jamaica Reserve League</t>
  </si>
  <si>
    <t xml:space="preserve">Spanish Town Rangers</t>
  </si>
  <si>
    <t xml:space="preserve">info@spanishtownrangers.jm</t>
  </si>
  <si>
    <t xml:space="preserve">Ali Mahmoud</t>
  </si>
  <si>
    <t xml:space="preserve">Mamadou Diallo</t>
  </si>
  <si>
    <t xml:space="preserve">Ziguinchor Athletic</t>
  </si>
  <si>
    <t xml:space="preserve">info@ziguinchorathletic.sn</t>
  </si>
  <si>
    <t xml:space="preserve">Roman Torres</t>
  </si>
  <si>
    <t xml:space="preserve">Panama Second Division - East</t>
  </si>
  <si>
    <t xml:space="preserve">Santiago City</t>
  </si>
  <si>
    <t xml:space="preserve">info@santiagocity.pa</t>
  </si>
  <si>
    <t xml:space="preserve">Sora Watanabe</t>
  </si>
  <si>
    <t xml:space="preserve">Sapporo Town</t>
  </si>
  <si>
    <t xml:space="preserve">info@sapporotown.jp</t>
  </si>
  <si>
    <t xml:space="preserve">Minh Vu</t>
  </si>
  <si>
    <t xml:space="preserve">Vietnam Amateur League</t>
  </si>
  <si>
    <t xml:space="preserve">Can Tho Town</t>
  </si>
  <si>
    <t xml:space="preserve">info@canthotown.vn</t>
  </si>
  <si>
    <t xml:space="preserve">Modibo Traore</t>
  </si>
  <si>
    <t xml:space="preserve">Sikasso United</t>
  </si>
  <si>
    <t xml:space="preserve">info@sikassounited.ml</t>
  </si>
  <si>
    <t xml:space="preserve">Diyorbek Karimov</t>
  </si>
  <si>
    <t xml:space="preserve">Uzbekistan Second Division - West</t>
  </si>
  <si>
    <t xml:space="preserve">Tashkent Athletic</t>
  </si>
  <si>
    <t xml:space="preserve">info@tashkentathletic.uz</t>
  </si>
  <si>
    <t xml:space="preserve">Somchai Wongsa</t>
  </si>
  <si>
    <t xml:space="preserve">Thailand Amateur League</t>
  </si>
  <si>
    <t xml:space="preserve">Khon Kaen United</t>
  </si>
  <si>
    <t xml:space="preserve">info@khonkaenunited.th</t>
  </si>
  <si>
    <t xml:space="preserve">Jack Taylor</t>
  </si>
  <si>
    <t xml:space="preserve">New Zealand Amateur League</t>
  </si>
  <si>
    <t xml:space="preserve">Carlos Quinonez</t>
  </si>
  <si>
    <t xml:space="preserve">Ecuador Second Division</t>
  </si>
  <si>
    <t xml:space="preserve">Damion Reid</t>
  </si>
  <si>
    <t xml:space="preserve">May Pen FC</t>
  </si>
  <si>
    <t xml:space="preserve">info@maypenfc.jm</t>
  </si>
  <si>
    <t xml:space="preserve">Nicolas Martinez</t>
  </si>
  <si>
    <t xml:space="preserve">Bolivia Second Division - East</t>
  </si>
  <si>
    <t xml:space="preserve">Kwabena Owusu</t>
  </si>
  <si>
    <t xml:space="preserve">Sekondi United</t>
  </si>
  <si>
    <t xml:space="preserve">info@sekondiunited.gh</t>
  </si>
  <si>
    <t xml:space="preserve">Jan Zupan</t>
  </si>
  <si>
    <t xml:space="preserve">Slovenia Provincial League</t>
  </si>
  <si>
    <t xml:space="preserve">Klodian Shala</t>
  </si>
  <si>
    <t xml:space="preserve">Albania Second Division - West</t>
  </si>
  <si>
    <t xml:space="preserve">Durres United</t>
  </si>
  <si>
    <t xml:space="preserve">info@durresunited.al</t>
  </si>
  <si>
    <t xml:space="preserve">Damion Powell</t>
  </si>
  <si>
    <t xml:space="preserve">May Pen Wanderers</t>
  </si>
  <si>
    <t xml:space="preserve">info@maypenwanderers.jm</t>
  </si>
  <si>
    <t xml:space="preserve">Marko Ilic</t>
  </si>
  <si>
    <t xml:space="preserve">Montenegro Provincial League</t>
  </si>
  <si>
    <t xml:space="preserve">Danilovgrad Town</t>
  </si>
  <si>
    <t xml:space="preserve">info@danilovgradtown.me</t>
  </si>
  <si>
    <t xml:space="preserve">Franco Rodriguez</t>
  </si>
  <si>
    <t xml:space="preserve">Santa Cruz Athletic</t>
  </si>
  <si>
    <t xml:space="preserve">info@santacruzathletic.bo</t>
  </si>
  <si>
    <t xml:space="preserve">Eric Fotso</t>
  </si>
  <si>
    <t xml:space="preserve">Garoua Rangers</t>
  </si>
  <si>
    <t xml:space="preserve">info@garouarangers.cm</t>
  </si>
  <si>
    <t xml:space="preserve">Kwabena Boateng</t>
  </si>
  <si>
    <t xml:space="preserve">Agustin Pereira</t>
  </si>
  <si>
    <t xml:space="preserve">Max Kouassi</t>
  </si>
  <si>
    <t xml:space="preserve">Yamoussoukro FC</t>
  </si>
  <si>
    <t xml:space="preserve">info@yamoussoukrofc.ci</t>
  </si>
  <si>
    <t xml:space="preserve">Quang Vu</t>
  </si>
  <si>
    <t xml:space="preserve">Emmanuel Zulu</t>
  </si>
  <si>
    <t xml:space="preserve">Ndola Rovers</t>
  </si>
  <si>
    <t xml:space="preserve">info@ndolarovers.zm</t>
  </si>
  <si>
    <t xml:space="preserve">Bruno Rodriguez</t>
  </si>
  <si>
    <t xml:space="preserve">Paysandu Rangers</t>
  </si>
  <si>
    <t xml:space="preserve">info@paysandurangers.uy</t>
  </si>
  <si>
    <t xml:space="preserve">Carlos Castillo</t>
  </si>
  <si>
    <t xml:space="preserve">Heredia FC</t>
  </si>
  <si>
    <t xml:space="preserve">info@herediafc.cr</t>
  </si>
  <si>
    <t xml:space="preserve">Dusan Ilic</t>
  </si>
  <si>
    <t xml:space="preserve">Nis Rovers</t>
  </si>
  <si>
    <t xml:space="preserve">info@nisrovers.rs</t>
  </si>
  <si>
    <t xml:space="preserve">Shamar Reid</t>
  </si>
  <si>
    <t xml:space="preserve">May Pen SC</t>
  </si>
  <si>
    <t xml:space="preserve">info@maypensc.jm</t>
  </si>
  <si>
    <t xml:space="preserve">Maximiliano Pereira</t>
  </si>
  <si>
    <t xml:space="preserve">Uruguay Regional League</t>
  </si>
  <si>
    <t xml:space="preserve">Chai Sanguan</t>
  </si>
  <si>
    <t xml:space="preserve">Pongsak Wongsa</t>
  </si>
  <si>
    <t xml:space="preserve">Bangkok FC</t>
  </si>
  <si>
    <t xml:space="preserve">info@bangkokfc.th</t>
  </si>
  <si>
    <t xml:space="preserve">Igor Nikolic</t>
  </si>
  <si>
    <t xml:space="preserve">Budva Wanderers</t>
  </si>
  <si>
    <t xml:space="preserve">info@budvawanderers.me</t>
  </si>
  <si>
    <t xml:space="preserve">Erion Meta</t>
  </si>
  <si>
    <t xml:space="preserve">Elbasan United</t>
  </si>
  <si>
    <t xml:space="preserve">info@elbasanunited.al</t>
  </si>
  <si>
    <t xml:space="preserve">Franck Toure</t>
  </si>
  <si>
    <t xml:space="preserve">Ivory Coast Second Division - West</t>
  </si>
  <si>
    <t xml:space="preserve">Bruno Silva</t>
  </si>
  <si>
    <t xml:space="preserve">Rivera Rovers</t>
  </si>
  <si>
    <t xml:space="preserve">info@riverarovers.uy</t>
  </si>
  <si>
    <t xml:space="preserve">Haruto Tanaka</t>
  </si>
  <si>
    <t xml:space="preserve">Nagoya Athletic</t>
  </si>
  <si>
    <t xml:space="preserve">info@nagoyaathletic.jp</t>
  </si>
  <si>
    <t xml:space="preserve">Sora Sato</t>
  </si>
  <si>
    <t xml:space="preserve">Sendai Rovers</t>
  </si>
  <si>
    <t xml:space="preserve">info@sendairovers.jp</t>
  </si>
  <si>
    <t xml:space="preserve">Kelvin Mwansa</t>
  </si>
  <si>
    <t xml:space="preserve">Zambia Second Division - East</t>
  </si>
  <si>
    <t xml:space="preserve">Kitwe Town</t>
  </si>
  <si>
    <t xml:space="preserve">info@kitwetown.zm</t>
  </si>
  <si>
    <t xml:space="preserve">Anderson Perez</t>
  </si>
  <si>
    <t xml:space="preserve">Venezuela Reserve League</t>
  </si>
  <si>
    <t xml:space="preserve">Barquisimeto Athletic</t>
  </si>
  <si>
    <t xml:space="preserve">info@barquisimetoathletic.ve</t>
  </si>
  <si>
    <t xml:space="preserve">Klodian Duro</t>
  </si>
  <si>
    <t xml:space="preserve">Albania Second Division</t>
  </si>
  <si>
    <t xml:space="preserve">Tirana City</t>
  </si>
  <si>
    <t xml:space="preserve">info@tiranacity.al</t>
  </si>
  <si>
    <t xml:space="preserve">Roberts Ozols</t>
  </si>
  <si>
    <t xml:space="preserve">Latvia Reserve League</t>
  </si>
  <si>
    <t xml:space="preserve">Daugavpils SC</t>
  </si>
  <si>
    <t xml:space="preserve">info@daugavpilssc.lv</t>
  </si>
  <si>
    <t xml:space="preserve">Gentian Krasniqi</t>
  </si>
  <si>
    <t xml:space="preserve">Tirana Athletic</t>
  </si>
  <si>
    <t xml:space="preserve">info@tiranaathletic.al</t>
  </si>
  <si>
    <t xml:space="preserve">Luis Ramirez</t>
  </si>
  <si>
    <t xml:space="preserve">Heredia Town</t>
  </si>
  <si>
    <t xml:space="preserve">info@herediatown.cr</t>
  </si>
  <si>
    <t xml:space="preserve">Nika Gelashvili</t>
  </si>
  <si>
    <t xml:space="preserve">Georgia Provincial League</t>
  </si>
  <si>
    <t xml:space="preserve">Batumi Rovers</t>
  </si>
  <si>
    <t xml:space="preserve">info@batumirovers.ge</t>
  </si>
  <si>
    <t xml:space="preserve">Darko Angelovski</t>
  </si>
  <si>
    <t xml:space="preserve">North Macedonia Reserve League</t>
  </si>
  <si>
    <t xml:space="preserve">Negotino Rovers</t>
  </si>
  <si>
    <t xml:space="preserve">info@negotinorovers.mk</t>
  </si>
  <si>
    <t xml:space="preserve">Randall Campos</t>
  </si>
  <si>
    <t xml:space="preserve">Bruno Gonzalez</t>
  </si>
  <si>
    <t xml:space="preserve">Giorgi Lomidze</t>
  </si>
  <si>
    <t xml:space="preserve">Batumi FC</t>
  </si>
  <si>
    <t xml:space="preserve">info@batumifc.ge</t>
  </si>
  <si>
    <t xml:space="preserve">Edgars Berzins</t>
  </si>
  <si>
    <t xml:space="preserve">Liepaja City</t>
  </si>
  <si>
    <t xml:space="preserve">info@liepajacity.lv</t>
  </si>
  <si>
    <t xml:space="preserve">Uros Petrovic</t>
  </si>
  <si>
    <t xml:space="preserve">Cacak FC</t>
  </si>
  <si>
    <t xml:space="preserve">info@cacakfc.rs</t>
  </si>
  <si>
    <t xml:space="preserve">Igor Radovic</t>
  </si>
  <si>
    <t xml:space="preserve">Carlos Campos</t>
  </si>
  <si>
    <t xml:space="preserve">Costa Rica Reserve League</t>
  </si>
  <si>
    <t xml:space="preserve">San Jose City</t>
  </si>
  <si>
    <t xml:space="preserve">info@sanjosecity.cr</t>
  </si>
  <si>
    <t xml:space="preserve">Marek Pikk</t>
  </si>
  <si>
    <t xml:space="preserve">Parnu Wanderers</t>
  </si>
  <si>
    <t xml:space="preserve">info@parnuwanderers.ee</t>
  </si>
  <si>
    <t xml:space="preserve">Given Tembo</t>
  </si>
  <si>
    <t xml:space="preserve">Zambia Second Division - West</t>
  </si>
  <si>
    <t xml:space="preserve">Ndola Town</t>
  </si>
  <si>
    <t xml:space="preserve">info@ndolatown.zm</t>
  </si>
  <si>
    <t xml:space="preserve">Kristers Liepa</t>
  </si>
  <si>
    <t xml:space="preserve">Latvia Third Tier - South</t>
  </si>
  <si>
    <t xml:space="preserve">Riga City</t>
  </si>
  <si>
    <t xml:space="preserve">info@rigacity.lv</t>
  </si>
  <si>
    <t xml:space="preserve">Ha-joon Lee</t>
  </si>
  <si>
    <t xml:space="preserve">South Korea Second Division - West</t>
  </si>
  <si>
    <t xml:space="preserve">Daegu FC</t>
  </si>
  <si>
    <t xml:space="preserve">info@daegufc.kr</t>
  </si>
  <si>
    <t xml:space="preserve">Kristijan Mitrovski</t>
  </si>
  <si>
    <t xml:space="preserve">Stip Rangers</t>
  </si>
  <si>
    <t xml:space="preserve">info@stiprangers.mk</t>
  </si>
  <si>
    <t xml:space="preserve">Emmanuel Banda</t>
  </si>
  <si>
    <t xml:space="preserve">Zambia Regional League</t>
  </si>
  <si>
    <t xml:space="preserve">Livingstone United</t>
  </si>
  <si>
    <t xml:space="preserve">info@livingstoneunited.zm</t>
  </si>
  <si>
    <t xml:space="preserve">Blaze Stojanovski</t>
  </si>
  <si>
    <t xml:space="preserve">North Macedonia Second Division - East</t>
  </si>
  <si>
    <t xml:space="preserve">Tetovo SC</t>
  </si>
  <si>
    <t xml:space="preserve">info@tetovosc.mk</t>
  </si>
  <si>
    <t xml:space="preserve">Agustin Rodriguez</t>
  </si>
  <si>
    <t xml:space="preserve">Paysandu FC</t>
  </si>
  <si>
    <t xml:space="preserve">info@paysandufc.uy</t>
  </si>
  <si>
    <t xml:space="preserve">Federico Gonzalez</t>
  </si>
  <si>
    <t xml:space="preserve">Sardor Yusupov</t>
  </si>
  <si>
    <t xml:space="preserve">Uzbekistan Second Division</t>
  </si>
  <si>
    <t xml:space="preserve">Samarkand SC</t>
  </si>
  <si>
    <t xml:space="preserve">info@samarkandsc.uz</t>
  </si>
  <si>
    <t xml:space="preserve">Kofi Mensah</t>
  </si>
  <si>
    <t xml:space="preserve">Ghana Second Division</t>
  </si>
  <si>
    <t xml:space="preserve">Sekondi Town</t>
  </si>
  <si>
    <t xml:space="preserve">info@sekonditown.gh</t>
  </si>
  <si>
    <t xml:space="preserve">Filip Angelovski</t>
  </si>
  <si>
    <t xml:space="preserve">Ohrid Athletic</t>
  </si>
  <si>
    <t xml:space="preserve">info@ohridathletic.mk</t>
  </si>
  <si>
    <t xml:space="preserve">Kofi Agyemang</t>
  </si>
  <si>
    <t xml:space="preserve">Ghana Second Division - East</t>
  </si>
  <si>
    <t xml:space="preserve">Sekondi Rovers</t>
  </si>
  <si>
    <t xml:space="preserve">info@sekondirovers.gh</t>
  </si>
  <si>
    <t xml:space="preserve">Sherzod Yusupov</t>
  </si>
  <si>
    <t xml:space="preserve">Uzbekistan Regional League</t>
  </si>
  <si>
    <t xml:space="preserve">Samarkand Athletic</t>
  </si>
  <si>
    <t xml:space="preserve">info@samarkandathletic.uz</t>
  </si>
  <si>
    <t xml:space="preserve">Nattapong Srisawat</t>
  </si>
  <si>
    <t xml:space="preserve">Thailand Second Division</t>
  </si>
  <si>
    <t xml:space="preserve">Chiang Mai SC</t>
  </si>
  <si>
    <t xml:space="preserve">info@chiangmaisc.th</t>
  </si>
  <si>
    <t xml:space="preserve">Stefan Krstic</t>
  </si>
  <si>
    <t xml:space="preserve">Kraljevo City</t>
  </si>
  <si>
    <t xml:space="preserve">info@kraljevocity.rs</t>
  </si>
  <si>
    <t xml:space="preserve">Nicolas Rodriguez</t>
  </si>
  <si>
    <t xml:space="preserve">Santa Cruz Rangers</t>
  </si>
  <si>
    <t xml:space="preserve">info@santacruzrangers.bo</t>
  </si>
  <si>
    <t xml:space="preserve">Matias Gonzalez</t>
  </si>
  <si>
    <t xml:space="preserve">Paraguay Third Tier - South</t>
  </si>
  <si>
    <t xml:space="preserve">Asuncion Town</t>
  </si>
  <si>
    <t xml:space="preserve">info@asunciontown.py</t>
  </si>
  <si>
    <t xml:space="preserve">Chanda Tembo</t>
  </si>
  <si>
    <t xml:space="preserve">Zambia Third Tier - South</t>
  </si>
  <si>
    <t xml:space="preserve">Ndola United</t>
  </si>
  <si>
    <t xml:space="preserve">info@ndolaunited.zm</t>
  </si>
  <si>
    <t xml:space="preserve">Stefan Jovanovic</t>
  </si>
  <si>
    <t xml:space="preserve">Serbia Reserve League</t>
  </si>
  <si>
    <t xml:space="preserve">Josip Novak</t>
  </si>
  <si>
    <t xml:space="preserve">Croatia Provincial League</t>
  </si>
  <si>
    <t xml:space="preserve">Zagreb Wanderers</t>
  </si>
  <si>
    <t xml:space="preserve">info@zagrebwanderers.hr</t>
  </si>
  <si>
    <t xml:space="preserve">Jefferson Zambrano</t>
  </si>
  <si>
    <t xml:space="preserve">Ecuador Second Division - West</t>
  </si>
  <si>
    <t xml:space="preserve">Igor Trajkovski</t>
  </si>
  <si>
    <t xml:space="preserve">North Macedonia Third Tier - North</t>
  </si>
  <si>
    <t xml:space="preserve">Devon Brown</t>
  </si>
  <si>
    <t xml:space="preserve">Montego Bay Rangers</t>
  </si>
  <si>
    <t xml:space="preserve">info@montegobayrangers.jm</t>
  </si>
  <si>
    <t xml:space="preserve">Rok Krajnc</t>
  </si>
  <si>
    <t xml:space="preserve">Slovenia Reserve League</t>
  </si>
  <si>
    <t xml:space="preserve">Kranj Town</t>
  </si>
  <si>
    <t xml:space="preserve">info@kranjtown.si</t>
  </si>
  <si>
    <t xml:space="preserve">Andre Onana</t>
  </si>
  <si>
    <t xml:space="preserve">Cameroon Reserve League</t>
  </si>
  <si>
    <t xml:space="preserve">Bafoussam Town</t>
  </si>
  <si>
    <t xml:space="preserve">info@bafoussamtown.cm</t>
  </si>
  <si>
    <t xml:space="preserve">Uros Nikolic</t>
  </si>
  <si>
    <t xml:space="preserve">Serbia Third Tier - North</t>
  </si>
  <si>
    <t xml:space="preserve">Kraljevo United</t>
  </si>
  <si>
    <t xml:space="preserve">info@kraljevounited.rs</t>
  </si>
  <si>
    <t xml:space="preserve">Modibo Coulibaly</t>
  </si>
  <si>
    <t xml:space="preserve">Sikasso Wanderers</t>
  </si>
  <si>
    <t xml:space="preserve">info@sikassowanderers.ml</t>
  </si>
  <si>
    <t xml:space="preserve">Karlo Kovac</t>
  </si>
  <si>
    <t xml:space="preserve">Zagreb Rovers</t>
  </si>
  <si>
    <t xml:space="preserve">info@zagrebrovers.hr</t>
  </si>
  <si>
    <t xml:space="preserve">Sekou Sidibe</t>
  </si>
  <si>
    <t xml:space="preserve">Bledi Shala</t>
  </si>
  <si>
    <t xml:space="preserve">Albania Third Tier - South</t>
  </si>
  <si>
    <t xml:space="preserve">Shkoder Town</t>
  </si>
  <si>
    <t xml:space="preserve">info@shkodertown.al</t>
  </si>
  <si>
    <t xml:space="preserve">Diyorbek Tashkentov</t>
  </si>
  <si>
    <t xml:space="preserve">Bukhara United</t>
  </si>
  <si>
    <t xml:space="preserve">info@bukharaunited.uz</t>
  </si>
  <si>
    <t xml:space="preserve">Given Banda</t>
  </si>
  <si>
    <t xml:space="preserve">Livingstone Rangers</t>
  </si>
  <si>
    <t xml:space="preserve">info@livingstonerangers.zm</t>
  </si>
  <si>
    <t xml:space="preserve">Emmanuel Agyemang</t>
  </si>
  <si>
    <t xml:space="preserve">Tamale Athletic</t>
  </si>
  <si>
    <t xml:space="preserve">info@tamaleathletic.gh</t>
  </si>
  <si>
    <t xml:space="preserve">Santiago Torres</t>
  </si>
  <si>
    <t xml:space="preserve">Bolivia Regional League</t>
  </si>
  <si>
    <t xml:space="preserve">Santa Cruz Rovers</t>
  </si>
  <si>
    <t xml:space="preserve">info@santacruzrovers.bo</t>
  </si>
  <si>
    <t xml:space="preserve">Oumar Keita</t>
  </si>
  <si>
    <t xml:space="preserve">Mali Second Division</t>
  </si>
  <si>
    <t xml:space="preserve">Gonzalo Torres</t>
  </si>
  <si>
    <t xml:space="preserve">Jose Torres</t>
  </si>
  <si>
    <t xml:space="preserve">Panama Third Tier - North</t>
  </si>
  <si>
    <t xml:space="preserve">Panama City Town</t>
  </si>
  <si>
    <t xml:space="preserve">info@panamacitytown.pa</t>
  </si>
  <si>
    <t xml:space="preserve">Filip Mitrovski</t>
  </si>
  <si>
    <t xml:space="preserve">North Macedonia Third Tier - South</t>
  </si>
  <si>
    <t xml:space="preserve">Andre Njie</t>
  </si>
  <si>
    <t xml:space="preserve">Domagoj Kovac</t>
  </si>
  <si>
    <t xml:space="preserve">Osijek FC</t>
  </si>
  <si>
    <t xml:space="preserve">info@osijekfc.hr</t>
  </si>
  <si>
    <t xml:space="preserve">Kevin Suarez</t>
  </si>
  <si>
    <t xml:space="preserve">Ecuador Third Tier - North</t>
  </si>
  <si>
    <t xml:space="preserve">Manta Wanderers</t>
  </si>
  <si>
    <t xml:space="preserve">info@mantawanderers.ec</t>
  </si>
  <si>
    <t xml:space="preserve">Modibo Sidibe</t>
  </si>
  <si>
    <t xml:space="preserve">Mali Second Division - West</t>
  </si>
  <si>
    <t xml:space="preserve">Mopti SC</t>
  </si>
  <si>
    <t xml:space="preserve">info@moptisc.ml</t>
  </si>
  <si>
    <t xml:space="preserve">Federico Acosta</t>
  </si>
  <si>
    <t xml:space="preserve">Uruguay Amateur League</t>
  </si>
  <si>
    <t xml:space="preserve">Rivera SC</t>
  </si>
  <si>
    <t xml:space="preserve">info@riverasc.uy</t>
  </si>
  <si>
    <t xml:space="preserve">Ethan Mitchell</t>
  </si>
  <si>
    <t xml:space="preserve">Auckland Rangers</t>
  </si>
  <si>
    <t xml:space="preserve">info@aucklandrangers.nz</t>
  </si>
  <si>
    <t xml:space="preserve">Karlo Novak</t>
  </si>
  <si>
    <t xml:space="preserve">Croatia Second Division - East</t>
  </si>
  <si>
    <t xml:space="preserve">Belisce Athletic</t>
  </si>
  <si>
    <t xml:space="preserve">info@belisceathletic.hr</t>
  </si>
  <si>
    <t xml:space="preserve">Mustafa Abbas</t>
  </si>
  <si>
    <t xml:space="preserve">Iraq Third Tier - South</t>
  </si>
  <si>
    <t xml:space="preserve">Erbil Rangers</t>
  </si>
  <si>
    <t xml:space="preserve">info@erbilrangers.iq</t>
  </si>
  <si>
    <t xml:space="preserve">Nattapong Wongsa</t>
  </si>
  <si>
    <t xml:space="preserve">Thailand Third Tier - South</t>
  </si>
  <si>
    <t xml:space="preserve">Nonthaburi Rangers</t>
  </si>
  <si>
    <t xml:space="preserve">info@nonthaburirangers.th</t>
  </si>
  <si>
    <t xml:space="preserve">Esteban Vargas</t>
  </si>
  <si>
    <t xml:space="preserve">Heredia Athletic</t>
  </si>
  <si>
    <t xml:space="preserve">info@herediaathletic.cr</t>
  </si>
  <si>
    <t xml:space="preserve">Irakli Kapanadze</t>
  </si>
  <si>
    <t xml:space="preserve">Batumi Town</t>
  </si>
  <si>
    <t xml:space="preserve">info@batumitown.ge</t>
  </si>
  <si>
    <t xml:space="preserve">Giorgi Kapanadze</t>
  </si>
  <si>
    <t xml:space="preserve">Kutaisi Town</t>
  </si>
  <si>
    <t xml:space="preserve">info@kutaisitown.ge</t>
  </si>
  <si>
    <t xml:space="preserve">Arturs Berzins</t>
  </si>
  <si>
    <t xml:space="preserve">Riga United</t>
  </si>
  <si>
    <t xml:space="preserve">info@rigaunited.lv</t>
  </si>
  <si>
    <t xml:space="preserve">Ji-ho Kim</t>
  </si>
  <si>
    <t xml:space="preserve">South Korea Reserve League</t>
  </si>
  <si>
    <t xml:space="preserve">Daejeon Athletic</t>
  </si>
  <si>
    <t xml:space="preserve">info@daejeonathletic.kr</t>
  </si>
  <si>
    <t xml:space="preserve">Wilfried Kone</t>
  </si>
  <si>
    <t xml:space="preserve">San Pedro FC</t>
  </si>
  <si>
    <t xml:space="preserve">info@sanpedrofc.ci</t>
  </si>
  <si>
    <t xml:space="preserve">Sebastian Cardozo</t>
  </si>
  <si>
    <t xml:space="preserve">Encarnacion Wanderers</t>
  </si>
  <si>
    <t xml:space="preserve">info@encarnacionwanderers.py</t>
  </si>
  <si>
    <t xml:space="preserve">Saba Lomidze</t>
  </si>
  <si>
    <t xml:space="preserve">Batumi City</t>
  </si>
  <si>
    <t xml:space="preserve">info@batumicity.ge</t>
  </si>
  <si>
    <t xml:space="preserve">Sora Suzuki</t>
  </si>
  <si>
    <t xml:space="preserve">Japan Amateur League</t>
  </si>
  <si>
    <t xml:space="preserve">Sendai SC</t>
  </si>
  <si>
    <t xml:space="preserve">info@sendaisc.jp</t>
  </si>
  <si>
    <t xml:space="preserve">Marlon Elvir</t>
  </si>
  <si>
    <t xml:space="preserve">Honduras Reserve League</t>
  </si>
  <si>
    <t xml:space="preserve">La Ceiba Town</t>
  </si>
  <si>
    <t xml:space="preserve">info@laceibatown.hn</t>
  </si>
  <si>
    <t xml:space="preserve">Ji-ho Jung</t>
  </si>
  <si>
    <t xml:space="preserve">Busan United</t>
  </si>
  <si>
    <t xml:space="preserve">info@busanunited.kr</t>
  </si>
  <si>
    <t xml:space="preserve">Vuk Perovic</t>
  </si>
  <si>
    <t xml:space="preserve">Montenegro Third Tier - South</t>
  </si>
  <si>
    <t xml:space="preserve">Danilovgrad United</t>
  </si>
  <si>
    <t xml:space="preserve">info@danilovgradunited.me</t>
  </si>
  <si>
    <t xml:space="preserve">Ali Kareem</t>
  </si>
  <si>
    <t xml:space="preserve">Baghdad Wanderers</t>
  </si>
  <si>
    <t xml:space="preserve">info@baghdadwanderers.iq</t>
  </si>
  <si>
    <t xml:space="preserve">Rasmus Pikk</t>
  </si>
  <si>
    <t xml:space="preserve">Parnu United</t>
  </si>
  <si>
    <t xml:space="preserve">info@parnuunited.ee</t>
  </si>
  <si>
    <t xml:space="preserve">Ji-ho Choi</t>
  </si>
  <si>
    <t xml:space="preserve">Daejeon SC</t>
  </si>
  <si>
    <t xml:space="preserve">info@daejeonsc.kr</t>
  </si>
  <si>
    <t xml:space="preserve">Stefan Karlsson</t>
  </si>
  <si>
    <t xml:space="preserve">Iceland Third Tier - South</t>
  </si>
  <si>
    <t xml:space="preserve">Reykjavik Athletic</t>
  </si>
  <si>
    <t xml:space="preserve">info@reykjavikathletic.is</t>
  </si>
  <si>
    <t xml:space="preserve">Mwansa Banda</t>
  </si>
  <si>
    <t xml:space="preserve">Zambia Third Tier - North</t>
  </si>
  <si>
    <t xml:space="preserve">Jesus Gonzalez</t>
  </si>
  <si>
    <t xml:space="preserve">Caracas Wanderers</t>
  </si>
  <si>
    <t xml:space="preserve">info@caracaswanderers.ve</t>
  </si>
  <si>
    <t xml:space="preserve">Janis Vitols</t>
  </si>
  <si>
    <t xml:space="preserve">Diego Fernandez</t>
  </si>
  <si>
    <t xml:space="preserve">Sucre Town</t>
  </si>
  <si>
    <t xml:space="preserve">info@sucretown.bo</t>
  </si>
  <si>
    <t xml:space="preserve">Wesly Elvir</t>
  </si>
  <si>
    <t xml:space="preserve">Tegucigalpa Rovers</t>
  </si>
  <si>
    <t xml:space="preserve">info@tegucigalparovers.hn</t>
  </si>
  <si>
    <t xml:space="preserve">Luka Horvat</t>
  </si>
  <si>
    <t xml:space="preserve">Koper SC</t>
  </si>
  <si>
    <t xml:space="preserve">info@kopersc.si</t>
  </si>
  <si>
    <t xml:space="preserve">Stefan Petrovic</t>
  </si>
  <si>
    <t xml:space="preserve">Dobanovci Rovers</t>
  </si>
  <si>
    <t xml:space="preserve">info@dobanovcirovers.rs</t>
  </si>
  <si>
    <t xml:space="preserve">Kemar Powell</t>
  </si>
  <si>
    <t xml:space="preserve">Spanish Town FC</t>
  </si>
  <si>
    <t xml:space="preserve">info@spanishtownfc.jm</t>
  </si>
  <si>
    <t xml:space="preserve">Anthony Suarez</t>
  </si>
  <si>
    <t xml:space="preserve">Kristijan Ristovski</t>
  </si>
  <si>
    <t xml:space="preserve">Stip City</t>
  </si>
  <si>
    <t xml:space="preserve">info@stipcity.mk</t>
  </si>
  <si>
    <t xml:space="preserve">Marlon Figueroa</t>
  </si>
  <si>
    <t xml:space="preserve">Carlos Zambrano</t>
  </si>
  <si>
    <t xml:space="preserve">Quito FC</t>
  </si>
  <si>
    <t xml:space="preserve">info@quitofc.ec</t>
  </si>
  <si>
    <t xml:space="preserve">Nicolas Pereira</t>
  </si>
  <si>
    <t xml:space="preserve">Montevideo Athletic</t>
  </si>
  <si>
    <t xml:space="preserve">info@montevideoathletic.uy</t>
  </si>
  <si>
    <t xml:space="preserve">Andre Fotso</t>
  </si>
  <si>
    <t xml:space="preserve">Cameroon Provincial League</t>
  </si>
  <si>
    <t xml:space="preserve">Douala Rangers</t>
  </si>
  <si>
    <t xml:space="preserve">info@doualarangers.cm</t>
  </si>
  <si>
    <t xml:space="preserve">Mwansa Sakala</t>
  </si>
  <si>
    <t xml:space="preserve">Zambia Provincial League</t>
  </si>
  <si>
    <t xml:space="preserve">Yaw Mensah</t>
  </si>
  <si>
    <t xml:space="preserve">Accra Rovers</t>
  </si>
  <si>
    <t xml:space="preserve">info@accrarovers.gh</t>
  </si>
  <si>
    <t xml:space="preserve">Moussa Ndiaye</t>
  </si>
  <si>
    <t xml:space="preserve">Senegal Second Division</t>
  </si>
  <si>
    <t xml:space="preserve">Fidel Perez</t>
  </si>
  <si>
    <t xml:space="preserve">Colon FC</t>
  </si>
  <si>
    <t xml:space="preserve">info@colonfc.pa</t>
  </si>
  <si>
    <t xml:space="preserve">Kristers Berzins</t>
  </si>
  <si>
    <t xml:space="preserve">Jasur Rashidov</t>
  </si>
  <si>
    <t xml:space="preserve">Samarkand Town</t>
  </si>
  <si>
    <t xml:space="preserve">info@samarkandtown.uz</t>
  </si>
  <si>
    <t xml:space="preserve">Levan Kapanadze</t>
  </si>
  <si>
    <t xml:space="preserve">Georgia Regional League</t>
  </si>
  <si>
    <t xml:space="preserve">Kutaisi SC</t>
  </si>
  <si>
    <t xml:space="preserve">info@kutaisisc.ge</t>
  </si>
  <si>
    <t xml:space="preserve">Anderson Martinez</t>
  </si>
  <si>
    <t xml:space="preserve">Valencia United</t>
  </si>
  <si>
    <t xml:space="preserve">info@valenciaunited.ve</t>
  </si>
  <si>
    <t xml:space="preserve">Ardit Duro</t>
  </si>
  <si>
    <t xml:space="preserve">Tirana United</t>
  </si>
  <si>
    <t xml:space="preserve">info@tiranaunited.al</t>
  </si>
  <si>
    <t xml:space="preserve">Souleymane Traore</t>
  </si>
  <si>
    <t xml:space="preserve">Sikasso SC</t>
  </si>
  <si>
    <t xml:space="preserve">info@sikassosc.ml</t>
  </si>
  <si>
    <t xml:space="preserve">Kemar Bailey</t>
  </si>
  <si>
    <t xml:space="preserve">May Pen Rovers</t>
  </si>
  <si>
    <t xml:space="preserve">info@maypenrovers.jm</t>
  </si>
  <si>
    <t xml:space="preserve">Ousmane Faye</t>
  </si>
  <si>
    <t xml:space="preserve">Ziguinchor City</t>
  </si>
  <si>
    <t xml:space="preserve">info@ziguinchorcity.sn</t>
  </si>
  <si>
    <t xml:space="preserve">Ousmane Diop</t>
  </si>
  <si>
    <t xml:space="preserve">Thies SC</t>
  </si>
  <si>
    <t xml:space="preserve">info@thiessc.sn</t>
  </si>
  <si>
    <t xml:space="preserve">Filip Ristovski</t>
  </si>
  <si>
    <t xml:space="preserve">Stip Rovers</t>
  </si>
  <si>
    <t xml:space="preserve">info@stiprovers.mk</t>
  </si>
  <si>
    <t xml:space="preserve">Irakli Lomidze</t>
  </si>
  <si>
    <t xml:space="preserve">Georgia Second Division</t>
  </si>
  <si>
    <t xml:space="preserve">Rustavi Town</t>
  </si>
  <si>
    <t xml:space="preserve">info@rustavitown.ge</t>
  </si>
  <si>
    <t xml:space="preserve">Sardor Karimov</t>
  </si>
  <si>
    <t xml:space="preserve">Federico Ferreira</t>
  </si>
  <si>
    <t xml:space="preserve">Paysandu Athletic</t>
  </si>
  <si>
    <t xml:space="preserve">info@paysanduathletic.uy</t>
  </si>
  <si>
    <t xml:space="preserve">Max Diabate</t>
  </si>
  <si>
    <t xml:space="preserve">Yamoussoukro Rovers</t>
  </si>
  <si>
    <t xml:space="preserve">info@yamoussoukrorovers.ci</t>
  </si>
  <si>
    <t xml:space="preserve">Mamadou Sow</t>
  </si>
  <si>
    <t xml:space="preserve">Saint-Louis Town</t>
  </si>
  <si>
    <t xml:space="preserve">info@saintlouistown.sn</t>
  </si>
  <si>
    <t xml:space="preserve">Haruto Takahashi</t>
  </si>
  <si>
    <t xml:space="preserve">Igor Naumovski</t>
  </si>
  <si>
    <t xml:space="preserve">Stip Athletic</t>
  </si>
  <si>
    <t xml:space="preserve">info@stipathletic.mk</t>
  </si>
  <si>
    <t xml:space="preserve">Giorgi Beridze</t>
  </si>
  <si>
    <t xml:space="preserve">Batumi SC</t>
  </si>
  <si>
    <t xml:space="preserve">info@batumisc.ge</t>
  </si>
  <si>
    <t xml:space="preserve">Esteban Campos</t>
  </si>
  <si>
    <t xml:space="preserve">Didier Traore</t>
  </si>
  <si>
    <t xml:space="preserve">Abidjan Town</t>
  </si>
  <si>
    <t xml:space="preserve">info@abidjantown.ci</t>
  </si>
  <si>
    <t xml:space="preserve">Jean Njie</t>
  </si>
  <si>
    <t xml:space="preserve">Cameroon Third Tier - South</t>
  </si>
  <si>
    <t xml:space="preserve">Jon Olafsson</t>
  </si>
  <si>
    <t xml:space="preserve">Vestmannaeyjar Town</t>
  </si>
  <si>
    <t xml:space="preserve">info@vestmannaeyjartown.is</t>
  </si>
  <si>
    <t xml:space="preserve">Nika Beridze</t>
  </si>
  <si>
    <t xml:space="preserve">Matias Ramirez</t>
  </si>
  <si>
    <t xml:space="preserve">Paraguay Provincial League</t>
  </si>
  <si>
    <t xml:space="preserve">Sekou Coulibaly</t>
  </si>
  <si>
    <t xml:space="preserve">Kayes SC</t>
  </si>
  <si>
    <t xml:space="preserve">info@kayessc.ml</t>
  </si>
  <si>
    <t xml:space="preserve">Nika Lomidze</t>
  </si>
  <si>
    <t xml:space="preserve">Nejc Horvat</t>
  </si>
  <si>
    <t xml:space="preserve">Celje Town</t>
  </si>
  <si>
    <t xml:space="preserve">info@celjetown.si</t>
  </si>
  <si>
    <t xml:space="preserve">Blaze Trajkovski</t>
  </si>
  <si>
    <t xml:space="preserve">Hussein Hassan</t>
  </si>
  <si>
    <t xml:space="preserve">Iraq Reserve League</t>
  </si>
  <si>
    <t xml:space="preserve">Najaf Rovers</t>
  </si>
  <si>
    <t xml:space="preserve">info@najafrovers.iq</t>
  </si>
  <si>
    <t xml:space="preserve">Erion Hoxha</t>
  </si>
  <si>
    <t xml:space="preserve">Vlore SC</t>
  </si>
  <si>
    <t xml:space="preserve">info@vloresc.al</t>
  </si>
  <si>
    <t xml:space="preserve">Kwabena Agyemang</t>
  </si>
  <si>
    <t xml:space="preserve">Tamale FC</t>
  </si>
  <si>
    <t xml:space="preserve">info@tamalefc.gh</t>
  </si>
  <si>
    <t xml:space="preserve">Sardor Yuldashev</t>
  </si>
  <si>
    <t xml:space="preserve">Andijan Wanderers</t>
  </si>
  <si>
    <t xml:space="preserve">info@andijanwanderers.uz</t>
  </si>
  <si>
    <t xml:space="preserve">Noah Mitchell</t>
  </si>
  <si>
    <t xml:space="preserve">New Zealand Provincial League</t>
  </si>
  <si>
    <t xml:space="preserve">Christchurch Athletic</t>
  </si>
  <si>
    <t xml:space="preserve">info@christchurchathletic.nz</t>
  </si>
  <si>
    <t xml:space="preserve">Ha-joon Park</t>
  </si>
  <si>
    <t xml:space="preserve">Duc Nguyen</t>
  </si>
  <si>
    <t xml:space="preserve">Nicolas Gonzalez</t>
  </si>
  <si>
    <t xml:space="preserve">Ibrahim Appiah</t>
  </si>
  <si>
    <t xml:space="preserve">Accra SC</t>
  </si>
  <si>
    <t xml:space="preserve">info@accrasc.gh</t>
  </si>
  <si>
    <t xml:space="preserve">Ahmed Salim</t>
  </si>
  <si>
    <t xml:space="preserve">Olafur Karlsson</t>
  </si>
  <si>
    <t xml:space="preserve">Anthony Mejia</t>
  </si>
  <si>
    <t xml:space="preserve">Eric Etoo</t>
  </si>
  <si>
    <t xml:space="preserve">Douala City</t>
  </si>
  <si>
    <t xml:space="preserve">info@doualacity.cm</t>
  </si>
  <si>
    <t xml:space="preserve">Irakli Gelashvili</t>
  </si>
  <si>
    <t xml:space="preserve">Tbilisi Wanderers</t>
  </si>
  <si>
    <t xml:space="preserve">info@tbilisiwanderers.ge</t>
  </si>
  <si>
    <t xml:space="preserve">Shamar Campbell</t>
  </si>
  <si>
    <t xml:space="preserve">Montego Bay FC</t>
  </si>
  <si>
    <t xml:space="preserve">info@montegobayfc.jm</t>
  </si>
  <si>
    <t xml:space="preserve">Marek Saar</t>
  </si>
  <si>
    <t xml:space="preserve">Estonia Amateur League</t>
  </si>
  <si>
    <t xml:space="preserve">Tartu City</t>
  </si>
  <si>
    <t xml:space="preserve">info@tartucity.ee</t>
  </si>
  <si>
    <t xml:space="preserve">Jack Mitchell</t>
  </si>
  <si>
    <t xml:space="preserve">Auckland Wanderers</t>
  </si>
  <si>
    <t xml:space="preserve">info@aucklandwanderers.nz</t>
  </si>
  <si>
    <t xml:space="preserve">Kristers Ozols</t>
  </si>
  <si>
    <t xml:space="preserve">Latvia Amateur League</t>
  </si>
  <si>
    <t xml:space="preserve">Riga Rangers</t>
  </si>
  <si>
    <t xml:space="preserve">info@rigarangers.lv</t>
  </si>
  <si>
    <t xml:space="preserve">Ante Barisic</t>
  </si>
  <si>
    <t xml:space="preserve">Jose Ramirez</t>
  </si>
  <si>
    <t xml:space="preserve">Heredia SC</t>
  </si>
  <si>
    <t xml:space="preserve">info@herediasc.cr</t>
  </si>
  <si>
    <t xml:space="preserve">Agustin Acosta</t>
  </si>
  <si>
    <t xml:space="preserve">Salto Athletic</t>
  </si>
  <si>
    <t xml:space="preserve">info@saltoathletic.uy</t>
  </si>
  <si>
    <t xml:space="preserve">Oumar Coulibaly</t>
  </si>
  <si>
    <t xml:space="preserve">Tim Krajnc</t>
  </si>
  <si>
    <t xml:space="preserve">Maribor Athletic</t>
  </si>
  <si>
    <t xml:space="preserve">info@mariborathletic.si</t>
  </si>
  <si>
    <t xml:space="preserve">Bekzod Rashidov</t>
  </si>
  <si>
    <t xml:space="preserve">Bukhara City</t>
  </si>
  <si>
    <t xml:space="preserve">info@bukharacity.uz</t>
  </si>
  <si>
    <t xml:space="preserve">Karim Mahmoud</t>
  </si>
  <si>
    <t xml:space="preserve">Basra Rangers</t>
  </si>
  <si>
    <t xml:space="preserve">info@basrarangers.iq</t>
  </si>
  <si>
    <t xml:space="preserve">Abdoulaye Gueye</t>
  </si>
  <si>
    <t xml:space="preserve">Saint-Louis United</t>
  </si>
  <si>
    <t xml:space="preserve">info@saintlouisunited.sn</t>
  </si>
  <si>
    <t xml:space="preserve">Yves Bamba</t>
  </si>
  <si>
    <t xml:space="preserve">Min-jun Choi</t>
  </si>
  <si>
    <t xml:space="preserve">Daegu Wanderers</t>
  </si>
  <si>
    <t xml:space="preserve">info@daeguwanderers.kr</t>
  </si>
  <si>
    <t xml:space="preserve">Kwame Asante</t>
  </si>
  <si>
    <t xml:space="preserve">Sardor Rashidov</t>
  </si>
  <si>
    <t xml:space="preserve">Andijan United</t>
  </si>
  <si>
    <t xml:space="preserve">info@andijanunited.uz</t>
  </si>
  <si>
    <t xml:space="preserve">Jose Vargas</t>
  </si>
  <si>
    <t xml:space="preserve">Bakary Coulibaly</t>
  </si>
  <si>
    <t xml:space="preserve">Milos Vukotic</t>
  </si>
  <si>
    <t xml:space="preserve">Montenegro Second Division - East</t>
  </si>
  <si>
    <t xml:space="preserve">Budva Rangers</t>
  </si>
  <si>
    <t xml:space="preserve">info@budvarangers.me</t>
  </si>
  <si>
    <t xml:space="preserve">Jan Kranjc</t>
  </si>
  <si>
    <t xml:space="preserve">Vuk Nikolic</t>
  </si>
  <si>
    <t xml:space="preserve">Montenegro Second Division</t>
  </si>
  <si>
    <t xml:space="preserve">Matias Lopez</t>
  </si>
  <si>
    <t xml:space="preserve">Paraguay Third Tier - North</t>
  </si>
  <si>
    <t xml:space="preserve">Luque FC</t>
  </si>
  <si>
    <t xml:space="preserve">info@luquefc.py</t>
  </si>
  <si>
    <t xml:space="preserve">Ji-ho Lee</t>
  </si>
  <si>
    <t xml:space="preserve">South Korea Provincial League</t>
  </si>
  <si>
    <t xml:space="preserve">Daegu Town</t>
  </si>
  <si>
    <t xml:space="preserve">info@daegutown.kr</t>
  </si>
  <si>
    <t xml:space="preserve">Junior Hernandez</t>
  </si>
  <si>
    <t xml:space="preserve">Venezuela Second Division - East</t>
  </si>
  <si>
    <t xml:space="preserve">Ardit Bardhi</t>
  </si>
  <si>
    <t xml:space="preserve">Facundo Pereira</t>
  </si>
  <si>
    <t xml:space="preserve">Rivera Rangers</t>
  </si>
  <si>
    <t xml:space="preserve">info@riverarangers.uy</t>
  </si>
  <si>
    <t xml:space="preserve">Amadou Traore</t>
  </si>
  <si>
    <t xml:space="preserve">Sikasso Rangers</t>
  </si>
  <si>
    <t xml:space="preserve">info@sikassorangers.ml</t>
  </si>
  <si>
    <t xml:space="preserve">Enock Phiri</t>
  </si>
  <si>
    <t xml:space="preserve">Ndola Rangers</t>
  </si>
  <si>
    <t xml:space="preserve">info@ndolarangers.zm</t>
  </si>
  <si>
    <t xml:space="preserve">Roberts Kalns</t>
  </si>
  <si>
    <t xml:space="preserve">Andri Halldorsson</t>
  </si>
  <si>
    <t xml:space="preserve">Christian Njie</t>
  </si>
  <si>
    <t xml:space="preserve">Wuilker Hernandez</t>
  </si>
  <si>
    <t xml:space="preserve">Cheikh Faye</t>
  </si>
  <si>
    <t xml:space="preserve">Dakar United</t>
  </si>
  <si>
    <t xml:space="preserve">info@dakarunited.sn</t>
  </si>
  <si>
    <t xml:space="preserve">Roberts Berzins</t>
  </si>
  <si>
    <t xml:space="preserve">Franck Diabate</t>
  </si>
  <si>
    <t xml:space="preserve">Ali Hassan</t>
  </si>
  <si>
    <t xml:space="preserve">Kemar Reid</t>
  </si>
  <si>
    <t xml:space="preserve">Jamaica Third Tier - North</t>
  </si>
  <si>
    <t xml:space="preserve">Darko Trajkovski</t>
  </si>
  <si>
    <t xml:space="preserve">Maximiliano Acosta</t>
  </si>
  <si>
    <t xml:space="preserve">Karl Mets</t>
  </si>
  <si>
    <t xml:space="preserve">Estonia Reserve League</t>
  </si>
  <si>
    <t xml:space="preserve">Parnu Rovers</t>
  </si>
  <si>
    <t xml:space="preserve">info@parnurovers.ee</t>
  </si>
  <si>
    <t xml:space="preserve">Devon Reid</t>
  </si>
  <si>
    <t xml:space="preserve">Jamaica Regional League</t>
  </si>
  <si>
    <t xml:space="preserve">Spanish Town United</t>
  </si>
  <si>
    <t xml:space="preserve">info@spanishtownunited.jm</t>
  </si>
  <si>
    <t xml:space="preserve">Andre Brown</t>
  </si>
  <si>
    <t xml:space="preserve">Pongsak Sanguan</t>
  </si>
  <si>
    <t xml:space="preserve">Thailand Provincial League</t>
  </si>
  <si>
    <t xml:space="preserve">Nonthaburi SC</t>
  </si>
  <si>
    <t xml:space="preserve">info@nonthaburisc.th</t>
  </si>
  <si>
    <t xml:space="preserve">Andrej Ilic</t>
  </si>
  <si>
    <t xml:space="preserve">Berane United</t>
  </si>
  <si>
    <t xml:space="preserve">info@beraneunited.me</t>
  </si>
  <si>
    <t xml:space="preserve">Edgars Ozols</t>
  </si>
  <si>
    <t xml:space="preserve">Jelgava SC</t>
  </si>
  <si>
    <t xml:space="preserve">info@jelgavasc.lv</t>
  </si>
  <si>
    <t xml:space="preserve">Minh Le</t>
  </si>
  <si>
    <t xml:space="preserve">Hai Phong City</t>
  </si>
  <si>
    <t xml:space="preserve">info@haiphongcity.vn</t>
  </si>
  <si>
    <t xml:space="preserve">Jasur Tashkentov</t>
  </si>
  <si>
    <t xml:space="preserve">Samarkand City</t>
  </si>
  <si>
    <t xml:space="preserve">info@samarkandcity.uz</t>
  </si>
  <si>
    <t xml:space="preserve">Emmanuel Appiah</t>
  </si>
  <si>
    <t xml:space="preserve">Gunnar Bjornsson</t>
  </si>
  <si>
    <t xml:space="preserve">Hafnarfjordur FC</t>
  </si>
  <si>
    <t xml:space="preserve">info@hafnarfjordurfc.is</t>
  </si>
  <si>
    <t xml:space="preserve">Ethan Smith</t>
  </si>
  <si>
    <t xml:space="preserve">Esteban Ramirez</t>
  </si>
  <si>
    <t xml:space="preserve">Costa Rica Third Tier - North</t>
  </si>
  <si>
    <t xml:space="preserve">Karim Kareem</t>
  </si>
  <si>
    <t xml:space="preserve">Otabek Yuldashev</t>
  </si>
  <si>
    <t xml:space="preserve">Uzbekistan Amateur League</t>
  </si>
  <si>
    <t xml:space="preserve">Ousmane Diallo</t>
  </si>
  <si>
    <t xml:space="preserve">Nicolas Torres</t>
  </si>
  <si>
    <t xml:space="preserve">Junior Rojas</t>
  </si>
  <si>
    <t xml:space="preserve">Goran Mitrovski</t>
  </si>
  <si>
    <t xml:space="preserve">Tetovo City</t>
  </si>
  <si>
    <t xml:space="preserve">info@tetovocity.mk</t>
  </si>
  <si>
    <t xml:space="preserve">Marek Tamm</t>
  </si>
  <si>
    <t xml:space="preserve">Narva Rangers</t>
  </si>
  <si>
    <t xml:space="preserve">info@narvarangers.ee</t>
  </si>
  <si>
    <t xml:space="preserve">Jefferson Suarez</t>
  </si>
  <si>
    <t xml:space="preserve">Guayaquil SC</t>
  </si>
  <si>
    <t xml:space="preserve">info@guayaquilsc.ec</t>
  </si>
  <si>
    <t xml:space="preserve">Omar Mahmoud</t>
  </si>
  <si>
    <t xml:space="preserve">Gonzalo Vargas</t>
  </si>
  <si>
    <t xml:space="preserve">Santa Cruz Wanderers</t>
  </si>
  <si>
    <t xml:space="preserve">info@santacruzwanderers.bo</t>
  </si>
  <si>
    <t xml:space="preserve">Vladimir Krstic</t>
  </si>
  <si>
    <t xml:space="preserve">Serbia Second Division - East</t>
  </si>
  <si>
    <t xml:space="preserve">Cacak Athletic</t>
  </si>
  <si>
    <t xml:space="preserve">info@cacakathletic.rs</t>
  </si>
  <si>
    <t xml:space="preserve">Serge Kone</t>
  </si>
  <si>
    <t xml:space="preserve">Luis Morales</t>
  </si>
  <si>
    <t xml:space="preserve">Oumar Sidibe</t>
  </si>
  <si>
    <t xml:space="preserve">Omar Jabbar</t>
  </si>
  <si>
    <t xml:space="preserve">Patrick Fotso</t>
  </si>
  <si>
    <t xml:space="preserve">Yaounde City</t>
  </si>
  <si>
    <t xml:space="preserve">info@yaoundecity.cm</t>
  </si>
  <si>
    <t xml:space="preserve">Federico Rodriguez</t>
  </si>
  <si>
    <t xml:space="preserve">Nejc Zupan</t>
  </si>
  <si>
    <t xml:space="preserve">Slovenia Second Division</t>
  </si>
  <si>
    <t xml:space="preserve">Kevin Quinonez</t>
  </si>
  <si>
    <t xml:space="preserve">Manta United</t>
  </si>
  <si>
    <t xml:space="preserve">info@mantaunited.ec</t>
  </si>
  <si>
    <t xml:space="preserve">Kelvin Phiri</t>
  </si>
  <si>
    <t xml:space="preserve">Ened Shala</t>
  </si>
  <si>
    <t xml:space="preserve">Albania Regional League</t>
  </si>
  <si>
    <t xml:space="preserve">Tirana Town</t>
  </si>
  <si>
    <t xml:space="preserve">info@tiranatown.al</t>
  </si>
  <si>
    <t xml:space="preserve">Ziga Horvat</t>
  </si>
  <si>
    <t xml:space="preserve">Slovenia Second Division - East</t>
  </si>
  <si>
    <t xml:space="preserve">Kristijan Angelovski</t>
  </si>
  <si>
    <t xml:space="preserve">Skopje FC</t>
  </si>
  <si>
    <t xml:space="preserve">info@skopjefc.mk</t>
  </si>
  <si>
    <t xml:space="preserve">Christian Fotso</t>
  </si>
  <si>
    <t xml:space="preserve">Yaounde Town</t>
  </si>
  <si>
    <t xml:space="preserve">info@yaoundetown.cm</t>
  </si>
  <si>
    <t xml:space="preserve">Kofi Appiah</t>
  </si>
  <si>
    <t xml:space="preserve">Kumasi Athletic</t>
  </si>
  <si>
    <t xml:space="preserve">info@kumasiathletic.gh</t>
  </si>
  <si>
    <t xml:space="preserve">Igor Stojanovski</t>
  </si>
  <si>
    <t xml:space="preserve">Skopje Rovers</t>
  </si>
  <si>
    <t xml:space="preserve">info@skopjerovers.mk</t>
  </si>
  <si>
    <t xml:space="preserve">Oumar Traore</t>
  </si>
  <si>
    <t xml:space="preserve">Kayes Rangers</t>
  </si>
  <si>
    <t xml:space="preserve">info@kayesrangers.ml</t>
  </si>
  <si>
    <t xml:space="preserve">Gunnar Olafsson</t>
  </si>
  <si>
    <t xml:space="preserve">Hafnarfjordur Rangers</t>
  </si>
  <si>
    <t xml:space="preserve">info@hafnarfjordurrangers.is</t>
  </si>
  <si>
    <t xml:space="preserve">Romell Palacios</t>
  </si>
  <si>
    <t xml:space="preserve">Honduras Second Division - West</t>
  </si>
  <si>
    <t xml:space="preserve">Nika Kapanadze</t>
  </si>
  <si>
    <t xml:space="preserve">Kittipong Boonmee</t>
  </si>
  <si>
    <t xml:space="preserve">Damion Bailey</t>
  </si>
  <si>
    <t xml:space="preserve">Jamaica Amateur League</t>
  </si>
  <si>
    <t xml:space="preserve">May Pen Town</t>
  </si>
  <si>
    <t xml:space="preserve">info@maypentown.jm</t>
  </si>
  <si>
    <t xml:space="preserve">Ahmed Jabbar</t>
  </si>
  <si>
    <t xml:space="preserve">Nam Tran</t>
  </si>
  <si>
    <t xml:space="preserve">Can Tho Wanderers</t>
  </si>
  <si>
    <t xml:space="preserve">info@canthowanderers.vn</t>
  </si>
  <si>
    <t xml:space="preserve">Amadou Diarra</t>
  </si>
  <si>
    <t xml:space="preserve">Sikasso Athletic</t>
  </si>
  <si>
    <t xml:space="preserve">info@sikassoathletic.ml</t>
  </si>
  <si>
    <t xml:space="preserve">Marek Mets</t>
  </si>
  <si>
    <t xml:space="preserve">Tartu FC</t>
  </si>
  <si>
    <t xml:space="preserve">info@tartufc.ee</t>
  </si>
  <si>
    <t xml:space="preserve">Duc Vu</t>
  </si>
  <si>
    <t xml:space="preserve">Hanoi United</t>
  </si>
  <si>
    <t xml:space="preserve">info@hanoiunited.vn</t>
  </si>
  <si>
    <t xml:space="preserve">Matias Sanchez</t>
  </si>
  <si>
    <t xml:space="preserve">Paraguay Regional League</t>
  </si>
  <si>
    <t xml:space="preserve">Luque Athletic</t>
  </si>
  <si>
    <t xml:space="preserve">info@luqueathletic.py</t>
  </si>
  <si>
    <t xml:space="preserve">Arturs Kalns</t>
  </si>
  <si>
    <t xml:space="preserve">Jelgava Rangers</t>
  </si>
  <si>
    <t xml:space="preserve">info@jelgavarangers.lv</t>
  </si>
  <si>
    <t xml:space="preserve">Jefferson Chavez</t>
  </si>
  <si>
    <t xml:space="preserve">Ecuador Reserve League</t>
  </si>
  <si>
    <t xml:space="preserve">Cuenca FC</t>
  </si>
  <si>
    <t xml:space="preserve">info@cuencafc.ec</t>
  </si>
  <si>
    <t xml:space="preserve">Andres Preciado</t>
  </si>
  <si>
    <t xml:space="preserve">Bekzod Tashkentov</t>
  </si>
  <si>
    <t xml:space="preserve">Tashkent SC</t>
  </si>
  <si>
    <t xml:space="preserve">info@tashkentsc.uz</t>
  </si>
  <si>
    <t xml:space="preserve">Sherzod Rashidov</t>
  </si>
  <si>
    <t xml:space="preserve">Roman Barrios</t>
  </si>
  <si>
    <t xml:space="preserve">Santiago Rangers</t>
  </si>
  <si>
    <t xml:space="preserve">info@santiagorangers.pa</t>
  </si>
  <si>
    <t xml:space="preserve">Santiago Rodriguez</t>
  </si>
  <si>
    <t xml:space="preserve">Cochabamba Rangers</t>
  </si>
  <si>
    <t xml:space="preserve">info@cochabambarangers.bo</t>
  </si>
  <si>
    <t xml:space="preserve">Sherzod Yuldashev</t>
  </si>
  <si>
    <t xml:space="preserve">Milos Ilic</t>
  </si>
  <si>
    <t xml:space="preserve">Dobanovci United</t>
  </si>
  <si>
    <t xml:space="preserve">info@dobanovciunited.rs</t>
  </si>
  <si>
    <t xml:space="preserve">Diyorbek Yuldashev</t>
  </si>
  <si>
    <t xml:space="preserve">Bukhara Town</t>
  </si>
  <si>
    <t xml:space="preserve">info@bukharatown.uz</t>
  </si>
  <si>
    <t xml:space="preserve">Mwansa Mwansa</t>
  </si>
  <si>
    <t xml:space="preserve">Sebastian Ramirez</t>
  </si>
  <si>
    <t xml:space="preserve">Emmanuel Mwansa</t>
  </si>
  <si>
    <t xml:space="preserve">Kitwe Athletic</t>
  </si>
  <si>
    <t xml:space="preserve">info@kitweathletic.zm</t>
  </si>
  <si>
    <t xml:space="preserve">Igor Jovanovic</t>
  </si>
  <si>
    <t xml:space="preserve">Berane FC</t>
  </si>
  <si>
    <t xml:space="preserve">info@beranefc.me</t>
  </si>
  <si>
    <t xml:space="preserve">Andri Petursson</t>
  </si>
  <si>
    <t xml:space="preserve">Keflavik City</t>
  </si>
  <si>
    <t xml:space="preserve">info@keflavikcity.is</t>
  </si>
  <si>
    <t xml:space="preserve">Ened Krasniqi</t>
  </si>
  <si>
    <t xml:space="preserve">Elbasan Town</t>
  </si>
  <si>
    <t xml:space="preserve">info@elbasantown.al</t>
  </si>
  <si>
    <t xml:space="preserve">Rasmus Tamm</t>
  </si>
  <si>
    <t xml:space="preserve">Parnu City</t>
  </si>
  <si>
    <t xml:space="preserve">info@parnucity.ee</t>
  </si>
  <si>
    <t xml:space="preserve">Kevin Mets</t>
  </si>
  <si>
    <t xml:space="preserve">Franck Kouassi</t>
  </si>
  <si>
    <t xml:space="preserve">Ivory Coast Amateur League</t>
  </si>
  <si>
    <t xml:space="preserve">Diego Rodriguez</t>
  </si>
  <si>
    <t xml:space="preserve">La Paz FC</t>
  </si>
  <si>
    <t xml:space="preserve">info@lapazfc.bo</t>
  </si>
  <si>
    <t xml:space="preserve">Kwame Owusu</t>
  </si>
  <si>
    <t xml:space="preserve">Ghana Third Tier - North</t>
  </si>
  <si>
    <t xml:space="preserve">Mateo Torres</t>
  </si>
  <si>
    <t xml:space="preserve">La Paz Wanderers</t>
  </si>
  <si>
    <t xml:space="preserve">info@lapazwanderers.bo</t>
  </si>
  <si>
    <t xml:space="preserve">Karlo Matic</t>
  </si>
  <si>
    <t xml:space="preserve">Osijek Rovers</t>
  </si>
  <si>
    <t xml:space="preserve">info@osijekrovers.hr</t>
  </si>
  <si>
    <t xml:space="preserve">Kaito Watanabe</t>
  </si>
  <si>
    <t xml:space="preserve">Japan Third Tier - South</t>
  </si>
  <si>
    <t xml:space="preserve">Tim Horvat</t>
  </si>
  <si>
    <t xml:space="preserve">Celje City</t>
  </si>
  <si>
    <t xml:space="preserve">info@celjecity.si</t>
  </si>
  <si>
    <t xml:space="preserve">Yuto Tanaka</t>
  </si>
  <si>
    <t xml:space="preserve">Sendai United</t>
  </si>
  <si>
    <t xml:space="preserve">info@sendaiunited.jp</t>
  </si>
  <si>
    <t xml:space="preserve">Domagoj Novak</t>
  </si>
  <si>
    <t xml:space="preserve">Rudes City</t>
  </si>
  <si>
    <t xml:space="preserve">info@rudescity.hr</t>
  </si>
  <si>
    <t xml:space="preserve">Chanda Phiri</t>
  </si>
  <si>
    <t xml:space="preserve">Souleymane Camara</t>
  </si>
  <si>
    <t xml:space="preserve">Mopti FC</t>
  </si>
  <si>
    <t xml:space="preserve">info@moptifc.ml</t>
  </si>
  <si>
    <t xml:space="preserve">Luka Kapanadze</t>
  </si>
  <si>
    <t xml:space="preserve">Georgia Third Tier - North</t>
  </si>
  <si>
    <t xml:space="preserve">Ali Salim</t>
  </si>
  <si>
    <t xml:space="preserve">Yaw Asante</t>
  </si>
  <si>
    <t xml:space="preserve">Accra Wanderers</t>
  </si>
  <si>
    <t xml:space="preserve">info@accrawanderers.gh</t>
  </si>
  <si>
    <t xml:space="preserve">Bruno Pereira</t>
  </si>
  <si>
    <t xml:space="preserve">Salto City</t>
  </si>
  <si>
    <t xml:space="preserve">info@saltocity.uy</t>
  </si>
  <si>
    <t xml:space="preserve">Anthony Martinez</t>
  </si>
  <si>
    <t xml:space="preserve">Klodian Krasniqi</t>
  </si>
  <si>
    <t xml:space="preserve">Durres Town</t>
  </si>
  <si>
    <t xml:space="preserve">info@durrestown.al</t>
  </si>
  <si>
    <t xml:space="preserve">Wuilker Martinez</t>
  </si>
  <si>
    <t xml:space="preserve">Valencia Athletic</t>
  </si>
  <si>
    <t xml:space="preserve">info@valenciaathletic.ve</t>
  </si>
  <si>
    <t xml:space="preserve">Luis Solano</t>
  </si>
  <si>
    <t xml:space="preserve">Bryan Elvir</t>
  </si>
  <si>
    <t xml:space="preserve">San Pedro Sula United</t>
  </si>
  <si>
    <t xml:space="preserve">info@sanpedrosulaunited.hn</t>
  </si>
  <si>
    <t xml:space="preserve">Somchai Srisawat</t>
  </si>
  <si>
    <t xml:space="preserve">Khon Kaen Athletic</t>
  </si>
  <si>
    <t xml:space="preserve">info@khonkaenathletic.th</t>
  </si>
  <si>
    <t xml:space="preserve">Marlon Powell</t>
  </si>
  <si>
    <t xml:space="preserve">Spanish Town SC</t>
  </si>
  <si>
    <t xml:space="preserve">info@spanishtownsc.jm</t>
  </si>
  <si>
    <t xml:space="preserve">Aleksandar Jovanovic</t>
  </si>
  <si>
    <t xml:space="preserve">Vojvodina Rovers</t>
  </si>
  <si>
    <t xml:space="preserve">info@vojvodinarovers.rs</t>
  </si>
  <si>
    <t xml:space="preserve">Andres Kukk</t>
  </si>
  <si>
    <t xml:space="preserve">Tartu Rovers</t>
  </si>
  <si>
    <t xml:space="preserve">info@tarturovers.ee</t>
  </si>
  <si>
    <t xml:space="preserve">Carlos Preciado</t>
  </si>
  <si>
    <t xml:space="preserve">Tim Kranjc</t>
  </si>
  <si>
    <t xml:space="preserve">Celje SC</t>
  </si>
  <si>
    <t xml:space="preserve">info@celjesc.si</t>
  </si>
  <si>
    <t xml:space="preserve">Uros Ilic</t>
  </si>
  <si>
    <t xml:space="preserve">Kraljevo Rovers</t>
  </si>
  <si>
    <t xml:space="preserve">info@kraljevorovers.rs</t>
  </si>
  <si>
    <t xml:space="preserve">Marlon Palacios</t>
  </si>
  <si>
    <t xml:space="preserve">Honduras Second Division - East</t>
  </si>
  <si>
    <t xml:space="preserve">La Ceiba City</t>
  </si>
  <si>
    <t xml:space="preserve">info@laceibacity.hn</t>
  </si>
  <si>
    <t xml:space="preserve">Vasil Naumovski</t>
  </si>
  <si>
    <t xml:space="preserve">Facundo Rodriguez</t>
  </si>
  <si>
    <t xml:space="preserve">Montevideo Rangers</t>
  </si>
  <si>
    <t xml:space="preserve">info@montevideorangers.uy</t>
  </si>
  <si>
    <t xml:space="preserve">Edgars Liepa</t>
  </si>
  <si>
    <t xml:space="preserve">Latvia Provincial League</t>
  </si>
  <si>
    <t xml:space="preserve">Christian Mbia</t>
  </si>
  <si>
    <t xml:space="preserve">Garoua FC</t>
  </si>
  <si>
    <t xml:space="preserve">info@garouafc.cm</t>
  </si>
  <si>
    <t xml:space="preserve">Gentian Hoxha</t>
  </si>
  <si>
    <t xml:space="preserve">Milos Milic</t>
  </si>
  <si>
    <t xml:space="preserve">Kraljevo Rangers</t>
  </si>
  <si>
    <t xml:space="preserve">info@kraljevorangers.rs</t>
  </si>
  <si>
    <t xml:space="preserve">Yaw Agyemang</t>
  </si>
  <si>
    <t xml:space="preserve">Stefan Olafsson</t>
  </si>
  <si>
    <t xml:space="preserve">Rodrigo Gonzalez</t>
  </si>
  <si>
    <t xml:space="preserve">Anthony Zambrano</t>
  </si>
  <si>
    <t xml:space="preserve">Guayaquil Wanderers</t>
  </si>
  <si>
    <t xml:space="preserve">info@guayaquilwanderers.ec</t>
  </si>
  <si>
    <t xml:space="preserve">Goran Ristovski</t>
  </si>
  <si>
    <t xml:space="preserve">Negotino Wanderers</t>
  </si>
  <si>
    <t xml:space="preserve">info@negotinowanderers.mk</t>
  </si>
  <si>
    <t xml:space="preserve">Levan Lomidze</t>
  </si>
  <si>
    <t xml:space="preserve">Kutaisi Rovers</t>
  </si>
  <si>
    <t xml:space="preserve">info@kutaisirovers.ge</t>
  </si>
  <si>
    <t xml:space="preserve">Andres Suarez</t>
  </si>
  <si>
    <t xml:space="preserve">Ecuador Regional League</t>
  </si>
  <si>
    <t xml:space="preserve">Quito City</t>
  </si>
  <si>
    <t xml:space="preserve">info@quitocity.ec</t>
  </si>
  <si>
    <t xml:space="preserve">Max Bamba</t>
  </si>
  <si>
    <t xml:space="preserve">Nemanja Ilic</t>
  </si>
  <si>
    <t xml:space="preserve">Agustin Gonzalez</t>
  </si>
  <si>
    <t xml:space="preserve">Uruguay Second Division - West</t>
  </si>
  <si>
    <t xml:space="preserve">Salto Town</t>
  </si>
  <si>
    <t xml:space="preserve">info@saltotown.uy</t>
  </si>
  <si>
    <t xml:space="preserve">Amadou Coulibaly</t>
  </si>
  <si>
    <t xml:space="preserve">Mali Reserve League</t>
  </si>
  <si>
    <t xml:space="preserve">Bamako United</t>
  </si>
  <si>
    <t xml:space="preserve">info@bamakounited.ml</t>
  </si>
  <si>
    <t xml:space="preserve">Yoon-seo Kang</t>
  </si>
  <si>
    <t xml:space="preserve">Michael Barrios</t>
  </si>
  <si>
    <t xml:space="preserve">Panama City Athletic</t>
  </si>
  <si>
    <t xml:space="preserve">info@panamacityathletic.pa</t>
  </si>
  <si>
    <t xml:space="preserve">Kevin Zambrano</t>
  </si>
  <si>
    <t xml:space="preserve">Ecuador Amateur League</t>
  </si>
  <si>
    <t xml:space="preserve">Quito United</t>
  </si>
  <si>
    <t xml:space="preserve">info@quitounited.ec</t>
  </si>
  <si>
    <t xml:space="preserve">Marlon Chirinos</t>
  </si>
  <si>
    <t xml:space="preserve">Kwame Boateng</t>
  </si>
  <si>
    <t xml:space="preserve">Kumasi United</t>
  </si>
  <si>
    <t xml:space="preserve">info@kumasiunited.gh</t>
  </si>
  <si>
    <t xml:space="preserve">Edgars Kalns</t>
  </si>
  <si>
    <t xml:space="preserve">Riga Wanderers</t>
  </si>
  <si>
    <t xml:space="preserve">info@rigawanderers.lv</t>
  </si>
  <si>
    <t xml:space="preserve">Jesus Hernandez</t>
  </si>
  <si>
    <t xml:space="preserve">Barquisimeto United</t>
  </si>
  <si>
    <t xml:space="preserve">info@barquisimetounited.ve</t>
  </si>
  <si>
    <t xml:space="preserve">Ali Jabbar</t>
  </si>
  <si>
    <t xml:space="preserve">Erbil Wanderers</t>
  </si>
  <si>
    <t xml:space="preserve">info@erbilwanderers.iq</t>
  </si>
  <si>
    <t xml:space="preserve">Miguel Vargas</t>
  </si>
  <si>
    <t xml:space="preserve">Einar Gudmundsson</t>
  </si>
  <si>
    <t xml:space="preserve">Akureyri United</t>
  </si>
  <si>
    <t xml:space="preserve">info@akureyriunited.is</t>
  </si>
  <si>
    <t xml:space="preserve">Patrick Mbia</t>
  </si>
  <si>
    <t xml:space="preserve">Yaounde FC</t>
  </si>
  <si>
    <t xml:space="preserve">info@yaoundefc.cm</t>
  </si>
  <si>
    <t xml:space="preserve">Bekzod Karimov</t>
  </si>
  <si>
    <t xml:space="preserve">Tashkent Wanderers</t>
  </si>
  <si>
    <t xml:space="preserve">info@tashkentwanderers.uz</t>
  </si>
  <si>
    <t xml:space="preserve">Christian Onana</t>
  </si>
  <si>
    <t xml:space="preserve">Anderson Gonzalez</t>
  </si>
  <si>
    <t xml:space="preserve">Santiago Fernandez</t>
  </si>
  <si>
    <t xml:space="preserve">Sucre FC</t>
  </si>
  <si>
    <t xml:space="preserve">info@sucrefc.bo</t>
  </si>
  <si>
    <t xml:space="preserve">Christian Ngoy</t>
  </si>
  <si>
    <t xml:space="preserve">Do-yun Lee</t>
  </si>
  <si>
    <t xml:space="preserve">Modibo Keita</t>
  </si>
  <si>
    <t xml:space="preserve">Given Zulu</t>
  </si>
  <si>
    <t xml:space="preserve">Enock Tembo</t>
  </si>
  <si>
    <t xml:space="preserve">Ndola City</t>
  </si>
  <si>
    <t xml:space="preserve">info@ndolacity.zm</t>
  </si>
  <si>
    <t xml:space="preserve">Nikola Perovic</t>
  </si>
  <si>
    <t xml:space="preserve">Montenegro Third Tier - North</t>
  </si>
  <si>
    <t xml:space="preserve">Bar FC</t>
  </si>
  <si>
    <t xml:space="preserve">info@barfc.me</t>
  </si>
  <si>
    <t xml:space="preserve">Cheikh Diop</t>
  </si>
  <si>
    <t xml:space="preserve">Saint-Louis Rangers</t>
  </si>
  <si>
    <t xml:space="preserve">info@saintlouisrangers.sn</t>
  </si>
  <si>
    <t xml:space="preserve">Giorgi Kiknadze</t>
  </si>
  <si>
    <t xml:space="preserve">Tbilisi SC</t>
  </si>
  <si>
    <t xml:space="preserve">info@tbilisisc.ge</t>
  </si>
  <si>
    <t xml:space="preserve">Jasur Rustamov</t>
  </si>
  <si>
    <t xml:space="preserve">Andijan SC</t>
  </si>
  <si>
    <t xml:space="preserve">info@andijansc.uz</t>
  </si>
  <si>
    <t xml:space="preserve">Facundo Gonzalez</t>
  </si>
  <si>
    <t xml:space="preserve">Emiliano Gonzalez</t>
  </si>
  <si>
    <t xml:space="preserve">Luque Rangers</t>
  </si>
  <si>
    <t xml:space="preserve">info@luquerangers.py</t>
  </si>
  <si>
    <t xml:space="preserve">Oumar Diarra</t>
  </si>
  <si>
    <t xml:space="preserve">Kayes City</t>
  </si>
  <si>
    <t xml:space="preserve">info@kayescity.ml</t>
  </si>
  <si>
    <t xml:space="preserve">Hussein Salim</t>
  </si>
  <si>
    <t xml:space="preserve">Sander Kask</t>
  </si>
  <si>
    <t xml:space="preserve">Estonia Second Division - East</t>
  </si>
  <si>
    <t xml:space="preserve">Ivan Barisic</t>
  </si>
  <si>
    <t xml:space="preserve">Bijelo Brdo Town</t>
  </si>
  <si>
    <t xml:space="preserve">info@bijelobrdotown.hr</t>
  </si>
  <si>
    <t xml:space="preserve">Kittipong Wongsa</t>
  </si>
  <si>
    <t xml:space="preserve">Khon Kaen Rovers</t>
  </si>
  <si>
    <t xml:space="preserve">info@khonkaenrovers.th</t>
  </si>
  <si>
    <t xml:space="preserve">Wesly Chirinos</t>
  </si>
  <si>
    <t xml:space="preserve">La Ceiba Rovers</t>
  </si>
  <si>
    <t xml:space="preserve">info@laceibarovers.hn</t>
  </si>
  <si>
    <t xml:space="preserve">Hoang Hoang</t>
  </si>
  <si>
    <t xml:space="preserve">Vietnam Third Tier - South</t>
  </si>
  <si>
    <t xml:space="preserve">Da Nang Rovers</t>
  </si>
  <si>
    <t xml:space="preserve">info@danangrovers.vn</t>
  </si>
  <si>
    <t xml:space="preserve">Sota Takahashi</t>
  </si>
  <si>
    <t xml:space="preserve">Fukuoka SC</t>
  </si>
  <si>
    <t xml:space="preserve">info@fukuokasc.jp</t>
  </si>
  <si>
    <t xml:space="preserve">Josip Barisic</t>
  </si>
  <si>
    <t xml:space="preserve">Bijelo Brdo Athletic</t>
  </si>
  <si>
    <t xml:space="preserve">info@bijelobrdoathletic.hr</t>
  </si>
  <si>
    <t xml:space="preserve">Yoon-seo Lee</t>
  </si>
  <si>
    <t xml:space="preserve">South Korea Second Division - East</t>
  </si>
  <si>
    <t xml:space="preserve">Incheon Rangers</t>
  </si>
  <si>
    <t xml:space="preserve">info@incheonrangers.kr</t>
  </si>
  <si>
    <t xml:space="preserve">Aleksandar Krstic</t>
  </si>
  <si>
    <t xml:space="preserve">Randall Castillo</t>
  </si>
  <si>
    <t xml:space="preserve">Alajuela Athletic</t>
  </si>
  <si>
    <t xml:space="preserve">info@alajuelaathletic.cr</t>
  </si>
  <si>
    <t xml:space="preserve">Amadou Keita</t>
  </si>
  <si>
    <t xml:space="preserve">Yeferson Perez</t>
  </si>
  <si>
    <t xml:space="preserve">Barquisimeto Town</t>
  </si>
  <si>
    <t xml:space="preserve">info@barquisimetotown.ve</t>
  </si>
  <si>
    <t xml:space="preserve">Yuto Takahashi</t>
  </si>
  <si>
    <t xml:space="preserve">Sendai Athletic</t>
  </si>
  <si>
    <t xml:space="preserve">info@sendaiathletic.jp</t>
  </si>
  <si>
    <t xml:space="preserve">Janis Kalns</t>
  </si>
  <si>
    <t xml:space="preserve">Liepaja Town</t>
  </si>
  <si>
    <t xml:space="preserve">info@liepajatown.lv</t>
  </si>
  <si>
    <t xml:space="preserve">Saba Kapanadze</t>
  </si>
  <si>
    <t xml:space="preserve">Tbilisi United</t>
  </si>
  <si>
    <t xml:space="preserve">info@tbilisiunited.ge</t>
  </si>
  <si>
    <t xml:space="preserve">Yaw Appiah</t>
  </si>
  <si>
    <t xml:space="preserve">Sekondi SC</t>
  </si>
  <si>
    <t xml:space="preserve">info@sekondisc.gh</t>
  </si>
  <si>
    <t xml:space="preserve">Karl Kask</t>
  </si>
  <si>
    <t xml:space="preserve">Tallinn Wanderers</t>
  </si>
  <si>
    <t xml:space="preserve">info@tallinnwanderers.ee</t>
  </si>
  <si>
    <t xml:space="preserve">Yaw Boateng</t>
  </si>
  <si>
    <t xml:space="preserve">Tamale SC</t>
  </si>
  <si>
    <t xml:space="preserve">info@tamalesc.gh</t>
  </si>
  <si>
    <t xml:space="preserve">Karl Tamm</t>
  </si>
  <si>
    <t xml:space="preserve">Estonia Third Tier - South</t>
  </si>
  <si>
    <t xml:space="preserve">Tartu SC</t>
  </si>
  <si>
    <t xml:space="preserve">info@tartusc.ee</t>
  </si>
  <si>
    <t xml:space="preserve">Yuto Sato</t>
  </si>
  <si>
    <t xml:space="preserve">Fukuoka Rangers</t>
  </si>
  <si>
    <t xml:space="preserve">info@fukuokarangers.jp</t>
  </si>
  <si>
    <t xml:space="preserve">Kaito Tanaka</t>
  </si>
  <si>
    <t xml:space="preserve">Milos Nikolic</t>
  </si>
  <si>
    <t xml:space="preserve">Nis Town</t>
  </si>
  <si>
    <t xml:space="preserve">info@nistown.rs</t>
  </si>
  <si>
    <t xml:space="preserve">Facundo Silva</t>
  </si>
  <si>
    <t xml:space="preserve">Paysandu United</t>
  </si>
  <si>
    <t xml:space="preserve">info@paysanduunited.uy</t>
  </si>
  <si>
    <t xml:space="preserve">Aleksandar Petrovic</t>
  </si>
  <si>
    <t xml:space="preserve">Cacak Town</t>
  </si>
  <si>
    <t xml:space="preserve">info@cacaktown.rs</t>
  </si>
  <si>
    <t xml:space="preserve">Callum Mitchell</t>
  </si>
  <si>
    <t xml:space="preserve">Nam Vu</t>
  </si>
  <si>
    <t xml:space="preserve">Hanoi SC</t>
  </si>
  <si>
    <t xml:space="preserve">info@hanoisc.vn</t>
  </si>
  <si>
    <t xml:space="preserve">Sota Suzuki</t>
  </si>
  <si>
    <t xml:space="preserve">Japan Reserve League</t>
  </si>
  <si>
    <t xml:space="preserve">Nagoya Rangers</t>
  </si>
  <si>
    <t xml:space="preserve">info@nagoyarangers.jp</t>
  </si>
  <si>
    <t xml:space="preserve">Luka Krajnc</t>
  </si>
  <si>
    <t xml:space="preserve">Ljubljana Rangers</t>
  </si>
  <si>
    <t xml:space="preserve">info@ljubljanarangers.si</t>
  </si>
  <si>
    <t xml:space="preserve">Andri Sigurdsson</t>
  </si>
  <si>
    <t xml:space="preserve">Selfoss FC</t>
  </si>
  <si>
    <t xml:space="preserve">info@selfossfc.is</t>
  </si>
  <si>
    <t xml:space="preserve">Janis Ozols 83</t>
  </si>
  <si>
    <t xml:space="preserve">Ened Duro</t>
  </si>
  <si>
    <t xml:space="preserve">Nejc Kranjc</t>
  </si>
  <si>
    <t xml:space="preserve">Maribor Rangers</t>
  </si>
  <si>
    <t xml:space="preserve">info@mariborrangers.si</t>
  </si>
  <si>
    <t xml:space="preserve">Mamadou Faye</t>
  </si>
  <si>
    <t xml:space="preserve">Thies Rangers</t>
  </si>
  <si>
    <t xml:space="preserve">info@thiesrangers.sn</t>
  </si>
  <si>
    <t xml:space="preserve">Nam Hoang</t>
  </si>
  <si>
    <t xml:space="preserve">Adalberto Perez</t>
  </si>
  <si>
    <t xml:space="preserve">Roman Escobar</t>
  </si>
  <si>
    <t xml:space="preserve">Panama Amateur League</t>
  </si>
  <si>
    <t xml:space="preserve">Callum Clarke</t>
  </si>
  <si>
    <t xml:space="preserve">Auckland SC</t>
  </si>
  <si>
    <t xml:space="preserve">info@aucklandsc.nz</t>
  </si>
  <si>
    <t xml:space="preserve">Blaze Naumovski</t>
  </si>
  <si>
    <t xml:space="preserve">Anthony Quinonez</t>
  </si>
  <si>
    <t xml:space="preserve">Quito Rangers</t>
  </si>
  <si>
    <t xml:space="preserve">info@quitorangers.ec</t>
  </si>
  <si>
    <t xml:space="preserve">Marko Kovacevic</t>
  </si>
  <si>
    <t xml:space="preserve">Niksic Wanderers</t>
  </si>
  <si>
    <t xml:space="preserve">info@niksicwanderers.me</t>
  </si>
  <si>
    <t xml:space="preserve">Kemar Brown</t>
  </si>
  <si>
    <t xml:space="preserve">Romell Chirinos</t>
  </si>
  <si>
    <t xml:space="preserve">Honduras Third Tier - South</t>
  </si>
  <si>
    <t xml:space="preserve">Yeferson Rondon</t>
  </si>
  <si>
    <t xml:space="preserve">Valencia Wanderers</t>
  </si>
  <si>
    <t xml:space="preserve">info@valenciawanderers.ve</t>
  </si>
  <si>
    <t xml:space="preserve">Devon Lowe</t>
  </si>
  <si>
    <t xml:space="preserve">Kingston Athletic</t>
  </si>
  <si>
    <t xml:space="preserve">info@kingstonathletic.jm</t>
  </si>
  <si>
    <t xml:space="preserve">Ji-ho Park</t>
  </si>
  <si>
    <t xml:space="preserve">Incheon FC</t>
  </si>
  <si>
    <t xml:space="preserve">info@incheonfc.kr</t>
  </si>
  <si>
    <t xml:space="preserve">Irakli Beridze</t>
  </si>
  <si>
    <t xml:space="preserve">Jesus Rojas</t>
  </si>
  <si>
    <t xml:space="preserve">Caracas FC</t>
  </si>
  <si>
    <t xml:space="preserve">info@caracasfc.ve</t>
  </si>
  <si>
    <t xml:space="preserve">Ante Kovac</t>
  </si>
  <si>
    <t xml:space="preserve">Croatia Regional League</t>
  </si>
  <si>
    <t xml:space="preserve">Phong Vu</t>
  </si>
  <si>
    <t xml:space="preserve">Can Tho Athletic</t>
  </si>
  <si>
    <t xml:space="preserve">info@canthoathletic.vn</t>
  </si>
  <si>
    <t xml:space="preserve">Chanda Mwansa</t>
  </si>
  <si>
    <t xml:space="preserve">Samuel Ngoy</t>
  </si>
  <si>
    <t xml:space="preserve">Bledi Hoxha</t>
  </si>
  <si>
    <t xml:space="preserve">Vlore Wanderers</t>
  </si>
  <si>
    <t xml:space="preserve">info@vlorewanderers.al</t>
  </si>
  <si>
    <t xml:space="preserve">Roman Perez</t>
  </si>
  <si>
    <t xml:space="preserve">Panama City SC</t>
  </si>
  <si>
    <t xml:space="preserve">info@panamacitysc.pa</t>
  </si>
  <si>
    <t xml:space="preserve">Cheikh Sow</t>
  </si>
  <si>
    <t xml:space="preserve">Senegal Second Division - West</t>
  </si>
  <si>
    <t xml:space="preserve">Dakar Rovers</t>
  </si>
  <si>
    <t xml:space="preserve">info@dakarrovers.sn</t>
  </si>
  <si>
    <t xml:space="preserve">Roberts Kalns 15</t>
  </si>
  <si>
    <t xml:space="preserve">Andre Etoo</t>
  </si>
  <si>
    <t xml:space="preserve">Bafoussam Wanderers</t>
  </si>
  <si>
    <t xml:space="preserve">info@bafoussamwanderers.cm</t>
  </si>
  <si>
    <t xml:space="preserve">Stefan Ilic</t>
  </si>
  <si>
    <t xml:space="preserve">Nicolas Flores</t>
  </si>
  <si>
    <t xml:space="preserve">Bolivia Third Tier - North</t>
  </si>
  <si>
    <t xml:space="preserve">Oruro FC</t>
  </si>
  <si>
    <t xml:space="preserve">info@orurofc.bo</t>
  </si>
  <si>
    <t xml:space="preserve">Sota Ito</t>
  </si>
  <si>
    <t xml:space="preserve">Fukuoka Town</t>
  </si>
  <si>
    <t xml:space="preserve">info@fukuokatown.jp</t>
  </si>
  <si>
    <t xml:space="preserve">Christian Etoo</t>
  </si>
  <si>
    <t xml:space="preserve">Bafoussam SC</t>
  </si>
  <si>
    <t xml:space="preserve">info@bafoussamsc.cm</t>
  </si>
  <si>
    <t xml:space="preserve">Igor Angelovski</t>
  </si>
  <si>
    <t xml:space="preserve">Bitola Rovers</t>
  </si>
  <si>
    <t xml:space="preserve">info@bitolarovers.mk</t>
  </si>
  <si>
    <t xml:space="preserve">Nikola Vukotic</t>
  </si>
  <si>
    <t xml:space="preserve">Ibrahima Ndiaye</t>
  </si>
  <si>
    <t xml:space="preserve">Quang Pham</t>
  </si>
  <si>
    <t xml:space="preserve">Can Tho City</t>
  </si>
  <si>
    <t xml:space="preserve">info@canthocity.vn</t>
  </si>
  <si>
    <t xml:space="preserve">Omar Salim</t>
  </si>
  <si>
    <t xml:space="preserve">Mwansa Zulu</t>
  </si>
  <si>
    <t xml:space="preserve">Livingstone City</t>
  </si>
  <si>
    <t xml:space="preserve">info@livingstonecity.zm</t>
  </si>
  <si>
    <t xml:space="preserve">Seo-jun Choi</t>
  </si>
  <si>
    <t xml:space="preserve">Bojan Nikolic</t>
  </si>
  <si>
    <t xml:space="preserve">Dobanovci FC</t>
  </si>
  <si>
    <t xml:space="preserve">info@dobanovcifc.rs</t>
  </si>
  <si>
    <t xml:space="preserve">Rok Horvat</t>
  </si>
  <si>
    <t xml:space="preserve">Max Traore</t>
  </si>
  <si>
    <t xml:space="preserve">San Pedro United</t>
  </si>
  <si>
    <t xml:space="preserve">info@sanpedrounited.ci</t>
  </si>
  <si>
    <t xml:space="preserve">Ha-joon Choi</t>
  </si>
  <si>
    <t xml:space="preserve">Busan Rangers</t>
  </si>
  <si>
    <t xml:space="preserve">info@busanrangers.kr</t>
  </si>
  <si>
    <t xml:space="preserve">Ha-joon Kang</t>
  </si>
  <si>
    <t xml:space="preserve">Incheon Wanderers</t>
  </si>
  <si>
    <t xml:space="preserve">info@incheonwanderers.kr</t>
  </si>
  <si>
    <t xml:space="preserve">Emmanuel Owusu</t>
  </si>
  <si>
    <t xml:space="preserve">Junior Rondon</t>
  </si>
  <si>
    <t xml:space="preserve">Kristers Ozols 52</t>
  </si>
  <si>
    <t xml:space="preserve">Ante Kovacevic</t>
  </si>
  <si>
    <t xml:space="preserve">Belisce FC</t>
  </si>
  <si>
    <t xml:space="preserve">info@beliscefc.hr</t>
  </si>
  <si>
    <t xml:space="preserve">Gonzalo Rodriguez</t>
  </si>
  <si>
    <t xml:space="preserve">Bolivia Second Division - West</t>
  </si>
  <si>
    <t xml:space="preserve">Ardit Hoxha</t>
  </si>
  <si>
    <t xml:space="preserve">Marlon Lowe</t>
  </si>
  <si>
    <t xml:space="preserve">Montego Bay Town</t>
  </si>
  <si>
    <t xml:space="preserve">info@montegobaytown.jm</t>
  </si>
  <si>
    <t xml:space="preserve">Yeferson Gonzalez</t>
  </si>
  <si>
    <t xml:space="preserve">Valencia City</t>
  </si>
  <si>
    <t xml:space="preserve">info@valenciacity.ve</t>
  </si>
  <si>
    <t xml:space="preserve">Jasur Yuldashev</t>
  </si>
  <si>
    <t xml:space="preserve">Diyorbek Yusupov</t>
  </si>
  <si>
    <t xml:space="preserve">Bakary Keita</t>
  </si>
  <si>
    <t xml:space="preserve">Andre Barrios</t>
  </si>
  <si>
    <t xml:space="preserve">Colon United</t>
  </si>
  <si>
    <t xml:space="preserve">info@colonunited.pa</t>
  </si>
  <si>
    <t xml:space="preserve">Patrick Onana</t>
  </si>
  <si>
    <t xml:space="preserve">Bojan Stankovic</t>
  </si>
  <si>
    <t xml:space="preserve">Cole Taylor</t>
  </si>
  <si>
    <t xml:space="preserve">Wellington City</t>
  </si>
  <si>
    <t xml:space="preserve">info@wellingtoncity.nz</t>
  </si>
  <si>
    <t xml:space="preserve">Aleksandar Nikolic</t>
  </si>
  <si>
    <t xml:space="preserve">Vojvodina FC</t>
  </si>
  <si>
    <t xml:space="preserve">info@vojvodinafc.rs</t>
  </si>
  <si>
    <t xml:space="preserve">Noah Smith</t>
  </si>
  <si>
    <t xml:space="preserve">Karlo Barisic</t>
  </si>
  <si>
    <t xml:space="preserve">Bijelo Brdo SC</t>
  </si>
  <si>
    <t xml:space="preserve">info@bijelobrdosc.hr</t>
  </si>
  <si>
    <t xml:space="preserve">Serge Bamba</t>
  </si>
  <si>
    <t xml:space="preserve">Ivory Coast Regional League</t>
  </si>
  <si>
    <t xml:space="preserve">Pongsak Srisawat</t>
  </si>
  <si>
    <t xml:space="preserve">Bangkok Wanderers</t>
  </si>
  <si>
    <t xml:space="preserve">info@bangkokwanderers.th</t>
  </si>
  <si>
    <t xml:space="preserve">Andres Quinonez</t>
  </si>
  <si>
    <t xml:space="preserve">Didier Kone</t>
  </si>
  <si>
    <t xml:space="preserve">Yamoussoukro City</t>
  </si>
  <si>
    <t xml:space="preserve">info@yamoussoukrocity.ci</t>
  </si>
  <si>
    <t xml:space="preserve">Shamar Bailey</t>
  </si>
  <si>
    <t xml:space="preserve">Nicolas Silva</t>
  </si>
  <si>
    <t xml:space="preserve">Rivera FC</t>
  </si>
  <si>
    <t xml:space="preserve">info@riverafc.uy</t>
  </si>
  <si>
    <t xml:space="preserve">Rodrigo Lopez</t>
  </si>
  <si>
    <t xml:space="preserve">Facundo Ferreira</t>
  </si>
  <si>
    <t xml:space="preserve">Janis Kalns 13</t>
  </si>
  <si>
    <t xml:space="preserve">Riga Athletic</t>
  </si>
  <si>
    <t xml:space="preserve">info@rigaathletic.lv</t>
  </si>
  <si>
    <t xml:space="preserve">Ali Abbas</t>
  </si>
  <si>
    <t xml:space="preserve">Basra Athletic</t>
  </si>
  <si>
    <t xml:space="preserve">info@basraathletic.iq</t>
  </si>
  <si>
    <t xml:space="preserve">Ronaldo Perez</t>
  </si>
  <si>
    <t xml:space="preserve">Maracaibo City</t>
  </si>
  <si>
    <t xml:space="preserve">info@maracaibocity.ve</t>
  </si>
  <si>
    <t xml:space="preserve">Bryan Chavez</t>
  </si>
  <si>
    <t xml:space="preserve">Guayaquil Town</t>
  </si>
  <si>
    <t xml:space="preserve">info@guayaquiltown.ec</t>
  </si>
  <si>
    <t xml:space="preserve">Quang Nguyen</t>
  </si>
  <si>
    <t xml:space="preserve">Da Nang Athletic</t>
  </si>
  <si>
    <t xml:space="preserve">info@danangathletic.vn</t>
  </si>
  <si>
    <t xml:space="preserve">Yves Toure</t>
  </si>
  <si>
    <t xml:space="preserve">Anon Boonmee</t>
  </si>
  <si>
    <t xml:space="preserve">Jose Barrios</t>
  </si>
  <si>
    <t xml:space="preserve">Panama Second Division</t>
  </si>
  <si>
    <t xml:space="preserve">Santiago FC</t>
  </si>
  <si>
    <t xml:space="preserve">info@santiagofc.pa</t>
  </si>
  <si>
    <t xml:space="preserve">Bjarni Gudmundsson</t>
  </si>
  <si>
    <t xml:space="preserve">Selfoss Athletic</t>
  </si>
  <si>
    <t xml:space="preserve">info@selfossathletic.is</t>
  </si>
  <si>
    <t xml:space="preserve">Uros Jovanovic</t>
  </si>
  <si>
    <t xml:space="preserve">Nis Rangers</t>
  </si>
  <si>
    <t xml:space="preserve">info@nisrangers.rs</t>
  </si>
  <si>
    <t xml:space="preserve">Filip Perovic</t>
  </si>
  <si>
    <t xml:space="preserve">Bar Rovers</t>
  </si>
  <si>
    <t xml:space="preserve">info@barrovers.me</t>
  </si>
  <si>
    <t xml:space="preserve">Santiago Martinez</t>
  </si>
  <si>
    <t xml:space="preserve">Moussa Diop</t>
  </si>
  <si>
    <t xml:space="preserve">Dakar Town</t>
  </si>
  <si>
    <t xml:space="preserve">info@dakartown.sn</t>
  </si>
  <si>
    <t xml:space="preserve">Petar Ilic</t>
  </si>
  <si>
    <t xml:space="preserve">Budva Town</t>
  </si>
  <si>
    <t xml:space="preserve">info@budvatown.me</t>
  </si>
  <si>
    <t xml:space="preserve">Andrej Nikolic</t>
  </si>
  <si>
    <t xml:space="preserve">Danilovgrad SC</t>
  </si>
  <si>
    <t xml:space="preserve">info@danilovgradsc.me</t>
  </si>
  <si>
    <t xml:space="preserve">Liam Mitchell</t>
  </si>
  <si>
    <t xml:space="preserve">Yeferson Rojas</t>
  </si>
  <si>
    <t xml:space="preserve">Yoon-seo Kim</t>
  </si>
  <si>
    <t xml:space="preserve">Incheon City</t>
  </si>
  <si>
    <t xml:space="preserve">info@incheoncity.kr</t>
  </si>
  <si>
    <t xml:space="preserve">Liam Taylor</t>
  </si>
  <si>
    <t xml:space="preserve">Hamilton SC</t>
  </si>
  <si>
    <t xml:space="preserve">info@hamiltonsc.nz</t>
  </si>
  <si>
    <t xml:space="preserve">Vladimir Ilic</t>
  </si>
  <si>
    <t xml:space="preserve">Dobanovci Athletic</t>
  </si>
  <si>
    <t xml:space="preserve">info@dobanovciathletic.rs</t>
  </si>
  <si>
    <t xml:space="preserve">Karl Kukk</t>
  </si>
  <si>
    <t xml:space="preserve">Emiliano Cardozo</t>
  </si>
  <si>
    <t xml:space="preserve">Blaze Ristovski</t>
  </si>
  <si>
    <t xml:space="preserve">Skopje Wanderers</t>
  </si>
  <si>
    <t xml:space="preserve">info@skopjewanderers.mk</t>
  </si>
  <si>
    <t xml:space="preserve">Saba Beridze</t>
  </si>
  <si>
    <t xml:space="preserve">Modibo Diarra</t>
  </si>
  <si>
    <t xml:space="preserve">Bamako Town</t>
  </si>
  <si>
    <t xml:space="preserve">info@bamakotown.ml</t>
  </si>
  <si>
    <t xml:space="preserve">Carlos Chavez</t>
  </si>
  <si>
    <t xml:space="preserve">Quito Wanderers</t>
  </si>
  <si>
    <t xml:space="preserve">info@quitowanderers.ec</t>
  </si>
  <si>
    <t xml:space="preserve">Wilfried Bamba</t>
  </si>
  <si>
    <t xml:space="preserve">San Pedro Town</t>
  </si>
  <si>
    <t xml:space="preserve">info@sanpedrotown.ci</t>
  </si>
  <si>
    <t xml:space="preserve">Vuk Ilic</t>
  </si>
  <si>
    <t xml:space="preserve">Jasur Karimov</t>
  </si>
  <si>
    <t xml:space="preserve">Franco Flores</t>
  </si>
  <si>
    <t xml:space="preserve">Oruro United</t>
  </si>
  <si>
    <t xml:space="preserve">info@orurounited.bo</t>
  </si>
  <si>
    <t xml:space="preserve">Didier Toure</t>
  </si>
  <si>
    <t xml:space="preserve">Roberts Vitols 94</t>
  </si>
  <si>
    <t xml:space="preserve">Jelgava City</t>
  </si>
  <si>
    <t xml:space="preserve">info@jelgavacity.lv</t>
  </si>
  <si>
    <t xml:space="preserve">Otabek Tashkentov</t>
  </si>
  <si>
    <t xml:space="preserve">Andres Zambrano</t>
  </si>
  <si>
    <t xml:space="preserve">Manta Rangers</t>
  </si>
  <si>
    <t xml:space="preserve">info@mantarangers.ec</t>
  </si>
  <si>
    <t xml:space="preserve">Andres Kask</t>
  </si>
  <si>
    <t xml:space="preserve">Narva Athletic</t>
  </si>
  <si>
    <t xml:space="preserve">info@narvaathletic.ee</t>
  </si>
  <si>
    <t xml:space="preserve">Anon Charoensuk</t>
  </si>
  <si>
    <t xml:space="preserve">Chiang Mai Town</t>
  </si>
  <si>
    <t xml:space="preserve">info@chiangmaitown.th</t>
  </si>
  <si>
    <t xml:space="preserve">Erion Shala</t>
  </si>
  <si>
    <t xml:space="preserve">Ibrahima Diop</t>
  </si>
  <si>
    <t xml:space="preserve">Saint-Louis City</t>
  </si>
  <si>
    <t xml:space="preserve">info@saintlouiscity.sn</t>
  </si>
  <si>
    <t xml:space="preserve">Jean Etoo</t>
  </si>
  <si>
    <t xml:space="preserve">Levan Gelashvili</t>
  </si>
  <si>
    <t xml:space="preserve">Tbilisi Rovers</t>
  </si>
  <si>
    <t xml:space="preserve">info@tbilisirovers.ge</t>
  </si>
  <si>
    <t xml:space="preserve">Levan Beridze</t>
  </si>
  <si>
    <t xml:space="preserve">Batumi United</t>
  </si>
  <si>
    <t xml:space="preserve">info@batumiunited.ge</t>
  </si>
  <si>
    <t xml:space="preserve">Mateo Flores</t>
  </si>
  <si>
    <t xml:space="preserve">La Paz Rangers</t>
  </si>
  <si>
    <t xml:space="preserve">info@lapazrangers.bo</t>
  </si>
  <si>
    <t xml:space="preserve">Ronaldo Martinez</t>
  </si>
  <si>
    <t xml:space="preserve">Sardor Tashkentov</t>
  </si>
  <si>
    <t xml:space="preserve">Bukhara FC</t>
  </si>
  <si>
    <t xml:space="preserve">info@bukharafc.uz</t>
  </si>
  <si>
    <t xml:space="preserve">Souleymane Coulibaly</t>
  </si>
  <si>
    <t xml:space="preserve">Abdoulaye Diallo</t>
  </si>
  <si>
    <t xml:space="preserve">Ziguinchor Town</t>
  </si>
  <si>
    <t xml:space="preserve">info@ziguinchortown.sn</t>
  </si>
  <si>
    <t xml:space="preserve">Marek Kask</t>
  </si>
  <si>
    <t xml:space="preserve">Narva Town</t>
  </si>
  <si>
    <t xml:space="preserve">info@narvatown.ee</t>
  </si>
  <si>
    <t xml:space="preserve">Seo-jun Kang</t>
  </si>
  <si>
    <t xml:space="preserve">Aleksandar Stankovic</t>
  </si>
  <si>
    <t xml:space="preserve">Tim Novak</t>
  </si>
  <si>
    <t xml:space="preserve">Kranj Rangers</t>
  </si>
  <si>
    <t xml:space="preserve">info@kranjrangers.si</t>
  </si>
  <si>
    <t xml:space="preserve">Serge Kouassi</t>
  </si>
  <si>
    <t xml:space="preserve">Petar Vukotic</t>
  </si>
  <si>
    <t xml:space="preserve">Budva City</t>
  </si>
  <si>
    <t xml:space="preserve">info@budvacity.me</t>
  </si>
  <si>
    <t xml:space="preserve">Kaito Takahashi</t>
  </si>
  <si>
    <t xml:space="preserve">Nagoya Town</t>
  </si>
  <si>
    <t xml:space="preserve">info@nagoyatown.jp</t>
  </si>
  <si>
    <t xml:space="preserve">Josip Matic</t>
  </si>
  <si>
    <t xml:space="preserve">Gonzalo Flores</t>
  </si>
  <si>
    <t xml:space="preserve">Roberts Vitols 19</t>
  </si>
  <si>
    <t xml:space="preserve">Anthony Elvir</t>
  </si>
  <si>
    <t xml:space="preserve">Ahmed Kareem</t>
  </si>
  <si>
    <t xml:space="preserve">Erbil City</t>
  </si>
  <si>
    <t xml:space="preserve">info@erbilcity.iq</t>
  </si>
  <si>
    <t xml:space="preserve">Kelvin Banda</t>
  </si>
  <si>
    <t xml:space="preserve">Lusaka Town</t>
  </si>
  <si>
    <t xml:space="preserve">info@lusakatown.zm</t>
  </si>
  <si>
    <t xml:space="preserve">Wilfried Toure</t>
  </si>
  <si>
    <t xml:space="preserve">Ivory Coast Third Tier - North</t>
  </si>
  <si>
    <t xml:space="preserve">Cole Smith</t>
  </si>
  <si>
    <t xml:space="preserve">Christchurch Town</t>
  </si>
  <si>
    <t xml:space="preserve">info@christchurchtown.nz</t>
  </si>
  <si>
    <t xml:space="preserve">Callum Smith</t>
  </si>
  <si>
    <t xml:space="preserve">Auckland Town</t>
  </si>
  <si>
    <t xml:space="preserve">info@aucklandtown.nz</t>
  </si>
  <si>
    <t xml:space="preserve">Devon Bailey</t>
  </si>
  <si>
    <t xml:space="preserve">Andre Murillo</t>
  </si>
  <si>
    <t xml:space="preserve">Santiago Town</t>
  </si>
  <si>
    <t xml:space="preserve">info@santiagotown.pa</t>
  </si>
  <si>
    <t xml:space="preserve">Yves Traore</t>
  </si>
  <si>
    <t xml:space="preserve">Mateo Fernandez</t>
  </si>
  <si>
    <t xml:space="preserve">Santa Cruz SC</t>
  </si>
  <si>
    <t xml:space="preserve">info@santacruzsc.bo</t>
  </si>
  <si>
    <t xml:space="preserve">Milos Petrovic</t>
  </si>
  <si>
    <t xml:space="preserve">Kittipong Charoensuk</t>
  </si>
  <si>
    <t xml:space="preserve">Khon Kaen Rangers</t>
  </si>
  <si>
    <t xml:space="preserve">info@khonkaenrangers.th</t>
  </si>
  <si>
    <t xml:space="preserve">Moussa Sow</t>
  </si>
  <si>
    <t xml:space="preserve">Irakli Kiknadze</t>
  </si>
  <si>
    <t xml:space="preserve">Souleymane Keita</t>
  </si>
  <si>
    <t xml:space="preserve">Omar Hassan</t>
  </si>
  <si>
    <t xml:space="preserve">Milos Radovic</t>
  </si>
  <si>
    <t xml:space="preserve">Budva Rovers</t>
  </si>
  <si>
    <t xml:space="preserve">info@budvarovers.me</t>
  </si>
  <si>
    <t xml:space="preserve">Jean Mbia</t>
  </si>
  <si>
    <t xml:space="preserve">Douala SC</t>
  </si>
  <si>
    <t xml:space="preserve">info@doualasc.cm</t>
  </si>
  <si>
    <t xml:space="preserve">Anon Wongsa</t>
  </si>
  <si>
    <t xml:space="preserve">Nonthaburi United</t>
  </si>
  <si>
    <t xml:space="preserve">info@nonthaburiunited.th</t>
  </si>
  <si>
    <t xml:space="preserve">Damion Brown</t>
  </si>
  <si>
    <t xml:space="preserve">Sekou Traore</t>
  </si>
  <si>
    <t xml:space="preserve">Max Toure</t>
  </si>
  <si>
    <t xml:space="preserve">Yamoussoukro Athletic</t>
  </si>
  <si>
    <t xml:space="preserve">info@yamoussoukroathletic.ci</t>
  </si>
  <si>
    <t xml:space="preserve">Patrick Njie</t>
  </si>
  <si>
    <t xml:space="preserve">Bafoussam Rangers</t>
  </si>
  <si>
    <t xml:space="preserve">info@bafoussamrangers.cm</t>
  </si>
  <si>
    <t xml:space="preserve">Michael Torres</t>
  </si>
  <si>
    <t xml:space="preserve">Otabek Karimov</t>
  </si>
  <si>
    <t xml:space="preserve">Chai Boonmee</t>
  </si>
  <si>
    <t xml:space="preserve">Rok Kranjc</t>
  </si>
  <si>
    <t xml:space="preserve">Kwabena Appiah</t>
  </si>
  <si>
    <t xml:space="preserve">Ronaldo Rondon</t>
  </si>
  <si>
    <t xml:space="preserve">Venezuela Amateur League</t>
  </si>
  <si>
    <t xml:space="preserve">Valencia Town</t>
  </si>
  <si>
    <t xml:space="preserve">info@valenciatown.ve</t>
  </si>
  <si>
    <t xml:space="preserve">Petar Radovic</t>
  </si>
  <si>
    <t xml:space="preserve">Berane Town</t>
  </si>
  <si>
    <t xml:space="preserve">info@beranetown.me</t>
  </si>
  <si>
    <t xml:space="preserve">Somchai Boonmee</t>
  </si>
  <si>
    <t xml:space="preserve">Bangkok United</t>
  </si>
  <si>
    <t xml:space="preserve">info@bangkokunited.th</t>
  </si>
  <si>
    <t xml:space="preserve">Abdoulaye Sow</t>
  </si>
  <si>
    <t xml:space="preserve">Dakar Rangers</t>
  </si>
  <si>
    <t xml:space="preserve">info@dakarrangers.sn</t>
  </si>
  <si>
    <t xml:space="preserve">Noah Clarke</t>
  </si>
  <si>
    <t xml:space="preserve">Sekou Diarra</t>
  </si>
  <si>
    <t xml:space="preserve">Kayes United</t>
  </si>
  <si>
    <t xml:space="preserve">info@kayesunited.ml</t>
  </si>
  <si>
    <t xml:space="preserve">Saba Kapanadze 13</t>
  </si>
  <si>
    <t xml:space="preserve">Rustavi United</t>
  </si>
  <si>
    <t xml:space="preserve">info@rustaviunited.ge</t>
  </si>
  <si>
    <t xml:space="preserve">Emmanuel Asante</t>
  </si>
  <si>
    <t xml:space="preserve">Accra City</t>
  </si>
  <si>
    <t xml:space="preserve">info@accracity.gh</t>
  </si>
  <si>
    <t xml:space="preserve">Given Sakala</t>
  </si>
  <si>
    <t xml:space="preserve">Kitwe Rangers</t>
  </si>
  <si>
    <t xml:space="preserve">info@kitwerangers.zm</t>
  </si>
  <si>
    <t xml:space="preserve">Somchai Sanguan</t>
  </si>
  <si>
    <t xml:space="preserve">Chiang Mai FC</t>
  </si>
  <si>
    <t xml:space="preserve">info@chiangmaifc.th</t>
  </si>
  <si>
    <t xml:space="preserve">Rok Zupan</t>
  </si>
  <si>
    <t xml:space="preserve">Kranj United</t>
  </si>
  <si>
    <t xml:space="preserve">info@kranjunited.si</t>
  </si>
  <si>
    <t xml:space="preserve">Diego Martinez</t>
  </si>
  <si>
    <t xml:space="preserve">Sucre Rovers</t>
  </si>
  <si>
    <t xml:space="preserve">info@sucrerovers.bo</t>
  </si>
  <si>
    <t xml:space="preserve">Damion Campbell</t>
  </si>
  <si>
    <t xml:space="preserve">Uros Krstic</t>
  </si>
  <si>
    <t xml:space="preserve">Wuilker Rondon</t>
  </si>
  <si>
    <t xml:space="preserve">Moussa Faye</t>
  </si>
  <si>
    <t xml:space="preserve">Anthony Mendoza</t>
  </si>
  <si>
    <t xml:space="preserve">Nicolas Ferreira</t>
  </si>
  <si>
    <t xml:space="preserve">Kevin Chavez</t>
  </si>
  <si>
    <t xml:space="preserve">Guayaquil Rovers</t>
  </si>
  <si>
    <t xml:space="preserve">info@guayaquilrovers.ec</t>
  </si>
  <si>
    <t xml:space="preserve">Eric Ngoy</t>
  </si>
  <si>
    <t xml:space="preserve">Garoua SC</t>
  </si>
  <si>
    <t xml:space="preserve">info@garouasc.cm</t>
  </si>
  <si>
    <t xml:space="preserve">Wilfried Diabate</t>
  </si>
  <si>
    <t xml:space="preserve">Janis Vitols 21</t>
  </si>
  <si>
    <t xml:space="preserve">Jelgava Athletic</t>
  </si>
  <si>
    <t xml:space="preserve">info@jelgavaathletic.lv</t>
  </si>
  <si>
    <t xml:space="preserve">Hoang Vu</t>
  </si>
  <si>
    <t xml:space="preserve">Da Nang City</t>
  </si>
  <si>
    <t xml:space="preserve">info@danangcity.vn</t>
  </si>
  <si>
    <t xml:space="preserve">Luis Campos</t>
  </si>
  <si>
    <t xml:space="preserve">Alajuela Wanderers</t>
  </si>
  <si>
    <t xml:space="preserve">info@alajuelawanderers.cr</t>
  </si>
  <si>
    <t xml:space="preserve">Ziga Kovac</t>
  </si>
  <si>
    <t xml:space="preserve">Ljubljana SC</t>
  </si>
  <si>
    <t xml:space="preserve">info@ljubljanasc.si</t>
  </si>
  <si>
    <t xml:space="preserve">Noah Taylor</t>
  </si>
  <si>
    <t xml:space="preserve">Hamilton City</t>
  </si>
  <si>
    <t xml:space="preserve">info@hamiltoncity.nz</t>
  </si>
  <si>
    <t xml:space="preserve">Yves Kone</t>
  </si>
  <si>
    <t xml:space="preserve">Bouake Athletic</t>
  </si>
  <si>
    <t xml:space="preserve">info@bouakeathletic.ci</t>
  </si>
  <si>
    <t xml:space="preserve">Mustafa Jabbar</t>
  </si>
  <si>
    <t xml:space="preserve">Bekzod Yuldashev</t>
  </si>
  <si>
    <t xml:space="preserve">Tashkent United</t>
  </si>
  <si>
    <t xml:space="preserve">info@tashkentunited.uz</t>
  </si>
  <si>
    <t xml:space="preserve">Jon Gudmundsson</t>
  </si>
  <si>
    <t xml:space="preserve">Keflavik Rangers</t>
  </si>
  <si>
    <t xml:space="preserve">info@keflavikrangers.is</t>
  </si>
  <si>
    <t xml:space="preserve">Diego Torres</t>
  </si>
  <si>
    <t xml:space="preserve">La Paz United</t>
  </si>
  <si>
    <t xml:space="preserve">info@lapazunited.bo</t>
  </si>
  <si>
    <t xml:space="preserve">Seo-jun Jung</t>
  </si>
  <si>
    <t xml:space="preserve">Marek Kukk</t>
  </si>
  <si>
    <t xml:space="preserve">Parnu FC</t>
  </si>
  <si>
    <t xml:space="preserve">info@parnufc.ee</t>
  </si>
  <si>
    <t xml:space="preserve">Ivan Kovacevic</t>
  </si>
  <si>
    <t xml:space="preserve">Osijek United</t>
  </si>
  <si>
    <t xml:space="preserve">info@osijekunited.hr</t>
  </si>
  <si>
    <t xml:space="preserve">Randall Morales</t>
  </si>
  <si>
    <t xml:space="preserve">Heredia United</t>
  </si>
  <si>
    <t xml:space="preserve">info@herediaunited.cr</t>
  </si>
  <si>
    <t xml:space="preserve">Otabek Rustamov</t>
  </si>
  <si>
    <t xml:space="preserve">Moussa Gueye</t>
  </si>
  <si>
    <t xml:space="preserve">Igor Ilic</t>
  </si>
  <si>
    <t xml:space="preserve">Bar Town</t>
  </si>
  <si>
    <t xml:space="preserve">info@bartown.me</t>
  </si>
  <si>
    <t xml:space="preserve">Kwame Appiah</t>
  </si>
  <si>
    <t xml:space="preserve">Min-jun Lee</t>
  </si>
  <si>
    <t xml:space="preserve">South Korea Third Tier - North</t>
  </si>
  <si>
    <t xml:space="preserve">Wilfried Traore</t>
  </si>
  <si>
    <t xml:space="preserve">Yamoussoukro United</t>
  </si>
  <si>
    <t xml:space="preserve">info@yamoussoukrounited.ci</t>
  </si>
  <si>
    <t xml:space="preserve">Roman Murillo</t>
  </si>
  <si>
    <t xml:space="preserve">David SC</t>
  </si>
  <si>
    <t xml:space="preserve">info@davidsc.pa</t>
  </si>
  <si>
    <t xml:space="preserve">Luka Kovac</t>
  </si>
  <si>
    <t xml:space="preserve">Jan Kovac</t>
  </si>
  <si>
    <t xml:space="preserve">Koper Rangers</t>
  </si>
  <si>
    <t xml:space="preserve">info@koperrangers.si</t>
  </si>
  <si>
    <t xml:space="preserve">Igor Perovic</t>
  </si>
  <si>
    <t xml:space="preserve">Haruto Suzuki</t>
  </si>
  <si>
    <t xml:space="preserve">Sapporo Rovers</t>
  </si>
  <si>
    <t xml:space="preserve">info@sappororovers.jp</t>
  </si>
  <si>
    <t xml:space="preserve">Devon Powell</t>
  </si>
  <si>
    <t xml:space="preserve">Spanish Town City</t>
  </si>
  <si>
    <t xml:space="preserve">info@spanishtowncity.jm</t>
  </si>
  <si>
    <t xml:space="preserve">Agustin Silva</t>
  </si>
  <si>
    <t xml:space="preserve">Salto SC</t>
  </si>
  <si>
    <t xml:space="preserve">info@saltosc.uy</t>
  </si>
  <si>
    <t xml:space="preserve">Bojan Krstic</t>
  </si>
  <si>
    <t xml:space="preserve">Klodian Hoxha</t>
  </si>
  <si>
    <t xml:space="preserve">Saba Gelashvili</t>
  </si>
  <si>
    <t xml:space="preserve">Ousmane Gueye</t>
  </si>
  <si>
    <t xml:space="preserve">Dakar Athletic</t>
  </si>
  <si>
    <t xml:space="preserve">info@dakarathletic.sn</t>
  </si>
  <si>
    <t xml:space="preserve">Jefferson Quinonez</t>
  </si>
  <si>
    <t xml:space="preserve">Noah Wilson</t>
  </si>
  <si>
    <t xml:space="preserve">Pongsak Charoensuk</t>
  </si>
  <si>
    <t xml:space="preserve">Stefan Petursson</t>
  </si>
  <si>
    <t xml:space="preserve">Reykjavik Rovers</t>
  </si>
  <si>
    <t xml:space="preserve">info@reykjavikrovers.is</t>
  </si>
  <si>
    <t xml:space="preserve">Bryan Martinez</t>
  </si>
  <si>
    <t xml:space="preserve">Didier Bamba</t>
  </si>
  <si>
    <t xml:space="preserve">Bouake SC</t>
  </si>
  <si>
    <t xml:space="preserve">info@bouakesc.ci</t>
  </si>
  <si>
    <t xml:space="preserve">Liam Brown</t>
  </si>
  <si>
    <t xml:space="preserve">Otabek Rashidov</t>
  </si>
  <si>
    <t xml:space="preserve">Chanda Zulu</t>
  </si>
  <si>
    <t xml:space="preserve">Ndola Athletic</t>
  </si>
  <si>
    <t xml:space="preserve">info@ndolaathletic.zm</t>
  </si>
  <si>
    <t xml:space="preserve">Wilfried Kouassi</t>
  </si>
  <si>
    <t xml:space="preserve">Yamoussoukro SC</t>
  </si>
  <si>
    <t xml:space="preserve">info@yamoussoukrosc.ci</t>
  </si>
  <si>
    <t xml:space="preserve">Ivan Kovac</t>
  </si>
  <si>
    <t xml:space="preserve">Andre Escobar</t>
  </si>
  <si>
    <t xml:space="preserve">Haruto Sato</t>
  </si>
  <si>
    <t xml:space="preserve">Sapporo SC</t>
  </si>
  <si>
    <t xml:space="preserve">info@sapporosc.jp</t>
  </si>
  <si>
    <t xml:space="preserve">Fidel Barrios</t>
  </si>
  <si>
    <t xml:space="preserve">Kristers Vitols 64</t>
  </si>
  <si>
    <t xml:space="preserve">Min-jun Kang</t>
  </si>
  <si>
    <t xml:space="preserve">Busan Town</t>
  </si>
  <si>
    <t xml:space="preserve">info@busantown.kr</t>
  </si>
  <si>
    <t xml:space="preserve">Kevin Chirinos</t>
  </si>
  <si>
    <t xml:space="preserve">Franck Kone</t>
  </si>
  <si>
    <t xml:space="preserve">San Pedro SC</t>
  </si>
  <si>
    <t xml:space="preserve">info@sanpedrosc.ci</t>
  </si>
  <si>
    <t xml:space="preserve">Diyorbek Rustamov</t>
  </si>
  <si>
    <t xml:space="preserve">Diego Flores</t>
  </si>
  <si>
    <t xml:space="preserve">Hussein Jabbar</t>
  </si>
  <si>
    <t xml:space="preserve">Erbil Rovers</t>
  </si>
  <si>
    <t xml:space="preserve">info@erbilrovers.iq</t>
  </si>
  <si>
    <t xml:space="preserve">Sora Tanaka</t>
  </si>
  <si>
    <t xml:space="preserve">Fukuoka FC</t>
  </si>
  <si>
    <t xml:space="preserve">info@fukuokafc.jp</t>
  </si>
  <si>
    <t xml:space="preserve">Junior Martinez</t>
  </si>
  <si>
    <t xml:space="preserve">Caracas Rangers</t>
  </si>
  <si>
    <t xml:space="preserve">info@caracasrangers.ve</t>
  </si>
  <si>
    <t xml:space="preserve">Min-jun Park</t>
  </si>
  <si>
    <t xml:space="preserve">Kristers Ozols 97</t>
  </si>
  <si>
    <t xml:space="preserve">Daugavpils Athletic</t>
  </si>
  <si>
    <t xml:space="preserve">info@daugavpilsathletic.lv</t>
  </si>
  <si>
    <t xml:space="preserve">Mwansa Phiri</t>
  </si>
  <si>
    <t xml:space="preserve">Modibo Diarra 25</t>
  </si>
  <si>
    <t xml:space="preserve">Do-yun Kim</t>
  </si>
  <si>
    <t xml:space="preserve">Gwangju Rovers</t>
  </si>
  <si>
    <t xml:space="preserve">info@gwangjurovers.kr</t>
  </si>
  <si>
    <t xml:space="preserve">Bledi Bardhi</t>
  </si>
  <si>
    <t xml:space="preserve">Aron Einarsson</t>
  </si>
  <si>
    <t xml:space="preserve">Reykjavik Rangers</t>
  </si>
  <si>
    <t xml:space="preserve">info@reykjavikrangers.is</t>
  </si>
  <si>
    <t xml:space="preserve">Darko Ristovski</t>
  </si>
  <si>
    <t xml:space="preserve">Bitola SC</t>
  </si>
  <si>
    <t xml:space="preserve">info@bitolasc.mk</t>
  </si>
  <si>
    <t xml:space="preserve">Michael Murillo</t>
  </si>
  <si>
    <t xml:space="preserve">David City</t>
  </si>
  <si>
    <t xml:space="preserve">info@davidcity.pa</t>
  </si>
  <si>
    <t xml:space="preserve">Kittipong Sanguan</t>
  </si>
  <si>
    <t xml:space="preserve">Bangkok City</t>
  </si>
  <si>
    <t xml:space="preserve">info@bangkokcity.th</t>
  </si>
  <si>
    <t xml:space="preserve">Toni Novak</t>
  </si>
  <si>
    <t xml:space="preserve">Bijelo Brdo City</t>
  </si>
  <si>
    <t xml:space="preserve">info@bijelobrdocity.hr</t>
  </si>
  <si>
    <t xml:space="preserve">Samuel Njie</t>
  </si>
  <si>
    <t xml:space="preserve">Douala Rovers</t>
  </si>
  <si>
    <t xml:space="preserve">info@doualarovers.cm</t>
  </si>
  <si>
    <t xml:space="preserve">Ibrahima Gueye</t>
  </si>
  <si>
    <t xml:space="preserve">Saint-Louis Rovers</t>
  </si>
  <si>
    <t xml:space="preserve">info@saintlouisrovers.sn</t>
  </si>
  <si>
    <t xml:space="preserve">Andre Lowe</t>
  </si>
  <si>
    <t xml:space="preserve">Spanish Town Athletic</t>
  </si>
  <si>
    <t xml:space="preserve">info@spanishtownathletic.jm</t>
  </si>
  <si>
    <t xml:space="preserve">Bryan Figueroa</t>
  </si>
  <si>
    <t xml:space="preserve">Tegucigalpa FC</t>
  </si>
  <si>
    <t xml:space="preserve">info@tegucigalpafc.hn</t>
  </si>
  <si>
    <t xml:space="preserve">Nam Pham</t>
  </si>
  <si>
    <t xml:space="preserve">Vietnam Reserve League</t>
  </si>
  <si>
    <t xml:space="preserve">Marlon Reid</t>
  </si>
  <si>
    <t xml:space="preserve">Spanish Town Rovers</t>
  </si>
  <si>
    <t xml:space="preserve">info@spanishtownrovers.jm</t>
  </si>
  <si>
    <t xml:space="preserve">Rok Kovac</t>
  </si>
  <si>
    <t xml:space="preserve">Kevin Saar</t>
  </si>
  <si>
    <t xml:space="preserve">Cristian Lopez</t>
  </si>
  <si>
    <t xml:space="preserve">Asuncion City</t>
  </si>
  <si>
    <t xml:space="preserve">info@asuncioncity.py</t>
  </si>
  <si>
    <t xml:space="preserve">Sherzod Rustamov</t>
  </si>
  <si>
    <t xml:space="preserve">Kaito Suzuki</t>
  </si>
  <si>
    <t xml:space="preserve">Sander Tamm</t>
  </si>
  <si>
    <t xml:space="preserve">Ardit Shala</t>
  </si>
  <si>
    <t xml:space="preserve">Elbasan City</t>
  </si>
  <si>
    <t xml:space="preserve">info@elbasancity.al</t>
  </si>
  <si>
    <t xml:space="preserve">Bledi Meta</t>
  </si>
  <si>
    <t xml:space="preserve">Elbasan Athletic</t>
  </si>
  <si>
    <t xml:space="preserve">info@elbasanathletic.al</t>
  </si>
  <si>
    <t xml:space="preserve">Agustin Ferreira</t>
  </si>
  <si>
    <t xml:space="preserve">Dusan Petrovic</t>
  </si>
  <si>
    <t xml:space="preserve">Eric Njie</t>
  </si>
  <si>
    <t xml:space="preserve">Luka Novak</t>
  </si>
  <si>
    <t xml:space="preserve">Osijek Rangers</t>
  </si>
  <si>
    <t xml:space="preserve">info@osijekrangers.hr</t>
  </si>
  <si>
    <t xml:space="preserve">Sherzod Tashkentov</t>
  </si>
  <si>
    <t xml:space="preserve">Samarkand FC</t>
  </si>
  <si>
    <t xml:space="preserve">info@samarkandfc.uz</t>
  </si>
  <si>
    <t xml:space="preserve">Olafur Halldorsson</t>
  </si>
  <si>
    <t xml:space="preserve">Iceland Third Tier - North</t>
  </si>
  <si>
    <t xml:space="preserve">Selfoss United</t>
  </si>
  <si>
    <t xml:space="preserve">info@selfossunited.is</t>
  </si>
  <si>
    <t xml:space="preserve">Min-jun Jung</t>
  </si>
  <si>
    <t xml:space="preserve">Incheon SC</t>
  </si>
  <si>
    <t xml:space="preserve">info@incheonsc.kr</t>
  </si>
  <si>
    <t xml:space="preserve">Darko Stojanovski</t>
  </si>
  <si>
    <t xml:space="preserve">Ivan Lopez</t>
  </si>
  <si>
    <t xml:space="preserve">Asuncion SC</t>
  </si>
  <si>
    <t xml:space="preserve">info@asuncionsc.py</t>
  </si>
  <si>
    <t xml:space="preserve">Kevin Figueroa</t>
  </si>
  <si>
    <t xml:space="preserve">La Ceiba Athletic</t>
  </si>
  <si>
    <t xml:space="preserve">info@laceibaathletic.hn</t>
  </si>
  <si>
    <t xml:space="preserve">Edgars Berzins 12</t>
  </si>
  <si>
    <t xml:space="preserve">Maximiliano Gonzalez</t>
  </si>
  <si>
    <t xml:space="preserve">Sardor Yusupov 83</t>
  </si>
  <si>
    <t xml:space="preserve">Bukhara Rangers</t>
  </si>
  <si>
    <t xml:space="preserve">info@bukhararangers.uz</t>
  </si>
  <si>
    <t xml:space="preserve">Romell Elvir</t>
  </si>
  <si>
    <t xml:space="preserve">San Pedro Sula Town</t>
  </si>
  <si>
    <t xml:space="preserve">info@sanpedrosulatown.hn</t>
  </si>
  <si>
    <t xml:space="preserve">Andre Bailey</t>
  </si>
  <si>
    <t xml:space="preserve">Kingston Rovers</t>
  </si>
  <si>
    <t xml:space="preserve">info@kingstonrovers.jm</t>
  </si>
  <si>
    <t xml:space="preserve">Ziga Krajnc</t>
  </si>
  <si>
    <t xml:space="preserve">Celje Wanderers</t>
  </si>
  <si>
    <t xml:space="preserve">info@celjewanderers.si</t>
  </si>
  <si>
    <t xml:space="preserve">Adalberto Escobar</t>
  </si>
  <si>
    <t xml:space="preserve">Panama City Rovers</t>
  </si>
  <si>
    <t xml:space="preserve">info@panamacityrovers.pa</t>
  </si>
  <si>
    <t xml:space="preserve">Andres Mendoza</t>
  </si>
  <si>
    <t xml:space="preserve">Manta FC</t>
  </si>
  <si>
    <t xml:space="preserve">info@mantafc.ec</t>
  </si>
  <si>
    <t xml:space="preserve">Maximiliano Ferreira</t>
  </si>
  <si>
    <t xml:space="preserve">Paysandu Rovers</t>
  </si>
  <si>
    <t xml:space="preserve">info@paysandurovers.uy</t>
  </si>
  <si>
    <t xml:space="preserve">Bekzod Yuldashev 63</t>
  </si>
  <si>
    <t xml:space="preserve">Andijan Rangers</t>
  </si>
  <si>
    <t xml:space="preserve">info@andijanrangers.uz</t>
  </si>
  <si>
    <t xml:space="preserve">Anthony Chirinos</t>
  </si>
  <si>
    <t xml:space="preserve">Mamadou Diop</t>
  </si>
  <si>
    <t xml:space="preserve">Ziguinchor Wanderers</t>
  </si>
  <si>
    <t xml:space="preserve">info@ziguinchorwanderers.sn</t>
  </si>
  <si>
    <t xml:space="preserve">Sherzod Rustamov 77</t>
  </si>
  <si>
    <t xml:space="preserve">Agustin Pereira 28</t>
  </si>
  <si>
    <t xml:space="preserve">Abdoulaye Faye</t>
  </si>
  <si>
    <t xml:space="preserve">Serge Diabate</t>
  </si>
  <si>
    <t xml:space="preserve">Shamar Lowe</t>
  </si>
  <si>
    <t xml:space="preserve">Kingston FC</t>
  </si>
  <si>
    <t xml:space="preserve">info@kingstonfc.jm</t>
  </si>
  <si>
    <t xml:space="preserve">Andre Mbia</t>
  </si>
  <si>
    <t xml:space="preserve">Sardor Rustamov 12</t>
  </si>
  <si>
    <t xml:space="preserve">Sander Kukk</t>
  </si>
  <si>
    <t xml:space="preserve">Estonia Provincial League</t>
  </si>
  <si>
    <t xml:space="preserve">Tallinn FC</t>
  </si>
  <si>
    <t xml:space="preserve">info@tallinnfc.ee</t>
  </si>
  <si>
    <t xml:space="preserve">Anon Rattanakosin</t>
  </si>
  <si>
    <t xml:space="preserve">Bangkok Rovers</t>
  </si>
  <si>
    <t xml:space="preserve">info@bangkokrovers.th</t>
  </si>
  <si>
    <t xml:space="preserve">Giorgi Kapanadze 81</t>
  </si>
  <si>
    <t xml:space="preserve">Kutaisi United</t>
  </si>
  <si>
    <t xml:space="preserve">info@kutaisiunited.ge</t>
  </si>
  <si>
    <t xml:space="preserve">Enock Zulu</t>
  </si>
  <si>
    <t xml:space="preserve">Saba Lomidze 64</t>
  </si>
  <si>
    <t xml:space="preserve">Mustafa Hassan</t>
  </si>
  <si>
    <t xml:space="preserve">Najaf FC</t>
  </si>
  <si>
    <t xml:space="preserve">info@najaffc.iq</t>
  </si>
  <si>
    <t xml:space="preserve">Yves Kouassi</t>
  </si>
  <si>
    <t xml:space="preserve">Toni Radic</t>
  </si>
  <si>
    <t xml:space="preserve">Marlon Mejia</t>
  </si>
  <si>
    <t xml:space="preserve">San Pedro Sula Rovers</t>
  </si>
  <si>
    <t xml:space="preserve">info@sanpedrosularovers.hn</t>
  </si>
  <si>
    <t xml:space="preserve">Liam Clarke</t>
  </si>
  <si>
    <t xml:space="preserve">Samuel Onana</t>
  </si>
  <si>
    <t xml:space="preserve">Bafoussam FC</t>
  </si>
  <si>
    <t xml:space="preserve">info@bafoussamfc.cm</t>
  </si>
  <si>
    <t xml:space="preserve">Junior Gonzalez</t>
  </si>
  <si>
    <t xml:space="preserve">Kristers Kalns 52</t>
  </si>
  <si>
    <t xml:space="preserve">Sota Sato</t>
  </si>
  <si>
    <t xml:space="preserve">Seo-jun Lee</t>
  </si>
  <si>
    <t xml:space="preserve">Michael Escobar</t>
  </si>
  <si>
    <t xml:space="preserve">Facundo Acosta 76</t>
  </si>
  <si>
    <t xml:space="preserve">Carlos Mendoza</t>
  </si>
  <si>
    <t xml:space="preserve">Cuenca SC</t>
  </si>
  <si>
    <t xml:space="preserve">info@cuencasc.ec</t>
  </si>
  <si>
    <t xml:space="preserve">Amadou Traore 89</t>
  </si>
  <si>
    <t xml:space="preserve">Karlo Horvat</t>
  </si>
  <si>
    <t xml:space="preserve">Bijelo Brdo Rovers</t>
  </si>
  <si>
    <t xml:space="preserve">info@bijelobrdorovers.hr</t>
  </si>
  <si>
    <t xml:space="preserve">Andrej Vukotic</t>
  </si>
  <si>
    <t xml:space="preserve">Podgorica Wanderers</t>
  </si>
  <si>
    <t xml:space="preserve">info@podgoricawanderers.me</t>
  </si>
  <si>
    <t xml:space="preserve">Oumar Camara 95</t>
  </si>
  <si>
    <t xml:space="preserve">Ziga Novak</t>
  </si>
  <si>
    <t xml:space="preserve">Ljubljana Athletic</t>
  </si>
  <si>
    <t xml:space="preserve">info@ljubljanaathletic.si</t>
  </si>
  <si>
    <t xml:space="preserve">Josip Kovac</t>
  </si>
  <si>
    <t xml:space="preserve">Bijelo Brdo Wanderers</t>
  </si>
  <si>
    <t xml:space="preserve">info@bijelobrdowanderers.hr</t>
  </si>
  <si>
    <t xml:space="preserve">Given Mwansa</t>
  </si>
  <si>
    <t xml:space="preserve">Livingstone SC</t>
  </si>
  <si>
    <t xml:space="preserve">info@livingstonesc.zm</t>
  </si>
  <si>
    <t xml:space="preserve">Bryan Zambrano</t>
  </si>
  <si>
    <t xml:space="preserve">Guayaquil United</t>
  </si>
  <si>
    <t xml:space="preserve">info@guayaquilunited.ec</t>
  </si>
  <si>
    <t xml:space="preserve">Quang Tran</t>
  </si>
  <si>
    <t xml:space="preserve">Hanoi Town</t>
  </si>
  <si>
    <t xml:space="preserve">info@hanoitown.vn</t>
  </si>
  <si>
    <t xml:space="preserve">Hoang Pham</t>
  </si>
  <si>
    <t xml:space="preserve">Hai Phong FC</t>
  </si>
  <si>
    <t xml:space="preserve">info@haiphongfc.vn</t>
  </si>
  <si>
    <t xml:space="preserve">Jean Ngoy</t>
  </si>
  <si>
    <t xml:space="preserve">Anon Srisawat</t>
  </si>
  <si>
    <t xml:space="preserve">Nonthaburi FC</t>
  </si>
  <si>
    <t xml:space="preserve">info@nonthaburifc.th</t>
  </si>
  <si>
    <t xml:space="preserve">Quang Le</t>
  </si>
  <si>
    <t xml:space="preserve">Hai Phong Rangers</t>
  </si>
  <si>
    <t xml:space="preserve">info@haiphongrangers.vn</t>
  </si>
  <si>
    <t xml:space="preserve">Matias Perez</t>
  </si>
  <si>
    <t xml:space="preserve">Encarnacion FC</t>
  </si>
  <si>
    <t xml:space="preserve">info@encarnacionfc.py</t>
  </si>
  <si>
    <t xml:space="preserve">Bledi Duro</t>
  </si>
  <si>
    <t xml:space="preserve">Shkoder SC</t>
  </si>
  <si>
    <t xml:space="preserve">info@shkodersc.al</t>
  </si>
  <si>
    <t xml:space="preserve">Shamar Powell</t>
  </si>
  <si>
    <t xml:space="preserve">Vladimir Petrovic</t>
  </si>
  <si>
    <t xml:space="preserve">Kofi Owusu</t>
  </si>
  <si>
    <t xml:space="preserve">Giorgi Kapanadze 99</t>
  </si>
  <si>
    <t xml:space="preserve">Batumi Wanderers</t>
  </si>
  <si>
    <t xml:space="preserve">info@batumiwanderers.ge</t>
  </si>
  <si>
    <t xml:space="preserve">Do-yun Jung</t>
  </si>
  <si>
    <t xml:space="preserve">Daegu City</t>
  </si>
  <si>
    <t xml:space="preserve">info@daegucity.kr</t>
  </si>
  <si>
    <t xml:space="preserve">Igor Mitrovski</t>
  </si>
  <si>
    <t xml:space="preserve">Haruto Ito</t>
  </si>
  <si>
    <t xml:space="preserve">Fukuoka Rovers</t>
  </si>
  <si>
    <t xml:space="preserve">info@fukuokarovers.jp</t>
  </si>
  <si>
    <t xml:space="preserve">Edgars Liepa 93</t>
  </si>
  <si>
    <t xml:space="preserve">Facundo Pereira 32</t>
  </si>
  <si>
    <t xml:space="preserve">Paysandu SC</t>
  </si>
  <si>
    <t xml:space="preserve">info@paysandusc.uy</t>
  </si>
  <si>
    <t xml:space="preserve">Franck Toure 21</t>
  </si>
  <si>
    <t xml:space="preserve">Cristian Cardozo</t>
  </si>
  <si>
    <t xml:space="preserve">Luque SC</t>
  </si>
  <si>
    <t xml:space="preserve">info@luquesc.py</t>
  </si>
  <si>
    <t xml:space="preserve">Sekou Traore 67</t>
  </si>
  <si>
    <t xml:space="preserve">Mopti Rovers</t>
  </si>
  <si>
    <t xml:space="preserve">info@moptirovers.ml</t>
  </si>
  <si>
    <t xml:space="preserve">Ibrahim Mensah</t>
  </si>
  <si>
    <t xml:space="preserve">Ethan Brown</t>
  </si>
  <si>
    <t xml:space="preserve">Jesus Martinez</t>
  </si>
  <si>
    <t xml:space="preserve">Kevin Pikk</t>
  </si>
  <si>
    <t xml:space="preserve">Tartu Athletic</t>
  </si>
  <si>
    <t xml:space="preserve">info@tartuathletic.ee</t>
  </si>
  <si>
    <t xml:space="preserve">Franco Fernandez</t>
  </si>
  <si>
    <t xml:space="preserve">Bryan Chirinos</t>
  </si>
  <si>
    <t xml:space="preserve">Max Bamba 20</t>
  </si>
  <si>
    <t xml:space="preserve">Duc Hoang</t>
  </si>
  <si>
    <t xml:space="preserve">Sander Saar</t>
  </si>
  <si>
    <t xml:space="preserve">Parnu Athletic</t>
  </si>
  <si>
    <t xml:space="preserve">info@parnuathletic.ee</t>
  </si>
  <si>
    <t xml:space="preserve">Souleymane Diarra 90</t>
  </si>
  <si>
    <t xml:space="preserve">Bamako SC</t>
  </si>
  <si>
    <t xml:space="preserve">info@bamakosc.ml</t>
  </si>
  <si>
    <t xml:space="preserve">Oumar Coulibaly 59</t>
  </si>
  <si>
    <t xml:space="preserve">Sikasso Rovers</t>
  </si>
  <si>
    <t xml:space="preserve">info@sikassorovers.ml</t>
  </si>
  <si>
    <t xml:space="preserve">Bojan Ilic</t>
  </si>
  <si>
    <t xml:space="preserve">Dobanovci Town</t>
  </si>
  <si>
    <t xml:space="preserve">info@dobanovcitown.rs</t>
  </si>
  <si>
    <t xml:space="preserve">Arturs Berzins 17</t>
  </si>
  <si>
    <t xml:space="preserve">Kristijan Naumovski</t>
  </si>
  <si>
    <t xml:space="preserve">Ohrid SC</t>
  </si>
  <si>
    <t xml:space="preserve">info@ohridsc.mk</t>
  </si>
  <si>
    <t xml:space="preserve">Kwame Agyemang</t>
  </si>
  <si>
    <t xml:space="preserve">Accra Town</t>
  </si>
  <si>
    <t xml:space="preserve">info@accratown.gh</t>
  </si>
  <si>
    <t xml:space="preserve">Oumar Traore 36</t>
  </si>
  <si>
    <t xml:space="preserve">Bamako City</t>
  </si>
  <si>
    <t xml:space="preserve">info@bamakocity.ml</t>
  </si>
  <si>
    <t xml:space="preserve">Edgars Berzins 27</t>
  </si>
  <si>
    <t xml:space="preserve">Luis Vargas</t>
  </si>
  <si>
    <t xml:space="preserve">Kevin Mejia</t>
  </si>
  <si>
    <t xml:space="preserve">Karim Abbas</t>
  </si>
  <si>
    <t xml:space="preserve">Najaf Town</t>
  </si>
  <si>
    <t xml:space="preserve">info@najaftown.iq</t>
  </si>
  <si>
    <t xml:space="preserve">Kristijan Stojanovski</t>
  </si>
  <si>
    <t xml:space="preserve">Bitola Wanderers</t>
  </si>
  <si>
    <t xml:space="preserve">info@bitolawanderers.mk</t>
  </si>
  <si>
    <t xml:space="preserve">Seo-jun Park</t>
  </si>
  <si>
    <t xml:space="preserve">Kofi Boateng</t>
  </si>
  <si>
    <t xml:space="preserve">Minh Tran</t>
  </si>
  <si>
    <t xml:space="preserve">Arturs Kalns 23</t>
  </si>
  <si>
    <t xml:space="preserve">Maximiliano Pereira 77</t>
  </si>
  <si>
    <t xml:space="preserve">Paysandu City</t>
  </si>
  <si>
    <t xml:space="preserve">info@paysanducity.uy</t>
  </si>
  <si>
    <t xml:space="preserve">Patrick Etoo</t>
  </si>
  <si>
    <t xml:space="preserve">Douala Athletic</t>
  </si>
  <si>
    <t xml:space="preserve">info@doualaathletic.cm</t>
  </si>
  <si>
    <t xml:space="preserve">Wesly Palacios</t>
  </si>
  <si>
    <t xml:space="preserve">San Pedro Sula FC</t>
  </si>
  <si>
    <t xml:space="preserve">info@sanpedrosulafc.hn</t>
  </si>
  <si>
    <t xml:space="preserve">Kwabena Mensah</t>
  </si>
  <si>
    <t xml:space="preserve">Mateo Martinez 25</t>
  </si>
  <si>
    <t xml:space="preserve">Rows above are SAMPLE data (1000 fictional players, ages 17-26, spanning 32 countries worldwide). Club contact emails are illustrative formats, not real verified addresses -- confirm on the club's official site before use. Age Verification Source / Verify Age point to real, legitimate places to confirm identity and DOB (never a fabricated profile link, since that could accidentally point to an unrelated real person). Never contact a minor (under 18) directly -- go through the club's youth/academy office. Date Added / Last Updated reflect the weekly refresh cadence (10 new players added, all players' stats refreshed, each week -- see weekly_update.py). See the Research &amp; Build Plan doc for real data sources.</t>
  </si>
  <si>
    <t xml:space="preserve">Player</t>
  </si>
  <si>
    <t xml:space="preserve">Minutes</t>
  </si>
  <si>
    <t xml:space="preserve">GA / 90</t>
  </si>
  <si>
    <t xml:space="preserve">Prog / 90</t>
  </si>
  <si>
    <t xml:space="preserve">Def / 90</t>
  </si>
  <si>
    <t xml:space="preserve">Tier Multiplier</t>
  </si>
  <si>
    <t xml:space="preserve">GA Percentile</t>
  </si>
  <si>
    <t xml:space="preserve">Prog Percentile</t>
  </si>
  <si>
    <t xml:space="preserve">Def Percentile</t>
  </si>
  <si>
    <t xml:space="preserve">Youth Percentile</t>
  </si>
  <si>
    <t xml:space="preserve">Performance Score</t>
  </si>
  <si>
    <t xml:space="preserve">Performance Percentile</t>
  </si>
  <si>
    <t xml:space="preserve">Market Visibility Percentile</t>
  </si>
  <si>
    <t xml:space="preserve">Undervalued Score</t>
  </si>
  <si>
    <t xml:space="preserve">Contract Expires</t>
  </si>
  <si>
    <t xml:space="preserve">Flag</t>
  </si>
  <si>
    <t xml:space="preserve">Pass/Carry Ratio</t>
  </si>
  <si>
    <t xml:space="preserve">System Fit</t>
  </si>
  <si>
    <t xml:space="preserve">Transfer Pathway Countries</t>
  </si>
  <si>
    <t xml:space="preserve">Move Type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</si>
</sst>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%"/>
    <numFmt numFmtId="166" formatCode="0.00"/>
    <numFmt numFmtId="167" formatCode="0.0"/>
    <numFmt numFmtId="168" formatCode="\$#,##0;&quot;($&quot;#,##0\);\-"/>
    <numFmt numFmtId="169" formatCode="0.000"/>
    <numFmt numFmtId="170" formatCode="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2"/>
      <color rgb="FF1F3A5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i val="true"/>
      <sz val="9"/>
      <color rgb="FF777777"/>
      <name val="Arial"/>
      <family val="0"/>
      <charset val="1"/>
    </font>
    <font>
      <sz val="10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A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96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63BE7B"/>
          <bgColor rgb="FF000000"/>
        </patternFill>
      </fill>
    </dxf>
    <dxf>
      <fill>
        <patternFill patternType="solid">
          <fgColor rgb="FF67BF7C"/>
          <bgColor rgb="FF000000"/>
        </patternFill>
      </fill>
    </dxf>
    <dxf>
      <fill>
        <patternFill patternType="solid">
          <fgColor rgb="FF67C07C"/>
          <bgColor rgb="FF000000"/>
        </patternFill>
      </fill>
    </dxf>
    <dxf>
      <fill>
        <patternFill patternType="solid">
          <fgColor rgb="FF68C07C"/>
          <bgColor rgb="FF000000"/>
        </patternFill>
      </fill>
    </dxf>
    <dxf>
      <fill>
        <patternFill patternType="solid">
          <fgColor rgb="FF6AC07C"/>
          <bgColor rgb="FF000000"/>
        </patternFill>
      </fill>
    </dxf>
    <dxf>
      <fill>
        <patternFill patternType="solid">
          <fgColor rgb="FF6BC17C"/>
          <bgColor rgb="FF000000"/>
        </patternFill>
      </fill>
    </dxf>
    <dxf>
      <fill>
        <patternFill patternType="solid">
          <fgColor rgb="FF6CC17C"/>
          <bgColor rgb="FF000000"/>
        </patternFill>
      </fill>
    </dxf>
    <dxf>
      <fill>
        <patternFill patternType="solid">
          <fgColor rgb="FF6DC17C"/>
          <bgColor rgb="FF000000"/>
        </patternFill>
      </fill>
    </dxf>
    <dxf>
      <fill>
        <patternFill patternType="solid">
          <fgColor rgb="FF6EC27C"/>
          <bgColor rgb="FF000000"/>
        </patternFill>
      </fill>
    </dxf>
    <dxf>
      <fill>
        <patternFill patternType="solid">
          <fgColor rgb="FF70C27C"/>
          <bgColor rgb="FF000000"/>
        </patternFill>
      </fill>
    </dxf>
    <dxf>
      <fill>
        <patternFill patternType="solid">
          <fgColor rgb="FF71C27C"/>
          <bgColor rgb="FF000000"/>
        </patternFill>
      </fill>
    </dxf>
    <dxf>
      <fill>
        <patternFill patternType="solid">
          <fgColor rgb="FF72C37C"/>
          <bgColor rgb="FF000000"/>
        </patternFill>
      </fill>
    </dxf>
    <dxf>
      <fill>
        <patternFill patternType="solid">
          <fgColor rgb="FF73C37C"/>
          <bgColor rgb="FF000000"/>
        </patternFill>
      </fill>
    </dxf>
    <dxf>
      <fill>
        <patternFill patternType="solid">
          <fgColor rgb="FF76C47D"/>
          <bgColor rgb="FF000000"/>
        </patternFill>
      </fill>
    </dxf>
    <dxf>
      <fill>
        <patternFill patternType="solid">
          <fgColor rgb="FF78C47D"/>
          <bgColor rgb="FF000000"/>
        </patternFill>
      </fill>
    </dxf>
    <dxf>
      <fill>
        <patternFill patternType="solid">
          <fgColor rgb="FF79C57D"/>
          <bgColor rgb="FF000000"/>
        </patternFill>
      </fill>
    </dxf>
    <dxf>
      <fill>
        <patternFill patternType="solid">
          <fgColor rgb="FF7AC57D"/>
          <bgColor rgb="FF000000"/>
        </patternFill>
      </fill>
    </dxf>
    <dxf>
      <fill>
        <patternFill patternType="solid">
          <fgColor rgb="FF7BC57D"/>
          <bgColor rgb="FF000000"/>
        </patternFill>
      </fill>
    </dxf>
    <dxf>
      <fill>
        <patternFill patternType="solid">
          <fgColor rgb="FF7CC67D"/>
          <bgColor rgb="FF000000"/>
        </patternFill>
      </fill>
    </dxf>
    <dxf>
      <fill>
        <patternFill patternType="solid">
          <fgColor rgb="FF7FC77D"/>
          <bgColor rgb="FF000000"/>
        </patternFill>
      </fill>
    </dxf>
    <dxf>
      <fill>
        <patternFill patternType="solid">
          <fgColor rgb="FF80C77D"/>
          <bgColor rgb="FF000000"/>
        </patternFill>
      </fill>
    </dxf>
    <dxf>
      <fill>
        <patternFill patternType="solid">
          <fgColor rgb="FF81C77D"/>
          <bgColor rgb="FF000000"/>
        </patternFill>
      </fill>
    </dxf>
    <dxf>
      <fill>
        <patternFill patternType="solid">
          <fgColor rgb="FF82C77D"/>
          <bgColor rgb="FF000000"/>
        </patternFill>
      </fill>
    </dxf>
    <dxf>
      <fill>
        <patternFill patternType="solid">
          <fgColor rgb="FF84C87D"/>
          <bgColor rgb="FF000000"/>
        </patternFill>
      </fill>
    </dxf>
    <dxf>
      <fill>
        <patternFill patternType="solid">
          <fgColor rgb="FF85C87D"/>
          <bgColor rgb="FF000000"/>
        </patternFill>
      </fill>
    </dxf>
    <dxf>
      <fill>
        <patternFill patternType="solid">
          <fgColor rgb="FF86C87D"/>
          <bgColor rgb="FF000000"/>
        </patternFill>
      </fill>
    </dxf>
    <dxf>
      <fill>
        <patternFill patternType="solid">
          <fgColor rgb="FF87C97E"/>
          <bgColor rgb="FF000000"/>
        </patternFill>
      </fill>
    </dxf>
    <dxf>
      <fill>
        <patternFill patternType="solid">
          <fgColor rgb="FF89C97E"/>
          <bgColor rgb="FF000000"/>
        </patternFill>
      </fill>
    </dxf>
    <dxf>
      <fill>
        <patternFill patternType="solid">
          <fgColor rgb="FF8ACA7E"/>
          <bgColor rgb="FF000000"/>
        </patternFill>
      </fill>
    </dxf>
    <dxf>
      <fill>
        <patternFill patternType="solid">
          <fgColor rgb="FF8BCA7E"/>
          <bgColor rgb="FF000000"/>
        </patternFill>
      </fill>
    </dxf>
    <dxf>
      <fill>
        <patternFill patternType="solid">
          <fgColor rgb="FF8CCA7E"/>
          <bgColor rgb="FF000000"/>
        </patternFill>
      </fill>
    </dxf>
    <dxf>
      <fill>
        <patternFill patternType="solid">
          <fgColor rgb="FF8DCA7E"/>
          <bgColor rgb="FF000000"/>
        </patternFill>
      </fill>
    </dxf>
    <dxf>
      <fill>
        <patternFill patternType="solid">
          <fgColor rgb="FF8DCB7E"/>
          <bgColor rgb="FF000000"/>
        </patternFill>
      </fill>
    </dxf>
    <dxf>
      <fill>
        <patternFill patternType="solid">
          <fgColor rgb="FF8ECB7E"/>
          <bgColor rgb="FF000000"/>
        </patternFill>
      </fill>
    </dxf>
    <dxf>
      <fill>
        <patternFill patternType="solid">
          <fgColor rgb="FF8FCB7E"/>
          <bgColor rgb="FF000000"/>
        </patternFill>
      </fill>
    </dxf>
    <dxf>
      <fill>
        <patternFill patternType="solid">
          <fgColor rgb="FF90CB7E"/>
          <bgColor rgb="FF000000"/>
        </patternFill>
      </fill>
    </dxf>
    <dxf>
      <fill>
        <patternFill patternType="solid">
          <fgColor rgb="FF91CC7E"/>
          <bgColor rgb="FF000000"/>
        </patternFill>
      </fill>
    </dxf>
    <dxf>
      <fill>
        <patternFill patternType="solid">
          <fgColor rgb="FF92CC7E"/>
          <bgColor rgb="FF000000"/>
        </patternFill>
      </fill>
    </dxf>
    <dxf>
      <fill>
        <patternFill patternType="solid">
          <fgColor rgb="FF94CC7E"/>
          <bgColor rgb="FF000000"/>
        </patternFill>
      </fill>
    </dxf>
    <dxf>
      <fill>
        <patternFill patternType="solid">
          <fgColor rgb="FF95CD7E"/>
          <bgColor rgb="FF000000"/>
        </patternFill>
      </fill>
    </dxf>
    <dxf>
      <fill>
        <patternFill patternType="solid">
          <fgColor rgb="FF96CD7E"/>
          <bgColor rgb="FF000000"/>
        </patternFill>
      </fill>
    </dxf>
    <dxf>
      <fill>
        <patternFill patternType="solid">
          <fgColor rgb="FF97CD7E"/>
          <bgColor rgb="FF000000"/>
        </patternFill>
      </fill>
    </dxf>
    <dxf>
      <fill>
        <patternFill patternType="solid">
          <fgColor rgb="FF99CE7F"/>
          <bgColor rgb="FF000000"/>
        </patternFill>
      </fill>
    </dxf>
    <dxf>
      <fill>
        <patternFill patternType="solid">
          <fgColor rgb="FF9ACE7F"/>
          <bgColor rgb="FF000000"/>
        </patternFill>
      </fill>
    </dxf>
    <dxf>
      <fill>
        <patternFill patternType="solid">
          <fgColor rgb="FF9BCE7F"/>
          <bgColor rgb="FF000000"/>
        </patternFill>
      </fill>
    </dxf>
    <dxf>
      <fill>
        <patternFill patternType="solid">
          <fgColor rgb="FF9BCF7F"/>
          <bgColor rgb="FF000000"/>
        </patternFill>
      </fill>
    </dxf>
    <dxf>
      <fill>
        <patternFill patternType="solid">
          <fgColor rgb="FF9CCF7F"/>
          <bgColor rgb="FF000000"/>
        </patternFill>
      </fill>
    </dxf>
    <dxf>
      <fill>
        <patternFill patternType="solid">
          <fgColor rgb="FF9DCF7F"/>
          <bgColor rgb="FF000000"/>
        </patternFill>
      </fill>
    </dxf>
    <dxf>
      <fill>
        <patternFill patternType="solid">
          <fgColor rgb="FF9ECF7F"/>
          <bgColor rgb="FF000000"/>
        </patternFill>
      </fill>
    </dxf>
    <dxf>
      <fill>
        <patternFill patternType="solid">
          <fgColor rgb="FF9FD07F"/>
          <bgColor rgb="FF000000"/>
        </patternFill>
      </fill>
    </dxf>
    <dxf>
      <fill>
        <patternFill patternType="solid">
          <fgColor rgb="FFA0D07F"/>
          <bgColor rgb="FF000000"/>
        </patternFill>
      </fill>
    </dxf>
    <dxf>
      <fill>
        <patternFill patternType="solid">
          <fgColor rgb="FFA1D07F"/>
          <bgColor rgb="FF000000"/>
        </patternFill>
      </fill>
    </dxf>
    <dxf>
      <fill>
        <patternFill patternType="solid">
          <fgColor rgb="FFA2D17F"/>
          <bgColor rgb="FF000000"/>
        </patternFill>
      </fill>
    </dxf>
    <dxf>
      <fill>
        <patternFill patternType="solid">
          <fgColor rgb="FFA3D17F"/>
          <bgColor rgb="FF000000"/>
        </patternFill>
      </fill>
    </dxf>
    <dxf>
      <fill>
        <patternFill patternType="solid">
          <fgColor rgb="FFA5D17F"/>
          <bgColor rgb="FF000000"/>
        </patternFill>
      </fill>
    </dxf>
    <dxf>
      <fill>
        <patternFill patternType="solid">
          <fgColor rgb="FFA5D27F"/>
          <bgColor rgb="FF000000"/>
        </patternFill>
      </fill>
    </dxf>
    <dxf>
      <fill>
        <patternFill patternType="solid">
          <fgColor rgb="FFA6D27F"/>
          <bgColor rgb="FF000000"/>
        </patternFill>
      </fill>
    </dxf>
    <dxf>
      <fill>
        <patternFill patternType="solid">
          <fgColor rgb="FFA7D27F"/>
          <bgColor rgb="FF000000"/>
        </patternFill>
      </fill>
    </dxf>
    <dxf>
      <fill>
        <patternFill patternType="solid">
          <fgColor rgb="FFA8D27F"/>
          <bgColor rgb="FF000000"/>
        </patternFill>
      </fill>
    </dxf>
    <dxf>
      <fill>
        <patternFill patternType="solid">
          <fgColor rgb="FFA9D27F"/>
          <bgColor rgb="FF000000"/>
        </patternFill>
      </fill>
    </dxf>
    <dxf>
      <fill>
        <patternFill patternType="solid">
          <fgColor rgb="FFA9D380"/>
          <bgColor rgb="FF000000"/>
        </patternFill>
      </fill>
    </dxf>
    <dxf>
      <fill>
        <patternFill patternType="solid">
          <fgColor rgb="FFAAD380"/>
          <bgColor rgb="FF000000"/>
        </patternFill>
      </fill>
    </dxf>
    <dxf>
      <fill>
        <patternFill patternType="solid">
          <fgColor rgb="FFABD380"/>
          <bgColor rgb="FF000000"/>
        </patternFill>
      </fill>
    </dxf>
    <dxf>
      <fill>
        <patternFill patternType="solid">
          <fgColor rgb="FFACD380"/>
          <bgColor rgb="FF000000"/>
        </patternFill>
      </fill>
    </dxf>
    <dxf>
      <fill>
        <patternFill patternType="solid">
          <fgColor rgb="FFADD480"/>
          <bgColor rgb="FF000000"/>
        </patternFill>
      </fill>
    </dxf>
    <dxf>
      <fill>
        <patternFill patternType="solid">
          <fgColor rgb="FFAED480"/>
          <bgColor rgb="FF000000"/>
        </patternFill>
      </fill>
    </dxf>
    <dxf>
      <fill>
        <patternFill patternType="solid">
          <fgColor rgb="FFAFD480"/>
          <bgColor rgb="FF000000"/>
        </patternFill>
      </fill>
    </dxf>
    <dxf>
      <fill>
        <patternFill patternType="solid">
          <fgColor rgb="FFB0D580"/>
          <bgColor rgb="FF000000"/>
        </patternFill>
      </fill>
    </dxf>
    <dxf>
      <fill>
        <patternFill patternType="solid">
          <fgColor rgb="FFB1D580"/>
          <bgColor rgb="FF000000"/>
        </patternFill>
      </fill>
    </dxf>
    <dxf>
      <fill>
        <patternFill patternType="solid">
          <fgColor rgb="FFB2D580"/>
          <bgColor rgb="FF000000"/>
        </patternFill>
      </fill>
    </dxf>
    <dxf>
      <fill>
        <patternFill patternType="solid">
          <fgColor rgb="FFB3D580"/>
          <bgColor rgb="FF000000"/>
        </patternFill>
      </fill>
    </dxf>
    <dxf>
      <fill>
        <patternFill patternType="solid">
          <fgColor rgb="FFB3D680"/>
          <bgColor rgb="FF000000"/>
        </patternFill>
      </fill>
    </dxf>
    <dxf>
      <fill>
        <patternFill patternType="solid">
          <fgColor rgb="FFB4D680"/>
          <bgColor rgb="FF000000"/>
        </patternFill>
      </fill>
    </dxf>
    <dxf>
      <fill>
        <patternFill patternType="solid">
          <fgColor rgb="FFB6D680"/>
          <bgColor rgb="FF000000"/>
        </patternFill>
      </fill>
    </dxf>
    <dxf>
      <fill>
        <patternFill patternType="solid">
          <fgColor rgb="FFB7D680"/>
          <bgColor rgb="FF000000"/>
        </patternFill>
      </fill>
    </dxf>
    <dxf>
      <fill>
        <patternFill patternType="solid">
          <fgColor rgb="FFB7D780"/>
          <bgColor rgb="FF000000"/>
        </patternFill>
      </fill>
    </dxf>
    <dxf>
      <fill>
        <patternFill patternType="solid">
          <fgColor rgb="FFB8D780"/>
          <bgColor rgb="FF000000"/>
        </patternFill>
      </fill>
    </dxf>
    <dxf>
      <fill>
        <patternFill patternType="solid">
          <fgColor rgb="FFB9D780"/>
          <bgColor rgb="FF000000"/>
        </patternFill>
      </fill>
    </dxf>
    <dxf>
      <fill>
        <patternFill patternType="solid">
          <fgColor rgb="FFBAD780"/>
          <bgColor rgb="FF000000"/>
        </patternFill>
      </fill>
    </dxf>
    <dxf>
      <fill>
        <patternFill patternType="solid">
          <fgColor rgb="FFBAD881"/>
          <bgColor rgb="FF000000"/>
        </patternFill>
      </fill>
    </dxf>
    <dxf>
      <fill>
        <patternFill patternType="solid">
          <fgColor rgb="FFBBD881"/>
          <bgColor rgb="FF000000"/>
        </patternFill>
      </fill>
    </dxf>
    <dxf>
      <fill>
        <patternFill patternType="solid">
          <fgColor rgb="FFBCD881"/>
          <bgColor rgb="FF000000"/>
        </patternFill>
      </fill>
    </dxf>
    <dxf>
      <fill>
        <patternFill patternType="solid">
          <fgColor rgb="FFBDD881"/>
          <bgColor rgb="FF000000"/>
        </patternFill>
      </fill>
    </dxf>
    <dxf>
      <fill>
        <patternFill patternType="solid">
          <fgColor rgb="FFBED881"/>
          <bgColor rgb="FF000000"/>
        </patternFill>
      </fill>
    </dxf>
    <dxf>
      <fill>
        <patternFill patternType="solid">
          <fgColor rgb="FFBED981"/>
          <bgColor rgb="FF000000"/>
        </patternFill>
      </fill>
    </dxf>
    <dxf>
      <fill>
        <patternFill patternType="solid">
          <fgColor rgb="FFBFD981"/>
          <bgColor rgb="FF000000"/>
        </patternFill>
      </fill>
    </dxf>
    <dxf>
      <fill>
        <patternFill patternType="solid">
          <fgColor rgb="FFC0D981"/>
          <bgColor rgb="FF000000"/>
        </patternFill>
      </fill>
    </dxf>
    <dxf>
      <fill>
        <patternFill patternType="solid">
          <fgColor rgb="FFC1D981"/>
          <bgColor rgb="FF000000"/>
        </patternFill>
      </fill>
    </dxf>
    <dxf>
      <fill>
        <patternFill patternType="solid">
          <fgColor rgb="FFC1DA81"/>
          <bgColor rgb="FF000000"/>
        </patternFill>
      </fill>
    </dxf>
    <dxf>
      <fill>
        <patternFill patternType="solid">
          <fgColor rgb="FFC2DA81"/>
          <bgColor rgb="FF000000"/>
        </patternFill>
      </fill>
    </dxf>
    <dxf>
      <fill>
        <patternFill patternType="solid">
          <fgColor rgb="FFC3DA81"/>
          <bgColor rgb="FF000000"/>
        </patternFill>
      </fill>
    </dxf>
    <dxf>
      <fill>
        <patternFill patternType="solid">
          <fgColor rgb="FFC4DA81"/>
          <bgColor rgb="FF000000"/>
        </patternFill>
      </fill>
    </dxf>
    <dxf>
      <fill>
        <patternFill patternType="solid">
          <fgColor rgb="FFC6DB81"/>
          <bgColor rgb="FF000000"/>
        </patternFill>
      </fill>
    </dxf>
    <dxf>
      <fill>
        <patternFill patternType="solid">
          <fgColor rgb="FFC7DB81"/>
          <bgColor rgb="FF000000"/>
        </patternFill>
      </fill>
    </dxf>
    <dxf>
      <fill>
        <patternFill patternType="solid">
          <fgColor rgb="FFC8DB81"/>
          <bgColor rgb="FF000000"/>
        </patternFill>
      </fill>
    </dxf>
    <dxf>
      <fill>
        <patternFill patternType="solid">
          <fgColor rgb="FFC8DC81"/>
          <bgColor rgb="FF000000"/>
        </patternFill>
      </fill>
    </dxf>
    <dxf>
      <fill>
        <patternFill patternType="solid">
          <fgColor rgb="FFC9DC81"/>
          <bgColor rgb="FF000000"/>
        </patternFill>
      </fill>
    </dxf>
    <dxf>
      <fill>
        <patternFill patternType="solid">
          <fgColor rgb="FFCADC81"/>
          <bgColor rgb="FF000000"/>
        </patternFill>
      </fill>
    </dxf>
    <dxf>
      <fill>
        <patternFill patternType="solid">
          <fgColor rgb="FFCBDC81"/>
          <bgColor rgb="FF000000"/>
        </patternFill>
      </fill>
    </dxf>
    <dxf>
      <fill>
        <patternFill patternType="solid">
          <fgColor rgb="FFCCDD82"/>
          <bgColor rgb="FF000000"/>
        </patternFill>
      </fill>
    </dxf>
    <dxf>
      <fill>
        <patternFill patternType="solid">
          <fgColor rgb="FFCDDD82"/>
          <bgColor rgb="FF000000"/>
        </patternFill>
      </fill>
    </dxf>
    <dxf>
      <fill>
        <patternFill patternType="solid">
          <fgColor rgb="FFCEDD82"/>
          <bgColor rgb="FF000000"/>
        </patternFill>
      </fill>
    </dxf>
    <dxf>
      <fill>
        <patternFill patternType="solid">
          <fgColor rgb="FFCFDD82"/>
          <bgColor rgb="FF000000"/>
        </patternFill>
      </fill>
    </dxf>
    <dxf>
      <fill>
        <patternFill patternType="solid">
          <fgColor rgb="FFD0DE82"/>
          <bgColor rgb="FF000000"/>
        </patternFill>
      </fill>
    </dxf>
    <dxf>
      <fill>
        <patternFill patternType="solid">
          <fgColor rgb="FFD1DE82"/>
          <bgColor rgb="FF000000"/>
        </patternFill>
      </fill>
    </dxf>
    <dxf>
      <fill>
        <patternFill patternType="solid">
          <fgColor rgb="FFD2DE82"/>
          <bgColor rgb="FF000000"/>
        </patternFill>
      </fill>
    </dxf>
    <dxf>
      <fill>
        <patternFill patternType="solid">
          <fgColor rgb="FFD3DF82"/>
          <bgColor rgb="FF000000"/>
        </patternFill>
      </fill>
    </dxf>
    <dxf>
      <fill>
        <patternFill patternType="solid">
          <fgColor rgb="FFD4DF82"/>
          <bgColor rgb="FF000000"/>
        </patternFill>
      </fill>
    </dxf>
    <dxf>
      <fill>
        <patternFill patternType="solid">
          <fgColor rgb="FFD5DF82"/>
          <bgColor rgb="FF000000"/>
        </patternFill>
      </fill>
    </dxf>
    <dxf>
      <fill>
        <patternFill patternType="solid">
          <fgColor rgb="FFD6DF82"/>
          <bgColor rgb="FF000000"/>
        </patternFill>
      </fill>
    </dxf>
    <dxf>
      <fill>
        <patternFill patternType="solid">
          <fgColor rgb="FFD7E082"/>
          <bgColor rgb="FF000000"/>
        </patternFill>
      </fill>
    </dxf>
    <dxf>
      <fill>
        <patternFill patternType="solid">
          <fgColor rgb="FFD8E082"/>
          <bgColor rgb="FF000000"/>
        </patternFill>
      </fill>
    </dxf>
    <dxf>
      <fill>
        <patternFill patternType="solid">
          <fgColor rgb="FFD9E082"/>
          <bgColor rgb="FF000000"/>
        </patternFill>
      </fill>
    </dxf>
    <dxf>
      <fill>
        <patternFill patternType="solid">
          <fgColor rgb="FFDAE182"/>
          <bgColor rgb="FF000000"/>
        </patternFill>
      </fill>
    </dxf>
    <dxf>
      <fill>
        <patternFill patternType="solid">
          <fgColor rgb="FFDBE182"/>
          <bgColor rgb="FF000000"/>
        </patternFill>
      </fill>
    </dxf>
    <dxf>
      <fill>
        <patternFill patternType="solid">
          <fgColor rgb="FFDCE182"/>
          <bgColor rgb="FF000000"/>
        </patternFill>
      </fill>
    </dxf>
    <dxf>
      <fill>
        <patternFill patternType="solid">
          <fgColor rgb="FFDDE182"/>
          <bgColor rgb="FF000000"/>
        </patternFill>
      </fill>
    </dxf>
    <dxf>
      <fill>
        <patternFill patternType="solid">
          <fgColor rgb="FFDDE283"/>
          <bgColor rgb="FF000000"/>
        </patternFill>
      </fill>
    </dxf>
    <dxf>
      <fill>
        <patternFill patternType="solid">
          <fgColor rgb="FFDEE283"/>
          <bgColor rgb="FF000000"/>
        </patternFill>
      </fill>
    </dxf>
    <dxf>
      <fill>
        <patternFill patternType="solid">
          <fgColor rgb="FFDFE283"/>
          <bgColor rgb="FF000000"/>
        </patternFill>
      </fill>
    </dxf>
    <dxf>
      <fill>
        <patternFill patternType="solid">
          <fgColor rgb="FFE0E283"/>
          <bgColor rgb="FF000000"/>
        </patternFill>
      </fill>
    </dxf>
    <dxf>
      <fill>
        <patternFill patternType="solid">
          <fgColor rgb="FFE1E383"/>
          <bgColor rgb="FF000000"/>
        </patternFill>
      </fill>
    </dxf>
    <dxf>
      <fill>
        <patternFill patternType="solid">
          <fgColor rgb="FFE2E383"/>
          <bgColor rgb="FF000000"/>
        </patternFill>
      </fill>
    </dxf>
    <dxf>
      <fill>
        <patternFill patternType="solid">
          <fgColor rgb="FFE3E383"/>
          <bgColor rgb="FF000000"/>
        </patternFill>
      </fill>
    </dxf>
    <dxf>
      <fill>
        <patternFill patternType="solid">
          <fgColor rgb="FFE4E383"/>
          <bgColor rgb="FF000000"/>
        </patternFill>
      </fill>
    </dxf>
    <dxf>
      <fill>
        <patternFill patternType="solid">
          <fgColor rgb="FFE4E483"/>
          <bgColor rgb="FF000000"/>
        </patternFill>
      </fill>
    </dxf>
    <dxf>
      <fill>
        <patternFill patternType="solid">
          <fgColor rgb="FFE5E483"/>
          <bgColor rgb="FF000000"/>
        </patternFill>
      </fill>
    </dxf>
    <dxf>
      <fill>
        <patternFill patternType="solid">
          <fgColor rgb="FFE6E483"/>
          <bgColor rgb="FF000000"/>
        </patternFill>
      </fill>
    </dxf>
    <dxf>
      <fill>
        <patternFill patternType="solid">
          <fgColor rgb="FFE7E483"/>
          <bgColor rgb="FF000000"/>
        </patternFill>
      </fill>
    </dxf>
    <dxf>
      <fill>
        <patternFill patternType="solid">
          <fgColor rgb="FFE8E583"/>
          <bgColor rgb="FF000000"/>
        </patternFill>
      </fill>
    </dxf>
    <dxf>
      <fill>
        <patternFill patternType="solid">
          <fgColor rgb="FFE9E583"/>
          <bgColor rgb="FF000000"/>
        </patternFill>
      </fill>
    </dxf>
    <dxf>
      <fill>
        <patternFill patternType="solid">
          <fgColor rgb="FFEAE583"/>
          <bgColor rgb="FF000000"/>
        </patternFill>
      </fill>
    </dxf>
    <dxf>
      <fill>
        <patternFill patternType="solid">
          <fgColor rgb="FFEBE683"/>
          <bgColor rgb="FF000000"/>
        </patternFill>
      </fill>
    </dxf>
    <dxf>
      <fill>
        <patternFill patternType="solid">
          <fgColor rgb="FFECE683"/>
          <bgColor rgb="FF000000"/>
        </patternFill>
      </fill>
    </dxf>
    <dxf>
      <fill>
        <patternFill patternType="solid">
          <fgColor rgb="FFEDE683"/>
          <bgColor rgb="FF000000"/>
        </patternFill>
      </fill>
    </dxf>
    <dxf>
      <fill>
        <patternFill patternType="solid">
          <fgColor rgb="FFEEE683"/>
          <bgColor rgb="FF000000"/>
        </patternFill>
      </fill>
    </dxf>
    <dxf>
      <fill>
        <patternFill patternType="solid">
          <fgColor rgb="FFEEE784"/>
          <bgColor rgb="FF000000"/>
        </patternFill>
      </fill>
    </dxf>
    <dxf>
      <fill>
        <patternFill patternType="solid">
          <fgColor rgb="FFEFE784"/>
          <bgColor rgb="FF000000"/>
        </patternFill>
      </fill>
    </dxf>
    <dxf>
      <fill>
        <patternFill patternType="solid">
          <fgColor rgb="FFF0E784"/>
          <bgColor rgb="FF000000"/>
        </patternFill>
      </fill>
    </dxf>
    <dxf>
      <fill>
        <patternFill patternType="solid">
          <fgColor rgb="FFF1E784"/>
          <bgColor rgb="FF000000"/>
        </patternFill>
      </fill>
    </dxf>
    <dxf>
      <fill>
        <patternFill patternType="solid">
          <fgColor rgb="FFF2E884"/>
          <bgColor rgb="FF000000"/>
        </patternFill>
      </fill>
    </dxf>
    <dxf>
      <fill>
        <patternFill patternType="solid">
          <fgColor rgb="FFF3E884"/>
          <bgColor rgb="FF000000"/>
        </patternFill>
      </fill>
    </dxf>
    <dxf>
      <fill>
        <patternFill patternType="solid">
          <fgColor rgb="FFF4E884"/>
          <bgColor rgb="FF000000"/>
        </patternFill>
      </fill>
    </dxf>
    <dxf>
      <fill>
        <patternFill patternType="solid">
          <fgColor rgb="FFF5E884"/>
          <bgColor rgb="FF000000"/>
        </patternFill>
      </fill>
    </dxf>
    <dxf>
      <fill>
        <patternFill patternType="solid">
          <fgColor rgb="FFF6E984"/>
          <bgColor rgb="FF000000"/>
        </patternFill>
      </fill>
    </dxf>
    <dxf>
      <fill>
        <patternFill patternType="solid">
          <fgColor rgb="FFF7E984"/>
          <bgColor rgb="FF000000"/>
        </patternFill>
      </fill>
    </dxf>
    <dxf>
      <fill>
        <patternFill patternType="solid">
          <fgColor rgb="FFF8696B"/>
          <bgColor rgb="FF000000"/>
        </patternFill>
      </fill>
    </dxf>
    <dxf>
      <fill>
        <patternFill patternType="solid">
          <fgColor rgb="FFF86A6B"/>
          <bgColor rgb="FF000000"/>
        </patternFill>
      </fill>
    </dxf>
    <dxf>
      <fill>
        <patternFill patternType="solid">
          <fgColor rgb="FFF8736D"/>
          <bgColor rgb="FF000000"/>
        </patternFill>
      </fill>
    </dxf>
    <dxf>
      <fill>
        <patternFill patternType="solid">
          <fgColor rgb="FFF8746D"/>
          <bgColor rgb="FF000000"/>
        </patternFill>
      </fill>
    </dxf>
    <dxf>
      <fill>
        <patternFill patternType="solid">
          <fgColor rgb="FFF8776D"/>
          <bgColor rgb="FF000000"/>
        </patternFill>
      </fill>
    </dxf>
    <dxf>
      <fill>
        <patternFill patternType="solid">
          <fgColor rgb="FFF8786D"/>
          <bgColor rgb="FF000000"/>
        </patternFill>
      </fill>
    </dxf>
    <dxf>
      <fill>
        <patternFill patternType="solid">
          <fgColor rgb="FFF87A6E"/>
          <bgColor rgb="FF000000"/>
        </patternFill>
      </fill>
    </dxf>
    <dxf>
      <fill>
        <patternFill patternType="solid">
          <fgColor rgb="FFF87B6E"/>
          <bgColor rgb="FF000000"/>
        </patternFill>
      </fill>
    </dxf>
    <dxf>
      <fill>
        <patternFill patternType="solid">
          <fgColor rgb="FFF8E984"/>
          <bgColor rgb="FF000000"/>
        </patternFill>
      </fill>
    </dxf>
    <dxf>
      <fill>
        <patternFill patternType="solid">
          <fgColor rgb="FFF97B6E"/>
          <bgColor rgb="FF000000"/>
        </patternFill>
      </fill>
    </dxf>
    <dxf>
      <fill>
        <patternFill patternType="solid">
          <fgColor rgb="FFF97C6E"/>
          <bgColor rgb="FF000000"/>
        </patternFill>
      </fill>
    </dxf>
    <dxf>
      <fill>
        <patternFill patternType="solid">
          <fgColor rgb="FFF97E6F"/>
          <bgColor rgb="FF000000"/>
        </patternFill>
      </fill>
    </dxf>
    <dxf>
      <fill>
        <patternFill patternType="solid">
          <fgColor rgb="FFF97F6F"/>
          <bgColor rgb="FF000000"/>
        </patternFill>
      </fill>
    </dxf>
    <dxf>
      <fill>
        <patternFill patternType="solid">
          <fgColor rgb="FFF9806F"/>
          <bgColor rgb="FF000000"/>
        </patternFill>
      </fill>
    </dxf>
    <dxf>
      <fill>
        <patternFill patternType="solid">
          <fgColor rgb="FFF9816F"/>
          <bgColor rgb="FF000000"/>
        </patternFill>
      </fill>
    </dxf>
    <dxf>
      <fill>
        <patternFill patternType="solid">
          <fgColor rgb="FFF9826F"/>
          <bgColor rgb="FF000000"/>
        </patternFill>
      </fill>
    </dxf>
    <dxf>
      <fill>
        <patternFill patternType="solid">
          <fgColor rgb="FFF98370"/>
          <bgColor rgb="FF000000"/>
        </patternFill>
      </fill>
    </dxf>
    <dxf>
      <fill>
        <patternFill patternType="solid">
          <fgColor rgb="FFF98470"/>
          <bgColor rgb="FF000000"/>
        </patternFill>
      </fill>
    </dxf>
    <dxf>
      <fill>
        <patternFill patternType="solid">
          <fgColor rgb="FFF98570"/>
          <bgColor rgb="FF000000"/>
        </patternFill>
      </fill>
    </dxf>
    <dxf>
      <fill>
        <patternFill patternType="solid">
          <fgColor rgb="FFF98670"/>
          <bgColor rgb="FF000000"/>
        </patternFill>
      </fill>
    </dxf>
    <dxf>
      <fill>
        <patternFill patternType="solid">
          <fgColor rgb="FFF98770"/>
          <bgColor rgb="FF000000"/>
        </patternFill>
      </fill>
    </dxf>
    <dxf>
      <fill>
        <patternFill patternType="solid">
          <fgColor rgb="FFF98871"/>
          <bgColor rgb="FF000000"/>
        </patternFill>
      </fill>
    </dxf>
    <dxf>
      <fill>
        <patternFill patternType="solid">
          <fgColor rgb="FFF98971"/>
          <bgColor rgb="FF000000"/>
        </patternFill>
      </fill>
    </dxf>
    <dxf>
      <fill>
        <patternFill patternType="solid">
          <fgColor rgb="FFF98A71"/>
          <bgColor rgb="FF000000"/>
        </patternFill>
      </fill>
    </dxf>
    <dxf>
      <fill>
        <patternFill patternType="solid">
          <fgColor rgb="FFF98B71"/>
          <bgColor rgb="FF000000"/>
        </patternFill>
      </fill>
    </dxf>
    <dxf>
      <fill>
        <patternFill patternType="solid">
          <fgColor rgb="FFF98C71"/>
          <bgColor rgb="FF000000"/>
        </patternFill>
      </fill>
    </dxf>
    <dxf>
      <fill>
        <patternFill patternType="solid">
          <fgColor rgb="FFF98D72"/>
          <bgColor rgb="FF000000"/>
        </patternFill>
      </fill>
    </dxf>
    <dxf>
      <fill>
        <patternFill patternType="solid">
          <fgColor rgb="FFF98E72"/>
          <bgColor rgb="FF000000"/>
        </patternFill>
      </fill>
    </dxf>
    <dxf>
      <fill>
        <patternFill patternType="solid">
          <fgColor rgb="FFF9EA84"/>
          <bgColor rgb="FF000000"/>
        </patternFill>
      </fill>
    </dxf>
    <dxf>
      <fill>
        <patternFill patternType="solid">
          <fgColor rgb="FFFA8E72"/>
          <bgColor rgb="FF000000"/>
        </patternFill>
      </fill>
    </dxf>
    <dxf>
      <fill>
        <patternFill patternType="solid">
          <fgColor rgb="FFFA8F72"/>
          <bgColor rgb="FF000000"/>
        </patternFill>
      </fill>
    </dxf>
    <dxf>
      <fill>
        <patternFill patternType="solid">
          <fgColor rgb="FFFA9172"/>
          <bgColor rgb="FF000000"/>
        </patternFill>
      </fill>
    </dxf>
    <dxf>
      <fill>
        <patternFill patternType="solid">
          <fgColor rgb="FFFA9272"/>
          <bgColor rgb="FF000000"/>
        </patternFill>
      </fill>
    </dxf>
    <dxf>
      <fill>
        <patternFill patternType="solid">
          <fgColor rgb="FFFA9273"/>
          <bgColor rgb="FF000000"/>
        </patternFill>
      </fill>
    </dxf>
    <dxf>
      <fill>
        <patternFill patternType="solid">
          <fgColor rgb="FFFA9473"/>
          <bgColor rgb="FF000000"/>
        </patternFill>
      </fill>
    </dxf>
    <dxf>
      <fill>
        <patternFill patternType="solid">
          <fgColor rgb="FFFA9573"/>
          <bgColor rgb="FF000000"/>
        </patternFill>
      </fill>
    </dxf>
    <dxf>
      <fill>
        <patternFill patternType="solid">
          <fgColor rgb="FFFA9673"/>
          <bgColor rgb="FF000000"/>
        </patternFill>
      </fill>
    </dxf>
    <dxf>
      <fill>
        <patternFill patternType="solid">
          <fgColor rgb="FFFA9773"/>
          <bgColor rgb="FF000000"/>
        </patternFill>
      </fill>
    </dxf>
    <dxf>
      <fill>
        <patternFill patternType="solid">
          <fgColor rgb="FFFA9774"/>
          <bgColor rgb="FF000000"/>
        </patternFill>
      </fill>
    </dxf>
    <dxf>
      <fill>
        <patternFill patternType="solid">
          <fgColor rgb="FFFA9874"/>
          <bgColor rgb="FF000000"/>
        </patternFill>
      </fill>
    </dxf>
    <dxf>
      <fill>
        <patternFill patternType="solid">
          <fgColor rgb="FFFA9974"/>
          <bgColor rgb="FF000000"/>
        </patternFill>
      </fill>
    </dxf>
    <dxf>
      <fill>
        <patternFill patternType="solid">
          <fgColor rgb="FFFA9A74"/>
          <bgColor rgb="FF000000"/>
        </patternFill>
      </fill>
    </dxf>
    <dxf>
      <fill>
        <patternFill patternType="solid">
          <fgColor rgb="FFFA9B74"/>
          <bgColor rgb="FF000000"/>
        </patternFill>
      </fill>
    </dxf>
    <dxf>
      <fill>
        <patternFill patternType="solid">
          <fgColor rgb="FFFA9C74"/>
          <bgColor rgb="FF000000"/>
        </patternFill>
      </fill>
    </dxf>
    <dxf>
      <fill>
        <patternFill patternType="solid">
          <fgColor rgb="FFFA9D75"/>
          <bgColor rgb="FF000000"/>
        </patternFill>
      </fill>
    </dxf>
    <dxf>
      <fill>
        <patternFill patternType="solid">
          <fgColor rgb="FFFA9E75"/>
          <bgColor rgb="FF000000"/>
        </patternFill>
      </fill>
    </dxf>
    <dxf>
      <fill>
        <patternFill patternType="solid">
          <fgColor rgb="FFFA9F75"/>
          <bgColor rgb="FF000000"/>
        </patternFill>
      </fill>
    </dxf>
    <dxf>
      <fill>
        <patternFill patternType="solid">
          <fgColor rgb="FFFAA075"/>
          <bgColor rgb="FF000000"/>
        </patternFill>
      </fill>
    </dxf>
    <dxf>
      <fill>
        <patternFill patternType="solid">
          <fgColor rgb="FFFAEA84"/>
          <bgColor rgb="FF000000"/>
        </patternFill>
      </fill>
    </dxf>
    <dxf>
      <fill>
        <patternFill patternType="solid">
          <fgColor rgb="FFFBA175"/>
          <bgColor rgb="FF000000"/>
        </patternFill>
      </fill>
    </dxf>
    <dxf>
      <fill>
        <patternFill patternType="solid">
          <fgColor rgb="FFFBA276"/>
          <bgColor rgb="FF000000"/>
        </patternFill>
      </fill>
    </dxf>
    <dxf>
      <fill>
        <patternFill patternType="solid">
          <fgColor rgb="FFFBA376"/>
          <bgColor rgb="FF000000"/>
        </patternFill>
      </fill>
    </dxf>
    <dxf>
      <fill>
        <patternFill patternType="solid">
          <fgColor rgb="FFFBA576"/>
          <bgColor rgb="FF000000"/>
        </patternFill>
      </fill>
    </dxf>
    <dxf>
      <fill>
        <patternFill patternType="solid">
          <fgColor rgb="FFFBA676"/>
          <bgColor rgb="FF000000"/>
        </patternFill>
      </fill>
    </dxf>
    <dxf>
      <fill>
        <patternFill patternType="solid">
          <fgColor rgb="FFFBA776"/>
          <bgColor rgb="FF000000"/>
        </patternFill>
      </fill>
    </dxf>
    <dxf>
      <fill>
        <patternFill patternType="solid">
          <fgColor rgb="FFFBA777"/>
          <bgColor rgb="FF000000"/>
        </patternFill>
      </fill>
    </dxf>
    <dxf>
      <fill>
        <patternFill patternType="solid">
          <fgColor rgb="FFFBA877"/>
          <bgColor rgb="FF000000"/>
        </patternFill>
      </fill>
    </dxf>
    <dxf>
      <fill>
        <patternFill patternType="solid">
          <fgColor rgb="FFFBA977"/>
          <bgColor rgb="FF000000"/>
        </patternFill>
      </fill>
    </dxf>
    <dxf>
      <fill>
        <patternFill patternType="solid">
          <fgColor rgb="FFFBAA77"/>
          <bgColor rgb="FF000000"/>
        </patternFill>
      </fill>
    </dxf>
    <dxf>
      <fill>
        <patternFill patternType="solid">
          <fgColor rgb="FFFBAB77"/>
          <bgColor rgb="FF000000"/>
        </patternFill>
      </fill>
    </dxf>
    <dxf>
      <fill>
        <patternFill patternType="solid">
          <fgColor rgb="FFFBAC77"/>
          <bgColor rgb="FF000000"/>
        </patternFill>
      </fill>
    </dxf>
    <dxf>
      <fill>
        <patternFill patternType="solid">
          <fgColor rgb="FFFBAC78"/>
          <bgColor rgb="FF000000"/>
        </patternFill>
      </fill>
    </dxf>
    <dxf>
      <fill>
        <patternFill patternType="solid">
          <fgColor rgb="FFFBAD78"/>
          <bgColor rgb="FF000000"/>
        </patternFill>
      </fill>
    </dxf>
    <dxf>
      <fill>
        <patternFill patternType="solid">
          <fgColor rgb="FFFBAE78"/>
          <bgColor rgb="FF000000"/>
        </patternFill>
      </fill>
    </dxf>
    <dxf>
      <fill>
        <patternFill patternType="solid">
          <fgColor rgb="FFFBAF78"/>
          <bgColor rgb="FF000000"/>
        </patternFill>
      </fill>
    </dxf>
    <dxf>
      <fill>
        <patternFill patternType="solid">
          <fgColor rgb="FFFBB178"/>
          <bgColor rgb="FF000000"/>
        </patternFill>
      </fill>
    </dxf>
    <dxf>
      <fill>
        <patternFill patternType="solid">
          <fgColor rgb="FFFBB279"/>
          <bgColor rgb="FF000000"/>
        </patternFill>
      </fill>
    </dxf>
    <dxf>
      <fill>
        <patternFill patternType="solid">
          <fgColor rgb="FFFBEA84"/>
          <bgColor rgb="FF000000"/>
        </patternFill>
      </fill>
    </dxf>
    <dxf>
      <fill>
        <patternFill patternType="solid">
          <fgColor rgb="FFFCB379"/>
          <bgColor rgb="FF000000"/>
        </patternFill>
      </fill>
    </dxf>
    <dxf>
      <fill>
        <patternFill patternType="solid">
          <fgColor rgb="FFFCB479"/>
          <bgColor rgb="FF000000"/>
        </patternFill>
      </fill>
    </dxf>
    <dxf>
      <fill>
        <patternFill patternType="solid">
          <fgColor rgb="FFFCB579"/>
          <bgColor rgb="FF000000"/>
        </patternFill>
      </fill>
    </dxf>
    <dxf>
      <fill>
        <patternFill patternType="solid">
          <fgColor rgb="FFFCB679"/>
          <bgColor rgb="FF000000"/>
        </patternFill>
      </fill>
    </dxf>
    <dxf>
      <fill>
        <patternFill patternType="solid">
          <fgColor rgb="FFFCB77A"/>
          <bgColor rgb="FF000000"/>
        </patternFill>
      </fill>
    </dxf>
    <dxf>
      <fill>
        <patternFill patternType="solid">
          <fgColor rgb="FFFCB87A"/>
          <bgColor rgb="FF000000"/>
        </patternFill>
      </fill>
    </dxf>
    <dxf>
      <fill>
        <patternFill patternType="solid">
          <fgColor rgb="FFFCB97A"/>
          <bgColor rgb="FF000000"/>
        </patternFill>
      </fill>
    </dxf>
    <dxf>
      <fill>
        <patternFill patternType="solid">
          <fgColor rgb="FFFCBA7A"/>
          <bgColor rgb="FF000000"/>
        </patternFill>
      </fill>
    </dxf>
    <dxf>
      <fill>
        <patternFill patternType="solid">
          <fgColor rgb="FFFCBB7A"/>
          <bgColor rgb="FF000000"/>
        </patternFill>
      </fill>
    </dxf>
    <dxf>
      <fill>
        <patternFill patternType="solid">
          <fgColor rgb="FFFCBC7B"/>
          <bgColor rgb="FF000000"/>
        </patternFill>
      </fill>
    </dxf>
    <dxf>
      <fill>
        <patternFill patternType="solid">
          <fgColor rgb="FFFCBD7B"/>
          <bgColor rgb="FF000000"/>
        </patternFill>
      </fill>
    </dxf>
    <dxf>
      <fill>
        <patternFill patternType="solid">
          <fgColor rgb="FFFCBE7B"/>
          <bgColor rgb="FF000000"/>
        </patternFill>
      </fill>
    </dxf>
    <dxf>
      <fill>
        <patternFill patternType="solid">
          <fgColor rgb="FFFCBF7B"/>
          <bgColor rgb="FF000000"/>
        </patternFill>
      </fill>
    </dxf>
    <dxf>
      <fill>
        <patternFill patternType="solid">
          <fgColor rgb="FFFCC07B"/>
          <bgColor rgb="FF000000"/>
        </patternFill>
      </fill>
    </dxf>
    <dxf>
      <fill>
        <patternFill patternType="solid">
          <fgColor rgb="FFFCC17B"/>
          <bgColor rgb="FF000000"/>
        </patternFill>
      </fill>
    </dxf>
    <dxf>
      <fill>
        <patternFill patternType="solid">
          <fgColor rgb="FFFCC17C"/>
          <bgColor rgb="FF000000"/>
        </patternFill>
      </fill>
    </dxf>
    <dxf>
      <fill>
        <patternFill patternType="solid">
          <fgColor rgb="FFFCC27C"/>
          <bgColor rgb="FF000000"/>
        </patternFill>
      </fill>
    </dxf>
    <dxf>
      <fill>
        <patternFill patternType="solid">
          <fgColor rgb="FFFCC37C"/>
          <bgColor rgb="FF000000"/>
        </patternFill>
      </fill>
    </dxf>
    <dxf>
      <fill>
        <patternFill patternType="solid">
          <fgColor rgb="FFFCC47C"/>
          <bgColor rgb="FF000000"/>
        </patternFill>
      </fill>
    </dxf>
    <dxf>
      <fill>
        <patternFill patternType="solid">
          <fgColor rgb="FFFCC57C"/>
          <bgColor rgb="FF000000"/>
        </patternFill>
      </fill>
    </dxf>
    <dxf>
      <fill>
        <patternFill patternType="solid">
          <fgColor rgb="FFFCEA84"/>
          <bgColor rgb="FF000000"/>
        </patternFill>
      </fill>
    </dxf>
    <dxf>
      <fill>
        <patternFill patternType="solid">
          <fgColor rgb="FFFDC67C"/>
          <bgColor rgb="FF000000"/>
        </patternFill>
      </fill>
    </dxf>
    <dxf>
      <fill>
        <patternFill patternType="solid">
          <fgColor rgb="FFFDC67D"/>
          <bgColor rgb="FF000000"/>
        </patternFill>
      </fill>
    </dxf>
    <dxf>
      <fill>
        <patternFill patternType="solid">
          <fgColor rgb="FFFDC77D"/>
          <bgColor rgb="FF000000"/>
        </patternFill>
      </fill>
    </dxf>
    <dxf>
      <fill>
        <patternFill patternType="solid">
          <fgColor rgb="FFFDC87D"/>
          <bgColor rgb="FF000000"/>
        </patternFill>
      </fill>
    </dxf>
    <dxf>
      <fill>
        <patternFill patternType="solid">
          <fgColor rgb="FFFDC97D"/>
          <bgColor rgb="FF000000"/>
        </patternFill>
      </fill>
    </dxf>
    <dxf>
      <fill>
        <patternFill patternType="solid">
          <fgColor rgb="FFFDCA7D"/>
          <bgColor rgb="FF000000"/>
        </patternFill>
      </fill>
    </dxf>
    <dxf>
      <fill>
        <patternFill patternType="solid">
          <fgColor rgb="FFFDCB7D"/>
          <bgColor rgb="FF000000"/>
        </patternFill>
      </fill>
    </dxf>
    <dxf>
      <fill>
        <patternFill patternType="solid">
          <fgColor rgb="FFFDCC7E"/>
          <bgColor rgb="FF000000"/>
        </patternFill>
      </fill>
    </dxf>
    <dxf>
      <fill>
        <patternFill patternType="solid">
          <fgColor rgb="FFFDCD7E"/>
          <bgColor rgb="FF000000"/>
        </patternFill>
      </fill>
    </dxf>
    <dxf>
      <fill>
        <patternFill patternType="solid">
          <fgColor rgb="FFFDCE7E"/>
          <bgColor rgb="FF000000"/>
        </patternFill>
      </fill>
    </dxf>
    <dxf>
      <fill>
        <patternFill patternType="solid">
          <fgColor rgb="FFFDCF7E"/>
          <bgColor rgb="FF000000"/>
        </patternFill>
      </fill>
    </dxf>
    <dxf>
      <fill>
        <patternFill patternType="solid">
          <fgColor rgb="FFFDD07E"/>
          <bgColor rgb="FF000000"/>
        </patternFill>
      </fill>
    </dxf>
    <dxf>
      <fill>
        <patternFill patternType="solid">
          <fgColor rgb="FFFDD17F"/>
          <bgColor rgb="FF000000"/>
        </patternFill>
      </fill>
    </dxf>
    <dxf>
      <fill>
        <patternFill patternType="solid">
          <fgColor rgb="FFFDD27F"/>
          <bgColor rgb="FF000000"/>
        </patternFill>
      </fill>
    </dxf>
    <dxf>
      <fill>
        <patternFill patternType="solid">
          <fgColor rgb="FFFDD37F"/>
          <bgColor rgb="FF000000"/>
        </patternFill>
      </fill>
    </dxf>
    <dxf>
      <fill>
        <patternFill patternType="solid">
          <fgColor rgb="FFFDD47F"/>
          <bgColor rgb="FF000000"/>
        </patternFill>
      </fill>
    </dxf>
    <dxf>
      <fill>
        <patternFill patternType="solid">
          <fgColor rgb="FFFDD57F"/>
          <bgColor rgb="FF000000"/>
        </patternFill>
      </fill>
    </dxf>
    <dxf>
      <fill>
        <patternFill patternType="solid">
          <fgColor rgb="FFFDD680"/>
          <bgColor rgb="FF000000"/>
        </patternFill>
      </fill>
    </dxf>
    <dxf>
      <fill>
        <patternFill patternType="solid">
          <fgColor rgb="FFFDD780"/>
          <bgColor rgb="FF000000"/>
        </patternFill>
      </fill>
    </dxf>
    <dxf>
      <fill>
        <patternFill patternType="solid">
          <fgColor rgb="FFFDD880"/>
          <bgColor rgb="FF000000"/>
        </patternFill>
      </fill>
    </dxf>
    <dxf>
      <fill>
        <patternFill patternType="solid">
          <fgColor rgb="FFFDEB84"/>
          <bgColor rgb="FF000000"/>
        </patternFill>
      </fill>
    </dxf>
    <dxf>
      <fill>
        <patternFill patternType="solid">
          <fgColor rgb="FFFED880"/>
          <bgColor rgb="FF000000"/>
        </patternFill>
      </fill>
    </dxf>
    <dxf>
      <fill>
        <patternFill patternType="solid">
          <fgColor rgb="FFFED980"/>
          <bgColor rgb="FF000000"/>
        </patternFill>
      </fill>
    </dxf>
    <dxf>
      <fill>
        <patternFill patternType="solid">
          <fgColor rgb="FFFEDA80"/>
          <bgColor rgb="FF000000"/>
        </patternFill>
      </fill>
    </dxf>
    <dxf>
      <fill>
        <patternFill patternType="solid">
          <fgColor rgb="FFFEDB81"/>
          <bgColor rgb="FF000000"/>
        </patternFill>
      </fill>
    </dxf>
    <dxf>
      <fill>
        <patternFill patternType="solid">
          <fgColor rgb="FFFEDC81"/>
          <bgColor rgb="FF000000"/>
        </patternFill>
      </fill>
    </dxf>
    <dxf>
      <fill>
        <patternFill patternType="solid">
          <fgColor rgb="FFFEDD81"/>
          <bgColor rgb="FF000000"/>
        </patternFill>
      </fill>
    </dxf>
    <dxf>
      <fill>
        <patternFill patternType="solid">
          <fgColor rgb="FFFEDE81"/>
          <bgColor rgb="FF000000"/>
        </patternFill>
      </fill>
    </dxf>
    <dxf>
      <fill>
        <patternFill patternType="solid">
          <fgColor rgb="FFFEDF81"/>
          <bgColor rgb="FF000000"/>
        </patternFill>
      </fill>
    </dxf>
    <dxf>
      <fill>
        <patternFill patternType="solid">
          <fgColor rgb="FFFEE081"/>
          <bgColor rgb="FF000000"/>
        </patternFill>
      </fill>
    </dxf>
    <dxf>
      <fill>
        <patternFill patternType="solid">
          <fgColor rgb="FFFEE082"/>
          <bgColor rgb="FF000000"/>
        </patternFill>
      </fill>
    </dxf>
    <dxf>
      <fill>
        <patternFill patternType="solid">
          <fgColor rgb="FFFEE182"/>
          <bgColor rgb="FF000000"/>
        </patternFill>
      </fill>
    </dxf>
    <dxf>
      <fill>
        <patternFill patternType="solid">
          <fgColor rgb="FFFEE282"/>
          <bgColor rgb="FF000000"/>
        </patternFill>
      </fill>
    </dxf>
    <dxf>
      <fill>
        <patternFill patternType="solid">
          <fgColor rgb="FFFEE382"/>
          <bgColor rgb="FF000000"/>
        </patternFill>
      </fill>
    </dxf>
    <dxf>
      <fill>
        <patternFill patternType="solid">
          <fgColor rgb="FFFEE482"/>
          <bgColor rgb="FF000000"/>
        </patternFill>
      </fill>
    </dxf>
    <dxf>
      <fill>
        <patternFill patternType="solid">
          <fgColor rgb="FFFEE582"/>
          <bgColor rgb="FF000000"/>
        </patternFill>
      </fill>
    </dxf>
    <dxf>
      <fill>
        <patternFill patternType="solid">
          <fgColor rgb="FFFEE583"/>
          <bgColor rgb="FF000000"/>
        </patternFill>
      </fill>
    </dxf>
    <dxf>
      <fill>
        <patternFill patternType="solid">
          <fgColor rgb="FFFEE683"/>
          <bgColor rgb="FF000000"/>
        </patternFill>
      </fill>
    </dxf>
    <dxf>
      <fill>
        <patternFill patternType="solid">
          <fgColor rgb="FFFEE783"/>
          <bgColor rgb="FF000000"/>
        </patternFill>
      </fill>
    </dxf>
    <dxf>
      <fill>
        <patternFill patternType="solid">
          <fgColor rgb="FFFEE883"/>
          <bgColor rgb="FF000000"/>
        </patternFill>
      </fill>
    </dxf>
    <dxf>
      <fill>
        <patternFill patternType="solid">
          <fgColor rgb="FFFEE983"/>
          <bgColor rgb="FF000000"/>
        </patternFill>
      </fill>
    </dxf>
    <dxf>
      <fill>
        <patternFill patternType="solid">
          <fgColor rgb="FFFEEA83"/>
          <bgColor rgb="FF000000"/>
        </patternFill>
      </fill>
    </dxf>
    <dxf>
      <fill>
        <patternFill patternType="solid">
          <fgColor rgb="FFFEEB84"/>
          <bgColor rgb="FF000000"/>
        </patternFill>
      </fill>
    </dxf>
    <dxf>
      <fill>
        <patternFill patternType="solid">
          <fgColor rgb="FFFFEB84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00B050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D966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7F6000"/>
          <bgColor rgb="FF000000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00B050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7F6000"/>
      </font>
      <fill>
        <patternFill>
          <bgColor rgb="FFFFD966"/>
        </patternFill>
      </fill>
    </dxf>
    <dxf>
      <fill>
        <patternFill>
          <bgColor rgb="FFE2EF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CCCCCC"/>
      <rgbColor rgb="FF777777"/>
      <rgbColor rgb="FF9999FF"/>
      <rgbColor rgb="FF993366"/>
      <rgbColor rgb="FFE2EFDA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00B050"/>
      <rgbColor rgb="FF0061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27.75" hidden="false" customHeight="true" outlineLevel="0" collapsed="false">
      <c r="A5" s="4" t="s">
        <v>3</v>
      </c>
    </row>
    <row r="7" customFormat="false" ht="15" hidden="false" customHeight="false" outlineLevel="0" collapsed="false">
      <c r="A7" s="3" t="s">
        <v>4</v>
      </c>
    </row>
    <row r="8" customFormat="false" ht="27.75" hidden="false" customHeight="true" outlineLevel="0" collapsed="false">
      <c r="A8" s="4" t="s">
        <v>5</v>
      </c>
    </row>
    <row r="9" customFormat="false" ht="27.75" hidden="false" customHeight="true" outlineLevel="0" collapsed="false">
      <c r="A9" s="4" t="s">
        <v>6</v>
      </c>
    </row>
    <row r="10" customFormat="false" ht="27.75" hidden="false" customHeight="true" outlineLevel="0" collapsed="false">
      <c r="A10" s="4" t="s">
        <v>7</v>
      </c>
    </row>
    <row r="11" customFormat="false" ht="27.75" hidden="false" customHeight="true" outlineLevel="0" collapsed="false">
      <c r="A11" s="4" t="s">
        <v>8</v>
      </c>
    </row>
    <row r="13" customFormat="false" ht="15" hidden="false" customHeight="false" outlineLevel="0" collapsed="false">
      <c r="A13" s="3" t="s">
        <v>9</v>
      </c>
    </row>
    <row r="14" customFormat="false" ht="27.75" hidden="false" customHeight="true" outlineLevel="0" collapsed="false">
      <c r="A14" s="4" t="s">
        <v>10</v>
      </c>
    </row>
    <row r="15" customFormat="false" ht="27.75" hidden="false" customHeight="true" outlineLevel="0" collapsed="false">
      <c r="A15" s="4" t="s">
        <v>11</v>
      </c>
    </row>
    <row r="16" customFormat="false" ht="27.75" hidden="false" customHeight="true" outlineLevel="0" collapsed="false">
      <c r="A16" s="4" t="s">
        <v>12</v>
      </c>
    </row>
    <row r="17" customFormat="false" ht="27.75" hidden="false" customHeight="true" outlineLevel="0" collapsed="false">
      <c r="A17" s="4" t="s">
        <v>13</v>
      </c>
    </row>
    <row r="19" customFormat="false" ht="15" hidden="false" customHeight="false" outlineLevel="0" collapsed="false">
      <c r="A19" s="3" t="s">
        <v>14</v>
      </c>
    </row>
    <row r="20" customFormat="false" ht="27.75" hidden="false" customHeight="true" outlineLevel="0" collapsed="false">
      <c r="A20" s="4" t="s">
        <v>15</v>
      </c>
    </row>
    <row r="22" customFormat="false" ht="15" hidden="false" customHeight="false" outlineLevel="0" collapsed="false">
      <c r="A22" s="3" t="s">
        <v>16</v>
      </c>
    </row>
    <row r="23" customFormat="false" ht="27.75" hidden="false" customHeight="true" outlineLevel="0" collapsed="false">
      <c r="A23" s="4" t="s">
        <v>17</v>
      </c>
    </row>
    <row r="25" customFormat="false" ht="15" hidden="false" customHeight="false" outlineLevel="0" collapsed="false">
      <c r="A25" s="3" t="s">
        <v>18</v>
      </c>
    </row>
    <row r="26" customFormat="false" ht="27.75" hidden="false" customHeight="true" outlineLevel="0" collapsed="false">
      <c r="A26" s="4" t="s">
        <v>19</v>
      </c>
    </row>
    <row r="28" customFormat="false" ht="15" hidden="false" customHeight="false" outlineLevel="0" collapsed="false">
      <c r="A28" s="3" t="s">
        <v>20</v>
      </c>
    </row>
    <row r="29" customFormat="false" ht="27.75" hidden="false" customHeight="true" outlineLevel="0" collapsed="false">
      <c r="A29" s="4" t="s">
        <v>21</v>
      </c>
    </row>
    <row r="31" customFormat="false" ht="15" hidden="false" customHeight="false" outlineLevel="0" collapsed="false">
      <c r="A31" s="3" t="s">
        <v>22</v>
      </c>
    </row>
    <row r="32" customFormat="false" ht="27.75" hidden="false" customHeight="true" outlineLevel="0" collapsed="false">
      <c r="A32" s="4" t="s">
        <v>23</v>
      </c>
    </row>
    <row r="34" customFormat="false" ht="15" hidden="false" customHeight="false" outlineLevel="0" collapsed="false">
      <c r="A34" s="3" t="s">
        <v>24</v>
      </c>
    </row>
    <row r="35" customFormat="false" ht="27.75" hidden="false" customHeight="true" outlineLevel="0" collapsed="false">
      <c r="A35" s="4" t="s">
        <v>25</v>
      </c>
    </row>
    <row r="37" customFormat="false" ht="15" hidden="false" customHeight="false" outlineLevel="0" collapsed="false">
      <c r="A37" s="3" t="s">
        <v>26</v>
      </c>
    </row>
    <row r="38" customFormat="false" ht="27.75" hidden="false" customHeight="true" outlineLevel="0" collapsed="false">
      <c r="A38" s="4" t="s">
        <v>27</v>
      </c>
    </row>
    <row r="40" customFormat="false" ht="15" hidden="false" customHeight="false" outlineLevel="0" collapsed="false">
      <c r="A40" s="3" t="s">
        <v>28</v>
      </c>
    </row>
    <row r="41" customFormat="false" ht="27.75" hidden="false" customHeight="true" outlineLevel="0" collapsed="false">
      <c r="A41" s="4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50"/>
  </cols>
  <sheetData>
    <row r="1" customFormat="false" ht="19.7" hidden="false" customHeight="false" outlineLevel="0" collapsed="false">
      <c r="A1" s="1" t="s">
        <v>30</v>
      </c>
    </row>
    <row r="3" customFormat="false" ht="15" hidden="false" customHeight="false" outlineLevel="0" collapsed="false">
      <c r="A3" s="5" t="s">
        <v>31</v>
      </c>
    </row>
    <row r="4" customFormat="false" ht="15" hidden="false" customHeight="false" outlineLevel="0" collapsed="false">
      <c r="A4" s="5" t="s">
        <v>32</v>
      </c>
      <c r="B4" s="5" t="s">
        <v>33</v>
      </c>
      <c r="C4" s="5" t="s">
        <v>34</v>
      </c>
    </row>
    <row r="5" customFormat="false" ht="22.35" hidden="false" customHeight="false" outlineLevel="0" collapsed="false">
      <c r="A5" s="6" t="s">
        <v>35</v>
      </c>
      <c r="B5" s="7" t="n">
        <v>0.25</v>
      </c>
      <c r="C5" s="8" t="s">
        <v>36</v>
      </c>
    </row>
    <row r="6" customFormat="false" ht="15" hidden="false" customHeight="false" outlineLevel="0" collapsed="false">
      <c r="A6" s="6" t="s">
        <v>37</v>
      </c>
      <c r="B6" s="7" t="n">
        <v>0.35</v>
      </c>
      <c r="C6" s="8" t="s">
        <v>38</v>
      </c>
    </row>
    <row r="7" customFormat="false" ht="15" hidden="false" customHeight="false" outlineLevel="0" collapsed="false">
      <c r="A7" s="6" t="s">
        <v>39</v>
      </c>
      <c r="B7" s="7" t="n">
        <v>0.2</v>
      </c>
      <c r="C7" s="8" t="s">
        <v>40</v>
      </c>
    </row>
    <row r="8" customFormat="false" ht="22.35" hidden="false" customHeight="false" outlineLevel="0" collapsed="false">
      <c r="A8" s="6" t="s">
        <v>41</v>
      </c>
      <c r="B8" s="7" t="n">
        <v>0.2</v>
      </c>
      <c r="C8" s="8" t="s">
        <v>42</v>
      </c>
    </row>
    <row r="9" customFormat="false" ht="15" hidden="false" customHeight="false" outlineLevel="0" collapsed="false">
      <c r="A9" s="5" t="s">
        <v>43</v>
      </c>
      <c r="B9" s="9" t="n">
        <f aca="false">SUM(B5:B8)</f>
        <v>1</v>
      </c>
    </row>
    <row r="11" customFormat="false" ht="15" hidden="false" customHeight="false" outlineLevel="0" collapsed="false">
      <c r="A11" s="5" t="s">
        <v>44</v>
      </c>
    </row>
    <row r="12" customFormat="false" ht="15" hidden="false" customHeight="false" outlineLevel="0" collapsed="false">
      <c r="A12" s="5" t="s">
        <v>45</v>
      </c>
      <c r="B12" s="5" t="s">
        <v>46</v>
      </c>
      <c r="C12" s="5" t="s">
        <v>47</v>
      </c>
    </row>
    <row r="13" customFormat="false" ht="15" hidden="false" customHeight="false" outlineLevel="0" collapsed="false">
      <c r="A13" s="10" t="n">
        <v>2</v>
      </c>
      <c r="B13" s="11" t="n">
        <v>1</v>
      </c>
      <c r="C13" s="12" t="s">
        <v>48</v>
      </c>
    </row>
    <row r="14" customFormat="false" ht="15" hidden="false" customHeight="false" outlineLevel="0" collapsed="false">
      <c r="A14" s="10" t="n">
        <v>3</v>
      </c>
      <c r="B14" s="11" t="n">
        <v>0.85</v>
      </c>
      <c r="C14" s="12" t="s">
        <v>49</v>
      </c>
    </row>
    <row r="15" customFormat="false" ht="15" hidden="false" customHeight="false" outlineLevel="0" collapsed="false">
      <c r="A15" s="10" t="n">
        <v>4</v>
      </c>
      <c r="B15" s="11" t="n">
        <v>0.7</v>
      </c>
      <c r="C15" s="12" t="s">
        <v>50</v>
      </c>
    </row>
    <row r="18" customFormat="false" ht="15" hidden="false" customHeight="false" outlineLevel="0" collapsed="false">
      <c r="A18" s="5" t="s">
        <v>51</v>
      </c>
    </row>
    <row r="19" customFormat="false" ht="15" hidden="false" customHeight="false" outlineLevel="0" collapsed="false">
      <c r="A19" s="6" t="s">
        <v>52</v>
      </c>
      <c r="B19" s="13" t="n">
        <v>40</v>
      </c>
    </row>
    <row r="20" customFormat="false" ht="15" hidden="false" customHeight="false" outlineLevel="0" collapsed="false">
      <c r="A20" s="6" t="s">
        <v>53</v>
      </c>
      <c r="B20" s="13" t="n">
        <v>20</v>
      </c>
    </row>
    <row r="22" customFormat="false" ht="15" hidden="false" customHeight="false" outlineLevel="0" collapsed="false">
      <c r="A22" s="5" t="s">
        <v>54</v>
      </c>
    </row>
    <row r="23" customFormat="false" ht="15" hidden="false" customHeight="false" outlineLevel="0" collapsed="false">
      <c r="A23" s="6" t="s">
        <v>55</v>
      </c>
      <c r="B23" s="7" t="n">
        <v>0.65</v>
      </c>
    </row>
    <row r="24" customFormat="false" ht="15" hidden="false" customHeight="false" outlineLevel="0" collapsed="false">
      <c r="A24" s="6" t="s">
        <v>56</v>
      </c>
      <c r="B24" s="7" t="n">
        <v>0.55</v>
      </c>
    </row>
    <row r="25" customFormat="false" ht="15" hidden="false" customHeight="false" outlineLevel="0" collapsed="false">
      <c r="A25" s="6" t="s">
        <v>57</v>
      </c>
      <c r="B25" s="7" t="n">
        <v>0.62</v>
      </c>
    </row>
    <row r="26" customFormat="false" ht="15" hidden="false" customHeight="false" outlineLevel="0" collapsed="false">
      <c r="A26" s="6" t="s">
        <v>58</v>
      </c>
      <c r="B26" s="7" t="n">
        <v>0.45</v>
      </c>
    </row>
    <row r="28" customFormat="false" ht="15" hidden="false" customHeight="false" outlineLevel="0" collapsed="false">
      <c r="A28" s="5" t="s">
        <v>59</v>
      </c>
    </row>
    <row r="29" customFormat="false" ht="15" hidden="false" customHeight="false" outlineLevel="0" collapsed="false">
      <c r="A29" s="5" t="s">
        <v>60</v>
      </c>
      <c r="B29" s="5" t="s">
        <v>61</v>
      </c>
    </row>
    <row r="30" customFormat="false" ht="15" hidden="false" customHeight="false" outlineLevel="0" collapsed="false">
      <c r="A30" s="6" t="s">
        <v>62</v>
      </c>
      <c r="B30" s="6" t="s">
        <v>63</v>
      </c>
    </row>
    <row r="31" customFormat="false" ht="15" hidden="false" customHeight="false" outlineLevel="0" collapsed="false">
      <c r="A31" s="6" t="s">
        <v>64</v>
      </c>
      <c r="B31" s="6" t="s">
        <v>65</v>
      </c>
    </row>
    <row r="32" customFormat="false" ht="15" hidden="false" customHeight="false" outlineLevel="0" collapsed="false">
      <c r="A32" s="6" t="s">
        <v>66</v>
      </c>
      <c r="B32" s="6" t="s">
        <v>65</v>
      </c>
    </row>
    <row r="33" customFormat="false" ht="15" hidden="false" customHeight="false" outlineLevel="0" collapsed="false">
      <c r="A33" s="6" t="s">
        <v>67</v>
      </c>
      <c r="B33" s="6" t="s">
        <v>65</v>
      </c>
    </row>
    <row r="34" customFormat="false" ht="15" hidden="false" customHeight="false" outlineLevel="0" collapsed="false">
      <c r="A34" s="6" t="s">
        <v>68</v>
      </c>
      <c r="B34" s="6" t="s">
        <v>65</v>
      </c>
    </row>
    <row r="35" customFormat="false" ht="15" hidden="false" customHeight="false" outlineLevel="0" collapsed="false">
      <c r="A35" s="6" t="s">
        <v>69</v>
      </c>
      <c r="B35" s="6" t="s">
        <v>70</v>
      </c>
    </row>
    <row r="36" customFormat="false" ht="15" hidden="false" customHeight="false" outlineLevel="0" collapsed="false">
      <c r="A36" s="6" t="s">
        <v>71</v>
      </c>
      <c r="B36" s="6" t="s">
        <v>72</v>
      </c>
    </row>
    <row r="37" customFormat="false" ht="15" hidden="false" customHeight="false" outlineLevel="0" collapsed="false">
      <c r="A37" s="6" t="s">
        <v>73</v>
      </c>
      <c r="B37" s="6" t="s">
        <v>74</v>
      </c>
    </row>
    <row r="38" customFormat="false" ht="15" hidden="false" customHeight="false" outlineLevel="0" collapsed="false">
      <c r="A38" s="6" t="s">
        <v>75</v>
      </c>
      <c r="B38" s="6" t="s">
        <v>74</v>
      </c>
    </row>
    <row r="39" customFormat="false" ht="15" hidden="false" customHeight="false" outlineLevel="0" collapsed="false">
      <c r="A39" s="6" t="s">
        <v>76</v>
      </c>
      <c r="B39" s="6" t="s">
        <v>72</v>
      </c>
    </row>
    <row r="40" customFormat="false" ht="15" hidden="false" customHeight="false" outlineLevel="0" collapsed="false">
      <c r="A40" s="6" t="s">
        <v>77</v>
      </c>
      <c r="B40" s="6" t="s">
        <v>78</v>
      </c>
    </row>
    <row r="41" customFormat="false" ht="15" hidden="false" customHeight="false" outlineLevel="0" collapsed="false">
      <c r="A41" s="6" t="s">
        <v>79</v>
      </c>
      <c r="B41" s="6" t="s">
        <v>78</v>
      </c>
    </row>
    <row r="42" customFormat="false" ht="15" hidden="false" customHeight="false" outlineLevel="0" collapsed="false">
      <c r="A42" s="6" t="s">
        <v>80</v>
      </c>
      <c r="B42" s="6" t="s">
        <v>78</v>
      </c>
    </row>
    <row r="43" customFormat="false" ht="15" hidden="false" customHeight="false" outlineLevel="0" collapsed="false">
      <c r="A43" s="6" t="s">
        <v>81</v>
      </c>
      <c r="B43" s="6" t="s">
        <v>78</v>
      </c>
    </row>
    <row r="44" customFormat="false" ht="15" hidden="false" customHeight="false" outlineLevel="0" collapsed="false">
      <c r="A44" s="6" t="s">
        <v>82</v>
      </c>
      <c r="B44" s="6" t="s">
        <v>78</v>
      </c>
    </row>
    <row r="45" customFormat="false" ht="15" hidden="false" customHeight="false" outlineLevel="0" collapsed="false">
      <c r="A45" s="6" t="s">
        <v>83</v>
      </c>
      <c r="B45" s="6" t="s">
        <v>84</v>
      </c>
    </row>
    <row r="46" customFormat="false" ht="15" hidden="false" customHeight="false" outlineLevel="0" collapsed="false">
      <c r="A46" s="6" t="s">
        <v>85</v>
      </c>
      <c r="B46" s="6" t="s">
        <v>84</v>
      </c>
    </row>
    <row r="47" customFormat="false" ht="15" hidden="false" customHeight="false" outlineLevel="0" collapsed="false">
      <c r="A47" s="6" t="s">
        <v>86</v>
      </c>
      <c r="B47" s="6" t="s">
        <v>84</v>
      </c>
    </row>
    <row r="48" customFormat="false" ht="15" hidden="false" customHeight="false" outlineLevel="0" collapsed="false">
      <c r="A48" s="6" t="s">
        <v>87</v>
      </c>
      <c r="B48" s="6" t="s">
        <v>84</v>
      </c>
    </row>
    <row r="49" customFormat="false" ht="15" hidden="false" customHeight="false" outlineLevel="0" collapsed="false">
      <c r="A49" s="6" t="s">
        <v>88</v>
      </c>
      <c r="B49" s="6" t="s">
        <v>84</v>
      </c>
    </row>
    <row r="50" customFormat="false" ht="15" hidden="false" customHeight="false" outlineLevel="0" collapsed="false">
      <c r="A50" s="6" t="s">
        <v>89</v>
      </c>
      <c r="B50" s="6" t="s">
        <v>84</v>
      </c>
    </row>
    <row r="51" customFormat="false" ht="15" hidden="false" customHeight="false" outlineLevel="0" collapsed="false">
      <c r="A51" s="6" t="s">
        <v>90</v>
      </c>
      <c r="B51" s="6" t="s">
        <v>91</v>
      </c>
    </row>
    <row r="52" customFormat="false" ht="15" hidden="false" customHeight="false" outlineLevel="0" collapsed="false">
      <c r="A52" s="6" t="s">
        <v>92</v>
      </c>
      <c r="B52" s="6" t="s">
        <v>93</v>
      </c>
    </row>
    <row r="53" customFormat="false" ht="15" hidden="false" customHeight="false" outlineLevel="0" collapsed="false">
      <c r="A53" s="6" t="s">
        <v>94</v>
      </c>
      <c r="B53" s="6" t="s">
        <v>95</v>
      </c>
    </row>
    <row r="54" customFormat="false" ht="15" hidden="false" customHeight="false" outlineLevel="0" collapsed="false">
      <c r="A54" s="6" t="s">
        <v>96</v>
      </c>
      <c r="B54" s="6" t="s">
        <v>97</v>
      </c>
    </row>
    <row r="55" customFormat="false" ht="15" hidden="false" customHeight="false" outlineLevel="0" collapsed="false">
      <c r="A55" s="6" t="s">
        <v>98</v>
      </c>
      <c r="B55" s="6" t="s">
        <v>97</v>
      </c>
    </row>
    <row r="56" customFormat="false" ht="15" hidden="false" customHeight="false" outlineLevel="0" collapsed="false">
      <c r="A56" s="6" t="s">
        <v>99</v>
      </c>
      <c r="B56" s="6" t="s">
        <v>95</v>
      </c>
    </row>
    <row r="57" customFormat="false" ht="15" hidden="false" customHeight="false" outlineLevel="0" collapsed="false">
      <c r="A57" s="6" t="s">
        <v>100</v>
      </c>
      <c r="B57" s="6" t="s">
        <v>101</v>
      </c>
    </row>
    <row r="58" customFormat="false" ht="15" hidden="false" customHeight="false" outlineLevel="0" collapsed="false">
      <c r="A58" s="6" t="s">
        <v>102</v>
      </c>
      <c r="B58" s="6" t="s">
        <v>101</v>
      </c>
    </row>
    <row r="59" customFormat="false" ht="15" hidden="false" customHeight="false" outlineLevel="0" collapsed="false">
      <c r="A59" s="6" t="s">
        <v>103</v>
      </c>
      <c r="B59" s="6" t="s">
        <v>101</v>
      </c>
    </row>
    <row r="60" customFormat="false" ht="15" hidden="false" customHeight="false" outlineLevel="0" collapsed="false">
      <c r="A60" s="6" t="s">
        <v>104</v>
      </c>
      <c r="B60" s="6" t="s">
        <v>105</v>
      </c>
    </row>
    <row r="61" customFormat="false" ht="15" hidden="false" customHeight="false" outlineLevel="0" collapsed="false">
      <c r="A61" s="6" t="s">
        <v>106</v>
      </c>
      <c r="B61" s="6" t="s">
        <v>107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4" min="4" style="0" width="7"/>
    <col collapsed="false" customWidth="true" hidden="false" outlineLevel="0" max="5" min="5" style="0" width="20"/>
    <col collapsed="false" customWidth="true" hidden="false" outlineLevel="0" max="6" min="6" style="0" width="10"/>
    <col collapsed="false" customWidth="true" hidden="false" outlineLevel="0" max="7" min="7" style="0" width="6"/>
    <col collapsed="false" customWidth="true" hidden="false" outlineLevel="0" max="8" min="8" style="0" width="14"/>
    <col collapsed="false" customWidth="true" hidden="false" outlineLevel="0" max="10" min="9" style="0" width="8"/>
    <col collapsed="false" customWidth="true" hidden="false" outlineLevel="0" max="13" min="11" style="0" width="12"/>
    <col collapsed="false" customWidth="true" hidden="false" outlineLevel="0" max="14" min="14" style="0" width="10"/>
    <col collapsed="false" customWidth="true" hidden="false" outlineLevel="0" max="15" min="15" style="0" width="12"/>
    <col collapsed="false" customWidth="true" hidden="false" outlineLevel="0" max="16" min="16" style="0" width="14"/>
    <col collapsed="false" customWidth="true" hidden="false" outlineLevel="0" max="18" min="17" style="0" width="12"/>
    <col collapsed="false" customWidth="true" hidden="false" outlineLevel="0" max="19" min="19" style="0" width="16"/>
    <col collapsed="false" customWidth="true" hidden="false" outlineLevel="0" max="20" min="20" style="0" width="11"/>
    <col collapsed="false" customWidth="true" hidden="false" outlineLevel="0" max="21" min="21" style="0" width="14"/>
    <col collapsed="false" customWidth="true" hidden="false" outlineLevel="0" max="22" min="22" style="0" width="26"/>
    <col collapsed="false" customWidth="true" hidden="false" outlineLevel="0" max="24" min="23" style="0" width="34"/>
    <col collapsed="false" customWidth="true" hidden="false" outlineLevel="0" max="26" min="25" style="0" width="12"/>
    <col collapsed="false" customWidth="true" hidden="false" outlineLevel="0" max="27" min="27" style="0" width="18"/>
  </cols>
  <sheetData>
    <row r="1" customFormat="false" ht="31.5" hidden="false" customHeight="true" outlineLevel="0" collapsed="false">
      <c r="A1" s="14" t="s">
        <v>108</v>
      </c>
      <c r="B1" s="14" t="s">
        <v>60</v>
      </c>
      <c r="C1" s="14" t="s">
        <v>109</v>
      </c>
      <c r="D1" s="14" t="s">
        <v>45</v>
      </c>
      <c r="E1" s="14" t="s">
        <v>110</v>
      </c>
      <c r="F1" s="14" t="s">
        <v>111</v>
      </c>
      <c r="G1" s="14" t="s">
        <v>112</v>
      </c>
      <c r="H1" s="14" t="s">
        <v>113</v>
      </c>
      <c r="I1" s="14" t="s">
        <v>114</v>
      </c>
      <c r="J1" s="14" t="s">
        <v>115</v>
      </c>
      <c r="K1" s="14" t="s">
        <v>116</v>
      </c>
      <c r="L1" s="14" t="s">
        <v>117</v>
      </c>
      <c r="M1" s="14" t="s">
        <v>118</v>
      </c>
      <c r="N1" s="14" t="s">
        <v>119</v>
      </c>
      <c r="O1" s="14" t="s">
        <v>120</v>
      </c>
      <c r="P1" s="14" t="s">
        <v>121</v>
      </c>
      <c r="Q1" s="14" t="s">
        <v>122</v>
      </c>
      <c r="R1" s="14" t="s">
        <v>123</v>
      </c>
      <c r="S1" s="14" t="s">
        <v>124</v>
      </c>
      <c r="T1" s="14" t="s">
        <v>125</v>
      </c>
      <c r="U1" s="14" t="s">
        <v>126</v>
      </c>
      <c r="V1" s="14" t="s">
        <v>127</v>
      </c>
      <c r="W1" s="14" t="s">
        <v>128</v>
      </c>
      <c r="X1" s="14" t="s">
        <v>129</v>
      </c>
      <c r="Y1" s="14" t="s">
        <v>130</v>
      </c>
      <c r="Z1" s="14" t="s">
        <v>131</v>
      </c>
      <c r="AA1" s="14" t="s">
        <v>132</v>
      </c>
    </row>
    <row r="2" customFormat="false" ht="23.85" hidden="false" customHeight="false" outlineLevel="0" collapsed="false">
      <c r="A2" s="15" t="s">
        <v>133</v>
      </c>
      <c r="B2" s="15" t="s">
        <v>69</v>
      </c>
      <c r="C2" s="15" t="s">
        <v>134</v>
      </c>
      <c r="D2" s="15" t="n">
        <v>3</v>
      </c>
      <c r="E2" s="15" t="s">
        <v>135</v>
      </c>
      <c r="F2" s="15" t="s">
        <v>136</v>
      </c>
      <c r="G2" s="15" t="n">
        <v>21</v>
      </c>
      <c r="H2" s="15" t="n">
        <v>2269</v>
      </c>
      <c r="I2" s="15" t="n">
        <v>2</v>
      </c>
      <c r="J2" s="15" t="n">
        <v>1</v>
      </c>
      <c r="K2" s="15" t="n">
        <v>54</v>
      </c>
      <c r="L2" s="15" t="n">
        <v>36</v>
      </c>
      <c r="M2" s="15" t="n">
        <v>106</v>
      </c>
      <c r="N2" s="15" t="n">
        <v>0</v>
      </c>
      <c r="O2" s="15" t="n">
        <v>0</v>
      </c>
      <c r="P2" s="16" t="n">
        <v>0</v>
      </c>
      <c r="Q2" s="15" t="n">
        <v>0</v>
      </c>
      <c r="R2" s="15" t="n">
        <v>0</v>
      </c>
      <c r="S2" s="17" t="n">
        <v>80530</v>
      </c>
      <c r="T2" s="15" t="s">
        <v>137</v>
      </c>
      <c r="U2" s="15" t="n">
        <v>2028</v>
      </c>
      <c r="V2" s="15" t="s">
        <v>138</v>
      </c>
      <c r="W2" s="18" t="s">
        <v>139</v>
      </c>
      <c r="X2" s="18" t="s">
        <v>140</v>
      </c>
      <c r="Y2" s="15" t="s">
        <v>141</v>
      </c>
      <c r="Z2" s="15" t="s">
        <v>142</v>
      </c>
      <c r="AA2" s="19" t="str">
        <f aca="false">HYPERLINK("https://www.transfermarkt.com/schnellsuche/ergebnis/schnellsuche?query="&amp;SUBSTITUTE(A2," ","+"),"Search Transfermarkt")</f>
        <v>Search Transfermarkt</v>
      </c>
    </row>
    <row r="3" customFormat="false" ht="23.85" hidden="false" customHeight="false" outlineLevel="0" collapsed="false">
      <c r="A3" s="15" t="s">
        <v>143</v>
      </c>
      <c r="B3" s="15" t="s">
        <v>98</v>
      </c>
      <c r="C3" s="15" t="s">
        <v>144</v>
      </c>
      <c r="D3" s="15" t="n">
        <v>3</v>
      </c>
      <c r="E3" s="15" t="s">
        <v>145</v>
      </c>
      <c r="F3" s="15" t="s">
        <v>136</v>
      </c>
      <c r="G3" s="15" t="n">
        <v>17</v>
      </c>
      <c r="H3" s="15" t="n">
        <v>1740</v>
      </c>
      <c r="I3" s="15" t="n">
        <v>1</v>
      </c>
      <c r="J3" s="15" t="n">
        <v>1</v>
      </c>
      <c r="K3" s="15" t="n">
        <v>65</v>
      </c>
      <c r="L3" s="15" t="n">
        <v>38</v>
      </c>
      <c r="M3" s="15" t="n">
        <v>125</v>
      </c>
      <c r="N3" s="15" t="n">
        <v>0</v>
      </c>
      <c r="O3" s="15" t="n">
        <v>0</v>
      </c>
      <c r="P3" s="16" t="n">
        <v>0</v>
      </c>
      <c r="Q3" s="15" t="n">
        <v>0</v>
      </c>
      <c r="R3" s="15" t="n">
        <v>0</v>
      </c>
      <c r="S3" s="17" t="n">
        <v>106482</v>
      </c>
      <c r="T3" s="15" t="s">
        <v>137</v>
      </c>
      <c r="U3" s="15" t="n">
        <v>2026</v>
      </c>
      <c r="V3" s="15" t="s">
        <v>146</v>
      </c>
      <c r="W3" s="18" t="s">
        <v>147</v>
      </c>
      <c r="X3" s="18" t="s">
        <v>148</v>
      </c>
      <c r="Y3" s="15" t="s">
        <v>141</v>
      </c>
      <c r="Z3" s="15" t="s">
        <v>142</v>
      </c>
      <c r="AA3" s="19" t="str">
        <f aca="false">HYPERLINK("https://www.transfermarkt.com/schnellsuche/ergebnis/schnellsuche?query="&amp;SUBSTITUTE(A3," ","+"),"Search Transfermarkt")</f>
        <v>Search Transfermarkt</v>
      </c>
    </row>
    <row r="4" customFormat="false" ht="23.85" hidden="false" customHeight="false" outlineLevel="0" collapsed="false">
      <c r="A4" s="15" t="s">
        <v>149</v>
      </c>
      <c r="B4" s="15" t="s">
        <v>68</v>
      </c>
      <c r="C4" s="15" t="s">
        <v>150</v>
      </c>
      <c r="D4" s="15" t="n">
        <v>2</v>
      </c>
      <c r="E4" s="15" t="s">
        <v>151</v>
      </c>
      <c r="F4" s="15" t="s">
        <v>136</v>
      </c>
      <c r="G4" s="15" t="n">
        <v>19</v>
      </c>
      <c r="H4" s="15" t="n">
        <v>1912</v>
      </c>
      <c r="I4" s="15" t="n">
        <v>2</v>
      </c>
      <c r="J4" s="15" t="n">
        <v>4</v>
      </c>
      <c r="K4" s="15" t="n">
        <v>71</v>
      </c>
      <c r="L4" s="15" t="n">
        <v>20</v>
      </c>
      <c r="M4" s="15" t="n">
        <v>117</v>
      </c>
      <c r="N4" s="15" t="n">
        <v>0</v>
      </c>
      <c r="O4" s="15" t="n">
        <v>0</v>
      </c>
      <c r="P4" s="16" t="n">
        <v>0</v>
      </c>
      <c r="Q4" s="15" t="n">
        <v>0</v>
      </c>
      <c r="R4" s="15" t="n">
        <v>0</v>
      </c>
      <c r="S4" s="17" t="n">
        <v>43203</v>
      </c>
      <c r="T4" s="15" t="s">
        <v>137</v>
      </c>
      <c r="U4" s="15" t="n">
        <v>2026</v>
      </c>
      <c r="V4" s="15" t="s">
        <v>152</v>
      </c>
      <c r="W4" s="18" t="s">
        <v>139</v>
      </c>
      <c r="X4" s="18" t="s">
        <v>153</v>
      </c>
      <c r="Y4" s="15" t="s">
        <v>141</v>
      </c>
      <c r="Z4" s="15" t="s">
        <v>142</v>
      </c>
      <c r="AA4" s="19" t="str">
        <f aca="false">HYPERLINK("https://www.transfermarkt.com/schnellsuche/ergebnis/schnellsuche?query="&amp;SUBSTITUTE(A4," ","+"),"Search Transfermarkt")</f>
        <v>Search Transfermarkt</v>
      </c>
    </row>
    <row r="5" customFormat="false" ht="23.85" hidden="false" customHeight="false" outlineLevel="0" collapsed="false">
      <c r="A5" s="15" t="s">
        <v>154</v>
      </c>
      <c r="B5" s="15" t="s">
        <v>92</v>
      </c>
      <c r="C5" s="15" t="s">
        <v>155</v>
      </c>
      <c r="D5" s="15" t="n">
        <v>2</v>
      </c>
      <c r="E5" s="15" t="s">
        <v>156</v>
      </c>
      <c r="F5" s="15" t="s">
        <v>157</v>
      </c>
      <c r="G5" s="15" t="n">
        <v>25</v>
      </c>
      <c r="H5" s="15" t="n">
        <v>2099</v>
      </c>
      <c r="I5" s="15" t="n">
        <v>0</v>
      </c>
      <c r="J5" s="15" t="n">
        <v>0</v>
      </c>
      <c r="K5" s="15" t="n">
        <v>6</v>
      </c>
      <c r="L5" s="15" t="n">
        <v>5</v>
      </c>
      <c r="M5" s="15" t="n">
        <v>7</v>
      </c>
      <c r="N5" s="15" t="n">
        <v>54</v>
      </c>
      <c r="O5" s="15" t="n">
        <v>27</v>
      </c>
      <c r="P5" s="16" t="n">
        <v>60.3</v>
      </c>
      <c r="Q5" s="15" t="n">
        <v>13.3</v>
      </c>
      <c r="R5" s="15" t="n">
        <v>5</v>
      </c>
      <c r="S5" s="17" t="n">
        <v>126781</v>
      </c>
      <c r="T5" s="15" t="s">
        <v>137</v>
      </c>
      <c r="U5" s="15" t="n">
        <v>2026</v>
      </c>
      <c r="V5" s="15" t="s">
        <v>158</v>
      </c>
      <c r="W5" s="18" t="s">
        <v>139</v>
      </c>
      <c r="X5" s="18" t="s">
        <v>159</v>
      </c>
      <c r="Y5" s="15" t="s">
        <v>141</v>
      </c>
      <c r="Z5" s="15" t="s">
        <v>142</v>
      </c>
      <c r="AA5" s="19" t="str">
        <f aca="false">HYPERLINK("https://www.transfermarkt.com/schnellsuche/ergebnis/schnellsuche?query="&amp;SUBSTITUTE(A5," ","+"),"Search Transfermarkt")</f>
        <v>Search Transfermarkt</v>
      </c>
    </row>
    <row r="6" customFormat="false" ht="23.85" hidden="false" customHeight="false" outlineLevel="0" collapsed="false">
      <c r="A6" s="15" t="s">
        <v>160</v>
      </c>
      <c r="B6" s="15" t="s">
        <v>82</v>
      </c>
      <c r="C6" s="15" t="s">
        <v>161</v>
      </c>
      <c r="D6" s="15" t="n">
        <v>2</v>
      </c>
      <c r="E6" s="15" t="s">
        <v>162</v>
      </c>
      <c r="F6" s="15" t="s">
        <v>163</v>
      </c>
      <c r="G6" s="15" t="n">
        <v>21</v>
      </c>
      <c r="H6" s="15" t="n">
        <v>1809</v>
      </c>
      <c r="I6" s="15" t="n">
        <v>19</v>
      </c>
      <c r="J6" s="15" t="n">
        <v>5</v>
      </c>
      <c r="K6" s="15" t="n">
        <v>54</v>
      </c>
      <c r="L6" s="15" t="n">
        <v>77</v>
      </c>
      <c r="M6" s="15" t="n">
        <v>12</v>
      </c>
      <c r="N6" s="15" t="n">
        <v>0</v>
      </c>
      <c r="O6" s="15" t="n">
        <v>0</v>
      </c>
      <c r="P6" s="16" t="n">
        <v>0</v>
      </c>
      <c r="Q6" s="15" t="n">
        <v>0</v>
      </c>
      <c r="R6" s="15" t="n">
        <v>0</v>
      </c>
      <c r="S6" s="17" t="n">
        <v>121253</v>
      </c>
      <c r="T6" s="15" t="s">
        <v>164</v>
      </c>
      <c r="U6" s="15" t="n">
        <v>2028</v>
      </c>
      <c r="V6" s="15" t="s">
        <v>165</v>
      </c>
      <c r="W6" s="18" t="s">
        <v>139</v>
      </c>
      <c r="X6" s="18" t="s">
        <v>166</v>
      </c>
      <c r="Y6" s="15" t="s">
        <v>141</v>
      </c>
      <c r="Z6" s="15" t="s">
        <v>142</v>
      </c>
      <c r="AA6" s="19" t="str">
        <f aca="false">HYPERLINK("https://www.transfermarkt.com/schnellsuche/ergebnis/schnellsuche?query="&amp;SUBSTITUTE(A6," ","+"),"Search Transfermarkt")</f>
        <v>Search Transfermarkt</v>
      </c>
    </row>
    <row r="7" customFormat="false" ht="23.85" hidden="false" customHeight="false" outlineLevel="0" collapsed="false">
      <c r="A7" s="15" t="s">
        <v>167</v>
      </c>
      <c r="B7" s="15" t="s">
        <v>73</v>
      </c>
      <c r="C7" s="15" t="s">
        <v>168</v>
      </c>
      <c r="D7" s="15" t="n">
        <v>2</v>
      </c>
      <c r="E7" s="15" t="s">
        <v>169</v>
      </c>
      <c r="F7" s="15" t="s">
        <v>170</v>
      </c>
      <c r="G7" s="15" t="n">
        <v>25</v>
      </c>
      <c r="H7" s="15" t="n">
        <v>1661</v>
      </c>
      <c r="I7" s="15" t="n">
        <v>7</v>
      </c>
      <c r="J7" s="15" t="n">
        <v>14</v>
      </c>
      <c r="K7" s="15" t="n">
        <v>127</v>
      </c>
      <c r="L7" s="15" t="n">
        <v>91</v>
      </c>
      <c r="M7" s="15" t="n">
        <v>46</v>
      </c>
      <c r="N7" s="15" t="n">
        <v>0</v>
      </c>
      <c r="O7" s="15" t="n">
        <v>0</v>
      </c>
      <c r="P7" s="16" t="n">
        <v>0</v>
      </c>
      <c r="Q7" s="15" t="n">
        <v>0</v>
      </c>
      <c r="R7" s="15" t="n">
        <v>0</v>
      </c>
      <c r="S7" s="17" t="n">
        <v>87658</v>
      </c>
      <c r="T7" s="15" t="s">
        <v>137</v>
      </c>
      <c r="U7" s="15" t="n">
        <v>2029</v>
      </c>
      <c r="V7" s="15" t="s">
        <v>171</v>
      </c>
      <c r="W7" s="18" t="s">
        <v>139</v>
      </c>
      <c r="X7" s="18" t="s">
        <v>172</v>
      </c>
      <c r="Y7" s="15" t="s">
        <v>141</v>
      </c>
      <c r="Z7" s="15" t="s">
        <v>142</v>
      </c>
      <c r="AA7" s="19" t="str">
        <f aca="false">HYPERLINK("https://www.transfermarkt.com/schnellsuche/ergebnis/schnellsuche?query="&amp;SUBSTITUTE(A7," ","+"),"Search Transfermarkt")</f>
        <v>Search Transfermarkt</v>
      </c>
    </row>
    <row r="8" customFormat="false" ht="23.85" hidden="false" customHeight="false" outlineLevel="0" collapsed="false">
      <c r="A8" s="15" t="s">
        <v>173</v>
      </c>
      <c r="B8" s="15" t="s">
        <v>71</v>
      </c>
      <c r="C8" s="15" t="s">
        <v>174</v>
      </c>
      <c r="D8" s="15" t="n">
        <v>4</v>
      </c>
      <c r="E8" s="15" t="s">
        <v>175</v>
      </c>
      <c r="F8" s="15" t="s">
        <v>163</v>
      </c>
      <c r="G8" s="15" t="n">
        <v>19</v>
      </c>
      <c r="H8" s="15" t="n">
        <v>850</v>
      </c>
      <c r="I8" s="15" t="n">
        <v>9</v>
      </c>
      <c r="J8" s="15" t="n">
        <v>6</v>
      </c>
      <c r="K8" s="15" t="n">
        <v>54</v>
      </c>
      <c r="L8" s="15" t="n">
        <v>100</v>
      </c>
      <c r="M8" s="15" t="n">
        <v>15</v>
      </c>
      <c r="N8" s="15" t="n">
        <v>0</v>
      </c>
      <c r="O8" s="15" t="n">
        <v>0</v>
      </c>
      <c r="P8" s="16" t="n">
        <v>0</v>
      </c>
      <c r="Q8" s="15" t="n">
        <v>0</v>
      </c>
      <c r="R8" s="15" t="n">
        <v>0</v>
      </c>
      <c r="S8" s="17" t="n">
        <v>36336</v>
      </c>
      <c r="T8" s="15" t="s">
        <v>137</v>
      </c>
      <c r="U8" s="15" t="n">
        <v>2026</v>
      </c>
      <c r="V8" s="15" t="s">
        <v>176</v>
      </c>
      <c r="W8" s="18" t="s">
        <v>139</v>
      </c>
      <c r="X8" s="18" t="s">
        <v>177</v>
      </c>
      <c r="Y8" s="15" t="s">
        <v>141</v>
      </c>
      <c r="Z8" s="15" t="s">
        <v>142</v>
      </c>
      <c r="AA8" s="19" t="str">
        <f aca="false">HYPERLINK("https://www.transfermarkt.com/schnellsuche/ergebnis/schnellsuche?query="&amp;SUBSTITUTE(A8," ","+"),"Search Transfermarkt")</f>
        <v>Search Transfermarkt</v>
      </c>
    </row>
    <row r="9" customFormat="false" ht="23.85" hidden="false" customHeight="false" outlineLevel="0" collapsed="false">
      <c r="A9" s="15" t="s">
        <v>178</v>
      </c>
      <c r="B9" s="15" t="s">
        <v>66</v>
      </c>
      <c r="C9" s="15" t="s">
        <v>179</v>
      </c>
      <c r="D9" s="15" t="n">
        <v>4</v>
      </c>
      <c r="E9" s="15" t="s">
        <v>180</v>
      </c>
      <c r="F9" s="15" t="s">
        <v>157</v>
      </c>
      <c r="G9" s="15" t="n">
        <v>17</v>
      </c>
      <c r="H9" s="15" t="n">
        <v>1036</v>
      </c>
      <c r="I9" s="15" t="n">
        <v>0</v>
      </c>
      <c r="J9" s="15" t="n">
        <v>0</v>
      </c>
      <c r="K9" s="15" t="n">
        <v>16</v>
      </c>
      <c r="L9" s="15" t="n">
        <v>1</v>
      </c>
      <c r="M9" s="15" t="n">
        <v>8</v>
      </c>
      <c r="N9" s="15" t="n">
        <v>46</v>
      </c>
      <c r="O9" s="15" t="n">
        <v>16</v>
      </c>
      <c r="P9" s="16" t="n">
        <v>75.7</v>
      </c>
      <c r="Q9" s="15" t="n">
        <v>5.5</v>
      </c>
      <c r="R9" s="15" t="n">
        <v>2</v>
      </c>
      <c r="S9" s="17" t="n">
        <v>131907</v>
      </c>
      <c r="T9" s="15" t="s">
        <v>137</v>
      </c>
      <c r="U9" s="15" t="n">
        <v>2029</v>
      </c>
      <c r="V9" s="15" t="s">
        <v>181</v>
      </c>
      <c r="W9" s="18" t="s">
        <v>147</v>
      </c>
      <c r="X9" s="18" t="s">
        <v>182</v>
      </c>
      <c r="Y9" s="15" t="s">
        <v>141</v>
      </c>
      <c r="Z9" s="15" t="s">
        <v>142</v>
      </c>
      <c r="AA9" s="19" t="str">
        <f aca="false">HYPERLINK("https://www.transfermarkt.com/schnellsuche/ergebnis/schnellsuche?query="&amp;SUBSTITUTE(A9," ","+"),"Search Transfermarkt")</f>
        <v>Search Transfermarkt</v>
      </c>
    </row>
    <row r="10" customFormat="false" ht="23.85" hidden="false" customHeight="false" outlineLevel="0" collapsed="false">
      <c r="A10" s="15" t="s">
        <v>183</v>
      </c>
      <c r="B10" s="15" t="s">
        <v>99</v>
      </c>
      <c r="C10" s="15" t="s">
        <v>184</v>
      </c>
      <c r="D10" s="15" t="n">
        <v>2</v>
      </c>
      <c r="E10" s="15" t="s">
        <v>185</v>
      </c>
      <c r="F10" s="15" t="s">
        <v>157</v>
      </c>
      <c r="G10" s="15" t="n">
        <v>25</v>
      </c>
      <c r="H10" s="15" t="n">
        <v>2442</v>
      </c>
      <c r="I10" s="15" t="n">
        <v>0</v>
      </c>
      <c r="J10" s="15" t="n">
        <v>0</v>
      </c>
      <c r="K10" s="15" t="n">
        <v>11</v>
      </c>
      <c r="L10" s="15" t="n">
        <v>2</v>
      </c>
      <c r="M10" s="15" t="n">
        <v>5</v>
      </c>
      <c r="N10" s="15" t="n">
        <v>72</v>
      </c>
      <c r="O10" s="15" t="n">
        <v>59</v>
      </c>
      <c r="P10" s="16" t="n">
        <v>61.1</v>
      </c>
      <c r="Q10" s="15" t="n">
        <v>13.4</v>
      </c>
      <c r="R10" s="15" t="n">
        <v>6</v>
      </c>
      <c r="S10" s="17" t="n">
        <v>57150</v>
      </c>
      <c r="T10" s="15" t="s">
        <v>186</v>
      </c>
      <c r="U10" s="15" t="n">
        <v>2026</v>
      </c>
      <c r="V10" s="15" t="s">
        <v>187</v>
      </c>
      <c r="W10" s="18" t="s">
        <v>188</v>
      </c>
      <c r="X10" s="18" t="s">
        <v>189</v>
      </c>
      <c r="Y10" s="15" t="s">
        <v>141</v>
      </c>
      <c r="Z10" s="15" t="s">
        <v>142</v>
      </c>
      <c r="AA10" s="19" t="str">
        <f aca="false">HYPERLINK("https://www.transfermarkt.com/schnellsuche/ergebnis/schnellsuche?query="&amp;SUBSTITUTE(A10," ","+"),"Search Transfermarkt")</f>
        <v>Search Transfermarkt</v>
      </c>
    </row>
    <row r="11" customFormat="false" ht="23.85" hidden="false" customHeight="false" outlineLevel="0" collapsed="false">
      <c r="A11" s="15" t="s">
        <v>190</v>
      </c>
      <c r="B11" s="15" t="s">
        <v>73</v>
      </c>
      <c r="C11" s="15" t="s">
        <v>168</v>
      </c>
      <c r="D11" s="15" t="n">
        <v>2</v>
      </c>
      <c r="E11" s="15" t="s">
        <v>191</v>
      </c>
      <c r="F11" s="15" t="s">
        <v>170</v>
      </c>
      <c r="G11" s="15" t="n">
        <v>24</v>
      </c>
      <c r="H11" s="15" t="n">
        <v>2208</v>
      </c>
      <c r="I11" s="15" t="n">
        <v>4</v>
      </c>
      <c r="J11" s="15" t="n">
        <v>12</v>
      </c>
      <c r="K11" s="15" t="n">
        <v>167</v>
      </c>
      <c r="L11" s="15" t="n">
        <v>63</v>
      </c>
      <c r="M11" s="15" t="n">
        <v>50</v>
      </c>
      <c r="N11" s="15" t="n">
        <v>0</v>
      </c>
      <c r="O11" s="15" t="n">
        <v>0</v>
      </c>
      <c r="P11" s="16" t="n">
        <v>0</v>
      </c>
      <c r="Q11" s="15" t="n">
        <v>0</v>
      </c>
      <c r="R11" s="15" t="n">
        <v>0</v>
      </c>
      <c r="S11" s="17" t="n">
        <v>95867</v>
      </c>
      <c r="T11" s="15" t="s">
        <v>137</v>
      </c>
      <c r="U11" s="15" t="n">
        <v>2027</v>
      </c>
      <c r="V11" s="15" t="s">
        <v>192</v>
      </c>
      <c r="W11" s="18" t="s">
        <v>139</v>
      </c>
      <c r="X11" s="18" t="s">
        <v>172</v>
      </c>
      <c r="Y11" s="15" t="s">
        <v>141</v>
      </c>
      <c r="Z11" s="15" t="s">
        <v>142</v>
      </c>
      <c r="AA11" s="19" t="str">
        <f aca="false">HYPERLINK("https://www.transfermarkt.com/schnellsuche/ergebnis/schnellsuche?query="&amp;SUBSTITUTE(A11," ","+"),"Search Transfermarkt")</f>
        <v>Search Transfermarkt</v>
      </c>
    </row>
    <row r="12" customFormat="false" ht="23.85" hidden="false" customHeight="false" outlineLevel="0" collapsed="false">
      <c r="A12" s="15" t="s">
        <v>193</v>
      </c>
      <c r="B12" s="15" t="s">
        <v>75</v>
      </c>
      <c r="C12" s="15" t="s">
        <v>194</v>
      </c>
      <c r="D12" s="15" t="n">
        <v>3</v>
      </c>
      <c r="E12" s="15" t="s">
        <v>195</v>
      </c>
      <c r="F12" s="15" t="s">
        <v>163</v>
      </c>
      <c r="G12" s="15" t="n">
        <v>24</v>
      </c>
      <c r="H12" s="15" t="n">
        <v>2373</v>
      </c>
      <c r="I12" s="15" t="n">
        <v>10</v>
      </c>
      <c r="J12" s="15" t="n">
        <v>5</v>
      </c>
      <c r="K12" s="15" t="n">
        <v>62</v>
      </c>
      <c r="L12" s="15" t="n">
        <v>90</v>
      </c>
      <c r="M12" s="15" t="n">
        <v>14</v>
      </c>
      <c r="N12" s="15" t="n">
        <v>0</v>
      </c>
      <c r="O12" s="15" t="n">
        <v>0</v>
      </c>
      <c r="P12" s="16" t="n">
        <v>0</v>
      </c>
      <c r="Q12" s="15" t="n">
        <v>0</v>
      </c>
      <c r="R12" s="15" t="n">
        <v>0</v>
      </c>
      <c r="S12" s="17" t="n">
        <v>0</v>
      </c>
      <c r="T12" s="15" t="s">
        <v>137</v>
      </c>
      <c r="U12" s="15" t="n">
        <v>2028</v>
      </c>
      <c r="V12" s="15" t="s">
        <v>196</v>
      </c>
      <c r="W12" s="18" t="s">
        <v>139</v>
      </c>
      <c r="X12" s="18" t="s">
        <v>197</v>
      </c>
      <c r="Y12" s="15" t="s">
        <v>141</v>
      </c>
      <c r="Z12" s="15" t="s">
        <v>142</v>
      </c>
      <c r="AA12" s="19" t="str">
        <f aca="false">HYPERLINK("https://www.transfermarkt.com/schnellsuche/ergebnis/schnellsuche?query="&amp;SUBSTITUTE(A12," ","+"),"Search Transfermarkt")</f>
        <v>Search Transfermarkt</v>
      </c>
    </row>
    <row r="13" customFormat="false" ht="23.85" hidden="false" customHeight="false" outlineLevel="0" collapsed="false">
      <c r="A13" s="15" t="s">
        <v>198</v>
      </c>
      <c r="B13" s="15" t="s">
        <v>99</v>
      </c>
      <c r="C13" s="15" t="s">
        <v>199</v>
      </c>
      <c r="D13" s="15" t="n">
        <v>3</v>
      </c>
      <c r="E13" s="15" t="s">
        <v>200</v>
      </c>
      <c r="F13" s="15" t="s">
        <v>170</v>
      </c>
      <c r="G13" s="15" t="n">
        <v>26</v>
      </c>
      <c r="H13" s="15" t="n">
        <v>1719</v>
      </c>
      <c r="I13" s="15" t="n">
        <v>10</v>
      </c>
      <c r="J13" s="15" t="n">
        <v>14</v>
      </c>
      <c r="K13" s="15" t="n">
        <v>146</v>
      </c>
      <c r="L13" s="15" t="n">
        <v>92</v>
      </c>
      <c r="M13" s="15" t="n">
        <v>38</v>
      </c>
      <c r="N13" s="15" t="n">
        <v>0</v>
      </c>
      <c r="O13" s="15" t="n">
        <v>0</v>
      </c>
      <c r="P13" s="16" t="n">
        <v>0</v>
      </c>
      <c r="Q13" s="15" t="n">
        <v>0</v>
      </c>
      <c r="R13" s="15" t="n">
        <v>0</v>
      </c>
      <c r="S13" s="17" t="n">
        <v>87382</v>
      </c>
      <c r="T13" s="15" t="s">
        <v>164</v>
      </c>
      <c r="U13" s="15" t="n">
        <v>2026</v>
      </c>
      <c r="V13" s="15" t="s">
        <v>201</v>
      </c>
      <c r="W13" s="18" t="s">
        <v>139</v>
      </c>
      <c r="X13" s="18" t="s">
        <v>189</v>
      </c>
      <c r="Y13" s="15" t="s">
        <v>141</v>
      </c>
      <c r="Z13" s="15" t="s">
        <v>142</v>
      </c>
      <c r="AA13" s="19" t="str">
        <f aca="false">HYPERLINK("https://www.transfermarkt.com/schnellsuche/ergebnis/schnellsuche?query="&amp;SUBSTITUTE(A13," ","+"),"Search Transfermarkt")</f>
        <v>Search Transfermarkt</v>
      </c>
    </row>
    <row r="14" customFormat="false" ht="23.85" hidden="false" customHeight="false" outlineLevel="0" collapsed="false">
      <c r="A14" s="15" t="s">
        <v>202</v>
      </c>
      <c r="B14" s="15" t="s">
        <v>89</v>
      </c>
      <c r="C14" s="15" t="s">
        <v>203</v>
      </c>
      <c r="D14" s="15" t="n">
        <v>3</v>
      </c>
      <c r="E14" s="15" t="s">
        <v>204</v>
      </c>
      <c r="F14" s="15" t="s">
        <v>170</v>
      </c>
      <c r="G14" s="15" t="n">
        <v>21</v>
      </c>
      <c r="H14" s="15" t="n">
        <v>2529</v>
      </c>
      <c r="I14" s="15" t="n">
        <v>6</v>
      </c>
      <c r="J14" s="15" t="n">
        <v>5</v>
      </c>
      <c r="K14" s="15" t="n">
        <v>136</v>
      </c>
      <c r="L14" s="15" t="n">
        <v>83</v>
      </c>
      <c r="M14" s="15" t="n">
        <v>28</v>
      </c>
      <c r="N14" s="15" t="n">
        <v>0</v>
      </c>
      <c r="O14" s="15" t="n">
        <v>0</v>
      </c>
      <c r="P14" s="16" t="n">
        <v>0</v>
      </c>
      <c r="Q14" s="15" t="n">
        <v>0</v>
      </c>
      <c r="R14" s="15" t="n">
        <v>0</v>
      </c>
      <c r="S14" s="17" t="n">
        <v>129704</v>
      </c>
      <c r="T14" s="15" t="s">
        <v>164</v>
      </c>
      <c r="U14" s="15" t="n">
        <v>2028</v>
      </c>
      <c r="V14" s="15" t="s">
        <v>205</v>
      </c>
      <c r="W14" s="18" t="s">
        <v>139</v>
      </c>
      <c r="X14" s="18" t="s">
        <v>206</v>
      </c>
      <c r="Y14" s="15" t="s">
        <v>141</v>
      </c>
      <c r="Z14" s="15" t="s">
        <v>142</v>
      </c>
      <c r="AA14" s="19" t="str">
        <f aca="false">HYPERLINK("https://www.transfermarkt.com/schnellsuche/ergebnis/schnellsuche?query="&amp;SUBSTITUTE(A14," ","+"),"Search Transfermarkt")</f>
        <v>Search Transfermarkt</v>
      </c>
    </row>
    <row r="15" customFormat="false" ht="23.85" hidden="false" customHeight="false" outlineLevel="0" collapsed="false">
      <c r="A15" s="15" t="s">
        <v>207</v>
      </c>
      <c r="B15" s="15" t="s">
        <v>62</v>
      </c>
      <c r="C15" s="15" t="s">
        <v>208</v>
      </c>
      <c r="D15" s="15" t="n">
        <v>2</v>
      </c>
      <c r="E15" s="15" t="s">
        <v>209</v>
      </c>
      <c r="F15" s="15" t="s">
        <v>170</v>
      </c>
      <c r="G15" s="15" t="n">
        <v>25</v>
      </c>
      <c r="H15" s="15" t="n">
        <v>1801</v>
      </c>
      <c r="I15" s="15" t="n">
        <v>11</v>
      </c>
      <c r="J15" s="15" t="n">
        <v>8</v>
      </c>
      <c r="K15" s="15" t="n">
        <v>109</v>
      </c>
      <c r="L15" s="15" t="n">
        <v>64</v>
      </c>
      <c r="M15" s="15" t="n">
        <v>53</v>
      </c>
      <c r="N15" s="15" t="n">
        <v>0</v>
      </c>
      <c r="O15" s="15" t="n">
        <v>0</v>
      </c>
      <c r="P15" s="16" t="n">
        <v>0</v>
      </c>
      <c r="Q15" s="15" t="n">
        <v>0</v>
      </c>
      <c r="R15" s="15" t="n">
        <v>0</v>
      </c>
      <c r="S15" s="17" t="n">
        <v>0</v>
      </c>
      <c r="T15" s="15" t="s">
        <v>164</v>
      </c>
      <c r="U15" s="15" t="n">
        <v>2028</v>
      </c>
      <c r="V15" s="15" t="s">
        <v>210</v>
      </c>
      <c r="W15" s="18" t="s">
        <v>139</v>
      </c>
      <c r="X15" s="18" t="s">
        <v>211</v>
      </c>
      <c r="Y15" s="15" t="s">
        <v>141</v>
      </c>
      <c r="Z15" s="15" t="s">
        <v>142</v>
      </c>
      <c r="AA15" s="19" t="str">
        <f aca="false">HYPERLINK("https://www.transfermarkt.com/schnellsuche/ergebnis/schnellsuche?query="&amp;SUBSTITUTE(A15," ","+"),"Search Transfermarkt")</f>
        <v>Search Transfermarkt</v>
      </c>
    </row>
    <row r="16" customFormat="false" ht="23.85" hidden="false" customHeight="false" outlineLevel="0" collapsed="false">
      <c r="A16" s="15" t="s">
        <v>212</v>
      </c>
      <c r="B16" s="15" t="s">
        <v>96</v>
      </c>
      <c r="C16" s="15" t="s">
        <v>213</v>
      </c>
      <c r="D16" s="15" t="n">
        <v>3</v>
      </c>
      <c r="E16" s="15" t="s">
        <v>214</v>
      </c>
      <c r="F16" s="15" t="s">
        <v>136</v>
      </c>
      <c r="G16" s="15" t="n">
        <v>21</v>
      </c>
      <c r="H16" s="15" t="n">
        <v>2453</v>
      </c>
      <c r="I16" s="15" t="n">
        <v>3</v>
      </c>
      <c r="J16" s="15" t="n">
        <v>4</v>
      </c>
      <c r="K16" s="15" t="n">
        <v>39</v>
      </c>
      <c r="L16" s="15" t="n">
        <v>39</v>
      </c>
      <c r="M16" s="15" t="n">
        <v>117</v>
      </c>
      <c r="N16" s="15" t="n">
        <v>0</v>
      </c>
      <c r="O16" s="15" t="n">
        <v>0</v>
      </c>
      <c r="P16" s="16" t="n">
        <v>0</v>
      </c>
      <c r="Q16" s="15" t="n">
        <v>0</v>
      </c>
      <c r="R16" s="15" t="n">
        <v>0</v>
      </c>
      <c r="S16" s="17" t="n">
        <v>88998</v>
      </c>
      <c r="T16" s="15" t="s">
        <v>164</v>
      </c>
      <c r="U16" s="15" t="n">
        <v>2028</v>
      </c>
      <c r="V16" s="15" t="s">
        <v>215</v>
      </c>
      <c r="W16" s="18" t="s">
        <v>139</v>
      </c>
      <c r="X16" s="18" t="s">
        <v>216</v>
      </c>
      <c r="Y16" s="15" t="s">
        <v>141</v>
      </c>
      <c r="Z16" s="15" t="s">
        <v>142</v>
      </c>
      <c r="AA16" s="19" t="str">
        <f aca="false">HYPERLINK("https://www.transfermarkt.com/schnellsuche/ergebnis/schnellsuche?query="&amp;SUBSTITUTE(A16," ","+"),"Search Transfermarkt")</f>
        <v>Search Transfermarkt</v>
      </c>
    </row>
    <row r="17" customFormat="false" ht="23.85" hidden="false" customHeight="false" outlineLevel="0" collapsed="false">
      <c r="A17" s="15" t="s">
        <v>217</v>
      </c>
      <c r="B17" s="15" t="s">
        <v>100</v>
      </c>
      <c r="C17" s="15" t="s">
        <v>218</v>
      </c>
      <c r="D17" s="15" t="n">
        <v>2</v>
      </c>
      <c r="E17" s="15" t="s">
        <v>219</v>
      </c>
      <c r="F17" s="15" t="s">
        <v>163</v>
      </c>
      <c r="G17" s="15" t="n">
        <v>23</v>
      </c>
      <c r="H17" s="15" t="n">
        <v>1579</v>
      </c>
      <c r="I17" s="15" t="n">
        <v>18</v>
      </c>
      <c r="J17" s="15" t="n">
        <v>1</v>
      </c>
      <c r="K17" s="15" t="n">
        <v>71</v>
      </c>
      <c r="L17" s="15" t="n">
        <v>104</v>
      </c>
      <c r="M17" s="15" t="n">
        <v>9</v>
      </c>
      <c r="N17" s="15" t="n">
        <v>0</v>
      </c>
      <c r="O17" s="15" t="n">
        <v>0</v>
      </c>
      <c r="P17" s="16" t="n">
        <v>0</v>
      </c>
      <c r="Q17" s="15" t="n">
        <v>0</v>
      </c>
      <c r="R17" s="15" t="n">
        <v>0</v>
      </c>
      <c r="S17" s="17" t="n">
        <v>109335</v>
      </c>
      <c r="T17" s="15" t="s">
        <v>137</v>
      </c>
      <c r="U17" s="15" t="n">
        <v>2027</v>
      </c>
      <c r="V17" s="15" t="s">
        <v>220</v>
      </c>
      <c r="W17" s="18" t="s">
        <v>139</v>
      </c>
      <c r="X17" s="18" t="s">
        <v>221</v>
      </c>
      <c r="Y17" s="15" t="s">
        <v>141</v>
      </c>
      <c r="Z17" s="15" t="s">
        <v>142</v>
      </c>
      <c r="AA17" s="19" t="str">
        <f aca="false">HYPERLINK("https://www.transfermarkt.com/schnellsuche/ergebnis/schnellsuche?query="&amp;SUBSTITUTE(A17," ","+"),"Search Transfermarkt")</f>
        <v>Search Transfermarkt</v>
      </c>
    </row>
    <row r="18" customFormat="false" ht="23.85" hidden="false" customHeight="false" outlineLevel="0" collapsed="false">
      <c r="A18" s="15" t="s">
        <v>222</v>
      </c>
      <c r="B18" s="15" t="s">
        <v>94</v>
      </c>
      <c r="C18" s="15" t="s">
        <v>223</v>
      </c>
      <c r="D18" s="15" t="n">
        <v>3</v>
      </c>
      <c r="E18" s="15" t="s">
        <v>224</v>
      </c>
      <c r="F18" s="15" t="s">
        <v>136</v>
      </c>
      <c r="G18" s="15" t="n">
        <v>19</v>
      </c>
      <c r="H18" s="15" t="n">
        <v>1817</v>
      </c>
      <c r="I18" s="15" t="n">
        <v>0</v>
      </c>
      <c r="J18" s="15" t="n">
        <v>0</v>
      </c>
      <c r="K18" s="15" t="n">
        <v>44</v>
      </c>
      <c r="L18" s="15" t="n">
        <v>23</v>
      </c>
      <c r="M18" s="15" t="n">
        <v>105</v>
      </c>
      <c r="N18" s="15" t="n">
        <v>0</v>
      </c>
      <c r="O18" s="15" t="n">
        <v>0</v>
      </c>
      <c r="P18" s="16" t="n">
        <v>0</v>
      </c>
      <c r="Q18" s="15" t="n">
        <v>0</v>
      </c>
      <c r="R18" s="15" t="n">
        <v>0</v>
      </c>
      <c r="S18" s="17" t="n">
        <v>103631</v>
      </c>
      <c r="T18" s="15" t="s">
        <v>186</v>
      </c>
      <c r="U18" s="15" t="n">
        <v>2029</v>
      </c>
      <c r="V18" s="15" t="s">
        <v>225</v>
      </c>
      <c r="W18" s="18" t="s">
        <v>188</v>
      </c>
      <c r="X18" s="18" t="s">
        <v>226</v>
      </c>
      <c r="Y18" s="15" t="s">
        <v>141</v>
      </c>
      <c r="Z18" s="15" t="s">
        <v>142</v>
      </c>
      <c r="AA18" s="19" t="str">
        <f aca="false">HYPERLINK("https://www.transfermarkt.com/schnellsuche/ergebnis/schnellsuche?query="&amp;SUBSTITUTE(A18," ","+"),"Search Transfermarkt")</f>
        <v>Search Transfermarkt</v>
      </c>
    </row>
    <row r="19" customFormat="false" ht="23.85" hidden="false" customHeight="false" outlineLevel="0" collapsed="false">
      <c r="A19" s="15" t="s">
        <v>227</v>
      </c>
      <c r="B19" s="15" t="s">
        <v>64</v>
      </c>
      <c r="C19" s="15" t="s">
        <v>228</v>
      </c>
      <c r="D19" s="15" t="n">
        <v>3</v>
      </c>
      <c r="E19" s="15" t="s">
        <v>229</v>
      </c>
      <c r="F19" s="15" t="s">
        <v>157</v>
      </c>
      <c r="G19" s="15" t="n">
        <v>19</v>
      </c>
      <c r="H19" s="15" t="n">
        <v>1706</v>
      </c>
      <c r="I19" s="15" t="n">
        <v>0</v>
      </c>
      <c r="J19" s="15" t="n">
        <v>0</v>
      </c>
      <c r="K19" s="15" t="n">
        <v>15</v>
      </c>
      <c r="L19" s="15" t="n">
        <v>0</v>
      </c>
      <c r="M19" s="15" t="n">
        <v>9</v>
      </c>
      <c r="N19" s="15" t="n">
        <v>49</v>
      </c>
      <c r="O19" s="15" t="n">
        <v>37</v>
      </c>
      <c r="P19" s="16" t="n">
        <v>85.7</v>
      </c>
      <c r="Q19" s="15" t="n">
        <v>23.2</v>
      </c>
      <c r="R19" s="15" t="n">
        <v>8</v>
      </c>
      <c r="S19" s="17" t="n">
        <v>11009</v>
      </c>
      <c r="T19" s="15" t="s">
        <v>186</v>
      </c>
      <c r="U19" s="15" t="n">
        <v>2026</v>
      </c>
      <c r="V19" s="15" t="s">
        <v>230</v>
      </c>
      <c r="W19" s="18" t="s">
        <v>188</v>
      </c>
      <c r="X19" s="18" t="s">
        <v>231</v>
      </c>
      <c r="Y19" s="15" t="s">
        <v>141</v>
      </c>
      <c r="Z19" s="15" t="s">
        <v>142</v>
      </c>
      <c r="AA19" s="19" t="str">
        <f aca="false">HYPERLINK("https://www.transfermarkt.com/schnellsuche/ergebnis/schnellsuche?query="&amp;SUBSTITUTE(A19," ","+"),"Search Transfermarkt")</f>
        <v>Search Transfermarkt</v>
      </c>
    </row>
    <row r="20" customFormat="false" ht="23.85" hidden="false" customHeight="false" outlineLevel="0" collapsed="false">
      <c r="A20" s="15" t="s">
        <v>232</v>
      </c>
      <c r="B20" s="15" t="s">
        <v>67</v>
      </c>
      <c r="C20" s="15" t="s">
        <v>233</v>
      </c>
      <c r="D20" s="15" t="n">
        <v>2</v>
      </c>
      <c r="E20" s="15" t="s">
        <v>234</v>
      </c>
      <c r="F20" s="15" t="s">
        <v>163</v>
      </c>
      <c r="G20" s="15" t="n">
        <v>19</v>
      </c>
      <c r="H20" s="15" t="n">
        <v>1847</v>
      </c>
      <c r="I20" s="15" t="n">
        <v>11</v>
      </c>
      <c r="J20" s="15" t="n">
        <v>7</v>
      </c>
      <c r="K20" s="15" t="n">
        <v>32</v>
      </c>
      <c r="L20" s="15" t="n">
        <v>70</v>
      </c>
      <c r="M20" s="15" t="n">
        <v>10</v>
      </c>
      <c r="N20" s="15" t="n">
        <v>0</v>
      </c>
      <c r="O20" s="15" t="n">
        <v>0</v>
      </c>
      <c r="P20" s="16" t="n">
        <v>0</v>
      </c>
      <c r="Q20" s="15" t="n">
        <v>0</v>
      </c>
      <c r="R20" s="15" t="n">
        <v>0</v>
      </c>
      <c r="S20" s="17" t="n">
        <v>127277</v>
      </c>
      <c r="T20" s="15" t="s">
        <v>137</v>
      </c>
      <c r="U20" s="15" t="n">
        <v>2029</v>
      </c>
      <c r="V20" s="15" t="s">
        <v>235</v>
      </c>
      <c r="W20" s="18" t="s">
        <v>139</v>
      </c>
      <c r="X20" s="18" t="s">
        <v>236</v>
      </c>
      <c r="Y20" s="15" t="s">
        <v>141</v>
      </c>
      <c r="Z20" s="15" t="s">
        <v>142</v>
      </c>
      <c r="AA20" s="19" t="str">
        <f aca="false">HYPERLINK("https://www.transfermarkt.com/schnellsuche/ergebnis/schnellsuche?query="&amp;SUBSTITUTE(A20," ","+"),"Search Transfermarkt")</f>
        <v>Search Transfermarkt</v>
      </c>
    </row>
    <row r="21" customFormat="false" ht="23.85" hidden="false" customHeight="false" outlineLevel="0" collapsed="false">
      <c r="A21" s="15" t="s">
        <v>237</v>
      </c>
      <c r="B21" s="15" t="s">
        <v>76</v>
      </c>
      <c r="C21" s="15" t="s">
        <v>238</v>
      </c>
      <c r="D21" s="15" t="n">
        <v>4</v>
      </c>
      <c r="E21" s="15" t="s">
        <v>239</v>
      </c>
      <c r="F21" s="15" t="s">
        <v>163</v>
      </c>
      <c r="G21" s="15" t="n">
        <v>17</v>
      </c>
      <c r="H21" s="15" t="n">
        <v>2367</v>
      </c>
      <c r="I21" s="15" t="n">
        <v>16</v>
      </c>
      <c r="J21" s="15" t="n">
        <v>7</v>
      </c>
      <c r="K21" s="15" t="n">
        <v>58</v>
      </c>
      <c r="L21" s="15" t="n">
        <v>58</v>
      </c>
      <c r="M21" s="15" t="n">
        <v>9</v>
      </c>
      <c r="N21" s="15" t="n">
        <v>0</v>
      </c>
      <c r="O21" s="15" t="n">
        <v>0</v>
      </c>
      <c r="P21" s="16" t="n">
        <v>0</v>
      </c>
      <c r="Q21" s="15" t="n">
        <v>0</v>
      </c>
      <c r="R21" s="15" t="n">
        <v>0</v>
      </c>
      <c r="S21" s="17" t="n">
        <v>65812</v>
      </c>
      <c r="T21" s="15" t="s">
        <v>186</v>
      </c>
      <c r="U21" s="15" t="n">
        <v>2028</v>
      </c>
      <c r="V21" s="15" t="s">
        <v>240</v>
      </c>
      <c r="W21" s="18" t="s">
        <v>147</v>
      </c>
      <c r="X21" s="18" t="s">
        <v>241</v>
      </c>
      <c r="Y21" s="15" t="s">
        <v>141</v>
      </c>
      <c r="Z21" s="15" t="s">
        <v>142</v>
      </c>
      <c r="AA21" s="19" t="str">
        <f aca="false">HYPERLINK("https://www.transfermarkt.com/schnellsuche/ergebnis/schnellsuche?query="&amp;SUBSTITUTE(A21," ","+"),"Search Transfermarkt")</f>
        <v>Search Transfermarkt</v>
      </c>
    </row>
    <row r="22" customFormat="false" ht="23.85" hidden="false" customHeight="false" outlineLevel="0" collapsed="false">
      <c r="A22" s="15" t="s">
        <v>242</v>
      </c>
      <c r="B22" s="15" t="s">
        <v>98</v>
      </c>
      <c r="C22" s="15" t="s">
        <v>243</v>
      </c>
      <c r="D22" s="15" t="n">
        <v>4</v>
      </c>
      <c r="E22" s="15" t="s">
        <v>244</v>
      </c>
      <c r="F22" s="15" t="s">
        <v>170</v>
      </c>
      <c r="G22" s="15" t="n">
        <v>18</v>
      </c>
      <c r="H22" s="15" t="n">
        <v>2060</v>
      </c>
      <c r="I22" s="15" t="n">
        <v>7</v>
      </c>
      <c r="J22" s="15" t="n">
        <v>14</v>
      </c>
      <c r="K22" s="15" t="n">
        <v>164</v>
      </c>
      <c r="L22" s="15" t="n">
        <v>102</v>
      </c>
      <c r="M22" s="15" t="n">
        <v>50</v>
      </c>
      <c r="N22" s="15" t="n">
        <v>0</v>
      </c>
      <c r="O22" s="15" t="n">
        <v>0</v>
      </c>
      <c r="P22" s="16" t="n">
        <v>0</v>
      </c>
      <c r="Q22" s="15" t="n">
        <v>0</v>
      </c>
      <c r="R22" s="15" t="n">
        <v>0</v>
      </c>
      <c r="S22" s="17" t="n">
        <v>93136</v>
      </c>
      <c r="T22" s="15" t="s">
        <v>137</v>
      </c>
      <c r="U22" s="15" t="n">
        <v>2029</v>
      </c>
      <c r="V22" s="15" t="s">
        <v>245</v>
      </c>
      <c r="W22" s="18" t="s">
        <v>139</v>
      </c>
      <c r="X22" s="18" t="s">
        <v>148</v>
      </c>
      <c r="Y22" s="15" t="s">
        <v>141</v>
      </c>
      <c r="Z22" s="15" t="s">
        <v>142</v>
      </c>
      <c r="AA22" s="19" t="str">
        <f aca="false">HYPERLINK("https://www.transfermarkt.com/schnellsuche/ergebnis/schnellsuche?query="&amp;SUBSTITUTE(A22," ","+"),"Search Transfermarkt")</f>
        <v>Search Transfermarkt</v>
      </c>
    </row>
    <row r="23" customFormat="false" ht="23.85" hidden="false" customHeight="false" outlineLevel="0" collapsed="false">
      <c r="A23" s="15" t="s">
        <v>246</v>
      </c>
      <c r="B23" s="15" t="s">
        <v>75</v>
      </c>
      <c r="C23" s="15" t="s">
        <v>247</v>
      </c>
      <c r="D23" s="15" t="n">
        <v>3</v>
      </c>
      <c r="E23" s="15" t="s">
        <v>248</v>
      </c>
      <c r="F23" s="15" t="s">
        <v>136</v>
      </c>
      <c r="G23" s="15" t="n">
        <v>25</v>
      </c>
      <c r="H23" s="15" t="n">
        <v>1941</v>
      </c>
      <c r="I23" s="15" t="n">
        <v>1</v>
      </c>
      <c r="J23" s="15" t="n">
        <v>0</v>
      </c>
      <c r="K23" s="15" t="n">
        <v>67</v>
      </c>
      <c r="L23" s="15" t="n">
        <v>24</v>
      </c>
      <c r="M23" s="15" t="n">
        <v>126</v>
      </c>
      <c r="N23" s="15" t="n">
        <v>0</v>
      </c>
      <c r="O23" s="15" t="n">
        <v>0</v>
      </c>
      <c r="P23" s="16" t="n">
        <v>0</v>
      </c>
      <c r="Q23" s="15" t="n">
        <v>0</v>
      </c>
      <c r="R23" s="15" t="n">
        <v>0</v>
      </c>
      <c r="S23" s="17" t="n">
        <v>124017</v>
      </c>
      <c r="T23" s="15" t="s">
        <v>186</v>
      </c>
      <c r="U23" s="15" t="n">
        <v>2029</v>
      </c>
      <c r="V23" s="15" t="s">
        <v>249</v>
      </c>
      <c r="W23" s="18" t="s">
        <v>188</v>
      </c>
      <c r="X23" s="18" t="s">
        <v>197</v>
      </c>
      <c r="Y23" s="15" t="s">
        <v>141</v>
      </c>
      <c r="Z23" s="15" t="s">
        <v>142</v>
      </c>
      <c r="AA23" s="19" t="str">
        <f aca="false">HYPERLINK("https://www.transfermarkt.com/schnellsuche/ergebnis/schnellsuche?query="&amp;SUBSTITUTE(A23," ","+"),"Search Transfermarkt")</f>
        <v>Search Transfermarkt</v>
      </c>
    </row>
    <row r="24" customFormat="false" ht="23.85" hidden="false" customHeight="false" outlineLevel="0" collapsed="false">
      <c r="A24" s="15" t="s">
        <v>250</v>
      </c>
      <c r="B24" s="15" t="s">
        <v>76</v>
      </c>
      <c r="C24" s="15" t="s">
        <v>251</v>
      </c>
      <c r="D24" s="15" t="n">
        <v>2</v>
      </c>
      <c r="E24" s="15" t="s">
        <v>252</v>
      </c>
      <c r="F24" s="15" t="s">
        <v>163</v>
      </c>
      <c r="G24" s="15" t="n">
        <v>18</v>
      </c>
      <c r="H24" s="15" t="n">
        <v>1302</v>
      </c>
      <c r="I24" s="15" t="n">
        <v>13</v>
      </c>
      <c r="J24" s="15" t="n">
        <v>3</v>
      </c>
      <c r="K24" s="15" t="n">
        <v>42</v>
      </c>
      <c r="L24" s="15" t="n">
        <v>63</v>
      </c>
      <c r="M24" s="15" t="n">
        <v>10</v>
      </c>
      <c r="N24" s="15" t="n">
        <v>0</v>
      </c>
      <c r="O24" s="15" t="n">
        <v>0</v>
      </c>
      <c r="P24" s="16" t="n">
        <v>0</v>
      </c>
      <c r="Q24" s="15" t="n">
        <v>0</v>
      </c>
      <c r="R24" s="15" t="n">
        <v>0</v>
      </c>
      <c r="S24" s="17" t="n">
        <v>24322</v>
      </c>
      <c r="T24" s="15" t="s">
        <v>137</v>
      </c>
      <c r="U24" s="15" t="n">
        <v>2029</v>
      </c>
      <c r="V24" s="15" t="s">
        <v>253</v>
      </c>
      <c r="W24" s="18" t="s">
        <v>139</v>
      </c>
      <c r="X24" s="18" t="s">
        <v>241</v>
      </c>
      <c r="Y24" s="15" t="s">
        <v>141</v>
      </c>
      <c r="Z24" s="15" t="s">
        <v>142</v>
      </c>
      <c r="AA24" s="19" t="str">
        <f aca="false">HYPERLINK("https://www.transfermarkt.com/schnellsuche/ergebnis/schnellsuche?query="&amp;SUBSTITUTE(A24," ","+"),"Search Transfermarkt")</f>
        <v>Search Transfermarkt</v>
      </c>
    </row>
    <row r="25" customFormat="false" ht="23.85" hidden="false" customHeight="false" outlineLevel="0" collapsed="false">
      <c r="A25" s="15" t="s">
        <v>254</v>
      </c>
      <c r="B25" s="15" t="s">
        <v>67</v>
      </c>
      <c r="C25" s="15" t="s">
        <v>255</v>
      </c>
      <c r="D25" s="15" t="n">
        <v>2</v>
      </c>
      <c r="E25" s="15" t="s">
        <v>256</v>
      </c>
      <c r="F25" s="15" t="s">
        <v>157</v>
      </c>
      <c r="G25" s="15" t="n">
        <v>23</v>
      </c>
      <c r="H25" s="15" t="n">
        <v>1717</v>
      </c>
      <c r="I25" s="15" t="n">
        <v>0</v>
      </c>
      <c r="J25" s="15" t="n">
        <v>0</v>
      </c>
      <c r="K25" s="15" t="n">
        <v>14</v>
      </c>
      <c r="L25" s="15" t="n">
        <v>6</v>
      </c>
      <c r="M25" s="15" t="n">
        <v>3</v>
      </c>
      <c r="N25" s="15" t="n">
        <v>56</v>
      </c>
      <c r="O25" s="15" t="n">
        <v>22</v>
      </c>
      <c r="P25" s="16" t="n">
        <v>58.8</v>
      </c>
      <c r="Q25" s="15" t="n">
        <v>14.2</v>
      </c>
      <c r="R25" s="15" t="n">
        <v>9</v>
      </c>
      <c r="S25" s="17" t="n">
        <v>102549</v>
      </c>
      <c r="T25" s="15" t="s">
        <v>164</v>
      </c>
      <c r="U25" s="15" t="n">
        <v>2026</v>
      </c>
      <c r="V25" s="15" t="s">
        <v>257</v>
      </c>
      <c r="W25" s="18" t="s">
        <v>139</v>
      </c>
      <c r="X25" s="18" t="s">
        <v>236</v>
      </c>
      <c r="Y25" s="15" t="s">
        <v>141</v>
      </c>
      <c r="Z25" s="15" t="s">
        <v>142</v>
      </c>
      <c r="AA25" s="19" t="str">
        <f aca="false">HYPERLINK("https://www.transfermarkt.com/schnellsuche/ergebnis/schnellsuche?query="&amp;SUBSTITUTE(A25," ","+"),"Search Transfermarkt")</f>
        <v>Search Transfermarkt</v>
      </c>
    </row>
    <row r="26" customFormat="false" ht="23.85" hidden="false" customHeight="false" outlineLevel="0" collapsed="false">
      <c r="A26" s="15" t="s">
        <v>258</v>
      </c>
      <c r="B26" s="15" t="s">
        <v>68</v>
      </c>
      <c r="C26" s="15" t="s">
        <v>150</v>
      </c>
      <c r="D26" s="15" t="n">
        <v>3</v>
      </c>
      <c r="E26" s="15" t="s">
        <v>259</v>
      </c>
      <c r="F26" s="15" t="s">
        <v>157</v>
      </c>
      <c r="G26" s="15" t="n">
        <v>18</v>
      </c>
      <c r="H26" s="15" t="n">
        <v>1354</v>
      </c>
      <c r="I26" s="15" t="n">
        <v>0</v>
      </c>
      <c r="J26" s="15" t="n">
        <v>0</v>
      </c>
      <c r="K26" s="15" t="n">
        <v>13</v>
      </c>
      <c r="L26" s="15" t="n">
        <v>0</v>
      </c>
      <c r="M26" s="15" t="n">
        <v>6</v>
      </c>
      <c r="N26" s="15" t="n">
        <v>64</v>
      </c>
      <c r="O26" s="15" t="n">
        <v>33</v>
      </c>
      <c r="P26" s="16" t="n">
        <v>64.1</v>
      </c>
      <c r="Q26" s="15" t="n">
        <v>21.9</v>
      </c>
      <c r="R26" s="15" t="n">
        <v>3</v>
      </c>
      <c r="S26" s="17" t="n">
        <v>145044</v>
      </c>
      <c r="T26" s="15" t="s">
        <v>137</v>
      </c>
      <c r="U26" s="15" t="n">
        <v>2028</v>
      </c>
      <c r="V26" s="15" t="s">
        <v>260</v>
      </c>
      <c r="W26" s="18" t="s">
        <v>139</v>
      </c>
      <c r="X26" s="18" t="s">
        <v>153</v>
      </c>
      <c r="Y26" s="15" t="s">
        <v>141</v>
      </c>
      <c r="Z26" s="15" t="s">
        <v>142</v>
      </c>
      <c r="AA26" s="19" t="str">
        <f aca="false">HYPERLINK("https://www.transfermarkt.com/schnellsuche/ergebnis/schnellsuche?query="&amp;SUBSTITUTE(A26," ","+"),"Search Transfermarkt")</f>
        <v>Search Transfermarkt</v>
      </c>
    </row>
    <row r="27" customFormat="false" ht="23.85" hidden="false" customHeight="false" outlineLevel="0" collapsed="false">
      <c r="A27" s="15" t="s">
        <v>261</v>
      </c>
      <c r="B27" s="15" t="s">
        <v>85</v>
      </c>
      <c r="C27" s="15" t="s">
        <v>262</v>
      </c>
      <c r="D27" s="15" t="n">
        <v>3</v>
      </c>
      <c r="E27" s="15" t="s">
        <v>263</v>
      </c>
      <c r="F27" s="15" t="s">
        <v>170</v>
      </c>
      <c r="G27" s="15" t="n">
        <v>19</v>
      </c>
      <c r="H27" s="15" t="n">
        <v>2293</v>
      </c>
      <c r="I27" s="15" t="n">
        <v>5</v>
      </c>
      <c r="J27" s="15" t="n">
        <v>12</v>
      </c>
      <c r="K27" s="15" t="n">
        <v>140</v>
      </c>
      <c r="L27" s="15" t="n">
        <v>79</v>
      </c>
      <c r="M27" s="15" t="n">
        <v>55</v>
      </c>
      <c r="N27" s="15" t="n">
        <v>0</v>
      </c>
      <c r="O27" s="15" t="n">
        <v>0</v>
      </c>
      <c r="P27" s="16" t="n">
        <v>0</v>
      </c>
      <c r="Q27" s="15" t="n">
        <v>0</v>
      </c>
      <c r="R27" s="15" t="n">
        <v>0</v>
      </c>
      <c r="S27" s="17" t="n">
        <v>45917</v>
      </c>
      <c r="T27" s="15" t="s">
        <v>137</v>
      </c>
      <c r="U27" s="15" t="n">
        <v>2027</v>
      </c>
      <c r="V27" s="15" t="s">
        <v>264</v>
      </c>
      <c r="W27" s="18" t="s">
        <v>139</v>
      </c>
      <c r="X27" s="18" t="s">
        <v>265</v>
      </c>
      <c r="Y27" s="15" t="s">
        <v>141</v>
      </c>
      <c r="Z27" s="15" t="s">
        <v>142</v>
      </c>
      <c r="AA27" s="19" t="str">
        <f aca="false">HYPERLINK("https://www.transfermarkt.com/schnellsuche/ergebnis/schnellsuche?query="&amp;SUBSTITUTE(A27," ","+"),"Search Transfermarkt")</f>
        <v>Search Transfermarkt</v>
      </c>
    </row>
    <row r="28" customFormat="false" ht="23.85" hidden="false" customHeight="false" outlineLevel="0" collapsed="false">
      <c r="A28" s="15" t="s">
        <v>266</v>
      </c>
      <c r="B28" s="15" t="s">
        <v>92</v>
      </c>
      <c r="C28" s="15" t="s">
        <v>267</v>
      </c>
      <c r="D28" s="15" t="n">
        <v>4</v>
      </c>
      <c r="E28" s="15" t="s">
        <v>268</v>
      </c>
      <c r="F28" s="15" t="s">
        <v>163</v>
      </c>
      <c r="G28" s="15" t="n">
        <v>18</v>
      </c>
      <c r="H28" s="15" t="n">
        <v>1489</v>
      </c>
      <c r="I28" s="15" t="n">
        <v>16</v>
      </c>
      <c r="J28" s="15" t="n">
        <v>3</v>
      </c>
      <c r="K28" s="15" t="n">
        <v>33</v>
      </c>
      <c r="L28" s="15" t="n">
        <v>67</v>
      </c>
      <c r="M28" s="15" t="n">
        <v>8</v>
      </c>
      <c r="N28" s="15" t="n">
        <v>0</v>
      </c>
      <c r="O28" s="15" t="n">
        <v>0</v>
      </c>
      <c r="P28" s="16" t="n">
        <v>0</v>
      </c>
      <c r="Q28" s="15" t="n">
        <v>0</v>
      </c>
      <c r="R28" s="15" t="n">
        <v>0</v>
      </c>
      <c r="S28" s="17" t="n">
        <v>147082</v>
      </c>
      <c r="T28" s="15" t="s">
        <v>137</v>
      </c>
      <c r="U28" s="15" t="n">
        <v>2029</v>
      </c>
      <c r="V28" s="15" t="s">
        <v>269</v>
      </c>
      <c r="W28" s="18" t="s">
        <v>139</v>
      </c>
      <c r="X28" s="18" t="s">
        <v>159</v>
      </c>
      <c r="Y28" s="15" t="s">
        <v>141</v>
      </c>
      <c r="Z28" s="15" t="s">
        <v>142</v>
      </c>
      <c r="AA28" s="19" t="str">
        <f aca="false">HYPERLINK("https://www.transfermarkt.com/schnellsuche/ergebnis/schnellsuche?query="&amp;SUBSTITUTE(A28," ","+"),"Search Transfermarkt")</f>
        <v>Search Transfermarkt</v>
      </c>
    </row>
    <row r="29" customFormat="false" ht="23.85" hidden="false" customHeight="false" outlineLevel="0" collapsed="false">
      <c r="A29" s="15" t="s">
        <v>270</v>
      </c>
      <c r="B29" s="15" t="s">
        <v>104</v>
      </c>
      <c r="C29" s="15" t="s">
        <v>271</v>
      </c>
      <c r="D29" s="15" t="n">
        <v>2</v>
      </c>
      <c r="E29" s="15" t="s">
        <v>272</v>
      </c>
      <c r="F29" s="15" t="s">
        <v>170</v>
      </c>
      <c r="G29" s="15" t="n">
        <v>19</v>
      </c>
      <c r="H29" s="15" t="n">
        <v>1468</v>
      </c>
      <c r="I29" s="15" t="n">
        <v>9</v>
      </c>
      <c r="J29" s="15" t="n">
        <v>6</v>
      </c>
      <c r="K29" s="15" t="n">
        <v>174</v>
      </c>
      <c r="L29" s="15" t="n">
        <v>85</v>
      </c>
      <c r="M29" s="15" t="n">
        <v>50</v>
      </c>
      <c r="N29" s="15" t="n">
        <v>0</v>
      </c>
      <c r="O29" s="15" t="n">
        <v>0</v>
      </c>
      <c r="P29" s="16" t="n">
        <v>0</v>
      </c>
      <c r="Q29" s="15" t="n">
        <v>0</v>
      </c>
      <c r="R29" s="15" t="n">
        <v>0</v>
      </c>
      <c r="S29" s="17" t="n">
        <v>50025</v>
      </c>
      <c r="T29" s="15" t="s">
        <v>186</v>
      </c>
      <c r="U29" s="15" t="n">
        <v>2029</v>
      </c>
      <c r="V29" s="15" t="s">
        <v>273</v>
      </c>
      <c r="W29" s="18" t="s">
        <v>188</v>
      </c>
      <c r="X29" s="18" t="s">
        <v>274</v>
      </c>
      <c r="Y29" s="15" t="s">
        <v>141</v>
      </c>
      <c r="Z29" s="15" t="s">
        <v>142</v>
      </c>
      <c r="AA29" s="19" t="str">
        <f aca="false">HYPERLINK("https://www.transfermarkt.com/schnellsuche/ergebnis/schnellsuche?query="&amp;SUBSTITUTE(A29," ","+"),"Search Transfermarkt")</f>
        <v>Search Transfermarkt</v>
      </c>
    </row>
    <row r="30" customFormat="false" ht="23.85" hidden="false" customHeight="false" outlineLevel="0" collapsed="false">
      <c r="A30" s="15" t="s">
        <v>275</v>
      </c>
      <c r="B30" s="15" t="s">
        <v>62</v>
      </c>
      <c r="C30" s="15" t="s">
        <v>276</v>
      </c>
      <c r="D30" s="15" t="n">
        <v>2</v>
      </c>
      <c r="E30" s="15" t="s">
        <v>277</v>
      </c>
      <c r="F30" s="15" t="s">
        <v>170</v>
      </c>
      <c r="G30" s="15" t="n">
        <v>20</v>
      </c>
      <c r="H30" s="15" t="n">
        <v>2402</v>
      </c>
      <c r="I30" s="15" t="n">
        <v>2</v>
      </c>
      <c r="J30" s="15" t="n">
        <v>14</v>
      </c>
      <c r="K30" s="15" t="n">
        <v>180</v>
      </c>
      <c r="L30" s="15" t="n">
        <v>59</v>
      </c>
      <c r="M30" s="15" t="n">
        <v>48</v>
      </c>
      <c r="N30" s="15" t="n">
        <v>0</v>
      </c>
      <c r="O30" s="15" t="n">
        <v>0</v>
      </c>
      <c r="P30" s="16" t="n">
        <v>0</v>
      </c>
      <c r="Q30" s="15" t="n">
        <v>0</v>
      </c>
      <c r="R30" s="15" t="n">
        <v>0</v>
      </c>
      <c r="S30" s="17" t="n">
        <v>17125</v>
      </c>
      <c r="T30" s="15" t="s">
        <v>137</v>
      </c>
      <c r="U30" s="15" t="n">
        <v>2026</v>
      </c>
      <c r="V30" s="15" t="s">
        <v>278</v>
      </c>
      <c r="W30" s="18" t="s">
        <v>139</v>
      </c>
      <c r="X30" s="18" t="s">
        <v>211</v>
      </c>
      <c r="Y30" s="15" t="s">
        <v>141</v>
      </c>
      <c r="Z30" s="15" t="s">
        <v>142</v>
      </c>
      <c r="AA30" s="19" t="str">
        <f aca="false">HYPERLINK("https://www.transfermarkt.com/schnellsuche/ergebnis/schnellsuche?query="&amp;SUBSTITUTE(A30," ","+"),"Search Transfermarkt")</f>
        <v>Search Transfermarkt</v>
      </c>
    </row>
    <row r="31" customFormat="false" ht="23.85" hidden="false" customHeight="false" outlineLevel="0" collapsed="false">
      <c r="A31" s="15" t="s">
        <v>279</v>
      </c>
      <c r="B31" s="15" t="s">
        <v>106</v>
      </c>
      <c r="C31" s="15" t="s">
        <v>280</v>
      </c>
      <c r="D31" s="15" t="n">
        <v>2</v>
      </c>
      <c r="E31" s="15" t="s">
        <v>281</v>
      </c>
      <c r="F31" s="15" t="s">
        <v>157</v>
      </c>
      <c r="G31" s="15" t="n">
        <v>18</v>
      </c>
      <c r="H31" s="15" t="n">
        <v>2301</v>
      </c>
      <c r="I31" s="15" t="n">
        <v>0</v>
      </c>
      <c r="J31" s="15" t="n">
        <v>0</v>
      </c>
      <c r="K31" s="15" t="n">
        <v>16</v>
      </c>
      <c r="L31" s="15" t="n">
        <v>5</v>
      </c>
      <c r="M31" s="15" t="n">
        <v>4</v>
      </c>
      <c r="N31" s="15" t="n">
        <v>77</v>
      </c>
      <c r="O31" s="15" t="n">
        <v>52</v>
      </c>
      <c r="P31" s="16" t="n">
        <v>58.7</v>
      </c>
      <c r="Q31" s="15" t="n">
        <v>6.5</v>
      </c>
      <c r="R31" s="15" t="n">
        <v>6</v>
      </c>
      <c r="S31" s="17" t="n">
        <v>96748</v>
      </c>
      <c r="T31" s="15" t="s">
        <v>164</v>
      </c>
      <c r="U31" s="15" t="n">
        <v>2027</v>
      </c>
      <c r="V31" s="15" t="s">
        <v>282</v>
      </c>
      <c r="W31" s="18" t="s">
        <v>139</v>
      </c>
      <c r="X31" s="18" t="s">
        <v>283</v>
      </c>
      <c r="Y31" s="15" t="s">
        <v>141</v>
      </c>
      <c r="Z31" s="15" t="s">
        <v>142</v>
      </c>
      <c r="AA31" s="19" t="str">
        <f aca="false">HYPERLINK("https://www.transfermarkt.com/schnellsuche/ergebnis/schnellsuche?query="&amp;SUBSTITUTE(A31," ","+"),"Search Transfermarkt")</f>
        <v>Search Transfermarkt</v>
      </c>
    </row>
    <row r="32" customFormat="false" ht="23.85" hidden="false" customHeight="false" outlineLevel="0" collapsed="false">
      <c r="A32" s="15" t="s">
        <v>284</v>
      </c>
      <c r="B32" s="15" t="s">
        <v>90</v>
      </c>
      <c r="C32" s="15" t="s">
        <v>285</v>
      </c>
      <c r="D32" s="15" t="n">
        <v>2</v>
      </c>
      <c r="E32" s="15" t="s">
        <v>286</v>
      </c>
      <c r="F32" s="15" t="s">
        <v>170</v>
      </c>
      <c r="G32" s="15" t="n">
        <v>22</v>
      </c>
      <c r="H32" s="15" t="n">
        <v>1418</v>
      </c>
      <c r="I32" s="15" t="n">
        <v>4</v>
      </c>
      <c r="J32" s="15" t="n">
        <v>5</v>
      </c>
      <c r="K32" s="15" t="n">
        <v>170</v>
      </c>
      <c r="L32" s="15" t="n">
        <v>59</v>
      </c>
      <c r="M32" s="15" t="n">
        <v>51</v>
      </c>
      <c r="N32" s="15" t="n">
        <v>0</v>
      </c>
      <c r="O32" s="15" t="n">
        <v>0</v>
      </c>
      <c r="P32" s="16" t="n">
        <v>0</v>
      </c>
      <c r="Q32" s="15" t="n">
        <v>0</v>
      </c>
      <c r="R32" s="15" t="n">
        <v>0</v>
      </c>
      <c r="S32" s="17" t="n">
        <v>76609</v>
      </c>
      <c r="T32" s="15" t="s">
        <v>164</v>
      </c>
      <c r="U32" s="15" t="n">
        <v>2027</v>
      </c>
      <c r="V32" s="15" t="s">
        <v>287</v>
      </c>
      <c r="W32" s="18" t="s">
        <v>139</v>
      </c>
      <c r="X32" s="18" t="s">
        <v>288</v>
      </c>
      <c r="Y32" s="15" t="s">
        <v>141</v>
      </c>
      <c r="Z32" s="15" t="s">
        <v>142</v>
      </c>
      <c r="AA32" s="19" t="str">
        <f aca="false">HYPERLINK("https://www.transfermarkt.com/schnellsuche/ergebnis/schnellsuche?query="&amp;SUBSTITUTE(A32," ","+"),"Search Transfermarkt")</f>
        <v>Search Transfermarkt</v>
      </c>
    </row>
    <row r="33" customFormat="false" ht="23.85" hidden="false" customHeight="false" outlineLevel="0" collapsed="false">
      <c r="A33" s="15" t="s">
        <v>289</v>
      </c>
      <c r="B33" s="15" t="s">
        <v>68</v>
      </c>
      <c r="C33" s="15" t="s">
        <v>150</v>
      </c>
      <c r="D33" s="15" t="n">
        <v>2</v>
      </c>
      <c r="E33" s="15" t="s">
        <v>290</v>
      </c>
      <c r="F33" s="15" t="s">
        <v>170</v>
      </c>
      <c r="G33" s="15" t="n">
        <v>20</v>
      </c>
      <c r="H33" s="15" t="n">
        <v>1129</v>
      </c>
      <c r="I33" s="15" t="n">
        <v>5</v>
      </c>
      <c r="J33" s="15" t="n">
        <v>12</v>
      </c>
      <c r="K33" s="15" t="n">
        <v>154</v>
      </c>
      <c r="L33" s="15" t="n">
        <v>60</v>
      </c>
      <c r="M33" s="15" t="n">
        <v>30</v>
      </c>
      <c r="N33" s="15" t="n">
        <v>0</v>
      </c>
      <c r="O33" s="15" t="n">
        <v>0</v>
      </c>
      <c r="P33" s="16" t="n">
        <v>0</v>
      </c>
      <c r="Q33" s="15" t="n">
        <v>0</v>
      </c>
      <c r="R33" s="15" t="n">
        <v>0</v>
      </c>
      <c r="S33" s="17" t="n">
        <v>144878</v>
      </c>
      <c r="T33" s="15" t="s">
        <v>137</v>
      </c>
      <c r="U33" s="15" t="n">
        <v>2028</v>
      </c>
      <c r="V33" s="15" t="s">
        <v>291</v>
      </c>
      <c r="W33" s="18" t="s">
        <v>139</v>
      </c>
      <c r="X33" s="18" t="s">
        <v>153</v>
      </c>
      <c r="Y33" s="15" t="s">
        <v>141</v>
      </c>
      <c r="Z33" s="15" t="s">
        <v>142</v>
      </c>
      <c r="AA33" s="19" t="str">
        <f aca="false">HYPERLINK("https://www.transfermarkt.com/schnellsuche/ergebnis/schnellsuche?query="&amp;SUBSTITUTE(A33," ","+"),"Search Transfermarkt")</f>
        <v>Search Transfermarkt</v>
      </c>
    </row>
    <row r="34" customFormat="false" ht="23.85" hidden="false" customHeight="false" outlineLevel="0" collapsed="false">
      <c r="A34" s="15" t="s">
        <v>292</v>
      </c>
      <c r="B34" s="15" t="s">
        <v>89</v>
      </c>
      <c r="C34" s="15" t="s">
        <v>293</v>
      </c>
      <c r="D34" s="15" t="n">
        <v>4</v>
      </c>
      <c r="E34" s="15" t="s">
        <v>294</v>
      </c>
      <c r="F34" s="15" t="s">
        <v>170</v>
      </c>
      <c r="G34" s="15" t="n">
        <v>22</v>
      </c>
      <c r="H34" s="15" t="n">
        <v>1759</v>
      </c>
      <c r="I34" s="15" t="n">
        <v>2</v>
      </c>
      <c r="J34" s="15" t="n">
        <v>6</v>
      </c>
      <c r="K34" s="15" t="n">
        <v>133</v>
      </c>
      <c r="L34" s="15" t="n">
        <v>95</v>
      </c>
      <c r="M34" s="15" t="n">
        <v>51</v>
      </c>
      <c r="N34" s="15" t="n">
        <v>0</v>
      </c>
      <c r="O34" s="15" t="n">
        <v>0</v>
      </c>
      <c r="P34" s="16" t="n">
        <v>0</v>
      </c>
      <c r="Q34" s="15" t="n">
        <v>0</v>
      </c>
      <c r="R34" s="15" t="n">
        <v>0</v>
      </c>
      <c r="S34" s="17" t="n">
        <v>0</v>
      </c>
      <c r="T34" s="15" t="s">
        <v>137</v>
      </c>
      <c r="U34" s="15" t="n">
        <v>2028</v>
      </c>
      <c r="V34" s="15" t="s">
        <v>295</v>
      </c>
      <c r="W34" s="18" t="s">
        <v>139</v>
      </c>
      <c r="X34" s="18" t="s">
        <v>206</v>
      </c>
      <c r="Y34" s="15" t="s">
        <v>141</v>
      </c>
      <c r="Z34" s="15" t="s">
        <v>142</v>
      </c>
      <c r="AA34" s="19" t="str">
        <f aca="false">HYPERLINK("https://www.transfermarkt.com/schnellsuche/ergebnis/schnellsuche?query="&amp;SUBSTITUTE(A34," ","+"),"Search Transfermarkt")</f>
        <v>Search Transfermarkt</v>
      </c>
    </row>
    <row r="35" customFormat="false" ht="23.85" hidden="false" customHeight="false" outlineLevel="0" collapsed="false">
      <c r="A35" s="15" t="s">
        <v>296</v>
      </c>
      <c r="B35" s="15" t="s">
        <v>73</v>
      </c>
      <c r="C35" s="15" t="s">
        <v>297</v>
      </c>
      <c r="D35" s="15" t="n">
        <v>3</v>
      </c>
      <c r="E35" s="15" t="s">
        <v>298</v>
      </c>
      <c r="F35" s="15" t="s">
        <v>136</v>
      </c>
      <c r="G35" s="15" t="n">
        <v>17</v>
      </c>
      <c r="H35" s="15" t="n">
        <v>837</v>
      </c>
      <c r="I35" s="15" t="n">
        <v>1</v>
      </c>
      <c r="J35" s="15" t="n">
        <v>2</v>
      </c>
      <c r="K35" s="15" t="n">
        <v>67</v>
      </c>
      <c r="L35" s="15" t="n">
        <v>23</v>
      </c>
      <c r="M35" s="15" t="n">
        <v>123</v>
      </c>
      <c r="N35" s="15" t="n">
        <v>0</v>
      </c>
      <c r="O35" s="15" t="n">
        <v>0</v>
      </c>
      <c r="P35" s="16" t="n">
        <v>0</v>
      </c>
      <c r="Q35" s="15" t="n">
        <v>0</v>
      </c>
      <c r="R35" s="15" t="n">
        <v>0</v>
      </c>
      <c r="S35" s="17" t="n">
        <v>86727</v>
      </c>
      <c r="T35" s="15" t="s">
        <v>186</v>
      </c>
      <c r="U35" s="15" t="n">
        <v>2029</v>
      </c>
      <c r="V35" s="15" t="s">
        <v>299</v>
      </c>
      <c r="W35" s="18" t="s">
        <v>147</v>
      </c>
      <c r="X35" s="18" t="s">
        <v>172</v>
      </c>
      <c r="Y35" s="15" t="s">
        <v>141</v>
      </c>
      <c r="Z35" s="15" t="s">
        <v>142</v>
      </c>
      <c r="AA35" s="19" t="str">
        <f aca="false">HYPERLINK("https://www.transfermarkt.com/schnellsuche/ergebnis/schnellsuche?query="&amp;SUBSTITUTE(A35," ","+"),"Search Transfermarkt")</f>
        <v>Search Transfermarkt</v>
      </c>
    </row>
    <row r="36" customFormat="false" ht="23.85" hidden="false" customHeight="false" outlineLevel="0" collapsed="false">
      <c r="A36" s="15" t="s">
        <v>300</v>
      </c>
      <c r="B36" s="15" t="s">
        <v>80</v>
      </c>
      <c r="C36" s="15" t="s">
        <v>301</v>
      </c>
      <c r="D36" s="15" t="n">
        <v>3</v>
      </c>
      <c r="E36" s="15" t="s">
        <v>302</v>
      </c>
      <c r="F36" s="15" t="s">
        <v>170</v>
      </c>
      <c r="G36" s="15" t="n">
        <v>21</v>
      </c>
      <c r="H36" s="15" t="n">
        <v>1948</v>
      </c>
      <c r="I36" s="15" t="n">
        <v>4</v>
      </c>
      <c r="J36" s="15" t="n">
        <v>5</v>
      </c>
      <c r="K36" s="15" t="n">
        <v>141</v>
      </c>
      <c r="L36" s="15" t="n">
        <v>102</v>
      </c>
      <c r="M36" s="15" t="n">
        <v>43</v>
      </c>
      <c r="N36" s="15" t="n">
        <v>0</v>
      </c>
      <c r="O36" s="15" t="n">
        <v>0</v>
      </c>
      <c r="P36" s="16" t="n">
        <v>0</v>
      </c>
      <c r="Q36" s="15" t="n">
        <v>0</v>
      </c>
      <c r="R36" s="15" t="n">
        <v>0</v>
      </c>
      <c r="S36" s="17" t="n">
        <v>136665</v>
      </c>
      <c r="T36" s="15" t="s">
        <v>137</v>
      </c>
      <c r="U36" s="15" t="n">
        <v>2026</v>
      </c>
      <c r="V36" s="15" t="s">
        <v>303</v>
      </c>
      <c r="W36" s="18" t="s">
        <v>139</v>
      </c>
      <c r="X36" s="18" t="s">
        <v>304</v>
      </c>
      <c r="Y36" s="15" t="s">
        <v>141</v>
      </c>
      <c r="Z36" s="15" t="s">
        <v>142</v>
      </c>
      <c r="AA36" s="19" t="str">
        <f aca="false">HYPERLINK("https://www.transfermarkt.com/schnellsuche/ergebnis/schnellsuche?query="&amp;SUBSTITUTE(A36," ","+"),"Search Transfermarkt")</f>
        <v>Search Transfermarkt</v>
      </c>
    </row>
    <row r="37" customFormat="false" ht="23.85" hidden="false" customHeight="false" outlineLevel="0" collapsed="false">
      <c r="A37" s="15" t="s">
        <v>305</v>
      </c>
      <c r="B37" s="15" t="s">
        <v>76</v>
      </c>
      <c r="C37" s="15" t="s">
        <v>251</v>
      </c>
      <c r="D37" s="15" t="n">
        <v>3</v>
      </c>
      <c r="E37" s="15" t="s">
        <v>306</v>
      </c>
      <c r="F37" s="15" t="s">
        <v>157</v>
      </c>
      <c r="G37" s="15" t="n">
        <v>22</v>
      </c>
      <c r="H37" s="15" t="n">
        <v>2457</v>
      </c>
      <c r="I37" s="15" t="n">
        <v>0</v>
      </c>
      <c r="J37" s="15" t="n">
        <v>0</v>
      </c>
      <c r="K37" s="15" t="n">
        <v>12</v>
      </c>
      <c r="L37" s="15" t="n">
        <v>5</v>
      </c>
      <c r="M37" s="15" t="n">
        <v>5</v>
      </c>
      <c r="N37" s="15" t="n">
        <v>100</v>
      </c>
      <c r="O37" s="15" t="n">
        <v>39</v>
      </c>
      <c r="P37" s="16" t="n">
        <v>58.8</v>
      </c>
      <c r="Q37" s="15" t="n">
        <v>22.5</v>
      </c>
      <c r="R37" s="15" t="n">
        <v>12</v>
      </c>
      <c r="S37" s="17" t="n">
        <v>0</v>
      </c>
      <c r="T37" s="15" t="s">
        <v>137</v>
      </c>
      <c r="U37" s="15" t="n">
        <v>2026</v>
      </c>
      <c r="V37" s="15" t="s">
        <v>307</v>
      </c>
      <c r="W37" s="18" t="s">
        <v>139</v>
      </c>
      <c r="X37" s="18" t="s">
        <v>241</v>
      </c>
      <c r="Y37" s="15" t="s">
        <v>141</v>
      </c>
      <c r="Z37" s="15" t="s">
        <v>142</v>
      </c>
      <c r="AA37" s="19" t="str">
        <f aca="false">HYPERLINK("https://www.transfermarkt.com/schnellsuche/ergebnis/schnellsuche?query="&amp;SUBSTITUTE(A37," ","+"),"Search Transfermarkt")</f>
        <v>Search Transfermarkt</v>
      </c>
    </row>
    <row r="38" customFormat="false" ht="23.85" hidden="false" customHeight="false" outlineLevel="0" collapsed="false">
      <c r="A38" s="15" t="s">
        <v>308</v>
      </c>
      <c r="B38" s="15" t="s">
        <v>92</v>
      </c>
      <c r="C38" s="15" t="s">
        <v>309</v>
      </c>
      <c r="D38" s="15" t="n">
        <v>3</v>
      </c>
      <c r="E38" s="15" t="s">
        <v>310</v>
      </c>
      <c r="F38" s="15" t="s">
        <v>136</v>
      </c>
      <c r="G38" s="15" t="n">
        <v>20</v>
      </c>
      <c r="H38" s="15" t="n">
        <v>887</v>
      </c>
      <c r="I38" s="15" t="n">
        <v>1</v>
      </c>
      <c r="J38" s="15" t="n">
        <v>2</v>
      </c>
      <c r="K38" s="15" t="n">
        <v>44</v>
      </c>
      <c r="L38" s="15" t="n">
        <v>25</v>
      </c>
      <c r="M38" s="15" t="n">
        <v>131</v>
      </c>
      <c r="N38" s="15" t="n">
        <v>0</v>
      </c>
      <c r="O38" s="15" t="n">
        <v>0</v>
      </c>
      <c r="P38" s="16" t="n">
        <v>0</v>
      </c>
      <c r="Q38" s="15" t="n">
        <v>0</v>
      </c>
      <c r="R38" s="15" t="n">
        <v>0</v>
      </c>
      <c r="S38" s="17" t="n">
        <v>132845</v>
      </c>
      <c r="T38" s="15" t="s">
        <v>137</v>
      </c>
      <c r="U38" s="15" t="n">
        <v>2028</v>
      </c>
      <c r="V38" s="15" t="s">
        <v>311</v>
      </c>
      <c r="W38" s="18" t="s">
        <v>139</v>
      </c>
      <c r="X38" s="18" t="s">
        <v>159</v>
      </c>
      <c r="Y38" s="15" t="s">
        <v>141</v>
      </c>
      <c r="Z38" s="15" t="s">
        <v>142</v>
      </c>
      <c r="AA38" s="19" t="str">
        <f aca="false">HYPERLINK("https://www.transfermarkt.com/schnellsuche/ergebnis/schnellsuche?query="&amp;SUBSTITUTE(A38," ","+"),"Search Transfermarkt")</f>
        <v>Search Transfermarkt</v>
      </c>
    </row>
    <row r="39" customFormat="false" ht="23.85" hidden="false" customHeight="false" outlineLevel="0" collapsed="false">
      <c r="A39" s="15" t="s">
        <v>312</v>
      </c>
      <c r="B39" s="15" t="s">
        <v>104</v>
      </c>
      <c r="C39" s="15" t="s">
        <v>313</v>
      </c>
      <c r="D39" s="15" t="n">
        <v>3</v>
      </c>
      <c r="E39" s="15" t="s">
        <v>314</v>
      </c>
      <c r="F39" s="15" t="s">
        <v>136</v>
      </c>
      <c r="G39" s="15" t="n">
        <v>18</v>
      </c>
      <c r="H39" s="15" t="n">
        <v>1538</v>
      </c>
      <c r="I39" s="15" t="n">
        <v>0</v>
      </c>
      <c r="J39" s="15" t="n">
        <v>4</v>
      </c>
      <c r="K39" s="15" t="n">
        <v>72</v>
      </c>
      <c r="L39" s="15" t="n">
        <v>36</v>
      </c>
      <c r="M39" s="15" t="n">
        <v>125</v>
      </c>
      <c r="N39" s="15" t="n">
        <v>0</v>
      </c>
      <c r="O39" s="15" t="n">
        <v>0</v>
      </c>
      <c r="P39" s="16" t="n">
        <v>0</v>
      </c>
      <c r="Q39" s="15" t="n">
        <v>0</v>
      </c>
      <c r="R39" s="15" t="n">
        <v>0</v>
      </c>
      <c r="S39" s="17" t="n">
        <v>0</v>
      </c>
      <c r="T39" s="15" t="s">
        <v>137</v>
      </c>
      <c r="U39" s="15" t="n">
        <v>2028</v>
      </c>
      <c r="V39" s="15" t="s">
        <v>315</v>
      </c>
      <c r="W39" s="18" t="s">
        <v>139</v>
      </c>
      <c r="X39" s="18" t="s">
        <v>274</v>
      </c>
      <c r="Y39" s="15" t="s">
        <v>141</v>
      </c>
      <c r="Z39" s="15" t="s">
        <v>142</v>
      </c>
      <c r="AA39" s="19" t="str">
        <f aca="false">HYPERLINK("https://www.transfermarkt.com/schnellsuche/ergebnis/schnellsuche?query="&amp;SUBSTITUTE(A39," ","+"),"Search Transfermarkt")</f>
        <v>Search Transfermarkt</v>
      </c>
    </row>
    <row r="40" customFormat="false" ht="23.85" hidden="false" customHeight="false" outlineLevel="0" collapsed="false">
      <c r="A40" s="15" t="s">
        <v>316</v>
      </c>
      <c r="B40" s="15" t="s">
        <v>88</v>
      </c>
      <c r="C40" s="15" t="s">
        <v>317</v>
      </c>
      <c r="D40" s="15" t="n">
        <v>3</v>
      </c>
      <c r="E40" s="15" t="s">
        <v>318</v>
      </c>
      <c r="F40" s="15" t="s">
        <v>157</v>
      </c>
      <c r="G40" s="15" t="n">
        <v>23</v>
      </c>
      <c r="H40" s="15" t="n">
        <v>2069</v>
      </c>
      <c r="I40" s="15" t="n">
        <v>0</v>
      </c>
      <c r="J40" s="15" t="n">
        <v>0</v>
      </c>
      <c r="K40" s="15" t="n">
        <v>11</v>
      </c>
      <c r="L40" s="15" t="n">
        <v>5</v>
      </c>
      <c r="M40" s="15" t="n">
        <v>7</v>
      </c>
      <c r="N40" s="15" t="n">
        <v>87</v>
      </c>
      <c r="O40" s="15" t="n">
        <v>43</v>
      </c>
      <c r="P40" s="16" t="n">
        <v>57.7</v>
      </c>
      <c r="Q40" s="15" t="n">
        <v>5.3</v>
      </c>
      <c r="R40" s="15" t="n">
        <v>4</v>
      </c>
      <c r="S40" s="17" t="n">
        <v>0</v>
      </c>
      <c r="T40" s="15" t="s">
        <v>164</v>
      </c>
      <c r="U40" s="15" t="n">
        <v>2026</v>
      </c>
      <c r="V40" s="15" t="s">
        <v>319</v>
      </c>
      <c r="W40" s="18" t="s">
        <v>139</v>
      </c>
      <c r="X40" s="18" t="s">
        <v>320</v>
      </c>
      <c r="Y40" s="15" t="s">
        <v>141</v>
      </c>
      <c r="Z40" s="15" t="s">
        <v>142</v>
      </c>
      <c r="AA40" s="19" t="str">
        <f aca="false">HYPERLINK("https://www.transfermarkt.com/schnellsuche/ergebnis/schnellsuche?query="&amp;SUBSTITUTE(A40," ","+"),"Search Transfermarkt")</f>
        <v>Search Transfermarkt</v>
      </c>
    </row>
    <row r="41" customFormat="false" ht="23.85" hidden="false" customHeight="false" outlineLevel="0" collapsed="false">
      <c r="A41" s="15" t="s">
        <v>321</v>
      </c>
      <c r="B41" s="15" t="s">
        <v>80</v>
      </c>
      <c r="C41" s="15" t="s">
        <v>322</v>
      </c>
      <c r="D41" s="15" t="n">
        <v>2</v>
      </c>
      <c r="E41" s="15" t="s">
        <v>323</v>
      </c>
      <c r="F41" s="15" t="s">
        <v>170</v>
      </c>
      <c r="G41" s="15" t="n">
        <v>19</v>
      </c>
      <c r="H41" s="15" t="n">
        <v>2384</v>
      </c>
      <c r="I41" s="15" t="n">
        <v>8</v>
      </c>
      <c r="J41" s="15" t="n">
        <v>8</v>
      </c>
      <c r="K41" s="15" t="n">
        <v>179</v>
      </c>
      <c r="L41" s="15" t="n">
        <v>94</v>
      </c>
      <c r="M41" s="15" t="n">
        <v>38</v>
      </c>
      <c r="N41" s="15" t="n">
        <v>0</v>
      </c>
      <c r="O41" s="15" t="n">
        <v>0</v>
      </c>
      <c r="P41" s="16" t="n">
        <v>0</v>
      </c>
      <c r="Q41" s="15" t="n">
        <v>0</v>
      </c>
      <c r="R41" s="15" t="n">
        <v>0</v>
      </c>
      <c r="S41" s="17" t="n">
        <v>0</v>
      </c>
      <c r="T41" s="15" t="s">
        <v>137</v>
      </c>
      <c r="U41" s="15" t="n">
        <v>2026</v>
      </c>
      <c r="V41" s="15" t="s">
        <v>324</v>
      </c>
      <c r="W41" s="18" t="s">
        <v>139</v>
      </c>
      <c r="X41" s="18" t="s">
        <v>304</v>
      </c>
      <c r="Y41" s="15" t="s">
        <v>141</v>
      </c>
      <c r="Z41" s="15" t="s">
        <v>142</v>
      </c>
      <c r="AA41" s="19" t="str">
        <f aca="false">HYPERLINK("https://www.transfermarkt.com/schnellsuche/ergebnis/schnellsuche?query="&amp;SUBSTITUTE(A41," ","+"),"Search Transfermarkt")</f>
        <v>Search Transfermarkt</v>
      </c>
    </row>
    <row r="42" customFormat="false" ht="23.85" hidden="false" customHeight="false" outlineLevel="0" collapsed="false">
      <c r="A42" s="15" t="s">
        <v>325</v>
      </c>
      <c r="B42" s="15" t="s">
        <v>104</v>
      </c>
      <c r="C42" s="15" t="s">
        <v>326</v>
      </c>
      <c r="D42" s="15" t="n">
        <v>2</v>
      </c>
      <c r="E42" s="15" t="s">
        <v>327</v>
      </c>
      <c r="F42" s="15" t="s">
        <v>136</v>
      </c>
      <c r="G42" s="15" t="n">
        <v>18</v>
      </c>
      <c r="H42" s="15" t="n">
        <v>1695</v>
      </c>
      <c r="I42" s="15" t="n">
        <v>3</v>
      </c>
      <c r="J42" s="15" t="n">
        <v>0</v>
      </c>
      <c r="K42" s="15" t="n">
        <v>46</v>
      </c>
      <c r="L42" s="15" t="n">
        <v>47</v>
      </c>
      <c r="M42" s="15" t="n">
        <v>108</v>
      </c>
      <c r="N42" s="15" t="n">
        <v>0</v>
      </c>
      <c r="O42" s="15" t="n">
        <v>0</v>
      </c>
      <c r="P42" s="16" t="n">
        <v>0</v>
      </c>
      <c r="Q42" s="15" t="n">
        <v>0</v>
      </c>
      <c r="R42" s="15" t="n">
        <v>0</v>
      </c>
      <c r="S42" s="17" t="n">
        <v>84355</v>
      </c>
      <c r="T42" s="15" t="s">
        <v>137</v>
      </c>
      <c r="U42" s="15" t="n">
        <v>2028</v>
      </c>
      <c r="V42" s="15" t="s">
        <v>328</v>
      </c>
      <c r="W42" s="18" t="s">
        <v>139</v>
      </c>
      <c r="X42" s="18" t="s">
        <v>274</v>
      </c>
      <c r="Y42" s="15" t="s">
        <v>141</v>
      </c>
      <c r="Z42" s="15" t="s">
        <v>142</v>
      </c>
      <c r="AA42" s="19" t="str">
        <f aca="false">HYPERLINK("https://www.transfermarkt.com/schnellsuche/ergebnis/schnellsuche?query="&amp;SUBSTITUTE(A42," ","+"),"Search Transfermarkt")</f>
        <v>Search Transfermarkt</v>
      </c>
    </row>
    <row r="43" customFormat="false" ht="23.85" hidden="false" customHeight="false" outlineLevel="0" collapsed="false">
      <c r="A43" s="15" t="s">
        <v>329</v>
      </c>
      <c r="B43" s="15" t="s">
        <v>85</v>
      </c>
      <c r="C43" s="15" t="s">
        <v>330</v>
      </c>
      <c r="D43" s="15" t="n">
        <v>2</v>
      </c>
      <c r="E43" s="15" t="s">
        <v>331</v>
      </c>
      <c r="F43" s="15" t="s">
        <v>170</v>
      </c>
      <c r="G43" s="15" t="n">
        <v>21</v>
      </c>
      <c r="H43" s="15" t="n">
        <v>2282</v>
      </c>
      <c r="I43" s="15" t="n">
        <v>8</v>
      </c>
      <c r="J43" s="15" t="n">
        <v>5</v>
      </c>
      <c r="K43" s="15" t="n">
        <v>111</v>
      </c>
      <c r="L43" s="15" t="n">
        <v>94</v>
      </c>
      <c r="M43" s="15" t="n">
        <v>48</v>
      </c>
      <c r="N43" s="15" t="n">
        <v>0</v>
      </c>
      <c r="O43" s="15" t="n">
        <v>0</v>
      </c>
      <c r="P43" s="16" t="n">
        <v>0</v>
      </c>
      <c r="Q43" s="15" t="n">
        <v>0</v>
      </c>
      <c r="R43" s="15" t="n">
        <v>0</v>
      </c>
      <c r="S43" s="17" t="n">
        <v>114952</v>
      </c>
      <c r="T43" s="15" t="s">
        <v>137</v>
      </c>
      <c r="U43" s="15" t="n">
        <v>2026</v>
      </c>
      <c r="V43" s="15" t="s">
        <v>332</v>
      </c>
      <c r="W43" s="18" t="s">
        <v>139</v>
      </c>
      <c r="X43" s="18" t="s">
        <v>265</v>
      </c>
      <c r="Y43" s="15" t="s">
        <v>141</v>
      </c>
      <c r="Z43" s="15" t="s">
        <v>142</v>
      </c>
      <c r="AA43" s="19" t="str">
        <f aca="false">HYPERLINK("https://www.transfermarkt.com/schnellsuche/ergebnis/schnellsuche?query="&amp;SUBSTITUTE(A43," ","+"),"Search Transfermarkt")</f>
        <v>Search Transfermarkt</v>
      </c>
    </row>
    <row r="44" customFormat="false" ht="23.85" hidden="false" customHeight="false" outlineLevel="0" collapsed="false">
      <c r="A44" s="15" t="s">
        <v>333</v>
      </c>
      <c r="B44" s="15" t="s">
        <v>94</v>
      </c>
      <c r="C44" s="15" t="s">
        <v>334</v>
      </c>
      <c r="D44" s="15" t="n">
        <v>3</v>
      </c>
      <c r="E44" s="15" t="s">
        <v>335</v>
      </c>
      <c r="F44" s="15" t="s">
        <v>157</v>
      </c>
      <c r="G44" s="15" t="n">
        <v>25</v>
      </c>
      <c r="H44" s="15" t="n">
        <v>1304</v>
      </c>
      <c r="I44" s="15" t="n">
        <v>0</v>
      </c>
      <c r="J44" s="15" t="n">
        <v>0</v>
      </c>
      <c r="K44" s="15" t="n">
        <v>13</v>
      </c>
      <c r="L44" s="15" t="n">
        <v>3</v>
      </c>
      <c r="M44" s="15" t="n">
        <v>6</v>
      </c>
      <c r="N44" s="15" t="n">
        <v>53</v>
      </c>
      <c r="O44" s="15" t="n">
        <v>23</v>
      </c>
      <c r="P44" s="16" t="n">
        <v>58.3</v>
      </c>
      <c r="Q44" s="15" t="n">
        <v>18.7</v>
      </c>
      <c r="R44" s="15" t="n">
        <v>4</v>
      </c>
      <c r="S44" s="17" t="n">
        <v>32926</v>
      </c>
      <c r="T44" s="15" t="s">
        <v>137</v>
      </c>
      <c r="U44" s="15" t="n">
        <v>2028</v>
      </c>
      <c r="V44" s="15" t="s">
        <v>336</v>
      </c>
      <c r="W44" s="18" t="s">
        <v>139</v>
      </c>
      <c r="X44" s="18" t="s">
        <v>226</v>
      </c>
      <c r="Y44" s="15" t="s">
        <v>141</v>
      </c>
      <c r="Z44" s="15" t="s">
        <v>142</v>
      </c>
      <c r="AA44" s="19" t="str">
        <f aca="false">HYPERLINK("https://www.transfermarkt.com/schnellsuche/ergebnis/schnellsuche?query="&amp;SUBSTITUTE(A44," ","+"),"Search Transfermarkt")</f>
        <v>Search Transfermarkt</v>
      </c>
    </row>
    <row r="45" customFormat="false" ht="23.85" hidden="false" customHeight="false" outlineLevel="0" collapsed="false">
      <c r="A45" s="15" t="s">
        <v>337</v>
      </c>
      <c r="B45" s="15" t="s">
        <v>87</v>
      </c>
      <c r="C45" s="15" t="s">
        <v>338</v>
      </c>
      <c r="D45" s="15" t="n">
        <v>3</v>
      </c>
      <c r="E45" s="15" t="s">
        <v>339</v>
      </c>
      <c r="F45" s="15" t="s">
        <v>136</v>
      </c>
      <c r="G45" s="15" t="n">
        <v>20</v>
      </c>
      <c r="H45" s="15" t="n">
        <v>2006</v>
      </c>
      <c r="I45" s="15" t="n">
        <v>1</v>
      </c>
      <c r="J45" s="15" t="n">
        <v>1</v>
      </c>
      <c r="K45" s="15" t="n">
        <v>50</v>
      </c>
      <c r="L45" s="15" t="n">
        <v>22</v>
      </c>
      <c r="M45" s="15" t="n">
        <v>117</v>
      </c>
      <c r="N45" s="15" t="n">
        <v>0</v>
      </c>
      <c r="O45" s="15" t="n">
        <v>0</v>
      </c>
      <c r="P45" s="16" t="n">
        <v>0</v>
      </c>
      <c r="Q45" s="15" t="n">
        <v>0</v>
      </c>
      <c r="R45" s="15" t="n">
        <v>0</v>
      </c>
      <c r="S45" s="17" t="n">
        <v>45517</v>
      </c>
      <c r="T45" s="15" t="s">
        <v>137</v>
      </c>
      <c r="U45" s="15" t="n">
        <v>2028</v>
      </c>
      <c r="V45" s="15" t="s">
        <v>340</v>
      </c>
      <c r="W45" s="18" t="s">
        <v>139</v>
      </c>
      <c r="X45" s="18" t="s">
        <v>341</v>
      </c>
      <c r="Y45" s="15" t="s">
        <v>141</v>
      </c>
      <c r="Z45" s="15" t="s">
        <v>142</v>
      </c>
      <c r="AA45" s="19" t="str">
        <f aca="false">HYPERLINK("https://www.transfermarkt.com/schnellsuche/ergebnis/schnellsuche?query="&amp;SUBSTITUTE(A45," ","+"),"Search Transfermarkt")</f>
        <v>Search Transfermarkt</v>
      </c>
    </row>
    <row r="46" customFormat="false" ht="23.85" hidden="false" customHeight="false" outlineLevel="0" collapsed="false">
      <c r="A46" s="15" t="s">
        <v>342</v>
      </c>
      <c r="B46" s="15" t="s">
        <v>88</v>
      </c>
      <c r="C46" s="15" t="s">
        <v>343</v>
      </c>
      <c r="D46" s="15" t="n">
        <v>3</v>
      </c>
      <c r="E46" s="15" t="s">
        <v>344</v>
      </c>
      <c r="F46" s="15" t="s">
        <v>170</v>
      </c>
      <c r="G46" s="15" t="n">
        <v>21</v>
      </c>
      <c r="H46" s="15" t="n">
        <v>1306</v>
      </c>
      <c r="I46" s="15" t="n">
        <v>11</v>
      </c>
      <c r="J46" s="15" t="n">
        <v>9</v>
      </c>
      <c r="K46" s="15" t="n">
        <v>137</v>
      </c>
      <c r="L46" s="15" t="n">
        <v>94</v>
      </c>
      <c r="M46" s="15" t="n">
        <v>35</v>
      </c>
      <c r="N46" s="15" t="n">
        <v>0</v>
      </c>
      <c r="O46" s="15" t="n">
        <v>0</v>
      </c>
      <c r="P46" s="16" t="n">
        <v>0</v>
      </c>
      <c r="Q46" s="15" t="n">
        <v>0</v>
      </c>
      <c r="R46" s="15" t="n">
        <v>0</v>
      </c>
      <c r="S46" s="17" t="n">
        <v>18334</v>
      </c>
      <c r="T46" s="15" t="s">
        <v>137</v>
      </c>
      <c r="U46" s="15" t="n">
        <v>2029</v>
      </c>
      <c r="V46" s="15" t="s">
        <v>345</v>
      </c>
      <c r="W46" s="18" t="s">
        <v>139</v>
      </c>
      <c r="X46" s="18" t="s">
        <v>320</v>
      </c>
      <c r="Y46" s="15" t="s">
        <v>141</v>
      </c>
      <c r="Z46" s="15" t="s">
        <v>142</v>
      </c>
      <c r="AA46" s="19" t="str">
        <f aca="false">HYPERLINK("https://www.transfermarkt.com/schnellsuche/ergebnis/schnellsuche?query="&amp;SUBSTITUTE(A46," ","+"),"Search Transfermarkt")</f>
        <v>Search Transfermarkt</v>
      </c>
    </row>
    <row r="47" customFormat="false" ht="23.85" hidden="false" customHeight="false" outlineLevel="0" collapsed="false">
      <c r="A47" s="15" t="s">
        <v>346</v>
      </c>
      <c r="B47" s="15" t="s">
        <v>87</v>
      </c>
      <c r="C47" s="15" t="s">
        <v>347</v>
      </c>
      <c r="D47" s="15" t="n">
        <v>4</v>
      </c>
      <c r="E47" s="15" t="s">
        <v>348</v>
      </c>
      <c r="F47" s="15" t="s">
        <v>170</v>
      </c>
      <c r="G47" s="15" t="n">
        <v>24</v>
      </c>
      <c r="H47" s="15" t="n">
        <v>2215</v>
      </c>
      <c r="I47" s="15" t="n">
        <v>9</v>
      </c>
      <c r="J47" s="15" t="n">
        <v>6</v>
      </c>
      <c r="K47" s="15" t="n">
        <v>116</v>
      </c>
      <c r="L47" s="15" t="n">
        <v>81</v>
      </c>
      <c r="M47" s="15" t="n">
        <v>59</v>
      </c>
      <c r="N47" s="15" t="n">
        <v>0</v>
      </c>
      <c r="O47" s="15" t="n">
        <v>0</v>
      </c>
      <c r="P47" s="16" t="n">
        <v>0</v>
      </c>
      <c r="Q47" s="15" t="n">
        <v>0</v>
      </c>
      <c r="R47" s="15" t="n">
        <v>0</v>
      </c>
      <c r="S47" s="17" t="n">
        <v>127756</v>
      </c>
      <c r="T47" s="15" t="s">
        <v>164</v>
      </c>
      <c r="U47" s="15" t="n">
        <v>2027</v>
      </c>
      <c r="V47" s="15" t="s">
        <v>349</v>
      </c>
      <c r="W47" s="18" t="s">
        <v>139</v>
      </c>
      <c r="X47" s="18" t="s">
        <v>341</v>
      </c>
      <c r="Y47" s="15" t="s">
        <v>141</v>
      </c>
      <c r="Z47" s="15" t="s">
        <v>142</v>
      </c>
      <c r="AA47" s="19" t="str">
        <f aca="false">HYPERLINK("https://www.transfermarkt.com/schnellsuche/ergebnis/schnellsuche?query="&amp;SUBSTITUTE(A47," ","+"),"Search Transfermarkt")</f>
        <v>Search Transfermarkt</v>
      </c>
    </row>
    <row r="48" customFormat="false" ht="23.85" hidden="false" customHeight="false" outlineLevel="0" collapsed="false">
      <c r="A48" s="15" t="s">
        <v>350</v>
      </c>
      <c r="B48" s="15" t="s">
        <v>94</v>
      </c>
      <c r="C48" s="15" t="s">
        <v>351</v>
      </c>
      <c r="D48" s="15" t="n">
        <v>4</v>
      </c>
      <c r="E48" s="15" t="s">
        <v>352</v>
      </c>
      <c r="F48" s="15" t="s">
        <v>163</v>
      </c>
      <c r="G48" s="15" t="n">
        <v>23</v>
      </c>
      <c r="H48" s="15" t="n">
        <v>2276</v>
      </c>
      <c r="I48" s="15" t="n">
        <v>7</v>
      </c>
      <c r="J48" s="15" t="n">
        <v>5</v>
      </c>
      <c r="K48" s="15" t="n">
        <v>66</v>
      </c>
      <c r="L48" s="15" t="n">
        <v>77</v>
      </c>
      <c r="M48" s="15" t="n">
        <v>9</v>
      </c>
      <c r="N48" s="15" t="n">
        <v>0</v>
      </c>
      <c r="O48" s="15" t="n">
        <v>0</v>
      </c>
      <c r="P48" s="16" t="n">
        <v>0</v>
      </c>
      <c r="Q48" s="15" t="n">
        <v>0</v>
      </c>
      <c r="R48" s="15" t="n">
        <v>0</v>
      </c>
      <c r="S48" s="17" t="n">
        <v>0</v>
      </c>
      <c r="T48" s="15" t="s">
        <v>186</v>
      </c>
      <c r="U48" s="15" t="n">
        <v>2026</v>
      </c>
      <c r="V48" s="15" t="s">
        <v>353</v>
      </c>
      <c r="W48" s="18" t="s">
        <v>188</v>
      </c>
      <c r="X48" s="18" t="s">
        <v>226</v>
      </c>
      <c r="Y48" s="15" t="s">
        <v>141</v>
      </c>
      <c r="Z48" s="15" t="s">
        <v>142</v>
      </c>
      <c r="AA48" s="19" t="str">
        <f aca="false">HYPERLINK("https://www.transfermarkt.com/schnellsuche/ergebnis/schnellsuche?query="&amp;SUBSTITUTE(A48," ","+"),"Search Transfermarkt")</f>
        <v>Search Transfermarkt</v>
      </c>
    </row>
    <row r="49" customFormat="false" ht="23.85" hidden="false" customHeight="false" outlineLevel="0" collapsed="false">
      <c r="A49" s="15" t="s">
        <v>354</v>
      </c>
      <c r="B49" s="15" t="s">
        <v>77</v>
      </c>
      <c r="C49" s="15" t="s">
        <v>355</v>
      </c>
      <c r="D49" s="15" t="n">
        <v>3</v>
      </c>
      <c r="E49" s="15" t="s">
        <v>356</v>
      </c>
      <c r="F49" s="15" t="s">
        <v>170</v>
      </c>
      <c r="G49" s="15" t="n">
        <v>20</v>
      </c>
      <c r="H49" s="15" t="n">
        <v>1413</v>
      </c>
      <c r="I49" s="15" t="n">
        <v>6</v>
      </c>
      <c r="J49" s="15" t="n">
        <v>7</v>
      </c>
      <c r="K49" s="15" t="n">
        <v>129</v>
      </c>
      <c r="L49" s="15" t="n">
        <v>67</v>
      </c>
      <c r="M49" s="15" t="n">
        <v>61</v>
      </c>
      <c r="N49" s="15" t="n">
        <v>0</v>
      </c>
      <c r="O49" s="15" t="n">
        <v>0</v>
      </c>
      <c r="P49" s="16" t="n">
        <v>0</v>
      </c>
      <c r="Q49" s="15" t="n">
        <v>0</v>
      </c>
      <c r="R49" s="15" t="n">
        <v>0</v>
      </c>
      <c r="S49" s="17" t="n">
        <v>106384</v>
      </c>
      <c r="T49" s="15" t="s">
        <v>137</v>
      </c>
      <c r="U49" s="15" t="n">
        <v>2027</v>
      </c>
      <c r="V49" s="15" t="s">
        <v>357</v>
      </c>
      <c r="W49" s="18" t="s">
        <v>139</v>
      </c>
      <c r="X49" s="18" t="s">
        <v>358</v>
      </c>
      <c r="Y49" s="15" t="s">
        <v>141</v>
      </c>
      <c r="Z49" s="15" t="s">
        <v>142</v>
      </c>
      <c r="AA49" s="19" t="str">
        <f aca="false">HYPERLINK("https://www.transfermarkt.com/schnellsuche/ergebnis/schnellsuche?query="&amp;SUBSTITUTE(A49," ","+"),"Search Transfermarkt")</f>
        <v>Search Transfermarkt</v>
      </c>
    </row>
    <row r="50" customFormat="false" ht="23.85" hidden="false" customHeight="false" outlineLevel="0" collapsed="false">
      <c r="A50" s="15" t="s">
        <v>359</v>
      </c>
      <c r="B50" s="15" t="s">
        <v>71</v>
      </c>
      <c r="C50" s="15" t="s">
        <v>360</v>
      </c>
      <c r="D50" s="15" t="n">
        <v>2</v>
      </c>
      <c r="E50" s="15" t="s">
        <v>361</v>
      </c>
      <c r="F50" s="15" t="s">
        <v>136</v>
      </c>
      <c r="G50" s="15" t="n">
        <v>17</v>
      </c>
      <c r="H50" s="15" t="n">
        <v>1334</v>
      </c>
      <c r="I50" s="15" t="n">
        <v>1</v>
      </c>
      <c r="J50" s="15" t="n">
        <v>4</v>
      </c>
      <c r="K50" s="15" t="n">
        <v>54</v>
      </c>
      <c r="L50" s="15" t="n">
        <v>21</v>
      </c>
      <c r="M50" s="15" t="n">
        <v>81</v>
      </c>
      <c r="N50" s="15" t="n">
        <v>0</v>
      </c>
      <c r="O50" s="15" t="n">
        <v>0</v>
      </c>
      <c r="P50" s="16" t="n">
        <v>0</v>
      </c>
      <c r="Q50" s="15" t="n">
        <v>0</v>
      </c>
      <c r="R50" s="15" t="n">
        <v>0</v>
      </c>
      <c r="S50" s="17" t="n">
        <v>90228</v>
      </c>
      <c r="T50" s="15" t="s">
        <v>137</v>
      </c>
      <c r="U50" s="15" t="n">
        <v>2026</v>
      </c>
      <c r="V50" s="15" t="s">
        <v>362</v>
      </c>
      <c r="W50" s="18" t="s">
        <v>147</v>
      </c>
      <c r="X50" s="18" t="s">
        <v>177</v>
      </c>
      <c r="Y50" s="15" t="s">
        <v>141</v>
      </c>
      <c r="Z50" s="15" t="s">
        <v>142</v>
      </c>
      <c r="AA50" s="19" t="str">
        <f aca="false">HYPERLINK("https://www.transfermarkt.com/schnellsuche/ergebnis/schnellsuche?query="&amp;SUBSTITUTE(A50," ","+"),"Search Transfermarkt")</f>
        <v>Search Transfermarkt</v>
      </c>
    </row>
    <row r="51" customFormat="false" ht="23.85" hidden="false" customHeight="false" outlineLevel="0" collapsed="false">
      <c r="A51" s="15" t="s">
        <v>363</v>
      </c>
      <c r="B51" s="15" t="s">
        <v>87</v>
      </c>
      <c r="C51" s="15" t="s">
        <v>364</v>
      </c>
      <c r="D51" s="15" t="n">
        <v>3</v>
      </c>
      <c r="E51" s="15" t="s">
        <v>365</v>
      </c>
      <c r="F51" s="15" t="s">
        <v>157</v>
      </c>
      <c r="G51" s="15" t="n">
        <v>18</v>
      </c>
      <c r="H51" s="15" t="n">
        <v>2241</v>
      </c>
      <c r="I51" s="15" t="n">
        <v>0</v>
      </c>
      <c r="J51" s="15" t="n">
        <v>0</v>
      </c>
      <c r="K51" s="15" t="n">
        <v>19</v>
      </c>
      <c r="L51" s="15" t="n">
        <v>0</v>
      </c>
      <c r="M51" s="15" t="n">
        <v>10</v>
      </c>
      <c r="N51" s="15" t="n">
        <v>71</v>
      </c>
      <c r="O51" s="15" t="n">
        <v>29</v>
      </c>
      <c r="P51" s="16" t="n">
        <v>88</v>
      </c>
      <c r="Q51" s="15" t="n">
        <v>5.6</v>
      </c>
      <c r="R51" s="15" t="n">
        <v>8</v>
      </c>
      <c r="S51" s="17" t="n">
        <v>0</v>
      </c>
      <c r="T51" s="15" t="s">
        <v>164</v>
      </c>
      <c r="U51" s="15" t="n">
        <v>2028</v>
      </c>
      <c r="V51" s="15" t="s">
        <v>366</v>
      </c>
      <c r="W51" s="18" t="s">
        <v>139</v>
      </c>
      <c r="X51" s="18" t="s">
        <v>341</v>
      </c>
      <c r="Y51" s="15" t="s">
        <v>141</v>
      </c>
      <c r="Z51" s="15" t="s">
        <v>142</v>
      </c>
      <c r="AA51" s="19" t="str">
        <f aca="false">HYPERLINK("https://www.transfermarkt.com/schnellsuche/ergebnis/schnellsuche?query="&amp;SUBSTITUTE(A51," ","+"),"Search Transfermarkt")</f>
        <v>Search Transfermarkt</v>
      </c>
    </row>
    <row r="52" customFormat="false" ht="23.85" hidden="false" customHeight="false" outlineLevel="0" collapsed="false">
      <c r="A52" s="15" t="s">
        <v>367</v>
      </c>
      <c r="B52" s="15" t="s">
        <v>106</v>
      </c>
      <c r="C52" s="15" t="s">
        <v>368</v>
      </c>
      <c r="D52" s="15" t="n">
        <v>3</v>
      </c>
      <c r="E52" s="15" t="s">
        <v>369</v>
      </c>
      <c r="F52" s="15" t="s">
        <v>163</v>
      </c>
      <c r="G52" s="15" t="n">
        <v>24</v>
      </c>
      <c r="H52" s="15" t="n">
        <v>2529</v>
      </c>
      <c r="I52" s="15" t="n">
        <v>9</v>
      </c>
      <c r="J52" s="15" t="n">
        <v>2</v>
      </c>
      <c r="K52" s="15" t="n">
        <v>59</v>
      </c>
      <c r="L52" s="15" t="n">
        <v>62</v>
      </c>
      <c r="M52" s="15" t="n">
        <v>8</v>
      </c>
      <c r="N52" s="15" t="n">
        <v>0</v>
      </c>
      <c r="O52" s="15" t="n">
        <v>0</v>
      </c>
      <c r="P52" s="16" t="n">
        <v>0</v>
      </c>
      <c r="Q52" s="15" t="n">
        <v>0</v>
      </c>
      <c r="R52" s="15" t="n">
        <v>0</v>
      </c>
      <c r="S52" s="17" t="n">
        <v>90731</v>
      </c>
      <c r="T52" s="15" t="s">
        <v>164</v>
      </c>
      <c r="U52" s="15" t="n">
        <v>2029</v>
      </c>
      <c r="V52" s="15" t="s">
        <v>370</v>
      </c>
      <c r="W52" s="18" t="s">
        <v>139</v>
      </c>
      <c r="X52" s="18" t="s">
        <v>283</v>
      </c>
      <c r="Y52" s="15" t="s">
        <v>141</v>
      </c>
      <c r="Z52" s="15" t="s">
        <v>142</v>
      </c>
      <c r="AA52" s="19" t="str">
        <f aca="false">HYPERLINK("https://www.transfermarkt.com/schnellsuche/ergebnis/schnellsuche?query="&amp;SUBSTITUTE(A52," ","+"),"Search Transfermarkt")</f>
        <v>Search Transfermarkt</v>
      </c>
    </row>
    <row r="53" customFormat="false" ht="23.85" hidden="false" customHeight="false" outlineLevel="0" collapsed="false">
      <c r="A53" s="15" t="s">
        <v>371</v>
      </c>
      <c r="B53" s="15" t="s">
        <v>99</v>
      </c>
      <c r="C53" s="15" t="s">
        <v>372</v>
      </c>
      <c r="D53" s="15" t="n">
        <v>2</v>
      </c>
      <c r="E53" s="15" t="s">
        <v>373</v>
      </c>
      <c r="F53" s="15" t="s">
        <v>157</v>
      </c>
      <c r="G53" s="15" t="n">
        <v>18</v>
      </c>
      <c r="H53" s="15" t="n">
        <v>2047</v>
      </c>
      <c r="I53" s="15" t="n">
        <v>0</v>
      </c>
      <c r="J53" s="15" t="n">
        <v>0</v>
      </c>
      <c r="K53" s="15" t="n">
        <v>12</v>
      </c>
      <c r="L53" s="15" t="n">
        <v>4</v>
      </c>
      <c r="M53" s="15" t="n">
        <v>4</v>
      </c>
      <c r="N53" s="15" t="n">
        <v>92</v>
      </c>
      <c r="O53" s="15" t="n">
        <v>49</v>
      </c>
      <c r="P53" s="16" t="n">
        <v>59.4</v>
      </c>
      <c r="Q53" s="15" t="n">
        <v>10.9</v>
      </c>
      <c r="R53" s="15" t="n">
        <v>7</v>
      </c>
      <c r="S53" s="17" t="n">
        <v>0</v>
      </c>
      <c r="T53" s="15" t="s">
        <v>164</v>
      </c>
      <c r="U53" s="15" t="n">
        <v>2026</v>
      </c>
      <c r="V53" s="15" t="s">
        <v>374</v>
      </c>
      <c r="W53" s="18" t="s">
        <v>139</v>
      </c>
      <c r="X53" s="18" t="s">
        <v>189</v>
      </c>
      <c r="Y53" s="15" t="s">
        <v>141</v>
      </c>
      <c r="Z53" s="15" t="s">
        <v>142</v>
      </c>
      <c r="AA53" s="19" t="str">
        <f aca="false">HYPERLINK("https://www.transfermarkt.com/schnellsuche/ergebnis/schnellsuche?query="&amp;SUBSTITUTE(A53," ","+"),"Search Transfermarkt")</f>
        <v>Search Transfermarkt</v>
      </c>
    </row>
    <row r="54" customFormat="false" ht="23.85" hidden="false" customHeight="false" outlineLevel="0" collapsed="false">
      <c r="A54" s="15" t="s">
        <v>375</v>
      </c>
      <c r="B54" s="15" t="s">
        <v>83</v>
      </c>
      <c r="C54" s="15" t="s">
        <v>376</v>
      </c>
      <c r="D54" s="15" t="n">
        <v>3</v>
      </c>
      <c r="E54" s="15" t="s">
        <v>377</v>
      </c>
      <c r="F54" s="15" t="s">
        <v>136</v>
      </c>
      <c r="G54" s="15" t="n">
        <v>26</v>
      </c>
      <c r="H54" s="15" t="n">
        <v>873</v>
      </c>
      <c r="I54" s="15" t="n">
        <v>2</v>
      </c>
      <c r="J54" s="15" t="n">
        <v>4</v>
      </c>
      <c r="K54" s="15" t="n">
        <v>41</v>
      </c>
      <c r="L54" s="15" t="n">
        <v>45</v>
      </c>
      <c r="M54" s="15" t="n">
        <v>128</v>
      </c>
      <c r="N54" s="15" t="n">
        <v>0</v>
      </c>
      <c r="O54" s="15" t="n">
        <v>0</v>
      </c>
      <c r="P54" s="16" t="n">
        <v>0</v>
      </c>
      <c r="Q54" s="15" t="n">
        <v>0</v>
      </c>
      <c r="R54" s="15" t="n">
        <v>0</v>
      </c>
      <c r="S54" s="17" t="n">
        <v>80917</v>
      </c>
      <c r="T54" s="15" t="s">
        <v>137</v>
      </c>
      <c r="U54" s="15" t="n">
        <v>2029</v>
      </c>
      <c r="V54" s="15" t="s">
        <v>378</v>
      </c>
      <c r="W54" s="18" t="s">
        <v>139</v>
      </c>
      <c r="X54" s="18" t="s">
        <v>379</v>
      </c>
      <c r="Y54" s="15" t="s">
        <v>141</v>
      </c>
      <c r="Z54" s="15" t="s">
        <v>142</v>
      </c>
      <c r="AA54" s="19" t="str">
        <f aca="false">HYPERLINK("https://www.transfermarkt.com/schnellsuche/ergebnis/schnellsuche?query="&amp;SUBSTITUTE(A54," ","+"),"Search Transfermarkt")</f>
        <v>Search Transfermarkt</v>
      </c>
    </row>
    <row r="55" customFormat="false" ht="23.85" hidden="false" customHeight="false" outlineLevel="0" collapsed="false">
      <c r="A55" s="15" t="s">
        <v>380</v>
      </c>
      <c r="B55" s="15" t="s">
        <v>67</v>
      </c>
      <c r="C55" s="15" t="s">
        <v>381</v>
      </c>
      <c r="D55" s="15" t="n">
        <v>3</v>
      </c>
      <c r="E55" s="15" t="s">
        <v>382</v>
      </c>
      <c r="F55" s="15" t="s">
        <v>136</v>
      </c>
      <c r="G55" s="15" t="n">
        <v>17</v>
      </c>
      <c r="H55" s="15" t="n">
        <v>2004</v>
      </c>
      <c r="I55" s="15" t="n">
        <v>0</v>
      </c>
      <c r="J55" s="15" t="n">
        <v>5</v>
      </c>
      <c r="K55" s="15" t="n">
        <v>60</v>
      </c>
      <c r="L55" s="15" t="n">
        <v>22</v>
      </c>
      <c r="M55" s="15" t="n">
        <v>82</v>
      </c>
      <c r="N55" s="15" t="n">
        <v>0</v>
      </c>
      <c r="O55" s="15" t="n">
        <v>0</v>
      </c>
      <c r="P55" s="16" t="n">
        <v>0</v>
      </c>
      <c r="Q55" s="15" t="n">
        <v>0</v>
      </c>
      <c r="R55" s="15" t="n">
        <v>0</v>
      </c>
      <c r="S55" s="17" t="n">
        <v>147231</v>
      </c>
      <c r="T55" s="15" t="s">
        <v>137</v>
      </c>
      <c r="U55" s="15" t="n">
        <v>2026</v>
      </c>
      <c r="V55" s="15" t="s">
        <v>383</v>
      </c>
      <c r="W55" s="18" t="s">
        <v>147</v>
      </c>
      <c r="X55" s="18" t="s">
        <v>236</v>
      </c>
      <c r="Y55" s="15" t="s">
        <v>141</v>
      </c>
      <c r="Z55" s="15" t="s">
        <v>142</v>
      </c>
      <c r="AA55" s="19" t="str">
        <f aca="false">HYPERLINK("https://www.transfermarkt.com/schnellsuche/ergebnis/schnellsuche?query="&amp;SUBSTITUTE(A55," ","+"),"Search Transfermarkt")</f>
        <v>Search Transfermarkt</v>
      </c>
    </row>
    <row r="56" customFormat="false" ht="23.85" hidden="false" customHeight="false" outlineLevel="0" collapsed="false">
      <c r="A56" s="15" t="s">
        <v>384</v>
      </c>
      <c r="B56" s="15" t="s">
        <v>64</v>
      </c>
      <c r="C56" s="15" t="s">
        <v>385</v>
      </c>
      <c r="D56" s="15" t="n">
        <v>3</v>
      </c>
      <c r="E56" s="15" t="s">
        <v>386</v>
      </c>
      <c r="F56" s="15" t="s">
        <v>170</v>
      </c>
      <c r="G56" s="15" t="n">
        <v>19</v>
      </c>
      <c r="H56" s="15" t="n">
        <v>1414</v>
      </c>
      <c r="I56" s="15" t="n">
        <v>10</v>
      </c>
      <c r="J56" s="15" t="n">
        <v>7</v>
      </c>
      <c r="K56" s="15" t="n">
        <v>153</v>
      </c>
      <c r="L56" s="15" t="n">
        <v>57</v>
      </c>
      <c r="M56" s="15" t="n">
        <v>36</v>
      </c>
      <c r="N56" s="15" t="n">
        <v>0</v>
      </c>
      <c r="O56" s="15" t="n">
        <v>0</v>
      </c>
      <c r="P56" s="16" t="n">
        <v>0</v>
      </c>
      <c r="Q56" s="15" t="n">
        <v>0</v>
      </c>
      <c r="R56" s="15" t="n">
        <v>0</v>
      </c>
      <c r="S56" s="17" t="n">
        <v>67395</v>
      </c>
      <c r="T56" s="15" t="s">
        <v>164</v>
      </c>
      <c r="U56" s="15" t="n">
        <v>2028</v>
      </c>
      <c r="V56" s="15" t="s">
        <v>387</v>
      </c>
      <c r="W56" s="18" t="s">
        <v>139</v>
      </c>
      <c r="X56" s="18" t="s">
        <v>231</v>
      </c>
      <c r="Y56" s="15" t="s">
        <v>141</v>
      </c>
      <c r="Z56" s="15" t="s">
        <v>142</v>
      </c>
      <c r="AA56" s="19" t="str">
        <f aca="false">HYPERLINK("https://www.transfermarkt.com/schnellsuche/ergebnis/schnellsuche?query="&amp;SUBSTITUTE(A56," ","+"),"Search Transfermarkt")</f>
        <v>Search Transfermarkt</v>
      </c>
    </row>
    <row r="57" customFormat="false" ht="23.85" hidden="false" customHeight="false" outlineLevel="0" collapsed="false">
      <c r="A57" s="15" t="s">
        <v>388</v>
      </c>
      <c r="B57" s="15" t="s">
        <v>66</v>
      </c>
      <c r="C57" s="15" t="s">
        <v>389</v>
      </c>
      <c r="D57" s="15" t="n">
        <v>4</v>
      </c>
      <c r="E57" s="15" t="s">
        <v>390</v>
      </c>
      <c r="F57" s="15" t="s">
        <v>163</v>
      </c>
      <c r="G57" s="15" t="n">
        <v>25</v>
      </c>
      <c r="H57" s="15" t="n">
        <v>2744</v>
      </c>
      <c r="I57" s="15" t="n">
        <v>15</v>
      </c>
      <c r="J57" s="15" t="n">
        <v>1</v>
      </c>
      <c r="K57" s="15" t="n">
        <v>67</v>
      </c>
      <c r="L57" s="15" t="n">
        <v>79</v>
      </c>
      <c r="M57" s="15" t="n">
        <v>11</v>
      </c>
      <c r="N57" s="15" t="n">
        <v>0</v>
      </c>
      <c r="O57" s="15" t="n">
        <v>0</v>
      </c>
      <c r="P57" s="16" t="n">
        <v>0</v>
      </c>
      <c r="Q57" s="15" t="n">
        <v>0</v>
      </c>
      <c r="R57" s="15" t="n">
        <v>0</v>
      </c>
      <c r="S57" s="17" t="n">
        <v>98772</v>
      </c>
      <c r="T57" s="15" t="s">
        <v>137</v>
      </c>
      <c r="U57" s="15" t="n">
        <v>2027</v>
      </c>
      <c r="V57" s="15" t="s">
        <v>391</v>
      </c>
      <c r="W57" s="18" t="s">
        <v>139</v>
      </c>
      <c r="X57" s="18" t="s">
        <v>182</v>
      </c>
      <c r="Y57" s="15" t="s">
        <v>141</v>
      </c>
      <c r="Z57" s="15" t="s">
        <v>142</v>
      </c>
      <c r="AA57" s="19" t="str">
        <f aca="false">HYPERLINK("https://www.transfermarkt.com/schnellsuche/ergebnis/schnellsuche?query="&amp;SUBSTITUTE(A57," ","+"),"Search Transfermarkt")</f>
        <v>Search Transfermarkt</v>
      </c>
    </row>
    <row r="58" customFormat="false" ht="23.85" hidden="false" customHeight="false" outlineLevel="0" collapsed="false">
      <c r="A58" s="15" t="s">
        <v>392</v>
      </c>
      <c r="B58" s="15" t="s">
        <v>62</v>
      </c>
      <c r="C58" s="15" t="s">
        <v>393</v>
      </c>
      <c r="D58" s="15" t="n">
        <v>4</v>
      </c>
      <c r="E58" s="15" t="s">
        <v>394</v>
      </c>
      <c r="F58" s="15" t="s">
        <v>136</v>
      </c>
      <c r="G58" s="15" t="n">
        <v>22</v>
      </c>
      <c r="H58" s="15" t="n">
        <v>2036</v>
      </c>
      <c r="I58" s="15" t="n">
        <v>2</v>
      </c>
      <c r="J58" s="15" t="n">
        <v>0</v>
      </c>
      <c r="K58" s="15" t="n">
        <v>67</v>
      </c>
      <c r="L58" s="15" t="n">
        <v>37</v>
      </c>
      <c r="M58" s="15" t="n">
        <v>82</v>
      </c>
      <c r="N58" s="15" t="n">
        <v>0</v>
      </c>
      <c r="O58" s="15" t="n">
        <v>0</v>
      </c>
      <c r="P58" s="16" t="n">
        <v>0</v>
      </c>
      <c r="Q58" s="15" t="n">
        <v>0</v>
      </c>
      <c r="R58" s="15" t="n">
        <v>0</v>
      </c>
      <c r="S58" s="17" t="n">
        <v>102800</v>
      </c>
      <c r="T58" s="15" t="s">
        <v>186</v>
      </c>
      <c r="U58" s="15" t="n">
        <v>2026</v>
      </c>
      <c r="V58" s="15" t="s">
        <v>395</v>
      </c>
      <c r="W58" s="18" t="s">
        <v>188</v>
      </c>
      <c r="X58" s="18" t="s">
        <v>211</v>
      </c>
      <c r="Y58" s="15" t="s">
        <v>141</v>
      </c>
      <c r="Z58" s="15" t="s">
        <v>142</v>
      </c>
      <c r="AA58" s="19" t="str">
        <f aca="false">HYPERLINK("https://www.transfermarkt.com/schnellsuche/ergebnis/schnellsuche?query="&amp;SUBSTITUTE(A58," ","+"),"Search Transfermarkt")</f>
        <v>Search Transfermarkt</v>
      </c>
    </row>
    <row r="59" customFormat="false" ht="23.85" hidden="false" customHeight="false" outlineLevel="0" collapsed="false">
      <c r="A59" s="15" t="s">
        <v>396</v>
      </c>
      <c r="B59" s="15" t="s">
        <v>75</v>
      </c>
      <c r="C59" s="15" t="s">
        <v>194</v>
      </c>
      <c r="D59" s="15" t="n">
        <v>2</v>
      </c>
      <c r="E59" s="15" t="s">
        <v>397</v>
      </c>
      <c r="F59" s="15" t="s">
        <v>163</v>
      </c>
      <c r="G59" s="15" t="n">
        <v>19</v>
      </c>
      <c r="H59" s="15" t="n">
        <v>1360</v>
      </c>
      <c r="I59" s="15" t="n">
        <v>15</v>
      </c>
      <c r="J59" s="15" t="n">
        <v>2</v>
      </c>
      <c r="K59" s="15" t="n">
        <v>59</v>
      </c>
      <c r="L59" s="15" t="n">
        <v>88</v>
      </c>
      <c r="M59" s="15" t="n">
        <v>15</v>
      </c>
      <c r="N59" s="15" t="n">
        <v>0</v>
      </c>
      <c r="O59" s="15" t="n">
        <v>0</v>
      </c>
      <c r="P59" s="16" t="n">
        <v>0</v>
      </c>
      <c r="Q59" s="15" t="n">
        <v>0</v>
      </c>
      <c r="R59" s="15" t="n">
        <v>0</v>
      </c>
      <c r="S59" s="17" t="n">
        <v>46684</v>
      </c>
      <c r="T59" s="15" t="s">
        <v>186</v>
      </c>
      <c r="U59" s="15" t="n">
        <v>2026</v>
      </c>
      <c r="V59" s="15" t="s">
        <v>398</v>
      </c>
      <c r="W59" s="18" t="s">
        <v>188</v>
      </c>
      <c r="X59" s="18" t="s">
        <v>197</v>
      </c>
      <c r="Y59" s="15" t="s">
        <v>141</v>
      </c>
      <c r="Z59" s="15" t="s">
        <v>142</v>
      </c>
      <c r="AA59" s="19" t="str">
        <f aca="false">HYPERLINK("https://www.transfermarkt.com/schnellsuche/ergebnis/schnellsuche?query="&amp;SUBSTITUTE(A59," ","+"),"Search Transfermarkt")</f>
        <v>Search Transfermarkt</v>
      </c>
    </row>
    <row r="60" customFormat="false" ht="23.85" hidden="false" customHeight="false" outlineLevel="0" collapsed="false">
      <c r="A60" s="15" t="s">
        <v>399</v>
      </c>
      <c r="B60" s="15" t="s">
        <v>83</v>
      </c>
      <c r="C60" s="15" t="s">
        <v>400</v>
      </c>
      <c r="D60" s="15" t="n">
        <v>2</v>
      </c>
      <c r="E60" s="15" t="s">
        <v>401</v>
      </c>
      <c r="F60" s="15" t="s">
        <v>163</v>
      </c>
      <c r="G60" s="15" t="n">
        <v>24</v>
      </c>
      <c r="H60" s="15" t="n">
        <v>1569</v>
      </c>
      <c r="I60" s="15" t="n">
        <v>13</v>
      </c>
      <c r="J60" s="15" t="n">
        <v>2</v>
      </c>
      <c r="K60" s="15" t="n">
        <v>40</v>
      </c>
      <c r="L60" s="15" t="n">
        <v>83</v>
      </c>
      <c r="M60" s="15" t="n">
        <v>11</v>
      </c>
      <c r="N60" s="15" t="n">
        <v>0</v>
      </c>
      <c r="O60" s="15" t="n">
        <v>0</v>
      </c>
      <c r="P60" s="16" t="n">
        <v>0</v>
      </c>
      <c r="Q60" s="15" t="n">
        <v>0</v>
      </c>
      <c r="R60" s="15" t="n">
        <v>0</v>
      </c>
      <c r="S60" s="17" t="n">
        <v>17619</v>
      </c>
      <c r="T60" s="15" t="s">
        <v>186</v>
      </c>
      <c r="U60" s="15" t="n">
        <v>2028</v>
      </c>
      <c r="V60" s="15" t="s">
        <v>402</v>
      </c>
      <c r="W60" s="18" t="s">
        <v>188</v>
      </c>
      <c r="X60" s="18" t="s">
        <v>379</v>
      </c>
      <c r="Y60" s="15" t="s">
        <v>141</v>
      </c>
      <c r="Z60" s="15" t="s">
        <v>142</v>
      </c>
      <c r="AA60" s="19" t="str">
        <f aca="false">HYPERLINK("https://www.transfermarkt.com/schnellsuche/ergebnis/schnellsuche?query="&amp;SUBSTITUTE(A60," ","+"),"Search Transfermarkt")</f>
        <v>Search Transfermarkt</v>
      </c>
    </row>
    <row r="61" customFormat="false" ht="23.85" hidden="false" customHeight="false" outlineLevel="0" collapsed="false">
      <c r="A61" s="15" t="s">
        <v>403</v>
      </c>
      <c r="B61" s="15" t="s">
        <v>81</v>
      </c>
      <c r="C61" s="15" t="s">
        <v>404</v>
      </c>
      <c r="D61" s="15" t="n">
        <v>4</v>
      </c>
      <c r="E61" s="15" t="s">
        <v>405</v>
      </c>
      <c r="F61" s="15" t="s">
        <v>157</v>
      </c>
      <c r="G61" s="15" t="n">
        <v>17</v>
      </c>
      <c r="H61" s="15" t="n">
        <v>1933</v>
      </c>
      <c r="I61" s="15" t="n">
        <v>0</v>
      </c>
      <c r="J61" s="15" t="n">
        <v>0</v>
      </c>
      <c r="K61" s="15" t="n">
        <v>10</v>
      </c>
      <c r="L61" s="15" t="n">
        <v>5</v>
      </c>
      <c r="M61" s="15" t="n">
        <v>5</v>
      </c>
      <c r="N61" s="15" t="n">
        <v>54</v>
      </c>
      <c r="O61" s="15" t="n">
        <v>30</v>
      </c>
      <c r="P61" s="16" t="n">
        <v>55.2</v>
      </c>
      <c r="Q61" s="15" t="n">
        <v>10</v>
      </c>
      <c r="R61" s="15" t="n">
        <v>4</v>
      </c>
      <c r="S61" s="17" t="n">
        <v>131049</v>
      </c>
      <c r="T61" s="15" t="s">
        <v>186</v>
      </c>
      <c r="U61" s="15" t="n">
        <v>2028</v>
      </c>
      <c r="V61" s="15" t="s">
        <v>406</v>
      </c>
      <c r="W61" s="18" t="s">
        <v>147</v>
      </c>
      <c r="X61" s="18" t="s">
        <v>407</v>
      </c>
      <c r="Y61" s="15" t="s">
        <v>141</v>
      </c>
      <c r="Z61" s="15" t="s">
        <v>142</v>
      </c>
      <c r="AA61" s="19" t="str">
        <f aca="false">HYPERLINK("https://www.transfermarkt.com/schnellsuche/ergebnis/schnellsuche?query="&amp;SUBSTITUTE(A61," ","+"),"Search Transfermarkt")</f>
        <v>Search Transfermarkt</v>
      </c>
    </row>
    <row r="62" customFormat="false" ht="23.85" hidden="false" customHeight="false" outlineLevel="0" collapsed="false">
      <c r="A62" s="15" t="s">
        <v>408</v>
      </c>
      <c r="B62" s="15" t="s">
        <v>79</v>
      </c>
      <c r="C62" s="15" t="s">
        <v>409</v>
      </c>
      <c r="D62" s="15" t="n">
        <v>2</v>
      </c>
      <c r="E62" s="15" t="s">
        <v>410</v>
      </c>
      <c r="F62" s="15" t="s">
        <v>163</v>
      </c>
      <c r="G62" s="15" t="n">
        <v>18</v>
      </c>
      <c r="H62" s="15" t="n">
        <v>1541</v>
      </c>
      <c r="I62" s="15" t="n">
        <v>17</v>
      </c>
      <c r="J62" s="15" t="n">
        <v>8</v>
      </c>
      <c r="K62" s="15" t="n">
        <v>37</v>
      </c>
      <c r="L62" s="15" t="n">
        <v>85</v>
      </c>
      <c r="M62" s="15" t="n">
        <v>6</v>
      </c>
      <c r="N62" s="15" t="n">
        <v>0</v>
      </c>
      <c r="O62" s="15" t="n">
        <v>0</v>
      </c>
      <c r="P62" s="16" t="n">
        <v>0</v>
      </c>
      <c r="Q62" s="15" t="n">
        <v>0</v>
      </c>
      <c r="R62" s="15" t="n">
        <v>0</v>
      </c>
      <c r="S62" s="17" t="n">
        <v>78358</v>
      </c>
      <c r="T62" s="15" t="s">
        <v>137</v>
      </c>
      <c r="U62" s="15" t="n">
        <v>2027</v>
      </c>
      <c r="V62" s="15" t="s">
        <v>411</v>
      </c>
      <c r="W62" s="18" t="s">
        <v>139</v>
      </c>
      <c r="X62" s="18" t="s">
        <v>412</v>
      </c>
      <c r="Y62" s="15" t="s">
        <v>141</v>
      </c>
      <c r="Z62" s="15" t="s">
        <v>142</v>
      </c>
      <c r="AA62" s="19" t="str">
        <f aca="false">HYPERLINK("https://www.transfermarkt.com/schnellsuche/ergebnis/schnellsuche?query="&amp;SUBSTITUTE(A62," ","+"),"Search Transfermarkt")</f>
        <v>Search Transfermarkt</v>
      </c>
    </row>
    <row r="63" customFormat="false" ht="23.85" hidden="false" customHeight="false" outlineLevel="0" collapsed="false">
      <c r="A63" s="15" t="s">
        <v>413</v>
      </c>
      <c r="B63" s="15" t="s">
        <v>96</v>
      </c>
      <c r="C63" s="15" t="s">
        <v>414</v>
      </c>
      <c r="D63" s="15" t="n">
        <v>2</v>
      </c>
      <c r="E63" s="15" t="s">
        <v>415</v>
      </c>
      <c r="F63" s="15" t="s">
        <v>157</v>
      </c>
      <c r="G63" s="15" t="n">
        <v>17</v>
      </c>
      <c r="H63" s="15" t="n">
        <v>2368</v>
      </c>
      <c r="I63" s="15" t="n">
        <v>0</v>
      </c>
      <c r="J63" s="15" t="n">
        <v>0</v>
      </c>
      <c r="K63" s="15" t="n">
        <v>15</v>
      </c>
      <c r="L63" s="15" t="n">
        <v>0</v>
      </c>
      <c r="M63" s="15" t="n">
        <v>4</v>
      </c>
      <c r="N63" s="15" t="n">
        <v>88</v>
      </c>
      <c r="O63" s="15" t="n">
        <v>40</v>
      </c>
      <c r="P63" s="16" t="n">
        <v>71.7</v>
      </c>
      <c r="Q63" s="15" t="n">
        <v>38.2</v>
      </c>
      <c r="R63" s="15" t="n">
        <v>4</v>
      </c>
      <c r="S63" s="17" t="n">
        <v>136319</v>
      </c>
      <c r="T63" s="15" t="s">
        <v>137</v>
      </c>
      <c r="U63" s="15" t="n">
        <v>2027</v>
      </c>
      <c r="V63" s="15" t="s">
        <v>416</v>
      </c>
      <c r="W63" s="18" t="s">
        <v>147</v>
      </c>
      <c r="X63" s="18" t="s">
        <v>216</v>
      </c>
      <c r="Y63" s="15" t="s">
        <v>141</v>
      </c>
      <c r="Z63" s="15" t="s">
        <v>142</v>
      </c>
      <c r="AA63" s="19" t="str">
        <f aca="false">HYPERLINK("https://www.transfermarkt.com/schnellsuche/ergebnis/schnellsuche?query="&amp;SUBSTITUTE(A63," ","+"),"Search Transfermarkt")</f>
        <v>Search Transfermarkt</v>
      </c>
    </row>
    <row r="64" customFormat="false" ht="23.85" hidden="false" customHeight="false" outlineLevel="0" collapsed="false">
      <c r="A64" s="15" t="s">
        <v>417</v>
      </c>
      <c r="B64" s="15" t="s">
        <v>90</v>
      </c>
      <c r="C64" s="15" t="s">
        <v>418</v>
      </c>
      <c r="D64" s="15" t="n">
        <v>3</v>
      </c>
      <c r="E64" s="15" t="s">
        <v>419</v>
      </c>
      <c r="F64" s="15" t="s">
        <v>170</v>
      </c>
      <c r="G64" s="15" t="n">
        <v>23</v>
      </c>
      <c r="H64" s="15" t="n">
        <v>2507</v>
      </c>
      <c r="I64" s="15" t="n">
        <v>8</v>
      </c>
      <c r="J64" s="15" t="n">
        <v>13</v>
      </c>
      <c r="K64" s="15" t="n">
        <v>157</v>
      </c>
      <c r="L64" s="15" t="n">
        <v>69</v>
      </c>
      <c r="M64" s="15" t="n">
        <v>29</v>
      </c>
      <c r="N64" s="15" t="n">
        <v>0</v>
      </c>
      <c r="O64" s="15" t="n">
        <v>0</v>
      </c>
      <c r="P64" s="16" t="n">
        <v>0</v>
      </c>
      <c r="Q64" s="15" t="n">
        <v>0</v>
      </c>
      <c r="R64" s="15" t="n">
        <v>0</v>
      </c>
      <c r="S64" s="17" t="n">
        <v>69895</v>
      </c>
      <c r="T64" s="15" t="s">
        <v>164</v>
      </c>
      <c r="U64" s="15" t="n">
        <v>2026</v>
      </c>
      <c r="V64" s="15" t="s">
        <v>420</v>
      </c>
      <c r="W64" s="18" t="s">
        <v>139</v>
      </c>
      <c r="X64" s="18" t="s">
        <v>288</v>
      </c>
      <c r="Y64" s="15" t="s">
        <v>141</v>
      </c>
      <c r="Z64" s="15" t="s">
        <v>142</v>
      </c>
      <c r="AA64" s="19" t="str">
        <f aca="false">HYPERLINK("https://www.transfermarkt.com/schnellsuche/ergebnis/schnellsuche?query="&amp;SUBSTITUTE(A64," ","+"),"Search Transfermarkt")</f>
        <v>Search Transfermarkt</v>
      </c>
    </row>
    <row r="65" customFormat="false" ht="23.85" hidden="false" customHeight="false" outlineLevel="0" collapsed="false">
      <c r="A65" s="15" t="s">
        <v>421</v>
      </c>
      <c r="B65" s="15" t="s">
        <v>62</v>
      </c>
      <c r="C65" s="15" t="s">
        <v>422</v>
      </c>
      <c r="D65" s="15" t="n">
        <v>4</v>
      </c>
      <c r="E65" s="15" t="s">
        <v>423</v>
      </c>
      <c r="F65" s="15" t="s">
        <v>163</v>
      </c>
      <c r="G65" s="15" t="n">
        <v>18</v>
      </c>
      <c r="H65" s="15" t="n">
        <v>2652</v>
      </c>
      <c r="I65" s="15" t="n">
        <v>8</v>
      </c>
      <c r="J65" s="15" t="n">
        <v>7</v>
      </c>
      <c r="K65" s="15" t="n">
        <v>47</v>
      </c>
      <c r="L65" s="15" t="n">
        <v>90</v>
      </c>
      <c r="M65" s="15" t="n">
        <v>14</v>
      </c>
      <c r="N65" s="15" t="n">
        <v>0</v>
      </c>
      <c r="O65" s="15" t="n">
        <v>0</v>
      </c>
      <c r="P65" s="16" t="n">
        <v>0</v>
      </c>
      <c r="Q65" s="15" t="n">
        <v>0</v>
      </c>
      <c r="R65" s="15" t="n">
        <v>0</v>
      </c>
      <c r="S65" s="17" t="n">
        <v>77986</v>
      </c>
      <c r="T65" s="15" t="s">
        <v>164</v>
      </c>
      <c r="U65" s="15" t="n">
        <v>2026</v>
      </c>
      <c r="V65" s="15" t="s">
        <v>424</v>
      </c>
      <c r="W65" s="18" t="s">
        <v>139</v>
      </c>
      <c r="X65" s="18" t="s">
        <v>211</v>
      </c>
      <c r="Y65" s="15" t="s">
        <v>141</v>
      </c>
      <c r="Z65" s="15" t="s">
        <v>142</v>
      </c>
      <c r="AA65" s="19" t="str">
        <f aca="false">HYPERLINK("https://www.transfermarkt.com/schnellsuche/ergebnis/schnellsuche?query="&amp;SUBSTITUTE(A65," ","+"),"Search Transfermarkt")</f>
        <v>Search Transfermarkt</v>
      </c>
    </row>
    <row r="66" customFormat="false" ht="23.85" hidden="false" customHeight="false" outlineLevel="0" collapsed="false">
      <c r="A66" s="15" t="s">
        <v>425</v>
      </c>
      <c r="B66" s="15" t="s">
        <v>69</v>
      </c>
      <c r="C66" s="15" t="s">
        <v>426</v>
      </c>
      <c r="D66" s="15" t="n">
        <v>3</v>
      </c>
      <c r="E66" s="15" t="s">
        <v>427</v>
      </c>
      <c r="F66" s="15" t="s">
        <v>163</v>
      </c>
      <c r="G66" s="15" t="n">
        <v>19</v>
      </c>
      <c r="H66" s="15" t="n">
        <v>2008</v>
      </c>
      <c r="I66" s="15" t="n">
        <v>19</v>
      </c>
      <c r="J66" s="15" t="n">
        <v>7</v>
      </c>
      <c r="K66" s="15" t="n">
        <v>65</v>
      </c>
      <c r="L66" s="15" t="n">
        <v>60</v>
      </c>
      <c r="M66" s="15" t="n">
        <v>5</v>
      </c>
      <c r="N66" s="15" t="n">
        <v>0</v>
      </c>
      <c r="O66" s="15" t="n">
        <v>0</v>
      </c>
      <c r="P66" s="16" t="n">
        <v>0</v>
      </c>
      <c r="Q66" s="15" t="n">
        <v>0</v>
      </c>
      <c r="R66" s="15" t="n">
        <v>0</v>
      </c>
      <c r="S66" s="17" t="n">
        <v>0</v>
      </c>
      <c r="T66" s="15" t="s">
        <v>137</v>
      </c>
      <c r="U66" s="15" t="n">
        <v>2027</v>
      </c>
      <c r="V66" s="15" t="s">
        <v>428</v>
      </c>
      <c r="W66" s="18" t="s">
        <v>139</v>
      </c>
      <c r="X66" s="18" t="s">
        <v>140</v>
      </c>
      <c r="Y66" s="15" t="s">
        <v>141</v>
      </c>
      <c r="Z66" s="15" t="s">
        <v>142</v>
      </c>
      <c r="AA66" s="19" t="str">
        <f aca="false">HYPERLINK("https://www.transfermarkt.com/schnellsuche/ergebnis/schnellsuche?query="&amp;SUBSTITUTE(A66," ","+"),"Search Transfermarkt")</f>
        <v>Search Transfermarkt</v>
      </c>
    </row>
    <row r="67" customFormat="false" ht="23.85" hidden="false" customHeight="false" outlineLevel="0" collapsed="false">
      <c r="A67" s="15" t="s">
        <v>429</v>
      </c>
      <c r="B67" s="15" t="s">
        <v>82</v>
      </c>
      <c r="C67" s="15" t="s">
        <v>430</v>
      </c>
      <c r="D67" s="15" t="n">
        <v>2</v>
      </c>
      <c r="E67" s="15" t="s">
        <v>431</v>
      </c>
      <c r="F67" s="15" t="s">
        <v>136</v>
      </c>
      <c r="G67" s="15" t="n">
        <v>18</v>
      </c>
      <c r="H67" s="15" t="n">
        <v>1235</v>
      </c>
      <c r="I67" s="15" t="n">
        <v>0</v>
      </c>
      <c r="J67" s="15" t="n">
        <v>1</v>
      </c>
      <c r="K67" s="15" t="n">
        <v>40</v>
      </c>
      <c r="L67" s="15" t="n">
        <v>35</v>
      </c>
      <c r="M67" s="15" t="n">
        <v>108</v>
      </c>
      <c r="N67" s="15" t="n">
        <v>0</v>
      </c>
      <c r="O67" s="15" t="n">
        <v>0</v>
      </c>
      <c r="P67" s="16" t="n">
        <v>0</v>
      </c>
      <c r="Q67" s="15" t="n">
        <v>0</v>
      </c>
      <c r="R67" s="15" t="n">
        <v>0</v>
      </c>
      <c r="S67" s="17" t="n">
        <v>0</v>
      </c>
      <c r="T67" s="15" t="s">
        <v>164</v>
      </c>
      <c r="U67" s="15" t="n">
        <v>2029</v>
      </c>
      <c r="V67" s="15" t="s">
        <v>432</v>
      </c>
      <c r="W67" s="18" t="s">
        <v>139</v>
      </c>
      <c r="X67" s="18" t="s">
        <v>166</v>
      </c>
      <c r="Y67" s="15" t="s">
        <v>141</v>
      </c>
      <c r="Z67" s="15" t="s">
        <v>142</v>
      </c>
      <c r="AA67" s="19" t="str">
        <f aca="false">HYPERLINK("https://www.transfermarkt.com/schnellsuche/ergebnis/schnellsuche?query="&amp;SUBSTITUTE(A67," ","+"),"Search Transfermarkt")</f>
        <v>Search Transfermarkt</v>
      </c>
    </row>
    <row r="68" customFormat="false" ht="23.85" hidden="false" customHeight="false" outlineLevel="0" collapsed="false">
      <c r="A68" s="15" t="s">
        <v>433</v>
      </c>
      <c r="B68" s="15" t="s">
        <v>83</v>
      </c>
      <c r="C68" s="15" t="s">
        <v>434</v>
      </c>
      <c r="D68" s="15" t="n">
        <v>4</v>
      </c>
      <c r="E68" s="15" t="s">
        <v>435</v>
      </c>
      <c r="F68" s="15" t="s">
        <v>157</v>
      </c>
      <c r="G68" s="15" t="n">
        <v>23</v>
      </c>
      <c r="H68" s="15" t="n">
        <v>2519</v>
      </c>
      <c r="I68" s="15" t="n">
        <v>0</v>
      </c>
      <c r="J68" s="15" t="n">
        <v>0</v>
      </c>
      <c r="K68" s="15" t="n">
        <v>6</v>
      </c>
      <c r="L68" s="15" t="n">
        <v>5</v>
      </c>
      <c r="M68" s="15" t="n">
        <v>10</v>
      </c>
      <c r="N68" s="15" t="n">
        <v>90</v>
      </c>
      <c r="O68" s="15" t="n">
        <v>57</v>
      </c>
      <c r="P68" s="16" t="n">
        <v>66.6</v>
      </c>
      <c r="Q68" s="15" t="n">
        <v>34.9</v>
      </c>
      <c r="R68" s="15" t="n">
        <v>12</v>
      </c>
      <c r="S68" s="17" t="n">
        <v>138676</v>
      </c>
      <c r="T68" s="15" t="s">
        <v>186</v>
      </c>
      <c r="U68" s="15" t="n">
        <v>2026</v>
      </c>
      <c r="V68" s="15" t="s">
        <v>436</v>
      </c>
      <c r="W68" s="18" t="s">
        <v>188</v>
      </c>
      <c r="X68" s="18" t="s">
        <v>379</v>
      </c>
      <c r="Y68" s="15" t="s">
        <v>141</v>
      </c>
      <c r="Z68" s="15" t="s">
        <v>142</v>
      </c>
      <c r="AA68" s="19" t="str">
        <f aca="false">HYPERLINK("https://www.transfermarkt.com/schnellsuche/ergebnis/schnellsuche?query="&amp;SUBSTITUTE(A68," ","+"),"Search Transfermarkt")</f>
        <v>Search Transfermarkt</v>
      </c>
    </row>
    <row r="69" customFormat="false" ht="23.85" hidden="false" customHeight="false" outlineLevel="0" collapsed="false">
      <c r="A69" s="15" t="s">
        <v>437</v>
      </c>
      <c r="B69" s="15" t="s">
        <v>66</v>
      </c>
      <c r="C69" s="15" t="s">
        <v>438</v>
      </c>
      <c r="D69" s="15" t="n">
        <v>4</v>
      </c>
      <c r="E69" s="15" t="s">
        <v>439</v>
      </c>
      <c r="F69" s="15" t="s">
        <v>170</v>
      </c>
      <c r="G69" s="15" t="n">
        <v>18</v>
      </c>
      <c r="H69" s="15" t="n">
        <v>1890</v>
      </c>
      <c r="I69" s="15" t="n">
        <v>3</v>
      </c>
      <c r="J69" s="15" t="n">
        <v>6</v>
      </c>
      <c r="K69" s="15" t="n">
        <v>165</v>
      </c>
      <c r="L69" s="15" t="n">
        <v>87</v>
      </c>
      <c r="M69" s="15" t="n">
        <v>33</v>
      </c>
      <c r="N69" s="15" t="n">
        <v>0</v>
      </c>
      <c r="O69" s="15" t="n">
        <v>0</v>
      </c>
      <c r="P69" s="16" t="n">
        <v>0</v>
      </c>
      <c r="Q69" s="15" t="n">
        <v>0</v>
      </c>
      <c r="R69" s="15" t="n">
        <v>0</v>
      </c>
      <c r="S69" s="17" t="n">
        <v>149373</v>
      </c>
      <c r="T69" s="15" t="s">
        <v>164</v>
      </c>
      <c r="U69" s="15" t="n">
        <v>2027</v>
      </c>
      <c r="V69" s="15" t="s">
        <v>440</v>
      </c>
      <c r="W69" s="18" t="s">
        <v>139</v>
      </c>
      <c r="X69" s="18" t="s">
        <v>182</v>
      </c>
      <c r="Y69" s="15" t="s">
        <v>141</v>
      </c>
      <c r="Z69" s="15" t="s">
        <v>142</v>
      </c>
      <c r="AA69" s="19" t="str">
        <f aca="false">HYPERLINK("https://www.transfermarkt.com/schnellsuche/ergebnis/schnellsuche?query="&amp;SUBSTITUTE(A69," ","+"),"Search Transfermarkt")</f>
        <v>Search Transfermarkt</v>
      </c>
    </row>
    <row r="70" customFormat="false" ht="23.85" hidden="false" customHeight="false" outlineLevel="0" collapsed="false">
      <c r="A70" s="15" t="s">
        <v>441</v>
      </c>
      <c r="B70" s="15" t="s">
        <v>64</v>
      </c>
      <c r="C70" s="15" t="s">
        <v>442</v>
      </c>
      <c r="D70" s="15" t="n">
        <v>2</v>
      </c>
      <c r="E70" s="15" t="s">
        <v>443</v>
      </c>
      <c r="F70" s="15" t="s">
        <v>170</v>
      </c>
      <c r="G70" s="15" t="n">
        <v>18</v>
      </c>
      <c r="H70" s="15" t="n">
        <v>1123</v>
      </c>
      <c r="I70" s="15" t="n">
        <v>8</v>
      </c>
      <c r="J70" s="15" t="n">
        <v>4</v>
      </c>
      <c r="K70" s="15" t="n">
        <v>138</v>
      </c>
      <c r="L70" s="15" t="n">
        <v>84</v>
      </c>
      <c r="M70" s="15" t="n">
        <v>52</v>
      </c>
      <c r="N70" s="15" t="n">
        <v>0</v>
      </c>
      <c r="O70" s="15" t="n">
        <v>0</v>
      </c>
      <c r="P70" s="16" t="n">
        <v>0</v>
      </c>
      <c r="Q70" s="15" t="n">
        <v>0</v>
      </c>
      <c r="R70" s="15" t="n">
        <v>0</v>
      </c>
      <c r="S70" s="17" t="n">
        <v>86235</v>
      </c>
      <c r="T70" s="15" t="s">
        <v>164</v>
      </c>
      <c r="U70" s="15" t="n">
        <v>2027</v>
      </c>
      <c r="V70" s="15" t="s">
        <v>444</v>
      </c>
      <c r="W70" s="18" t="s">
        <v>139</v>
      </c>
      <c r="X70" s="18" t="s">
        <v>231</v>
      </c>
      <c r="Y70" s="15" t="s">
        <v>141</v>
      </c>
      <c r="Z70" s="15" t="s">
        <v>142</v>
      </c>
      <c r="AA70" s="19" t="str">
        <f aca="false">HYPERLINK("https://www.transfermarkt.com/schnellsuche/ergebnis/schnellsuche?query="&amp;SUBSTITUTE(A70," ","+"),"Search Transfermarkt")</f>
        <v>Search Transfermarkt</v>
      </c>
    </row>
    <row r="71" customFormat="false" ht="23.85" hidden="false" customHeight="false" outlineLevel="0" collapsed="false">
      <c r="A71" s="15" t="s">
        <v>445</v>
      </c>
      <c r="B71" s="15" t="s">
        <v>77</v>
      </c>
      <c r="C71" s="15" t="s">
        <v>446</v>
      </c>
      <c r="D71" s="15" t="n">
        <v>4</v>
      </c>
      <c r="E71" s="15" t="s">
        <v>447</v>
      </c>
      <c r="F71" s="15" t="s">
        <v>170</v>
      </c>
      <c r="G71" s="15" t="n">
        <v>17</v>
      </c>
      <c r="H71" s="15" t="n">
        <v>1516</v>
      </c>
      <c r="I71" s="15" t="n">
        <v>4</v>
      </c>
      <c r="J71" s="15" t="n">
        <v>14</v>
      </c>
      <c r="K71" s="15" t="n">
        <v>113</v>
      </c>
      <c r="L71" s="15" t="n">
        <v>93</v>
      </c>
      <c r="M71" s="15" t="n">
        <v>29</v>
      </c>
      <c r="N71" s="15" t="n">
        <v>0</v>
      </c>
      <c r="O71" s="15" t="n">
        <v>0</v>
      </c>
      <c r="P71" s="16" t="n">
        <v>0</v>
      </c>
      <c r="Q71" s="15" t="n">
        <v>0</v>
      </c>
      <c r="R71" s="15" t="n">
        <v>0</v>
      </c>
      <c r="S71" s="17" t="n">
        <v>47946</v>
      </c>
      <c r="T71" s="15" t="s">
        <v>137</v>
      </c>
      <c r="U71" s="15" t="n">
        <v>2029</v>
      </c>
      <c r="V71" s="15" t="s">
        <v>448</v>
      </c>
      <c r="W71" s="18" t="s">
        <v>147</v>
      </c>
      <c r="X71" s="18" t="s">
        <v>358</v>
      </c>
      <c r="Y71" s="15" t="s">
        <v>141</v>
      </c>
      <c r="Z71" s="15" t="s">
        <v>142</v>
      </c>
      <c r="AA71" s="19" t="str">
        <f aca="false">HYPERLINK("https://www.transfermarkt.com/schnellsuche/ergebnis/schnellsuche?query="&amp;SUBSTITUTE(A71," ","+"),"Search Transfermarkt")</f>
        <v>Search Transfermarkt</v>
      </c>
    </row>
    <row r="72" customFormat="false" ht="23.85" hidden="false" customHeight="false" outlineLevel="0" collapsed="false">
      <c r="A72" s="15" t="s">
        <v>449</v>
      </c>
      <c r="B72" s="15" t="s">
        <v>102</v>
      </c>
      <c r="C72" s="15" t="s">
        <v>450</v>
      </c>
      <c r="D72" s="15" t="n">
        <v>2</v>
      </c>
      <c r="E72" s="15" t="s">
        <v>451</v>
      </c>
      <c r="F72" s="15" t="s">
        <v>163</v>
      </c>
      <c r="G72" s="15" t="n">
        <v>25</v>
      </c>
      <c r="H72" s="15" t="n">
        <v>1489</v>
      </c>
      <c r="I72" s="15" t="n">
        <v>19</v>
      </c>
      <c r="J72" s="15" t="n">
        <v>3</v>
      </c>
      <c r="K72" s="15" t="n">
        <v>66</v>
      </c>
      <c r="L72" s="15" t="n">
        <v>82</v>
      </c>
      <c r="M72" s="15" t="n">
        <v>6</v>
      </c>
      <c r="N72" s="15" t="n">
        <v>0</v>
      </c>
      <c r="O72" s="15" t="n">
        <v>0</v>
      </c>
      <c r="P72" s="16" t="n">
        <v>0</v>
      </c>
      <c r="Q72" s="15" t="n">
        <v>0</v>
      </c>
      <c r="R72" s="15" t="n">
        <v>0</v>
      </c>
      <c r="S72" s="17" t="n">
        <v>19453</v>
      </c>
      <c r="T72" s="15" t="s">
        <v>137</v>
      </c>
      <c r="U72" s="15" t="n">
        <v>2027</v>
      </c>
      <c r="V72" s="15" t="s">
        <v>452</v>
      </c>
      <c r="W72" s="18" t="s">
        <v>139</v>
      </c>
      <c r="X72" s="18" t="s">
        <v>453</v>
      </c>
      <c r="Y72" s="15" t="s">
        <v>141</v>
      </c>
      <c r="Z72" s="15" t="s">
        <v>142</v>
      </c>
      <c r="AA72" s="19" t="str">
        <f aca="false">HYPERLINK("https://www.transfermarkt.com/schnellsuche/ergebnis/schnellsuche?query="&amp;SUBSTITUTE(A72," ","+"),"Search Transfermarkt")</f>
        <v>Search Transfermarkt</v>
      </c>
    </row>
    <row r="73" customFormat="false" ht="23.85" hidden="false" customHeight="false" outlineLevel="0" collapsed="false">
      <c r="A73" s="15" t="s">
        <v>454</v>
      </c>
      <c r="B73" s="15" t="s">
        <v>81</v>
      </c>
      <c r="C73" s="15" t="s">
        <v>455</v>
      </c>
      <c r="D73" s="15" t="n">
        <v>3</v>
      </c>
      <c r="E73" s="15" t="s">
        <v>456</v>
      </c>
      <c r="F73" s="15" t="s">
        <v>163</v>
      </c>
      <c r="G73" s="15" t="n">
        <v>26</v>
      </c>
      <c r="H73" s="15" t="n">
        <v>2134</v>
      </c>
      <c r="I73" s="15" t="n">
        <v>11</v>
      </c>
      <c r="J73" s="15" t="n">
        <v>9</v>
      </c>
      <c r="K73" s="15" t="n">
        <v>54</v>
      </c>
      <c r="L73" s="15" t="n">
        <v>88</v>
      </c>
      <c r="M73" s="15" t="n">
        <v>11</v>
      </c>
      <c r="N73" s="15" t="n">
        <v>0</v>
      </c>
      <c r="O73" s="15" t="n">
        <v>0</v>
      </c>
      <c r="P73" s="16" t="n">
        <v>0</v>
      </c>
      <c r="Q73" s="15" t="n">
        <v>0</v>
      </c>
      <c r="R73" s="15" t="n">
        <v>0</v>
      </c>
      <c r="S73" s="17" t="n">
        <v>23789</v>
      </c>
      <c r="T73" s="15" t="s">
        <v>186</v>
      </c>
      <c r="U73" s="15" t="n">
        <v>2026</v>
      </c>
      <c r="V73" s="15" t="s">
        <v>457</v>
      </c>
      <c r="W73" s="18" t="s">
        <v>188</v>
      </c>
      <c r="X73" s="18" t="s">
        <v>407</v>
      </c>
      <c r="Y73" s="15" t="s">
        <v>141</v>
      </c>
      <c r="Z73" s="15" t="s">
        <v>142</v>
      </c>
      <c r="AA73" s="19" t="str">
        <f aca="false">HYPERLINK("https://www.transfermarkt.com/schnellsuche/ergebnis/schnellsuche?query="&amp;SUBSTITUTE(A73," ","+"),"Search Transfermarkt")</f>
        <v>Search Transfermarkt</v>
      </c>
    </row>
    <row r="74" customFormat="false" ht="23.85" hidden="false" customHeight="false" outlineLevel="0" collapsed="false">
      <c r="A74" s="15" t="s">
        <v>458</v>
      </c>
      <c r="B74" s="15" t="s">
        <v>64</v>
      </c>
      <c r="C74" s="15" t="s">
        <v>385</v>
      </c>
      <c r="D74" s="15" t="n">
        <v>2</v>
      </c>
      <c r="E74" s="15" t="s">
        <v>459</v>
      </c>
      <c r="F74" s="15" t="s">
        <v>170</v>
      </c>
      <c r="G74" s="15" t="n">
        <v>24</v>
      </c>
      <c r="H74" s="15" t="n">
        <v>1176</v>
      </c>
      <c r="I74" s="15" t="n">
        <v>4</v>
      </c>
      <c r="J74" s="15" t="n">
        <v>13</v>
      </c>
      <c r="K74" s="15" t="n">
        <v>187</v>
      </c>
      <c r="L74" s="15" t="n">
        <v>74</v>
      </c>
      <c r="M74" s="15" t="n">
        <v>55</v>
      </c>
      <c r="N74" s="15" t="n">
        <v>0</v>
      </c>
      <c r="O74" s="15" t="n">
        <v>0</v>
      </c>
      <c r="P74" s="16" t="n">
        <v>0</v>
      </c>
      <c r="Q74" s="15" t="n">
        <v>0</v>
      </c>
      <c r="R74" s="15" t="n">
        <v>0</v>
      </c>
      <c r="S74" s="17" t="n">
        <v>44262</v>
      </c>
      <c r="T74" s="15" t="s">
        <v>186</v>
      </c>
      <c r="U74" s="15" t="n">
        <v>2026</v>
      </c>
      <c r="V74" s="15" t="s">
        <v>460</v>
      </c>
      <c r="W74" s="18" t="s">
        <v>188</v>
      </c>
      <c r="X74" s="18" t="s">
        <v>231</v>
      </c>
      <c r="Y74" s="15" t="s">
        <v>141</v>
      </c>
      <c r="Z74" s="15" t="s">
        <v>142</v>
      </c>
      <c r="AA74" s="19" t="str">
        <f aca="false">HYPERLINK("https://www.transfermarkt.com/schnellsuche/ergebnis/schnellsuche?query="&amp;SUBSTITUTE(A74," ","+"),"Search Transfermarkt")</f>
        <v>Search Transfermarkt</v>
      </c>
    </row>
    <row r="75" customFormat="false" ht="23.85" hidden="false" customHeight="false" outlineLevel="0" collapsed="false">
      <c r="A75" s="15" t="s">
        <v>461</v>
      </c>
      <c r="B75" s="15" t="s">
        <v>98</v>
      </c>
      <c r="C75" s="15" t="s">
        <v>462</v>
      </c>
      <c r="D75" s="15" t="n">
        <v>2</v>
      </c>
      <c r="E75" s="15" t="s">
        <v>463</v>
      </c>
      <c r="F75" s="15" t="s">
        <v>136</v>
      </c>
      <c r="G75" s="15" t="n">
        <v>18</v>
      </c>
      <c r="H75" s="15" t="n">
        <v>2259</v>
      </c>
      <c r="I75" s="15" t="n">
        <v>3</v>
      </c>
      <c r="J75" s="15" t="n">
        <v>4</v>
      </c>
      <c r="K75" s="15" t="n">
        <v>59</v>
      </c>
      <c r="L75" s="15" t="n">
        <v>22</v>
      </c>
      <c r="M75" s="15" t="n">
        <v>92</v>
      </c>
      <c r="N75" s="15" t="n">
        <v>0</v>
      </c>
      <c r="O75" s="15" t="n">
        <v>0</v>
      </c>
      <c r="P75" s="16" t="n">
        <v>0</v>
      </c>
      <c r="Q75" s="15" t="n">
        <v>0</v>
      </c>
      <c r="R75" s="15" t="n">
        <v>0</v>
      </c>
      <c r="S75" s="17" t="n">
        <v>0</v>
      </c>
      <c r="T75" s="15" t="s">
        <v>164</v>
      </c>
      <c r="U75" s="15" t="n">
        <v>2027</v>
      </c>
      <c r="V75" s="15" t="s">
        <v>464</v>
      </c>
      <c r="W75" s="18" t="s">
        <v>139</v>
      </c>
      <c r="X75" s="18" t="s">
        <v>148</v>
      </c>
      <c r="Y75" s="15" t="s">
        <v>141</v>
      </c>
      <c r="Z75" s="15" t="s">
        <v>142</v>
      </c>
      <c r="AA75" s="19" t="str">
        <f aca="false">HYPERLINK("https://www.transfermarkt.com/schnellsuche/ergebnis/schnellsuche?query="&amp;SUBSTITUTE(A75," ","+"),"Search Transfermarkt")</f>
        <v>Search Transfermarkt</v>
      </c>
    </row>
    <row r="76" customFormat="false" ht="23.85" hidden="false" customHeight="false" outlineLevel="0" collapsed="false">
      <c r="A76" s="15" t="s">
        <v>465</v>
      </c>
      <c r="B76" s="15" t="s">
        <v>81</v>
      </c>
      <c r="C76" s="15" t="s">
        <v>466</v>
      </c>
      <c r="D76" s="15" t="n">
        <v>2</v>
      </c>
      <c r="E76" s="15" t="s">
        <v>467</v>
      </c>
      <c r="F76" s="15" t="s">
        <v>136</v>
      </c>
      <c r="G76" s="15" t="n">
        <v>24</v>
      </c>
      <c r="H76" s="15" t="n">
        <v>933</v>
      </c>
      <c r="I76" s="15" t="n">
        <v>3</v>
      </c>
      <c r="J76" s="15" t="n">
        <v>3</v>
      </c>
      <c r="K76" s="15" t="n">
        <v>42</v>
      </c>
      <c r="L76" s="15" t="n">
        <v>38</v>
      </c>
      <c r="M76" s="15" t="n">
        <v>115</v>
      </c>
      <c r="N76" s="15" t="n">
        <v>0</v>
      </c>
      <c r="O76" s="15" t="n">
        <v>0</v>
      </c>
      <c r="P76" s="16" t="n">
        <v>0</v>
      </c>
      <c r="Q76" s="15" t="n">
        <v>0</v>
      </c>
      <c r="R76" s="15" t="n">
        <v>0</v>
      </c>
      <c r="S76" s="17" t="n">
        <v>87648</v>
      </c>
      <c r="T76" s="15" t="s">
        <v>137</v>
      </c>
      <c r="U76" s="15" t="n">
        <v>2027</v>
      </c>
      <c r="V76" s="15" t="s">
        <v>468</v>
      </c>
      <c r="W76" s="18" t="s">
        <v>139</v>
      </c>
      <c r="X76" s="18" t="s">
        <v>407</v>
      </c>
      <c r="Y76" s="15" t="s">
        <v>141</v>
      </c>
      <c r="Z76" s="15" t="s">
        <v>142</v>
      </c>
      <c r="AA76" s="19" t="str">
        <f aca="false">HYPERLINK("https://www.transfermarkt.com/schnellsuche/ergebnis/schnellsuche?query="&amp;SUBSTITUTE(A76," ","+"),"Search Transfermarkt")</f>
        <v>Search Transfermarkt</v>
      </c>
    </row>
    <row r="77" customFormat="false" ht="23.85" hidden="false" customHeight="false" outlineLevel="0" collapsed="false">
      <c r="A77" s="15" t="s">
        <v>469</v>
      </c>
      <c r="B77" s="15" t="s">
        <v>86</v>
      </c>
      <c r="C77" s="15" t="s">
        <v>470</v>
      </c>
      <c r="D77" s="15" t="n">
        <v>4</v>
      </c>
      <c r="E77" s="15" t="s">
        <v>471</v>
      </c>
      <c r="F77" s="15" t="s">
        <v>163</v>
      </c>
      <c r="G77" s="15" t="n">
        <v>22</v>
      </c>
      <c r="H77" s="15" t="n">
        <v>2590</v>
      </c>
      <c r="I77" s="15" t="n">
        <v>20</v>
      </c>
      <c r="J77" s="15" t="n">
        <v>8</v>
      </c>
      <c r="K77" s="15" t="n">
        <v>34</v>
      </c>
      <c r="L77" s="15" t="n">
        <v>91</v>
      </c>
      <c r="M77" s="15" t="n">
        <v>11</v>
      </c>
      <c r="N77" s="15" t="n">
        <v>0</v>
      </c>
      <c r="O77" s="15" t="n">
        <v>0</v>
      </c>
      <c r="P77" s="16" t="n">
        <v>0</v>
      </c>
      <c r="Q77" s="15" t="n">
        <v>0</v>
      </c>
      <c r="R77" s="15" t="n">
        <v>0</v>
      </c>
      <c r="S77" s="17" t="n">
        <v>48464</v>
      </c>
      <c r="T77" s="15" t="s">
        <v>137</v>
      </c>
      <c r="U77" s="15" t="n">
        <v>2028</v>
      </c>
      <c r="V77" s="15" t="s">
        <v>472</v>
      </c>
      <c r="W77" s="18" t="s">
        <v>139</v>
      </c>
      <c r="X77" s="18" t="s">
        <v>473</v>
      </c>
      <c r="Y77" s="15" t="s">
        <v>141</v>
      </c>
      <c r="Z77" s="15" t="s">
        <v>142</v>
      </c>
      <c r="AA77" s="19" t="str">
        <f aca="false">HYPERLINK("https://www.transfermarkt.com/schnellsuche/ergebnis/schnellsuche?query="&amp;SUBSTITUTE(A77," ","+"),"Search Transfermarkt")</f>
        <v>Search Transfermarkt</v>
      </c>
    </row>
    <row r="78" customFormat="false" ht="23.85" hidden="false" customHeight="false" outlineLevel="0" collapsed="false">
      <c r="A78" s="15" t="s">
        <v>474</v>
      </c>
      <c r="B78" s="15" t="s">
        <v>69</v>
      </c>
      <c r="C78" s="15" t="s">
        <v>134</v>
      </c>
      <c r="D78" s="15" t="n">
        <v>4</v>
      </c>
      <c r="E78" s="15" t="s">
        <v>475</v>
      </c>
      <c r="F78" s="15" t="s">
        <v>157</v>
      </c>
      <c r="G78" s="15" t="n">
        <v>22</v>
      </c>
      <c r="H78" s="15" t="n">
        <v>2511</v>
      </c>
      <c r="I78" s="15" t="n">
        <v>0</v>
      </c>
      <c r="J78" s="15" t="n">
        <v>0</v>
      </c>
      <c r="K78" s="15" t="n">
        <v>19</v>
      </c>
      <c r="L78" s="15" t="n">
        <v>0</v>
      </c>
      <c r="M78" s="15" t="n">
        <v>8</v>
      </c>
      <c r="N78" s="15" t="n">
        <v>108</v>
      </c>
      <c r="O78" s="15" t="n">
        <v>43</v>
      </c>
      <c r="P78" s="16" t="n">
        <v>80.2</v>
      </c>
      <c r="Q78" s="15" t="n">
        <v>39.4</v>
      </c>
      <c r="R78" s="15" t="n">
        <v>11</v>
      </c>
      <c r="S78" s="17" t="n">
        <v>114529</v>
      </c>
      <c r="T78" s="15" t="s">
        <v>164</v>
      </c>
      <c r="U78" s="15" t="n">
        <v>2027</v>
      </c>
      <c r="V78" s="15" t="s">
        <v>476</v>
      </c>
      <c r="W78" s="18" t="s">
        <v>139</v>
      </c>
      <c r="X78" s="18" t="s">
        <v>140</v>
      </c>
      <c r="Y78" s="15" t="s">
        <v>141</v>
      </c>
      <c r="Z78" s="15" t="s">
        <v>142</v>
      </c>
      <c r="AA78" s="19" t="str">
        <f aca="false">HYPERLINK("https://www.transfermarkt.com/schnellsuche/ergebnis/schnellsuche?query="&amp;SUBSTITUTE(A78," ","+"),"Search Transfermarkt")</f>
        <v>Search Transfermarkt</v>
      </c>
    </row>
    <row r="79" customFormat="false" ht="23.85" hidden="false" customHeight="false" outlineLevel="0" collapsed="false">
      <c r="A79" s="15" t="s">
        <v>477</v>
      </c>
      <c r="B79" s="15" t="s">
        <v>103</v>
      </c>
      <c r="C79" s="15" t="s">
        <v>478</v>
      </c>
      <c r="D79" s="15" t="n">
        <v>2</v>
      </c>
      <c r="E79" s="15" t="s">
        <v>479</v>
      </c>
      <c r="F79" s="15" t="s">
        <v>157</v>
      </c>
      <c r="G79" s="15" t="n">
        <v>21</v>
      </c>
      <c r="H79" s="15" t="n">
        <v>1879</v>
      </c>
      <c r="I79" s="15" t="n">
        <v>0</v>
      </c>
      <c r="J79" s="15" t="n">
        <v>0</v>
      </c>
      <c r="K79" s="15" t="n">
        <v>20</v>
      </c>
      <c r="L79" s="15" t="n">
        <v>2</v>
      </c>
      <c r="M79" s="15" t="n">
        <v>4</v>
      </c>
      <c r="N79" s="15" t="n">
        <v>46</v>
      </c>
      <c r="O79" s="15" t="n">
        <v>36</v>
      </c>
      <c r="P79" s="16" t="n">
        <v>73.5</v>
      </c>
      <c r="Q79" s="15" t="n">
        <v>8.5</v>
      </c>
      <c r="R79" s="15" t="n">
        <v>5</v>
      </c>
      <c r="S79" s="17" t="n">
        <v>82814</v>
      </c>
      <c r="T79" s="15" t="s">
        <v>137</v>
      </c>
      <c r="U79" s="15" t="n">
        <v>2027</v>
      </c>
      <c r="V79" s="15" t="s">
        <v>480</v>
      </c>
      <c r="W79" s="18" t="s">
        <v>139</v>
      </c>
      <c r="X79" s="18" t="s">
        <v>481</v>
      </c>
      <c r="Y79" s="15" t="s">
        <v>141</v>
      </c>
      <c r="Z79" s="15" t="s">
        <v>142</v>
      </c>
      <c r="AA79" s="19" t="str">
        <f aca="false">HYPERLINK("https://www.transfermarkt.com/schnellsuche/ergebnis/schnellsuche?query="&amp;SUBSTITUTE(A79," ","+"),"Search Transfermarkt")</f>
        <v>Search Transfermarkt</v>
      </c>
    </row>
    <row r="80" customFormat="false" ht="23.85" hidden="false" customHeight="false" outlineLevel="0" collapsed="false">
      <c r="A80" s="15" t="s">
        <v>482</v>
      </c>
      <c r="B80" s="15" t="s">
        <v>102</v>
      </c>
      <c r="C80" s="15" t="s">
        <v>450</v>
      </c>
      <c r="D80" s="15" t="n">
        <v>2</v>
      </c>
      <c r="E80" s="15" t="s">
        <v>483</v>
      </c>
      <c r="F80" s="15" t="s">
        <v>157</v>
      </c>
      <c r="G80" s="15" t="n">
        <v>21</v>
      </c>
      <c r="H80" s="15" t="n">
        <v>1238</v>
      </c>
      <c r="I80" s="15" t="n">
        <v>0</v>
      </c>
      <c r="J80" s="15" t="n">
        <v>0</v>
      </c>
      <c r="K80" s="15" t="n">
        <v>11</v>
      </c>
      <c r="L80" s="15" t="n">
        <v>6</v>
      </c>
      <c r="M80" s="15" t="n">
        <v>10</v>
      </c>
      <c r="N80" s="15" t="n">
        <v>53</v>
      </c>
      <c r="O80" s="15" t="n">
        <v>15</v>
      </c>
      <c r="P80" s="16" t="n">
        <v>90.7</v>
      </c>
      <c r="Q80" s="15" t="n">
        <v>4.5</v>
      </c>
      <c r="R80" s="15" t="n">
        <v>4</v>
      </c>
      <c r="S80" s="17" t="n">
        <v>0</v>
      </c>
      <c r="T80" s="15" t="s">
        <v>137</v>
      </c>
      <c r="U80" s="15" t="n">
        <v>2026</v>
      </c>
      <c r="V80" s="15" t="s">
        <v>484</v>
      </c>
      <c r="W80" s="18" t="s">
        <v>139</v>
      </c>
      <c r="X80" s="18" t="s">
        <v>453</v>
      </c>
      <c r="Y80" s="15" t="s">
        <v>141</v>
      </c>
      <c r="Z80" s="15" t="s">
        <v>142</v>
      </c>
      <c r="AA80" s="19" t="str">
        <f aca="false">HYPERLINK("https://www.transfermarkt.com/schnellsuche/ergebnis/schnellsuche?query="&amp;SUBSTITUTE(A80," ","+"),"Search Transfermarkt")</f>
        <v>Search Transfermarkt</v>
      </c>
    </row>
    <row r="81" customFormat="false" ht="23.85" hidden="false" customHeight="false" outlineLevel="0" collapsed="false">
      <c r="A81" s="15" t="s">
        <v>485</v>
      </c>
      <c r="B81" s="15" t="s">
        <v>86</v>
      </c>
      <c r="C81" s="15" t="s">
        <v>486</v>
      </c>
      <c r="D81" s="15" t="n">
        <v>4</v>
      </c>
      <c r="E81" s="15" t="s">
        <v>487</v>
      </c>
      <c r="F81" s="15" t="s">
        <v>170</v>
      </c>
      <c r="G81" s="15" t="n">
        <v>18</v>
      </c>
      <c r="H81" s="15" t="n">
        <v>2607</v>
      </c>
      <c r="I81" s="15" t="n">
        <v>9</v>
      </c>
      <c r="J81" s="15" t="n">
        <v>10</v>
      </c>
      <c r="K81" s="15" t="n">
        <v>148</v>
      </c>
      <c r="L81" s="15" t="n">
        <v>94</v>
      </c>
      <c r="M81" s="15" t="n">
        <v>51</v>
      </c>
      <c r="N81" s="15" t="n">
        <v>0</v>
      </c>
      <c r="O81" s="15" t="n">
        <v>0</v>
      </c>
      <c r="P81" s="16" t="n">
        <v>0</v>
      </c>
      <c r="Q81" s="15" t="n">
        <v>0</v>
      </c>
      <c r="R81" s="15" t="n">
        <v>0</v>
      </c>
      <c r="S81" s="17" t="n">
        <v>69543</v>
      </c>
      <c r="T81" s="15" t="s">
        <v>186</v>
      </c>
      <c r="U81" s="15" t="n">
        <v>2028</v>
      </c>
      <c r="V81" s="15" t="s">
        <v>488</v>
      </c>
      <c r="W81" s="18" t="s">
        <v>188</v>
      </c>
      <c r="X81" s="18" t="s">
        <v>473</v>
      </c>
      <c r="Y81" s="15" t="s">
        <v>141</v>
      </c>
      <c r="Z81" s="15" t="s">
        <v>142</v>
      </c>
      <c r="AA81" s="19" t="str">
        <f aca="false">HYPERLINK("https://www.transfermarkt.com/schnellsuche/ergebnis/schnellsuche?query="&amp;SUBSTITUTE(A81," ","+"),"Search Transfermarkt")</f>
        <v>Search Transfermarkt</v>
      </c>
    </row>
    <row r="82" customFormat="false" ht="23.85" hidden="false" customHeight="false" outlineLevel="0" collapsed="false">
      <c r="A82" s="15" t="s">
        <v>489</v>
      </c>
      <c r="B82" s="15" t="s">
        <v>79</v>
      </c>
      <c r="C82" s="15" t="s">
        <v>409</v>
      </c>
      <c r="D82" s="15" t="n">
        <v>3</v>
      </c>
      <c r="E82" s="15" t="s">
        <v>490</v>
      </c>
      <c r="F82" s="15" t="s">
        <v>163</v>
      </c>
      <c r="G82" s="15" t="n">
        <v>20</v>
      </c>
      <c r="H82" s="15" t="n">
        <v>2016</v>
      </c>
      <c r="I82" s="15" t="n">
        <v>17</v>
      </c>
      <c r="J82" s="15" t="n">
        <v>7</v>
      </c>
      <c r="K82" s="15" t="n">
        <v>50</v>
      </c>
      <c r="L82" s="15" t="n">
        <v>60</v>
      </c>
      <c r="M82" s="15" t="n">
        <v>11</v>
      </c>
      <c r="N82" s="15" t="n">
        <v>0</v>
      </c>
      <c r="O82" s="15" t="n">
        <v>0</v>
      </c>
      <c r="P82" s="16" t="n">
        <v>0</v>
      </c>
      <c r="Q82" s="15" t="n">
        <v>0</v>
      </c>
      <c r="R82" s="15" t="n">
        <v>0</v>
      </c>
      <c r="S82" s="17" t="n">
        <v>0</v>
      </c>
      <c r="T82" s="15" t="s">
        <v>164</v>
      </c>
      <c r="U82" s="15" t="n">
        <v>2028</v>
      </c>
      <c r="V82" s="15" t="s">
        <v>491</v>
      </c>
      <c r="W82" s="18" t="s">
        <v>139</v>
      </c>
      <c r="X82" s="18" t="s">
        <v>412</v>
      </c>
      <c r="Y82" s="15" t="s">
        <v>141</v>
      </c>
      <c r="Z82" s="15" t="s">
        <v>142</v>
      </c>
      <c r="AA82" s="19" t="str">
        <f aca="false">HYPERLINK("https://www.transfermarkt.com/schnellsuche/ergebnis/schnellsuche?query="&amp;SUBSTITUTE(A82," ","+"),"Search Transfermarkt")</f>
        <v>Search Transfermarkt</v>
      </c>
    </row>
    <row r="83" customFormat="false" ht="23.85" hidden="false" customHeight="false" outlineLevel="0" collapsed="false">
      <c r="A83" s="15" t="s">
        <v>492</v>
      </c>
      <c r="B83" s="15" t="s">
        <v>100</v>
      </c>
      <c r="C83" s="15" t="s">
        <v>493</v>
      </c>
      <c r="D83" s="15" t="n">
        <v>3</v>
      </c>
      <c r="E83" s="15" t="s">
        <v>494</v>
      </c>
      <c r="F83" s="15" t="s">
        <v>136</v>
      </c>
      <c r="G83" s="15" t="n">
        <v>17</v>
      </c>
      <c r="H83" s="15" t="n">
        <v>2510</v>
      </c>
      <c r="I83" s="15" t="n">
        <v>2</v>
      </c>
      <c r="J83" s="15" t="n">
        <v>5</v>
      </c>
      <c r="K83" s="15" t="n">
        <v>44</v>
      </c>
      <c r="L83" s="15" t="n">
        <v>37</v>
      </c>
      <c r="M83" s="15" t="n">
        <v>119</v>
      </c>
      <c r="N83" s="15" t="n">
        <v>0</v>
      </c>
      <c r="O83" s="15" t="n">
        <v>0</v>
      </c>
      <c r="P83" s="16" t="n">
        <v>0</v>
      </c>
      <c r="Q83" s="15" t="n">
        <v>0</v>
      </c>
      <c r="R83" s="15" t="n">
        <v>0</v>
      </c>
      <c r="S83" s="17" t="n">
        <v>123191</v>
      </c>
      <c r="T83" s="15" t="s">
        <v>186</v>
      </c>
      <c r="U83" s="15" t="n">
        <v>2027</v>
      </c>
      <c r="V83" s="15" t="s">
        <v>495</v>
      </c>
      <c r="W83" s="18" t="s">
        <v>147</v>
      </c>
      <c r="X83" s="18" t="s">
        <v>221</v>
      </c>
      <c r="Y83" s="15" t="s">
        <v>141</v>
      </c>
      <c r="Z83" s="15" t="s">
        <v>142</v>
      </c>
      <c r="AA83" s="19" t="str">
        <f aca="false">HYPERLINK("https://www.transfermarkt.com/schnellsuche/ergebnis/schnellsuche?query="&amp;SUBSTITUTE(A83," ","+"),"Search Transfermarkt")</f>
        <v>Search Transfermarkt</v>
      </c>
    </row>
    <row r="84" customFormat="false" ht="23.85" hidden="false" customHeight="false" outlineLevel="0" collapsed="false">
      <c r="A84" s="15" t="s">
        <v>496</v>
      </c>
      <c r="B84" s="15" t="s">
        <v>100</v>
      </c>
      <c r="C84" s="15" t="s">
        <v>497</v>
      </c>
      <c r="D84" s="15" t="n">
        <v>3</v>
      </c>
      <c r="E84" s="15" t="s">
        <v>498</v>
      </c>
      <c r="F84" s="15" t="s">
        <v>157</v>
      </c>
      <c r="G84" s="15" t="n">
        <v>24</v>
      </c>
      <c r="H84" s="15" t="n">
        <v>1001</v>
      </c>
      <c r="I84" s="15" t="n">
        <v>0</v>
      </c>
      <c r="J84" s="15" t="n">
        <v>0</v>
      </c>
      <c r="K84" s="15" t="n">
        <v>12</v>
      </c>
      <c r="L84" s="15" t="n">
        <v>6</v>
      </c>
      <c r="M84" s="15" t="n">
        <v>8</v>
      </c>
      <c r="N84" s="15" t="n">
        <v>23</v>
      </c>
      <c r="O84" s="15" t="n">
        <v>14</v>
      </c>
      <c r="P84" s="16" t="n">
        <v>68.1</v>
      </c>
      <c r="Q84" s="15" t="n">
        <v>7.6</v>
      </c>
      <c r="R84" s="15" t="n">
        <v>3</v>
      </c>
      <c r="S84" s="17" t="n">
        <v>18753</v>
      </c>
      <c r="T84" s="15" t="s">
        <v>137</v>
      </c>
      <c r="U84" s="15" t="n">
        <v>2027</v>
      </c>
      <c r="V84" s="15" t="s">
        <v>499</v>
      </c>
      <c r="W84" s="18" t="s">
        <v>139</v>
      </c>
      <c r="X84" s="18" t="s">
        <v>221</v>
      </c>
      <c r="Y84" s="15" t="s">
        <v>141</v>
      </c>
      <c r="Z84" s="15" t="s">
        <v>142</v>
      </c>
      <c r="AA84" s="19" t="str">
        <f aca="false">HYPERLINK("https://www.transfermarkt.com/schnellsuche/ergebnis/schnellsuche?query="&amp;SUBSTITUTE(A84," ","+"),"Search Transfermarkt")</f>
        <v>Search Transfermarkt</v>
      </c>
    </row>
    <row r="85" customFormat="false" ht="23.85" hidden="false" customHeight="false" outlineLevel="0" collapsed="false">
      <c r="A85" s="15" t="s">
        <v>500</v>
      </c>
      <c r="B85" s="15" t="s">
        <v>103</v>
      </c>
      <c r="C85" s="15" t="s">
        <v>501</v>
      </c>
      <c r="D85" s="15" t="n">
        <v>2</v>
      </c>
      <c r="E85" s="15" t="s">
        <v>502</v>
      </c>
      <c r="F85" s="15" t="s">
        <v>136</v>
      </c>
      <c r="G85" s="15" t="n">
        <v>24</v>
      </c>
      <c r="H85" s="15" t="n">
        <v>1318</v>
      </c>
      <c r="I85" s="15" t="n">
        <v>2</v>
      </c>
      <c r="J85" s="15" t="n">
        <v>3</v>
      </c>
      <c r="K85" s="15" t="n">
        <v>51</v>
      </c>
      <c r="L85" s="15" t="n">
        <v>32</v>
      </c>
      <c r="M85" s="15" t="n">
        <v>121</v>
      </c>
      <c r="N85" s="15" t="n">
        <v>0</v>
      </c>
      <c r="O85" s="15" t="n">
        <v>0</v>
      </c>
      <c r="P85" s="16" t="n">
        <v>0</v>
      </c>
      <c r="Q85" s="15" t="n">
        <v>0</v>
      </c>
      <c r="R85" s="15" t="n">
        <v>0</v>
      </c>
      <c r="S85" s="17" t="n">
        <v>139833</v>
      </c>
      <c r="T85" s="15" t="s">
        <v>186</v>
      </c>
      <c r="U85" s="15" t="n">
        <v>2027</v>
      </c>
      <c r="V85" s="15" t="s">
        <v>503</v>
      </c>
      <c r="W85" s="18" t="s">
        <v>188</v>
      </c>
      <c r="X85" s="18" t="s">
        <v>481</v>
      </c>
      <c r="Y85" s="15" t="s">
        <v>141</v>
      </c>
      <c r="Z85" s="15" t="s">
        <v>142</v>
      </c>
      <c r="AA85" s="19" t="str">
        <f aca="false">HYPERLINK("https://www.transfermarkt.com/schnellsuche/ergebnis/schnellsuche?query="&amp;SUBSTITUTE(A85," ","+"),"Search Transfermarkt")</f>
        <v>Search Transfermarkt</v>
      </c>
    </row>
    <row r="86" customFormat="false" ht="23.85" hidden="false" customHeight="false" outlineLevel="0" collapsed="false">
      <c r="A86" s="15" t="s">
        <v>504</v>
      </c>
      <c r="B86" s="15" t="s">
        <v>67</v>
      </c>
      <c r="C86" s="15" t="s">
        <v>505</v>
      </c>
      <c r="D86" s="15" t="n">
        <v>2</v>
      </c>
      <c r="E86" s="15" t="s">
        <v>506</v>
      </c>
      <c r="F86" s="15" t="s">
        <v>136</v>
      </c>
      <c r="G86" s="15" t="n">
        <v>24</v>
      </c>
      <c r="H86" s="15" t="n">
        <v>1214</v>
      </c>
      <c r="I86" s="15" t="n">
        <v>2</v>
      </c>
      <c r="J86" s="15" t="n">
        <v>3</v>
      </c>
      <c r="K86" s="15" t="n">
        <v>55</v>
      </c>
      <c r="L86" s="15" t="n">
        <v>48</v>
      </c>
      <c r="M86" s="15" t="n">
        <v>82</v>
      </c>
      <c r="N86" s="15" t="n">
        <v>0</v>
      </c>
      <c r="O86" s="15" t="n">
        <v>0</v>
      </c>
      <c r="P86" s="16" t="n">
        <v>0</v>
      </c>
      <c r="Q86" s="15" t="n">
        <v>0</v>
      </c>
      <c r="R86" s="15" t="n">
        <v>0</v>
      </c>
      <c r="S86" s="17" t="n">
        <v>0</v>
      </c>
      <c r="T86" s="15" t="s">
        <v>164</v>
      </c>
      <c r="U86" s="15" t="n">
        <v>2026</v>
      </c>
      <c r="V86" s="15" t="s">
        <v>507</v>
      </c>
      <c r="W86" s="18" t="s">
        <v>139</v>
      </c>
      <c r="X86" s="18" t="s">
        <v>236</v>
      </c>
      <c r="Y86" s="15" t="s">
        <v>141</v>
      </c>
      <c r="Z86" s="15" t="s">
        <v>142</v>
      </c>
      <c r="AA86" s="19" t="str">
        <f aca="false">HYPERLINK("https://www.transfermarkt.com/schnellsuche/ergebnis/schnellsuche?query="&amp;SUBSTITUTE(A86," ","+"),"Search Transfermarkt")</f>
        <v>Search Transfermarkt</v>
      </c>
    </row>
    <row r="87" customFormat="false" ht="23.85" hidden="false" customHeight="false" outlineLevel="0" collapsed="false">
      <c r="A87" s="15" t="s">
        <v>508</v>
      </c>
      <c r="B87" s="15" t="s">
        <v>80</v>
      </c>
      <c r="C87" s="15" t="s">
        <v>509</v>
      </c>
      <c r="D87" s="15" t="n">
        <v>2</v>
      </c>
      <c r="E87" s="15" t="s">
        <v>510</v>
      </c>
      <c r="F87" s="15" t="s">
        <v>136</v>
      </c>
      <c r="G87" s="15" t="n">
        <v>20</v>
      </c>
      <c r="H87" s="15" t="n">
        <v>2050</v>
      </c>
      <c r="I87" s="15" t="n">
        <v>2</v>
      </c>
      <c r="J87" s="15" t="n">
        <v>3</v>
      </c>
      <c r="K87" s="15" t="n">
        <v>72</v>
      </c>
      <c r="L87" s="15" t="n">
        <v>32</v>
      </c>
      <c r="M87" s="15" t="n">
        <v>106</v>
      </c>
      <c r="N87" s="15" t="n">
        <v>0</v>
      </c>
      <c r="O87" s="15" t="n">
        <v>0</v>
      </c>
      <c r="P87" s="16" t="n">
        <v>0</v>
      </c>
      <c r="Q87" s="15" t="n">
        <v>0</v>
      </c>
      <c r="R87" s="15" t="n">
        <v>0</v>
      </c>
      <c r="S87" s="17" t="n">
        <v>73903</v>
      </c>
      <c r="T87" s="15" t="s">
        <v>137</v>
      </c>
      <c r="U87" s="15" t="n">
        <v>2027</v>
      </c>
      <c r="V87" s="15" t="s">
        <v>511</v>
      </c>
      <c r="W87" s="18" t="s">
        <v>139</v>
      </c>
      <c r="X87" s="18" t="s">
        <v>304</v>
      </c>
      <c r="Y87" s="15" t="s">
        <v>141</v>
      </c>
      <c r="Z87" s="15" t="s">
        <v>142</v>
      </c>
      <c r="AA87" s="19" t="str">
        <f aca="false">HYPERLINK("https://www.transfermarkt.com/schnellsuche/ergebnis/schnellsuche?query="&amp;SUBSTITUTE(A87," ","+"),"Search Transfermarkt")</f>
        <v>Search Transfermarkt</v>
      </c>
    </row>
    <row r="88" customFormat="false" ht="23.85" hidden="false" customHeight="false" outlineLevel="0" collapsed="false">
      <c r="A88" s="15" t="s">
        <v>512</v>
      </c>
      <c r="B88" s="15" t="s">
        <v>79</v>
      </c>
      <c r="C88" s="15" t="s">
        <v>513</v>
      </c>
      <c r="D88" s="15" t="n">
        <v>2</v>
      </c>
      <c r="E88" s="15" t="s">
        <v>514</v>
      </c>
      <c r="F88" s="15" t="s">
        <v>170</v>
      </c>
      <c r="G88" s="15" t="n">
        <v>20</v>
      </c>
      <c r="H88" s="15" t="n">
        <v>2423</v>
      </c>
      <c r="I88" s="15" t="n">
        <v>5</v>
      </c>
      <c r="J88" s="15" t="n">
        <v>14</v>
      </c>
      <c r="K88" s="15" t="n">
        <v>122</v>
      </c>
      <c r="L88" s="15" t="n">
        <v>89</v>
      </c>
      <c r="M88" s="15" t="n">
        <v>54</v>
      </c>
      <c r="N88" s="15" t="n">
        <v>0</v>
      </c>
      <c r="O88" s="15" t="n">
        <v>0</v>
      </c>
      <c r="P88" s="16" t="n">
        <v>0</v>
      </c>
      <c r="Q88" s="15" t="n">
        <v>0</v>
      </c>
      <c r="R88" s="15" t="n">
        <v>0</v>
      </c>
      <c r="S88" s="17" t="n">
        <v>105142</v>
      </c>
      <c r="T88" s="15" t="s">
        <v>137</v>
      </c>
      <c r="U88" s="15" t="n">
        <v>2028</v>
      </c>
      <c r="V88" s="15" t="s">
        <v>515</v>
      </c>
      <c r="W88" s="18" t="s">
        <v>139</v>
      </c>
      <c r="X88" s="18" t="s">
        <v>412</v>
      </c>
      <c r="Y88" s="15" t="s">
        <v>141</v>
      </c>
      <c r="Z88" s="15" t="s">
        <v>142</v>
      </c>
      <c r="AA88" s="19" t="str">
        <f aca="false">HYPERLINK("https://www.transfermarkt.com/schnellsuche/ergebnis/schnellsuche?query="&amp;SUBSTITUTE(A88," ","+"),"Search Transfermarkt")</f>
        <v>Search Transfermarkt</v>
      </c>
    </row>
    <row r="89" customFormat="false" ht="23.85" hidden="false" customHeight="false" outlineLevel="0" collapsed="false">
      <c r="A89" s="15" t="s">
        <v>516</v>
      </c>
      <c r="B89" s="15" t="s">
        <v>90</v>
      </c>
      <c r="C89" s="15" t="s">
        <v>517</v>
      </c>
      <c r="D89" s="15" t="n">
        <v>4</v>
      </c>
      <c r="E89" s="15" t="s">
        <v>518</v>
      </c>
      <c r="F89" s="15" t="s">
        <v>136</v>
      </c>
      <c r="G89" s="15" t="n">
        <v>20</v>
      </c>
      <c r="H89" s="15" t="n">
        <v>1358</v>
      </c>
      <c r="I89" s="15" t="n">
        <v>2</v>
      </c>
      <c r="J89" s="15" t="n">
        <v>1</v>
      </c>
      <c r="K89" s="15" t="n">
        <v>40</v>
      </c>
      <c r="L89" s="15" t="n">
        <v>30</v>
      </c>
      <c r="M89" s="15" t="n">
        <v>137</v>
      </c>
      <c r="N89" s="15" t="n">
        <v>0</v>
      </c>
      <c r="O89" s="15" t="n">
        <v>0</v>
      </c>
      <c r="P89" s="16" t="n">
        <v>0</v>
      </c>
      <c r="Q89" s="15" t="n">
        <v>0</v>
      </c>
      <c r="R89" s="15" t="n">
        <v>0</v>
      </c>
      <c r="S89" s="17" t="n">
        <v>53743</v>
      </c>
      <c r="T89" s="15" t="s">
        <v>137</v>
      </c>
      <c r="U89" s="15" t="n">
        <v>2026</v>
      </c>
      <c r="V89" s="15" t="s">
        <v>519</v>
      </c>
      <c r="W89" s="18" t="s">
        <v>139</v>
      </c>
      <c r="X89" s="18" t="s">
        <v>288</v>
      </c>
      <c r="Y89" s="15" t="s">
        <v>141</v>
      </c>
      <c r="Z89" s="15" t="s">
        <v>142</v>
      </c>
      <c r="AA89" s="19" t="str">
        <f aca="false">HYPERLINK("https://www.transfermarkt.com/schnellsuche/ergebnis/schnellsuche?query="&amp;SUBSTITUTE(A89," ","+"),"Search Transfermarkt")</f>
        <v>Search Transfermarkt</v>
      </c>
    </row>
    <row r="90" customFormat="false" ht="23.85" hidden="false" customHeight="false" outlineLevel="0" collapsed="false">
      <c r="A90" s="15" t="s">
        <v>520</v>
      </c>
      <c r="B90" s="15" t="s">
        <v>71</v>
      </c>
      <c r="C90" s="15" t="s">
        <v>521</v>
      </c>
      <c r="D90" s="15" t="n">
        <v>2</v>
      </c>
      <c r="E90" s="15" t="s">
        <v>522</v>
      </c>
      <c r="F90" s="15" t="s">
        <v>136</v>
      </c>
      <c r="G90" s="15" t="n">
        <v>24</v>
      </c>
      <c r="H90" s="15" t="n">
        <v>2502</v>
      </c>
      <c r="I90" s="15" t="n">
        <v>1</v>
      </c>
      <c r="J90" s="15" t="n">
        <v>1</v>
      </c>
      <c r="K90" s="15" t="n">
        <v>39</v>
      </c>
      <c r="L90" s="15" t="n">
        <v>42</v>
      </c>
      <c r="M90" s="15" t="n">
        <v>88</v>
      </c>
      <c r="N90" s="15" t="n">
        <v>0</v>
      </c>
      <c r="O90" s="15" t="n">
        <v>0</v>
      </c>
      <c r="P90" s="16" t="n">
        <v>0</v>
      </c>
      <c r="Q90" s="15" t="n">
        <v>0</v>
      </c>
      <c r="R90" s="15" t="n">
        <v>0</v>
      </c>
      <c r="S90" s="17" t="n">
        <v>81170</v>
      </c>
      <c r="T90" s="15" t="s">
        <v>137</v>
      </c>
      <c r="U90" s="15" t="n">
        <v>2029</v>
      </c>
      <c r="V90" s="15" t="s">
        <v>523</v>
      </c>
      <c r="W90" s="18" t="s">
        <v>139</v>
      </c>
      <c r="X90" s="18" t="s">
        <v>177</v>
      </c>
      <c r="Y90" s="15" t="s">
        <v>141</v>
      </c>
      <c r="Z90" s="15" t="s">
        <v>142</v>
      </c>
      <c r="AA90" s="19" t="str">
        <f aca="false">HYPERLINK("https://www.transfermarkt.com/schnellsuche/ergebnis/schnellsuche?query="&amp;SUBSTITUTE(A90," ","+"),"Search Transfermarkt")</f>
        <v>Search Transfermarkt</v>
      </c>
    </row>
    <row r="91" customFormat="false" ht="23.85" hidden="false" customHeight="false" outlineLevel="0" collapsed="false">
      <c r="A91" s="15" t="s">
        <v>524</v>
      </c>
      <c r="B91" s="15" t="s">
        <v>96</v>
      </c>
      <c r="C91" s="15" t="s">
        <v>525</v>
      </c>
      <c r="D91" s="15" t="n">
        <v>3</v>
      </c>
      <c r="E91" s="15" t="s">
        <v>526</v>
      </c>
      <c r="F91" s="15" t="s">
        <v>163</v>
      </c>
      <c r="G91" s="15" t="n">
        <v>26</v>
      </c>
      <c r="H91" s="15" t="n">
        <v>1032</v>
      </c>
      <c r="I91" s="15" t="n">
        <v>10</v>
      </c>
      <c r="J91" s="15" t="n">
        <v>1</v>
      </c>
      <c r="K91" s="15" t="n">
        <v>37</v>
      </c>
      <c r="L91" s="15" t="n">
        <v>102</v>
      </c>
      <c r="M91" s="15" t="n">
        <v>8</v>
      </c>
      <c r="N91" s="15" t="n">
        <v>0</v>
      </c>
      <c r="O91" s="15" t="n">
        <v>0</v>
      </c>
      <c r="P91" s="16" t="n">
        <v>0</v>
      </c>
      <c r="Q91" s="15" t="n">
        <v>0</v>
      </c>
      <c r="R91" s="15" t="n">
        <v>0</v>
      </c>
      <c r="S91" s="17" t="n">
        <v>105007</v>
      </c>
      <c r="T91" s="15" t="s">
        <v>137</v>
      </c>
      <c r="U91" s="15" t="n">
        <v>2028</v>
      </c>
      <c r="V91" s="15" t="s">
        <v>527</v>
      </c>
      <c r="W91" s="18" t="s">
        <v>139</v>
      </c>
      <c r="X91" s="18" t="s">
        <v>216</v>
      </c>
      <c r="Y91" s="15" t="s">
        <v>141</v>
      </c>
      <c r="Z91" s="15" t="s">
        <v>142</v>
      </c>
      <c r="AA91" s="19" t="str">
        <f aca="false">HYPERLINK("https://www.transfermarkt.com/schnellsuche/ergebnis/schnellsuche?query="&amp;SUBSTITUTE(A91," ","+"),"Search Transfermarkt")</f>
        <v>Search Transfermarkt</v>
      </c>
    </row>
    <row r="92" customFormat="false" ht="23.85" hidden="false" customHeight="false" outlineLevel="0" collapsed="false">
      <c r="A92" s="15" t="s">
        <v>528</v>
      </c>
      <c r="B92" s="15" t="s">
        <v>86</v>
      </c>
      <c r="C92" s="15" t="s">
        <v>470</v>
      </c>
      <c r="D92" s="15" t="n">
        <v>3</v>
      </c>
      <c r="E92" s="15" t="s">
        <v>529</v>
      </c>
      <c r="F92" s="15" t="s">
        <v>163</v>
      </c>
      <c r="G92" s="15" t="n">
        <v>20</v>
      </c>
      <c r="H92" s="15" t="n">
        <v>1278</v>
      </c>
      <c r="I92" s="15" t="n">
        <v>20</v>
      </c>
      <c r="J92" s="15" t="n">
        <v>7</v>
      </c>
      <c r="K92" s="15" t="n">
        <v>30</v>
      </c>
      <c r="L92" s="15" t="n">
        <v>78</v>
      </c>
      <c r="M92" s="15" t="n">
        <v>15</v>
      </c>
      <c r="N92" s="15" t="n">
        <v>0</v>
      </c>
      <c r="O92" s="15" t="n">
        <v>0</v>
      </c>
      <c r="P92" s="16" t="n">
        <v>0</v>
      </c>
      <c r="Q92" s="15" t="n">
        <v>0</v>
      </c>
      <c r="R92" s="15" t="n">
        <v>0</v>
      </c>
      <c r="S92" s="17" t="n">
        <v>47873</v>
      </c>
      <c r="T92" s="15" t="s">
        <v>186</v>
      </c>
      <c r="U92" s="15" t="n">
        <v>2026</v>
      </c>
      <c r="V92" s="15" t="s">
        <v>530</v>
      </c>
      <c r="W92" s="18" t="s">
        <v>188</v>
      </c>
      <c r="X92" s="18" t="s">
        <v>473</v>
      </c>
      <c r="Y92" s="15" t="s">
        <v>141</v>
      </c>
      <c r="Z92" s="15" t="s">
        <v>142</v>
      </c>
      <c r="AA92" s="19" t="str">
        <f aca="false">HYPERLINK("https://www.transfermarkt.com/schnellsuche/ergebnis/schnellsuche?query="&amp;SUBSTITUTE(A92," ","+"),"Search Transfermarkt")</f>
        <v>Search Transfermarkt</v>
      </c>
    </row>
    <row r="93" customFormat="false" ht="23.85" hidden="false" customHeight="false" outlineLevel="0" collapsed="false">
      <c r="A93" s="15" t="s">
        <v>531</v>
      </c>
      <c r="B93" s="15" t="s">
        <v>103</v>
      </c>
      <c r="C93" s="15" t="s">
        <v>532</v>
      </c>
      <c r="D93" s="15" t="n">
        <v>4</v>
      </c>
      <c r="E93" s="15" t="s">
        <v>533</v>
      </c>
      <c r="F93" s="15" t="s">
        <v>163</v>
      </c>
      <c r="G93" s="15" t="n">
        <v>20</v>
      </c>
      <c r="H93" s="15" t="n">
        <v>2678</v>
      </c>
      <c r="I93" s="15" t="n">
        <v>12</v>
      </c>
      <c r="J93" s="15" t="n">
        <v>1</v>
      </c>
      <c r="K93" s="15" t="n">
        <v>55</v>
      </c>
      <c r="L93" s="15" t="n">
        <v>63</v>
      </c>
      <c r="M93" s="15" t="n">
        <v>10</v>
      </c>
      <c r="N93" s="15" t="n">
        <v>0</v>
      </c>
      <c r="O93" s="15" t="n">
        <v>0</v>
      </c>
      <c r="P93" s="16" t="n">
        <v>0</v>
      </c>
      <c r="Q93" s="15" t="n">
        <v>0</v>
      </c>
      <c r="R93" s="15" t="n">
        <v>0</v>
      </c>
      <c r="S93" s="17" t="n">
        <v>106281</v>
      </c>
      <c r="T93" s="15" t="s">
        <v>137</v>
      </c>
      <c r="U93" s="15" t="n">
        <v>2028</v>
      </c>
      <c r="V93" s="15" t="s">
        <v>534</v>
      </c>
      <c r="W93" s="18" t="s">
        <v>139</v>
      </c>
      <c r="X93" s="18" t="s">
        <v>481</v>
      </c>
      <c r="Y93" s="15" t="s">
        <v>141</v>
      </c>
      <c r="Z93" s="15" t="s">
        <v>142</v>
      </c>
      <c r="AA93" s="19" t="str">
        <f aca="false">HYPERLINK("https://www.transfermarkt.com/schnellsuche/ergebnis/schnellsuche?query="&amp;SUBSTITUTE(A93," ","+"),"Search Transfermarkt")</f>
        <v>Search Transfermarkt</v>
      </c>
    </row>
    <row r="94" customFormat="false" ht="23.85" hidden="false" customHeight="false" outlineLevel="0" collapsed="false">
      <c r="A94" s="15" t="s">
        <v>535</v>
      </c>
      <c r="B94" s="15" t="s">
        <v>85</v>
      </c>
      <c r="C94" s="15" t="s">
        <v>536</v>
      </c>
      <c r="D94" s="15" t="n">
        <v>2</v>
      </c>
      <c r="E94" s="15" t="s">
        <v>537</v>
      </c>
      <c r="F94" s="15" t="s">
        <v>163</v>
      </c>
      <c r="G94" s="15" t="n">
        <v>23</v>
      </c>
      <c r="H94" s="15" t="n">
        <v>2456</v>
      </c>
      <c r="I94" s="15" t="n">
        <v>15</v>
      </c>
      <c r="J94" s="15" t="n">
        <v>5</v>
      </c>
      <c r="K94" s="15" t="n">
        <v>29</v>
      </c>
      <c r="L94" s="15" t="n">
        <v>77</v>
      </c>
      <c r="M94" s="15" t="n">
        <v>15</v>
      </c>
      <c r="N94" s="15" t="n">
        <v>0</v>
      </c>
      <c r="O94" s="15" t="n">
        <v>0</v>
      </c>
      <c r="P94" s="16" t="n">
        <v>0</v>
      </c>
      <c r="Q94" s="15" t="n">
        <v>0</v>
      </c>
      <c r="R94" s="15" t="n">
        <v>0</v>
      </c>
      <c r="S94" s="17" t="n">
        <v>134967</v>
      </c>
      <c r="T94" s="15" t="s">
        <v>137</v>
      </c>
      <c r="U94" s="15" t="n">
        <v>2029</v>
      </c>
      <c r="V94" s="15" t="s">
        <v>538</v>
      </c>
      <c r="W94" s="18" t="s">
        <v>139</v>
      </c>
      <c r="X94" s="18" t="s">
        <v>265</v>
      </c>
      <c r="Y94" s="15" t="s">
        <v>141</v>
      </c>
      <c r="Z94" s="15" t="s">
        <v>142</v>
      </c>
      <c r="AA94" s="19" t="str">
        <f aca="false">HYPERLINK("https://www.transfermarkt.com/schnellsuche/ergebnis/schnellsuche?query="&amp;SUBSTITUTE(A94," ","+"),"Search Transfermarkt")</f>
        <v>Search Transfermarkt</v>
      </c>
    </row>
    <row r="95" customFormat="false" ht="23.85" hidden="false" customHeight="false" outlineLevel="0" collapsed="false">
      <c r="A95" s="15" t="s">
        <v>539</v>
      </c>
      <c r="B95" s="15" t="s">
        <v>66</v>
      </c>
      <c r="C95" s="15" t="s">
        <v>540</v>
      </c>
      <c r="D95" s="15" t="n">
        <v>2</v>
      </c>
      <c r="E95" s="15" t="s">
        <v>541</v>
      </c>
      <c r="F95" s="15" t="s">
        <v>163</v>
      </c>
      <c r="G95" s="15" t="n">
        <v>22</v>
      </c>
      <c r="H95" s="15" t="n">
        <v>1936</v>
      </c>
      <c r="I95" s="15" t="n">
        <v>15</v>
      </c>
      <c r="J95" s="15" t="n">
        <v>2</v>
      </c>
      <c r="K95" s="15" t="n">
        <v>45</v>
      </c>
      <c r="L95" s="15" t="n">
        <v>76</v>
      </c>
      <c r="M95" s="15" t="n">
        <v>5</v>
      </c>
      <c r="N95" s="15" t="n">
        <v>0</v>
      </c>
      <c r="O95" s="15" t="n">
        <v>0</v>
      </c>
      <c r="P95" s="16" t="n">
        <v>0</v>
      </c>
      <c r="Q95" s="15" t="n">
        <v>0</v>
      </c>
      <c r="R95" s="15" t="n">
        <v>0</v>
      </c>
      <c r="S95" s="17" t="n">
        <v>0</v>
      </c>
      <c r="T95" s="15" t="s">
        <v>137</v>
      </c>
      <c r="U95" s="15" t="n">
        <v>2026</v>
      </c>
      <c r="V95" s="15" t="s">
        <v>542</v>
      </c>
      <c r="W95" s="18" t="s">
        <v>139</v>
      </c>
      <c r="X95" s="18" t="s">
        <v>182</v>
      </c>
      <c r="Y95" s="15" t="s">
        <v>141</v>
      </c>
      <c r="Z95" s="15" t="s">
        <v>142</v>
      </c>
      <c r="AA95" s="19" t="str">
        <f aca="false">HYPERLINK("https://www.transfermarkt.com/schnellsuche/ergebnis/schnellsuche?query="&amp;SUBSTITUTE(A95," ","+"),"Search Transfermarkt")</f>
        <v>Search Transfermarkt</v>
      </c>
    </row>
    <row r="96" customFormat="false" ht="23.85" hidden="false" customHeight="false" outlineLevel="0" collapsed="false">
      <c r="A96" s="15" t="s">
        <v>543</v>
      </c>
      <c r="B96" s="15" t="s">
        <v>77</v>
      </c>
      <c r="C96" s="15" t="s">
        <v>544</v>
      </c>
      <c r="D96" s="15" t="n">
        <v>2</v>
      </c>
      <c r="E96" s="15" t="s">
        <v>545</v>
      </c>
      <c r="F96" s="15" t="s">
        <v>136</v>
      </c>
      <c r="G96" s="15" t="n">
        <v>24</v>
      </c>
      <c r="H96" s="15" t="n">
        <v>1332</v>
      </c>
      <c r="I96" s="15" t="n">
        <v>3</v>
      </c>
      <c r="J96" s="15" t="n">
        <v>2</v>
      </c>
      <c r="K96" s="15" t="n">
        <v>51</v>
      </c>
      <c r="L96" s="15" t="n">
        <v>34</v>
      </c>
      <c r="M96" s="15" t="n">
        <v>95</v>
      </c>
      <c r="N96" s="15" t="n">
        <v>0</v>
      </c>
      <c r="O96" s="15" t="n">
        <v>0</v>
      </c>
      <c r="P96" s="16" t="n">
        <v>0</v>
      </c>
      <c r="Q96" s="15" t="n">
        <v>0</v>
      </c>
      <c r="R96" s="15" t="n">
        <v>0</v>
      </c>
      <c r="S96" s="17" t="n">
        <v>118510</v>
      </c>
      <c r="T96" s="15" t="s">
        <v>137</v>
      </c>
      <c r="U96" s="15" t="n">
        <v>2026</v>
      </c>
      <c r="V96" s="15" t="s">
        <v>546</v>
      </c>
      <c r="W96" s="18" t="s">
        <v>139</v>
      </c>
      <c r="X96" s="18" t="s">
        <v>358</v>
      </c>
      <c r="Y96" s="15" t="s">
        <v>141</v>
      </c>
      <c r="Z96" s="15" t="s">
        <v>142</v>
      </c>
      <c r="AA96" s="19" t="str">
        <f aca="false">HYPERLINK("https://www.transfermarkt.com/schnellsuche/ergebnis/schnellsuche?query="&amp;SUBSTITUTE(A96," ","+"),"Search Transfermarkt")</f>
        <v>Search Transfermarkt</v>
      </c>
    </row>
    <row r="97" customFormat="false" ht="23.85" hidden="false" customHeight="false" outlineLevel="0" collapsed="false">
      <c r="A97" s="15" t="s">
        <v>547</v>
      </c>
      <c r="B97" s="15" t="s">
        <v>89</v>
      </c>
      <c r="C97" s="15" t="s">
        <v>548</v>
      </c>
      <c r="D97" s="15" t="n">
        <v>4</v>
      </c>
      <c r="E97" s="15" t="s">
        <v>549</v>
      </c>
      <c r="F97" s="15" t="s">
        <v>157</v>
      </c>
      <c r="G97" s="15" t="n">
        <v>17</v>
      </c>
      <c r="H97" s="15" t="n">
        <v>1477</v>
      </c>
      <c r="I97" s="15" t="n">
        <v>0</v>
      </c>
      <c r="J97" s="15" t="n">
        <v>0</v>
      </c>
      <c r="K97" s="15" t="n">
        <v>13</v>
      </c>
      <c r="L97" s="15" t="n">
        <v>0</v>
      </c>
      <c r="M97" s="15" t="n">
        <v>4</v>
      </c>
      <c r="N97" s="15" t="n">
        <v>71</v>
      </c>
      <c r="O97" s="15" t="n">
        <v>31</v>
      </c>
      <c r="P97" s="16" t="n">
        <v>71.2</v>
      </c>
      <c r="Q97" s="15" t="n">
        <v>24.5</v>
      </c>
      <c r="R97" s="15" t="n">
        <v>6</v>
      </c>
      <c r="S97" s="17" t="n">
        <v>105258</v>
      </c>
      <c r="T97" s="15" t="s">
        <v>186</v>
      </c>
      <c r="U97" s="15" t="n">
        <v>2029</v>
      </c>
      <c r="V97" s="15" t="s">
        <v>550</v>
      </c>
      <c r="W97" s="18" t="s">
        <v>147</v>
      </c>
      <c r="X97" s="18" t="s">
        <v>206</v>
      </c>
      <c r="Y97" s="15" t="s">
        <v>141</v>
      </c>
      <c r="Z97" s="15" t="s">
        <v>142</v>
      </c>
      <c r="AA97" s="19" t="str">
        <f aca="false">HYPERLINK("https://www.transfermarkt.com/schnellsuche/ergebnis/schnellsuche?query="&amp;SUBSTITUTE(A97," ","+"),"Search Transfermarkt")</f>
        <v>Search Transfermarkt</v>
      </c>
    </row>
    <row r="98" customFormat="false" ht="23.85" hidden="false" customHeight="false" outlineLevel="0" collapsed="false">
      <c r="A98" s="15" t="s">
        <v>551</v>
      </c>
      <c r="B98" s="15" t="s">
        <v>82</v>
      </c>
      <c r="C98" s="15" t="s">
        <v>552</v>
      </c>
      <c r="D98" s="15" t="n">
        <v>3</v>
      </c>
      <c r="E98" s="15" t="s">
        <v>553</v>
      </c>
      <c r="F98" s="15" t="s">
        <v>136</v>
      </c>
      <c r="G98" s="15" t="n">
        <v>21</v>
      </c>
      <c r="H98" s="15" t="n">
        <v>2135</v>
      </c>
      <c r="I98" s="15" t="n">
        <v>1</v>
      </c>
      <c r="J98" s="15" t="n">
        <v>3</v>
      </c>
      <c r="K98" s="15" t="n">
        <v>46</v>
      </c>
      <c r="L98" s="15" t="n">
        <v>38</v>
      </c>
      <c r="M98" s="15" t="n">
        <v>92</v>
      </c>
      <c r="N98" s="15" t="n">
        <v>0</v>
      </c>
      <c r="O98" s="15" t="n">
        <v>0</v>
      </c>
      <c r="P98" s="16" t="n">
        <v>0</v>
      </c>
      <c r="Q98" s="15" t="n">
        <v>0</v>
      </c>
      <c r="R98" s="15" t="n">
        <v>0</v>
      </c>
      <c r="S98" s="17" t="n">
        <v>0</v>
      </c>
      <c r="T98" s="15" t="s">
        <v>137</v>
      </c>
      <c r="U98" s="15" t="n">
        <v>2028</v>
      </c>
      <c r="V98" s="15" t="s">
        <v>554</v>
      </c>
      <c r="W98" s="18" t="s">
        <v>139</v>
      </c>
      <c r="X98" s="18" t="s">
        <v>166</v>
      </c>
      <c r="Y98" s="15" t="s">
        <v>141</v>
      </c>
      <c r="Z98" s="15" t="s">
        <v>142</v>
      </c>
      <c r="AA98" s="19" t="str">
        <f aca="false">HYPERLINK("https://www.transfermarkt.com/schnellsuche/ergebnis/schnellsuche?query="&amp;SUBSTITUTE(A98," ","+"),"Search Transfermarkt")</f>
        <v>Search Transfermarkt</v>
      </c>
    </row>
    <row r="99" customFormat="false" ht="23.85" hidden="false" customHeight="false" outlineLevel="0" collapsed="false">
      <c r="A99" s="15" t="s">
        <v>555</v>
      </c>
      <c r="B99" s="15" t="s">
        <v>106</v>
      </c>
      <c r="C99" s="15" t="s">
        <v>556</v>
      </c>
      <c r="D99" s="15" t="n">
        <v>2</v>
      </c>
      <c r="E99" s="15" t="s">
        <v>557</v>
      </c>
      <c r="F99" s="15" t="s">
        <v>136</v>
      </c>
      <c r="G99" s="15" t="n">
        <v>20</v>
      </c>
      <c r="H99" s="15" t="n">
        <v>2643</v>
      </c>
      <c r="I99" s="15" t="n">
        <v>0</v>
      </c>
      <c r="J99" s="15" t="n">
        <v>5</v>
      </c>
      <c r="K99" s="15" t="n">
        <v>61</v>
      </c>
      <c r="L99" s="15" t="n">
        <v>29</v>
      </c>
      <c r="M99" s="15" t="n">
        <v>84</v>
      </c>
      <c r="N99" s="15" t="n">
        <v>0</v>
      </c>
      <c r="O99" s="15" t="n">
        <v>0</v>
      </c>
      <c r="P99" s="16" t="n">
        <v>0</v>
      </c>
      <c r="Q99" s="15" t="n">
        <v>0</v>
      </c>
      <c r="R99" s="15" t="n">
        <v>0</v>
      </c>
      <c r="S99" s="17" t="n">
        <v>109356</v>
      </c>
      <c r="T99" s="15" t="s">
        <v>137</v>
      </c>
      <c r="U99" s="15" t="n">
        <v>2027</v>
      </c>
      <c r="V99" s="15" t="s">
        <v>558</v>
      </c>
      <c r="W99" s="18" t="s">
        <v>139</v>
      </c>
      <c r="X99" s="18" t="s">
        <v>283</v>
      </c>
      <c r="Y99" s="15" t="s">
        <v>141</v>
      </c>
      <c r="Z99" s="15" t="s">
        <v>142</v>
      </c>
      <c r="AA99" s="19" t="str">
        <f aca="false">HYPERLINK("https://www.transfermarkt.com/schnellsuche/ergebnis/schnellsuche?query="&amp;SUBSTITUTE(A99," ","+"),"Search Transfermarkt")</f>
        <v>Search Transfermarkt</v>
      </c>
    </row>
    <row r="100" customFormat="false" ht="23.85" hidden="false" customHeight="false" outlineLevel="0" collapsed="false">
      <c r="A100" s="15" t="s">
        <v>559</v>
      </c>
      <c r="B100" s="15" t="s">
        <v>102</v>
      </c>
      <c r="C100" s="15" t="s">
        <v>450</v>
      </c>
      <c r="D100" s="15" t="n">
        <v>4</v>
      </c>
      <c r="E100" s="15" t="s">
        <v>560</v>
      </c>
      <c r="F100" s="15" t="s">
        <v>170</v>
      </c>
      <c r="G100" s="15" t="n">
        <v>19</v>
      </c>
      <c r="H100" s="15" t="n">
        <v>1479</v>
      </c>
      <c r="I100" s="15" t="n">
        <v>7</v>
      </c>
      <c r="J100" s="15" t="n">
        <v>6</v>
      </c>
      <c r="K100" s="15" t="n">
        <v>119</v>
      </c>
      <c r="L100" s="15" t="n">
        <v>74</v>
      </c>
      <c r="M100" s="15" t="n">
        <v>46</v>
      </c>
      <c r="N100" s="15" t="n">
        <v>0</v>
      </c>
      <c r="O100" s="15" t="n">
        <v>0</v>
      </c>
      <c r="P100" s="16" t="n">
        <v>0</v>
      </c>
      <c r="Q100" s="15" t="n">
        <v>0</v>
      </c>
      <c r="R100" s="15" t="n">
        <v>0</v>
      </c>
      <c r="S100" s="17" t="n">
        <v>145990</v>
      </c>
      <c r="T100" s="15" t="s">
        <v>137</v>
      </c>
      <c r="U100" s="15" t="n">
        <v>2029</v>
      </c>
      <c r="V100" s="15" t="s">
        <v>561</v>
      </c>
      <c r="W100" s="18" t="s">
        <v>139</v>
      </c>
      <c r="X100" s="18" t="s">
        <v>453</v>
      </c>
      <c r="Y100" s="15" t="s">
        <v>141</v>
      </c>
      <c r="Z100" s="15" t="s">
        <v>142</v>
      </c>
      <c r="AA100" s="19" t="str">
        <f aca="false">HYPERLINK("https://www.transfermarkt.com/schnellsuche/ergebnis/schnellsuche?query="&amp;SUBSTITUTE(A100," ","+"),"Search Transfermarkt")</f>
        <v>Search Transfermarkt</v>
      </c>
    </row>
    <row r="101" customFormat="false" ht="23.85" hidden="false" customHeight="false" outlineLevel="0" collapsed="false">
      <c r="A101" s="15" t="s">
        <v>562</v>
      </c>
      <c r="B101" s="15" t="s">
        <v>88</v>
      </c>
      <c r="C101" s="15" t="s">
        <v>563</v>
      </c>
      <c r="D101" s="15" t="n">
        <v>2</v>
      </c>
      <c r="E101" s="15" t="s">
        <v>564</v>
      </c>
      <c r="F101" s="15" t="s">
        <v>136</v>
      </c>
      <c r="G101" s="15" t="n">
        <v>19</v>
      </c>
      <c r="H101" s="15" t="n">
        <v>1472</v>
      </c>
      <c r="I101" s="15" t="n">
        <v>2</v>
      </c>
      <c r="J101" s="15" t="n">
        <v>5</v>
      </c>
      <c r="K101" s="15" t="n">
        <v>68</v>
      </c>
      <c r="L101" s="15" t="n">
        <v>26</v>
      </c>
      <c r="M101" s="15" t="n">
        <v>91</v>
      </c>
      <c r="N101" s="15" t="n">
        <v>0</v>
      </c>
      <c r="O101" s="15" t="n">
        <v>0</v>
      </c>
      <c r="P101" s="16" t="n">
        <v>0</v>
      </c>
      <c r="Q101" s="15" t="n">
        <v>0</v>
      </c>
      <c r="R101" s="15" t="n">
        <v>0</v>
      </c>
      <c r="S101" s="17" t="n">
        <v>79441</v>
      </c>
      <c r="T101" s="15" t="s">
        <v>164</v>
      </c>
      <c r="U101" s="15" t="n">
        <v>2028</v>
      </c>
      <c r="V101" s="15" t="s">
        <v>565</v>
      </c>
      <c r="W101" s="18" t="s">
        <v>139</v>
      </c>
      <c r="X101" s="18" t="s">
        <v>320</v>
      </c>
      <c r="Y101" s="15" t="s">
        <v>141</v>
      </c>
      <c r="Z101" s="15" t="s">
        <v>142</v>
      </c>
      <c r="AA101" s="19" t="str">
        <f aca="false">HYPERLINK("https://www.transfermarkt.com/schnellsuche/ergebnis/schnellsuche?query="&amp;SUBSTITUTE(A101," ","+"),"Search Transfermarkt")</f>
        <v>Search Transfermarkt</v>
      </c>
    </row>
    <row r="102" customFormat="false" ht="23.85" hidden="false" customHeight="false" outlineLevel="0" collapsed="false">
      <c r="A102" s="15" t="s">
        <v>566</v>
      </c>
      <c r="B102" s="15" t="s">
        <v>81</v>
      </c>
      <c r="C102" s="15" t="s">
        <v>567</v>
      </c>
      <c r="D102" s="15" t="n">
        <v>3</v>
      </c>
      <c r="E102" s="15" t="s">
        <v>568</v>
      </c>
      <c r="F102" s="15" t="s">
        <v>136</v>
      </c>
      <c r="G102" s="15" t="n">
        <v>21</v>
      </c>
      <c r="H102" s="15" t="n">
        <v>960</v>
      </c>
      <c r="I102" s="15" t="n">
        <v>0</v>
      </c>
      <c r="J102" s="15" t="n">
        <v>0</v>
      </c>
      <c r="K102" s="15" t="n">
        <v>55</v>
      </c>
      <c r="L102" s="15" t="n">
        <v>27</v>
      </c>
      <c r="M102" s="15" t="n">
        <v>89</v>
      </c>
      <c r="N102" s="15" t="n">
        <v>0</v>
      </c>
      <c r="O102" s="15" t="n">
        <v>0</v>
      </c>
      <c r="P102" s="16" t="n">
        <v>0</v>
      </c>
      <c r="Q102" s="15" t="n">
        <v>0</v>
      </c>
      <c r="R102" s="15" t="n">
        <v>0</v>
      </c>
      <c r="S102" s="17" t="n">
        <v>25128</v>
      </c>
      <c r="T102" s="15" t="s">
        <v>186</v>
      </c>
      <c r="U102" s="15" t="n">
        <v>2029</v>
      </c>
      <c r="V102" s="15" t="s">
        <v>569</v>
      </c>
      <c r="W102" s="18" t="s">
        <v>188</v>
      </c>
      <c r="X102" s="18" t="s">
        <v>407</v>
      </c>
      <c r="Y102" s="15" t="s">
        <v>142</v>
      </c>
      <c r="Z102" s="15" t="s">
        <v>142</v>
      </c>
      <c r="AA102" s="19" t="str">
        <f aca="false">HYPERLINK("https://www.transfermarkt.com/schnellsuche/ergebnis/schnellsuche?query="&amp;SUBSTITUTE(A102," ","+"),"Search Transfermarkt")</f>
        <v>Search Transfermarkt</v>
      </c>
    </row>
    <row r="103" customFormat="false" ht="23.85" hidden="false" customHeight="false" outlineLevel="0" collapsed="false">
      <c r="A103" s="15" t="s">
        <v>570</v>
      </c>
      <c r="B103" s="15" t="s">
        <v>82</v>
      </c>
      <c r="C103" s="15" t="s">
        <v>430</v>
      </c>
      <c r="D103" s="15" t="n">
        <v>2</v>
      </c>
      <c r="E103" s="15" t="s">
        <v>571</v>
      </c>
      <c r="F103" s="15" t="s">
        <v>163</v>
      </c>
      <c r="G103" s="15" t="n">
        <v>26</v>
      </c>
      <c r="H103" s="15" t="n">
        <v>1364</v>
      </c>
      <c r="I103" s="15" t="n">
        <v>9</v>
      </c>
      <c r="J103" s="15" t="n">
        <v>2</v>
      </c>
      <c r="K103" s="15" t="n">
        <v>62</v>
      </c>
      <c r="L103" s="15" t="n">
        <v>63</v>
      </c>
      <c r="M103" s="15" t="n">
        <v>13</v>
      </c>
      <c r="N103" s="15" t="n">
        <v>0</v>
      </c>
      <c r="O103" s="15" t="n">
        <v>0</v>
      </c>
      <c r="P103" s="16" t="n">
        <v>0</v>
      </c>
      <c r="Q103" s="15" t="n">
        <v>0</v>
      </c>
      <c r="R103" s="15" t="n">
        <v>0</v>
      </c>
      <c r="S103" s="17" t="n">
        <v>0</v>
      </c>
      <c r="T103" s="15" t="s">
        <v>164</v>
      </c>
      <c r="U103" s="15" t="n">
        <v>2026</v>
      </c>
      <c r="V103" s="15" t="s">
        <v>572</v>
      </c>
      <c r="W103" s="18" t="s">
        <v>139</v>
      </c>
      <c r="X103" s="18" t="s">
        <v>166</v>
      </c>
      <c r="Y103" s="15" t="s">
        <v>142</v>
      </c>
      <c r="Z103" s="15" t="s">
        <v>142</v>
      </c>
      <c r="AA103" s="19" t="str">
        <f aca="false">HYPERLINK("https://www.transfermarkt.com/schnellsuche/ergebnis/schnellsuche?query="&amp;SUBSTITUTE(A103," ","+"),"Search Transfermarkt")</f>
        <v>Search Transfermarkt</v>
      </c>
    </row>
    <row r="104" customFormat="false" ht="23.85" hidden="false" customHeight="false" outlineLevel="0" collapsed="false">
      <c r="A104" s="15" t="s">
        <v>573</v>
      </c>
      <c r="B104" s="15" t="s">
        <v>99</v>
      </c>
      <c r="C104" s="15" t="s">
        <v>574</v>
      </c>
      <c r="D104" s="15" t="n">
        <v>4</v>
      </c>
      <c r="E104" s="15" t="s">
        <v>185</v>
      </c>
      <c r="F104" s="15" t="s">
        <v>136</v>
      </c>
      <c r="G104" s="15" t="n">
        <v>23</v>
      </c>
      <c r="H104" s="15" t="n">
        <v>1426</v>
      </c>
      <c r="I104" s="15" t="n">
        <v>3</v>
      </c>
      <c r="J104" s="15" t="n">
        <v>0</v>
      </c>
      <c r="K104" s="15" t="n">
        <v>39</v>
      </c>
      <c r="L104" s="15" t="n">
        <v>22</v>
      </c>
      <c r="M104" s="15" t="n">
        <v>88</v>
      </c>
      <c r="N104" s="15" t="n">
        <v>0</v>
      </c>
      <c r="O104" s="15" t="n">
        <v>0</v>
      </c>
      <c r="P104" s="16" t="n">
        <v>0</v>
      </c>
      <c r="Q104" s="15" t="n">
        <v>0</v>
      </c>
      <c r="R104" s="15" t="n">
        <v>0</v>
      </c>
      <c r="S104" s="17" t="n">
        <v>42732</v>
      </c>
      <c r="T104" s="15" t="s">
        <v>164</v>
      </c>
      <c r="U104" s="15" t="n">
        <v>2027</v>
      </c>
      <c r="V104" s="15" t="s">
        <v>187</v>
      </c>
      <c r="W104" s="18" t="s">
        <v>139</v>
      </c>
      <c r="X104" s="18" t="s">
        <v>189</v>
      </c>
      <c r="Y104" s="15" t="s">
        <v>142</v>
      </c>
      <c r="Z104" s="15" t="s">
        <v>142</v>
      </c>
      <c r="AA104" s="19" t="str">
        <f aca="false">HYPERLINK("https://www.transfermarkt.com/schnellsuche/ergebnis/schnellsuche?query="&amp;SUBSTITUTE(A104," ","+"),"Search Transfermarkt")</f>
        <v>Search Transfermarkt</v>
      </c>
    </row>
    <row r="105" customFormat="false" ht="23.85" hidden="false" customHeight="false" outlineLevel="0" collapsed="false">
      <c r="A105" s="15" t="s">
        <v>575</v>
      </c>
      <c r="B105" s="15" t="s">
        <v>88</v>
      </c>
      <c r="C105" s="15" t="s">
        <v>343</v>
      </c>
      <c r="D105" s="15" t="n">
        <v>3</v>
      </c>
      <c r="E105" s="15" t="s">
        <v>318</v>
      </c>
      <c r="F105" s="15" t="s">
        <v>157</v>
      </c>
      <c r="G105" s="15" t="n">
        <v>20</v>
      </c>
      <c r="H105" s="15" t="n">
        <v>2649</v>
      </c>
      <c r="I105" s="15" t="n">
        <v>0</v>
      </c>
      <c r="J105" s="15" t="n">
        <v>0</v>
      </c>
      <c r="K105" s="15" t="n">
        <v>9</v>
      </c>
      <c r="L105" s="15" t="n">
        <v>4</v>
      </c>
      <c r="M105" s="15" t="n">
        <v>3</v>
      </c>
      <c r="N105" s="15" t="n">
        <v>69</v>
      </c>
      <c r="O105" s="15" t="n">
        <v>47</v>
      </c>
      <c r="P105" s="16" t="n">
        <v>90.9</v>
      </c>
      <c r="Q105" s="15" t="n">
        <v>5.1</v>
      </c>
      <c r="R105" s="15" t="n">
        <v>13</v>
      </c>
      <c r="S105" s="17" t="n">
        <v>0</v>
      </c>
      <c r="T105" s="15" t="s">
        <v>164</v>
      </c>
      <c r="U105" s="15" t="n">
        <v>2026</v>
      </c>
      <c r="V105" s="15" t="s">
        <v>319</v>
      </c>
      <c r="W105" s="18" t="s">
        <v>139</v>
      </c>
      <c r="X105" s="18" t="s">
        <v>320</v>
      </c>
      <c r="Y105" s="15" t="s">
        <v>142</v>
      </c>
      <c r="Z105" s="15" t="s">
        <v>142</v>
      </c>
      <c r="AA105" s="19" t="str">
        <f aca="false">HYPERLINK("https://www.transfermarkt.com/schnellsuche/ergebnis/schnellsuche?query="&amp;SUBSTITUTE(A105," ","+"),"Search Transfermarkt")</f>
        <v>Search Transfermarkt</v>
      </c>
    </row>
    <row r="106" customFormat="false" ht="23.85" hidden="false" customHeight="false" outlineLevel="0" collapsed="false">
      <c r="A106" s="15" t="s">
        <v>576</v>
      </c>
      <c r="B106" s="15" t="s">
        <v>79</v>
      </c>
      <c r="C106" s="15" t="s">
        <v>513</v>
      </c>
      <c r="D106" s="15" t="n">
        <v>2</v>
      </c>
      <c r="E106" s="15" t="s">
        <v>577</v>
      </c>
      <c r="F106" s="15" t="s">
        <v>157</v>
      </c>
      <c r="G106" s="15" t="n">
        <v>20</v>
      </c>
      <c r="H106" s="15" t="n">
        <v>1917</v>
      </c>
      <c r="I106" s="15" t="n">
        <v>0</v>
      </c>
      <c r="J106" s="15" t="n">
        <v>0</v>
      </c>
      <c r="K106" s="15" t="n">
        <v>14</v>
      </c>
      <c r="L106" s="15" t="n">
        <v>1</v>
      </c>
      <c r="M106" s="15" t="n">
        <v>9</v>
      </c>
      <c r="N106" s="15" t="n">
        <v>56</v>
      </c>
      <c r="O106" s="15" t="n">
        <v>24</v>
      </c>
      <c r="P106" s="16" t="n">
        <v>83.6</v>
      </c>
      <c r="Q106" s="15" t="n">
        <v>12.4</v>
      </c>
      <c r="R106" s="15" t="n">
        <v>7</v>
      </c>
      <c r="S106" s="17" t="n">
        <v>120697</v>
      </c>
      <c r="T106" s="15" t="s">
        <v>164</v>
      </c>
      <c r="U106" s="15" t="n">
        <v>2027</v>
      </c>
      <c r="V106" s="15" t="s">
        <v>578</v>
      </c>
      <c r="W106" s="18" t="s">
        <v>139</v>
      </c>
      <c r="X106" s="18" t="s">
        <v>412</v>
      </c>
      <c r="Y106" s="15" t="s">
        <v>142</v>
      </c>
      <c r="Z106" s="15" t="s">
        <v>142</v>
      </c>
      <c r="AA106" s="19" t="str">
        <f aca="false">HYPERLINK("https://www.transfermarkt.com/schnellsuche/ergebnis/schnellsuche?query="&amp;SUBSTITUTE(A106," ","+"),"Search Transfermarkt")</f>
        <v>Search Transfermarkt</v>
      </c>
    </row>
    <row r="107" customFormat="false" ht="23.85" hidden="false" customHeight="false" outlineLevel="0" collapsed="false">
      <c r="A107" s="15" t="s">
        <v>579</v>
      </c>
      <c r="B107" s="15" t="s">
        <v>71</v>
      </c>
      <c r="C107" s="15" t="s">
        <v>580</v>
      </c>
      <c r="D107" s="15" t="n">
        <v>3</v>
      </c>
      <c r="E107" s="15" t="s">
        <v>581</v>
      </c>
      <c r="F107" s="15" t="s">
        <v>136</v>
      </c>
      <c r="G107" s="15" t="n">
        <v>19</v>
      </c>
      <c r="H107" s="15" t="n">
        <v>1623</v>
      </c>
      <c r="I107" s="15" t="n">
        <v>1</v>
      </c>
      <c r="J107" s="15" t="n">
        <v>3</v>
      </c>
      <c r="K107" s="15" t="n">
        <v>55</v>
      </c>
      <c r="L107" s="15" t="n">
        <v>45</v>
      </c>
      <c r="M107" s="15" t="n">
        <v>130</v>
      </c>
      <c r="N107" s="15" t="n">
        <v>0</v>
      </c>
      <c r="O107" s="15" t="n">
        <v>0</v>
      </c>
      <c r="P107" s="16" t="n">
        <v>0</v>
      </c>
      <c r="Q107" s="15" t="n">
        <v>0</v>
      </c>
      <c r="R107" s="15" t="n">
        <v>0</v>
      </c>
      <c r="S107" s="17" t="n">
        <v>128215</v>
      </c>
      <c r="T107" s="15" t="s">
        <v>164</v>
      </c>
      <c r="U107" s="15" t="n">
        <v>2028</v>
      </c>
      <c r="V107" s="15" t="s">
        <v>582</v>
      </c>
      <c r="W107" s="18" t="s">
        <v>139</v>
      </c>
      <c r="X107" s="18" t="s">
        <v>177</v>
      </c>
      <c r="Y107" s="15" t="s">
        <v>142</v>
      </c>
      <c r="Z107" s="15" t="s">
        <v>142</v>
      </c>
      <c r="AA107" s="19" t="str">
        <f aca="false">HYPERLINK("https://www.transfermarkt.com/schnellsuche/ergebnis/schnellsuche?query="&amp;SUBSTITUTE(A107," ","+"),"Search Transfermarkt")</f>
        <v>Search Transfermarkt</v>
      </c>
    </row>
    <row r="108" customFormat="false" ht="23.85" hidden="false" customHeight="false" outlineLevel="0" collapsed="false">
      <c r="A108" s="15" t="s">
        <v>583</v>
      </c>
      <c r="B108" s="15" t="s">
        <v>67</v>
      </c>
      <c r="C108" s="15" t="s">
        <v>584</v>
      </c>
      <c r="D108" s="15" t="n">
        <v>2</v>
      </c>
      <c r="E108" s="15" t="s">
        <v>585</v>
      </c>
      <c r="F108" s="15" t="s">
        <v>136</v>
      </c>
      <c r="G108" s="15" t="n">
        <v>22</v>
      </c>
      <c r="H108" s="15" t="n">
        <v>967</v>
      </c>
      <c r="I108" s="15" t="n">
        <v>0</v>
      </c>
      <c r="J108" s="15" t="n">
        <v>1</v>
      </c>
      <c r="K108" s="15" t="n">
        <v>65</v>
      </c>
      <c r="L108" s="15" t="n">
        <v>30</v>
      </c>
      <c r="M108" s="15" t="n">
        <v>92</v>
      </c>
      <c r="N108" s="15" t="n">
        <v>0</v>
      </c>
      <c r="O108" s="15" t="n">
        <v>0</v>
      </c>
      <c r="P108" s="16" t="n">
        <v>0</v>
      </c>
      <c r="Q108" s="15" t="n">
        <v>0</v>
      </c>
      <c r="R108" s="15" t="n">
        <v>0</v>
      </c>
      <c r="S108" s="17" t="n">
        <v>110314</v>
      </c>
      <c r="T108" s="15" t="s">
        <v>137</v>
      </c>
      <c r="U108" s="15" t="n">
        <v>2029</v>
      </c>
      <c r="V108" s="15" t="s">
        <v>586</v>
      </c>
      <c r="W108" s="18" t="s">
        <v>139</v>
      </c>
      <c r="X108" s="18" t="s">
        <v>236</v>
      </c>
      <c r="Y108" s="15" t="s">
        <v>142</v>
      </c>
      <c r="Z108" s="15" t="s">
        <v>142</v>
      </c>
      <c r="AA108" s="19" t="str">
        <f aca="false">HYPERLINK("https://www.transfermarkt.com/schnellsuche/ergebnis/schnellsuche?query="&amp;SUBSTITUTE(A108," ","+"),"Search Transfermarkt")</f>
        <v>Search Transfermarkt</v>
      </c>
    </row>
    <row r="109" customFormat="false" ht="23.85" hidden="false" customHeight="false" outlineLevel="0" collapsed="false">
      <c r="A109" s="15" t="s">
        <v>587</v>
      </c>
      <c r="B109" s="15" t="s">
        <v>64</v>
      </c>
      <c r="C109" s="15" t="s">
        <v>588</v>
      </c>
      <c r="D109" s="15" t="n">
        <v>2</v>
      </c>
      <c r="E109" s="15" t="s">
        <v>443</v>
      </c>
      <c r="F109" s="15" t="s">
        <v>170</v>
      </c>
      <c r="G109" s="15" t="n">
        <v>18</v>
      </c>
      <c r="H109" s="15" t="n">
        <v>2061</v>
      </c>
      <c r="I109" s="15" t="n">
        <v>3</v>
      </c>
      <c r="J109" s="15" t="n">
        <v>7</v>
      </c>
      <c r="K109" s="15" t="n">
        <v>148</v>
      </c>
      <c r="L109" s="15" t="n">
        <v>58</v>
      </c>
      <c r="M109" s="15" t="n">
        <v>30</v>
      </c>
      <c r="N109" s="15" t="n">
        <v>0</v>
      </c>
      <c r="O109" s="15" t="n">
        <v>0</v>
      </c>
      <c r="P109" s="16" t="n">
        <v>0</v>
      </c>
      <c r="Q109" s="15" t="n">
        <v>0</v>
      </c>
      <c r="R109" s="15" t="n">
        <v>0</v>
      </c>
      <c r="S109" s="17" t="n">
        <v>0</v>
      </c>
      <c r="T109" s="15" t="s">
        <v>186</v>
      </c>
      <c r="U109" s="15" t="n">
        <v>2027</v>
      </c>
      <c r="V109" s="15" t="s">
        <v>444</v>
      </c>
      <c r="W109" s="18" t="s">
        <v>188</v>
      </c>
      <c r="X109" s="18" t="s">
        <v>231</v>
      </c>
      <c r="Y109" s="15" t="s">
        <v>142</v>
      </c>
      <c r="Z109" s="15" t="s">
        <v>142</v>
      </c>
      <c r="AA109" s="19" t="str">
        <f aca="false">HYPERLINK("https://www.transfermarkt.com/schnellsuche/ergebnis/schnellsuche?query="&amp;SUBSTITUTE(A109," ","+"),"Search Transfermarkt")</f>
        <v>Search Transfermarkt</v>
      </c>
    </row>
    <row r="110" customFormat="false" ht="23.85" hidden="false" customHeight="false" outlineLevel="0" collapsed="false">
      <c r="A110" s="15" t="s">
        <v>589</v>
      </c>
      <c r="B110" s="15" t="s">
        <v>104</v>
      </c>
      <c r="C110" s="15" t="s">
        <v>590</v>
      </c>
      <c r="D110" s="15" t="n">
        <v>2</v>
      </c>
      <c r="E110" s="15" t="s">
        <v>591</v>
      </c>
      <c r="F110" s="15" t="s">
        <v>170</v>
      </c>
      <c r="G110" s="15" t="n">
        <v>22</v>
      </c>
      <c r="H110" s="15" t="n">
        <v>1722</v>
      </c>
      <c r="I110" s="15" t="n">
        <v>7</v>
      </c>
      <c r="J110" s="15" t="n">
        <v>5</v>
      </c>
      <c r="K110" s="15" t="n">
        <v>150</v>
      </c>
      <c r="L110" s="15" t="n">
        <v>74</v>
      </c>
      <c r="M110" s="15" t="n">
        <v>47</v>
      </c>
      <c r="N110" s="15" t="n">
        <v>0</v>
      </c>
      <c r="O110" s="15" t="n">
        <v>0</v>
      </c>
      <c r="P110" s="16" t="n">
        <v>0</v>
      </c>
      <c r="Q110" s="15" t="n">
        <v>0</v>
      </c>
      <c r="R110" s="15" t="n">
        <v>0</v>
      </c>
      <c r="S110" s="17" t="n">
        <v>0</v>
      </c>
      <c r="T110" s="15" t="s">
        <v>164</v>
      </c>
      <c r="U110" s="15" t="n">
        <v>2028</v>
      </c>
      <c r="V110" s="15" t="s">
        <v>592</v>
      </c>
      <c r="W110" s="18" t="s">
        <v>139</v>
      </c>
      <c r="X110" s="18" t="s">
        <v>274</v>
      </c>
      <c r="Y110" s="15" t="s">
        <v>142</v>
      </c>
      <c r="Z110" s="15" t="s">
        <v>142</v>
      </c>
      <c r="AA110" s="19" t="str">
        <f aca="false">HYPERLINK("https://www.transfermarkt.com/schnellsuche/ergebnis/schnellsuche?query="&amp;SUBSTITUTE(A110," ","+"),"Search Transfermarkt")</f>
        <v>Search Transfermarkt</v>
      </c>
    </row>
    <row r="111" customFormat="false" ht="23.85" hidden="false" customHeight="false" outlineLevel="0" collapsed="false">
      <c r="A111" s="15" t="s">
        <v>593</v>
      </c>
      <c r="B111" s="15" t="s">
        <v>94</v>
      </c>
      <c r="C111" s="15" t="s">
        <v>594</v>
      </c>
      <c r="D111" s="15" t="n">
        <v>2</v>
      </c>
      <c r="E111" s="15" t="s">
        <v>595</v>
      </c>
      <c r="F111" s="15" t="s">
        <v>136</v>
      </c>
      <c r="G111" s="15" t="n">
        <v>19</v>
      </c>
      <c r="H111" s="15" t="n">
        <v>806</v>
      </c>
      <c r="I111" s="15" t="n">
        <v>2</v>
      </c>
      <c r="J111" s="15" t="n">
        <v>0</v>
      </c>
      <c r="K111" s="15" t="n">
        <v>67</v>
      </c>
      <c r="L111" s="15" t="n">
        <v>37</v>
      </c>
      <c r="M111" s="15" t="n">
        <v>82</v>
      </c>
      <c r="N111" s="15" t="n">
        <v>0</v>
      </c>
      <c r="O111" s="15" t="n">
        <v>0</v>
      </c>
      <c r="P111" s="16" t="n">
        <v>0</v>
      </c>
      <c r="Q111" s="15" t="n">
        <v>0</v>
      </c>
      <c r="R111" s="15" t="n">
        <v>0</v>
      </c>
      <c r="S111" s="17" t="n">
        <v>139707</v>
      </c>
      <c r="T111" s="15" t="s">
        <v>164</v>
      </c>
      <c r="U111" s="15" t="n">
        <v>2029</v>
      </c>
      <c r="V111" s="15" t="s">
        <v>596</v>
      </c>
      <c r="W111" s="18" t="s">
        <v>139</v>
      </c>
      <c r="X111" s="18" t="s">
        <v>226</v>
      </c>
      <c r="Y111" s="15" t="s">
        <v>142</v>
      </c>
      <c r="Z111" s="15" t="s">
        <v>142</v>
      </c>
      <c r="AA111" s="19" t="str">
        <f aca="false">HYPERLINK("https://www.transfermarkt.com/schnellsuche/ergebnis/schnellsuche?query="&amp;SUBSTITUTE(A111," ","+"),"Search Transfermarkt")</f>
        <v>Search Transfermarkt</v>
      </c>
    </row>
    <row r="112" customFormat="false" ht="23.85" hidden="false" customHeight="false" outlineLevel="0" collapsed="false">
      <c r="A112" s="15" t="s">
        <v>597</v>
      </c>
      <c r="B112" s="15" t="s">
        <v>67</v>
      </c>
      <c r="C112" s="15" t="s">
        <v>233</v>
      </c>
      <c r="D112" s="15" t="n">
        <v>2</v>
      </c>
      <c r="E112" s="15" t="s">
        <v>598</v>
      </c>
      <c r="F112" s="15" t="s">
        <v>136</v>
      </c>
      <c r="G112" s="15" t="n">
        <v>22</v>
      </c>
      <c r="H112" s="15" t="n">
        <v>1489</v>
      </c>
      <c r="I112" s="15" t="n">
        <v>1</v>
      </c>
      <c r="J112" s="15" t="n">
        <v>2</v>
      </c>
      <c r="K112" s="15" t="n">
        <v>60</v>
      </c>
      <c r="L112" s="15" t="n">
        <v>33</v>
      </c>
      <c r="M112" s="15" t="n">
        <v>125</v>
      </c>
      <c r="N112" s="15" t="n">
        <v>0</v>
      </c>
      <c r="O112" s="15" t="n">
        <v>0</v>
      </c>
      <c r="P112" s="16" t="n">
        <v>0</v>
      </c>
      <c r="Q112" s="15" t="n">
        <v>0</v>
      </c>
      <c r="R112" s="15" t="n">
        <v>0</v>
      </c>
      <c r="S112" s="17" t="n">
        <v>0</v>
      </c>
      <c r="T112" s="15" t="s">
        <v>164</v>
      </c>
      <c r="U112" s="15" t="n">
        <v>2028</v>
      </c>
      <c r="V112" s="15" t="s">
        <v>599</v>
      </c>
      <c r="W112" s="18" t="s">
        <v>139</v>
      </c>
      <c r="X112" s="18" t="s">
        <v>236</v>
      </c>
      <c r="Y112" s="15" t="s">
        <v>600</v>
      </c>
      <c r="Z112" s="15" t="s">
        <v>600</v>
      </c>
      <c r="AA112" s="19" t="str">
        <f aca="false">HYPERLINK("https://www.transfermarkt.com/schnellsuche/ergebnis/schnellsuche?query="&amp;SUBSTITUTE(A112," ","+"),"Search Transfermarkt")</f>
        <v>Search Transfermarkt</v>
      </c>
    </row>
    <row r="113" customFormat="false" ht="23.85" hidden="false" customHeight="false" outlineLevel="0" collapsed="false">
      <c r="A113" s="15" t="s">
        <v>601</v>
      </c>
      <c r="B113" s="15" t="s">
        <v>77</v>
      </c>
      <c r="C113" s="15" t="s">
        <v>446</v>
      </c>
      <c r="D113" s="15" t="n">
        <v>2</v>
      </c>
      <c r="E113" s="15" t="s">
        <v>602</v>
      </c>
      <c r="F113" s="15" t="s">
        <v>170</v>
      </c>
      <c r="G113" s="15" t="n">
        <v>21</v>
      </c>
      <c r="H113" s="15" t="n">
        <v>2329</v>
      </c>
      <c r="I113" s="15" t="n">
        <v>1</v>
      </c>
      <c r="J113" s="15" t="n">
        <v>11</v>
      </c>
      <c r="K113" s="15" t="n">
        <v>156</v>
      </c>
      <c r="L113" s="15" t="n">
        <v>96</v>
      </c>
      <c r="M113" s="15" t="n">
        <v>47</v>
      </c>
      <c r="N113" s="15" t="n">
        <v>0</v>
      </c>
      <c r="O113" s="15" t="n">
        <v>0</v>
      </c>
      <c r="P113" s="16" t="n">
        <v>0</v>
      </c>
      <c r="Q113" s="15" t="n">
        <v>0</v>
      </c>
      <c r="R113" s="15" t="n">
        <v>0</v>
      </c>
      <c r="S113" s="17" t="n">
        <v>82789</v>
      </c>
      <c r="T113" s="15" t="s">
        <v>186</v>
      </c>
      <c r="U113" s="15" t="n">
        <v>2029</v>
      </c>
      <c r="V113" s="15" t="s">
        <v>603</v>
      </c>
      <c r="W113" s="18" t="s">
        <v>188</v>
      </c>
      <c r="X113" s="18" t="s">
        <v>358</v>
      </c>
      <c r="Y113" s="15" t="s">
        <v>600</v>
      </c>
      <c r="Z113" s="15" t="s">
        <v>600</v>
      </c>
      <c r="AA113" s="19" t="str">
        <f aca="false">HYPERLINK("https://www.transfermarkt.com/schnellsuche/ergebnis/schnellsuche?query="&amp;SUBSTITUTE(A113," ","+"),"Search Transfermarkt")</f>
        <v>Search Transfermarkt</v>
      </c>
    </row>
    <row r="114" customFormat="false" ht="23.85" hidden="false" customHeight="false" outlineLevel="0" collapsed="false">
      <c r="A114" s="15" t="s">
        <v>604</v>
      </c>
      <c r="B114" s="15" t="s">
        <v>68</v>
      </c>
      <c r="C114" s="15" t="s">
        <v>605</v>
      </c>
      <c r="D114" s="15" t="n">
        <v>4</v>
      </c>
      <c r="E114" s="15" t="s">
        <v>606</v>
      </c>
      <c r="F114" s="15" t="s">
        <v>136</v>
      </c>
      <c r="G114" s="15" t="n">
        <v>23</v>
      </c>
      <c r="H114" s="15" t="n">
        <v>2333</v>
      </c>
      <c r="I114" s="15" t="n">
        <v>3</v>
      </c>
      <c r="J114" s="15" t="n">
        <v>3</v>
      </c>
      <c r="K114" s="15" t="n">
        <v>60</v>
      </c>
      <c r="L114" s="15" t="n">
        <v>42</v>
      </c>
      <c r="M114" s="15" t="n">
        <v>114</v>
      </c>
      <c r="N114" s="15" t="n">
        <v>0</v>
      </c>
      <c r="O114" s="15" t="n">
        <v>0</v>
      </c>
      <c r="P114" s="16" t="n">
        <v>0</v>
      </c>
      <c r="Q114" s="15" t="n">
        <v>0</v>
      </c>
      <c r="R114" s="15" t="n">
        <v>0</v>
      </c>
      <c r="S114" s="17" t="n">
        <v>68284</v>
      </c>
      <c r="T114" s="15" t="s">
        <v>186</v>
      </c>
      <c r="U114" s="15" t="n">
        <v>2026</v>
      </c>
      <c r="V114" s="15" t="s">
        <v>607</v>
      </c>
      <c r="W114" s="18" t="s">
        <v>188</v>
      </c>
      <c r="X114" s="18" t="s">
        <v>153</v>
      </c>
      <c r="Y114" s="15" t="s">
        <v>600</v>
      </c>
      <c r="Z114" s="15" t="s">
        <v>600</v>
      </c>
      <c r="AA114" s="19" t="str">
        <f aca="false">HYPERLINK("https://www.transfermarkt.com/schnellsuche/ergebnis/schnellsuche?query="&amp;SUBSTITUTE(A114," ","+"),"Search Transfermarkt")</f>
        <v>Search Transfermarkt</v>
      </c>
    </row>
    <row r="115" customFormat="false" ht="23.85" hidden="false" customHeight="false" outlineLevel="0" collapsed="false">
      <c r="A115" s="15" t="s">
        <v>608</v>
      </c>
      <c r="B115" s="15" t="s">
        <v>98</v>
      </c>
      <c r="C115" s="15" t="s">
        <v>609</v>
      </c>
      <c r="D115" s="15" t="n">
        <v>3</v>
      </c>
      <c r="E115" s="15" t="s">
        <v>610</v>
      </c>
      <c r="F115" s="15" t="s">
        <v>170</v>
      </c>
      <c r="G115" s="15" t="n">
        <v>17</v>
      </c>
      <c r="H115" s="15" t="n">
        <v>2659</v>
      </c>
      <c r="I115" s="15" t="n">
        <v>3</v>
      </c>
      <c r="J115" s="15" t="n">
        <v>4</v>
      </c>
      <c r="K115" s="15" t="n">
        <v>123</v>
      </c>
      <c r="L115" s="15" t="n">
        <v>86</v>
      </c>
      <c r="M115" s="15" t="n">
        <v>28</v>
      </c>
      <c r="N115" s="15" t="n">
        <v>0</v>
      </c>
      <c r="O115" s="15" t="n">
        <v>0</v>
      </c>
      <c r="P115" s="16" t="n">
        <v>0</v>
      </c>
      <c r="Q115" s="15" t="n">
        <v>0</v>
      </c>
      <c r="R115" s="15" t="n">
        <v>0</v>
      </c>
      <c r="S115" s="17" t="n">
        <v>108298</v>
      </c>
      <c r="T115" s="15" t="s">
        <v>137</v>
      </c>
      <c r="U115" s="15" t="n">
        <v>2029</v>
      </c>
      <c r="V115" s="15" t="s">
        <v>611</v>
      </c>
      <c r="W115" s="18" t="s">
        <v>147</v>
      </c>
      <c r="X115" s="18" t="s">
        <v>148</v>
      </c>
      <c r="Y115" s="15" t="s">
        <v>600</v>
      </c>
      <c r="Z115" s="15" t="s">
        <v>600</v>
      </c>
      <c r="AA115" s="19" t="str">
        <f aca="false">HYPERLINK("https://www.transfermarkt.com/schnellsuche/ergebnis/schnellsuche?query="&amp;SUBSTITUTE(A115," ","+"),"Search Transfermarkt")</f>
        <v>Search Transfermarkt</v>
      </c>
    </row>
    <row r="116" customFormat="false" ht="23.85" hidden="false" customHeight="false" outlineLevel="0" collapsed="false">
      <c r="A116" s="15" t="s">
        <v>612</v>
      </c>
      <c r="B116" s="15" t="s">
        <v>88</v>
      </c>
      <c r="C116" s="15" t="s">
        <v>613</v>
      </c>
      <c r="D116" s="15" t="n">
        <v>4</v>
      </c>
      <c r="E116" s="15" t="s">
        <v>614</v>
      </c>
      <c r="F116" s="15" t="s">
        <v>163</v>
      </c>
      <c r="G116" s="15" t="n">
        <v>24</v>
      </c>
      <c r="H116" s="15" t="n">
        <v>1380</v>
      </c>
      <c r="I116" s="15" t="n">
        <v>20</v>
      </c>
      <c r="J116" s="15" t="n">
        <v>9</v>
      </c>
      <c r="K116" s="15" t="n">
        <v>48</v>
      </c>
      <c r="L116" s="15" t="n">
        <v>89</v>
      </c>
      <c r="M116" s="15" t="n">
        <v>13</v>
      </c>
      <c r="N116" s="15" t="n">
        <v>0</v>
      </c>
      <c r="O116" s="15" t="n">
        <v>0</v>
      </c>
      <c r="P116" s="16" t="n">
        <v>0</v>
      </c>
      <c r="Q116" s="15" t="n">
        <v>0</v>
      </c>
      <c r="R116" s="15" t="n">
        <v>0</v>
      </c>
      <c r="S116" s="17" t="n">
        <v>18851</v>
      </c>
      <c r="T116" s="15" t="s">
        <v>137</v>
      </c>
      <c r="U116" s="15" t="n">
        <v>2027</v>
      </c>
      <c r="V116" s="15" t="s">
        <v>615</v>
      </c>
      <c r="W116" s="18" t="s">
        <v>139</v>
      </c>
      <c r="X116" s="18" t="s">
        <v>320</v>
      </c>
      <c r="Y116" s="15" t="s">
        <v>600</v>
      </c>
      <c r="Z116" s="15" t="s">
        <v>600</v>
      </c>
      <c r="AA116" s="19" t="str">
        <f aca="false">HYPERLINK("https://www.transfermarkt.com/schnellsuche/ergebnis/schnellsuche?query="&amp;SUBSTITUTE(A116," ","+"),"Search Transfermarkt")</f>
        <v>Search Transfermarkt</v>
      </c>
    </row>
    <row r="117" customFormat="false" ht="23.85" hidden="false" customHeight="false" outlineLevel="0" collapsed="false">
      <c r="A117" s="15" t="s">
        <v>616</v>
      </c>
      <c r="B117" s="15" t="s">
        <v>76</v>
      </c>
      <c r="C117" s="15" t="s">
        <v>617</v>
      </c>
      <c r="D117" s="15" t="n">
        <v>2</v>
      </c>
      <c r="E117" s="15" t="s">
        <v>618</v>
      </c>
      <c r="F117" s="15" t="s">
        <v>170</v>
      </c>
      <c r="G117" s="15" t="n">
        <v>26</v>
      </c>
      <c r="H117" s="15" t="n">
        <v>2257</v>
      </c>
      <c r="I117" s="15" t="n">
        <v>1</v>
      </c>
      <c r="J117" s="15" t="n">
        <v>6</v>
      </c>
      <c r="K117" s="15" t="n">
        <v>124</v>
      </c>
      <c r="L117" s="15" t="n">
        <v>72</v>
      </c>
      <c r="M117" s="15" t="n">
        <v>34</v>
      </c>
      <c r="N117" s="15" t="n">
        <v>0</v>
      </c>
      <c r="O117" s="15" t="n">
        <v>0</v>
      </c>
      <c r="P117" s="16" t="n">
        <v>0</v>
      </c>
      <c r="Q117" s="15" t="n">
        <v>0</v>
      </c>
      <c r="R117" s="15" t="n">
        <v>0</v>
      </c>
      <c r="S117" s="17" t="n">
        <v>31407</v>
      </c>
      <c r="T117" s="15" t="s">
        <v>164</v>
      </c>
      <c r="U117" s="15" t="n">
        <v>2028</v>
      </c>
      <c r="V117" s="15" t="s">
        <v>619</v>
      </c>
      <c r="W117" s="18" t="s">
        <v>139</v>
      </c>
      <c r="X117" s="18" t="s">
        <v>241</v>
      </c>
      <c r="Y117" s="15" t="s">
        <v>600</v>
      </c>
      <c r="Z117" s="15" t="s">
        <v>600</v>
      </c>
      <c r="AA117" s="19" t="str">
        <f aca="false">HYPERLINK("https://www.transfermarkt.com/schnellsuche/ergebnis/schnellsuche?query="&amp;SUBSTITUTE(A117," ","+"),"Search Transfermarkt")</f>
        <v>Search Transfermarkt</v>
      </c>
    </row>
    <row r="118" customFormat="false" ht="23.85" hidden="false" customHeight="false" outlineLevel="0" collapsed="false">
      <c r="A118" s="15" t="s">
        <v>620</v>
      </c>
      <c r="B118" s="15" t="s">
        <v>88</v>
      </c>
      <c r="C118" s="15" t="s">
        <v>343</v>
      </c>
      <c r="D118" s="15" t="n">
        <v>2</v>
      </c>
      <c r="E118" s="15" t="s">
        <v>621</v>
      </c>
      <c r="F118" s="15" t="s">
        <v>163</v>
      </c>
      <c r="G118" s="15" t="n">
        <v>20</v>
      </c>
      <c r="H118" s="15" t="n">
        <v>1194</v>
      </c>
      <c r="I118" s="15" t="n">
        <v>16</v>
      </c>
      <c r="J118" s="15" t="n">
        <v>3</v>
      </c>
      <c r="K118" s="15" t="n">
        <v>32</v>
      </c>
      <c r="L118" s="15" t="n">
        <v>89</v>
      </c>
      <c r="M118" s="15" t="n">
        <v>5</v>
      </c>
      <c r="N118" s="15" t="n">
        <v>0</v>
      </c>
      <c r="O118" s="15" t="n">
        <v>0</v>
      </c>
      <c r="P118" s="16" t="n">
        <v>0</v>
      </c>
      <c r="Q118" s="15" t="n">
        <v>0</v>
      </c>
      <c r="R118" s="15" t="n">
        <v>0</v>
      </c>
      <c r="S118" s="17" t="n">
        <v>12707</v>
      </c>
      <c r="T118" s="15" t="s">
        <v>164</v>
      </c>
      <c r="U118" s="15" t="n">
        <v>2027</v>
      </c>
      <c r="V118" s="15" t="s">
        <v>622</v>
      </c>
      <c r="W118" s="18" t="s">
        <v>139</v>
      </c>
      <c r="X118" s="18" t="s">
        <v>320</v>
      </c>
      <c r="Y118" s="15" t="s">
        <v>600</v>
      </c>
      <c r="Z118" s="15" t="s">
        <v>600</v>
      </c>
      <c r="AA118" s="19" t="str">
        <f aca="false">HYPERLINK("https://www.transfermarkt.com/schnellsuche/ergebnis/schnellsuche?query="&amp;SUBSTITUTE(A118," ","+"),"Search Transfermarkt")</f>
        <v>Search Transfermarkt</v>
      </c>
    </row>
    <row r="119" customFormat="false" ht="23.85" hidden="false" customHeight="false" outlineLevel="0" collapsed="false">
      <c r="A119" s="15" t="s">
        <v>623</v>
      </c>
      <c r="B119" s="15" t="s">
        <v>99</v>
      </c>
      <c r="C119" s="15" t="s">
        <v>624</v>
      </c>
      <c r="D119" s="15" t="n">
        <v>3</v>
      </c>
      <c r="E119" s="15" t="s">
        <v>625</v>
      </c>
      <c r="F119" s="15" t="s">
        <v>157</v>
      </c>
      <c r="G119" s="15" t="n">
        <v>17</v>
      </c>
      <c r="H119" s="15" t="n">
        <v>1439</v>
      </c>
      <c r="I119" s="15" t="n">
        <v>0</v>
      </c>
      <c r="J119" s="15" t="n">
        <v>0</v>
      </c>
      <c r="K119" s="15" t="n">
        <v>15</v>
      </c>
      <c r="L119" s="15" t="n">
        <v>0</v>
      </c>
      <c r="M119" s="15" t="n">
        <v>4</v>
      </c>
      <c r="N119" s="15" t="n">
        <v>71</v>
      </c>
      <c r="O119" s="15" t="n">
        <v>20</v>
      </c>
      <c r="P119" s="16" t="n">
        <v>74.1</v>
      </c>
      <c r="Q119" s="15" t="n">
        <v>15.5</v>
      </c>
      <c r="R119" s="15" t="n">
        <v>5</v>
      </c>
      <c r="S119" s="17" t="n">
        <v>87354</v>
      </c>
      <c r="T119" s="15" t="s">
        <v>137</v>
      </c>
      <c r="U119" s="15" t="n">
        <v>2027</v>
      </c>
      <c r="V119" s="15" t="s">
        <v>626</v>
      </c>
      <c r="W119" s="18" t="s">
        <v>147</v>
      </c>
      <c r="X119" s="18" t="s">
        <v>189</v>
      </c>
      <c r="Y119" s="15" t="s">
        <v>600</v>
      </c>
      <c r="Z119" s="15" t="s">
        <v>600</v>
      </c>
      <c r="AA119" s="19" t="str">
        <f aca="false">HYPERLINK("https://www.transfermarkt.com/schnellsuche/ergebnis/schnellsuche?query="&amp;SUBSTITUTE(A119," ","+"),"Search Transfermarkt")</f>
        <v>Search Transfermarkt</v>
      </c>
    </row>
    <row r="120" customFormat="false" ht="23.85" hidden="false" customHeight="false" outlineLevel="0" collapsed="false">
      <c r="A120" s="15" t="s">
        <v>627</v>
      </c>
      <c r="B120" s="15" t="s">
        <v>94</v>
      </c>
      <c r="C120" s="15" t="s">
        <v>628</v>
      </c>
      <c r="D120" s="15" t="n">
        <v>4</v>
      </c>
      <c r="E120" s="15" t="s">
        <v>629</v>
      </c>
      <c r="F120" s="15" t="s">
        <v>136</v>
      </c>
      <c r="G120" s="15" t="n">
        <v>22</v>
      </c>
      <c r="H120" s="15" t="n">
        <v>1380</v>
      </c>
      <c r="I120" s="15" t="n">
        <v>1</v>
      </c>
      <c r="J120" s="15" t="n">
        <v>3</v>
      </c>
      <c r="K120" s="15" t="n">
        <v>52</v>
      </c>
      <c r="L120" s="15" t="n">
        <v>40</v>
      </c>
      <c r="M120" s="15" t="n">
        <v>97</v>
      </c>
      <c r="N120" s="15" t="n">
        <v>0</v>
      </c>
      <c r="O120" s="15" t="n">
        <v>0</v>
      </c>
      <c r="P120" s="16" t="n">
        <v>0</v>
      </c>
      <c r="Q120" s="15" t="n">
        <v>0</v>
      </c>
      <c r="R120" s="15" t="n">
        <v>0</v>
      </c>
      <c r="S120" s="17" t="n">
        <v>0</v>
      </c>
      <c r="T120" s="15" t="s">
        <v>186</v>
      </c>
      <c r="U120" s="15" t="n">
        <v>2029</v>
      </c>
      <c r="V120" s="15" t="s">
        <v>630</v>
      </c>
      <c r="W120" s="18" t="s">
        <v>188</v>
      </c>
      <c r="X120" s="18" t="s">
        <v>226</v>
      </c>
      <c r="Y120" s="15" t="s">
        <v>600</v>
      </c>
      <c r="Z120" s="15" t="s">
        <v>600</v>
      </c>
      <c r="AA120" s="19" t="str">
        <f aca="false">HYPERLINK("https://www.transfermarkt.com/schnellsuche/ergebnis/schnellsuche?query="&amp;SUBSTITUTE(A120," ","+"),"Search Transfermarkt")</f>
        <v>Search Transfermarkt</v>
      </c>
    </row>
    <row r="121" customFormat="false" ht="23.85" hidden="false" customHeight="false" outlineLevel="0" collapsed="false">
      <c r="A121" s="15" t="s">
        <v>631</v>
      </c>
      <c r="B121" s="15" t="s">
        <v>71</v>
      </c>
      <c r="C121" s="15" t="s">
        <v>632</v>
      </c>
      <c r="D121" s="15" t="n">
        <v>2</v>
      </c>
      <c r="E121" s="15" t="s">
        <v>633</v>
      </c>
      <c r="F121" s="15" t="s">
        <v>163</v>
      </c>
      <c r="G121" s="15" t="n">
        <v>24</v>
      </c>
      <c r="H121" s="15" t="n">
        <v>2411</v>
      </c>
      <c r="I121" s="15" t="n">
        <v>20</v>
      </c>
      <c r="J121" s="15" t="n">
        <v>8</v>
      </c>
      <c r="K121" s="15" t="n">
        <v>62</v>
      </c>
      <c r="L121" s="15" t="n">
        <v>90</v>
      </c>
      <c r="M121" s="15" t="n">
        <v>10</v>
      </c>
      <c r="N121" s="15" t="n">
        <v>0</v>
      </c>
      <c r="O121" s="15" t="n">
        <v>0</v>
      </c>
      <c r="P121" s="16" t="n">
        <v>0</v>
      </c>
      <c r="Q121" s="15" t="n">
        <v>0</v>
      </c>
      <c r="R121" s="15" t="n">
        <v>0</v>
      </c>
      <c r="S121" s="17" t="n">
        <v>0</v>
      </c>
      <c r="T121" s="15" t="s">
        <v>164</v>
      </c>
      <c r="U121" s="15" t="n">
        <v>2027</v>
      </c>
      <c r="V121" s="15" t="s">
        <v>634</v>
      </c>
      <c r="W121" s="18" t="s">
        <v>139</v>
      </c>
      <c r="X121" s="18" t="s">
        <v>177</v>
      </c>
      <c r="Y121" s="15" t="s">
        <v>600</v>
      </c>
      <c r="Z121" s="15" t="s">
        <v>600</v>
      </c>
      <c r="AA121" s="19" t="str">
        <f aca="false">HYPERLINK("https://www.transfermarkt.com/schnellsuche/ergebnis/schnellsuche?query="&amp;SUBSTITUTE(A121," ","+"),"Search Transfermarkt")</f>
        <v>Search Transfermarkt</v>
      </c>
    </row>
    <row r="122" customFormat="false" ht="23.85" hidden="false" customHeight="false" outlineLevel="0" collapsed="false">
      <c r="A122" s="15" t="s">
        <v>635</v>
      </c>
      <c r="B122" s="15" t="s">
        <v>67</v>
      </c>
      <c r="C122" s="15" t="s">
        <v>636</v>
      </c>
      <c r="D122" s="15" t="n">
        <v>2</v>
      </c>
      <c r="E122" s="15" t="s">
        <v>637</v>
      </c>
      <c r="F122" s="15" t="s">
        <v>170</v>
      </c>
      <c r="G122" s="15" t="n">
        <v>25</v>
      </c>
      <c r="H122" s="15" t="n">
        <v>1074</v>
      </c>
      <c r="I122" s="15" t="n">
        <v>1</v>
      </c>
      <c r="J122" s="15" t="n">
        <v>4</v>
      </c>
      <c r="K122" s="15" t="n">
        <v>125</v>
      </c>
      <c r="L122" s="15" t="n">
        <v>52</v>
      </c>
      <c r="M122" s="15" t="n">
        <v>46</v>
      </c>
      <c r="N122" s="15" t="n">
        <v>0</v>
      </c>
      <c r="O122" s="15" t="n">
        <v>0</v>
      </c>
      <c r="P122" s="16" t="n">
        <v>0</v>
      </c>
      <c r="Q122" s="15" t="n">
        <v>0</v>
      </c>
      <c r="R122" s="15" t="n">
        <v>0</v>
      </c>
      <c r="S122" s="17" t="n">
        <v>69745</v>
      </c>
      <c r="T122" s="15" t="s">
        <v>186</v>
      </c>
      <c r="U122" s="15" t="n">
        <v>2027</v>
      </c>
      <c r="V122" s="15" t="s">
        <v>638</v>
      </c>
      <c r="W122" s="18" t="s">
        <v>188</v>
      </c>
      <c r="X122" s="18" t="s">
        <v>236</v>
      </c>
      <c r="Y122" s="15" t="s">
        <v>600</v>
      </c>
      <c r="Z122" s="15" t="s">
        <v>600</v>
      </c>
      <c r="AA122" s="19" t="str">
        <f aca="false">HYPERLINK("https://www.transfermarkt.com/schnellsuche/ergebnis/schnellsuche?query="&amp;SUBSTITUTE(A122," ","+"),"Search Transfermarkt")</f>
        <v>Search Transfermarkt</v>
      </c>
    </row>
    <row r="123" customFormat="false" ht="23.85" hidden="false" customHeight="false" outlineLevel="0" collapsed="false">
      <c r="A123" s="15" t="s">
        <v>639</v>
      </c>
      <c r="B123" s="15" t="s">
        <v>68</v>
      </c>
      <c r="C123" s="15" t="s">
        <v>640</v>
      </c>
      <c r="D123" s="15" t="n">
        <v>2</v>
      </c>
      <c r="E123" s="15" t="s">
        <v>641</v>
      </c>
      <c r="F123" s="15" t="s">
        <v>163</v>
      </c>
      <c r="G123" s="15" t="n">
        <v>25</v>
      </c>
      <c r="H123" s="15" t="n">
        <v>1121</v>
      </c>
      <c r="I123" s="15" t="n">
        <v>13</v>
      </c>
      <c r="J123" s="15" t="n">
        <v>9</v>
      </c>
      <c r="K123" s="15" t="n">
        <v>42</v>
      </c>
      <c r="L123" s="15" t="n">
        <v>64</v>
      </c>
      <c r="M123" s="15" t="n">
        <v>6</v>
      </c>
      <c r="N123" s="15" t="n">
        <v>0</v>
      </c>
      <c r="O123" s="15" t="n">
        <v>0</v>
      </c>
      <c r="P123" s="16" t="n">
        <v>0</v>
      </c>
      <c r="Q123" s="15" t="n">
        <v>0</v>
      </c>
      <c r="R123" s="15" t="n">
        <v>0</v>
      </c>
      <c r="S123" s="17" t="n">
        <v>49874</v>
      </c>
      <c r="T123" s="15" t="s">
        <v>137</v>
      </c>
      <c r="U123" s="15" t="n">
        <v>2027</v>
      </c>
      <c r="V123" s="15" t="s">
        <v>642</v>
      </c>
      <c r="W123" s="18" t="s">
        <v>139</v>
      </c>
      <c r="X123" s="18" t="s">
        <v>153</v>
      </c>
      <c r="Y123" s="15" t="s">
        <v>600</v>
      </c>
      <c r="Z123" s="15" t="s">
        <v>600</v>
      </c>
      <c r="AA123" s="19" t="str">
        <f aca="false">HYPERLINK("https://www.transfermarkt.com/schnellsuche/ergebnis/schnellsuche?query="&amp;SUBSTITUTE(A123," ","+"),"Search Transfermarkt")</f>
        <v>Search Transfermarkt</v>
      </c>
    </row>
    <row r="124" customFormat="false" ht="23.85" hidden="false" customHeight="false" outlineLevel="0" collapsed="false">
      <c r="A124" s="15" t="s">
        <v>643</v>
      </c>
      <c r="B124" s="15" t="s">
        <v>82</v>
      </c>
      <c r="C124" s="15" t="s">
        <v>644</v>
      </c>
      <c r="D124" s="15" t="n">
        <v>2</v>
      </c>
      <c r="E124" s="15" t="s">
        <v>431</v>
      </c>
      <c r="F124" s="15" t="s">
        <v>157</v>
      </c>
      <c r="G124" s="15" t="n">
        <v>20</v>
      </c>
      <c r="H124" s="15" t="n">
        <v>1488</v>
      </c>
      <c r="I124" s="15" t="n">
        <v>0</v>
      </c>
      <c r="J124" s="15" t="n">
        <v>0</v>
      </c>
      <c r="K124" s="15" t="n">
        <v>19</v>
      </c>
      <c r="L124" s="15" t="n">
        <v>5</v>
      </c>
      <c r="M124" s="15" t="n">
        <v>8</v>
      </c>
      <c r="N124" s="15" t="n">
        <v>42</v>
      </c>
      <c r="O124" s="15" t="n">
        <v>30</v>
      </c>
      <c r="P124" s="16" t="n">
        <v>55.2</v>
      </c>
      <c r="Q124" s="15" t="n">
        <v>7.9</v>
      </c>
      <c r="R124" s="15" t="n">
        <v>4</v>
      </c>
      <c r="S124" s="17" t="n">
        <v>96359</v>
      </c>
      <c r="T124" s="15" t="s">
        <v>137</v>
      </c>
      <c r="U124" s="15" t="n">
        <v>2026</v>
      </c>
      <c r="V124" s="15" t="s">
        <v>432</v>
      </c>
      <c r="W124" s="18" t="s">
        <v>139</v>
      </c>
      <c r="X124" s="18" t="s">
        <v>166</v>
      </c>
      <c r="Y124" s="15" t="s">
        <v>600</v>
      </c>
      <c r="Z124" s="15" t="s">
        <v>600</v>
      </c>
      <c r="AA124" s="19" t="str">
        <f aca="false">HYPERLINK("https://www.transfermarkt.com/schnellsuche/ergebnis/schnellsuche?query="&amp;SUBSTITUTE(A124," ","+"),"Search Transfermarkt")</f>
        <v>Search Transfermarkt</v>
      </c>
    </row>
    <row r="125" customFormat="false" ht="23.85" hidden="false" customHeight="false" outlineLevel="0" collapsed="false">
      <c r="A125" s="15" t="s">
        <v>645</v>
      </c>
      <c r="B125" s="15" t="s">
        <v>82</v>
      </c>
      <c r="C125" s="15" t="s">
        <v>646</v>
      </c>
      <c r="D125" s="15" t="n">
        <v>3</v>
      </c>
      <c r="E125" s="15" t="s">
        <v>647</v>
      </c>
      <c r="F125" s="15" t="s">
        <v>136</v>
      </c>
      <c r="G125" s="15" t="n">
        <v>24</v>
      </c>
      <c r="H125" s="15" t="n">
        <v>2210</v>
      </c>
      <c r="I125" s="15" t="n">
        <v>3</v>
      </c>
      <c r="J125" s="15" t="n">
        <v>4</v>
      </c>
      <c r="K125" s="15" t="n">
        <v>41</v>
      </c>
      <c r="L125" s="15" t="n">
        <v>32</v>
      </c>
      <c r="M125" s="15" t="n">
        <v>128</v>
      </c>
      <c r="N125" s="15" t="n">
        <v>0</v>
      </c>
      <c r="O125" s="15" t="n">
        <v>0</v>
      </c>
      <c r="P125" s="16" t="n">
        <v>0</v>
      </c>
      <c r="Q125" s="15" t="n">
        <v>0</v>
      </c>
      <c r="R125" s="15" t="n">
        <v>0</v>
      </c>
      <c r="S125" s="17" t="n">
        <v>102428</v>
      </c>
      <c r="T125" s="15" t="s">
        <v>186</v>
      </c>
      <c r="U125" s="15" t="n">
        <v>2027</v>
      </c>
      <c r="V125" s="15" t="s">
        <v>648</v>
      </c>
      <c r="W125" s="18" t="s">
        <v>188</v>
      </c>
      <c r="X125" s="18" t="s">
        <v>166</v>
      </c>
      <c r="Y125" s="15" t="s">
        <v>600</v>
      </c>
      <c r="Z125" s="15" t="s">
        <v>600</v>
      </c>
      <c r="AA125" s="19" t="str">
        <f aca="false">HYPERLINK("https://www.transfermarkt.com/schnellsuche/ergebnis/schnellsuche?query="&amp;SUBSTITUTE(A125," ","+"),"Search Transfermarkt")</f>
        <v>Search Transfermarkt</v>
      </c>
    </row>
    <row r="126" customFormat="false" ht="23.85" hidden="false" customHeight="false" outlineLevel="0" collapsed="false">
      <c r="A126" s="15" t="s">
        <v>649</v>
      </c>
      <c r="B126" s="15" t="s">
        <v>85</v>
      </c>
      <c r="C126" s="15" t="s">
        <v>536</v>
      </c>
      <c r="D126" s="15" t="n">
        <v>4</v>
      </c>
      <c r="E126" s="15" t="s">
        <v>331</v>
      </c>
      <c r="F126" s="15" t="s">
        <v>170</v>
      </c>
      <c r="G126" s="15" t="n">
        <v>22</v>
      </c>
      <c r="H126" s="15" t="n">
        <v>1046</v>
      </c>
      <c r="I126" s="15" t="n">
        <v>9</v>
      </c>
      <c r="J126" s="15" t="n">
        <v>6</v>
      </c>
      <c r="K126" s="15" t="n">
        <v>142</v>
      </c>
      <c r="L126" s="15" t="n">
        <v>73</v>
      </c>
      <c r="M126" s="15" t="n">
        <v>32</v>
      </c>
      <c r="N126" s="15" t="n">
        <v>0</v>
      </c>
      <c r="O126" s="15" t="n">
        <v>0</v>
      </c>
      <c r="P126" s="16" t="n">
        <v>0</v>
      </c>
      <c r="Q126" s="15" t="n">
        <v>0</v>
      </c>
      <c r="R126" s="15" t="n">
        <v>0</v>
      </c>
      <c r="S126" s="17" t="n">
        <v>37335</v>
      </c>
      <c r="T126" s="15" t="s">
        <v>137</v>
      </c>
      <c r="U126" s="15" t="n">
        <v>2026</v>
      </c>
      <c r="V126" s="15" t="s">
        <v>332</v>
      </c>
      <c r="W126" s="18" t="s">
        <v>139</v>
      </c>
      <c r="X126" s="18" t="s">
        <v>265</v>
      </c>
      <c r="Y126" s="15" t="s">
        <v>600</v>
      </c>
      <c r="Z126" s="15" t="s">
        <v>600</v>
      </c>
      <c r="AA126" s="19" t="str">
        <f aca="false">HYPERLINK("https://www.transfermarkt.com/schnellsuche/ergebnis/schnellsuche?query="&amp;SUBSTITUTE(A126," ","+"),"Search Transfermarkt")</f>
        <v>Search Transfermarkt</v>
      </c>
    </row>
    <row r="127" customFormat="false" ht="23.85" hidden="false" customHeight="false" outlineLevel="0" collapsed="false">
      <c r="A127" s="15" t="s">
        <v>650</v>
      </c>
      <c r="B127" s="15" t="s">
        <v>85</v>
      </c>
      <c r="C127" s="15" t="s">
        <v>651</v>
      </c>
      <c r="D127" s="15" t="n">
        <v>3</v>
      </c>
      <c r="E127" s="15" t="s">
        <v>652</v>
      </c>
      <c r="F127" s="15" t="s">
        <v>163</v>
      </c>
      <c r="G127" s="15" t="n">
        <v>21</v>
      </c>
      <c r="H127" s="15" t="n">
        <v>1464</v>
      </c>
      <c r="I127" s="15" t="n">
        <v>17</v>
      </c>
      <c r="J127" s="15" t="n">
        <v>8</v>
      </c>
      <c r="K127" s="15" t="n">
        <v>63</v>
      </c>
      <c r="L127" s="15" t="n">
        <v>63</v>
      </c>
      <c r="M127" s="15" t="n">
        <v>12</v>
      </c>
      <c r="N127" s="15" t="n">
        <v>0</v>
      </c>
      <c r="O127" s="15" t="n">
        <v>0</v>
      </c>
      <c r="P127" s="16" t="n">
        <v>0</v>
      </c>
      <c r="Q127" s="15" t="n">
        <v>0</v>
      </c>
      <c r="R127" s="15" t="n">
        <v>0</v>
      </c>
      <c r="S127" s="17" t="n">
        <v>111790</v>
      </c>
      <c r="T127" s="15" t="s">
        <v>186</v>
      </c>
      <c r="U127" s="15" t="n">
        <v>2028</v>
      </c>
      <c r="V127" s="15" t="s">
        <v>653</v>
      </c>
      <c r="W127" s="18" t="s">
        <v>188</v>
      </c>
      <c r="X127" s="18" t="s">
        <v>265</v>
      </c>
      <c r="Y127" s="15" t="s">
        <v>600</v>
      </c>
      <c r="Z127" s="15" t="s">
        <v>600</v>
      </c>
      <c r="AA127" s="19" t="str">
        <f aca="false">HYPERLINK("https://www.transfermarkt.com/schnellsuche/ergebnis/schnellsuche?query="&amp;SUBSTITUTE(A127," ","+"),"Search Transfermarkt")</f>
        <v>Search Transfermarkt</v>
      </c>
    </row>
    <row r="128" customFormat="false" ht="23.85" hidden="false" customHeight="false" outlineLevel="0" collapsed="false">
      <c r="A128" s="15" t="s">
        <v>654</v>
      </c>
      <c r="B128" s="15" t="s">
        <v>98</v>
      </c>
      <c r="C128" s="15" t="s">
        <v>609</v>
      </c>
      <c r="D128" s="15" t="n">
        <v>3</v>
      </c>
      <c r="E128" s="15" t="s">
        <v>655</v>
      </c>
      <c r="F128" s="15" t="s">
        <v>157</v>
      </c>
      <c r="G128" s="15" t="n">
        <v>18</v>
      </c>
      <c r="H128" s="15" t="n">
        <v>958</v>
      </c>
      <c r="I128" s="15" t="n">
        <v>0</v>
      </c>
      <c r="J128" s="15" t="n">
        <v>0</v>
      </c>
      <c r="K128" s="15" t="n">
        <v>7</v>
      </c>
      <c r="L128" s="15" t="n">
        <v>5</v>
      </c>
      <c r="M128" s="15" t="n">
        <v>9</v>
      </c>
      <c r="N128" s="15" t="n">
        <v>26</v>
      </c>
      <c r="O128" s="15" t="n">
        <v>17</v>
      </c>
      <c r="P128" s="16" t="n">
        <v>58.7</v>
      </c>
      <c r="Q128" s="15" t="n">
        <v>10.4</v>
      </c>
      <c r="R128" s="15" t="n">
        <v>2</v>
      </c>
      <c r="S128" s="17" t="n">
        <v>94846</v>
      </c>
      <c r="T128" s="15" t="s">
        <v>137</v>
      </c>
      <c r="U128" s="15" t="n">
        <v>2028</v>
      </c>
      <c r="V128" s="15" t="s">
        <v>656</v>
      </c>
      <c r="W128" s="18" t="s">
        <v>139</v>
      </c>
      <c r="X128" s="18" t="s">
        <v>148</v>
      </c>
      <c r="Y128" s="15" t="s">
        <v>600</v>
      </c>
      <c r="Z128" s="15" t="s">
        <v>600</v>
      </c>
      <c r="AA128" s="19" t="str">
        <f aca="false">HYPERLINK("https://www.transfermarkt.com/schnellsuche/ergebnis/schnellsuche?query="&amp;SUBSTITUTE(A128," ","+"),"Search Transfermarkt")</f>
        <v>Search Transfermarkt</v>
      </c>
    </row>
    <row r="129" customFormat="false" ht="23.85" hidden="false" customHeight="false" outlineLevel="0" collapsed="false">
      <c r="A129" s="15" t="s">
        <v>657</v>
      </c>
      <c r="B129" s="15" t="s">
        <v>79</v>
      </c>
      <c r="C129" s="15" t="s">
        <v>409</v>
      </c>
      <c r="D129" s="15" t="n">
        <v>3</v>
      </c>
      <c r="E129" s="15" t="s">
        <v>658</v>
      </c>
      <c r="F129" s="15" t="s">
        <v>157</v>
      </c>
      <c r="G129" s="15" t="n">
        <v>18</v>
      </c>
      <c r="H129" s="15" t="n">
        <v>1900</v>
      </c>
      <c r="I129" s="15" t="n">
        <v>0</v>
      </c>
      <c r="J129" s="15" t="n">
        <v>0</v>
      </c>
      <c r="K129" s="15" t="n">
        <v>15</v>
      </c>
      <c r="L129" s="15" t="n">
        <v>6</v>
      </c>
      <c r="M129" s="15" t="n">
        <v>9</v>
      </c>
      <c r="N129" s="15" t="n">
        <v>51</v>
      </c>
      <c r="O129" s="15" t="n">
        <v>23</v>
      </c>
      <c r="P129" s="16" t="n">
        <v>80.2</v>
      </c>
      <c r="Q129" s="15" t="n">
        <v>14.9</v>
      </c>
      <c r="R129" s="15" t="n">
        <v>5</v>
      </c>
      <c r="S129" s="17" t="n">
        <v>146562</v>
      </c>
      <c r="T129" s="15" t="s">
        <v>164</v>
      </c>
      <c r="U129" s="15" t="n">
        <v>2026</v>
      </c>
      <c r="V129" s="15" t="s">
        <v>659</v>
      </c>
      <c r="W129" s="18" t="s">
        <v>139</v>
      </c>
      <c r="X129" s="18" t="s">
        <v>412</v>
      </c>
      <c r="Y129" s="15" t="s">
        <v>600</v>
      </c>
      <c r="Z129" s="15" t="s">
        <v>600</v>
      </c>
      <c r="AA129" s="19" t="str">
        <f aca="false">HYPERLINK("https://www.transfermarkt.com/schnellsuche/ergebnis/schnellsuche?query="&amp;SUBSTITUTE(A129," ","+"),"Search Transfermarkt")</f>
        <v>Search Transfermarkt</v>
      </c>
    </row>
    <row r="130" customFormat="false" ht="23.85" hidden="false" customHeight="false" outlineLevel="0" collapsed="false">
      <c r="A130" s="15" t="s">
        <v>660</v>
      </c>
      <c r="B130" s="15" t="s">
        <v>73</v>
      </c>
      <c r="C130" s="15" t="s">
        <v>661</v>
      </c>
      <c r="D130" s="15" t="n">
        <v>2</v>
      </c>
      <c r="E130" s="15" t="s">
        <v>662</v>
      </c>
      <c r="F130" s="15" t="s">
        <v>136</v>
      </c>
      <c r="G130" s="15" t="n">
        <v>24</v>
      </c>
      <c r="H130" s="15" t="n">
        <v>1786</v>
      </c>
      <c r="I130" s="15" t="n">
        <v>3</v>
      </c>
      <c r="J130" s="15" t="n">
        <v>4</v>
      </c>
      <c r="K130" s="15" t="n">
        <v>46</v>
      </c>
      <c r="L130" s="15" t="n">
        <v>27</v>
      </c>
      <c r="M130" s="15" t="n">
        <v>93</v>
      </c>
      <c r="N130" s="15" t="n">
        <v>0</v>
      </c>
      <c r="O130" s="15" t="n">
        <v>0</v>
      </c>
      <c r="P130" s="16" t="n">
        <v>0</v>
      </c>
      <c r="Q130" s="15" t="n">
        <v>0</v>
      </c>
      <c r="R130" s="15" t="n">
        <v>0</v>
      </c>
      <c r="S130" s="17" t="n">
        <v>110430</v>
      </c>
      <c r="T130" s="15" t="s">
        <v>164</v>
      </c>
      <c r="U130" s="15" t="n">
        <v>2026</v>
      </c>
      <c r="V130" s="15" t="s">
        <v>663</v>
      </c>
      <c r="W130" s="18" t="s">
        <v>139</v>
      </c>
      <c r="X130" s="18" t="s">
        <v>172</v>
      </c>
      <c r="Y130" s="15" t="s">
        <v>600</v>
      </c>
      <c r="Z130" s="15" t="s">
        <v>600</v>
      </c>
      <c r="AA130" s="19" t="str">
        <f aca="false">HYPERLINK("https://www.transfermarkt.com/schnellsuche/ergebnis/schnellsuche?query="&amp;SUBSTITUTE(A130," ","+"),"Search Transfermarkt")</f>
        <v>Search Transfermarkt</v>
      </c>
    </row>
    <row r="131" customFormat="false" ht="23.85" hidden="false" customHeight="false" outlineLevel="0" collapsed="false">
      <c r="A131" s="15" t="s">
        <v>664</v>
      </c>
      <c r="B131" s="15" t="s">
        <v>96</v>
      </c>
      <c r="C131" s="15" t="s">
        <v>665</v>
      </c>
      <c r="D131" s="15" t="n">
        <v>4</v>
      </c>
      <c r="E131" s="15" t="s">
        <v>666</v>
      </c>
      <c r="F131" s="15" t="s">
        <v>136</v>
      </c>
      <c r="G131" s="15" t="n">
        <v>26</v>
      </c>
      <c r="H131" s="15" t="n">
        <v>2372</v>
      </c>
      <c r="I131" s="15" t="n">
        <v>0</v>
      </c>
      <c r="J131" s="15" t="n">
        <v>3</v>
      </c>
      <c r="K131" s="15" t="n">
        <v>47</v>
      </c>
      <c r="L131" s="15" t="n">
        <v>24</v>
      </c>
      <c r="M131" s="15" t="n">
        <v>109</v>
      </c>
      <c r="N131" s="15" t="n">
        <v>0</v>
      </c>
      <c r="O131" s="15" t="n">
        <v>0</v>
      </c>
      <c r="P131" s="16" t="n">
        <v>0</v>
      </c>
      <c r="Q131" s="15" t="n">
        <v>0</v>
      </c>
      <c r="R131" s="15" t="n">
        <v>0</v>
      </c>
      <c r="S131" s="17" t="n">
        <v>66655</v>
      </c>
      <c r="T131" s="15" t="s">
        <v>164</v>
      </c>
      <c r="U131" s="15" t="n">
        <v>2026</v>
      </c>
      <c r="V131" s="15" t="s">
        <v>667</v>
      </c>
      <c r="W131" s="18" t="s">
        <v>139</v>
      </c>
      <c r="X131" s="18" t="s">
        <v>216</v>
      </c>
      <c r="Y131" s="15" t="s">
        <v>600</v>
      </c>
      <c r="Z131" s="15" t="s">
        <v>600</v>
      </c>
      <c r="AA131" s="19" t="str">
        <f aca="false">HYPERLINK("https://www.transfermarkt.com/schnellsuche/ergebnis/schnellsuche?query="&amp;SUBSTITUTE(A131," ","+"),"Search Transfermarkt")</f>
        <v>Search Transfermarkt</v>
      </c>
    </row>
    <row r="132" customFormat="false" ht="23.85" hidden="false" customHeight="false" outlineLevel="0" collapsed="false">
      <c r="A132" s="15" t="s">
        <v>668</v>
      </c>
      <c r="B132" s="15" t="s">
        <v>99</v>
      </c>
      <c r="C132" s="15" t="s">
        <v>199</v>
      </c>
      <c r="D132" s="15" t="n">
        <v>3</v>
      </c>
      <c r="E132" s="15" t="s">
        <v>669</v>
      </c>
      <c r="F132" s="15" t="s">
        <v>157</v>
      </c>
      <c r="G132" s="15" t="n">
        <v>18</v>
      </c>
      <c r="H132" s="15" t="n">
        <v>2361</v>
      </c>
      <c r="I132" s="15" t="n">
        <v>0</v>
      </c>
      <c r="J132" s="15" t="n">
        <v>0</v>
      </c>
      <c r="K132" s="15" t="n">
        <v>17</v>
      </c>
      <c r="L132" s="15" t="n">
        <v>5</v>
      </c>
      <c r="M132" s="15" t="n">
        <v>3</v>
      </c>
      <c r="N132" s="15" t="n">
        <v>115</v>
      </c>
      <c r="O132" s="15" t="n">
        <v>53</v>
      </c>
      <c r="P132" s="16" t="n">
        <v>91.7</v>
      </c>
      <c r="Q132" s="15" t="n">
        <v>9.2</v>
      </c>
      <c r="R132" s="15" t="n">
        <v>6</v>
      </c>
      <c r="S132" s="17" t="n">
        <v>0</v>
      </c>
      <c r="T132" s="15" t="s">
        <v>137</v>
      </c>
      <c r="U132" s="15" t="n">
        <v>2028</v>
      </c>
      <c r="V132" s="15" t="s">
        <v>670</v>
      </c>
      <c r="W132" s="18" t="s">
        <v>139</v>
      </c>
      <c r="X132" s="18" t="s">
        <v>189</v>
      </c>
      <c r="Y132" s="15" t="s">
        <v>600</v>
      </c>
      <c r="Z132" s="15" t="s">
        <v>600</v>
      </c>
      <c r="AA132" s="19" t="str">
        <f aca="false">HYPERLINK("https://www.transfermarkt.com/schnellsuche/ergebnis/schnellsuche?query="&amp;SUBSTITUTE(A132," ","+"),"Search Transfermarkt")</f>
        <v>Search Transfermarkt</v>
      </c>
    </row>
    <row r="133" customFormat="false" ht="23.85" hidden="false" customHeight="false" outlineLevel="0" collapsed="false">
      <c r="A133" s="15" t="s">
        <v>671</v>
      </c>
      <c r="B133" s="15" t="s">
        <v>71</v>
      </c>
      <c r="C133" s="15" t="s">
        <v>174</v>
      </c>
      <c r="D133" s="15" t="n">
        <v>3</v>
      </c>
      <c r="E133" s="15" t="s">
        <v>633</v>
      </c>
      <c r="F133" s="15" t="s">
        <v>157</v>
      </c>
      <c r="G133" s="15" t="n">
        <v>17</v>
      </c>
      <c r="H133" s="15" t="n">
        <v>1202</v>
      </c>
      <c r="I133" s="15" t="n">
        <v>0</v>
      </c>
      <c r="J133" s="15" t="n">
        <v>0</v>
      </c>
      <c r="K133" s="15" t="n">
        <v>19</v>
      </c>
      <c r="L133" s="15" t="n">
        <v>2</v>
      </c>
      <c r="M133" s="15" t="n">
        <v>10</v>
      </c>
      <c r="N133" s="15" t="n">
        <v>50</v>
      </c>
      <c r="O133" s="15" t="n">
        <v>29</v>
      </c>
      <c r="P133" s="16" t="n">
        <v>69.5</v>
      </c>
      <c r="Q133" s="15" t="n">
        <v>16.8</v>
      </c>
      <c r="R133" s="15" t="n">
        <v>3</v>
      </c>
      <c r="S133" s="17" t="n">
        <v>89882</v>
      </c>
      <c r="T133" s="15" t="s">
        <v>164</v>
      </c>
      <c r="U133" s="15" t="n">
        <v>2027</v>
      </c>
      <c r="V133" s="15" t="s">
        <v>634</v>
      </c>
      <c r="W133" s="18" t="s">
        <v>147</v>
      </c>
      <c r="X133" s="18" t="s">
        <v>177</v>
      </c>
      <c r="Y133" s="15" t="s">
        <v>600</v>
      </c>
      <c r="Z133" s="15" t="s">
        <v>600</v>
      </c>
      <c r="AA133" s="19" t="str">
        <f aca="false">HYPERLINK("https://www.transfermarkt.com/schnellsuche/ergebnis/schnellsuche?query="&amp;SUBSTITUTE(A133," ","+"),"Search Transfermarkt")</f>
        <v>Search Transfermarkt</v>
      </c>
    </row>
    <row r="134" customFormat="false" ht="23.85" hidden="false" customHeight="false" outlineLevel="0" collapsed="false">
      <c r="A134" s="15" t="s">
        <v>672</v>
      </c>
      <c r="B134" s="15" t="s">
        <v>96</v>
      </c>
      <c r="C134" s="15" t="s">
        <v>414</v>
      </c>
      <c r="D134" s="15" t="n">
        <v>3</v>
      </c>
      <c r="E134" s="15" t="s">
        <v>673</v>
      </c>
      <c r="F134" s="15" t="s">
        <v>136</v>
      </c>
      <c r="G134" s="15" t="n">
        <v>23</v>
      </c>
      <c r="H134" s="15" t="n">
        <v>835</v>
      </c>
      <c r="I134" s="15" t="n">
        <v>2</v>
      </c>
      <c r="J134" s="15" t="n">
        <v>3</v>
      </c>
      <c r="K134" s="15" t="n">
        <v>58</v>
      </c>
      <c r="L134" s="15" t="n">
        <v>33</v>
      </c>
      <c r="M134" s="15" t="n">
        <v>94</v>
      </c>
      <c r="N134" s="15" t="n">
        <v>0</v>
      </c>
      <c r="O134" s="15" t="n">
        <v>0</v>
      </c>
      <c r="P134" s="16" t="n">
        <v>0</v>
      </c>
      <c r="Q134" s="15" t="n">
        <v>0</v>
      </c>
      <c r="R134" s="15" t="n">
        <v>0</v>
      </c>
      <c r="S134" s="17" t="n">
        <v>108958</v>
      </c>
      <c r="T134" s="15" t="s">
        <v>137</v>
      </c>
      <c r="U134" s="15" t="n">
        <v>2027</v>
      </c>
      <c r="V134" s="15" t="s">
        <v>674</v>
      </c>
      <c r="W134" s="18" t="s">
        <v>139</v>
      </c>
      <c r="X134" s="18" t="s">
        <v>216</v>
      </c>
      <c r="Y134" s="15" t="s">
        <v>600</v>
      </c>
      <c r="Z134" s="15" t="s">
        <v>600</v>
      </c>
      <c r="AA134" s="19" t="str">
        <f aca="false">HYPERLINK("https://www.transfermarkt.com/schnellsuche/ergebnis/schnellsuche?query="&amp;SUBSTITUTE(A134," ","+"),"Search Transfermarkt")</f>
        <v>Search Transfermarkt</v>
      </c>
    </row>
    <row r="135" customFormat="false" ht="23.85" hidden="false" customHeight="false" outlineLevel="0" collapsed="false">
      <c r="A135" s="15" t="s">
        <v>675</v>
      </c>
      <c r="B135" s="15" t="s">
        <v>99</v>
      </c>
      <c r="C135" s="15" t="s">
        <v>676</v>
      </c>
      <c r="D135" s="15" t="n">
        <v>4</v>
      </c>
      <c r="E135" s="15" t="s">
        <v>677</v>
      </c>
      <c r="F135" s="15" t="s">
        <v>170</v>
      </c>
      <c r="G135" s="15" t="n">
        <v>20</v>
      </c>
      <c r="H135" s="15" t="n">
        <v>1014</v>
      </c>
      <c r="I135" s="15" t="n">
        <v>2</v>
      </c>
      <c r="J135" s="15" t="n">
        <v>13</v>
      </c>
      <c r="K135" s="15" t="n">
        <v>144</v>
      </c>
      <c r="L135" s="15" t="n">
        <v>64</v>
      </c>
      <c r="M135" s="15" t="n">
        <v>43</v>
      </c>
      <c r="N135" s="15" t="n">
        <v>0</v>
      </c>
      <c r="O135" s="15" t="n">
        <v>0</v>
      </c>
      <c r="P135" s="16" t="n">
        <v>0</v>
      </c>
      <c r="Q135" s="15" t="n">
        <v>0</v>
      </c>
      <c r="R135" s="15" t="n">
        <v>0</v>
      </c>
      <c r="S135" s="17" t="n">
        <v>0</v>
      </c>
      <c r="T135" s="15" t="s">
        <v>137</v>
      </c>
      <c r="U135" s="15" t="n">
        <v>2027</v>
      </c>
      <c r="V135" s="15" t="s">
        <v>678</v>
      </c>
      <c r="W135" s="18" t="s">
        <v>139</v>
      </c>
      <c r="X135" s="18" t="s">
        <v>189</v>
      </c>
      <c r="Y135" s="15" t="s">
        <v>600</v>
      </c>
      <c r="Z135" s="15" t="s">
        <v>600</v>
      </c>
      <c r="AA135" s="19" t="str">
        <f aca="false">HYPERLINK("https://www.transfermarkt.com/schnellsuche/ergebnis/schnellsuche?query="&amp;SUBSTITUTE(A135," ","+"),"Search Transfermarkt")</f>
        <v>Search Transfermarkt</v>
      </c>
    </row>
    <row r="136" customFormat="false" ht="23.85" hidden="false" customHeight="false" outlineLevel="0" collapsed="false">
      <c r="A136" s="15" t="s">
        <v>679</v>
      </c>
      <c r="B136" s="15" t="s">
        <v>81</v>
      </c>
      <c r="C136" s="15" t="s">
        <v>680</v>
      </c>
      <c r="D136" s="15" t="n">
        <v>2</v>
      </c>
      <c r="E136" s="15" t="s">
        <v>681</v>
      </c>
      <c r="F136" s="15" t="s">
        <v>170</v>
      </c>
      <c r="G136" s="15" t="n">
        <v>22</v>
      </c>
      <c r="H136" s="15" t="n">
        <v>1845</v>
      </c>
      <c r="I136" s="15" t="n">
        <v>6</v>
      </c>
      <c r="J136" s="15" t="n">
        <v>13</v>
      </c>
      <c r="K136" s="15" t="n">
        <v>176</v>
      </c>
      <c r="L136" s="15" t="n">
        <v>82</v>
      </c>
      <c r="M136" s="15" t="n">
        <v>49</v>
      </c>
      <c r="N136" s="15" t="n">
        <v>0</v>
      </c>
      <c r="O136" s="15" t="n">
        <v>0</v>
      </c>
      <c r="P136" s="16" t="n">
        <v>0</v>
      </c>
      <c r="Q136" s="15" t="n">
        <v>0</v>
      </c>
      <c r="R136" s="15" t="n">
        <v>0</v>
      </c>
      <c r="S136" s="17" t="n">
        <v>43468</v>
      </c>
      <c r="T136" s="15" t="s">
        <v>137</v>
      </c>
      <c r="U136" s="15" t="n">
        <v>2029</v>
      </c>
      <c r="V136" s="15" t="s">
        <v>682</v>
      </c>
      <c r="W136" s="18" t="s">
        <v>139</v>
      </c>
      <c r="X136" s="18" t="s">
        <v>407</v>
      </c>
      <c r="Y136" s="15" t="s">
        <v>600</v>
      </c>
      <c r="Z136" s="15" t="s">
        <v>600</v>
      </c>
      <c r="AA136" s="19" t="str">
        <f aca="false">HYPERLINK("https://www.transfermarkt.com/schnellsuche/ergebnis/schnellsuche?query="&amp;SUBSTITUTE(A136," ","+"),"Search Transfermarkt")</f>
        <v>Search Transfermarkt</v>
      </c>
    </row>
    <row r="137" customFormat="false" ht="23.85" hidden="false" customHeight="false" outlineLevel="0" collapsed="false">
      <c r="A137" s="15" t="s">
        <v>683</v>
      </c>
      <c r="B137" s="15" t="s">
        <v>71</v>
      </c>
      <c r="C137" s="15" t="s">
        <v>174</v>
      </c>
      <c r="D137" s="15" t="n">
        <v>2</v>
      </c>
      <c r="E137" s="15" t="s">
        <v>522</v>
      </c>
      <c r="F137" s="15" t="s">
        <v>163</v>
      </c>
      <c r="G137" s="15" t="n">
        <v>24</v>
      </c>
      <c r="H137" s="15" t="n">
        <v>1772</v>
      </c>
      <c r="I137" s="15" t="n">
        <v>16</v>
      </c>
      <c r="J137" s="15" t="n">
        <v>8</v>
      </c>
      <c r="K137" s="15" t="n">
        <v>37</v>
      </c>
      <c r="L137" s="15" t="n">
        <v>58</v>
      </c>
      <c r="M137" s="15" t="n">
        <v>6</v>
      </c>
      <c r="N137" s="15" t="n">
        <v>0</v>
      </c>
      <c r="O137" s="15" t="n">
        <v>0</v>
      </c>
      <c r="P137" s="16" t="n">
        <v>0</v>
      </c>
      <c r="Q137" s="15" t="n">
        <v>0</v>
      </c>
      <c r="R137" s="15" t="n">
        <v>0</v>
      </c>
      <c r="S137" s="17" t="n">
        <v>0</v>
      </c>
      <c r="T137" s="15" t="s">
        <v>164</v>
      </c>
      <c r="U137" s="15" t="n">
        <v>2026</v>
      </c>
      <c r="V137" s="15" t="s">
        <v>523</v>
      </c>
      <c r="W137" s="18" t="s">
        <v>139</v>
      </c>
      <c r="X137" s="18" t="s">
        <v>177</v>
      </c>
      <c r="Y137" s="15" t="s">
        <v>600</v>
      </c>
      <c r="Z137" s="15" t="s">
        <v>600</v>
      </c>
      <c r="AA137" s="19" t="str">
        <f aca="false">HYPERLINK("https://www.transfermarkt.com/schnellsuche/ergebnis/schnellsuche?query="&amp;SUBSTITUTE(A137," ","+"),"Search Transfermarkt")</f>
        <v>Search Transfermarkt</v>
      </c>
    </row>
    <row r="138" customFormat="false" ht="23.85" hidden="false" customHeight="false" outlineLevel="0" collapsed="false">
      <c r="A138" s="15" t="s">
        <v>684</v>
      </c>
      <c r="B138" s="15" t="s">
        <v>89</v>
      </c>
      <c r="C138" s="15" t="s">
        <v>685</v>
      </c>
      <c r="D138" s="15" t="n">
        <v>2</v>
      </c>
      <c r="E138" s="15" t="s">
        <v>294</v>
      </c>
      <c r="F138" s="15" t="s">
        <v>136</v>
      </c>
      <c r="G138" s="15" t="n">
        <v>22</v>
      </c>
      <c r="H138" s="15" t="n">
        <v>1571</v>
      </c>
      <c r="I138" s="15" t="n">
        <v>0</v>
      </c>
      <c r="J138" s="15" t="n">
        <v>0</v>
      </c>
      <c r="K138" s="15" t="n">
        <v>53</v>
      </c>
      <c r="L138" s="15" t="n">
        <v>27</v>
      </c>
      <c r="M138" s="15" t="n">
        <v>103</v>
      </c>
      <c r="N138" s="15" t="n">
        <v>0</v>
      </c>
      <c r="O138" s="15" t="n">
        <v>0</v>
      </c>
      <c r="P138" s="16" t="n">
        <v>0</v>
      </c>
      <c r="Q138" s="15" t="n">
        <v>0</v>
      </c>
      <c r="R138" s="15" t="n">
        <v>0</v>
      </c>
      <c r="S138" s="17" t="n">
        <v>117667</v>
      </c>
      <c r="T138" s="15" t="s">
        <v>164</v>
      </c>
      <c r="U138" s="15" t="n">
        <v>2028</v>
      </c>
      <c r="V138" s="15" t="s">
        <v>295</v>
      </c>
      <c r="W138" s="18" t="s">
        <v>139</v>
      </c>
      <c r="X138" s="18" t="s">
        <v>206</v>
      </c>
      <c r="Y138" s="15" t="s">
        <v>600</v>
      </c>
      <c r="Z138" s="15" t="s">
        <v>600</v>
      </c>
      <c r="AA138" s="19" t="str">
        <f aca="false">HYPERLINK("https://www.transfermarkt.com/schnellsuche/ergebnis/schnellsuche?query="&amp;SUBSTITUTE(A138," ","+"),"Search Transfermarkt")</f>
        <v>Search Transfermarkt</v>
      </c>
    </row>
    <row r="139" customFormat="false" ht="23.85" hidden="false" customHeight="false" outlineLevel="0" collapsed="false">
      <c r="A139" s="15" t="s">
        <v>686</v>
      </c>
      <c r="B139" s="15" t="s">
        <v>68</v>
      </c>
      <c r="C139" s="15" t="s">
        <v>687</v>
      </c>
      <c r="D139" s="15" t="n">
        <v>2</v>
      </c>
      <c r="E139" s="15" t="s">
        <v>688</v>
      </c>
      <c r="F139" s="15" t="s">
        <v>157</v>
      </c>
      <c r="G139" s="15" t="n">
        <v>24</v>
      </c>
      <c r="H139" s="15" t="n">
        <v>2478</v>
      </c>
      <c r="I139" s="15" t="n">
        <v>0</v>
      </c>
      <c r="J139" s="15" t="n">
        <v>0</v>
      </c>
      <c r="K139" s="15" t="n">
        <v>20</v>
      </c>
      <c r="L139" s="15" t="n">
        <v>1</v>
      </c>
      <c r="M139" s="15" t="n">
        <v>4</v>
      </c>
      <c r="N139" s="15" t="n">
        <v>111</v>
      </c>
      <c r="O139" s="15" t="n">
        <v>52</v>
      </c>
      <c r="P139" s="16" t="n">
        <v>87.8</v>
      </c>
      <c r="Q139" s="15" t="n">
        <v>7.4</v>
      </c>
      <c r="R139" s="15" t="n">
        <v>8</v>
      </c>
      <c r="S139" s="17" t="n">
        <v>17455</v>
      </c>
      <c r="T139" s="15" t="s">
        <v>137</v>
      </c>
      <c r="U139" s="15" t="n">
        <v>2027</v>
      </c>
      <c r="V139" s="15" t="s">
        <v>689</v>
      </c>
      <c r="W139" s="18" t="s">
        <v>139</v>
      </c>
      <c r="X139" s="18" t="s">
        <v>153</v>
      </c>
      <c r="Y139" s="15" t="s">
        <v>600</v>
      </c>
      <c r="Z139" s="15" t="s">
        <v>600</v>
      </c>
      <c r="AA139" s="19" t="str">
        <f aca="false">HYPERLINK("https://www.transfermarkt.com/schnellsuche/ergebnis/schnellsuche?query="&amp;SUBSTITUTE(A139," ","+"),"Search Transfermarkt")</f>
        <v>Search Transfermarkt</v>
      </c>
    </row>
    <row r="140" customFormat="false" ht="23.85" hidden="false" customHeight="false" outlineLevel="0" collapsed="false">
      <c r="A140" s="15" t="s">
        <v>690</v>
      </c>
      <c r="B140" s="15" t="s">
        <v>69</v>
      </c>
      <c r="C140" s="15" t="s">
        <v>691</v>
      </c>
      <c r="D140" s="15" t="n">
        <v>4</v>
      </c>
      <c r="E140" s="15" t="s">
        <v>692</v>
      </c>
      <c r="F140" s="15" t="s">
        <v>157</v>
      </c>
      <c r="G140" s="15" t="n">
        <v>20</v>
      </c>
      <c r="H140" s="15" t="n">
        <v>1308</v>
      </c>
      <c r="I140" s="15" t="n">
        <v>0</v>
      </c>
      <c r="J140" s="15" t="n">
        <v>0</v>
      </c>
      <c r="K140" s="15" t="n">
        <v>20</v>
      </c>
      <c r="L140" s="15" t="n">
        <v>1</v>
      </c>
      <c r="M140" s="15" t="n">
        <v>6</v>
      </c>
      <c r="N140" s="15" t="n">
        <v>62</v>
      </c>
      <c r="O140" s="15" t="n">
        <v>21</v>
      </c>
      <c r="P140" s="16" t="n">
        <v>76.3</v>
      </c>
      <c r="Q140" s="15" t="n">
        <v>14.3</v>
      </c>
      <c r="R140" s="15" t="n">
        <v>3</v>
      </c>
      <c r="S140" s="17" t="n">
        <v>126449</v>
      </c>
      <c r="T140" s="15" t="s">
        <v>164</v>
      </c>
      <c r="U140" s="15" t="n">
        <v>2029</v>
      </c>
      <c r="V140" s="15" t="s">
        <v>693</v>
      </c>
      <c r="W140" s="18" t="s">
        <v>139</v>
      </c>
      <c r="X140" s="18" t="s">
        <v>140</v>
      </c>
      <c r="Y140" s="15" t="s">
        <v>600</v>
      </c>
      <c r="Z140" s="15" t="s">
        <v>600</v>
      </c>
      <c r="AA140" s="19" t="str">
        <f aca="false">HYPERLINK("https://www.transfermarkt.com/schnellsuche/ergebnis/schnellsuche?query="&amp;SUBSTITUTE(A140," ","+"),"Search Transfermarkt")</f>
        <v>Search Transfermarkt</v>
      </c>
    </row>
    <row r="141" customFormat="false" ht="23.85" hidden="false" customHeight="false" outlineLevel="0" collapsed="false">
      <c r="A141" s="15" t="s">
        <v>694</v>
      </c>
      <c r="B141" s="15" t="s">
        <v>102</v>
      </c>
      <c r="C141" s="15" t="s">
        <v>695</v>
      </c>
      <c r="D141" s="15" t="n">
        <v>2</v>
      </c>
      <c r="E141" s="15" t="s">
        <v>696</v>
      </c>
      <c r="F141" s="15" t="s">
        <v>170</v>
      </c>
      <c r="G141" s="15" t="n">
        <v>22</v>
      </c>
      <c r="H141" s="15" t="n">
        <v>2196</v>
      </c>
      <c r="I141" s="15" t="n">
        <v>6</v>
      </c>
      <c r="J141" s="15" t="n">
        <v>14</v>
      </c>
      <c r="K141" s="15" t="n">
        <v>115</v>
      </c>
      <c r="L141" s="15" t="n">
        <v>88</v>
      </c>
      <c r="M141" s="15" t="n">
        <v>56</v>
      </c>
      <c r="N141" s="15" t="n">
        <v>0</v>
      </c>
      <c r="O141" s="15" t="n">
        <v>0</v>
      </c>
      <c r="P141" s="16" t="n">
        <v>0</v>
      </c>
      <c r="Q141" s="15" t="n">
        <v>0</v>
      </c>
      <c r="R141" s="15" t="n">
        <v>0</v>
      </c>
      <c r="S141" s="17" t="n">
        <v>37980</v>
      </c>
      <c r="T141" s="15" t="s">
        <v>137</v>
      </c>
      <c r="U141" s="15" t="n">
        <v>2029</v>
      </c>
      <c r="V141" s="15" t="s">
        <v>697</v>
      </c>
      <c r="W141" s="18" t="s">
        <v>139</v>
      </c>
      <c r="X141" s="18" t="s">
        <v>453</v>
      </c>
      <c r="Y141" s="15" t="s">
        <v>600</v>
      </c>
      <c r="Z141" s="15" t="s">
        <v>600</v>
      </c>
      <c r="AA141" s="19" t="str">
        <f aca="false">HYPERLINK("https://www.transfermarkt.com/schnellsuche/ergebnis/schnellsuche?query="&amp;SUBSTITUTE(A141," ","+"),"Search Transfermarkt")</f>
        <v>Search Transfermarkt</v>
      </c>
    </row>
    <row r="142" customFormat="false" ht="23.85" hidden="false" customHeight="false" outlineLevel="0" collapsed="false">
      <c r="A142" s="15" t="s">
        <v>698</v>
      </c>
      <c r="B142" s="15" t="s">
        <v>77</v>
      </c>
      <c r="C142" s="15" t="s">
        <v>355</v>
      </c>
      <c r="D142" s="15" t="n">
        <v>3</v>
      </c>
      <c r="E142" s="15" t="s">
        <v>699</v>
      </c>
      <c r="F142" s="15" t="s">
        <v>136</v>
      </c>
      <c r="G142" s="15" t="n">
        <v>25</v>
      </c>
      <c r="H142" s="15" t="n">
        <v>1421</v>
      </c>
      <c r="I142" s="15" t="n">
        <v>0</v>
      </c>
      <c r="J142" s="15" t="n">
        <v>2</v>
      </c>
      <c r="K142" s="15" t="n">
        <v>50</v>
      </c>
      <c r="L142" s="15" t="n">
        <v>43</v>
      </c>
      <c r="M142" s="15" t="n">
        <v>99</v>
      </c>
      <c r="N142" s="15" t="n">
        <v>0</v>
      </c>
      <c r="O142" s="15" t="n">
        <v>0</v>
      </c>
      <c r="P142" s="16" t="n">
        <v>0</v>
      </c>
      <c r="Q142" s="15" t="n">
        <v>0</v>
      </c>
      <c r="R142" s="15" t="n">
        <v>0</v>
      </c>
      <c r="S142" s="17" t="n">
        <v>94372</v>
      </c>
      <c r="T142" s="15" t="s">
        <v>137</v>
      </c>
      <c r="U142" s="15" t="n">
        <v>2028</v>
      </c>
      <c r="V142" s="15" t="s">
        <v>700</v>
      </c>
      <c r="W142" s="18" t="s">
        <v>139</v>
      </c>
      <c r="X142" s="18" t="s">
        <v>358</v>
      </c>
      <c r="Y142" s="15" t="s">
        <v>600</v>
      </c>
      <c r="Z142" s="15" t="s">
        <v>600</v>
      </c>
      <c r="AA142" s="19" t="str">
        <f aca="false">HYPERLINK("https://www.transfermarkt.com/schnellsuche/ergebnis/schnellsuche?query="&amp;SUBSTITUTE(A142," ","+"),"Search Transfermarkt")</f>
        <v>Search Transfermarkt</v>
      </c>
    </row>
    <row r="143" customFormat="false" ht="23.85" hidden="false" customHeight="false" outlineLevel="0" collapsed="false">
      <c r="A143" s="15" t="s">
        <v>701</v>
      </c>
      <c r="B143" s="15" t="s">
        <v>62</v>
      </c>
      <c r="C143" s="15" t="s">
        <v>208</v>
      </c>
      <c r="D143" s="15" t="n">
        <v>2</v>
      </c>
      <c r="E143" s="15" t="s">
        <v>702</v>
      </c>
      <c r="F143" s="15" t="s">
        <v>136</v>
      </c>
      <c r="G143" s="15" t="n">
        <v>17</v>
      </c>
      <c r="H143" s="15" t="n">
        <v>2135</v>
      </c>
      <c r="I143" s="15" t="n">
        <v>2</v>
      </c>
      <c r="J143" s="15" t="n">
        <v>1</v>
      </c>
      <c r="K143" s="15" t="n">
        <v>53</v>
      </c>
      <c r="L143" s="15" t="n">
        <v>45</v>
      </c>
      <c r="M143" s="15" t="n">
        <v>86</v>
      </c>
      <c r="N143" s="15" t="n">
        <v>0</v>
      </c>
      <c r="O143" s="15" t="n">
        <v>0</v>
      </c>
      <c r="P143" s="16" t="n">
        <v>0</v>
      </c>
      <c r="Q143" s="15" t="n">
        <v>0</v>
      </c>
      <c r="R143" s="15" t="n">
        <v>0</v>
      </c>
      <c r="S143" s="17" t="n">
        <v>125584</v>
      </c>
      <c r="T143" s="15" t="s">
        <v>186</v>
      </c>
      <c r="U143" s="15" t="n">
        <v>2028</v>
      </c>
      <c r="V143" s="15" t="s">
        <v>703</v>
      </c>
      <c r="W143" s="18" t="s">
        <v>147</v>
      </c>
      <c r="X143" s="18" t="s">
        <v>211</v>
      </c>
      <c r="Y143" s="15" t="s">
        <v>600</v>
      </c>
      <c r="Z143" s="15" t="s">
        <v>600</v>
      </c>
      <c r="AA143" s="19" t="str">
        <f aca="false">HYPERLINK("https://www.transfermarkt.com/schnellsuche/ergebnis/schnellsuche?query="&amp;SUBSTITUTE(A143," ","+"),"Search Transfermarkt")</f>
        <v>Search Transfermarkt</v>
      </c>
    </row>
    <row r="144" customFormat="false" ht="23.85" hidden="false" customHeight="false" outlineLevel="0" collapsed="false">
      <c r="A144" s="15" t="s">
        <v>704</v>
      </c>
      <c r="B144" s="15" t="s">
        <v>85</v>
      </c>
      <c r="C144" s="15" t="s">
        <v>705</v>
      </c>
      <c r="D144" s="15" t="n">
        <v>4</v>
      </c>
      <c r="E144" s="15" t="s">
        <v>706</v>
      </c>
      <c r="F144" s="15" t="s">
        <v>157</v>
      </c>
      <c r="G144" s="15" t="n">
        <v>23</v>
      </c>
      <c r="H144" s="15" t="n">
        <v>1104</v>
      </c>
      <c r="I144" s="15" t="n">
        <v>0</v>
      </c>
      <c r="J144" s="15" t="n">
        <v>0</v>
      </c>
      <c r="K144" s="15" t="n">
        <v>9</v>
      </c>
      <c r="L144" s="15" t="n">
        <v>5</v>
      </c>
      <c r="M144" s="15" t="n">
        <v>3</v>
      </c>
      <c r="N144" s="15" t="n">
        <v>51</v>
      </c>
      <c r="O144" s="15" t="n">
        <v>20</v>
      </c>
      <c r="P144" s="16" t="n">
        <v>84.6</v>
      </c>
      <c r="Q144" s="15" t="n">
        <v>10.8</v>
      </c>
      <c r="R144" s="15" t="n">
        <v>3</v>
      </c>
      <c r="S144" s="17" t="n">
        <v>137302</v>
      </c>
      <c r="T144" s="15" t="s">
        <v>164</v>
      </c>
      <c r="U144" s="15" t="n">
        <v>2027</v>
      </c>
      <c r="V144" s="15" t="s">
        <v>707</v>
      </c>
      <c r="W144" s="18" t="s">
        <v>139</v>
      </c>
      <c r="X144" s="18" t="s">
        <v>265</v>
      </c>
      <c r="Y144" s="15" t="s">
        <v>600</v>
      </c>
      <c r="Z144" s="15" t="s">
        <v>600</v>
      </c>
      <c r="AA144" s="19" t="str">
        <f aca="false">HYPERLINK("https://www.transfermarkt.com/schnellsuche/ergebnis/schnellsuche?query="&amp;SUBSTITUTE(A144," ","+"),"Search Transfermarkt")</f>
        <v>Search Transfermarkt</v>
      </c>
    </row>
    <row r="145" customFormat="false" ht="23.85" hidden="false" customHeight="false" outlineLevel="0" collapsed="false">
      <c r="A145" s="15" t="s">
        <v>708</v>
      </c>
      <c r="B145" s="15" t="s">
        <v>106</v>
      </c>
      <c r="C145" s="15" t="s">
        <v>368</v>
      </c>
      <c r="D145" s="15" t="n">
        <v>2</v>
      </c>
      <c r="E145" s="15" t="s">
        <v>709</v>
      </c>
      <c r="F145" s="15" t="s">
        <v>170</v>
      </c>
      <c r="G145" s="15" t="n">
        <v>26</v>
      </c>
      <c r="H145" s="15" t="n">
        <v>1192</v>
      </c>
      <c r="I145" s="15" t="n">
        <v>2</v>
      </c>
      <c r="J145" s="15" t="n">
        <v>9</v>
      </c>
      <c r="K145" s="15" t="n">
        <v>149</v>
      </c>
      <c r="L145" s="15" t="n">
        <v>68</v>
      </c>
      <c r="M145" s="15" t="n">
        <v>41</v>
      </c>
      <c r="N145" s="15" t="n">
        <v>0</v>
      </c>
      <c r="O145" s="15" t="n">
        <v>0</v>
      </c>
      <c r="P145" s="16" t="n">
        <v>0</v>
      </c>
      <c r="Q145" s="15" t="n">
        <v>0</v>
      </c>
      <c r="R145" s="15" t="n">
        <v>0</v>
      </c>
      <c r="S145" s="17" t="n">
        <v>103552</v>
      </c>
      <c r="T145" s="15" t="s">
        <v>186</v>
      </c>
      <c r="U145" s="15" t="n">
        <v>2029</v>
      </c>
      <c r="V145" s="15" t="s">
        <v>710</v>
      </c>
      <c r="W145" s="18" t="s">
        <v>188</v>
      </c>
      <c r="X145" s="18" t="s">
        <v>283</v>
      </c>
      <c r="Y145" s="15" t="s">
        <v>600</v>
      </c>
      <c r="Z145" s="15" t="s">
        <v>600</v>
      </c>
      <c r="AA145" s="19" t="str">
        <f aca="false">HYPERLINK("https://www.transfermarkt.com/schnellsuche/ergebnis/schnellsuche?query="&amp;SUBSTITUTE(A145," ","+"),"Search Transfermarkt")</f>
        <v>Search Transfermarkt</v>
      </c>
    </row>
    <row r="146" customFormat="false" ht="23.85" hidden="false" customHeight="false" outlineLevel="0" collapsed="false">
      <c r="A146" s="15" t="s">
        <v>711</v>
      </c>
      <c r="B146" s="15" t="s">
        <v>106</v>
      </c>
      <c r="C146" s="15" t="s">
        <v>280</v>
      </c>
      <c r="D146" s="15" t="n">
        <v>3</v>
      </c>
      <c r="E146" s="15" t="s">
        <v>712</v>
      </c>
      <c r="F146" s="15" t="s">
        <v>163</v>
      </c>
      <c r="G146" s="15" t="n">
        <v>20</v>
      </c>
      <c r="H146" s="15" t="n">
        <v>1485</v>
      </c>
      <c r="I146" s="15" t="n">
        <v>20</v>
      </c>
      <c r="J146" s="15" t="n">
        <v>3</v>
      </c>
      <c r="K146" s="15" t="n">
        <v>61</v>
      </c>
      <c r="L146" s="15" t="n">
        <v>84</v>
      </c>
      <c r="M146" s="15" t="n">
        <v>15</v>
      </c>
      <c r="N146" s="15" t="n">
        <v>0</v>
      </c>
      <c r="O146" s="15" t="n">
        <v>0</v>
      </c>
      <c r="P146" s="16" t="n">
        <v>0</v>
      </c>
      <c r="Q146" s="15" t="n">
        <v>0</v>
      </c>
      <c r="R146" s="15" t="n">
        <v>0</v>
      </c>
      <c r="S146" s="17" t="n">
        <v>0</v>
      </c>
      <c r="T146" s="15" t="s">
        <v>164</v>
      </c>
      <c r="U146" s="15" t="n">
        <v>2026</v>
      </c>
      <c r="V146" s="15" t="s">
        <v>713</v>
      </c>
      <c r="W146" s="18" t="s">
        <v>139</v>
      </c>
      <c r="X146" s="18" t="s">
        <v>283</v>
      </c>
      <c r="Y146" s="15" t="s">
        <v>600</v>
      </c>
      <c r="Z146" s="15" t="s">
        <v>600</v>
      </c>
      <c r="AA146" s="19" t="str">
        <f aca="false">HYPERLINK("https://www.transfermarkt.com/schnellsuche/ergebnis/schnellsuche?query="&amp;SUBSTITUTE(A146," ","+"),"Search Transfermarkt")</f>
        <v>Search Transfermarkt</v>
      </c>
    </row>
    <row r="147" customFormat="false" ht="23.85" hidden="false" customHeight="false" outlineLevel="0" collapsed="false">
      <c r="A147" s="15" t="s">
        <v>714</v>
      </c>
      <c r="B147" s="15" t="s">
        <v>85</v>
      </c>
      <c r="C147" s="15" t="s">
        <v>715</v>
      </c>
      <c r="D147" s="15" t="n">
        <v>2</v>
      </c>
      <c r="E147" s="15" t="s">
        <v>716</v>
      </c>
      <c r="F147" s="15" t="s">
        <v>136</v>
      </c>
      <c r="G147" s="15" t="n">
        <v>25</v>
      </c>
      <c r="H147" s="15" t="n">
        <v>1273</v>
      </c>
      <c r="I147" s="15" t="n">
        <v>3</v>
      </c>
      <c r="J147" s="15" t="n">
        <v>2</v>
      </c>
      <c r="K147" s="15" t="n">
        <v>63</v>
      </c>
      <c r="L147" s="15" t="n">
        <v>43</v>
      </c>
      <c r="M147" s="15" t="n">
        <v>113</v>
      </c>
      <c r="N147" s="15" t="n">
        <v>0</v>
      </c>
      <c r="O147" s="15" t="n">
        <v>0</v>
      </c>
      <c r="P147" s="16" t="n">
        <v>0</v>
      </c>
      <c r="Q147" s="15" t="n">
        <v>0</v>
      </c>
      <c r="R147" s="15" t="n">
        <v>0</v>
      </c>
      <c r="S147" s="17" t="n">
        <v>79942</v>
      </c>
      <c r="T147" s="15" t="s">
        <v>186</v>
      </c>
      <c r="U147" s="15" t="n">
        <v>2029</v>
      </c>
      <c r="V147" s="15" t="s">
        <v>717</v>
      </c>
      <c r="W147" s="18" t="s">
        <v>188</v>
      </c>
      <c r="X147" s="18" t="s">
        <v>265</v>
      </c>
      <c r="Y147" s="15" t="s">
        <v>600</v>
      </c>
      <c r="Z147" s="15" t="s">
        <v>600</v>
      </c>
      <c r="AA147" s="19" t="str">
        <f aca="false">HYPERLINK("https://www.transfermarkt.com/schnellsuche/ergebnis/schnellsuche?query="&amp;SUBSTITUTE(A147," ","+"),"Search Transfermarkt")</f>
        <v>Search Transfermarkt</v>
      </c>
    </row>
    <row r="148" customFormat="false" ht="23.85" hidden="false" customHeight="false" outlineLevel="0" collapsed="false">
      <c r="A148" s="15" t="s">
        <v>718</v>
      </c>
      <c r="B148" s="15" t="s">
        <v>92</v>
      </c>
      <c r="C148" s="15" t="s">
        <v>719</v>
      </c>
      <c r="D148" s="15" t="n">
        <v>2</v>
      </c>
      <c r="E148" s="15" t="s">
        <v>720</v>
      </c>
      <c r="F148" s="15" t="s">
        <v>163</v>
      </c>
      <c r="G148" s="15" t="n">
        <v>20</v>
      </c>
      <c r="H148" s="15" t="n">
        <v>970</v>
      </c>
      <c r="I148" s="15" t="n">
        <v>7</v>
      </c>
      <c r="J148" s="15" t="n">
        <v>2</v>
      </c>
      <c r="K148" s="15" t="n">
        <v>48</v>
      </c>
      <c r="L148" s="15" t="n">
        <v>81</v>
      </c>
      <c r="M148" s="15" t="n">
        <v>4</v>
      </c>
      <c r="N148" s="15" t="n">
        <v>0</v>
      </c>
      <c r="O148" s="15" t="n">
        <v>0</v>
      </c>
      <c r="P148" s="16" t="n">
        <v>0</v>
      </c>
      <c r="Q148" s="15" t="n">
        <v>0</v>
      </c>
      <c r="R148" s="15" t="n">
        <v>0</v>
      </c>
      <c r="S148" s="17" t="n">
        <v>0</v>
      </c>
      <c r="T148" s="15" t="s">
        <v>186</v>
      </c>
      <c r="U148" s="15" t="n">
        <v>2026</v>
      </c>
      <c r="V148" s="15" t="s">
        <v>721</v>
      </c>
      <c r="W148" s="18" t="s">
        <v>188</v>
      </c>
      <c r="X148" s="18" t="s">
        <v>159</v>
      </c>
      <c r="Y148" s="15" t="s">
        <v>600</v>
      </c>
      <c r="Z148" s="15" t="s">
        <v>600</v>
      </c>
      <c r="AA148" s="19" t="str">
        <f aca="false">HYPERLINK("https://www.transfermarkt.com/schnellsuche/ergebnis/schnellsuche?query="&amp;SUBSTITUTE(A148," ","+"),"Search Transfermarkt")</f>
        <v>Search Transfermarkt</v>
      </c>
    </row>
    <row r="149" customFormat="false" ht="23.85" hidden="false" customHeight="false" outlineLevel="0" collapsed="false">
      <c r="A149" s="15" t="s">
        <v>722</v>
      </c>
      <c r="B149" s="15" t="s">
        <v>100</v>
      </c>
      <c r="C149" s="15" t="s">
        <v>497</v>
      </c>
      <c r="D149" s="15" t="n">
        <v>4</v>
      </c>
      <c r="E149" s="15" t="s">
        <v>219</v>
      </c>
      <c r="F149" s="15" t="s">
        <v>157</v>
      </c>
      <c r="G149" s="15" t="n">
        <v>18</v>
      </c>
      <c r="H149" s="15" t="n">
        <v>2037</v>
      </c>
      <c r="I149" s="15" t="n">
        <v>0</v>
      </c>
      <c r="J149" s="15" t="n">
        <v>0</v>
      </c>
      <c r="K149" s="15" t="n">
        <v>12</v>
      </c>
      <c r="L149" s="15" t="n">
        <v>1</v>
      </c>
      <c r="M149" s="15" t="n">
        <v>10</v>
      </c>
      <c r="N149" s="15" t="n">
        <v>98</v>
      </c>
      <c r="O149" s="15" t="n">
        <v>23</v>
      </c>
      <c r="P149" s="16" t="n">
        <v>74.8</v>
      </c>
      <c r="Q149" s="15" t="n">
        <v>2.9</v>
      </c>
      <c r="R149" s="15" t="n">
        <v>4</v>
      </c>
      <c r="S149" s="17" t="n">
        <v>88081</v>
      </c>
      <c r="T149" s="15" t="s">
        <v>164</v>
      </c>
      <c r="U149" s="15" t="n">
        <v>2029</v>
      </c>
      <c r="V149" s="15" t="s">
        <v>220</v>
      </c>
      <c r="W149" s="18" t="s">
        <v>139</v>
      </c>
      <c r="X149" s="18" t="s">
        <v>221</v>
      </c>
      <c r="Y149" s="15" t="s">
        <v>600</v>
      </c>
      <c r="Z149" s="15" t="s">
        <v>600</v>
      </c>
      <c r="AA149" s="19" t="str">
        <f aca="false">HYPERLINK("https://www.transfermarkt.com/schnellsuche/ergebnis/schnellsuche?query="&amp;SUBSTITUTE(A149," ","+"),"Search Transfermarkt")</f>
        <v>Search Transfermarkt</v>
      </c>
    </row>
    <row r="150" customFormat="false" ht="23.85" hidden="false" customHeight="false" outlineLevel="0" collapsed="false">
      <c r="A150" s="15" t="s">
        <v>723</v>
      </c>
      <c r="B150" s="15" t="s">
        <v>79</v>
      </c>
      <c r="C150" s="15" t="s">
        <v>513</v>
      </c>
      <c r="D150" s="15" t="n">
        <v>2</v>
      </c>
      <c r="E150" s="15" t="s">
        <v>724</v>
      </c>
      <c r="F150" s="15" t="s">
        <v>157</v>
      </c>
      <c r="G150" s="15" t="n">
        <v>19</v>
      </c>
      <c r="H150" s="15" t="n">
        <v>1751</v>
      </c>
      <c r="I150" s="15" t="n">
        <v>0</v>
      </c>
      <c r="J150" s="15" t="n">
        <v>0</v>
      </c>
      <c r="K150" s="15" t="n">
        <v>11</v>
      </c>
      <c r="L150" s="15" t="n">
        <v>1</v>
      </c>
      <c r="M150" s="15" t="n">
        <v>8</v>
      </c>
      <c r="N150" s="15" t="n">
        <v>61</v>
      </c>
      <c r="O150" s="15" t="n">
        <v>29</v>
      </c>
      <c r="P150" s="16" t="n">
        <v>63.7</v>
      </c>
      <c r="Q150" s="15" t="n">
        <v>12</v>
      </c>
      <c r="R150" s="15" t="n">
        <v>8</v>
      </c>
      <c r="S150" s="17" t="n">
        <v>0</v>
      </c>
      <c r="T150" s="15" t="s">
        <v>137</v>
      </c>
      <c r="U150" s="15" t="n">
        <v>2027</v>
      </c>
      <c r="V150" s="15" t="s">
        <v>725</v>
      </c>
      <c r="W150" s="18" t="s">
        <v>139</v>
      </c>
      <c r="X150" s="18" t="s">
        <v>412</v>
      </c>
      <c r="Y150" s="15" t="s">
        <v>600</v>
      </c>
      <c r="Z150" s="15" t="s">
        <v>600</v>
      </c>
      <c r="AA150" s="19" t="str">
        <f aca="false">HYPERLINK("https://www.transfermarkt.com/schnellsuche/ergebnis/schnellsuche?query="&amp;SUBSTITUTE(A150," ","+"),"Search Transfermarkt")</f>
        <v>Search Transfermarkt</v>
      </c>
    </row>
    <row r="151" customFormat="false" ht="23.85" hidden="false" customHeight="false" outlineLevel="0" collapsed="false">
      <c r="A151" s="15" t="s">
        <v>726</v>
      </c>
      <c r="B151" s="15" t="s">
        <v>79</v>
      </c>
      <c r="C151" s="15" t="s">
        <v>513</v>
      </c>
      <c r="D151" s="15" t="n">
        <v>3</v>
      </c>
      <c r="E151" s="15" t="s">
        <v>727</v>
      </c>
      <c r="F151" s="15" t="s">
        <v>163</v>
      </c>
      <c r="G151" s="15" t="n">
        <v>17</v>
      </c>
      <c r="H151" s="15" t="n">
        <v>1558</v>
      </c>
      <c r="I151" s="15" t="n">
        <v>20</v>
      </c>
      <c r="J151" s="15" t="n">
        <v>8</v>
      </c>
      <c r="K151" s="15" t="n">
        <v>31</v>
      </c>
      <c r="L151" s="15" t="n">
        <v>68</v>
      </c>
      <c r="M151" s="15" t="n">
        <v>8</v>
      </c>
      <c r="N151" s="15" t="n">
        <v>0</v>
      </c>
      <c r="O151" s="15" t="n">
        <v>0</v>
      </c>
      <c r="P151" s="16" t="n">
        <v>0</v>
      </c>
      <c r="Q151" s="15" t="n">
        <v>0</v>
      </c>
      <c r="R151" s="15" t="n">
        <v>0</v>
      </c>
      <c r="S151" s="17" t="n">
        <v>119065</v>
      </c>
      <c r="T151" s="15" t="s">
        <v>137</v>
      </c>
      <c r="U151" s="15" t="n">
        <v>2028</v>
      </c>
      <c r="V151" s="15" t="s">
        <v>728</v>
      </c>
      <c r="W151" s="18" t="s">
        <v>147</v>
      </c>
      <c r="X151" s="18" t="s">
        <v>412</v>
      </c>
      <c r="Y151" s="15" t="s">
        <v>600</v>
      </c>
      <c r="Z151" s="15" t="s">
        <v>600</v>
      </c>
      <c r="AA151" s="19" t="str">
        <f aca="false">HYPERLINK("https://www.transfermarkt.com/schnellsuche/ergebnis/schnellsuche?query="&amp;SUBSTITUTE(A151," ","+"),"Search Transfermarkt")</f>
        <v>Search Transfermarkt</v>
      </c>
    </row>
    <row r="152" customFormat="false" ht="23.85" hidden="false" customHeight="false" outlineLevel="0" collapsed="false">
      <c r="A152" s="15" t="s">
        <v>729</v>
      </c>
      <c r="B152" s="15" t="s">
        <v>79</v>
      </c>
      <c r="C152" s="15" t="s">
        <v>730</v>
      </c>
      <c r="D152" s="15" t="n">
        <v>2</v>
      </c>
      <c r="E152" s="15" t="s">
        <v>731</v>
      </c>
      <c r="F152" s="15" t="s">
        <v>136</v>
      </c>
      <c r="G152" s="15" t="n">
        <v>21</v>
      </c>
      <c r="H152" s="15" t="n">
        <v>824</v>
      </c>
      <c r="I152" s="15" t="n">
        <v>2</v>
      </c>
      <c r="J152" s="15" t="n">
        <v>3</v>
      </c>
      <c r="K152" s="15" t="n">
        <v>58</v>
      </c>
      <c r="L152" s="15" t="n">
        <v>24</v>
      </c>
      <c r="M152" s="15" t="n">
        <v>78</v>
      </c>
      <c r="N152" s="15" t="n">
        <v>0</v>
      </c>
      <c r="O152" s="15" t="n">
        <v>0</v>
      </c>
      <c r="P152" s="16" t="n">
        <v>0</v>
      </c>
      <c r="Q152" s="15" t="n">
        <v>0</v>
      </c>
      <c r="R152" s="15" t="n">
        <v>0</v>
      </c>
      <c r="S152" s="17" t="n">
        <v>95653</v>
      </c>
      <c r="T152" s="15" t="s">
        <v>137</v>
      </c>
      <c r="U152" s="15" t="n">
        <v>2027</v>
      </c>
      <c r="V152" s="15" t="s">
        <v>732</v>
      </c>
      <c r="W152" s="18" t="s">
        <v>139</v>
      </c>
      <c r="X152" s="18" t="s">
        <v>412</v>
      </c>
      <c r="Y152" s="15" t="s">
        <v>600</v>
      </c>
      <c r="Z152" s="15" t="s">
        <v>600</v>
      </c>
      <c r="AA152" s="19" t="str">
        <f aca="false">HYPERLINK("https://www.transfermarkt.com/schnellsuche/ergebnis/schnellsuche?query="&amp;SUBSTITUTE(A152," ","+"),"Search Transfermarkt")</f>
        <v>Search Transfermarkt</v>
      </c>
    </row>
    <row r="153" customFormat="false" ht="23.85" hidden="false" customHeight="false" outlineLevel="0" collapsed="false">
      <c r="A153" s="15" t="s">
        <v>733</v>
      </c>
      <c r="B153" s="15" t="s">
        <v>75</v>
      </c>
      <c r="C153" s="15" t="s">
        <v>194</v>
      </c>
      <c r="D153" s="15" t="n">
        <v>2</v>
      </c>
      <c r="E153" s="15" t="s">
        <v>734</v>
      </c>
      <c r="F153" s="15" t="s">
        <v>157</v>
      </c>
      <c r="G153" s="15" t="n">
        <v>26</v>
      </c>
      <c r="H153" s="15" t="n">
        <v>2675</v>
      </c>
      <c r="I153" s="15" t="n">
        <v>0</v>
      </c>
      <c r="J153" s="15" t="n">
        <v>0</v>
      </c>
      <c r="K153" s="15" t="n">
        <v>10</v>
      </c>
      <c r="L153" s="15" t="n">
        <v>1</v>
      </c>
      <c r="M153" s="15" t="n">
        <v>3</v>
      </c>
      <c r="N153" s="15" t="n">
        <v>108</v>
      </c>
      <c r="O153" s="15" t="n">
        <v>56</v>
      </c>
      <c r="P153" s="16" t="n">
        <v>83.2</v>
      </c>
      <c r="Q153" s="15" t="n">
        <v>41.3</v>
      </c>
      <c r="R153" s="15" t="n">
        <v>7</v>
      </c>
      <c r="S153" s="17" t="n">
        <v>107426</v>
      </c>
      <c r="T153" s="15" t="s">
        <v>164</v>
      </c>
      <c r="U153" s="15" t="n">
        <v>2028</v>
      </c>
      <c r="V153" s="15" t="s">
        <v>735</v>
      </c>
      <c r="W153" s="18" t="s">
        <v>139</v>
      </c>
      <c r="X153" s="18" t="s">
        <v>197</v>
      </c>
      <c r="Y153" s="15" t="s">
        <v>600</v>
      </c>
      <c r="Z153" s="15" t="s">
        <v>600</v>
      </c>
      <c r="AA153" s="19" t="str">
        <f aca="false">HYPERLINK("https://www.transfermarkt.com/schnellsuche/ergebnis/schnellsuche?query="&amp;SUBSTITUTE(A153," ","+"),"Search Transfermarkt")</f>
        <v>Search Transfermarkt</v>
      </c>
    </row>
    <row r="154" customFormat="false" ht="23.85" hidden="false" customHeight="false" outlineLevel="0" collapsed="false">
      <c r="A154" s="15" t="s">
        <v>736</v>
      </c>
      <c r="B154" s="15" t="s">
        <v>81</v>
      </c>
      <c r="C154" s="15" t="s">
        <v>466</v>
      </c>
      <c r="D154" s="15" t="n">
        <v>3</v>
      </c>
      <c r="E154" s="15" t="s">
        <v>737</v>
      </c>
      <c r="F154" s="15" t="s">
        <v>170</v>
      </c>
      <c r="G154" s="15" t="n">
        <v>17</v>
      </c>
      <c r="H154" s="15" t="n">
        <v>2330</v>
      </c>
      <c r="I154" s="15" t="n">
        <v>3</v>
      </c>
      <c r="J154" s="15" t="n">
        <v>4</v>
      </c>
      <c r="K154" s="15" t="n">
        <v>145</v>
      </c>
      <c r="L154" s="15" t="n">
        <v>61</v>
      </c>
      <c r="M154" s="15" t="n">
        <v>39</v>
      </c>
      <c r="N154" s="15" t="n">
        <v>0</v>
      </c>
      <c r="O154" s="15" t="n">
        <v>0</v>
      </c>
      <c r="P154" s="16" t="n">
        <v>0</v>
      </c>
      <c r="Q154" s="15" t="n">
        <v>0</v>
      </c>
      <c r="R154" s="15" t="n">
        <v>0</v>
      </c>
      <c r="S154" s="17" t="n">
        <v>108687</v>
      </c>
      <c r="T154" s="15" t="s">
        <v>137</v>
      </c>
      <c r="U154" s="15" t="n">
        <v>2028</v>
      </c>
      <c r="V154" s="15" t="s">
        <v>738</v>
      </c>
      <c r="W154" s="18" t="s">
        <v>147</v>
      </c>
      <c r="X154" s="18" t="s">
        <v>407</v>
      </c>
      <c r="Y154" s="15" t="s">
        <v>600</v>
      </c>
      <c r="Z154" s="15" t="s">
        <v>600</v>
      </c>
      <c r="AA154" s="19" t="str">
        <f aca="false">HYPERLINK("https://www.transfermarkt.com/schnellsuche/ergebnis/schnellsuche?query="&amp;SUBSTITUTE(A154," ","+"),"Search Transfermarkt")</f>
        <v>Search Transfermarkt</v>
      </c>
    </row>
    <row r="155" customFormat="false" ht="23.85" hidden="false" customHeight="false" outlineLevel="0" collapsed="false">
      <c r="A155" s="15" t="s">
        <v>739</v>
      </c>
      <c r="B155" s="15" t="s">
        <v>76</v>
      </c>
      <c r="C155" s="15" t="s">
        <v>740</v>
      </c>
      <c r="D155" s="15" t="n">
        <v>3</v>
      </c>
      <c r="E155" s="15" t="s">
        <v>239</v>
      </c>
      <c r="F155" s="15" t="s">
        <v>163</v>
      </c>
      <c r="G155" s="15" t="n">
        <v>19</v>
      </c>
      <c r="H155" s="15" t="n">
        <v>1294</v>
      </c>
      <c r="I155" s="15" t="n">
        <v>8</v>
      </c>
      <c r="J155" s="15" t="n">
        <v>8</v>
      </c>
      <c r="K155" s="15" t="n">
        <v>44</v>
      </c>
      <c r="L155" s="15" t="n">
        <v>74</v>
      </c>
      <c r="M155" s="15" t="n">
        <v>13</v>
      </c>
      <c r="N155" s="15" t="n">
        <v>0</v>
      </c>
      <c r="O155" s="15" t="n">
        <v>0</v>
      </c>
      <c r="P155" s="16" t="n">
        <v>0</v>
      </c>
      <c r="Q155" s="15" t="n">
        <v>0</v>
      </c>
      <c r="R155" s="15" t="n">
        <v>0</v>
      </c>
      <c r="S155" s="17" t="n">
        <v>50266</v>
      </c>
      <c r="T155" s="15" t="s">
        <v>137</v>
      </c>
      <c r="U155" s="15" t="n">
        <v>2026</v>
      </c>
      <c r="V155" s="15" t="s">
        <v>240</v>
      </c>
      <c r="W155" s="18" t="s">
        <v>139</v>
      </c>
      <c r="X155" s="18" t="s">
        <v>241</v>
      </c>
      <c r="Y155" s="15" t="s">
        <v>600</v>
      </c>
      <c r="Z155" s="15" t="s">
        <v>600</v>
      </c>
      <c r="AA155" s="19" t="str">
        <f aca="false">HYPERLINK("https://www.transfermarkt.com/schnellsuche/ergebnis/schnellsuche?query="&amp;SUBSTITUTE(A155," ","+"),"Search Transfermarkt")</f>
        <v>Search Transfermarkt</v>
      </c>
    </row>
    <row r="156" customFormat="false" ht="23.85" hidden="false" customHeight="false" outlineLevel="0" collapsed="false">
      <c r="A156" s="15" t="s">
        <v>741</v>
      </c>
      <c r="B156" s="15" t="s">
        <v>68</v>
      </c>
      <c r="C156" s="15" t="s">
        <v>687</v>
      </c>
      <c r="D156" s="15" t="n">
        <v>4</v>
      </c>
      <c r="E156" s="15" t="s">
        <v>151</v>
      </c>
      <c r="F156" s="15" t="s">
        <v>163</v>
      </c>
      <c r="G156" s="15" t="n">
        <v>23</v>
      </c>
      <c r="H156" s="15" t="n">
        <v>1850</v>
      </c>
      <c r="I156" s="15" t="n">
        <v>17</v>
      </c>
      <c r="J156" s="15" t="n">
        <v>3</v>
      </c>
      <c r="K156" s="15" t="n">
        <v>39</v>
      </c>
      <c r="L156" s="15" t="n">
        <v>70</v>
      </c>
      <c r="M156" s="15" t="n">
        <v>9</v>
      </c>
      <c r="N156" s="15" t="n">
        <v>0</v>
      </c>
      <c r="O156" s="15" t="n">
        <v>0</v>
      </c>
      <c r="P156" s="16" t="n">
        <v>0</v>
      </c>
      <c r="Q156" s="15" t="n">
        <v>0</v>
      </c>
      <c r="R156" s="15" t="n">
        <v>0</v>
      </c>
      <c r="S156" s="17" t="n">
        <v>0</v>
      </c>
      <c r="T156" s="15" t="s">
        <v>186</v>
      </c>
      <c r="U156" s="15" t="n">
        <v>2028</v>
      </c>
      <c r="V156" s="15" t="s">
        <v>152</v>
      </c>
      <c r="W156" s="18" t="s">
        <v>188</v>
      </c>
      <c r="X156" s="18" t="s">
        <v>153</v>
      </c>
      <c r="Y156" s="15" t="s">
        <v>600</v>
      </c>
      <c r="Z156" s="15" t="s">
        <v>600</v>
      </c>
      <c r="AA156" s="19" t="str">
        <f aca="false">HYPERLINK("https://www.transfermarkt.com/schnellsuche/ergebnis/schnellsuche?query="&amp;SUBSTITUTE(A156," ","+"),"Search Transfermarkt")</f>
        <v>Search Transfermarkt</v>
      </c>
    </row>
    <row r="157" customFormat="false" ht="23.85" hidden="false" customHeight="false" outlineLevel="0" collapsed="false">
      <c r="A157" s="15" t="s">
        <v>742</v>
      </c>
      <c r="B157" s="15" t="s">
        <v>82</v>
      </c>
      <c r="C157" s="15" t="s">
        <v>743</v>
      </c>
      <c r="D157" s="15" t="n">
        <v>2</v>
      </c>
      <c r="E157" s="15" t="s">
        <v>744</v>
      </c>
      <c r="F157" s="15" t="s">
        <v>170</v>
      </c>
      <c r="G157" s="15" t="n">
        <v>24</v>
      </c>
      <c r="H157" s="15" t="n">
        <v>952</v>
      </c>
      <c r="I157" s="15" t="n">
        <v>4</v>
      </c>
      <c r="J157" s="15" t="n">
        <v>11</v>
      </c>
      <c r="K157" s="15" t="n">
        <v>155</v>
      </c>
      <c r="L157" s="15" t="n">
        <v>55</v>
      </c>
      <c r="M157" s="15" t="n">
        <v>53</v>
      </c>
      <c r="N157" s="15" t="n">
        <v>0</v>
      </c>
      <c r="O157" s="15" t="n">
        <v>0</v>
      </c>
      <c r="P157" s="16" t="n">
        <v>0</v>
      </c>
      <c r="Q157" s="15" t="n">
        <v>0</v>
      </c>
      <c r="R157" s="15" t="n">
        <v>0</v>
      </c>
      <c r="S157" s="17" t="n">
        <v>82820</v>
      </c>
      <c r="T157" s="15" t="s">
        <v>186</v>
      </c>
      <c r="U157" s="15" t="n">
        <v>2026</v>
      </c>
      <c r="V157" s="15" t="s">
        <v>745</v>
      </c>
      <c r="W157" s="18" t="s">
        <v>188</v>
      </c>
      <c r="X157" s="18" t="s">
        <v>166</v>
      </c>
      <c r="Y157" s="15" t="s">
        <v>600</v>
      </c>
      <c r="Z157" s="15" t="s">
        <v>600</v>
      </c>
      <c r="AA157" s="19" t="str">
        <f aca="false">HYPERLINK("https://www.transfermarkt.com/schnellsuche/ergebnis/schnellsuche?query="&amp;SUBSTITUTE(A157," ","+"),"Search Transfermarkt")</f>
        <v>Search Transfermarkt</v>
      </c>
    </row>
    <row r="158" customFormat="false" ht="23.85" hidden="false" customHeight="false" outlineLevel="0" collapsed="false">
      <c r="A158" s="15" t="s">
        <v>746</v>
      </c>
      <c r="B158" s="15" t="s">
        <v>77</v>
      </c>
      <c r="C158" s="15" t="s">
        <v>355</v>
      </c>
      <c r="D158" s="15" t="n">
        <v>2</v>
      </c>
      <c r="E158" s="15" t="s">
        <v>747</v>
      </c>
      <c r="F158" s="15" t="s">
        <v>163</v>
      </c>
      <c r="G158" s="15" t="n">
        <v>22</v>
      </c>
      <c r="H158" s="15" t="n">
        <v>1193</v>
      </c>
      <c r="I158" s="15" t="n">
        <v>7</v>
      </c>
      <c r="J158" s="15" t="n">
        <v>7</v>
      </c>
      <c r="K158" s="15" t="n">
        <v>48</v>
      </c>
      <c r="L158" s="15" t="n">
        <v>100</v>
      </c>
      <c r="M158" s="15" t="n">
        <v>8</v>
      </c>
      <c r="N158" s="15" t="n">
        <v>0</v>
      </c>
      <c r="O158" s="15" t="n">
        <v>0</v>
      </c>
      <c r="P158" s="16" t="n">
        <v>0</v>
      </c>
      <c r="Q158" s="15" t="n">
        <v>0</v>
      </c>
      <c r="R158" s="15" t="n">
        <v>0</v>
      </c>
      <c r="S158" s="17" t="n">
        <v>147033</v>
      </c>
      <c r="T158" s="15" t="s">
        <v>137</v>
      </c>
      <c r="U158" s="15" t="n">
        <v>2028</v>
      </c>
      <c r="V158" s="15" t="s">
        <v>748</v>
      </c>
      <c r="W158" s="18" t="s">
        <v>139</v>
      </c>
      <c r="X158" s="18" t="s">
        <v>358</v>
      </c>
      <c r="Y158" s="15" t="s">
        <v>600</v>
      </c>
      <c r="Z158" s="15" t="s">
        <v>600</v>
      </c>
      <c r="AA158" s="19" t="str">
        <f aca="false">HYPERLINK("https://www.transfermarkt.com/schnellsuche/ergebnis/schnellsuche?query="&amp;SUBSTITUTE(A158," ","+"),"Search Transfermarkt")</f>
        <v>Search Transfermarkt</v>
      </c>
    </row>
    <row r="159" customFormat="false" ht="23.85" hidden="false" customHeight="false" outlineLevel="0" collapsed="false">
      <c r="A159" s="15" t="s">
        <v>749</v>
      </c>
      <c r="B159" s="15" t="s">
        <v>68</v>
      </c>
      <c r="C159" s="15" t="s">
        <v>687</v>
      </c>
      <c r="D159" s="15" t="n">
        <v>4</v>
      </c>
      <c r="E159" s="15" t="s">
        <v>750</v>
      </c>
      <c r="F159" s="15" t="s">
        <v>170</v>
      </c>
      <c r="G159" s="15" t="n">
        <v>22</v>
      </c>
      <c r="H159" s="15" t="n">
        <v>1895</v>
      </c>
      <c r="I159" s="15" t="n">
        <v>5</v>
      </c>
      <c r="J159" s="15" t="n">
        <v>10</v>
      </c>
      <c r="K159" s="15" t="n">
        <v>122</v>
      </c>
      <c r="L159" s="15" t="n">
        <v>71</v>
      </c>
      <c r="M159" s="15" t="n">
        <v>31</v>
      </c>
      <c r="N159" s="15" t="n">
        <v>0</v>
      </c>
      <c r="O159" s="15" t="n">
        <v>0</v>
      </c>
      <c r="P159" s="16" t="n">
        <v>0</v>
      </c>
      <c r="Q159" s="15" t="n">
        <v>0</v>
      </c>
      <c r="R159" s="15" t="n">
        <v>0</v>
      </c>
      <c r="S159" s="17" t="n">
        <v>0</v>
      </c>
      <c r="T159" s="15" t="s">
        <v>164</v>
      </c>
      <c r="U159" s="15" t="n">
        <v>2028</v>
      </c>
      <c r="V159" s="15" t="s">
        <v>751</v>
      </c>
      <c r="W159" s="18" t="s">
        <v>139</v>
      </c>
      <c r="X159" s="18" t="s">
        <v>153</v>
      </c>
      <c r="Y159" s="15" t="s">
        <v>600</v>
      </c>
      <c r="Z159" s="15" t="s">
        <v>600</v>
      </c>
      <c r="AA159" s="19" t="str">
        <f aca="false">HYPERLINK("https://www.transfermarkt.com/schnellsuche/ergebnis/schnellsuche?query="&amp;SUBSTITUTE(A159," ","+"),"Search Transfermarkt")</f>
        <v>Search Transfermarkt</v>
      </c>
    </row>
    <row r="160" customFormat="false" ht="23.85" hidden="false" customHeight="false" outlineLevel="0" collapsed="false">
      <c r="A160" s="15" t="s">
        <v>752</v>
      </c>
      <c r="B160" s="15" t="s">
        <v>89</v>
      </c>
      <c r="C160" s="15" t="s">
        <v>685</v>
      </c>
      <c r="D160" s="15" t="n">
        <v>2</v>
      </c>
      <c r="E160" s="15" t="s">
        <v>753</v>
      </c>
      <c r="F160" s="15" t="s">
        <v>136</v>
      </c>
      <c r="G160" s="15" t="n">
        <v>24</v>
      </c>
      <c r="H160" s="15" t="n">
        <v>2150</v>
      </c>
      <c r="I160" s="15" t="n">
        <v>2</v>
      </c>
      <c r="J160" s="15" t="n">
        <v>3</v>
      </c>
      <c r="K160" s="15" t="n">
        <v>48</v>
      </c>
      <c r="L160" s="15" t="n">
        <v>38</v>
      </c>
      <c r="M160" s="15" t="n">
        <v>87</v>
      </c>
      <c r="N160" s="15" t="n">
        <v>0</v>
      </c>
      <c r="O160" s="15" t="n">
        <v>0</v>
      </c>
      <c r="P160" s="16" t="n">
        <v>0</v>
      </c>
      <c r="Q160" s="15" t="n">
        <v>0</v>
      </c>
      <c r="R160" s="15" t="n">
        <v>0</v>
      </c>
      <c r="S160" s="17" t="n">
        <v>135237</v>
      </c>
      <c r="T160" s="15" t="s">
        <v>164</v>
      </c>
      <c r="U160" s="15" t="n">
        <v>2027</v>
      </c>
      <c r="V160" s="15" t="s">
        <v>754</v>
      </c>
      <c r="W160" s="18" t="s">
        <v>139</v>
      </c>
      <c r="X160" s="18" t="s">
        <v>206</v>
      </c>
      <c r="Y160" s="15" t="s">
        <v>600</v>
      </c>
      <c r="Z160" s="15" t="s">
        <v>600</v>
      </c>
      <c r="AA160" s="19" t="str">
        <f aca="false">HYPERLINK("https://www.transfermarkt.com/schnellsuche/ergebnis/schnellsuche?query="&amp;SUBSTITUTE(A160," ","+"),"Search Transfermarkt")</f>
        <v>Search Transfermarkt</v>
      </c>
    </row>
    <row r="161" customFormat="false" ht="23.85" hidden="false" customHeight="false" outlineLevel="0" collapsed="false">
      <c r="A161" s="15" t="s">
        <v>755</v>
      </c>
      <c r="B161" s="15" t="s">
        <v>75</v>
      </c>
      <c r="C161" s="15" t="s">
        <v>194</v>
      </c>
      <c r="D161" s="15" t="n">
        <v>3</v>
      </c>
      <c r="E161" s="15" t="s">
        <v>756</v>
      </c>
      <c r="F161" s="15" t="s">
        <v>170</v>
      </c>
      <c r="G161" s="15" t="n">
        <v>19</v>
      </c>
      <c r="H161" s="15" t="n">
        <v>1867</v>
      </c>
      <c r="I161" s="15" t="n">
        <v>5</v>
      </c>
      <c r="J161" s="15" t="n">
        <v>13</v>
      </c>
      <c r="K161" s="15" t="n">
        <v>142</v>
      </c>
      <c r="L161" s="15" t="n">
        <v>92</v>
      </c>
      <c r="M161" s="15" t="n">
        <v>42</v>
      </c>
      <c r="N161" s="15" t="n">
        <v>0</v>
      </c>
      <c r="O161" s="15" t="n">
        <v>0</v>
      </c>
      <c r="P161" s="16" t="n">
        <v>0</v>
      </c>
      <c r="Q161" s="15" t="n">
        <v>0</v>
      </c>
      <c r="R161" s="15" t="n">
        <v>0</v>
      </c>
      <c r="S161" s="17" t="n">
        <v>110807</v>
      </c>
      <c r="T161" s="15" t="s">
        <v>186</v>
      </c>
      <c r="U161" s="15" t="n">
        <v>2029</v>
      </c>
      <c r="V161" s="15" t="s">
        <v>757</v>
      </c>
      <c r="W161" s="18" t="s">
        <v>188</v>
      </c>
      <c r="X161" s="18" t="s">
        <v>197</v>
      </c>
      <c r="Y161" s="15" t="s">
        <v>600</v>
      </c>
      <c r="Z161" s="15" t="s">
        <v>600</v>
      </c>
      <c r="AA161" s="19" t="str">
        <f aca="false">HYPERLINK("https://www.transfermarkt.com/schnellsuche/ergebnis/schnellsuche?query="&amp;SUBSTITUTE(A161," ","+"),"Search Transfermarkt")</f>
        <v>Search Transfermarkt</v>
      </c>
    </row>
    <row r="162" customFormat="false" ht="23.85" hidden="false" customHeight="false" outlineLevel="0" collapsed="false">
      <c r="A162" s="15" t="s">
        <v>758</v>
      </c>
      <c r="B162" s="15" t="s">
        <v>102</v>
      </c>
      <c r="C162" s="15" t="s">
        <v>759</v>
      </c>
      <c r="D162" s="15" t="n">
        <v>3</v>
      </c>
      <c r="E162" s="15" t="s">
        <v>760</v>
      </c>
      <c r="F162" s="15" t="s">
        <v>136</v>
      </c>
      <c r="G162" s="15" t="n">
        <v>19</v>
      </c>
      <c r="H162" s="15" t="n">
        <v>1906</v>
      </c>
      <c r="I162" s="15" t="n">
        <v>3</v>
      </c>
      <c r="J162" s="15" t="n">
        <v>4</v>
      </c>
      <c r="K162" s="15" t="n">
        <v>68</v>
      </c>
      <c r="L162" s="15" t="n">
        <v>29</v>
      </c>
      <c r="M162" s="15" t="n">
        <v>126</v>
      </c>
      <c r="N162" s="15" t="n">
        <v>0</v>
      </c>
      <c r="O162" s="15" t="n">
        <v>0</v>
      </c>
      <c r="P162" s="16" t="n">
        <v>0</v>
      </c>
      <c r="Q162" s="15" t="n">
        <v>0</v>
      </c>
      <c r="R162" s="15" t="n">
        <v>0</v>
      </c>
      <c r="S162" s="17" t="n">
        <v>0</v>
      </c>
      <c r="T162" s="15" t="s">
        <v>186</v>
      </c>
      <c r="U162" s="15" t="n">
        <v>2026</v>
      </c>
      <c r="V162" s="15" t="s">
        <v>761</v>
      </c>
      <c r="W162" s="18" t="s">
        <v>188</v>
      </c>
      <c r="X162" s="18" t="s">
        <v>453</v>
      </c>
      <c r="Y162" s="15" t="s">
        <v>600</v>
      </c>
      <c r="Z162" s="15" t="s">
        <v>600</v>
      </c>
      <c r="AA162" s="19" t="str">
        <f aca="false">HYPERLINK("https://www.transfermarkt.com/schnellsuche/ergebnis/schnellsuche?query="&amp;SUBSTITUTE(A162," ","+"),"Search Transfermarkt")</f>
        <v>Search Transfermarkt</v>
      </c>
    </row>
    <row r="163" customFormat="false" ht="23.85" hidden="false" customHeight="false" outlineLevel="0" collapsed="false">
      <c r="A163" s="15" t="s">
        <v>762</v>
      </c>
      <c r="B163" s="15" t="s">
        <v>82</v>
      </c>
      <c r="C163" s="15" t="s">
        <v>644</v>
      </c>
      <c r="D163" s="15" t="n">
        <v>4</v>
      </c>
      <c r="E163" s="15" t="s">
        <v>763</v>
      </c>
      <c r="F163" s="15" t="s">
        <v>136</v>
      </c>
      <c r="G163" s="15" t="n">
        <v>17</v>
      </c>
      <c r="H163" s="15" t="n">
        <v>1344</v>
      </c>
      <c r="I163" s="15" t="n">
        <v>2</v>
      </c>
      <c r="J163" s="15" t="n">
        <v>4</v>
      </c>
      <c r="K163" s="15" t="n">
        <v>53</v>
      </c>
      <c r="L163" s="15" t="n">
        <v>36</v>
      </c>
      <c r="M163" s="15" t="n">
        <v>122</v>
      </c>
      <c r="N163" s="15" t="n">
        <v>0</v>
      </c>
      <c r="O163" s="15" t="n">
        <v>0</v>
      </c>
      <c r="P163" s="16" t="n">
        <v>0</v>
      </c>
      <c r="Q163" s="15" t="n">
        <v>0</v>
      </c>
      <c r="R163" s="15" t="n">
        <v>0</v>
      </c>
      <c r="S163" s="17" t="n">
        <v>145246</v>
      </c>
      <c r="T163" s="15" t="s">
        <v>137</v>
      </c>
      <c r="U163" s="15" t="n">
        <v>2029</v>
      </c>
      <c r="V163" s="15" t="s">
        <v>764</v>
      </c>
      <c r="W163" s="18" t="s">
        <v>147</v>
      </c>
      <c r="X163" s="18" t="s">
        <v>166</v>
      </c>
      <c r="Y163" s="15" t="s">
        <v>600</v>
      </c>
      <c r="Z163" s="15" t="s">
        <v>600</v>
      </c>
      <c r="AA163" s="19" t="str">
        <f aca="false">HYPERLINK("https://www.transfermarkt.com/schnellsuche/ergebnis/schnellsuche?query="&amp;SUBSTITUTE(A163," ","+"),"Search Transfermarkt")</f>
        <v>Search Transfermarkt</v>
      </c>
    </row>
    <row r="164" customFormat="false" ht="23.85" hidden="false" customHeight="false" outlineLevel="0" collapsed="false">
      <c r="A164" s="15" t="s">
        <v>765</v>
      </c>
      <c r="B164" s="15" t="s">
        <v>67</v>
      </c>
      <c r="C164" s="15" t="s">
        <v>233</v>
      </c>
      <c r="D164" s="15" t="n">
        <v>4</v>
      </c>
      <c r="E164" s="15" t="s">
        <v>506</v>
      </c>
      <c r="F164" s="15" t="s">
        <v>163</v>
      </c>
      <c r="G164" s="15" t="n">
        <v>25</v>
      </c>
      <c r="H164" s="15" t="n">
        <v>1337</v>
      </c>
      <c r="I164" s="15" t="n">
        <v>14</v>
      </c>
      <c r="J164" s="15" t="n">
        <v>8</v>
      </c>
      <c r="K164" s="15" t="n">
        <v>46</v>
      </c>
      <c r="L164" s="15" t="n">
        <v>93</v>
      </c>
      <c r="M164" s="15" t="n">
        <v>7</v>
      </c>
      <c r="N164" s="15" t="n">
        <v>0</v>
      </c>
      <c r="O164" s="15" t="n">
        <v>0</v>
      </c>
      <c r="P164" s="16" t="n">
        <v>0</v>
      </c>
      <c r="Q164" s="15" t="n">
        <v>0</v>
      </c>
      <c r="R164" s="15" t="n">
        <v>0</v>
      </c>
      <c r="S164" s="17" t="n">
        <v>89703</v>
      </c>
      <c r="T164" s="15" t="s">
        <v>186</v>
      </c>
      <c r="U164" s="15" t="n">
        <v>2029</v>
      </c>
      <c r="V164" s="15" t="s">
        <v>507</v>
      </c>
      <c r="W164" s="18" t="s">
        <v>188</v>
      </c>
      <c r="X164" s="18" t="s">
        <v>236</v>
      </c>
      <c r="Y164" s="15" t="s">
        <v>600</v>
      </c>
      <c r="Z164" s="15" t="s">
        <v>600</v>
      </c>
      <c r="AA164" s="19" t="str">
        <f aca="false">HYPERLINK("https://www.transfermarkt.com/schnellsuche/ergebnis/schnellsuche?query="&amp;SUBSTITUTE(A164," ","+"),"Search Transfermarkt")</f>
        <v>Search Transfermarkt</v>
      </c>
    </row>
    <row r="165" customFormat="false" ht="23.85" hidden="false" customHeight="false" outlineLevel="0" collapsed="false">
      <c r="A165" s="15" t="s">
        <v>766</v>
      </c>
      <c r="B165" s="15" t="s">
        <v>102</v>
      </c>
      <c r="C165" s="15" t="s">
        <v>450</v>
      </c>
      <c r="D165" s="15" t="n">
        <v>3</v>
      </c>
      <c r="E165" s="15" t="s">
        <v>767</v>
      </c>
      <c r="F165" s="15" t="s">
        <v>170</v>
      </c>
      <c r="G165" s="15" t="n">
        <v>19</v>
      </c>
      <c r="H165" s="15" t="n">
        <v>2410</v>
      </c>
      <c r="I165" s="15" t="n">
        <v>3</v>
      </c>
      <c r="J165" s="15" t="n">
        <v>4</v>
      </c>
      <c r="K165" s="15" t="n">
        <v>118</v>
      </c>
      <c r="L165" s="15" t="n">
        <v>65</v>
      </c>
      <c r="M165" s="15" t="n">
        <v>35</v>
      </c>
      <c r="N165" s="15" t="n">
        <v>0</v>
      </c>
      <c r="O165" s="15" t="n">
        <v>0</v>
      </c>
      <c r="P165" s="16" t="n">
        <v>0</v>
      </c>
      <c r="Q165" s="15" t="n">
        <v>0</v>
      </c>
      <c r="R165" s="15" t="n">
        <v>0</v>
      </c>
      <c r="S165" s="17" t="n">
        <v>34076</v>
      </c>
      <c r="T165" s="15" t="s">
        <v>137</v>
      </c>
      <c r="U165" s="15" t="n">
        <v>2027</v>
      </c>
      <c r="V165" s="15" t="s">
        <v>768</v>
      </c>
      <c r="W165" s="18" t="s">
        <v>139</v>
      </c>
      <c r="X165" s="18" t="s">
        <v>453</v>
      </c>
      <c r="Y165" s="15" t="s">
        <v>600</v>
      </c>
      <c r="Z165" s="15" t="s">
        <v>600</v>
      </c>
      <c r="AA165" s="19" t="str">
        <f aca="false">HYPERLINK("https://www.transfermarkt.com/schnellsuche/ergebnis/schnellsuche?query="&amp;SUBSTITUTE(A165," ","+"),"Search Transfermarkt")</f>
        <v>Search Transfermarkt</v>
      </c>
    </row>
    <row r="166" customFormat="false" ht="23.85" hidden="false" customHeight="false" outlineLevel="0" collapsed="false">
      <c r="A166" s="15" t="s">
        <v>769</v>
      </c>
      <c r="B166" s="15" t="s">
        <v>77</v>
      </c>
      <c r="C166" s="15" t="s">
        <v>770</v>
      </c>
      <c r="D166" s="15" t="n">
        <v>3</v>
      </c>
      <c r="E166" s="15" t="s">
        <v>771</v>
      </c>
      <c r="F166" s="15" t="s">
        <v>157</v>
      </c>
      <c r="G166" s="15" t="n">
        <v>18</v>
      </c>
      <c r="H166" s="15" t="n">
        <v>1218</v>
      </c>
      <c r="I166" s="15" t="n">
        <v>0</v>
      </c>
      <c r="J166" s="15" t="n">
        <v>0</v>
      </c>
      <c r="K166" s="15" t="n">
        <v>10</v>
      </c>
      <c r="L166" s="15" t="n">
        <v>0</v>
      </c>
      <c r="M166" s="15" t="n">
        <v>6</v>
      </c>
      <c r="N166" s="15" t="n">
        <v>47</v>
      </c>
      <c r="O166" s="15" t="n">
        <v>20</v>
      </c>
      <c r="P166" s="16" t="n">
        <v>76.5</v>
      </c>
      <c r="Q166" s="15" t="n">
        <v>18.7</v>
      </c>
      <c r="R166" s="15" t="n">
        <v>5</v>
      </c>
      <c r="S166" s="17" t="n">
        <v>139912</v>
      </c>
      <c r="T166" s="15" t="s">
        <v>186</v>
      </c>
      <c r="U166" s="15" t="n">
        <v>2026</v>
      </c>
      <c r="V166" s="15" t="s">
        <v>772</v>
      </c>
      <c r="W166" s="18" t="s">
        <v>188</v>
      </c>
      <c r="X166" s="18" t="s">
        <v>358</v>
      </c>
      <c r="Y166" s="15" t="s">
        <v>600</v>
      </c>
      <c r="Z166" s="15" t="s">
        <v>600</v>
      </c>
      <c r="AA166" s="19" t="str">
        <f aca="false">HYPERLINK("https://www.transfermarkt.com/schnellsuche/ergebnis/schnellsuche?query="&amp;SUBSTITUTE(A166," ","+"),"Search Transfermarkt")</f>
        <v>Search Transfermarkt</v>
      </c>
    </row>
    <row r="167" customFormat="false" ht="23.85" hidden="false" customHeight="false" outlineLevel="0" collapsed="false">
      <c r="A167" s="15" t="s">
        <v>773</v>
      </c>
      <c r="B167" s="15" t="s">
        <v>99</v>
      </c>
      <c r="C167" s="15" t="s">
        <v>574</v>
      </c>
      <c r="D167" s="15" t="n">
        <v>2</v>
      </c>
      <c r="E167" s="15" t="s">
        <v>669</v>
      </c>
      <c r="F167" s="15" t="s">
        <v>163</v>
      </c>
      <c r="G167" s="15" t="n">
        <v>19</v>
      </c>
      <c r="H167" s="15" t="n">
        <v>1759</v>
      </c>
      <c r="I167" s="15" t="n">
        <v>8</v>
      </c>
      <c r="J167" s="15" t="n">
        <v>2</v>
      </c>
      <c r="K167" s="15" t="n">
        <v>49</v>
      </c>
      <c r="L167" s="15" t="n">
        <v>78</v>
      </c>
      <c r="M167" s="15" t="n">
        <v>11</v>
      </c>
      <c r="N167" s="15" t="n">
        <v>0</v>
      </c>
      <c r="O167" s="15" t="n">
        <v>0</v>
      </c>
      <c r="P167" s="16" t="n">
        <v>0</v>
      </c>
      <c r="Q167" s="15" t="n">
        <v>0</v>
      </c>
      <c r="R167" s="15" t="n">
        <v>0</v>
      </c>
      <c r="S167" s="17" t="n">
        <v>26296</v>
      </c>
      <c r="T167" s="15" t="s">
        <v>186</v>
      </c>
      <c r="U167" s="15" t="n">
        <v>2026</v>
      </c>
      <c r="V167" s="15" t="s">
        <v>670</v>
      </c>
      <c r="W167" s="18" t="s">
        <v>188</v>
      </c>
      <c r="X167" s="18" t="s">
        <v>189</v>
      </c>
      <c r="Y167" s="15" t="s">
        <v>600</v>
      </c>
      <c r="Z167" s="15" t="s">
        <v>600</v>
      </c>
      <c r="AA167" s="19" t="str">
        <f aca="false">HYPERLINK("https://www.transfermarkt.com/schnellsuche/ergebnis/schnellsuche?query="&amp;SUBSTITUTE(A167," ","+"),"Search Transfermarkt")</f>
        <v>Search Transfermarkt</v>
      </c>
    </row>
    <row r="168" customFormat="false" ht="23.85" hidden="false" customHeight="false" outlineLevel="0" collapsed="false">
      <c r="A168" s="15" t="s">
        <v>774</v>
      </c>
      <c r="B168" s="15" t="s">
        <v>88</v>
      </c>
      <c r="C168" s="15" t="s">
        <v>343</v>
      </c>
      <c r="D168" s="15" t="n">
        <v>4</v>
      </c>
      <c r="E168" s="15" t="s">
        <v>775</v>
      </c>
      <c r="F168" s="15" t="s">
        <v>136</v>
      </c>
      <c r="G168" s="15" t="n">
        <v>18</v>
      </c>
      <c r="H168" s="15" t="n">
        <v>1952</v>
      </c>
      <c r="I168" s="15" t="n">
        <v>3</v>
      </c>
      <c r="J168" s="15" t="n">
        <v>4</v>
      </c>
      <c r="K168" s="15" t="n">
        <v>54</v>
      </c>
      <c r="L168" s="15" t="n">
        <v>20</v>
      </c>
      <c r="M168" s="15" t="n">
        <v>77</v>
      </c>
      <c r="N168" s="15" t="n">
        <v>0</v>
      </c>
      <c r="O168" s="15" t="n">
        <v>0</v>
      </c>
      <c r="P168" s="16" t="n">
        <v>0</v>
      </c>
      <c r="Q168" s="15" t="n">
        <v>0</v>
      </c>
      <c r="R168" s="15" t="n">
        <v>0</v>
      </c>
      <c r="S168" s="17" t="n">
        <v>45948</v>
      </c>
      <c r="T168" s="15" t="s">
        <v>137</v>
      </c>
      <c r="U168" s="15" t="n">
        <v>2029</v>
      </c>
      <c r="V168" s="15" t="s">
        <v>776</v>
      </c>
      <c r="W168" s="18" t="s">
        <v>139</v>
      </c>
      <c r="X168" s="18" t="s">
        <v>320</v>
      </c>
      <c r="Y168" s="15" t="s">
        <v>600</v>
      </c>
      <c r="Z168" s="15" t="s">
        <v>600</v>
      </c>
      <c r="AA168" s="19" t="str">
        <f aca="false">HYPERLINK("https://www.transfermarkt.com/schnellsuche/ergebnis/schnellsuche?query="&amp;SUBSTITUTE(A168," ","+"),"Search Transfermarkt")</f>
        <v>Search Transfermarkt</v>
      </c>
    </row>
    <row r="169" customFormat="false" ht="23.85" hidden="false" customHeight="false" outlineLevel="0" collapsed="false">
      <c r="A169" s="15" t="s">
        <v>777</v>
      </c>
      <c r="B169" s="15" t="s">
        <v>98</v>
      </c>
      <c r="C169" s="15" t="s">
        <v>778</v>
      </c>
      <c r="D169" s="15" t="n">
        <v>2</v>
      </c>
      <c r="E169" s="15" t="s">
        <v>779</v>
      </c>
      <c r="F169" s="15" t="s">
        <v>170</v>
      </c>
      <c r="G169" s="15" t="n">
        <v>25</v>
      </c>
      <c r="H169" s="15" t="n">
        <v>1540</v>
      </c>
      <c r="I169" s="15" t="n">
        <v>8</v>
      </c>
      <c r="J169" s="15" t="n">
        <v>5</v>
      </c>
      <c r="K169" s="15" t="n">
        <v>105</v>
      </c>
      <c r="L169" s="15" t="n">
        <v>94</v>
      </c>
      <c r="M169" s="15" t="n">
        <v>35</v>
      </c>
      <c r="N169" s="15" t="n">
        <v>0</v>
      </c>
      <c r="O169" s="15" t="n">
        <v>0</v>
      </c>
      <c r="P169" s="16" t="n">
        <v>0</v>
      </c>
      <c r="Q169" s="15" t="n">
        <v>0</v>
      </c>
      <c r="R169" s="15" t="n">
        <v>0</v>
      </c>
      <c r="S169" s="17" t="n">
        <v>58360</v>
      </c>
      <c r="T169" s="15" t="s">
        <v>164</v>
      </c>
      <c r="U169" s="15" t="n">
        <v>2029</v>
      </c>
      <c r="V169" s="15" t="s">
        <v>780</v>
      </c>
      <c r="W169" s="18" t="s">
        <v>139</v>
      </c>
      <c r="X169" s="18" t="s">
        <v>148</v>
      </c>
      <c r="Y169" s="15" t="s">
        <v>600</v>
      </c>
      <c r="Z169" s="15" t="s">
        <v>600</v>
      </c>
      <c r="AA169" s="19" t="str">
        <f aca="false">HYPERLINK("https://www.transfermarkt.com/schnellsuche/ergebnis/schnellsuche?query="&amp;SUBSTITUTE(A169," ","+"),"Search Transfermarkt")</f>
        <v>Search Transfermarkt</v>
      </c>
    </row>
    <row r="170" customFormat="false" ht="23.85" hidden="false" customHeight="false" outlineLevel="0" collapsed="false">
      <c r="A170" s="15" t="s">
        <v>781</v>
      </c>
      <c r="B170" s="15" t="s">
        <v>81</v>
      </c>
      <c r="C170" s="15" t="s">
        <v>466</v>
      </c>
      <c r="D170" s="15" t="n">
        <v>2</v>
      </c>
      <c r="E170" s="15" t="s">
        <v>782</v>
      </c>
      <c r="F170" s="15" t="s">
        <v>157</v>
      </c>
      <c r="G170" s="15" t="n">
        <v>24</v>
      </c>
      <c r="H170" s="15" t="n">
        <v>1232</v>
      </c>
      <c r="I170" s="15" t="n">
        <v>0</v>
      </c>
      <c r="J170" s="15" t="n">
        <v>0</v>
      </c>
      <c r="K170" s="15" t="n">
        <v>11</v>
      </c>
      <c r="L170" s="15" t="n">
        <v>0</v>
      </c>
      <c r="M170" s="15" t="n">
        <v>9</v>
      </c>
      <c r="N170" s="15" t="n">
        <v>61</v>
      </c>
      <c r="O170" s="15" t="n">
        <v>28</v>
      </c>
      <c r="P170" s="16" t="n">
        <v>67.6</v>
      </c>
      <c r="Q170" s="15" t="n">
        <v>11.7</v>
      </c>
      <c r="R170" s="15" t="n">
        <v>6</v>
      </c>
      <c r="S170" s="17" t="n">
        <v>14349</v>
      </c>
      <c r="T170" s="15" t="s">
        <v>186</v>
      </c>
      <c r="U170" s="15" t="n">
        <v>2027</v>
      </c>
      <c r="V170" s="15" t="s">
        <v>783</v>
      </c>
      <c r="W170" s="18" t="s">
        <v>188</v>
      </c>
      <c r="X170" s="18" t="s">
        <v>407</v>
      </c>
      <c r="Y170" s="15" t="s">
        <v>600</v>
      </c>
      <c r="Z170" s="15" t="s">
        <v>600</v>
      </c>
      <c r="AA170" s="19" t="str">
        <f aca="false">HYPERLINK("https://www.transfermarkt.com/schnellsuche/ergebnis/schnellsuche?query="&amp;SUBSTITUTE(A170," ","+"),"Search Transfermarkt")</f>
        <v>Search Transfermarkt</v>
      </c>
    </row>
    <row r="171" customFormat="false" ht="23.85" hidden="false" customHeight="false" outlineLevel="0" collapsed="false">
      <c r="A171" s="15" t="s">
        <v>784</v>
      </c>
      <c r="B171" s="15" t="s">
        <v>75</v>
      </c>
      <c r="C171" s="15" t="s">
        <v>247</v>
      </c>
      <c r="D171" s="15" t="n">
        <v>3</v>
      </c>
      <c r="E171" s="15" t="s">
        <v>397</v>
      </c>
      <c r="F171" s="15" t="s">
        <v>170</v>
      </c>
      <c r="G171" s="15" t="n">
        <v>21</v>
      </c>
      <c r="H171" s="15" t="n">
        <v>1189</v>
      </c>
      <c r="I171" s="15" t="n">
        <v>3</v>
      </c>
      <c r="J171" s="15" t="n">
        <v>10</v>
      </c>
      <c r="K171" s="15" t="n">
        <v>115</v>
      </c>
      <c r="L171" s="15" t="n">
        <v>66</v>
      </c>
      <c r="M171" s="15" t="n">
        <v>29</v>
      </c>
      <c r="N171" s="15" t="n">
        <v>0</v>
      </c>
      <c r="O171" s="15" t="n">
        <v>0</v>
      </c>
      <c r="P171" s="16" t="n">
        <v>0</v>
      </c>
      <c r="Q171" s="15" t="n">
        <v>0</v>
      </c>
      <c r="R171" s="15" t="n">
        <v>0</v>
      </c>
      <c r="S171" s="17" t="n">
        <v>71807</v>
      </c>
      <c r="T171" s="15" t="s">
        <v>164</v>
      </c>
      <c r="U171" s="15" t="n">
        <v>2026</v>
      </c>
      <c r="V171" s="15" t="s">
        <v>398</v>
      </c>
      <c r="W171" s="18" t="s">
        <v>139</v>
      </c>
      <c r="X171" s="18" t="s">
        <v>197</v>
      </c>
      <c r="Y171" s="15" t="s">
        <v>600</v>
      </c>
      <c r="Z171" s="15" t="s">
        <v>600</v>
      </c>
      <c r="AA171" s="19" t="str">
        <f aca="false">HYPERLINK("https://www.transfermarkt.com/schnellsuche/ergebnis/schnellsuche?query="&amp;SUBSTITUTE(A171," ","+"),"Search Transfermarkt")</f>
        <v>Search Transfermarkt</v>
      </c>
    </row>
    <row r="172" customFormat="false" ht="23.85" hidden="false" customHeight="false" outlineLevel="0" collapsed="false">
      <c r="A172" s="15" t="s">
        <v>785</v>
      </c>
      <c r="B172" s="15" t="s">
        <v>106</v>
      </c>
      <c r="C172" s="15" t="s">
        <v>786</v>
      </c>
      <c r="D172" s="15" t="n">
        <v>2</v>
      </c>
      <c r="E172" s="15" t="s">
        <v>787</v>
      </c>
      <c r="F172" s="15" t="s">
        <v>163</v>
      </c>
      <c r="G172" s="15" t="n">
        <v>25</v>
      </c>
      <c r="H172" s="15" t="n">
        <v>846</v>
      </c>
      <c r="I172" s="15" t="n">
        <v>20</v>
      </c>
      <c r="J172" s="15" t="n">
        <v>1</v>
      </c>
      <c r="K172" s="15" t="n">
        <v>44</v>
      </c>
      <c r="L172" s="15" t="n">
        <v>74</v>
      </c>
      <c r="M172" s="15" t="n">
        <v>12</v>
      </c>
      <c r="N172" s="15" t="n">
        <v>0</v>
      </c>
      <c r="O172" s="15" t="n">
        <v>0</v>
      </c>
      <c r="P172" s="16" t="n">
        <v>0</v>
      </c>
      <c r="Q172" s="15" t="n">
        <v>0</v>
      </c>
      <c r="R172" s="15" t="n">
        <v>0</v>
      </c>
      <c r="S172" s="17" t="n">
        <v>104443</v>
      </c>
      <c r="T172" s="15" t="s">
        <v>164</v>
      </c>
      <c r="U172" s="15" t="n">
        <v>2026</v>
      </c>
      <c r="V172" s="15" t="s">
        <v>788</v>
      </c>
      <c r="W172" s="18" t="s">
        <v>139</v>
      </c>
      <c r="X172" s="18" t="s">
        <v>283</v>
      </c>
      <c r="Y172" s="15" t="s">
        <v>600</v>
      </c>
      <c r="Z172" s="15" t="s">
        <v>600</v>
      </c>
      <c r="AA172" s="19" t="str">
        <f aca="false">HYPERLINK("https://www.transfermarkt.com/schnellsuche/ergebnis/schnellsuche?query="&amp;SUBSTITUTE(A172," ","+"),"Search Transfermarkt")</f>
        <v>Search Transfermarkt</v>
      </c>
    </row>
    <row r="173" customFormat="false" ht="23.85" hidden="false" customHeight="false" outlineLevel="0" collapsed="false">
      <c r="A173" s="15" t="s">
        <v>789</v>
      </c>
      <c r="B173" s="15" t="s">
        <v>96</v>
      </c>
      <c r="C173" s="15" t="s">
        <v>790</v>
      </c>
      <c r="D173" s="15" t="n">
        <v>3</v>
      </c>
      <c r="E173" s="15" t="s">
        <v>791</v>
      </c>
      <c r="F173" s="15" t="s">
        <v>170</v>
      </c>
      <c r="G173" s="15" t="n">
        <v>23</v>
      </c>
      <c r="H173" s="15" t="n">
        <v>1579</v>
      </c>
      <c r="I173" s="15" t="n">
        <v>9</v>
      </c>
      <c r="J173" s="15" t="n">
        <v>11</v>
      </c>
      <c r="K173" s="15" t="n">
        <v>127</v>
      </c>
      <c r="L173" s="15" t="n">
        <v>52</v>
      </c>
      <c r="M173" s="15" t="n">
        <v>29</v>
      </c>
      <c r="N173" s="15" t="n">
        <v>0</v>
      </c>
      <c r="O173" s="15" t="n">
        <v>0</v>
      </c>
      <c r="P173" s="16" t="n">
        <v>0</v>
      </c>
      <c r="Q173" s="15" t="n">
        <v>0</v>
      </c>
      <c r="R173" s="15" t="n">
        <v>0</v>
      </c>
      <c r="S173" s="17" t="n">
        <v>114998</v>
      </c>
      <c r="T173" s="15" t="s">
        <v>186</v>
      </c>
      <c r="U173" s="15" t="n">
        <v>2027</v>
      </c>
      <c r="V173" s="15" t="s">
        <v>792</v>
      </c>
      <c r="W173" s="18" t="s">
        <v>188</v>
      </c>
      <c r="X173" s="18" t="s">
        <v>216</v>
      </c>
      <c r="Y173" s="15" t="s">
        <v>600</v>
      </c>
      <c r="Z173" s="15" t="s">
        <v>600</v>
      </c>
      <c r="AA173" s="19" t="str">
        <f aca="false">HYPERLINK("https://www.transfermarkt.com/schnellsuche/ergebnis/schnellsuche?query="&amp;SUBSTITUTE(A173," ","+"),"Search Transfermarkt")</f>
        <v>Search Transfermarkt</v>
      </c>
    </row>
    <row r="174" customFormat="false" ht="23.85" hidden="false" customHeight="false" outlineLevel="0" collapsed="false">
      <c r="A174" s="15" t="s">
        <v>793</v>
      </c>
      <c r="B174" s="15" t="s">
        <v>69</v>
      </c>
      <c r="C174" s="15" t="s">
        <v>691</v>
      </c>
      <c r="D174" s="15" t="n">
        <v>4</v>
      </c>
      <c r="E174" s="15" t="s">
        <v>794</v>
      </c>
      <c r="F174" s="15" t="s">
        <v>157</v>
      </c>
      <c r="G174" s="15" t="n">
        <v>23</v>
      </c>
      <c r="H174" s="15" t="n">
        <v>1139</v>
      </c>
      <c r="I174" s="15" t="n">
        <v>0</v>
      </c>
      <c r="J174" s="15" t="n">
        <v>0</v>
      </c>
      <c r="K174" s="15" t="n">
        <v>10</v>
      </c>
      <c r="L174" s="15" t="n">
        <v>3</v>
      </c>
      <c r="M174" s="15" t="n">
        <v>4</v>
      </c>
      <c r="N174" s="15" t="n">
        <v>49</v>
      </c>
      <c r="O174" s="15" t="n">
        <v>22</v>
      </c>
      <c r="P174" s="16" t="n">
        <v>82.1</v>
      </c>
      <c r="Q174" s="15" t="n">
        <v>18.1</v>
      </c>
      <c r="R174" s="15" t="n">
        <v>3</v>
      </c>
      <c r="S174" s="17" t="n">
        <v>11947</v>
      </c>
      <c r="T174" s="15" t="s">
        <v>164</v>
      </c>
      <c r="U174" s="15" t="n">
        <v>2027</v>
      </c>
      <c r="V174" s="15" t="s">
        <v>795</v>
      </c>
      <c r="W174" s="18" t="s">
        <v>139</v>
      </c>
      <c r="X174" s="18" t="s">
        <v>140</v>
      </c>
      <c r="Y174" s="15" t="s">
        <v>600</v>
      </c>
      <c r="Z174" s="15" t="s">
        <v>600</v>
      </c>
      <c r="AA174" s="19" t="str">
        <f aca="false">HYPERLINK("https://www.transfermarkt.com/schnellsuche/ergebnis/schnellsuche?query="&amp;SUBSTITUTE(A174," ","+"),"Search Transfermarkt")</f>
        <v>Search Transfermarkt</v>
      </c>
    </row>
    <row r="175" customFormat="false" ht="23.85" hidden="false" customHeight="false" outlineLevel="0" collapsed="false">
      <c r="A175" s="15" t="s">
        <v>796</v>
      </c>
      <c r="B175" s="15" t="s">
        <v>67</v>
      </c>
      <c r="C175" s="15" t="s">
        <v>381</v>
      </c>
      <c r="D175" s="15" t="n">
        <v>3</v>
      </c>
      <c r="E175" s="15" t="s">
        <v>797</v>
      </c>
      <c r="F175" s="15" t="s">
        <v>163</v>
      </c>
      <c r="G175" s="15" t="n">
        <v>21</v>
      </c>
      <c r="H175" s="15" t="n">
        <v>1316</v>
      </c>
      <c r="I175" s="15" t="n">
        <v>20</v>
      </c>
      <c r="J175" s="15" t="n">
        <v>5</v>
      </c>
      <c r="K175" s="15" t="n">
        <v>63</v>
      </c>
      <c r="L175" s="15" t="n">
        <v>100</v>
      </c>
      <c r="M175" s="15" t="n">
        <v>12</v>
      </c>
      <c r="N175" s="15" t="n">
        <v>0</v>
      </c>
      <c r="O175" s="15" t="n">
        <v>0</v>
      </c>
      <c r="P175" s="16" t="n">
        <v>0</v>
      </c>
      <c r="Q175" s="15" t="n">
        <v>0</v>
      </c>
      <c r="R175" s="15" t="n">
        <v>0</v>
      </c>
      <c r="S175" s="17" t="n">
        <v>75604</v>
      </c>
      <c r="T175" s="15" t="s">
        <v>164</v>
      </c>
      <c r="U175" s="15" t="n">
        <v>2027</v>
      </c>
      <c r="V175" s="15" t="s">
        <v>798</v>
      </c>
      <c r="W175" s="18" t="s">
        <v>139</v>
      </c>
      <c r="X175" s="18" t="s">
        <v>236</v>
      </c>
      <c r="Y175" s="15" t="s">
        <v>600</v>
      </c>
      <c r="Z175" s="15" t="s">
        <v>600</v>
      </c>
      <c r="AA175" s="19" t="str">
        <f aca="false">HYPERLINK("https://www.transfermarkt.com/schnellsuche/ergebnis/schnellsuche?query="&amp;SUBSTITUTE(A175," ","+"),"Search Transfermarkt")</f>
        <v>Search Transfermarkt</v>
      </c>
    </row>
    <row r="176" customFormat="false" ht="23.85" hidden="false" customHeight="false" outlineLevel="0" collapsed="false">
      <c r="A176" s="15" t="s">
        <v>799</v>
      </c>
      <c r="B176" s="15" t="s">
        <v>83</v>
      </c>
      <c r="C176" s="15" t="s">
        <v>400</v>
      </c>
      <c r="D176" s="15" t="n">
        <v>3</v>
      </c>
      <c r="E176" s="15" t="s">
        <v>800</v>
      </c>
      <c r="F176" s="15" t="s">
        <v>170</v>
      </c>
      <c r="G176" s="15" t="n">
        <v>19</v>
      </c>
      <c r="H176" s="15" t="n">
        <v>2543</v>
      </c>
      <c r="I176" s="15" t="n">
        <v>4</v>
      </c>
      <c r="J176" s="15" t="n">
        <v>5</v>
      </c>
      <c r="K176" s="15" t="n">
        <v>112</v>
      </c>
      <c r="L176" s="15" t="n">
        <v>97</v>
      </c>
      <c r="M176" s="15" t="n">
        <v>28</v>
      </c>
      <c r="N176" s="15" t="n">
        <v>0</v>
      </c>
      <c r="O176" s="15" t="n">
        <v>0</v>
      </c>
      <c r="P176" s="16" t="n">
        <v>0</v>
      </c>
      <c r="Q176" s="15" t="n">
        <v>0</v>
      </c>
      <c r="R176" s="15" t="n">
        <v>0</v>
      </c>
      <c r="S176" s="17" t="n">
        <v>31060</v>
      </c>
      <c r="T176" s="15" t="s">
        <v>137</v>
      </c>
      <c r="U176" s="15" t="n">
        <v>2026</v>
      </c>
      <c r="V176" s="15" t="s">
        <v>801</v>
      </c>
      <c r="W176" s="18" t="s">
        <v>139</v>
      </c>
      <c r="X176" s="18" t="s">
        <v>379</v>
      </c>
      <c r="Y176" s="15" t="s">
        <v>600</v>
      </c>
      <c r="Z176" s="15" t="s">
        <v>600</v>
      </c>
      <c r="AA176" s="19" t="str">
        <f aca="false">HYPERLINK("https://www.transfermarkt.com/schnellsuche/ergebnis/schnellsuche?query="&amp;SUBSTITUTE(A176," ","+"),"Search Transfermarkt")</f>
        <v>Search Transfermarkt</v>
      </c>
    </row>
    <row r="177" customFormat="false" ht="23.85" hidden="false" customHeight="false" outlineLevel="0" collapsed="false">
      <c r="A177" s="15" t="s">
        <v>802</v>
      </c>
      <c r="B177" s="15" t="s">
        <v>77</v>
      </c>
      <c r="C177" s="15" t="s">
        <v>544</v>
      </c>
      <c r="D177" s="15" t="n">
        <v>2</v>
      </c>
      <c r="E177" s="15" t="s">
        <v>803</v>
      </c>
      <c r="F177" s="15" t="s">
        <v>170</v>
      </c>
      <c r="G177" s="15" t="n">
        <v>25</v>
      </c>
      <c r="H177" s="15" t="n">
        <v>1010</v>
      </c>
      <c r="I177" s="15" t="n">
        <v>3</v>
      </c>
      <c r="J177" s="15" t="n">
        <v>5</v>
      </c>
      <c r="K177" s="15" t="n">
        <v>167</v>
      </c>
      <c r="L177" s="15" t="n">
        <v>56</v>
      </c>
      <c r="M177" s="15" t="n">
        <v>30</v>
      </c>
      <c r="N177" s="15" t="n">
        <v>0</v>
      </c>
      <c r="O177" s="15" t="n">
        <v>0</v>
      </c>
      <c r="P177" s="16" t="n">
        <v>0</v>
      </c>
      <c r="Q177" s="15" t="n">
        <v>0</v>
      </c>
      <c r="R177" s="15" t="n">
        <v>0</v>
      </c>
      <c r="S177" s="17" t="n">
        <v>58906</v>
      </c>
      <c r="T177" s="15" t="s">
        <v>137</v>
      </c>
      <c r="U177" s="15" t="n">
        <v>2026</v>
      </c>
      <c r="V177" s="15" t="s">
        <v>804</v>
      </c>
      <c r="W177" s="18" t="s">
        <v>139</v>
      </c>
      <c r="X177" s="18" t="s">
        <v>358</v>
      </c>
      <c r="Y177" s="15" t="s">
        <v>600</v>
      </c>
      <c r="Z177" s="15" t="s">
        <v>600</v>
      </c>
      <c r="AA177" s="19" t="str">
        <f aca="false">HYPERLINK("https://www.transfermarkt.com/schnellsuche/ergebnis/schnellsuche?query="&amp;SUBSTITUTE(A177," ","+"),"Search Transfermarkt")</f>
        <v>Search Transfermarkt</v>
      </c>
    </row>
    <row r="178" customFormat="false" ht="23.85" hidden="false" customHeight="false" outlineLevel="0" collapsed="false">
      <c r="A178" s="15" t="s">
        <v>805</v>
      </c>
      <c r="B178" s="15" t="s">
        <v>75</v>
      </c>
      <c r="C178" s="15" t="s">
        <v>806</v>
      </c>
      <c r="D178" s="15" t="n">
        <v>2</v>
      </c>
      <c r="E178" s="15" t="s">
        <v>807</v>
      </c>
      <c r="F178" s="15" t="s">
        <v>163</v>
      </c>
      <c r="G178" s="15" t="n">
        <v>21</v>
      </c>
      <c r="H178" s="15" t="n">
        <v>2442</v>
      </c>
      <c r="I178" s="15" t="n">
        <v>9</v>
      </c>
      <c r="J178" s="15" t="n">
        <v>5</v>
      </c>
      <c r="K178" s="15" t="n">
        <v>53</v>
      </c>
      <c r="L178" s="15" t="n">
        <v>91</v>
      </c>
      <c r="M178" s="15" t="n">
        <v>7</v>
      </c>
      <c r="N178" s="15" t="n">
        <v>0</v>
      </c>
      <c r="O178" s="15" t="n">
        <v>0</v>
      </c>
      <c r="P178" s="16" t="n">
        <v>0</v>
      </c>
      <c r="Q178" s="15" t="n">
        <v>0</v>
      </c>
      <c r="R178" s="15" t="n">
        <v>0</v>
      </c>
      <c r="S178" s="17" t="n">
        <v>0</v>
      </c>
      <c r="T178" s="15" t="s">
        <v>137</v>
      </c>
      <c r="U178" s="15" t="n">
        <v>2029</v>
      </c>
      <c r="V178" s="15" t="s">
        <v>808</v>
      </c>
      <c r="W178" s="18" t="s">
        <v>139</v>
      </c>
      <c r="X178" s="18" t="s">
        <v>197</v>
      </c>
      <c r="Y178" s="15" t="s">
        <v>600</v>
      </c>
      <c r="Z178" s="15" t="s">
        <v>600</v>
      </c>
      <c r="AA178" s="19" t="str">
        <f aca="false">HYPERLINK("https://www.transfermarkt.com/schnellsuche/ergebnis/schnellsuche?query="&amp;SUBSTITUTE(A178," ","+"),"Search Transfermarkt")</f>
        <v>Search Transfermarkt</v>
      </c>
    </row>
    <row r="179" customFormat="false" ht="23.85" hidden="false" customHeight="false" outlineLevel="0" collapsed="false">
      <c r="A179" s="15" t="s">
        <v>809</v>
      </c>
      <c r="B179" s="15" t="s">
        <v>96</v>
      </c>
      <c r="C179" s="15" t="s">
        <v>414</v>
      </c>
      <c r="D179" s="15" t="n">
        <v>2</v>
      </c>
      <c r="E179" s="15" t="s">
        <v>810</v>
      </c>
      <c r="F179" s="15" t="s">
        <v>136</v>
      </c>
      <c r="G179" s="15" t="n">
        <v>23</v>
      </c>
      <c r="H179" s="15" t="n">
        <v>1649</v>
      </c>
      <c r="I179" s="15" t="n">
        <v>2</v>
      </c>
      <c r="J179" s="15" t="n">
        <v>0</v>
      </c>
      <c r="K179" s="15" t="n">
        <v>47</v>
      </c>
      <c r="L179" s="15" t="n">
        <v>34</v>
      </c>
      <c r="M179" s="15" t="n">
        <v>129</v>
      </c>
      <c r="N179" s="15" t="n">
        <v>0</v>
      </c>
      <c r="O179" s="15" t="n">
        <v>0</v>
      </c>
      <c r="P179" s="16" t="n">
        <v>0</v>
      </c>
      <c r="Q179" s="15" t="n">
        <v>0</v>
      </c>
      <c r="R179" s="15" t="n">
        <v>0</v>
      </c>
      <c r="S179" s="17" t="n">
        <v>111907</v>
      </c>
      <c r="T179" s="15" t="s">
        <v>186</v>
      </c>
      <c r="U179" s="15" t="n">
        <v>2027</v>
      </c>
      <c r="V179" s="15" t="s">
        <v>811</v>
      </c>
      <c r="W179" s="18" t="s">
        <v>188</v>
      </c>
      <c r="X179" s="18" t="s">
        <v>216</v>
      </c>
      <c r="Y179" s="15" t="s">
        <v>600</v>
      </c>
      <c r="Z179" s="15" t="s">
        <v>600</v>
      </c>
      <c r="AA179" s="19" t="str">
        <f aca="false">HYPERLINK("https://www.transfermarkt.com/schnellsuche/ergebnis/schnellsuche?query="&amp;SUBSTITUTE(A179," ","+"),"Search Transfermarkt")</f>
        <v>Search Transfermarkt</v>
      </c>
    </row>
    <row r="180" customFormat="false" ht="23.85" hidden="false" customHeight="false" outlineLevel="0" collapsed="false">
      <c r="A180" s="15" t="s">
        <v>812</v>
      </c>
      <c r="B180" s="15" t="s">
        <v>100</v>
      </c>
      <c r="C180" s="15" t="s">
        <v>218</v>
      </c>
      <c r="D180" s="15" t="n">
        <v>2</v>
      </c>
      <c r="E180" s="15" t="s">
        <v>813</v>
      </c>
      <c r="F180" s="15" t="s">
        <v>163</v>
      </c>
      <c r="G180" s="15" t="n">
        <v>21</v>
      </c>
      <c r="H180" s="15" t="n">
        <v>2018</v>
      </c>
      <c r="I180" s="15" t="n">
        <v>7</v>
      </c>
      <c r="J180" s="15" t="n">
        <v>6</v>
      </c>
      <c r="K180" s="15" t="n">
        <v>57</v>
      </c>
      <c r="L180" s="15" t="n">
        <v>97</v>
      </c>
      <c r="M180" s="15" t="n">
        <v>14</v>
      </c>
      <c r="N180" s="15" t="n">
        <v>0</v>
      </c>
      <c r="O180" s="15" t="n">
        <v>0</v>
      </c>
      <c r="P180" s="16" t="n">
        <v>0</v>
      </c>
      <c r="Q180" s="15" t="n">
        <v>0</v>
      </c>
      <c r="R180" s="15" t="n">
        <v>0</v>
      </c>
      <c r="S180" s="17" t="n">
        <v>67043</v>
      </c>
      <c r="T180" s="15" t="s">
        <v>164</v>
      </c>
      <c r="U180" s="15" t="n">
        <v>2027</v>
      </c>
      <c r="V180" s="15" t="s">
        <v>814</v>
      </c>
      <c r="W180" s="18" t="s">
        <v>139</v>
      </c>
      <c r="X180" s="18" t="s">
        <v>221</v>
      </c>
      <c r="Y180" s="15" t="s">
        <v>600</v>
      </c>
      <c r="Z180" s="15" t="s">
        <v>600</v>
      </c>
      <c r="AA180" s="19" t="str">
        <f aca="false">HYPERLINK("https://www.transfermarkt.com/schnellsuche/ergebnis/schnellsuche?query="&amp;SUBSTITUTE(A180," ","+"),"Search Transfermarkt")</f>
        <v>Search Transfermarkt</v>
      </c>
    </row>
    <row r="181" customFormat="false" ht="23.85" hidden="false" customHeight="false" outlineLevel="0" collapsed="false">
      <c r="A181" s="15" t="s">
        <v>815</v>
      </c>
      <c r="B181" s="15" t="s">
        <v>103</v>
      </c>
      <c r="C181" s="15" t="s">
        <v>816</v>
      </c>
      <c r="D181" s="15" t="n">
        <v>4</v>
      </c>
      <c r="E181" s="15" t="s">
        <v>817</v>
      </c>
      <c r="F181" s="15" t="s">
        <v>136</v>
      </c>
      <c r="G181" s="15" t="n">
        <v>19</v>
      </c>
      <c r="H181" s="15" t="n">
        <v>1748</v>
      </c>
      <c r="I181" s="15" t="n">
        <v>0</v>
      </c>
      <c r="J181" s="15" t="n">
        <v>0</v>
      </c>
      <c r="K181" s="15" t="n">
        <v>70</v>
      </c>
      <c r="L181" s="15" t="n">
        <v>34</v>
      </c>
      <c r="M181" s="15" t="n">
        <v>81</v>
      </c>
      <c r="N181" s="15" t="n">
        <v>0</v>
      </c>
      <c r="O181" s="15" t="n">
        <v>0</v>
      </c>
      <c r="P181" s="16" t="n">
        <v>0</v>
      </c>
      <c r="Q181" s="15" t="n">
        <v>0</v>
      </c>
      <c r="R181" s="15" t="n">
        <v>0</v>
      </c>
      <c r="S181" s="17" t="n">
        <v>72986</v>
      </c>
      <c r="T181" s="15" t="s">
        <v>186</v>
      </c>
      <c r="U181" s="15" t="n">
        <v>2027</v>
      </c>
      <c r="V181" s="15" t="s">
        <v>818</v>
      </c>
      <c r="W181" s="18" t="s">
        <v>188</v>
      </c>
      <c r="X181" s="18" t="s">
        <v>481</v>
      </c>
      <c r="Y181" s="15" t="s">
        <v>600</v>
      </c>
      <c r="Z181" s="15" t="s">
        <v>600</v>
      </c>
      <c r="AA181" s="19" t="str">
        <f aca="false">HYPERLINK("https://www.transfermarkt.com/schnellsuche/ergebnis/schnellsuche?query="&amp;SUBSTITUTE(A181," ","+"),"Search Transfermarkt")</f>
        <v>Search Transfermarkt</v>
      </c>
    </row>
    <row r="182" customFormat="false" ht="23.85" hidden="false" customHeight="false" outlineLevel="0" collapsed="false">
      <c r="A182" s="15" t="s">
        <v>819</v>
      </c>
      <c r="B182" s="15" t="s">
        <v>79</v>
      </c>
      <c r="C182" s="15" t="s">
        <v>820</v>
      </c>
      <c r="D182" s="15" t="n">
        <v>4</v>
      </c>
      <c r="E182" s="15" t="s">
        <v>821</v>
      </c>
      <c r="F182" s="15" t="s">
        <v>163</v>
      </c>
      <c r="G182" s="15" t="n">
        <v>20</v>
      </c>
      <c r="H182" s="15" t="n">
        <v>1747</v>
      </c>
      <c r="I182" s="15" t="n">
        <v>15</v>
      </c>
      <c r="J182" s="15" t="n">
        <v>1</v>
      </c>
      <c r="K182" s="15" t="n">
        <v>29</v>
      </c>
      <c r="L182" s="15" t="n">
        <v>63</v>
      </c>
      <c r="M182" s="15" t="n">
        <v>7</v>
      </c>
      <c r="N182" s="15" t="n">
        <v>0</v>
      </c>
      <c r="O182" s="15" t="n">
        <v>0</v>
      </c>
      <c r="P182" s="16" t="n">
        <v>0</v>
      </c>
      <c r="Q182" s="15" t="n">
        <v>0</v>
      </c>
      <c r="R182" s="15" t="n">
        <v>0</v>
      </c>
      <c r="S182" s="17" t="n">
        <v>89816</v>
      </c>
      <c r="T182" s="15" t="s">
        <v>137</v>
      </c>
      <c r="U182" s="15" t="n">
        <v>2027</v>
      </c>
      <c r="V182" s="15" t="s">
        <v>822</v>
      </c>
      <c r="W182" s="18" t="s">
        <v>139</v>
      </c>
      <c r="X182" s="18" t="s">
        <v>412</v>
      </c>
      <c r="Y182" s="15" t="s">
        <v>600</v>
      </c>
      <c r="Z182" s="15" t="s">
        <v>600</v>
      </c>
      <c r="AA182" s="19" t="str">
        <f aca="false">HYPERLINK("https://www.transfermarkt.com/schnellsuche/ergebnis/schnellsuche?query="&amp;SUBSTITUTE(A182," ","+"),"Search Transfermarkt")</f>
        <v>Search Transfermarkt</v>
      </c>
    </row>
    <row r="183" customFormat="false" ht="23.85" hidden="false" customHeight="false" outlineLevel="0" collapsed="false">
      <c r="A183" s="15" t="s">
        <v>823</v>
      </c>
      <c r="B183" s="15" t="s">
        <v>88</v>
      </c>
      <c r="C183" s="15" t="s">
        <v>563</v>
      </c>
      <c r="D183" s="15" t="n">
        <v>4</v>
      </c>
      <c r="E183" s="15" t="s">
        <v>614</v>
      </c>
      <c r="F183" s="15" t="s">
        <v>163</v>
      </c>
      <c r="G183" s="15" t="n">
        <v>24</v>
      </c>
      <c r="H183" s="15" t="n">
        <v>1542</v>
      </c>
      <c r="I183" s="15" t="n">
        <v>18</v>
      </c>
      <c r="J183" s="15" t="n">
        <v>6</v>
      </c>
      <c r="K183" s="15" t="n">
        <v>66</v>
      </c>
      <c r="L183" s="15" t="n">
        <v>96</v>
      </c>
      <c r="M183" s="15" t="n">
        <v>7</v>
      </c>
      <c r="N183" s="15" t="n">
        <v>0</v>
      </c>
      <c r="O183" s="15" t="n">
        <v>0</v>
      </c>
      <c r="P183" s="16" t="n">
        <v>0</v>
      </c>
      <c r="Q183" s="15" t="n">
        <v>0</v>
      </c>
      <c r="R183" s="15" t="n">
        <v>0</v>
      </c>
      <c r="S183" s="17" t="n">
        <v>38950</v>
      </c>
      <c r="T183" s="15" t="s">
        <v>137</v>
      </c>
      <c r="U183" s="15" t="n">
        <v>2026</v>
      </c>
      <c r="V183" s="15" t="s">
        <v>615</v>
      </c>
      <c r="W183" s="18" t="s">
        <v>139</v>
      </c>
      <c r="X183" s="18" t="s">
        <v>320</v>
      </c>
      <c r="Y183" s="15" t="s">
        <v>600</v>
      </c>
      <c r="Z183" s="15" t="s">
        <v>600</v>
      </c>
      <c r="AA183" s="19" t="str">
        <f aca="false">HYPERLINK("https://www.transfermarkt.com/schnellsuche/ergebnis/schnellsuche?query="&amp;SUBSTITUTE(A183," ","+"),"Search Transfermarkt")</f>
        <v>Search Transfermarkt</v>
      </c>
    </row>
    <row r="184" customFormat="false" ht="23.85" hidden="false" customHeight="false" outlineLevel="0" collapsed="false">
      <c r="A184" s="15" t="s">
        <v>824</v>
      </c>
      <c r="B184" s="15" t="s">
        <v>75</v>
      </c>
      <c r="C184" s="15" t="s">
        <v>825</v>
      </c>
      <c r="D184" s="15" t="n">
        <v>3</v>
      </c>
      <c r="E184" s="15" t="s">
        <v>826</v>
      </c>
      <c r="F184" s="15" t="s">
        <v>163</v>
      </c>
      <c r="G184" s="15" t="n">
        <v>21</v>
      </c>
      <c r="H184" s="15" t="n">
        <v>2119</v>
      </c>
      <c r="I184" s="15" t="n">
        <v>11</v>
      </c>
      <c r="J184" s="15" t="n">
        <v>6</v>
      </c>
      <c r="K184" s="15" t="n">
        <v>66</v>
      </c>
      <c r="L184" s="15" t="n">
        <v>85</v>
      </c>
      <c r="M184" s="15" t="n">
        <v>12</v>
      </c>
      <c r="N184" s="15" t="n">
        <v>0</v>
      </c>
      <c r="O184" s="15" t="n">
        <v>0</v>
      </c>
      <c r="P184" s="16" t="n">
        <v>0</v>
      </c>
      <c r="Q184" s="15" t="n">
        <v>0</v>
      </c>
      <c r="R184" s="15" t="n">
        <v>0</v>
      </c>
      <c r="S184" s="17" t="n">
        <v>0</v>
      </c>
      <c r="T184" s="15" t="s">
        <v>186</v>
      </c>
      <c r="U184" s="15" t="n">
        <v>2027</v>
      </c>
      <c r="V184" s="15" t="s">
        <v>827</v>
      </c>
      <c r="W184" s="18" t="s">
        <v>188</v>
      </c>
      <c r="X184" s="18" t="s">
        <v>197</v>
      </c>
      <c r="Y184" s="15" t="s">
        <v>600</v>
      </c>
      <c r="Z184" s="15" t="s">
        <v>600</v>
      </c>
      <c r="AA184" s="19" t="str">
        <f aca="false">HYPERLINK("https://www.transfermarkt.com/schnellsuche/ergebnis/schnellsuche?query="&amp;SUBSTITUTE(A184," ","+"),"Search Transfermarkt")</f>
        <v>Search Transfermarkt</v>
      </c>
    </row>
    <row r="185" customFormat="false" ht="23.85" hidden="false" customHeight="false" outlineLevel="0" collapsed="false">
      <c r="A185" s="15" t="s">
        <v>828</v>
      </c>
      <c r="B185" s="15" t="s">
        <v>85</v>
      </c>
      <c r="C185" s="15" t="s">
        <v>715</v>
      </c>
      <c r="D185" s="15" t="n">
        <v>3</v>
      </c>
      <c r="E185" s="15" t="s">
        <v>829</v>
      </c>
      <c r="F185" s="15" t="s">
        <v>136</v>
      </c>
      <c r="G185" s="15" t="n">
        <v>24</v>
      </c>
      <c r="H185" s="15" t="n">
        <v>1033</v>
      </c>
      <c r="I185" s="15" t="n">
        <v>3</v>
      </c>
      <c r="J185" s="15" t="n">
        <v>3</v>
      </c>
      <c r="K185" s="15" t="n">
        <v>68</v>
      </c>
      <c r="L185" s="15" t="n">
        <v>37</v>
      </c>
      <c r="M185" s="15" t="n">
        <v>84</v>
      </c>
      <c r="N185" s="15" t="n">
        <v>0</v>
      </c>
      <c r="O185" s="15" t="n">
        <v>0</v>
      </c>
      <c r="P185" s="16" t="n">
        <v>0</v>
      </c>
      <c r="Q185" s="15" t="n">
        <v>0</v>
      </c>
      <c r="R185" s="15" t="n">
        <v>0</v>
      </c>
      <c r="S185" s="17" t="n">
        <v>127042</v>
      </c>
      <c r="T185" s="15" t="s">
        <v>186</v>
      </c>
      <c r="U185" s="15" t="n">
        <v>2026</v>
      </c>
      <c r="V185" s="15" t="s">
        <v>830</v>
      </c>
      <c r="W185" s="18" t="s">
        <v>188</v>
      </c>
      <c r="X185" s="18" t="s">
        <v>265</v>
      </c>
      <c r="Y185" s="15" t="s">
        <v>600</v>
      </c>
      <c r="Z185" s="15" t="s">
        <v>600</v>
      </c>
      <c r="AA185" s="19" t="str">
        <f aca="false">HYPERLINK("https://www.transfermarkt.com/schnellsuche/ergebnis/schnellsuche?query="&amp;SUBSTITUTE(A185," ","+"),"Search Transfermarkt")</f>
        <v>Search Transfermarkt</v>
      </c>
    </row>
    <row r="186" customFormat="false" ht="23.85" hidden="false" customHeight="false" outlineLevel="0" collapsed="false">
      <c r="A186" s="15" t="s">
        <v>831</v>
      </c>
      <c r="B186" s="15" t="s">
        <v>96</v>
      </c>
      <c r="C186" s="15" t="s">
        <v>414</v>
      </c>
      <c r="D186" s="15" t="n">
        <v>2</v>
      </c>
      <c r="E186" s="15" t="s">
        <v>832</v>
      </c>
      <c r="F186" s="15" t="s">
        <v>157</v>
      </c>
      <c r="G186" s="15" t="n">
        <v>25</v>
      </c>
      <c r="H186" s="15" t="n">
        <v>961</v>
      </c>
      <c r="I186" s="15" t="n">
        <v>0</v>
      </c>
      <c r="J186" s="15" t="n">
        <v>0</v>
      </c>
      <c r="K186" s="15" t="n">
        <v>12</v>
      </c>
      <c r="L186" s="15" t="n">
        <v>3</v>
      </c>
      <c r="M186" s="15" t="n">
        <v>8</v>
      </c>
      <c r="N186" s="15" t="n">
        <v>44</v>
      </c>
      <c r="O186" s="15" t="n">
        <v>15</v>
      </c>
      <c r="P186" s="16" t="n">
        <v>90.1</v>
      </c>
      <c r="Q186" s="15" t="n">
        <v>14.3</v>
      </c>
      <c r="R186" s="15" t="n">
        <v>2</v>
      </c>
      <c r="S186" s="17" t="n">
        <v>22985</v>
      </c>
      <c r="T186" s="15" t="s">
        <v>164</v>
      </c>
      <c r="U186" s="15" t="n">
        <v>2026</v>
      </c>
      <c r="V186" s="15" t="s">
        <v>833</v>
      </c>
      <c r="W186" s="18" t="s">
        <v>139</v>
      </c>
      <c r="X186" s="18" t="s">
        <v>216</v>
      </c>
      <c r="Y186" s="15" t="s">
        <v>600</v>
      </c>
      <c r="Z186" s="15" t="s">
        <v>600</v>
      </c>
      <c r="AA186" s="19" t="str">
        <f aca="false">HYPERLINK("https://www.transfermarkt.com/schnellsuche/ergebnis/schnellsuche?query="&amp;SUBSTITUTE(A186," ","+"),"Search Transfermarkt")</f>
        <v>Search Transfermarkt</v>
      </c>
    </row>
    <row r="187" customFormat="false" ht="23.85" hidden="false" customHeight="false" outlineLevel="0" collapsed="false">
      <c r="A187" s="15" t="s">
        <v>834</v>
      </c>
      <c r="B187" s="15" t="s">
        <v>99</v>
      </c>
      <c r="C187" s="15" t="s">
        <v>574</v>
      </c>
      <c r="D187" s="15" t="n">
        <v>4</v>
      </c>
      <c r="E187" s="15" t="s">
        <v>835</v>
      </c>
      <c r="F187" s="15" t="s">
        <v>136</v>
      </c>
      <c r="G187" s="15" t="n">
        <v>18</v>
      </c>
      <c r="H187" s="15" t="n">
        <v>2155</v>
      </c>
      <c r="I187" s="15" t="n">
        <v>1</v>
      </c>
      <c r="J187" s="15" t="n">
        <v>1</v>
      </c>
      <c r="K187" s="15" t="n">
        <v>55</v>
      </c>
      <c r="L187" s="15" t="n">
        <v>25</v>
      </c>
      <c r="M187" s="15" t="n">
        <v>118</v>
      </c>
      <c r="N187" s="15" t="n">
        <v>0</v>
      </c>
      <c r="O187" s="15" t="n">
        <v>0</v>
      </c>
      <c r="P187" s="16" t="n">
        <v>0</v>
      </c>
      <c r="Q187" s="15" t="n">
        <v>0</v>
      </c>
      <c r="R187" s="15" t="n">
        <v>0</v>
      </c>
      <c r="S187" s="17" t="n">
        <v>0</v>
      </c>
      <c r="T187" s="15" t="s">
        <v>186</v>
      </c>
      <c r="U187" s="15" t="n">
        <v>2026</v>
      </c>
      <c r="V187" s="15" t="s">
        <v>836</v>
      </c>
      <c r="W187" s="18" t="s">
        <v>188</v>
      </c>
      <c r="X187" s="18" t="s">
        <v>189</v>
      </c>
      <c r="Y187" s="15" t="s">
        <v>600</v>
      </c>
      <c r="Z187" s="15" t="s">
        <v>600</v>
      </c>
      <c r="AA187" s="19" t="str">
        <f aca="false">HYPERLINK("https://www.transfermarkt.com/schnellsuche/ergebnis/schnellsuche?query="&amp;SUBSTITUTE(A187," ","+"),"Search Transfermarkt")</f>
        <v>Search Transfermarkt</v>
      </c>
    </row>
    <row r="188" customFormat="false" ht="23.85" hidden="false" customHeight="false" outlineLevel="0" collapsed="false">
      <c r="A188" s="15" t="s">
        <v>837</v>
      </c>
      <c r="B188" s="15" t="s">
        <v>96</v>
      </c>
      <c r="C188" s="15" t="s">
        <v>414</v>
      </c>
      <c r="D188" s="15" t="n">
        <v>2</v>
      </c>
      <c r="E188" s="15" t="s">
        <v>838</v>
      </c>
      <c r="F188" s="15" t="s">
        <v>136</v>
      </c>
      <c r="G188" s="15" t="n">
        <v>23</v>
      </c>
      <c r="H188" s="15" t="n">
        <v>1488</v>
      </c>
      <c r="I188" s="15" t="n">
        <v>0</v>
      </c>
      <c r="J188" s="15" t="n">
        <v>3</v>
      </c>
      <c r="K188" s="15" t="n">
        <v>55</v>
      </c>
      <c r="L188" s="15" t="n">
        <v>42</v>
      </c>
      <c r="M188" s="15" t="n">
        <v>120</v>
      </c>
      <c r="N188" s="15" t="n">
        <v>0</v>
      </c>
      <c r="O188" s="15" t="n">
        <v>0</v>
      </c>
      <c r="P188" s="16" t="n">
        <v>0</v>
      </c>
      <c r="Q188" s="15" t="n">
        <v>0</v>
      </c>
      <c r="R188" s="15" t="n">
        <v>0</v>
      </c>
      <c r="S188" s="17" t="n">
        <v>122125</v>
      </c>
      <c r="T188" s="15" t="s">
        <v>137</v>
      </c>
      <c r="U188" s="15" t="n">
        <v>2028</v>
      </c>
      <c r="V188" s="15" t="s">
        <v>839</v>
      </c>
      <c r="W188" s="18" t="s">
        <v>139</v>
      </c>
      <c r="X188" s="18" t="s">
        <v>216</v>
      </c>
      <c r="Y188" s="15" t="s">
        <v>600</v>
      </c>
      <c r="Z188" s="15" t="s">
        <v>600</v>
      </c>
      <c r="AA188" s="19" t="str">
        <f aca="false">HYPERLINK("https://www.transfermarkt.com/schnellsuche/ergebnis/schnellsuche?query="&amp;SUBSTITUTE(A188," ","+"),"Search Transfermarkt")</f>
        <v>Search Transfermarkt</v>
      </c>
    </row>
    <row r="189" customFormat="false" ht="23.85" hidden="false" customHeight="false" outlineLevel="0" collapsed="false">
      <c r="A189" s="15" t="s">
        <v>840</v>
      </c>
      <c r="B189" s="15" t="s">
        <v>106</v>
      </c>
      <c r="C189" s="15" t="s">
        <v>841</v>
      </c>
      <c r="D189" s="15" t="n">
        <v>2</v>
      </c>
      <c r="E189" s="15" t="s">
        <v>842</v>
      </c>
      <c r="F189" s="15" t="s">
        <v>170</v>
      </c>
      <c r="G189" s="15" t="n">
        <v>22</v>
      </c>
      <c r="H189" s="15" t="n">
        <v>2305</v>
      </c>
      <c r="I189" s="15" t="n">
        <v>4</v>
      </c>
      <c r="J189" s="15" t="n">
        <v>6</v>
      </c>
      <c r="K189" s="15" t="n">
        <v>157</v>
      </c>
      <c r="L189" s="15" t="n">
        <v>92</v>
      </c>
      <c r="M189" s="15" t="n">
        <v>29</v>
      </c>
      <c r="N189" s="15" t="n">
        <v>0</v>
      </c>
      <c r="O189" s="15" t="n">
        <v>0</v>
      </c>
      <c r="P189" s="16" t="n">
        <v>0</v>
      </c>
      <c r="Q189" s="15" t="n">
        <v>0</v>
      </c>
      <c r="R189" s="15" t="n">
        <v>0</v>
      </c>
      <c r="S189" s="17" t="n">
        <v>60886</v>
      </c>
      <c r="T189" s="15" t="s">
        <v>137</v>
      </c>
      <c r="U189" s="15" t="n">
        <v>2026</v>
      </c>
      <c r="V189" s="15" t="s">
        <v>843</v>
      </c>
      <c r="W189" s="18" t="s">
        <v>139</v>
      </c>
      <c r="X189" s="18" t="s">
        <v>283</v>
      </c>
      <c r="Y189" s="15" t="s">
        <v>600</v>
      </c>
      <c r="Z189" s="15" t="s">
        <v>600</v>
      </c>
      <c r="AA189" s="19" t="str">
        <f aca="false">HYPERLINK("https://www.transfermarkt.com/schnellsuche/ergebnis/schnellsuche?query="&amp;SUBSTITUTE(A189," ","+"),"Search Transfermarkt")</f>
        <v>Search Transfermarkt</v>
      </c>
    </row>
    <row r="190" customFormat="false" ht="23.85" hidden="false" customHeight="false" outlineLevel="0" collapsed="false">
      <c r="A190" s="15" t="s">
        <v>844</v>
      </c>
      <c r="B190" s="15" t="s">
        <v>100</v>
      </c>
      <c r="C190" s="15" t="s">
        <v>845</v>
      </c>
      <c r="D190" s="15" t="n">
        <v>3</v>
      </c>
      <c r="E190" s="15" t="s">
        <v>846</v>
      </c>
      <c r="F190" s="15" t="s">
        <v>136</v>
      </c>
      <c r="G190" s="15" t="n">
        <v>17</v>
      </c>
      <c r="H190" s="15" t="n">
        <v>1786</v>
      </c>
      <c r="I190" s="15" t="n">
        <v>2</v>
      </c>
      <c r="J190" s="15" t="n">
        <v>3</v>
      </c>
      <c r="K190" s="15" t="n">
        <v>53</v>
      </c>
      <c r="L190" s="15" t="n">
        <v>24</v>
      </c>
      <c r="M190" s="15" t="n">
        <v>124</v>
      </c>
      <c r="N190" s="15" t="n">
        <v>0</v>
      </c>
      <c r="O190" s="15" t="n">
        <v>0</v>
      </c>
      <c r="P190" s="16" t="n">
        <v>0</v>
      </c>
      <c r="Q190" s="15" t="n">
        <v>0</v>
      </c>
      <c r="R190" s="15" t="n">
        <v>0</v>
      </c>
      <c r="S190" s="17" t="n">
        <v>19161</v>
      </c>
      <c r="T190" s="15" t="s">
        <v>137</v>
      </c>
      <c r="U190" s="15" t="n">
        <v>2028</v>
      </c>
      <c r="V190" s="15" t="s">
        <v>847</v>
      </c>
      <c r="W190" s="18" t="s">
        <v>147</v>
      </c>
      <c r="X190" s="18" t="s">
        <v>221</v>
      </c>
      <c r="Y190" s="15" t="s">
        <v>600</v>
      </c>
      <c r="Z190" s="15" t="s">
        <v>600</v>
      </c>
      <c r="AA190" s="19" t="str">
        <f aca="false">HYPERLINK("https://www.transfermarkt.com/schnellsuche/ergebnis/schnellsuche?query="&amp;SUBSTITUTE(A190," ","+"),"Search Transfermarkt")</f>
        <v>Search Transfermarkt</v>
      </c>
    </row>
    <row r="191" customFormat="false" ht="23.85" hidden="false" customHeight="false" outlineLevel="0" collapsed="false">
      <c r="A191" s="15" t="s">
        <v>848</v>
      </c>
      <c r="B191" s="15" t="s">
        <v>103</v>
      </c>
      <c r="C191" s="15" t="s">
        <v>501</v>
      </c>
      <c r="D191" s="15" t="n">
        <v>2</v>
      </c>
      <c r="E191" s="15" t="s">
        <v>849</v>
      </c>
      <c r="F191" s="15" t="s">
        <v>157</v>
      </c>
      <c r="G191" s="15" t="n">
        <v>19</v>
      </c>
      <c r="H191" s="15" t="n">
        <v>953</v>
      </c>
      <c r="I191" s="15" t="n">
        <v>0</v>
      </c>
      <c r="J191" s="15" t="n">
        <v>0</v>
      </c>
      <c r="K191" s="15" t="n">
        <v>15</v>
      </c>
      <c r="L191" s="15" t="n">
        <v>6</v>
      </c>
      <c r="M191" s="15" t="n">
        <v>4</v>
      </c>
      <c r="N191" s="15" t="n">
        <v>39</v>
      </c>
      <c r="O191" s="15" t="n">
        <v>12</v>
      </c>
      <c r="P191" s="16" t="n">
        <v>79.4</v>
      </c>
      <c r="Q191" s="15" t="n">
        <v>1.3</v>
      </c>
      <c r="R191" s="15" t="n">
        <v>4</v>
      </c>
      <c r="S191" s="17" t="n">
        <v>0</v>
      </c>
      <c r="T191" s="15" t="s">
        <v>137</v>
      </c>
      <c r="U191" s="15" t="n">
        <v>2028</v>
      </c>
      <c r="V191" s="15" t="s">
        <v>850</v>
      </c>
      <c r="W191" s="18" t="s">
        <v>139</v>
      </c>
      <c r="X191" s="18" t="s">
        <v>481</v>
      </c>
      <c r="Y191" s="15" t="s">
        <v>600</v>
      </c>
      <c r="Z191" s="15" t="s">
        <v>600</v>
      </c>
      <c r="AA191" s="19" t="str">
        <f aca="false">HYPERLINK("https://www.transfermarkt.com/schnellsuche/ergebnis/schnellsuche?query="&amp;SUBSTITUTE(A191," ","+"),"Search Transfermarkt")</f>
        <v>Search Transfermarkt</v>
      </c>
    </row>
    <row r="192" customFormat="false" ht="23.85" hidden="false" customHeight="false" outlineLevel="0" collapsed="false">
      <c r="A192" s="15" t="s">
        <v>851</v>
      </c>
      <c r="B192" s="15" t="s">
        <v>90</v>
      </c>
      <c r="C192" s="15" t="s">
        <v>852</v>
      </c>
      <c r="D192" s="15" t="n">
        <v>2</v>
      </c>
      <c r="E192" s="15" t="s">
        <v>853</v>
      </c>
      <c r="F192" s="15" t="s">
        <v>170</v>
      </c>
      <c r="G192" s="15" t="n">
        <v>25</v>
      </c>
      <c r="H192" s="15" t="n">
        <v>2445</v>
      </c>
      <c r="I192" s="15" t="n">
        <v>10</v>
      </c>
      <c r="J192" s="15" t="n">
        <v>8</v>
      </c>
      <c r="K192" s="15" t="n">
        <v>167</v>
      </c>
      <c r="L192" s="15" t="n">
        <v>85</v>
      </c>
      <c r="M192" s="15" t="n">
        <v>57</v>
      </c>
      <c r="N192" s="15" t="n">
        <v>0</v>
      </c>
      <c r="O192" s="15" t="n">
        <v>0</v>
      </c>
      <c r="P192" s="16" t="n">
        <v>0</v>
      </c>
      <c r="Q192" s="15" t="n">
        <v>0</v>
      </c>
      <c r="R192" s="15" t="n">
        <v>0</v>
      </c>
      <c r="S192" s="17" t="n">
        <v>33319</v>
      </c>
      <c r="T192" s="15" t="s">
        <v>137</v>
      </c>
      <c r="U192" s="15" t="n">
        <v>2028</v>
      </c>
      <c r="V192" s="15" t="s">
        <v>854</v>
      </c>
      <c r="W192" s="18" t="s">
        <v>139</v>
      </c>
      <c r="X192" s="18" t="s">
        <v>288</v>
      </c>
      <c r="Y192" s="15" t="s">
        <v>600</v>
      </c>
      <c r="Z192" s="15" t="s">
        <v>600</v>
      </c>
      <c r="AA192" s="19" t="str">
        <f aca="false">HYPERLINK("https://www.transfermarkt.com/schnellsuche/ergebnis/schnellsuche?query="&amp;SUBSTITUTE(A192," ","+"),"Search Transfermarkt")</f>
        <v>Search Transfermarkt</v>
      </c>
    </row>
    <row r="193" customFormat="false" ht="23.85" hidden="false" customHeight="false" outlineLevel="0" collapsed="false">
      <c r="A193" s="15" t="s">
        <v>855</v>
      </c>
      <c r="B193" s="15" t="s">
        <v>67</v>
      </c>
      <c r="C193" s="15" t="s">
        <v>233</v>
      </c>
      <c r="D193" s="15" t="n">
        <v>3</v>
      </c>
      <c r="E193" s="15" t="s">
        <v>856</v>
      </c>
      <c r="F193" s="15" t="s">
        <v>170</v>
      </c>
      <c r="G193" s="15" t="n">
        <v>22</v>
      </c>
      <c r="H193" s="15" t="n">
        <v>1749</v>
      </c>
      <c r="I193" s="15" t="n">
        <v>5</v>
      </c>
      <c r="J193" s="15" t="n">
        <v>11</v>
      </c>
      <c r="K193" s="15" t="n">
        <v>150</v>
      </c>
      <c r="L193" s="15" t="n">
        <v>79</v>
      </c>
      <c r="M193" s="15" t="n">
        <v>35</v>
      </c>
      <c r="N193" s="15" t="n">
        <v>0</v>
      </c>
      <c r="O193" s="15" t="n">
        <v>0</v>
      </c>
      <c r="P193" s="16" t="n">
        <v>0</v>
      </c>
      <c r="Q193" s="15" t="n">
        <v>0</v>
      </c>
      <c r="R193" s="15" t="n">
        <v>0</v>
      </c>
      <c r="S193" s="17" t="n">
        <v>0</v>
      </c>
      <c r="T193" s="15" t="s">
        <v>137</v>
      </c>
      <c r="U193" s="15" t="n">
        <v>2029</v>
      </c>
      <c r="V193" s="15" t="s">
        <v>857</v>
      </c>
      <c r="W193" s="18" t="s">
        <v>139</v>
      </c>
      <c r="X193" s="18" t="s">
        <v>236</v>
      </c>
      <c r="Y193" s="15" t="s">
        <v>600</v>
      </c>
      <c r="Z193" s="15" t="s">
        <v>600</v>
      </c>
      <c r="AA193" s="19" t="str">
        <f aca="false">HYPERLINK("https://www.transfermarkt.com/schnellsuche/ergebnis/schnellsuche?query="&amp;SUBSTITUTE(A193," ","+"),"Search Transfermarkt")</f>
        <v>Search Transfermarkt</v>
      </c>
    </row>
    <row r="194" customFormat="false" ht="23.85" hidden="false" customHeight="false" outlineLevel="0" collapsed="false">
      <c r="A194" s="15" t="s">
        <v>858</v>
      </c>
      <c r="B194" s="15" t="s">
        <v>106</v>
      </c>
      <c r="C194" s="15" t="s">
        <v>859</v>
      </c>
      <c r="D194" s="15" t="n">
        <v>2</v>
      </c>
      <c r="E194" s="15" t="s">
        <v>709</v>
      </c>
      <c r="F194" s="15" t="s">
        <v>163</v>
      </c>
      <c r="G194" s="15" t="n">
        <v>26</v>
      </c>
      <c r="H194" s="15" t="n">
        <v>2487</v>
      </c>
      <c r="I194" s="15" t="n">
        <v>12</v>
      </c>
      <c r="J194" s="15" t="n">
        <v>7</v>
      </c>
      <c r="K194" s="15" t="n">
        <v>52</v>
      </c>
      <c r="L194" s="15" t="n">
        <v>87</v>
      </c>
      <c r="M194" s="15" t="n">
        <v>16</v>
      </c>
      <c r="N194" s="15" t="n">
        <v>0</v>
      </c>
      <c r="O194" s="15" t="n">
        <v>0</v>
      </c>
      <c r="P194" s="16" t="n">
        <v>0</v>
      </c>
      <c r="Q194" s="15" t="n">
        <v>0</v>
      </c>
      <c r="R194" s="15" t="n">
        <v>0</v>
      </c>
      <c r="S194" s="17" t="n">
        <v>61946</v>
      </c>
      <c r="T194" s="15" t="s">
        <v>137</v>
      </c>
      <c r="U194" s="15" t="n">
        <v>2028</v>
      </c>
      <c r="V194" s="15" t="s">
        <v>710</v>
      </c>
      <c r="W194" s="18" t="s">
        <v>139</v>
      </c>
      <c r="X194" s="18" t="s">
        <v>283</v>
      </c>
      <c r="Y194" s="15" t="s">
        <v>600</v>
      </c>
      <c r="Z194" s="15" t="s">
        <v>600</v>
      </c>
      <c r="AA194" s="19" t="str">
        <f aca="false">HYPERLINK("https://www.transfermarkt.com/schnellsuche/ergebnis/schnellsuche?query="&amp;SUBSTITUTE(A194," ","+"),"Search Transfermarkt")</f>
        <v>Search Transfermarkt</v>
      </c>
    </row>
    <row r="195" customFormat="false" ht="23.85" hidden="false" customHeight="false" outlineLevel="0" collapsed="false">
      <c r="A195" s="15" t="s">
        <v>860</v>
      </c>
      <c r="B195" s="15" t="s">
        <v>76</v>
      </c>
      <c r="C195" s="15" t="s">
        <v>740</v>
      </c>
      <c r="D195" s="15" t="n">
        <v>2</v>
      </c>
      <c r="E195" s="15" t="s">
        <v>861</v>
      </c>
      <c r="F195" s="15" t="s">
        <v>136</v>
      </c>
      <c r="G195" s="15" t="n">
        <v>17</v>
      </c>
      <c r="H195" s="15" t="n">
        <v>2168</v>
      </c>
      <c r="I195" s="15" t="n">
        <v>0</v>
      </c>
      <c r="J195" s="15" t="n">
        <v>0</v>
      </c>
      <c r="K195" s="15" t="n">
        <v>58</v>
      </c>
      <c r="L195" s="15" t="n">
        <v>36</v>
      </c>
      <c r="M195" s="15" t="n">
        <v>100</v>
      </c>
      <c r="N195" s="15" t="n">
        <v>0</v>
      </c>
      <c r="O195" s="15" t="n">
        <v>0</v>
      </c>
      <c r="P195" s="16" t="n">
        <v>0</v>
      </c>
      <c r="Q195" s="15" t="n">
        <v>0</v>
      </c>
      <c r="R195" s="15" t="n">
        <v>0</v>
      </c>
      <c r="S195" s="17" t="n">
        <v>40369</v>
      </c>
      <c r="T195" s="15" t="s">
        <v>137</v>
      </c>
      <c r="U195" s="15" t="n">
        <v>2029</v>
      </c>
      <c r="V195" s="15" t="s">
        <v>862</v>
      </c>
      <c r="W195" s="18" t="s">
        <v>147</v>
      </c>
      <c r="X195" s="18" t="s">
        <v>241</v>
      </c>
      <c r="Y195" s="15" t="s">
        <v>600</v>
      </c>
      <c r="Z195" s="15" t="s">
        <v>600</v>
      </c>
      <c r="AA195" s="19" t="str">
        <f aca="false">HYPERLINK("https://www.transfermarkt.com/schnellsuche/ergebnis/schnellsuche?query="&amp;SUBSTITUTE(A195," ","+"),"Search Transfermarkt")</f>
        <v>Search Transfermarkt</v>
      </c>
    </row>
    <row r="196" customFormat="false" ht="23.85" hidden="false" customHeight="false" outlineLevel="0" collapsed="false">
      <c r="A196" s="15" t="s">
        <v>863</v>
      </c>
      <c r="B196" s="15" t="s">
        <v>88</v>
      </c>
      <c r="C196" s="15" t="s">
        <v>563</v>
      </c>
      <c r="D196" s="15" t="n">
        <v>4</v>
      </c>
      <c r="E196" s="15" t="s">
        <v>864</v>
      </c>
      <c r="F196" s="15" t="s">
        <v>136</v>
      </c>
      <c r="G196" s="15" t="n">
        <v>24</v>
      </c>
      <c r="H196" s="15" t="n">
        <v>2082</v>
      </c>
      <c r="I196" s="15" t="n">
        <v>3</v>
      </c>
      <c r="J196" s="15" t="n">
        <v>0</v>
      </c>
      <c r="K196" s="15" t="n">
        <v>57</v>
      </c>
      <c r="L196" s="15" t="n">
        <v>43</v>
      </c>
      <c r="M196" s="15" t="n">
        <v>95</v>
      </c>
      <c r="N196" s="15" t="n">
        <v>0</v>
      </c>
      <c r="O196" s="15" t="n">
        <v>0</v>
      </c>
      <c r="P196" s="16" t="n">
        <v>0</v>
      </c>
      <c r="Q196" s="15" t="n">
        <v>0</v>
      </c>
      <c r="R196" s="15" t="n">
        <v>0</v>
      </c>
      <c r="S196" s="17" t="n">
        <v>22663</v>
      </c>
      <c r="T196" s="15" t="s">
        <v>137</v>
      </c>
      <c r="U196" s="15" t="n">
        <v>2028</v>
      </c>
      <c r="V196" s="15" t="s">
        <v>865</v>
      </c>
      <c r="W196" s="18" t="s">
        <v>139</v>
      </c>
      <c r="X196" s="18" t="s">
        <v>320</v>
      </c>
      <c r="Y196" s="15" t="s">
        <v>600</v>
      </c>
      <c r="Z196" s="15" t="s">
        <v>600</v>
      </c>
      <c r="AA196" s="19" t="str">
        <f aca="false">HYPERLINK("https://www.transfermarkt.com/schnellsuche/ergebnis/schnellsuche?query="&amp;SUBSTITUTE(A196," ","+"),"Search Transfermarkt")</f>
        <v>Search Transfermarkt</v>
      </c>
    </row>
    <row r="197" customFormat="false" ht="23.85" hidden="false" customHeight="false" outlineLevel="0" collapsed="false">
      <c r="A197" s="15" t="s">
        <v>866</v>
      </c>
      <c r="B197" s="15" t="s">
        <v>106</v>
      </c>
      <c r="C197" s="15" t="s">
        <v>867</v>
      </c>
      <c r="D197" s="15" t="n">
        <v>2</v>
      </c>
      <c r="E197" s="15" t="s">
        <v>868</v>
      </c>
      <c r="F197" s="15" t="s">
        <v>163</v>
      </c>
      <c r="G197" s="15" t="n">
        <v>26</v>
      </c>
      <c r="H197" s="15" t="n">
        <v>2568</v>
      </c>
      <c r="I197" s="15" t="n">
        <v>13</v>
      </c>
      <c r="J197" s="15" t="n">
        <v>2</v>
      </c>
      <c r="K197" s="15" t="n">
        <v>63</v>
      </c>
      <c r="L197" s="15" t="n">
        <v>60</v>
      </c>
      <c r="M197" s="15" t="n">
        <v>16</v>
      </c>
      <c r="N197" s="15" t="n">
        <v>0</v>
      </c>
      <c r="O197" s="15" t="n">
        <v>0</v>
      </c>
      <c r="P197" s="16" t="n">
        <v>0</v>
      </c>
      <c r="Q197" s="15" t="n">
        <v>0</v>
      </c>
      <c r="R197" s="15" t="n">
        <v>0</v>
      </c>
      <c r="S197" s="17" t="n">
        <v>142783</v>
      </c>
      <c r="T197" s="15" t="s">
        <v>137</v>
      </c>
      <c r="U197" s="15" t="n">
        <v>2028</v>
      </c>
      <c r="V197" s="15" t="s">
        <v>869</v>
      </c>
      <c r="W197" s="18" t="s">
        <v>139</v>
      </c>
      <c r="X197" s="18" t="s">
        <v>283</v>
      </c>
      <c r="Y197" s="15" t="s">
        <v>600</v>
      </c>
      <c r="Z197" s="15" t="s">
        <v>600</v>
      </c>
      <c r="AA197" s="19" t="str">
        <f aca="false">HYPERLINK("https://www.transfermarkt.com/schnellsuche/ergebnis/schnellsuche?query="&amp;SUBSTITUTE(A197," ","+"),"Search Transfermarkt")</f>
        <v>Search Transfermarkt</v>
      </c>
    </row>
    <row r="198" customFormat="false" ht="23.85" hidden="false" customHeight="false" outlineLevel="0" collapsed="false">
      <c r="A198" s="15" t="s">
        <v>870</v>
      </c>
      <c r="B198" s="15" t="s">
        <v>82</v>
      </c>
      <c r="C198" s="15" t="s">
        <v>743</v>
      </c>
      <c r="D198" s="15" t="n">
        <v>3</v>
      </c>
      <c r="E198" s="15" t="s">
        <v>763</v>
      </c>
      <c r="F198" s="15" t="s">
        <v>157</v>
      </c>
      <c r="G198" s="15" t="n">
        <v>25</v>
      </c>
      <c r="H198" s="15" t="n">
        <v>1104</v>
      </c>
      <c r="I198" s="15" t="n">
        <v>0</v>
      </c>
      <c r="J198" s="15" t="n">
        <v>0</v>
      </c>
      <c r="K198" s="15" t="n">
        <v>8</v>
      </c>
      <c r="L198" s="15" t="n">
        <v>1</v>
      </c>
      <c r="M198" s="15" t="n">
        <v>7</v>
      </c>
      <c r="N198" s="15" t="n">
        <v>33</v>
      </c>
      <c r="O198" s="15" t="n">
        <v>23</v>
      </c>
      <c r="P198" s="16" t="n">
        <v>66.5</v>
      </c>
      <c r="Q198" s="15" t="n">
        <v>17.1</v>
      </c>
      <c r="R198" s="15" t="n">
        <v>5</v>
      </c>
      <c r="S198" s="17" t="n">
        <v>21504</v>
      </c>
      <c r="T198" s="15" t="s">
        <v>164</v>
      </c>
      <c r="U198" s="15" t="n">
        <v>2026</v>
      </c>
      <c r="V198" s="15" t="s">
        <v>764</v>
      </c>
      <c r="W198" s="18" t="s">
        <v>139</v>
      </c>
      <c r="X198" s="18" t="s">
        <v>166</v>
      </c>
      <c r="Y198" s="15" t="s">
        <v>600</v>
      </c>
      <c r="Z198" s="15" t="s">
        <v>600</v>
      </c>
      <c r="AA198" s="19" t="str">
        <f aca="false">HYPERLINK("https://www.transfermarkt.com/schnellsuche/ergebnis/schnellsuche?query="&amp;SUBSTITUTE(A198," ","+"),"Search Transfermarkt")</f>
        <v>Search Transfermarkt</v>
      </c>
    </row>
    <row r="199" customFormat="false" ht="23.85" hidden="false" customHeight="false" outlineLevel="0" collapsed="false">
      <c r="A199" s="15" t="s">
        <v>871</v>
      </c>
      <c r="B199" s="15" t="s">
        <v>100</v>
      </c>
      <c r="C199" s="15" t="s">
        <v>845</v>
      </c>
      <c r="D199" s="15" t="n">
        <v>3</v>
      </c>
      <c r="E199" s="15" t="s">
        <v>872</v>
      </c>
      <c r="F199" s="15" t="s">
        <v>163</v>
      </c>
      <c r="G199" s="15" t="n">
        <v>18</v>
      </c>
      <c r="H199" s="15" t="n">
        <v>911</v>
      </c>
      <c r="I199" s="15" t="n">
        <v>7</v>
      </c>
      <c r="J199" s="15" t="n">
        <v>7</v>
      </c>
      <c r="K199" s="15" t="n">
        <v>52</v>
      </c>
      <c r="L199" s="15" t="n">
        <v>85</v>
      </c>
      <c r="M199" s="15" t="n">
        <v>10</v>
      </c>
      <c r="N199" s="15" t="n">
        <v>0</v>
      </c>
      <c r="O199" s="15" t="n">
        <v>0</v>
      </c>
      <c r="P199" s="16" t="n">
        <v>0</v>
      </c>
      <c r="Q199" s="15" t="n">
        <v>0</v>
      </c>
      <c r="R199" s="15" t="n">
        <v>0</v>
      </c>
      <c r="S199" s="17" t="n">
        <v>148050</v>
      </c>
      <c r="T199" s="15" t="s">
        <v>137</v>
      </c>
      <c r="U199" s="15" t="n">
        <v>2028</v>
      </c>
      <c r="V199" s="15" t="s">
        <v>873</v>
      </c>
      <c r="W199" s="18" t="s">
        <v>139</v>
      </c>
      <c r="X199" s="18" t="s">
        <v>221</v>
      </c>
      <c r="Y199" s="15" t="s">
        <v>600</v>
      </c>
      <c r="Z199" s="15" t="s">
        <v>600</v>
      </c>
      <c r="AA199" s="19" t="str">
        <f aca="false">HYPERLINK("https://www.transfermarkt.com/schnellsuche/ergebnis/schnellsuche?query="&amp;SUBSTITUTE(A199," ","+"),"Search Transfermarkt")</f>
        <v>Search Transfermarkt</v>
      </c>
    </row>
    <row r="200" customFormat="false" ht="23.85" hidden="false" customHeight="false" outlineLevel="0" collapsed="false">
      <c r="A200" s="15" t="s">
        <v>874</v>
      </c>
      <c r="B200" s="15" t="s">
        <v>77</v>
      </c>
      <c r="C200" s="15" t="s">
        <v>355</v>
      </c>
      <c r="D200" s="15" t="n">
        <v>2</v>
      </c>
      <c r="E200" s="15" t="s">
        <v>875</v>
      </c>
      <c r="F200" s="15" t="s">
        <v>170</v>
      </c>
      <c r="G200" s="15" t="n">
        <v>21</v>
      </c>
      <c r="H200" s="15" t="n">
        <v>2441</v>
      </c>
      <c r="I200" s="15" t="n">
        <v>2</v>
      </c>
      <c r="J200" s="15" t="n">
        <v>11</v>
      </c>
      <c r="K200" s="15" t="n">
        <v>106</v>
      </c>
      <c r="L200" s="15" t="n">
        <v>64</v>
      </c>
      <c r="M200" s="15" t="n">
        <v>33</v>
      </c>
      <c r="N200" s="15" t="n">
        <v>0</v>
      </c>
      <c r="O200" s="15" t="n">
        <v>0</v>
      </c>
      <c r="P200" s="16" t="n">
        <v>0</v>
      </c>
      <c r="Q200" s="15" t="n">
        <v>0</v>
      </c>
      <c r="R200" s="15" t="n">
        <v>0</v>
      </c>
      <c r="S200" s="17" t="n">
        <v>0</v>
      </c>
      <c r="T200" s="15" t="s">
        <v>164</v>
      </c>
      <c r="U200" s="15" t="n">
        <v>2028</v>
      </c>
      <c r="V200" s="15" t="s">
        <v>876</v>
      </c>
      <c r="W200" s="18" t="s">
        <v>139</v>
      </c>
      <c r="X200" s="18" t="s">
        <v>358</v>
      </c>
      <c r="Y200" s="15" t="s">
        <v>600</v>
      </c>
      <c r="Z200" s="15" t="s">
        <v>600</v>
      </c>
      <c r="AA200" s="19" t="str">
        <f aca="false">HYPERLINK("https://www.transfermarkt.com/schnellsuche/ergebnis/schnellsuche?query="&amp;SUBSTITUTE(A200," ","+"),"Search Transfermarkt")</f>
        <v>Search Transfermarkt</v>
      </c>
    </row>
    <row r="201" customFormat="false" ht="23.85" hidden="false" customHeight="false" outlineLevel="0" collapsed="false">
      <c r="A201" s="15" t="s">
        <v>877</v>
      </c>
      <c r="B201" s="15" t="s">
        <v>64</v>
      </c>
      <c r="C201" s="15" t="s">
        <v>385</v>
      </c>
      <c r="D201" s="15" t="n">
        <v>2</v>
      </c>
      <c r="E201" s="15" t="s">
        <v>878</v>
      </c>
      <c r="F201" s="15" t="s">
        <v>136</v>
      </c>
      <c r="G201" s="15" t="n">
        <v>26</v>
      </c>
      <c r="H201" s="15" t="n">
        <v>2612</v>
      </c>
      <c r="I201" s="15" t="n">
        <v>0</v>
      </c>
      <c r="J201" s="15" t="n">
        <v>5</v>
      </c>
      <c r="K201" s="15" t="n">
        <v>39</v>
      </c>
      <c r="L201" s="15" t="n">
        <v>33</v>
      </c>
      <c r="M201" s="15" t="n">
        <v>113</v>
      </c>
      <c r="N201" s="15" t="n">
        <v>0</v>
      </c>
      <c r="O201" s="15" t="n">
        <v>0</v>
      </c>
      <c r="P201" s="16" t="n">
        <v>0</v>
      </c>
      <c r="Q201" s="15" t="n">
        <v>0</v>
      </c>
      <c r="R201" s="15" t="n">
        <v>0</v>
      </c>
      <c r="S201" s="17" t="n">
        <v>15017</v>
      </c>
      <c r="T201" s="15" t="s">
        <v>164</v>
      </c>
      <c r="U201" s="15" t="n">
        <v>2028</v>
      </c>
      <c r="V201" s="15" t="s">
        <v>879</v>
      </c>
      <c r="W201" s="18" t="s">
        <v>139</v>
      </c>
      <c r="X201" s="18" t="s">
        <v>231</v>
      </c>
      <c r="Y201" s="15" t="s">
        <v>600</v>
      </c>
      <c r="Z201" s="15" t="s">
        <v>600</v>
      </c>
      <c r="AA201" s="19" t="str">
        <f aca="false">HYPERLINK("https://www.transfermarkt.com/schnellsuche/ergebnis/schnellsuche?query="&amp;SUBSTITUTE(A201," ","+"),"Search Transfermarkt")</f>
        <v>Search Transfermarkt</v>
      </c>
    </row>
    <row r="202" customFormat="false" ht="23.85" hidden="false" customHeight="false" outlineLevel="0" collapsed="false">
      <c r="A202" s="15" t="s">
        <v>880</v>
      </c>
      <c r="B202" s="15" t="s">
        <v>100</v>
      </c>
      <c r="C202" s="15" t="s">
        <v>218</v>
      </c>
      <c r="D202" s="15" t="n">
        <v>3</v>
      </c>
      <c r="E202" s="15" t="s">
        <v>881</v>
      </c>
      <c r="F202" s="15" t="s">
        <v>170</v>
      </c>
      <c r="G202" s="15" t="n">
        <v>25</v>
      </c>
      <c r="H202" s="15" t="n">
        <v>2087</v>
      </c>
      <c r="I202" s="15" t="n">
        <v>8</v>
      </c>
      <c r="J202" s="15" t="n">
        <v>6</v>
      </c>
      <c r="K202" s="15" t="n">
        <v>149</v>
      </c>
      <c r="L202" s="15" t="n">
        <v>56</v>
      </c>
      <c r="M202" s="15" t="n">
        <v>33</v>
      </c>
      <c r="N202" s="15" t="n">
        <v>0</v>
      </c>
      <c r="O202" s="15" t="n">
        <v>0</v>
      </c>
      <c r="P202" s="16" t="n">
        <v>0</v>
      </c>
      <c r="Q202" s="15" t="n">
        <v>0</v>
      </c>
      <c r="R202" s="15" t="n">
        <v>0</v>
      </c>
      <c r="S202" s="17" t="n">
        <v>0</v>
      </c>
      <c r="T202" s="15" t="s">
        <v>137</v>
      </c>
      <c r="U202" s="15" t="n">
        <v>2026</v>
      </c>
      <c r="V202" s="15" t="s">
        <v>882</v>
      </c>
      <c r="W202" s="18" t="s">
        <v>139</v>
      </c>
      <c r="X202" s="18" t="s">
        <v>221</v>
      </c>
      <c r="Y202" s="15" t="s">
        <v>600</v>
      </c>
      <c r="Z202" s="15" t="s">
        <v>600</v>
      </c>
      <c r="AA202" s="19" t="str">
        <f aca="false">HYPERLINK("https://www.transfermarkt.com/schnellsuche/ergebnis/schnellsuche?query="&amp;SUBSTITUTE(A202," ","+"),"Search Transfermarkt")</f>
        <v>Search Transfermarkt</v>
      </c>
    </row>
    <row r="203" customFormat="false" ht="23.85" hidden="false" customHeight="false" outlineLevel="0" collapsed="false">
      <c r="A203" s="15" t="s">
        <v>883</v>
      </c>
      <c r="B203" s="15" t="s">
        <v>94</v>
      </c>
      <c r="C203" s="15" t="s">
        <v>334</v>
      </c>
      <c r="D203" s="15" t="n">
        <v>3</v>
      </c>
      <c r="E203" s="15" t="s">
        <v>884</v>
      </c>
      <c r="F203" s="15" t="s">
        <v>170</v>
      </c>
      <c r="G203" s="15" t="n">
        <v>19</v>
      </c>
      <c r="H203" s="15" t="n">
        <v>1900</v>
      </c>
      <c r="I203" s="15" t="n">
        <v>8</v>
      </c>
      <c r="J203" s="15" t="n">
        <v>8</v>
      </c>
      <c r="K203" s="15" t="n">
        <v>174</v>
      </c>
      <c r="L203" s="15" t="n">
        <v>53</v>
      </c>
      <c r="M203" s="15" t="n">
        <v>46</v>
      </c>
      <c r="N203" s="15" t="n">
        <v>0</v>
      </c>
      <c r="O203" s="15" t="n">
        <v>0</v>
      </c>
      <c r="P203" s="16" t="n">
        <v>0</v>
      </c>
      <c r="Q203" s="15" t="n">
        <v>0</v>
      </c>
      <c r="R203" s="15" t="n">
        <v>0</v>
      </c>
      <c r="S203" s="17" t="n">
        <v>59698</v>
      </c>
      <c r="T203" s="15" t="s">
        <v>186</v>
      </c>
      <c r="U203" s="15" t="n">
        <v>2028</v>
      </c>
      <c r="V203" s="15" t="s">
        <v>885</v>
      </c>
      <c r="W203" s="18" t="s">
        <v>188</v>
      </c>
      <c r="X203" s="18" t="s">
        <v>226</v>
      </c>
      <c r="Y203" s="15" t="s">
        <v>600</v>
      </c>
      <c r="Z203" s="15" t="s">
        <v>600</v>
      </c>
      <c r="AA203" s="19" t="str">
        <f aca="false">HYPERLINK("https://www.transfermarkt.com/schnellsuche/ergebnis/schnellsuche?query="&amp;SUBSTITUTE(A203," ","+"),"Search Transfermarkt")</f>
        <v>Search Transfermarkt</v>
      </c>
    </row>
    <row r="204" customFormat="false" ht="23.85" hidden="false" customHeight="false" outlineLevel="0" collapsed="false">
      <c r="A204" s="15" t="s">
        <v>886</v>
      </c>
      <c r="B204" s="15" t="s">
        <v>100</v>
      </c>
      <c r="C204" s="15" t="s">
        <v>887</v>
      </c>
      <c r="D204" s="15" t="n">
        <v>4</v>
      </c>
      <c r="E204" s="15" t="s">
        <v>888</v>
      </c>
      <c r="F204" s="15" t="s">
        <v>163</v>
      </c>
      <c r="G204" s="15" t="n">
        <v>17</v>
      </c>
      <c r="H204" s="15" t="n">
        <v>1529</v>
      </c>
      <c r="I204" s="15" t="n">
        <v>18</v>
      </c>
      <c r="J204" s="15" t="n">
        <v>8</v>
      </c>
      <c r="K204" s="15" t="n">
        <v>63</v>
      </c>
      <c r="L204" s="15" t="n">
        <v>89</v>
      </c>
      <c r="M204" s="15" t="n">
        <v>14</v>
      </c>
      <c r="N204" s="15" t="n">
        <v>0</v>
      </c>
      <c r="O204" s="15" t="n">
        <v>0</v>
      </c>
      <c r="P204" s="16" t="n">
        <v>0</v>
      </c>
      <c r="Q204" s="15" t="n">
        <v>0</v>
      </c>
      <c r="R204" s="15" t="n">
        <v>0</v>
      </c>
      <c r="S204" s="17" t="n">
        <v>8639</v>
      </c>
      <c r="T204" s="15" t="s">
        <v>164</v>
      </c>
      <c r="U204" s="15" t="n">
        <v>2027</v>
      </c>
      <c r="V204" s="15" t="s">
        <v>889</v>
      </c>
      <c r="W204" s="18" t="s">
        <v>147</v>
      </c>
      <c r="X204" s="18" t="s">
        <v>221</v>
      </c>
      <c r="Y204" s="15" t="s">
        <v>600</v>
      </c>
      <c r="Z204" s="15" t="s">
        <v>600</v>
      </c>
      <c r="AA204" s="19" t="str">
        <f aca="false">HYPERLINK("https://www.transfermarkt.com/schnellsuche/ergebnis/schnellsuche?query="&amp;SUBSTITUTE(A204," ","+"),"Search Transfermarkt")</f>
        <v>Search Transfermarkt</v>
      </c>
    </row>
    <row r="205" customFormat="false" ht="23.85" hidden="false" customHeight="false" outlineLevel="0" collapsed="false">
      <c r="A205" s="15" t="s">
        <v>890</v>
      </c>
      <c r="B205" s="15" t="s">
        <v>66</v>
      </c>
      <c r="C205" s="15" t="s">
        <v>179</v>
      </c>
      <c r="D205" s="15" t="n">
        <v>4</v>
      </c>
      <c r="E205" s="15" t="s">
        <v>891</v>
      </c>
      <c r="F205" s="15" t="s">
        <v>136</v>
      </c>
      <c r="G205" s="15" t="n">
        <v>25</v>
      </c>
      <c r="H205" s="15" t="n">
        <v>942</v>
      </c>
      <c r="I205" s="15" t="n">
        <v>3</v>
      </c>
      <c r="J205" s="15" t="n">
        <v>1</v>
      </c>
      <c r="K205" s="15" t="n">
        <v>49</v>
      </c>
      <c r="L205" s="15" t="n">
        <v>24</v>
      </c>
      <c r="M205" s="15" t="n">
        <v>121</v>
      </c>
      <c r="N205" s="15" t="n">
        <v>0</v>
      </c>
      <c r="O205" s="15" t="n">
        <v>0</v>
      </c>
      <c r="P205" s="16" t="n">
        <v>0</v>
      </c>
      <c r="Q205" s="15" t="n">
        <v>0</v>
      </c>
      <c r="R205" s="15" t="n">
        <v>0</v>
      </c>
      <c r="S205" s="17" t="n">
        <v>0</v>
      </c>
      <c r="T205" s="15" t="s">
        <v>137</v>
      </c>
      <c r="U205" s="15" t="n">
        <v>2028</v>
      </c>
      <c r="V205" s="15" t="s">
        <v>892</v>
      </c>
      <c r="W205" s="18" t="s">
        <v>139</v>
      </c>
      <c r="X205" s="18" t="s">
        <v>182</v>
      </c>
      <c r="Y205" s="15" t="s">
        <v>600</v>
      </c>
      <c r="Z205" s="15" t="s">
        <v>600</v>
      </c>
      <c r="AA205" s="19" t="str">
        <f aca="false">HYPERLINK("https://www.transfermarkt.com/schnellsuche/ergebnis/schnellsuche?query="&amp;SUBSTITUTE(A205," ","+"),"Search Transfermarkt")</f>
        <v>Search Transfermarkt</v>
      </c>
    </row>
    <row r="206" customFormat="false" ht="23.85" hidden="false" customHeight="false" outlineLevel="0" collapsed="false">
      <c r="A206" s="15" t="s">
        <v>893</v>
      </c>
      <c r="B206" s="15" t="s">
        <v>71</v>
      </c>
      <c r="C206" s="15" t="s">
        <v>174</v>
      </c>
      <c r="D206" s="15" t="n">
        <v>3</v>
      </c>
      <c r="E206" s="15" t="s">
        <v>894</v>
      </c>
      <c r="F206" s="15" t="s">
        <v>170</v>
      </c>
      <c r="G206" s="15" t="n">
        <v>23</v>
      </c>
      <c r="H206" s="15" t="n">
        <v>1815</v>
      </c>
      <c r="I206" s="15" t="n">
        <v>2</v>
      </c>
      <c r="J206" s="15" t="n">
        <v>5</v>
      </c>
      <c r="K206" s="15" t="n">
        <v>149</v>
      </c>
      <c r="L206" s="15" t="n">
        <v>95</v>
      </c>
      <c r="M206" s="15" t="n">
        <v>39</v>
      </c>
      <c r="N206" s="15" t="n">
        <v>0</v>
      </c>
      <c r="O206" s="15" t="n">
        <v>0</v>
      </c>
      <c r="P206" s="16" t="n">
        <v>0</v>
      </c>
      <c r="Q206" s="15" t="n">
        <v>0</v>
      </c>
      <c r="R206" s="15" t="n">
        <v>0</v>
      </c>
      <c r="S206" s="17" t="n">
        <v>105205</v>
      </c>
      <c r="T206" s="15" t="s">
        <v>164</v>
      </c>
      <c r="U206" s="15" t="n">
        <v>2027</v>
      </c>
      <c r="V206" s="15" t="s">
        <v>895</v>
      </c>
      <c r="W206" s="18" t="s">
        <v>139</v>
      </c>
      <c r="X206" s="18" t="s">
        <v>177</v>
      </c>
      <c r="Y206" s="15" t="s">
        <v>600</v>
      </c>
      <c r="Z206" s="15" t="s">
        <v>600</v>
      </c>
      <c r="AA206" s="19" t="str">
        <f aca="false">HYPERLINK("https://www.transfermarkt.com/schnellsuche/ergebnis/schnellsuche?query="&amp;SUBSTITUTE(A206," ","+"),"Search Transfermarkt")</f>
        <v>Search Transfermarkt</v>
      </c>
    </row>
    <row r="207" customFormat="false" ht="23.85" hidden="false" customHeight="false" outlineLevel="0" collapsed="false">
      <c r="A207" s="15" t="s">
        <v>896</v>
      </c>
      <c r="B207" s="15" t="s">
        <v>67</v>
      </c>
      <c r="C207" s="15" t="s">
        <v>381</v>
      </c>
      <c r="D207" s="15" t="n">
        <v>2</v>
      </c>
      <c r="E207" s="15" t="s">
        <v>897</v>
      </c>
      <c r="F207" s="15" t="s">
        <v>136</v>
      </c>
      <c r="G207" s="15" t="n">
        <v>23</v>
      </c>
      <c r="H207" s="15" t="n">
        <v>2573</v>
      </c>
      <c r="I207" s="15" t="n">
        <v>2</v>
      </c>
      <c r="J207" s="15" t="n">
        <v>1</v>
      </c>
      <c r="K207" s="15" t="n">
        <v>54</v>
      </c>
      <c r="L207" s="15" t="n">
        <v>39</v>
      </c>
      <c r="M207" s="15" t="n">
        <v>128</v>
      </c>
      <c r="N207" s="15" t="n">
        <v>0</v>
      </c>
      <c r="O207" s="15" t="n">
        <v>0</v>
      </c>
      <c r="P207" s="16" t="n">
        <v>0</v>
      </c>
      <c r="Q207" s="15" t="n">
        <v>0</v>
      </c>
      <c r="R207" s="15" t="n">
        <v>0</v>
      </c>
      <c r="S207" s="17" t="n">
        <v>95869</v>
      </c>
      <c r="T207" s="15" t="s">
        <v>186</v>
      </c>
      <c r="U207" s="15" t="n">
        <v>2029</v>
      </c>
      <c r="V207" s="15" t="s">
        <v>898</v>
      </c>
      <c r="W207" s="18" t="s">
        <v>188</v>
      </c>
      <c r="X207" s="18" t="s">
        <v>236</v>
      </c>
      <c r="Y207" s="15" t="s">
        <v>600</v>
      </c>
      <c r="Z207" s="15" t="s">
        <v>600</v>
      </c>
      <c r="AA207" s="19" t="str">
        <f aca="false">HYPERLINK("https://www.transfermarkt.com/schnellsuche/ergebnis/schnellsuche?query="&amp;SUBSTITUTE(A207," ","+"),"Search Transfermarkt")</f>
        <v>Search Transfermarkt</v>
      </c>
    </row>
    <row r="208" customFormat="false" ht="23.85" hidden="false" customHeight="false" outlineLevel="0" collapsed="false">
      <c r="A208" s="15" t="s">
        <v>899</v>
      </c>
      <c r="B208" s="15" t="s">
        <v>90</v>
      </c>
      <c r="C208" s="15" t="s">
        <v>900</v>
      </c>
      <c r="D208" s="15" t="n">
        <v>2</v>
      </c>
      <c r="E208" s="15" t="s">
        <v>901</v>
      </c>
      <c r="F208" s="15" t="s">
        <v>163</v>
      </c>
      <c r="G208" s="15" t="n">
        <v>26</v>
      </c>
      <c r="H208" s="15" t="n">
        <v>1128</v>
      </c>
      <c r="I208" s="15" t="n">
        <v>18</v>
      </c>
      <c r="J208" s="15" t="n">
        <v>8</v>
      </c>
      <c r="K208" s="15" t="n">
        <v>49</v>
      </c>
      <c r="L208" s="15" t="n">
        <v>58</v>
      </c>
      <c r="M208" s="15" t="n">
        <v>5</v>
      </c>
      <c r="N208" s="15" t="n">
        <v>0</v>
      </c>
      <c r="O208" s="15" t="n">
        <v>0</v>
      </c>
      <c r="P208" s="16" t="n">
        <v>0</v>
      </c>
      <c r="Q208" s="15" t="n">
        <v>0</v>
      </c>
      <c r="R208" s="15" t="n">
        <v>0</v>
      </c>
      <c r="S208" s="17" t="n">
        <v>67622</v>
      </c>
      <c r="T208" s="15" t="s">
        <v>186</v>
      </c>
      <c r="U208" s="15" t="n">
        <v>2029</v>
      </c>
      <c r="V208" s="15" t="s">
        <v>902</v>
      </c>
      <c r="W208" s="18" t="s">
        <v>188</v>
      </c>
      <c r="X208" s="18" t="s">
        <v>288</v>
      </c>
      <c r="Y208" s="15" t="s">
        <v>600</v>
      </c>
      <c r="Z208" s="15" t="s">
        <v>600</v>
      </c>
      <c r="AA208" s="19" t="str">
        <f aca="false">HYPERLINK("https://www.transfermarkt.com/schnellsuche/ergebnis/schnellsuche?query="&amp;SUBSTITUTE(A208," ","+"),"Search Transfermarkt")</f>
        <v>Search Transfermarkt</v>
      </c>
    </row>
    <row r="209" customFormat="false" ht="23.85" hidden="false" customHeight="false" outlineLevel="0" collapsed="false">
      <c r="A209" s="15" t="s">
        <v>903</v>
      </c>
      <c r="B209" s="15" t="s">
        <v>106</v>
      </c>
      <c r="C209" s="15" t="s">
        <v>841</v>
      </c>
      <c r="D209" s="15" t="n">
        <v>2</v>
      </c>
      <c r="E209" s="15" t="s">
        <v>904</v>
      </c>
      <c r="F209" s="15" t="s">
        <v>163</v>
      </c>
      <c r="G209" s="15" t="n">
        <v>17</v>
      </c>
      <c r="H209" s="15" t="n">
        <v>1572</v>
      </c>
      <c r="I209" s="15" t="n">
        <v>13</v>
      </c>
      <c r="J209" s="15" t="n">
        <v>7</v>
      </c>
      <c r="K209" s="15" t="n">
        <v>61</v>
      </c>
      <c r="L209" s="15" t="n">
        <v>94</v>
      </c>
      <c r="M209" s="15" t="n">
        <v>14</v>
      </c>
      <c r="N209" s="15" t="n">
        <v>0</v>
      </c>
      <c r="O209" s="15" t="n">
        <v>0</v>
      </c>
      <c r="P209" s="16" t="n">
        <v>0</v>
      </c>
      <c r="Q209" s="15" t="n">
        <v>0</v>
      </c>
      <c r="R209" s="15" t="n">
        <v>0</v>
      </c>
      <c r="S209" s="17" t="n">
        <v>122361</v>
      </c>
      <c r="T209" s="15" t="s">
        <v>164</v>
      </c>
      <c r="U209" s="15" t="n">
        <v>2029</v>
      </c>
      <c r="V209" s="15" t="s">
        <v>905</v>
      </c>
      <c r="W209" s="18" t="s">
        <v>147</v>
      </c>
      <c r="X209" s="18" t="s">
        <v>283</v>
      </c>
      <c r="Y209" s="15" t="s">
        <v>600</v>
      </c>
      <c r="Z209" s="15" t="s">
        <v>600</v>
      </c>
      <c r="AA209" s="19" t="str">
        <f aca="false">HYPERLINK("https://www.transfermarkt.com/schnellsuche/ergebnis/schnellsuche?query="&amp;SUBSTITUTE(A209," ","+"),"Search Transfermarkt")</f>
        <v>Search Transfermarkt</v>
      </c>
    </row>
    <row r="210" customFormat="false" ht="23.85" hidden="false" customHeight="false" outlineLevel="0" collapsed="false">
      <c r="A210" s="15" t="s">
        <v>906</v>
      </c>
      <c r="B210" s="15" t="s">
        <v>82</v>
      </c>
      <c r="C210" s="15" t="s">
        <v>644</v>
      </c>
      <c r="D210" s="15" t="n">
        <v>3</v>
      </c>
      <c r="E210" s="15" t="s">
        <v>907</v>
      </c>
      <c r="F210" s="15" t="s">
        <v>170</v>
      </c>
      <c r="G210" s="15" t="n">
        <v>21</v>
      </c>
      <c r="H210" s="15" t="n">
        <v>2353</v>
      </c>
      <c r="I210" s="15" t="n">
        <v>3</v>
      </c>
      <c r="J210" s="15" t="n">
        <v>12</v>
      </c>
      <c r="K210" s="15" t="n">
        <v>131</v>
      </c>
      <c r="L210" s="15" t="n">
        <v>53</v>
      </c>
      <c r="M210" s="15" t="n">
        <v>48</v>
      </c>
      <c r="N210" s="15" t="n">
        <v>0</v>
      </c>
      <c r="O210" s="15" t="n">
        <v>0</v>
      </c>
      <c r="P210" s="16" t="n">
        <v>0</v>
      </c>
      <c r="Q210" s="15" t="n">
        <v>0</v>
      </c>
      <c r="R210" s="15" t="n">
        <v>0</v>
      </c>
      <c r="S210" s="17" t="n">
        <v>9609</v>
      </c>
      <c r="T210" s="15" t="s">
        <v>137</v>
      </c>
      <c r="U210" s="15" t="n">
        <v>2027</v>
      </c>
      <c r="V210" s="15" t="s">
        <v>908</v>
      </c>
      <c r="W210" s="18" t="s">
        <v>139</v>
      </c>
      <c r="X210" s="18" t="s">
        <v>166</v>
      </c>
      <c r="Y210" s="15" t="s">
        <v>600</v>
      </c>
      <c r="Z210" s="15" t="s">
        <v>600</v>
      </c>
      <c r="AA210" s="19" t="str">
        <f aca="false">HYPERLINK("https://www.transfermarkt.com/schnellsuche/ergebnis/schnellsuche?query="&amp;SUBSTITUTE(A210," ","+"),"Search Transfermarkt")</f>
        <v>Search Transfermarkt</v>
      </c>
    </row>
    <row r="211" customFormat="false" ht="23.85" hidden="false" customHeight="false" outlineLevel="0" collapsed="false">
      <c r="A211" s="15" t="s">
        <v>909</v>
      </c>
      <c r="B211" s="15" t="s">
        <v>62</v>
      </c>
      <c r="C211" s="15" t="s">
        <v>910</v>
      </c>
      <c r="D211" s="15" t="n">
        <v>2</v>
      </c>
      <c r="E211" s="15" t="s">
        <v>911</v>
      </c>
      <c r="F211" s="15" t="s">
        <v>136</v>
      </c>
      <c r="G211" s="15" t="n">
        <v>17</v>
      </c>
      <c r="H211" s="15" t="n">
        <v>1861</v>
      </c>
      <c r="I211" s="15" t="n">
        <v>1</v>
      </c>
      <c r="J211" s="15" t="n">
        <v>2</v>
      </c>
      <c r="K211" s="15" t="n">
        <v>70</v>
      </c>
      <c r="L211" s="15" t="n">
        <v>20</v>
      </c>
      <c r="M211" s="15" t="n">
        <v>99</v>
      </c>
      <c r="N211" s="15" t="n">
        <v>0</v>
      </c>
      <c r="O211" s="15" t="n">
        <v>0</v>
      </c>
      <c r="P211" s="16" t="n">
        <v>0</v>
      </c>
      <c r="Q211" s="15" t="n">
        <v>0</v>
      </c>
      <c r="R211" s="15" t="n">
        <v>0</v>
      </c>
      <c r="S211" s="17" t="n">
        <v>0</v>
      </c>
      <c r="T211" s="15" t="s">
        <v>137</v>
      </c>
      <c r="U211" s="15" t="n">
        <v>2029</v>
      </c>
      <c r="V211" s="15" t="s">
        <v>912</v>
      </c>
      <c r="W211" s="18" t="s">
        <v>147</v>
      </c>
      <c r="X211" s="18" t="s">
        <v>211</v>
      </c>
      <c r="Y211" s="15" t="s">
        <v>600</v>
      </c>
      <c r="Z211" s="15" t="s">
        <v>600</v>
      </c>
      <c r="AA211" s="19" t="str">
        <f aca="false">HYPERLINK("https://www.transfermarkt.com/schnellsuche/ergebnis/schnellsuche?query="&amp;SUBSTITUTE(A211," ","+"),"Search Transfermarkt")</f>
        <v>Search Transfermarkt</v>
      </c>
    </row>
    <row r="212" customFormat="false" ht="23.85" hidden="false" customHeight="false" outlineLevel="0" collapsed="false">
      <c r="A212" s="15" t="s">
        <v>913</v>
      </c>
      <c r="B212" s="15" t="s">
        <v>75</v>
      </c>
      <c r="C212" s="15" t="s">
        <v>914</v>
      </c>
      <c r="D212" s="15" t="n">
        <v>4</v>
      </c>
      <c r="E212" s="15" t="s">
        <v>915</v>
      </c>
      <c r="F212" s="15" t="s">
        <v>136</v>
      </c>
      <c r="G212" s="15" t="n">
        <v>20</v>
      </c>
      <c r="H212" s="15" t="n">
        <v>1193</v>
      </c>
      <c r="I212" s="15" t="n">
        <v>2</v>
      </c>
      <c r="J212" s="15" t="n">
        <v>4</v>
      </c>
      <c r="K212" s="15" t="n">
        <v>68</v>
      </c>
      <c r="L212" s="15" t="n">
        <v>34</v>
      </c>
      <c r="M212" s="15" t="n">
        <v>90</v>
      </c>
      <c r="N212" s="15" t="n">
        <v>0</v>
      </c>
      <c r="O212" s="15" t="n">
        <v>0</v>
      </c>
      <c r="P212" s="16" t="n">
        <v>0</v>
      </c>
      <c r="Q212" s="15" t="n">
        <v>0</v>
      </c>
      <c r="R212" s="15" t="n">
        <v>0</v>
      </c>
      <c r="S212" s="17" t="n">
        <v>75925</v>
      </c>
      <c r="T212" s="15" t="s">
        <v>137</v>
      </c>
      <c r="U212" s="15" t="n">
        <v>2029</v>
      </c>
      <c r="V212" s="15" t="s">
        <v>916</v>
      </c>
      <c r="W212" s="18" t="s">
        <v>139</v>
      </c>
      <c r="X212" s="18" t="s">
        <v>197</v>
      </c>
      <c r="Y212" s="15" t="s">
        <v>600</v>
      </c>
      <c r="Z212" s="15" t="s">
        <v>600</v>
      </c>
      <c r="AA212" s="19" t="str">
        <f aca="false">HYPERLINK("https://www.transfermarkt.com/schnellsuche/ergebnis/schnellsuche?query="&amp;SUBSTITUTE(A212," ","+"),"Search Transfermarkt")</f>
        <v>Search Transfermarkt</v>
      </c>
    </row>
    <row r="213" customFormat="false" ht="23.85" hidden="false" customHeight="false" outlineLevel="0" collapsed="false">
      <c r="A213" s="15" t="s">
        <v>917</v>
      </c>
      <c r="B213" s="15" t="s">
        <v>71</v>
      </c>
      <c r="C213" s="15" t="s">
        <v>360</v>
      </c>
      <c r="D213" s="15" t="n">
        <v>2</v>
      </c>
      <c r="E213" s="15" t="s">
        <v>894</v>
      </c>
      <c r="F213" s="15" t="s">
        <v>136</v>
      </c>
      <c r="G213" s="15" t="n">
        <v>17</v>
      </c>
      <c r="H213" s="15" t="n">
        <v>2074</v>
      </c>
      <c r="I213" s="15" t="n">
        <v>3</v>
      </c>
      <c r="J213" s="15" t="n">
        <v>2</v>
      </c>
      <c r="K213" s="15" t="n">
        <v>39</v>
      </c>
      <c r="L213" s="15" t="n">
        <v>22</v>
      </c>
      <c r="M213" s="15" t="n">
        <v>115</v>
      </c>
      <c r="N213" s="15" t="n">
        <v>0</v>
      </c>
      <c r="O213" s="15" t="n">
        <v>0</v>
      </c>
      <c r="P213" s="16" t="n">
        <v>0</v>
      </c>
      <c r="Q213" s="15" t="n">
        <v>0</v>
      </c>
      <c r="R213" s="15" t="n">
        <v>0</v>
      </c>
      <c r="S213" s="17" t="n">
        <v>74353</v>
      </c>
      <c r="T213" s="15" t="s">
        <v>164</v>
      </c>
      <c r="U213" s="15" t="n">
        <v>2028</v>
      </c>
      <c r="V213" s="15" t="s">
        <v>895</v>
      </c>
      <c r="W213" s="18" t="s">
        <v>147</v>
      </c>
      <c r="X213" s="18" t="s">
        <v>177</v>
      </c>
      <c r="Y213" s="15" t="s">
        <v>600</v>
      </c>
      <c r="Z213" s="15" t="s">
        <v>600</v>
      </c>
      <c r="AA213" s="19" t="str">
        <f aca="false">HYPERLINK("https://www.transfermarkt.com/schnellsuche/ergebnis/schnellsuche?query="&amp;SUBSTITUTE(A213," ","+"),"Search Transfermarkt")</f>
        <v>Search Transfermarkt</v>
      </c>
    </row>
    <row r="214" customFormat="false" ht="23.85" hidden="false" customHeight="false" outlineLevel="0" collapsed="false">
      <c r="A214" s="15" t="s">
        <v>918</v>
      </c>
      <c r="B214" s="15" t="s">
        <v>89</v>
      </c>
      <c r="C214" s="15" t="s">
        <v>293</v>
      </c>
      <c r="D214" s="15" t="n">
        <v>2</v>
      </c>
      <c r="E214" s="15" t="s">
        <v>919</v>
      </c>
      <c r="F214" s="15" t="s">
        <v>170</v>
      </c>
      <c r="G214" s="15" t="n">
        <v>19</v>
      </c>
      <c r="H214" s="15" t="n">
        <v>1813</v>
      </c>
      <c r="I214" s="15" t="n">
        <v>4</v>
      </c>
      <c r="J214" s="15" t="n">
        <v>14</v>
      </c>
      <c r="K214" s="15" t="n">
        <v>130</v>
      </c>
      <c r="L214" s="15" t="n">
        <v>67</v>
      </c>
      <c r="M214" s="15" t="n">
        <v>55</v>
      </c>
      <c r="N214" s="15" t="n">
        <v>0</v>
      </c>
      <c r="O214" s="15" t="n">
        <v>0</v>
      </c>
      <c r="P214" s="16" t="n">
        <v>0</v>
      </c>
      <c r="Q214" s="15" t="n">
        <v>0</v>
      </c>
      <c r="R214" s="15" t="n">
        <v>0</v>
      </c>
      <c r="S214" s="17" t="n">
        <v>47166</v>
      </c>
      <c r="T214" s="15" t="s">
        <v>164</v>
      </c>
      <c r="U214" s="15" t="n">
        <v>2029</v>
      </c>
      <c r="V214" s="15" t="s">
        <v>920</v>
      </c>
      <c r="W214" s="18" t="s">
        <v>139</v>
      </c>
      <c r="X214" s="18" t="s">
        <v>206</v>
      </c>
      <c r="Y214" s="15" t="s">
        <v>600</v>
      </c>
      <c r="Z214" s="15" t="s">
        <v>600</v>
      </c>
      <c r="AA214" s="19" t="str">
        <f aca="false">HYPERLINK("https://www.transfermarkt.com/schnellsuche/ergebnis/schnellsuche?query="&amp;SUBSTITUTE(A214," ","+"),"Search Transfermarkt")</f>
        <v>Search Transfermarkt</v>
      </c>
    </row>
    <row r="215" customFormat="false" ht="23.85" hidden="false" customHeight="false" outlineLevel="0" collapsed="false">
      <c r="A215" s="15" t="s">
        <v>921</v>
      </c>
      <c r="B215" s="15" t="s">
        <v>102</v>
      </c>
      <c r="C215" s="15" t="s">
        <v>922</v>
      </c>
      <c r="D215" s="15" t="n">
        <v>2</v>
      </c>
      <c r="E215" s="15" t="s">
        <v>923</v>
      </c>
      <c r="F215" s="15" t="s">
        <v>170</v>
      </c>
      <c r="G215" s="15" t="n">
        <v>19</v>
      </c>
      <c r="H215" s="15" t="n">
        <v>1729</v>
      </c>
      <c r="I215" s="15" t="n">
        <v>6</v>
      </c>
      <c r="J215" s="15" t="n">
        <v>13</v>
      </c>
      <c r="K215" s="15" t="n">
        <v>141</v>
      </c>
      <c r="L215" s="15" t="n">
        <v>64</v>
      </c>
      <c r="M215" s="15" t="n">
        <v>48</v>
      </c>
      <c r="N215" s="15" t="n">
        <v>0</v>
      </c>
      <c r="O215" s="15" t="n">
        <v>0</v>
      </c>
      <c r="P215" s="16" t="n">
        <v>0</v>
      </c>
      <c r="Q215" s="15" t="n">
        <v>0</v>
      </c>
      <c r="R215" s="15" t="n">
        <v>0</v>
      </c>
      <c r="S215" s="17" t="n">
        <v>50169</v>
      </c>
      <c r="T215" s="15" t="s">
        <v>137</v>
      </c>
      <c r="U215" s="15" t="n">
        <v>2029</v>
      </c>
      <c r="V215" s="15" t="s">
        <v>924</v>
      </c>
      <c r="W215" s="18" t="s">
        <v>139</v>
      </c>
      <c r="X215" s="18" t="s">
        <v>453</v>
      </c>
      <c r="Y215" s="15" t="s">
        <v>600</v>
      </c>
      <c r="Z215" s="15" t="s">
        <v>600</v>
      </c>
      <c r="AA215" s="19" t="str">
        <f aca="false">HYPERLINK("https://www.transfermarkt.com/schnellsuche/ergebnis/schnellsuche?query="&amp;SUBSTITUTE(A215," ","+"),"Search Transfermarkt")</f>
        <v>Search Transfermarkt</v>
      </c>
    </row>
    <row r="216" customFormat="false" ht="23.85" hidden="false" customHeight="false" outlineLevel="0" collapsed="false">
      <c r="A216" s="15" t="s">
        <v>925</v>
      </c>
      <c r="B216" s="15" t="s">
        <v>99</v>
      </c>
      <c r="C216" s="15" t="s">
        <v>926</v>
      </c>
      <c r="D216" s="15" t="n">
        <v>3</v>
      </c>
      <c r="E216" s="15" t="s">
        <v>927</v>
      </c>
      <c r="F216" s="15" t="s">
        <v>170</v>
      </c>
      <c r="G216" s="15" t="n">
        <v>23</v>
      </c>
      <c r="H216" s="15" t="n">
        <v>1229</v>
      </c>
      <c r="I216" s="15" t="n">
        <v>2</v>
      </c>
      <c r="J216" s="15" t="n">
        <v>5</v>
      </c>
      <c r="K216" s="15" t="n">
        <v>151</v>
      </c>
      <c r="L216" s="15" t="n">
        <v>72</v>
      </c>
      <c r="M216" s="15" t="n">
        <v>30</v>
      </c>
      <c r="N216" s="15" t="n">
        <v>0</v>
      </c>
      <c r="O216" s="15" t="n">
        <v>0</v>
      </c>
      <c r="P216" s="16" t="n">
        <v>0</v>
      </c>
      <c r="Q216" s="15" t="n">
        <v>0</v>
      </c>
      <c r="R216" s="15" t="n">
        <v>0</v>
      </c>
      <c r="S216" s="17" t="n">
        <v>70356</v>
      </c>
      <c r="T216" s="15" t="s">
        <v>186</v>
      </c>
      <c r="U216" s="15" t="n">
        <v>2027</v>
      </c>
      <c r="V216" s="15" t="s">
        <v>928</v>
      </c>
      <c r="W216" s="18" t="s">
        <v>188</v>
      </c>
      <c r="X216" s="18" t="s">
        <v>189</v>
      </c>
      <c r="Y216" s="15" t="s">
        <v>600</v>
      </c>
      <c r="Z216" s="15" t="s">
        <v>600</v>
      </c>
      <c r="AA216" s="19" t="str">
        <f aca="false">HYPERLINK("https://www.transfermarkt.com/schnellsuche/ergebnis/schnellsuche?query="&amp;SUBSTITUTE(A216," ","+"),"Search Transfermarkt")</f>
        <v>Search Transfermarkt</v>
      </c>
    </row>
    <row r="217" customFormat="false" ht="23.85" hidden="false" customHeight="false" outlineLevel="0" collapsed="false">
      <c r="A217" s="15" t="s">
        <v>929</v>
      </c>
      <c r="B217" s="15" t="s">
        <v>83</v>
      </c>
      <c r="C217" s="15" t="s">
        <v>400</v>
      </c>
      <c r="D217" s="15" t="n">
        <v>4</v>
      </c>
      <c r="E217" s="15" t="s">
        <v>930</v>
      </c>
      <c r="F217" s="15" t="s">
        <v>170</v>
      </c>
      <c r="G217" s="15" t="n">
        <v>25</v>
      </c>
      <c r="H217" s="15" t="n">
        <v>1060</v>
      </c>
      <c r="I217" s="15" t="n">
        <v>7</v>
      </c>
      <c r="J217" s="15" t="n">
        <v>5</v>
      </c>
      <c r="K217" s="15" t="n">
        <v>123</v>
      </c>
      <c r="L217" s="15" t="n">
        <v>57</v>
      </c>
      <c r="M217" s="15" t="n">
        <v>29</v>
      </c>
      <c r="N217" s="15" t="n">
        <v>0</v>
      </c>
      <c r="O217" s="15" t="n">
        <v>0</v>
      </c>
      <c r="P217" s="16" t="n">
        <v>0</v>
      </c>
      <c r="Q217" s="15" t="n">
        <v>0</v>
      </c>
      <c r="R217" s="15" t="n">
        <v>0</v>
      </c>
      <c r="S217" s="17" t="n">
        <v>122541</v>
      </c>
      <c r="T217" s="15" t="s">
        <v>137</v>
      </c>
      <c r="U217" s="15" t="n">
        <v>2028</v>
      </c>
      <c r="V217" s="15" t="s">
        <v>931</v>
      </c>
      <c r="W217" s="18" t="s">
        <v>139</v>
      </c>
      <c r="X217" s="18" t="s">
        <v>379</v>
      </c>
      <c r="Y217" s="15" t="s">
        <v>600</v>
      </c>
      <c r="Z217" s="15" t="s">
        <v>600</v>
      </c>
      <c r="AA217" s="19" t="str">
        <f aca="false">HYPERLINK("https://www.transfermarkt.com/schnellsuche/ergebnis/schnellsuche?query="&amp;SUBSTITUTE(A217," ","+"),"Search Transfermarkt")</f>
        <v>Search Transfermarkt</v>
      </c>
    </row>
    <row r="218" customFormat="false" ht="23.85" hidden="false" customHeight="false" outlineLevel="0" collapsed="false">
      <c r="A218" s="15" t="s">
        <v>932</v>
      </c>
      <c r="B218" s="15" t="s">
        <v>79</v>
      </c>
      <c r="C218" s="15" t="s">
        <v>730</v>
      </c>
      <c r="D218" s="15" t="n">
        <v>2</v>
      </c>
      <c r="E218" s="15" t="s">
        <v>933</v>
      </c>
      <c r="F218" s="15" t="s">
        <v>170</v>
      </c>
      <c r="G218" s="15" t="n">
        <v>25</v>
      </c>
      <c r="H218" s="15" t="n">
        <v>1806</v>
      </c>
      <c r="I218" s="15" t="n">
        <v>2</v>
      </c>
      <c r="J218" s="15" t="n">
        <v>12</v>
      </c>
      <c r="K218" s="15" t="n">
        <v>109</v>
      </c>
      <c r="L218" s="15" t="n">
        <v>71</v>
      </c>
      <c r="M218" s="15" t="n">
        <v>57</v>
      </c>
      <c r="N218" s="15" t="n">
        <v>0</v>
      </c>
      <c r="O218" s="15" t="n">
        <v>0</v>
      </c>
      <c r="P218" s="16" t="n">
        <v>0</v>
      </c>
      <c r="Q218" s="15" t="n">
        <v>0</v>
      </c>
      <c r="R218" s="15" t="n">
        <v>0</v>
      </c>
      <c r="S218" s="17" t="n">
        <v>122184</v>
      </c>
      <c r="T218" s="15" t="s">
        <v>137</v>
      </c>
      <c r="U218" s="15" t="n">
        <v>2026</v>
      </c>
      <c r="V218" s="15" t="s">
        <v>934</v>
      </c>
      <c r="W218" s="18" t="s">
        <v>139</v>
      </c>
      <c r="X218" s="18" t="s">
        <v>412</v>
      </c>
      <c r="Y218" s="15" t="s">
        <v>600</v>
      </c>
      <c r="Z218" s="15" t="s">
        <v>600</v>
      </c>
      <c r="AA218" s="19" t="str">
        <f aca="false">HYPERLINK("https://www.transfermarkt.com/schnellsuche/ergebnis/schnellsuche?query="&amp;SUBSTITUTE(A218," ","+"),"Search Transfermarkt")</f>
        <v>Search Transfermarkt</v>
      </c>
    </row>
    <row r="219" customFormat="false" ht="23.85" hidden="false" customHeight="false" outlineLevel="0" collapsed="false">
      <c r="A219" s="15" t="s">
        <v>935</v>
      </c>
      <c r="B219" s="15" t="s">
        <v>94</v>
      </c>
      <c r="C219" s="15" t="s">
        <v>594</v>
      </c>
      <c r="D219" s="15" t="n">
        <v>3</v>
      </c>
      <c r="E219" s="15" t="s">
        <v>936</v>
      </c>
      <c r="F219" s="15" t="s">
        <v>163</v>
      </c>
      <c r="G219" s="15" t="n">
        <v>23</v>
      </c>
      <c r="H219" s="15" t="n">
        <v>2058</v>
      </c>
      <c r="I219" s="15" t="n">
        <v>16</v>
      </c>
      <c r="J219" s="15" t="n">
        <v>8</v>
      </c>
      <c r="K219" s="15" t="n">
        <v>67</v>
      </c>
      <c r="L219" s="15" t="n">
        <v>98</v>
      </c>
      <c r="M219" s="15" t="n">
        <v>16</v>
      </c>
      <c r="N219" s="15" t="n">
        <v>0</v>
      </c>
      <c r="O219" s="15" t="n">
        <v>0</v>
      </c>
      <c r="P219" s="16" t="n">
        <v>0</v>
      </c>
      <c r="Q219" s="15" t="n">
        <v>0</v>
      </c>
      <c r="R219" s="15" t="n">
        <v>0</v>
      </c>
      <c r="S219" s="17" t="n">
        <v>39347</v>
      </c>
      <c r="T219" s="15" t="s">
        <v>137</v>
      </c>
      <c r="U219" s="15" t="n">
        <v>2029</v>
      </c>
      <c r="V219" s="15" t="s">
        <v>937</v>
      </c>
      <c r="W219" s="18" t="s">
        <v>139</v>
      </c>
      <c r="X219" s="18" t="s">
        <v>226</v>
      </c>
      <c r="Y219" s="15" t="s">
        <v>600</v>
      </c>
      <c r="Z219" s="15" t="s">
        <v>600</v>
      </c>
      <c r="AA219" s="19" t="str">
        <f aca="false">HYPERLINK("https://www.transfermarkt.com/schnellsuche/ergebnis/schnellsuche?query="&amp;SUBSTITUTE(A219," ","+"),"Search Transfermarkt")</f>
        <v>Search Transfermarkt</v>
      </c>
    </row>
    <row r="220" customFormat="false" ht="23.85" hidden="false" customHeight="false" outlineLevel="0" collapsed="false">
      <c r="A220" s="15" t="s">
        <v>938</v>
      </c>
      <c r="B220" s="15" t="s">
        <v>62</v>
      </c>
      <c r="C220" s="15" t="s">
        <v>939</v>
      </c>
      <c r="D220" s="15" t="n">
        <v>2</v>
      </c>
      <c r="E220" s="15" t="s">
        <v>940</v>
      </c>
      <c r="F220" s="15" t="s">
        <v>170</v>
      </c>
      <c r="G220" s="15" t="n">
        <v>26</v>
      </c>
      <c r="H220" s="15" t="n">
        <v>2419</v>
      </c>
      <c r="I220" s="15" t="n">
        <v>1</v>
      </c>
      <c r="J220" s="15" t="n">
        <v>8</v>
      </c>
      <c r="K220" s="15" t="n">
        <v>123</v>
      </c>
      <c r="L220" s="15" t="n">
        <v>79</v>
      </c>
      <c r="M220" s="15" t="n">
        <v>56</v>
      </c>
      <c r="N220" s="15" t="n">
        <v>0</v>
      </c>
      <c r="O220" s="15" t="n">
        <v>0</v>
      </c>
      <c r="P220" s="16" t="n">
        <v>0</v>
      </c>
      <c r="Q220" s="15" t="n">
        <v>0</v>
      </c>
      <c r="R220" s="15" t="n">
        <v>0</v>
      </c>
      <c r="S220" s="17" t="n">
        <v>122820</v>
      </c>
      <c r="T220" s="15" t="s">
        <v>186</v>
      </c>
      <c r="U220" s="15" t="n">
        <v>2028</v>
      </c>
      <c r="V220" s="15" t="s">
        <v>941</v>
      </c>
      <c r="W220" s="18" t="s">
        <v>188</v>
      </c>
      <c r="X220" s="18" t="s">
        <v>211</v>
      </c>
      <c r="Y220" s="15" t="s">
        <v>600</v>
      </c>
      <c r="Z220" s="15" t="s">
        <v>600</v>
      </c>
      <c r="AA220" s="19" t="str">
        <f aca="false">HYPERLINK("https://www.transfermarkt.com/schnellsuche/ergebnis/schnellsuche?query="&amp;SUBSTITUTE(A220," ","+"),"Search Transfermarkt")</f>
        <v>Search Transfermarkt</v>
      </c>
    </row>
    <row r="221" customFormat="false" ht="23.85" hidden="false" customHeight="false" outlineLevel="0" collapsed="false">
      <c r="A221" s="15" t="s">
        <v>942</v>
      </c>
      <c r="B221" s="15" t="s">
        <v>83</v>
      </c>
      <c r="C221" s="15" t="s">
        <v>943</v>
      </c>
      <c r="D221" s="15" t="n">
        <v>2</v>
      </c>
      <c r="E221" s="15" t="s">
        <v>944</v>
      </c>
      <c r="F221" s="15" t="s">
        <v>163</v>
      </c>
      <c r="G221" s="15" t="n">
        <v>18</v>
      </c>
      <c r="H221" s="15" t="n">
        <v>1864</v>
      </c>
      <c r="I221" s="15" t="n">
        <v>19</v>
      </c>
      <c r="J221" s="15" t="n">
        <v>3</v>
      </c>
      <c r="K221" s="15" t="n">
        <v>63</v>
      </c>
      <c r="L221" s="15" t="n">
        <v>62</v>
      </c>
      <c r="M221" s="15" t="n">
        <v>7</v>
      </c>
      <c r="N221" s="15" t="n">
        <v>0</v>
      </c>
      <c r="O221" s="15" t="n">
        <v>0</v>
      </c>
      <c r="P221" s="16" t="n">
        <v>0</v>
      </c>
      <c r="Q221" s="15" t="n">
        <v>0</v>
      </c>
      <c r="R221" s="15" t="n">
        <v>0</v>
      </c>
      <c r="S221" s="17" t="n">
        <v>0</v>
      </c>
      <c r="T221" s="15" t="s">
        <v>186</v>
      </c>
      <c r="U221" s="15" t="n">
        <v>2029</v>
      </c>
      <c r="V221" s="15" t="s">
        <v>945</v>
      </c>
      <c r="W221" s="18" t="s">
        <v>188</v>
      </c>
      <c r="X221" s="18" t="s">
        <v>379</v>
      </c>
      <c r="Y221" s="15" t="s">
        <v>600</v>
      </c>
      <c r="Z221" s="15" t="s">
        <v>600</v>
      </c>
      <c r="AA221" s="19" t="str">
        <f aca="false">HYPERLINK("https://www.transfermarkt.com/schnellsuche/ergebnis/schnellsuche?query="&amp;SUBSTITUTE(A221," ","+"),"Search Transfermarkt")</f>
        <v>Search Transfermarkt</v>
      </c>
    </row>
    <row r="222" customFormat="false" ht="23.85" hidden="false" customHeight="false" outlineLevel="0" collapsed="false">
      <c r="A222" s="15" t="s">
        <v>946</v>
      </c>
      <c r="B222" s="15" t="s">
        <v>87</v>
      </c>
      <c r="C222" s="15" t="s">
        <v>947</v>
      </c>
      <c r="D222" s="15" t="n">
        <v>2</v>
      </c>
      <c r="E222" s="15" t="s">
        <v>948</v>
      </c>
      <c r="F222" s="15" t="s">
        <v>170</v>
      </c>
      <c r="G222" s="15" t="n">
        <v>26</v>
      </c>
      <c r="H222" s="15" t="n">
        <v>1092</v>
      </c>
      <c r="I222" s="15" t="n">
        <v>2</v>
      </c>
      <c r="J222" s="15" t="n">
        <v>13</v>
      </c>
      <c r="K222" s="15" t="n">
        <v>175</v>
      </c>
      <c r="L222" s="15" t="n">
        <v>81</v>
      </c>
      <c r="M222" s="15" t="n">
        <v>38</v>
      </c>
      <c r="N222" s="15" t="n">
        <v>0</v>
      </c>
      <c r="O222" s="15" t="n">
        <v>0</v>
      </c>
      <c r="P222" s="16" t="n">
        <v>0</v>
      </c>
      <c r="Q222" s="15" t="n">
        <v>0</v>
      </c>
      <c r="R222" s="15" t="n">
        <v>0</v>
      </c>
      <c r="S222" s="17" t="n">
        <v>0</v>
      </c>
      <c r="T222" s="15" t="s">
        <v>186</v>
      </c>
      <c r="U222" s="15" t="n">
        <v>2029</v>
      </c>
      <c r="V222" s="15" t="s">
        <v>949</v>
      </c>
      <c r="W222" s="18" t="s">
        <v>188</v>
      </c>
      <c r="X222" s="18" t="s">
        <v>341</v>
      </c>
      <c r="Y222" s="15" t="s">
        <v>600</v>
      </c>
      <c r="Z222" s="15" t="s">
        <v>600</v>
      </c>
      <c r="AA222" s="19" t="str">
        <f aca="false">HYPERLINK("https://www.transfermarkt.com/schnellsuche/ergebnis/schnellsuche?query="&amp;SUBSTITUTE(A222," ","+"),"Search Transfermarkt")</f>
        <v>Search Transfermarkt</v>
      </c>
    </row>
    <row r="223" customFormat="false" ht="23.85" hidden="false" customHeight="false" outlineLevel="0" collapsed="false">
      <c r="A223" s="15" t="s">
        <v>950</v>
      </c>
      <c r="B223" s="15" t="s">
        <v>98</v>
      </c>
      <c r="C223" s="15" t="s">
        <v>462</v>
      </c>
      <c r="D223" s="15" t="n">
        <v>4</v>
      </c>
      <c r="E223" s="15" t="s">
        <v>951</v>
      </c>
      <c r="F223" s="15" t="s">
        <v>136</v>
      </c>
      <c r="G223" s="15" t="n">
        <v>22</v>
      </c>
      <c r="H223" s="15" t="n">
        <v>1699</v>
      </c>
      <c r="I223" s="15" t="n">
        <v>3</v>
      </c>
      <c r="J223" s="15" t="n">
        <v>0</v>
      </c>
      <c r="K223" s="15" t="n">
        <v>71</v>
      </c>
      <c r="L223" s="15" t="n">
        <v>22</v>
      </c>
      <c r="M223" s="15" t="n">
        <v>95</v>
      </c>
      <c r="N223" s="15" t="n">
        <v>0</v>
      </c>
      <c r="O223" s="15" t="n">
        <v>0</v>
      </c>
      <c r="P223" s="16" t="n">
        <v>0</v>
      </c>
      <c r="Q223" s="15" t="n">
        <v>0</v>
      </c>
      <c r="R223" s="15" t="n">
        <v>0</v>
      </c>
      <c r="S223" s="17" t="n">
        <v>24030</v>
      </c>
      <c r="T223" s="15" t="s">
        <v>137</v>
      </c>
      <c r="U223" s="15" t="n">
        <v>2029</v>
      </c>
      <c r="V223" s="15" t="s">
        <v>952</v>
      </c>
      <c r="W223" s="18" t="s">
        <v>139</v>
      </c>
      <c r="X223" s="18" t="s">
        <v>148</v>
      </c>
      <c r="Y223" s="15" t="s">
        <v>600</v>
      </c>
      <c r="Z223" s="15" t="s">
        <v>600</v>
      </c>
      <c r="AA223" s="19" t="str">
        <f aca="false">HYPERLINK("https://www.transfermarkt.com/schnellsuche/ergebnis/schnellsuche?query="&amp;SUBSTITUTE(A223," ","+"),"Search Transfermarkt")</f>
        <v>Search Transfermarkt</v>
      </c>
    </row>
    <row r="224" customFormat="false" ht="23.85" hidden="false" customHeight="false" outlineLevel="0" collapsed="false">
      <c r="A224" s="15" t="s">
        <v>953</v>
      </c>
      <c r="B224" s="15" t="s">
        <v>68</v>
      </c>
      <c r="C224" s="15" t="s">
        <v>954</v>
      </c>
      <c r="D224" s="15" t="n">
        <v>3</v>
      </c>
      <c r="E224" s="15" t="s">
        <v>955</v>
      </c>
      <c r="F224" s="15" t="s">
        <v>136</v>
      </c>
      <c r="G224" s="15" t="n">
        <v>18</v>
      </c>
      <c r="H224" s="15" t="n">
        <v>1023</v>
      </c>
      <c r="I224" s="15" t="n">
        <v>3</v>
      </c>
      <c r="J224" s="15" t="n">
        <v>1</v>
      </c>
      <c r="K224" s="15" t="n">
        <v>43</v>
      </c>
      <c r="L224" s="15" t="n">
        <v>31</v>
      </c>
      <c r="M224" s="15" t="n">
        <v>101</v>
      </c>
      <c r="N224" s="15" t="n">
        <v>0</v>
      </c>
      <c r="O224" s="15" t="n">
        <v>0</v>
      </c>
      <c r="P224" s="16" t="n">
        <v>0</v>
      </c>
      <c r="Q224" s="15" t="n">
        <v>0</v>
      </c>
      <c r="R224" s="15" t="n">
        <v>0</v>
      </c>
      <c r="S224" s="17" t="n">
        <v>38953</v>
      </c>
      <c r="T224" s="15" t="s">
        <v>186</v>
      </c>
      <c r="U224" s="15" t="n">
        <v>2027</v>
      </c>
      <c r="V224" s="15" t="s">
        <v>956</v>
      </c>
      <c r="W224" s="18" t="s">
        <v>188</v>
      </c>
      <c r="X224" s="18" t="s">
        <v>153</v>
      </c>
      <c r="Y224" s="15" t="s">
        <v>600</v>
      </c>
      <c r="Z224" s="15" t="s">
        <v>600</v>
      </c>
      <c r="AA224" s="19" t="str">
        <f aca="false">HYPERLINK("https://www.transfermarkt.com/schnellsuche/ergebnis/schnellsuche?query="&amp;SUBSTITUTE(A224," ","+"),"Search Transfermarkt")</f>
        <v>Search Transfermarkt</v>
      </c>
    </row>
    <row r="225" customFormat="false" ht="23.85" hidden="false" customHeight="false" outlineLevel="0" collapsed="false">
      <c r="A225" s="15" t="s">
        <v>957</v>
      </c>
      <c r="B225" s="15" t="s">
        <v>82</v>
      </c>
      <c r="C225" s="15" t="s">
        <v>552</v>
      </c>
      <c r="D225" s="15" t="n">
        <v>2</v>
      </c>
      <c r="E225" s="15" t="s">
        <v>907</v>
      </c>
      <c r="F225" s="15" t="s">
        <v>136</v>
      </c>
      <c r="G225" s="15" t="n">
        <v>20</v>
      </c>
      <c r="H225" s="15" t="n">
        <v>1921</v>
      </c>
      <c r="I225" s="15" t="n">
        <v>2</v>
      </c>
      <c r="J225" s="15" t="n">
        <v>4</v>
      </c>
      <c r="K225" s="15" t="n">
        <v>67</v>
      </c>
      <c r="L225" s="15" t="n">
        <v>35</v>
      </c>
      <c r="M225" s="15" t="n">
        <v>106</v>
      </c>
      <c r="N225" s="15" t="n">
        <v>0</v>
      </c>
      <c r="O225" s="15" t="n">
        <v>0</v>
      </c>
      <c r="P225" s="16" t="n">
        <v>0</v>
      </c>
      <c r="Q225" s="15" t="n">
        <v>0</v>
      </c>
      <c r="R225" s="15" t="n">
        <v>0</v>
      </c>
      <c r="S225" s="17" t="n">
        <v>57390</v>
      </c>
      <c r="T225" s="15" t="s">
        <v>164</v>
      </c>
      <c r="U225" s="15" t="n">
        <v>2026</v>
      </c>
      <c r="V225" s="15" t="s">
        <v>908</v>
      </c>
      <c r="W225" s="18" t="s">
        <v>139</v>
      </c>
      <c r="X225" s="18" t="s">
        <v>166</v>
      </c>
      <c r="Y225" s="15" t="s">
        <v>600</v>
      </c>
      <c r="Z225" s="15" t="s">
        <v>600</v>
      </c>
      <c r="AA225" s="19" t="str">
        <f aca="false">HYPERLINK("https://www.transfermarkt.com/schnellsuche/ergebnis/schnellsuche?query="&amp;SUBSTITUTE(A225," ","+"),"Search Transfermarkt")</f>
        <v>Search Transfermarkt</v>
      </c>
    </row>
    <row r="226" customFormat="false" ht="23.85" hidden="false" customHeight="false" outlineLevel="0" collapsed="false">
      <c r="A226" s="15" t="s">
        <v>958</v>
      </c>
      <c r="B226" s="15" t="s">
        <v>87</v>
      </c>
      <c r="C226" s="15" t="s">
        <v>959</v>
      </c>
      <c r="D226" s="15" t="n">
        <v>4</v>
      </c>
      <c r="E226" s="15" t="s">
        <v>960</v>
      </c>
      <c r="F226" s="15" t="s">
        <v>136</v>
      </c>
      <c r="G226" s="15" t="n">
        <v>24</v>
      </c>
      <c r="H226" s="15" t="n">
        <v>1368</v>
      </c>
      <c r="I226" s="15" t="n">
        <v>1</v>
      </c>
      <c r="J226" s="15" t="n">
        <v>3</v>
      </c>
      <c r="K226" s="15" t="n">
        <v>45</v>
      </c>
      <c r="L226" s="15" t="n">
        <v>20</v>
      </c>
      <c r="M226" s="15" t="n">
        <v>91</v>
      </c>
      <c r="N226" s="15" t="n">
        <v>0</v>
      </c>
      <c r="O226" s="15" t="n">
        <v>0</v>
      </c>
      <c r="P226" s="16" t="n">
        <v>0</v>
      </c>
      <c r="Q226" s="15" t="n">
        <v>0</v>
      </c>
      <c r="R226" s="15" t="n">
        <v>0</v>
      </c>
      <c r="S226" s="17" t="n">
        <v>124535</v>
      </c>
      <c r="T226" s="15" t="s">
        <v>164</v>
      </c>
      <c r="U226" s="15" t="n">
        <v>2026</v>
      </c>
      <c r="V226" s="15" t="s">
        <v>961</v>
      </c>
      <c r="W226" s="18" t="s">
        <v>139</v>
      </c>
      <c r="X226" s="18" t="s">
        <v>341</v>
      </c>
      <c r="Y226" s="15" t="s">
        <v>600</v>
      </c>
      <c r="Z226" s="15" t="s">
        <v>600</v>
      </c>
      <c r="AA226" s="19" t="str">
        <f aca="false">HYPERLINK("https://www.transfermarkt.com/schnellsuche/ergebnis/schnellsuche?query="&amp;SUBSTITUTE(A226," ","+"),"Search Transfermarkt")</f>
        <v>Search Transfermarkt</v>
      </c>
    </row>
    <row r="227" customFormat="false" ht="23.85" hidden="false" customHeight="false" outlineLevel="0" collapsed="false">
      <c r="A227" s="15" t="s">
        <v>962</v>
      </c>
      <c r="B227" s="15" t="s">
        <v>67</v>
      </c>
      <c r="C227" s="15" t="s">
        <v>584</v>
      </c>
      <c r="D227" s="15" t="n">
        <v>3</v>
      </c>
      <c r="E227" s="15" t="s">
        <v>963</v>
      </c>
      <c r="F227" s="15" t="s">
        <v>170</v>
      </c>
      <c r="G227" s="15" t="n">
        <v>19</v>
      </c>
      <c r="H227" s="15" t="n">
        <v>2478</v>
      </c>
      <c r="I227" s="15" t="n">
        <v>8</v>
      </c>
      <c r="J227" s="15" t="n">
        <v>14</v>
      </c>
      <c r="K227" s="15" t="n">
        <v>171</v>
      </c>
      <c r="L227" s="15" t="n">
        <v>81</v>
      </c>
      <c r="M227" s="15" t="n">
        <v>54</v>
      </c>
      <c r="N227" s="15" t="n">
        <v>0</v>
      </c>
      <c r="O227" s="15" t="n">
        <v>0</v>
      </c>
      <c r="P227" s="16" t="n">
        <v>0</v>
      </c>
      <c r="Q227" s="15" t="n">
        <v>0</v>
      </c>
      <c r="R227" s="15" t="n">
        <v>0</v>
      </c>
      <c r="S227" s="17" t="n">
        <v>37160</v>
      </c>
      <c r="T227" s="15" t="s">
        <v>186</v>
      </c>
      <c r="U227" s="15" t="n">
        <v>2027</v>
      </c>
      <c r="V227" s="15" t="s">
        <v>964</v>
      </c>
      <c r="W227" s="18" t="s">
        <v>188</v>
      </c>
      <c r="X227" s="18" t="s">
        <v>236</v>
      </c>
      <c r="Y227" s="15" t="s">
        <v>600</v>
      </c>
      <c r="Z227" s="15" t="s">
        <v>600</v>
      </c>
      <c r="AA227" s="19" t="str">
        <f aca="false">HYPERLINK("https://www.transfermarkt.com/schnellsuche/ergebnis/schnellsuche?query="&amp;SUBSTITUTE(A227," ","+"),"Search Transfermarkt")</f>
        <v>Search Transfermarkt</v>
      </c>
    </row>
    <row r="228" customFormat="false" ht="23.85" hidden="false" customHeight="false" outlineLevel="0" collapsed="false">
      <c r="A228" s="15" t="s">
        <v>965</v>
      </c>
      <c r="B228" s="15" t="s">
        <v>76</v>
      </c>
      <c r="C228" s="15" t="s">
        <v>740</v>
      </c>
      <c r="D228" s="15" t="n">
        <v>2</v>
      </c>
      <c r="E228" s="15" t="s">
        <v>966</v>
      </c>
      <c r="F228" s="15" t="s">
        <v>157</v>
      </c>
      <c r="G228" s="15" t="n">
        <v>23</v>
      </c>
      <c r="H228" s="15" t="n">
        <v>1212</v>
      </c>
      <c r="I228" s="15" t="n">
        <v>0</v>
      </c>
      <c r="J228" s="15" t="n">
        <v>0</v>
      </c>
      <c r="K228" s="15" t="n">
        <v>19</v>
      </c>
      <c r="L228" s="15" t="n">
        <v>1</v>
      </c>
      <c r="M228" s="15" t="n">
        <v>3</v>
      </c>
      <c r="N228" s="15" t="n">
        <v>43</v>
      </c>
      <c r="O228" s="15" t="n">
        <v>16</v>
      </c>
      <c r="P228" s="16" t="n">
        <v>59.5</v>
      </c>
      <c r="Q228" s="15" t="n">
        <v>9.4</v>
      </c>
      <c r="R228" s="15" t="n">
        <v>3</v>
      </c>
      <c r="S228" s="17" t="n">
        <v>48813</v>
      </c>
      <c r="T228" s="15" t="s">
        <v>137</v>
      </c>
      <c r="U228" s="15" t="n">
        <v>2026</v>
      </c>
      <c r="V228" s="15" t="s">
        <v>967</v>
      </c>
      <c r="W228" s="18" t="s">
        <v>139</v>
      </c>
      <c r="X228" s="18" t="s">
        <v>241</v>
      </c>
      <c r="Y228" s="15" t="s">
        <v>600</v>
      </c>
      <c r="Z228" s="15" t="s">
        <v>600</v>
      </c>
      <c r="AA228" s="19" t="str">
        <f aca="false">HYPERLINK("https://www.transfermarkt.com/schnellsuche/ergebnis/schnellsuche?query="&amp;SUBSTITUTE(A228," ","+"),"Search Transfermarkt")</f>
        <v>Search Transfermarkt</v>
      </c>
    </row>
    <row r="229" customFormat="false" ht="23.85" hidden="false" customHeight="false" outlineLevel="0" collapsed="false">
      <c r="A229" s="15" t="s">
        <v>968</v>
      </c>
      <c r="B229" s="15" t="s">
        <v>89</v>
      </c>
      <c r="C229" s="15" t="s">
        <v>969</v>
      </c>
      <c r="D229" s="15" t="n">
        <v>2</v>
      </c>
      <c r="E229" s="15" t="s">
        <v>970</v>
      </c>
      <c r="F229" s="15" t="s">
        <v>136</v>
      </c>
      <c r="G229" s="15" t="n">
        <v>20</v>
      </c>
      <c r="H229" s="15" t="n">
        <v>1243</v>
      </c>
      <c r="I229" s="15" t="n">
        <v>3</v>
      </c>
      <c r="J229" s="15" t="n">
        <v>5</v>
      </c>
      <c r="K229" s="15" t="n">
        <v>69</v>
      </c>
      <c r="L229" s="15" t="n">
        <v>23</v>
      </c>
      <c r="M229" s="15" t="n">
        <v>104</v>
      </c>
      <c r="N229" s="15" t="n">
        <v>0</v>
      </c>
      <c r="O229" s="15" t="n">
        <v>0</v>
      </c>
      <c r="P229" s="16" t="n">
        <v>0</v>
      </c>
      <c r="Q229" s="15" t="n">
        <v>0</v>
      </c>
      <c r="R229" s="15" t="n">
        <v>0</v>
      </c>
      <c r="S229" s="17" t="n">
        <v>0</v>
      </c>
      <c r="T229" s="15" t="s">
        <v>164</v>
      </c>
      <c r="U229" s="15" t="n">
        <v>2028</v>
      </c>
      <c r="V229" s="15" t="s">
        <v>971</v>
      </c>
      <c r="W229" s="18" t="s">
        <v>139</v>
      </c>
      <c r="X229" s="18" t="s">
        <v>206</v>
      </c>
      <c r="Y229" s="15" t="s">
        <v>600</v>
      </c>
      <c r="Z229" s="15" t="s">
        <v>600</v>
      </c>
      <c r="AA229" s="19" t="str">
        <f aca="false">HYPERLINK("https://www.transfermarkt.com/schnellsuche/ergebnis/schnellsuche?query="&amp;SUBSTITUTE(A229," ","+"),"Search Transfermarkt")</f>
        <v>Search Transfermarkt</v>
      </c>
    </row>
    <row r="230" customFormat="false" ht="23.85" hidden="false" customHeight="false" outlineLevel="0" collapsed="false">
      <c r="A230" s="15" t="s">
        <v>972</v>
      </c>
      <c r="B230" s="15" t="s">
        <v>102</v>
      </c>
      <c r="C230" s="15" t="s">
        <v>450</v>
      </c>
      <c r="D230" s="15" t="n">
        <v>3</v>
      </c>
      <c r="E230" s="15" t="s">
        <v>973</v>
      </c>
      <c r="F230" s="15" t="s">
        <v>136</v>
      </c>
      <c r="G230" s="15" t="n">
        <v>24</v>
      </c>
      <c r="H230" s="15" t="n">
        <v>1529</v>
      </c>
      <c r="I230" s="15" t="n">
        <v>1</v>
      </c>
      <c r="J230" s="15" t="n">
        <v>3</v>
      </c>
      <c r="K230" s="15" t="n">
        <v>52</v>
      </c>
      <c r="L230" s="15" t="n">
        <v>44</v>
      </c>
      <c r="M230" s="15" t="n">
        <v>101</v>
      </c>
      <c r="N230" s="15" t="n">
        <v>0</v>
      </c>
      <c r="O230" s="15" t="n">
        <v>0</v>
      </c>
      <c r="P230" s="16" t="n">
        <v>0</v>
      </c>
      <c r="Q230" s="15" t="n">
        <v>0</v>
      </c>
      <c r="R230" s="15" t="n">
        <v>0</v>
      </c>
      <c r="S230" s="17" t="n">
        <v>81332</v>
      </c>
      <c r="T230" s="15" t="s">
        <v>164</v>
      </c>
      <c r="U230" s="15" t="n">
        <v>2029</v>
      </c>
      <c r="V230" s="15" t="s">
        <v>974</v>
      </c>
      <c r="W230" s="18" t="s">
        <v>139</v>
      </c>
      <c r="X230" s="18" t="s">
        <v>453</v>
      </c>
      <c r="Y230" s="15" t="s">
        <v>600</v>
      </c>
      <c r="Z230" s="15" t="s">
        <v>600</v>
      </c>
      <c r="AA230" s="19" t="str">
        <f aca="false">HYPERLINK("https://www.transfermarkt.com/schnellsuche/ergebnis/schnellsuche?query="&amp;SUBSTITUTE(A230," ","+"),"Search Transfermarkt")</f>
        <v>Search Transfermarkt</v>
      </c>
    </row>
    <row r="231" customFormat="false" ht="23.85" hidden="false" customHeight="false" outlineLevel="0" collapsed="false">
      <c r="A231" s="15" t="s">
        <v>975</v>
      </c>
      <c r="B231" s="15" t="s">
        <v>98</v>
      </c>
      <c r="C231" s="15" t="s">
        <v>243</v>
      </c>
      <c r="D231" s="15" t="n">
        <v>2</v>
      </c>
      <c r="E231" s="15" t="s">
        <v>976</v>
      </c>
      <c r="F231" s="15" t="s">
        <v>170</v>
      </c>
      <c r="G231" s="15" t="n">
        <v>24</v>
      </c>
      <c r="H231" s="15" t="n">
        <v>825</v>
      </c>
      <c r="I231" s="15" t="n">
        <v>5</v>
      </c>
      <c r="J231" s="15" t="n">
        <v>6</v>
      </c>
      <c r="K231" s="15" t="n">
        <v>160</v>
      </c>
      <c r="L231" s="15" t="n">
        <v>53</v>
      </c>
      <c r="M231" s="15" t="n">
        <v>43</v>
      </c>
      <c r="N231" s="15" t="n">
        <v>0</v>
      </c>
      <c r="O231" s="15" t="n">
        <v>0</v>
      </c>
      <c r="P231" s="16" t="n">
        <v>0</v>
      </c>
      <c r="Q231" s="15" t="n">
        <v>0</v>
      </c>
      <c r="R231" s="15" t="n">
        <v>0</v>
      </c>
      <c r="S231" s="17" t="n">
        <v>92732</v>
      </c>
      <c r="T231" s="15" t="s">
        <v>137</v>
      </c>
      <c r="U231" s="15" t="n">
        <v>2026</v>
      </c>
      <c r="V231" s="15" t="s">
        <v>977</v>
      </c>
      <c r="W231" s="18" t="s">
        <v>139</v>
      </c>
      <c r="X231" s="18" t="s">
        <v>148</v>
      </c>
      <c r="Y231" s="15" t="s">
        <v>600</v>
      </c>
      <c r="Z231" s="15" t="s">
        <v>600</v>
      </c>
      <c r="AA231" s="19" t="str">
        <f aca="false">HYPERLINK("https://www.transfermarkt.com/schnellsuche/ergebnis/schnellsuche?query="&amp;SUBSTITUTE(A231," ","+"),"Search Transfermarkt")</f>
        <v>Search Transfermarkt</v>
      </c>
    </row>
    <row r="232" customFormat="false" ht="23.85" hidden="false" customHeight="false" outlineLevel="0" collapsed="false">
      <c r="A232" s="15" t="s">
        <v>978</v>
      </c>
      <c r="B232" s="15" t="s">
        <v>88</v>
      </c>
      <c r="C232" s="15" t="s">
        <v>563</v>
      </c>
      <c r="D232" s="15" t="n">
        <v>3</v>
      </c>
      <c r="E232" s="15" t="s">
        <v>979</v>
      </c>
      <c r="F232" s="15" t="s">
        <v>136</v>
      </c>
      <c r="G232" s="15" t="n">
        <v>23</v>
      </c>
      <c r="H232" s="15" t="n">
        <v>2405</v>
      </c>
      <c r="I232" s="15" t="n">
        <v>3</v>
      </c>
      <c r="J232" s="15" t="n">
        <v>5</v>
      </c>
      <c r="K232" s="15" t="n">
        <v>57</v>
      </c>
      <c r="L232" s="15" t="n">
        <v>34</v>
      </c>
      <c r="M232" s="15" t="n">
        <v>111</v>
      </c>
      <c r="N232" s="15" t="n">
        <v>0</v>
      </c>
      <c r="O232" s="15" t="n">
        <v>0</v>
      </c>
      <c r="P232" s="16" t="n">
        <v>0</v>
      </c>
      <c r="Q232" s="15" t="n">
        <v>0</v>
      </c>
      <c r="R232" s="15" t="n">
        <v>0</v>
      </c>
      <c r="S232" s="17" t="n">
        <v>0</v>
      </c>
      <c r="T232" s="15" t="s">
        <v>137</v>
      </c>
      <c r="U232" s="15" t="n">
        <v>2027</v>
      </c>
      <c r="V232" s="15" t="s">
        <v>980</v>
      </c>
      <c r="W232" s="18" t="s">
        <v>139</v>
      </c>
      <c r="X232" s="18" t="s">
        <v>320</v>
      </c>
      <c r="Y232" s="15" t="s">
        <v>600</v>
      </c>
      <c r="Z232" s="15" t="s">
        <v>600</v>
      </c>
      <c r="AA232" s="19" t="str">
        <f aca="false">HYPERLINK("https://www.transfermarkt.com/schnellsuche/ergebnis/schnellsuche?query="&amp;SUBSTITUTE(A232," ","+"),"Search Transfermarkt")</f>
        <v>Search Transfermarkt</v>
      </c>
    </row>
    <row r="233" customFormat="false" ht="23.85" hidden="false" customHeight="false" outlineLevel="0" collapsed="false">
      <c r="A233" s="15" t="s">
        <v>981</v>
      </c>
      <c r="B233" s="15" t="s">
        <v>99</v>
      </c>
      <c r="C233" s="15" t="s">
        <v>184</v>
      </c>
      <c r="D233" s="15" t="n">
        <v>4</v>
      </c>
      <c r="E233" s="15" t="s">
        <v>982</v>
      </c>
      <c r="F233" s="15" t="s">
        <v>170</v>
      </c>
      <c r="G233" s="15" t="n">
        <v>20</v>
      </c>
      <c r="H233" s="15" t="n">
        <v>2534</v>
      </c>
      <c r="I233" s="15" t="n">
        <v>1</v>
      </c>
      <c r="J233" s="15" t="n">
        <v>6</v>
      </c>
      <c r="K233" s="15" t="n">
        <v>116</v>
      </c>
      <c r="L233" s="15" t="n">
        <v>92</v>
      </c>
      <c r="M233" s="15" t="n">
        <v>58</v>
      </c>
      <c r="N233" s="15" t="n">
        <v>0</v>
      </c>
      <c r="O233" s="15" t="n">
        <v>0</v>
      </c>
      <c r="P233" s="16" t="n">
        <v>0</v>
      </c>
      <c r="Q233" s="15" t="n">
        <v>0</v>
      </c>
      <c r="R233" s="15" t="n">
        <v>0</v>
      </c>
      <c r="S233" s="17" t="n">
        <v>0</v>
      </c>
      <c r="T233" s="15" t="s">
        <v>186</v>
      </c>
      <c r="U233" s="15" t="n">
        <v>2028</v>
      </c>
      <c r="V233" s="15" t="s">
        <v>983</v>
      </c>
      <c r="W233" s="18" t="s">
        <v>188</v>
      </c>
      <c r="X233" s="18" t="s">
        <v>189</v>
      </c>
      <c r="Y233" s="15" t="s">
        <v>600</v>
      </c>
      <c r="Z233" s="15" t="s">
        <v>600</v>
      </c>
      <c r="AA233" s="19" t="str">
        <f aca="false">HYPERLINK("https://www.transfermarkt.com/schnellsuche/ergebnis/schnellsuche?query="&amp;SUBSTITUTE(A233," ","+"),"Search Transfermarkt")</f>
        <v>Search Transfermarkt</v>
      </c>
    </row>
    <row r="234" customFormat="false" ht="23.85" hidden="false" customHeight="false" outlineLevel="0" collapsed="false">
      <c r="A234" s="15" t="s">
        <v>984</v>
      </c>
      <c r="B234" s="15" t="s">
        <v>87</v>
      </c>
      <c r="C234" s="15" t="s">
        <v>947</v>
      </c>
      <c r="D234" s="15" t="n">
        <v>2</v>
      </c>
      <c r="E234" s="15" t="s">
        <v>985</v>
      </c>
      <c r="F234" s="15" t="s">
        <v>170</v>
      </c>
      <c r="G234" s="15" t="n">
        <v>20</v>
      </c>
      <c r="H234" s="15" t="n">
        <v>825</v>
      </c>
      <c r="I234" s="15" t="n">
        <v>8</v>
      </c>
      <c r="J234" s="15" t="n">
        <v>9</v>
      </c>
      <c r="K234" s="15" t="n">
        <v>161</v>
      </c>
      <c r="L234" s="15" t="n">
        <v>71</v>
      </c>
      <c r="M234" s="15" t="n">
        <v>31</v>
      </c>
      <c r="N234" s="15" t="n">
        <v>0</v>
      </c>
      <c r="O234" s="15" t="n">
        <v>0</v>
      </c>
      <c r="P234" s="16" t="n">
        <v>0</v>
      </c>
      <c r="Q234" s="15" t="n">
        <v>0</v>
      </c>
      <c r="R234" s="15" t="n">
        <v>0</v>
      </c>
      <c r="S234" s="17" t="n">
        <v>79644</v>
      </c>
      <c r="T234" s="15" t="s">
        <v>186</v>
      </c>
      <c r="U234" s="15" t="n">
        <v>2029</v>
      </c>
      <c r="V234" s="15" t="s">
        <v>986</v>
      </c>
      <c r="W234" s="18" t="s">
        <v>188</v>
      </c>
      <c r="X234" s="18" t="s">
        <v>341</v>
      </c>
      <c r="Y234" s="15" t="s">
        <v>600</v>
      </c>
      <c r="Z234" s="15" t="s">
        <v>600</v>
      </c>
      <c r="AA234" s="19" t="str">
        <f aca="false">HYPERLINK("https://www.transfermarkt.com/schnellsuche/ergebnis/schnellsuche?query="&amp;SUBSTITUTE(A234," ","+"),"Search Transfermarkt")</f>
        <v>Search Transfermarkt</v>
      </c>
    </row>
    <row r="235" customFormat="false" ht="23.85" hidden="false" customHeight="false" outlineLevel="0" collapsed="false">
      <c r="A235" s="15" t="s">
        <v>987</v>
      </c>
      <c r="B235" s="15" t="s">
        <v>75</v>
      </c>
      <c r="C235" s="15" t="s">
        <v>914</v>
      </c>
      <c r="D235" s="15" t="n">
        <v>4</v>
      </c>
      <c r="E235" s="15" t="s">
        <v>988</v>
      </c>
      <c r="F235" s="15" t="s">
        <v>163</v>
      </c>
      <c r="G235" s="15" t="n">
        <v>20</v>
      </c>
      <c r="H235" s="15" t="n">
        <v>1928</v>
      </c>
      <c r="I235" s="15" t="n">
        <v>7</v>
      </c>
      <c r="J235" s="15" t="n">
        <v>7</v>
      </c>
      <c r="K235" s="15" t="n">
        <v>30</v>
      </c>
      <c r="L235" s="15" t="n">
        <v>84</v>
      </c>
      <c r="M235" s="15" t="n">
        <v>12</v>
      </c>
      <c r="N235" s="15" t="n">
        <v>0</v>
      </c>
      <c r="O235" s="15" t="n">
        <v>0</v>
      </c>
      <c r="P235" s="16" t="n">
        <v>0</v>
      </c>
      <c r="Q235" s="15" t="n">
        <v>0</v>
      </c>
      <c r="R235" s="15" t="n">
        <v>0</v>
      </c>
      <c r="S235" s="17" t="n">
        <v>118318</v>
      </c>
      <c r="T235" s="15" t="s">
        <v>186</v>
      </c>
      <c r="U235" s="15" t="n">
        <v>2029</v>
      </c>
      <c r="V235" s="15" t="s">
        <v>989</v>
      </c>
      <c r="W235" s="18" t="s">
        <v>188</v>
      </c>
      <c r="X235" s="18" t="s">
        <v>197</v>
      </c>
      <c r="Y235" s="15" t="s">
        <v>600</v>
      </c>
      <c r="Z235" s="15" t="s">
        <v>600</v>
      </c>
      <c r="AA235" s="19" t="str">
        <f aca="false">HYPERLINK("https://www.transfermarkt.com/schnellsuche/ergebnis/schnellsuche?query="&amp;SUBSTITUTE(A235," ","+"),"Search Transfermarkt")</f>
        <v>Search Transfermarkt</v>
      </c>
    </row>
    <row r="236" customFormat="false" ht="23.85" hidden="false" customHeight="false" outlineLevel="0" collapsed="false">
      <c r="A236" s="15" t="s">
        <v>990</v>
      </c>
      <c r="B236" s="15" t="s">
        <v>99</v>
      </c>
      <c r="C236" s="15" t="s">
        <v>372</v>
      </c>
      <c r="D236" s="15" t="n">
        <v>3</v>
      </c>
      <c r="E236" s="15" t="s">
        <v>991</v>
      </c>
      <c r="F236" s="15" t="s">
        <v>136</v>
      </c>
      <c r="G236" s="15" t="n">
        <v>26</v>
      </c>
      <c r="H236" s="15" t="n">
        <v>804</v>
      </c>
      <c r="I236" s="15" t="n">
        <v>1</v>
      </c>
      <c r="J236" s="15" t="n">
        <v>1</v>
      </c>
      <c r="K236" s="15" t="n">
        <v>49</v>
      </c>
      <c r="L236" s="15" t="n">
        <v>42</v>
      </c>
      <c r="M236" s="15" t="n">
        <v>101</v>
      </c>
      <c r="N236" s="15" t="n">
        <v>0</v>
      </c>
      <c r="O236" s="15" t="n">
        <v>0</v>
      </c>
      <c r="P236" s="16" t="n">
        <v>0</v>
      </c>
      <c r="Q236" s="15" t="n">
        <v>0</v>
      </c>
      <c r="R236" s="15" t="n">
        <v>0</v>
      </c>
      <c r="S236" s="17" t="n">
        <v>0</v>
      </c>
      <c r="T236" s="15" t="s">
        <v>137</v>
      </c>
      <c r="U236" s="15" t="n">
        <v>2027</v>
      </c>
      <c r="V236" s="15" t="s">
        <v>992</v>
      </c>
      <c r="W236" s="18" t="s">
        <v>139</v>
      </c>
      <c r="X236" s="18" t="s">
        <v>189</v>
      </c>
      <c r="Y236" s="15" t="s">
        <v>600</v>
      </c>
      <c r="Z236" s="15" t="s">
        <v>600</v>
      </c>
      <c r="AA236" s="19" t="str">
        <f aca="false">HYPERLINK("https://www.transfermarkt.com/schnellsuche/ergebnis/schnellsuche?query="&amp;SUBSTITUTE(A236," ","+"),"Search Transfermarkt")</f>
        <v>Search Transfermarkt</v>
      </c>
    </row>
    <row r="237" customFormat="false" ht="23.85" hidden="false" customHeight="false" outlineLevel="0" collapsed="false">
      <c r="A237" s="15" t="s">
        <v>993</v>
      </c>
      <c r="B237" s="15" t="s">
        <v>68</v>
      </c>
      <c r="C237" s="15" t="s">
        <v>687</v>
      </c>
      <c r="D237" s="15" t="n">
        <v>2</v>
      </c>
      <c r="E237" s="15" t="s">
        <v>641</v>
      </c>
      <c r="F237" s="15" t="s">
        <v>136</v>
      </c>
      <c r="G237" s="15" t="n">
        <v>18</v>
      </c>
      <c r="H237" s="15" t="n">
        <v>1023</v>
      </c>
      <c r="I237" s="15" t="n">
        <v>0</v>
      </c>
      <c r="J237" s="15" t="n">
        <v>2</v>
      </c>
      <c r="K237" s="15" t="n">
        <v>56</v>
      </c>
      <c r="L237" s="15" t="n">
        <v>41</v>
      </c>
      <c r="M237" s="15" t="n">
        <v>92</v>
      </c>
      <c r="N237" s="15" t="n">
        <v>0</v>
      </c>
      <c r="O237" s="15" t="n">
        <v>0</v>
      </c>
      <c r="P237" s="16" t="n">
        <v>0</v>
      </c>
      <c r="Q237" s="15" t="n">
        <v>0</v>
      </c>
      <c r="R237" s="15" t="n">
        <v>0</v>
      </c>
      <c r="S237" s="17" t="n">
        <v>70437</v>
      </c>
      <c r="T237" s="15" t="s">
        <v>164</v>
      </c>
      <c r="U237" s="15" t="n">
        <v>2026</v>
      </c>
      <c r="V237" s="15" t="s">
        <v>642</v>
      </c>
      <c r="W237" s="18" t="s">
        <v>139</v>
      </c>
      <c r="X237" s="18" t="s">
        <v>153</v>
      </c>
      <c r="Y237" s="15" t="s">
        <v>600</v>
      </c>
      <c r="Z237" s="15" t="s">
        <v>600</v>
      </c>
      <c r="AA237" s="19" t="str">
        <f aca="false">HYPERLINK("https://www.transfermarkt.com/schnellsuche/ergebnis/schnellsuche?query="&amp;SUBSTITUTE(A237," ","+"),"Search Transfermarkt")</f>
        <v>Search Transfermarkt</v>
      </c>
    </row>
    <row r="238" customFormat="false" ht="23.85" hidden="false" customHeight="false" outlineLevel="0" collapsed="false">
      <c r="A238" s="15" t="s">
        <v>994</v>
      </c>
      <c r="B238" s="15" t="s">
        <v>69</v>
      </c>
      <c r="C238" s="15" t="s">
        <v>995</v>
      </c>
      <c r="D238" s="15" t="n">
        <v>2</v>
      </c>
      <c r="E238" s="15" t="s">
        <v>996</v>
      </c>
      <c r="F238" s="15" t="s">
        <v>163</v>
      </c>
      <c r="G238" s="15" t="n">
        <v>24</v>
      </c>
      <c r="H238" s="15" t="n">
        <v>1786</v>
      </c>
      <c r="I238" s="15" t="n">
        <v>13</v>
      </c>
      <c r="J238" s="15" t="n">
        <v>6</v>
      </c>
      <c r="K238" s="15" t="n">
        <v>66</v>
      </c>
      <c r="L238" s="15" t="n">
        <v>73</v>
      </c>
      <c r="M238" s="15" t="n">
        <v>12</v>
      </c>
      <c r="N238" s="15" t="n">
        <v>0</v>
      </c>
      <c r="O238" s="15" t="n">
        <v>0</v>
      </c>
      <c r="P238" s="16" t="n">
        <v>0</v>
      </c>
      <c r="Q238" s="15" t="n">
        <v>0</v>
      </c>
      <c r="R238" s="15" t="n">
        <v>0</v>
      </c>
      <c r="S238" s="17" t="n">
        <v>147332</v>
      </c>
      <c r="T238" s="15" t="s">
        <v>137</v>
      </c>
      <c r="U238" s="15" t="n">
        <v>2026</v>
      </c>
      <c r="V238" s="15" t="s">
        <v>997</v>
      </c>
      <c r="W238" s="18" t="s">
        <v>139</v>
      </c>
      <c r="X238" s="18" t="s">
        <v>140</v>
      </c>
      <c r="Y238" s="15" t="s">
        <v>600</v>
      </c>
      <c r="Z238" s="15" t="s">
        <v>600</v>
      </c>
      <c r="AA238" s="19" t="str">
        <f aca="false">HYPERLINK("https://www.transfermarkt.com/schnellsuche/ergebnis/schnellsuche?query="&amp;SUBSTITUTE(A238," ","+"),"Search Transfermarkt")</f>
        <v>Search Transfermarkt</v>
      </c>
    </row>
    <row r="239" customFormat="false" ht="23.85" hidden="false" customHeight="false" outlineLevel="0" collapsed="false">
      <c r="A239" s="15" t="s">
        <v>998</v>
      </c>
      <c r="B239" s="15" t="s">
        <v>80</v>
      </c>
      <c r="C239" s="15" t="s">
        <v>301</v>
      </c>
      <c r="D239" s="15" t="n">
        <v>2</v>
      </c>
      <c r="E239" s="15" t="s">
        <v>999</v>
      </c>
      <c r="F239" s="15" t="s">
        <v>170</v>
      </c>
      <c r="G239" s="15" t="n">
        <v>19</v>
      </c>
      <c r="H239" s="15" t="n">
        <v>1642</v>
      </c>
      <c r="I239" s="15" t="n">
        <v>2</v>
      </c>
      <c r="J239" s="15" t="n">
        <v>12</v>
      </c>
      <c r="K239" s="15" t="n">
        <v>175</v>
      </c>
      <c r="L239" s="15" t="n">
        <v>74</v>
      </c>
      <c r="M239" s="15" t="n">
        <v>41</v>
      </c>
      <c r="N239" s="15" t="n">
        <v>0</v>
      </c>
      <c r="O239" s="15" t="n">
        <v>0</v>
      </c>
      <c r="P239" s="16" t="n">
        <v>0</v>
      </c>
      <c r="Q239" s="15" t="n">
        <v>0</v>
      </c>
      <c r="R239" s="15" t="n">
        <v>0</v>
      </c>
      <c r="S239" s="17" t="n">
        <v>20218</v>
      </c>
      <c r="T239" s="15" t="s">
        <v>164</v>
      </c>
      <c r="U239" s="15" t="n">
        <v>2029</v>
      </c>
      <c r="V239" s="15" t="s">
        <v>1000</v>
      </c>
      <c r="W239" s="18" t="s">
        <v>139</v>
      </c>
      <c r="X239" s="18" t="s">
        <v>304</v>
      </c>
      <c r="Y239" s="15" t="s">
        <v>600</v>
      </c>
      <c r="Z239" s="15" t="s">
        <v>600</v>
      </c>
      <c r="AA239" s="19" t="str">
        <f aca="false">HYPERLINK("https://www.transfermarkt.com/schnellsuche/ergebnis/schnellsuche?query="&amp;SUBSTITUTE(A239," ","+"),"Search Transfermarkt")</f>
        <v>Search Transfermarkt</v>
      </c>
    </row>
    <row r="240" customFormat="false" ht="23.85" hidden="false" customHeight="false" outlineLevel="0" collapsed="false">
      <c r="A240" s="15" t="s">
        <v>1001</v>
      </c>
      <c r="B240" s="15" t="s">
        <v>79</v>
      </c>
      <c r="C240" s="15" t="s">
        <v>409</v>
      </c>
      <c r="D240" s="15" t="n">
        <v>4</v>
      </c>
      <c r="E240" s="15" t="s">
        <v>1002</v>
      </c>
      <c r="F240" s="15" t="s">
        <v>163</v>
      </c>
      <c r="G240" s="15" t="n">
        <v>22</v>
      </c>
      <c r="H240" s="15" t="n">
        <v>1715</v>
      </c>
      <c r="I240" s="15" t="n">
        <v>11</v>
      </c>
      <c r="J240" s="15" t="n">
        <v>7</v>
      </c>
      <c r="K240" s="15" t="n">
        <v>68</v>
      </c>
      <c r="L240" s="15" t="n">
        <v>100</v>
      </c>
      <c r="M240" s="15" t="n">
        <v>11</v>
      </c>
      <c r="N240" s="15" t="n">
        <v>0</v>
      </c>
      <c r="O240" s="15" t="n">
        <v>0</v>
      </c>
      <c r="P240" s="16" t="n">
        <v>0</v>
      </c>
      <c r="Q240" s="15" t="n">
        <v>0</v>
      </c>
      <c r="R240" s="15" t="n">
        <v>0</v>
      </c>
      <c r="S240" s="17" t="n">
        <v>70733</v>
      </c>
      <c r="T240" s="15" t="s">
        <v>137</v>
      </c>
      <c r="U240" s="15" t="n">
        <v>2026</v>
      </c>
      <c r="V240" s="15" t="s">
        <v>1003</v>
      </c>
      <c r="W240" s="18" t="s">
        <v>139</v>
      </c>
      <c r="X240" s="18" t="s">
        <v>412</v>
      </c>
      <c r="Y240" s="15" t="s">
        <v>600</v>
      </c>
      <c r="Z240" s="15" t="s">
        <v>600</v>
      </c>
      <c r="AA240" s="19" t="str">
        <f aca="false">HYPERLINK("https://www.transfermarkt.com/schnellsuche/ergebnis/schnellsuche?query="&amp;SUBSTITUTE(A240," ","+"),"Search Transfermarkt")</f>
        <v>Search Transfermarkt</v>
      </c>
    </row>
    <row r="241" customFormat="false" ht="23.85" hidden="false" customHeight="false" outlineLevel="0" collapsed="false">
      <c r="A241" s="15" t="s">
        <v>1004</v>
      </c>
      <c r="B241" s="15" t="s">
        <v>102</v>
      </c>
      <c r="C241" s="15" t="s">
        <v>1005</v>
      </c>
      <c r="D241" s="15" t="n">
        <v>2</v>
      </c>
      <c r="E241" s="15" t="s">
        <v>923</v>
      </c>
      <c r="F241" s="15" t="s">
        <v>157</v>
      </c>
      <c r="G241" s="15" t="n">
        <v>23</v>
      </c>
      <c r="H241" s="15" t="n">
        <v>2134</v>
      </c>
      <c r="I241" s="15" t="n">
        <v>0</v>
      </c>
      <c r="J241" s="15" t="n">
        <v>0</v>
      </c>
      <c r="K241" s="15" t="n">
        <v>18</v>
      </c>
      <c r="L241" s="15" t="n">
        <v>3</v>
      </c>
      <c r="M241" s="15" t="n">
        <v>6</v>
      </c>
      <c r="N241" s="15" t="n">
        <v>77</v>
      </c>
      <c r="O241" s="15" t="n">
        <v>25</v>
      </c>
      <c r="P241" s="16" t="n">
        <v>82.2</v>
      </c>
      <c r="Q241" s="15" t="n">
        <v>3</v>
      </c>
      <c r="R241" s="15" t="n">
        <v>6</v>
      </c>
      <c r="S241" s="17" t="n">
        <v>102294</v>
      </c>
      <c r="T241" s="15" t="s">
        <v>137</v>
      </c>
      <c r="U241" s="15" t="n">
        <v>2027</v>
      </c>
      <c r="V241" s="15" t="s">
        <v>924</v>
      </c>
      <c r="W241" s="18" t="s">
        <v>139</v>
      </c>
      <c r="X241" s="18" t="s">
        <v>453</v>
      </c>
      <c r="Y241" s="15" t="s">
        <v>600</v>
      </c>
      <c r="Z241" s="15" t="s">
        <v>600</v>
      </c>
      <c r="AA241" s="19" t="str">
        <f aca="false">HYPERLINK("https://www.transfermarkt.com/schnellsuche/ergebnis/schnellsuche?query="&amp;SUBSTITUTE(A241," ","+"),"Search Transfermarkt")</f>
        <v>Search Transfermarkt</v>
      </c>
    </row>
    <row r="242" customFormat="false" ht="23.85" hidden="false" customHeight="false" outlineLevel="0" collapsed="false">
      <c r="A242" s="15" t="s">
        <v>1006</v>
      </c>
      <c r="B242" s="15" t="s">
        <v>86</v>
      </c>
      <c r="C242" s="15" t="s">
        <v>1007</v>
      </c>
      <c r="D242" s="15" t="n">
        <v>3</v>
      </c>
      <c r="E242" s="15" t="s">
        <v>1008</v>
      </c>
      <c r="F242" s="15" t="s">
        <v>157</v>
      </c>
      <c r="G242" s="15" t="n">
        <v>23</v>
      </c>
      <c r="H242" s="15" t="n">
        <v>1015</v>
      </c>
      <c r="I242" s="15" t="n">
        <v>0</v>
      </c>
      <c r="J242" s="15" t="n">
        <v>0</v>
      </c>
      <c r="K242" s="15" t="n">
        <v>14</v>
      </c>
      <c r="L242" s="15" t="n">
        <v>3</v>
      </c>
      <c r="M242" s="15" t="n">
        <v>5</v>
      </c>
      <c r="N242" s="15" t="n">
        <v>41</v>
      </c>
      <c r="O242" s="15" t="n">
        <v>23</v>
      </c>
      <c r="P242" s="16" t="n">
        <v>58.6</v>
      </c>
      <c r="Q242" s="15" t="n">
        <v>15.9</v>
      </c>
      <c r="R242" s="15" t="n">
        <v>3</v>
      </c>
      <c r="S242" s="17" t="n">
        <v>73103</v>
      </c>
      <c r="T242" s="15" t="s">
        <v>137</v>
      </c>
      <c r="U242" s="15" t="n">
        <v>2026</v>
      </c>
      <c r="V242" s="15" t="s">
        <v>1009</v>
      </c>
      <c r="W242" s="18" t="s">
        <v>139</v>
      </c>
      <c r="X242" s="18" t="s">
        <v>473</v>
      </c>
      <c r="Y242" s="15" t="s">
        <v>600</v>
      </c>
      <c r="Z242" s="15" t="s">
        <v>600</v>
      </c>
      <c r="AA242" s="19" t="str">
        <f aca="false">HYPERLINK("https://www.transfermarkt.com/schnellsuche/ergebnis/schnellsuche?query="&amp;SUBSTITUTE(A242," ","+"),"Search Transfermarkt")</f>
        <v>Search Transfermarkt</v>
      </c>
    </row>
    <row r="243" customFormat="false" ht="23.85" hidden="false" customHeight="false" outlineLevel="0" collapsed="false">
      <c r="A243" s="15" t="s">
        <v>1010</v>
      </c>
      <c r="B243" s="15" t="s">
        <v>87</v>
      </c>
      <c r="C243" s="15" t="s">
        <v>959</v>
      </c>
      <c r="D243" s="15" t="n">
        <v>4</v>
      </c>
      <c r="E243" s="15" t="s">
        <v>1011</v>
      </c>
      <c r="F243" s="15" t="s">
        <v>170</v>
      </c>
      <c r="G243" s="15" t="n">
        <v>19</v>
      </c>
      <c r="H243" s="15" t="n">
        <v>1794</v>
      </c>
      <c r="I243" s="15" t="n">
        <v>6</v>
      </c>
      <c r="J243" s="15" t="n">
        <v>14</v>
      </c>
      <c r="K243" s="15" t="n">
        <v>173</v>
      </c>
      <c r="L243" s="15" t="n">
        <v>59</v>
      </c>
      <c r="M243" s="15" t="n">
        <v>45</v>
      </c>
      <c r="N243" s="15" t="n">
        <v>0</v>
      </c>
      <c r="O243" s="15" t="n">
        <v>0</v>
      </c>
      <c r="P243" s="16" t="n">
        <v>0</v>
      </c>
      <c r="Q243" s="15" t="n">
        <v>0</v>
      </c>
      <c r="R243" s="15" t="n">
        <v>0</v>
      </c>
      <c r="S243" s="17" t="n">
        <v>20345</v>
      </c>
      <c r="T243" s="15" t="s">
        <v>137</v>
      </c>
      <c r="U243" s="15" t="n">
        <v>2029</v>
      </c>
      <c r="V243" s="15" t="s">
        <v>1012</v>
      </c>
      <c r="W243" s="18" t="s">
        <v>139</v>
      </c>
      <c r="X243" s="18" t="s">
        <v>341</v>
      </c>
      <c r="Y243" s="15" t="s">
        <v>600</v>
      </c>
      <c r="Z243" s="15" t="s">
        <v>600</v>
      </c>
      <c r="AA243" s="19" t="str">
        <f aca="false">HYPERLINK("https://www.transfermarkt.com/schnellsuche/ergebnis/schnellsuche?query="&amp;SUBSTITUTE(A243," ","+"),"Search Transfermarkt")</f>
        <v>Search Transfermarkt</v>
      </c>
    </row>
    <row r="244" customFormat="false" ht="23.85" hidden="false" customHeight="false" outlineLevel="0" collapsed="false">
      <c r="A244" s="15" t="s">
        <v>1013</v>
      </c>
      <c r="B244" s="15" t="s">
        <v>89</v>
      </c>
      <c r="C244" s="15" t="s">
        <v>1014</v>
      </c>
      <c r="D244" s="15" t="n">
        <v>2</v>
      </c>
      <c r="E244" s="15" t="s">
        <v>1015</v>
      </c>
      <c r="F244" s="15" t="s">
        <v>170</v>
      </c>
      <c r="G244" s="15" t="n">
        <v>22</v>
      </c>
      <c r="H244" s="15" t="n">
        <v>1097</v>
      </c>
      <c r="I244" s="15" t="n">
        <v>5</v>
      </c>
      <c r="J244" s="15" t="n">
        <v>5</v>
      </c>
      <c r="K244" s="15" t="n">
        <v>118</v>
      </c>
      <c r="L244" s="15" t="n">
        <v>55</v>
      </c>
      <c r="M244" s="15" t="n">
        <v>46</v>
      </c>
      <c r="N244" s="15" t="n">
        <v>0</v>
      </c>
      <c r="O244" s="15" t="n">
        <v>0</v>
      </c>
      <c r="P244" s="16" t="n">
        <v>0</v>
      </c>
      <c r="Q244" s="15" t="n">
        <v>0</v>
      </c>
      <c r="R244" s="15" t="n">
        <v>0</v>
      </c>
      <c r="S244" s="17" t="n">
        <v>49026</v>
      </c>
      <c r="T244" s="15" t="s">
        <v>164</v>
      </c>
      <c r="U244" s="15" t="n">
        <v>2028</v>
      </c>
      <c r="V244" s="15" t="s">
        <v>1016</v>
      </c>
      <c r="W244" s="18" t="s">
        <v>139</v>
      </c>
      <c r="X244" s="18" t="s">
        <v>206</v>
      </c>
      <c r="Y244" s="15" t="s">
        <v>600</v>
      </c>
      <c r="Z244" s="15" t="s">
        <v>600</v>
      </c>
      <c r="AA244" s="19" t="str">
        <f aca="false">HYPERLINK("https://www.transfermarkt.com/schnellsuche/ergebnis/schnellsuche?query="&amp;SUBSTITUTE(A244," ","+"),"Search Transfermarkt")</f>
        <v>Search Transfermarkt</v>
      </c>
    </row>
    <row r="245" customFormat="false" ht="23.85" hidden="false" customHeight="false" outlineLevel="0" collapsed="false">
      <c r="A245" s="15" t="s">
        <v>1017</v>
      </c>
      <c r="B245" s="15" t="s">
        <v>99</v>
      </c>
      <c r="C245" s="15" t="s">
        <v>372</v>
      </c>
      <c r="D245" s="15" t="n">
        <v>2</v>
      </c>
      <c r="E245" s="15" t="s">
        <v>1018</v>
      </c>
      <c r="F245" s="15" t="s">
        <v>136</v>
      </c>
      <c r="G245" s="15" t="n">
        <v>22</v>
      </c>
      <c r="H245" s="15" t="n">
        <v>1309</v>
      </c>
      <c r="I245" s="15" t="n">
        <v>3</v>
      </c>
      <c r="J245" s="15" t="n">
        <v>1</v>
      </c>
      <c r="K245" s="15" t="n">
        <v>67</v>
      </c>
      <c r="L245" s="15" t="n">
        <v>42</v>
      </c>
      <c r="M245" s="15" t="n">
        <v>79</v>
      </c>
      <c r="N245" s="15" t="n">
        <v>0</v>
      </c>
      <c r="O245" s="15" t="n">
        <v>0</v>
      </c>
      <c r="P245" s="16" t="n">
        <v>0</v>
      </c>
      <c r="Q245" s="15" t="n">
        <v>0</v>
      </c>
      <c r="R245" s="15" t="n">
        <v>0</v>
      </c>
      <c r="S245" s="17" t="n">
        <v>74271</v>
      </c>
      <c r="T245" s="15" t="s">
        <v>137</v>
      </c>
      <c r="U245" s="15" t="n">
        <v>2027</v>
      </c>
      <c r="V245" s="15" t="s">
        <v>1019</v>
      </c>
      <c r="W245" s="18" t="s">
        <v>139</v>
      </c>
      <c r="X245" s="18" t="s">
        <v>189</v>
      </c>
      <c r="Y245" s="15" t="s">
        <v>600</v>
      </c>
      <c r="Z245" s="15" t="s">
        <v>600</v>
      </c>
      <c r="AA245" s="19" t="str">
        <f aca="false">HYPERLINK("https://www.transfermarkt.com/schnellsuche/ergebnis/schnellsuche?query="&amp;SUBSTITUTE(A245," ","+"),"Search Transfermarkt")</f>
        <v>Search Transfermarkt</v>
      </c>
    </row>
    <row r="246" customFormat="false" ht="23.85" hidden="false" customHeight="false" outlineLevel="0" collapsed="false">
      <c r="A246" s="15" t="s">
        <v>1020</v>
      </c>
      <c r="B246" s="15" t="s">
        <v>83</v>
      </c>
      <c r="C246" s="15" t="s">
        <v>1021</v>
      </c>
      <c r="D246" s="15" t="n">
        <v>3</v>
      </c>
      <c r="E246" s="15" t="s">
        <v>1022</v>
      </c>
      <c r="F246" s="15" t="s">
        <v>163</v>
      </c>
      <c r="G246" s="15" t="n">
        <v>26</v>
      </c>
      <c r="H246" s="15" t="n">
        <v>1965</v>
      </c>
      <c r="I246" s="15" t="n">
        <v>19</v>
      </c>
      <c r="J246" s="15" t="n">
        <v>7</v>
      </c>
      <c r="K246" s="15" t="n">
        <v>28</v>
      </c>
      <c r="L246" s="15" t="n">
        <v>67</v>
      </c>
      <c r="M246" s="15" t="n">
        <v>8</v>
      </c>
      <c r="N246" s="15" t="n">
        <v>0</v>
      </c>
      <c r="O246" s="15" t="n">
        <v>0</v>
      </c>
      <c r="P246" s="16" t="n">
        <v>0</v>
      </c>
      <c r="Q246" s="15" t="n">
        <v>0</v>
      </c>
      <c r="R246" s="15" t="n">
        <v>0</v>
      </c>
      <c r="S246" s="17" t="n">
        <v>141425</v>
      </c>
      <c r="T246" s="15" t="s">
        <v>164</v>
      </c>
      <c r="U246" s="15" t="n">
        <v>2026</v>
      </c>
      <c r="V246" s="15" t="s">
        <v>1023</v>
      </c>
      <c r="W246" s="18" t="s">
        <v>139</v>
      </c>
      <c r="X246" s="18" t="s">
        <v>379</v>
      </c>
      <c r="Y246" s="15" t="s">
        <v>600</v>
      </c>
      <c r="Z246" s="15" t="s">
        <v>600</v>
      </c>
      <c r="AA246" s="19" t="str">
        <f aca="false">HYPERLINK("https://www.transfermarkt.com/schnellsuche/ergebnis/schnellsuche?query="&amp;SUBSTITUTE(A246," ","+"),"Search Transfermarkt")</f>
        <v>Search Transfermarkt</v>
      </c>
    </row>
    <row r="247" customFormat="false" ht="23.85" hidden="false" customHeight="false" outlineLevel="0" collapsed="false">
      <c r="A247" s="15" t="s">
        <v>1024</v>
      </c>
      <c r="B247" s="15" t="s">
        <v>88</v>
      </c>
      <c r="C247" s="15" t="s">
        <v>1025</v>
      </c>
      <c r="D247" s="15" t="n">
        <v>3</v>
      </c>
      <c r="E247" s="15" t="s">
        <v>1026</v>
      </c>
      <c r="F247" s="15" t="s">
        <v>170</v>
      </c>
      <c r="G247" s="15" t="n">
        <v>24</v>
      </c>
      <c r="H247" s="15" t="n">
        <v>2549</v>
      </c>
      <c r="I247" s="15" t="n">
        <v>9</v>
      </c>
      <c r="J247" s="15" t="n">
        <v>11</v>
      </c>
      <c r="K247" s="15" t="n">
        <v>171</v>
      </c>
      <c r="L247" s="15" t="n">
        <v>61</v>
      </c>
      <c r="M247" s="15" t="n">
        <v>36</v>
      </c>
      <c r="N247" s="15" t="n">
        <v>0</v>
      </c>
      <c r="O247" s="15" t="n">
        <v>0</v>
      </c>
      <c r="P247" s="16" t="n">
        <v>0</v>
      </c>
      <c r="Q247" s="15" t="n">
        <v>0</v>
      </c>
      <c r="R247" s="15" t="n">
        <v>0</v>
      </c>
      <c r="S247" s="17" t="n">
        <v>9429</v>
      </c>
      <c r="T247" s="15" t="s">
        <v>137</v>
      </c>
      <c r="U247" s="15" t="n">
        <v>2026</v>
      </c>
      <c r="V247" s="15" t="s">
        <v>1027</v>
      </c>
      <c r="W247" s="18" t="s">
        <v>139</v>
      </c>
      <c r="X247" s="18" t="s">
        <v>320</v>
      </c>
      <c r="Y247" s="15" t="s">
        <v>600</v>
      </c>
      <c r="Z247" s="15" t="s">
        <v>600</v>
      </c>
      <c r="AA247" s="19" t="str">
        <f aca="false">HYPERLINK("https://www.transfermarkt.com/schnellsuche/ergebnis/schnellsuche?query="&amp;SUBSTITUTE(A247," ","+"),"Search Transfermarkt")</f>
        <v>Search Transfermarkt</v>
      </c>
    </row>
    <row r="248" customFormat="false" ht="23.85" hidden="false" customHeight="false" outlineLevel="0" collapsed="false">
      <c r="A248" s="15" t="s">
        <v>1028</v>
      </c>
      <c r="B248" s="15" t="s">
        <v>77</v>
      </c>
      <c r="C248" s="15" t="s">
        <v>1029</v>
      </c>
      <c r="D248" s="15" t="n">
        <v>2</v>
      </c>
      <c r="E248" s="15" t="s">
        <v>1030</v>
      </c>
      <c r="F248" s="15" t="s">
        <v>136</v>
      </c>
      <c r="G248" s="15" t="n">
        <v>26</v>
      </c>
      <c r="H248" s="15" t="n">
        <v>2292</v>
      </c>
      <c r="I248" s="15" t="n">
        <v>2</v>
      </c>
      <c r="J248" s="15" t="n">
        <v>3</v>
      </c>
      <c r="K248" s="15" t="n">
        <v>67</v>
      </c>
      <c r="L248" s="15" t="n">
        <v>35</v>
      </c>
      <c r="M248" s="15" t="n">
        <v>107</v>
      </c>
      <c r="N248" s="15" t="n">
        <v>0</v>
      </c>
      <c r="O248" s="15" t="n">
        <v>0</v>
      </c>
      <c r="P248" s="16" t="n">
        <v>0</v>
      </c>
      <c r="Q248" s="15" t="n">
        <v>0</v>
      </c>
      <c r="R248" s="15" t="n">
        <v>0</v>
      </c>
      <c r="S248" s="17" t="n">
        <v>29738</v>
      </c>
      <c r="T248" s="15" t="s">
        <v>164</v>
      </c>
      <c r="U248" s="15" t="n">
        <v>2026</v>
      </c>
      <c r="V248" s="15" t="s">
        <v>1031</v>
      </c>
      <c r="W248" s="18" t="s">
        <v>139</v>
      </c>
      <c r="X248" s="18" t="s">
        <v>358</v>
      </c>
      <c r="Y248" s="15" t="s">
        <v>600</v>
      </c>
      <c r="Z248" s="15" t="s">
        <v>600</v>
      </c>
      <c r="AA248" s="19" t="str">
        <f aca="false">HYPERLINK("https://www.transfermarkt.com/schnellsuche/ergebnis/schnellsuche?query="&amp;SUBSTITUTE(A248," ","+"),"Search Transfermarkt")</f>
        <v>Search Transfermarkt</v>
      </c>
    </row>
    <row r="249" customFormat="false" ht="23.85" hidden="false" customHeight="false" outlineLevel="0" collapsed="false">
      <c r="A249" s="15" t="s">
        <v>1032</v>
      </c>
      <c r="B249" s="15" t="s">
        <v>79</v>
      </c>
      <c r="C249" s="15" t="s">
        <v>1033</v>
      </c>
      <c r="D249" s="15" t="n">
        <v>4</v>
      </c>
      <c r="E249" s="15" t="s">
        <v>490</v>
      </c>
      <c r="F249" s="15" t="s">
        <v>136</v>
      </c>
      <c r="G249" s="15" t="n">
        <v>21</v>
      </c>
      <c r="H249" s="15" t="n">
        <v>2211</v>
      </c>
      <c r="I249" s="15" t="n">
        <v>3</v>
      </c>
      <c r="J249" s="15" t="n">
        <v>4</v>
      </c>
      <c r="K249" s="15" t="n">
        <v>63</v>
      </c>
      <c r="L249" s="15" t="n">
        <v>24</v>
      </c>
      <c r="M249" s="15" t="n">
        <v>86</v>
      </c>
      <c r="N249" s="15" t="n">
        <v>0</v>
      </c>
      <c r="O249" s="15" t="n">
        <v>0</v>
      </c>
      <c r="P249" s="16" t="n">
        <v>0</v>
      </c>
      <c r="Q249" s="15" t="n">
        <v>0</v>
      </c>
      <c r="R249" s="15" t="n">
        <v>0</v>
      </c>
      <c r="S249" s="17" t="n">
        <v>0</v>
      </c>
      <c r="T249" s="15" t="s">
        <v>164</v>
      </c>
      <c r="U249" s="15" t="n">
        <v>2029</v>
      </c>
      <c r="V249" s="15" t="s">
        <v>491</v>
      </c>
      <c r="W249" s="18" t="s">
        <v>139</v>
      </c>
      <c r="X249" s="18" t="s">
        <v>412</v>
      </c>
      <c r="Y249" s="15" t="s">
        <v>600</v>
      </c>
      <c r="Z249" s="15" t="s">
        <v>600</v>
      </c>
      <c r="AA249" s="19" t="str">
        <f aca="false">HYPERLINK("https://www.transfermarkt.com/schnellsuche/ergebnis/schnellsuche?query="&amp;SUBSTITUTE(A249," ","+"),"Search Transfermarkt")</f>
        <v>Search Transfermarkt</v>
      </c>
    </row>
    <row r="250" customFormat="false" ht="23.85" hidden="false" customHeight="false" outlineLevel="0" collapsed="false">
      <c r="A250" s="15" t="s">
        <v>1034</v>
      </c>
      <c r="B250" s="15" t="s">
        <v>81</v>
      </c>
      <c r="C250" s="15" t="s">
        <v>1035</v>
      </c>
      <c r="D250" s="15" t="n">
        <v>2</v>
      </c>
      <c r="E250" s="15" t="s">
        <v>1036</v>
      </c>
      <c r="F250" s="15" t="s">
        <v>163</v>
      </c>
      <c r="G250" s="15" t="n">
        <v>17</v>
      </c>
      <c r="H250" s="15" t="n">
        <v>834</v>
      </c>
      <c r="I250" s="15" t="n">
        <v>7</v>
      </c>
      <c r="J250" s="15" t="n">
        <v>2</v>
      </c>
      <c r="K250" s="15" t="n">
        <v>61</v>
      </c>
      <c r="L250" s="15" t="n">
        <v>71</v>
      </c>
      <c r="M250" s="15" t="n">
        <v>9</v>
      </c>
      <c r="N250" s="15" t="n">
        <v>0</v>
      </c>
      <c r="O250" s="15" t="n">
        <v>0</v>
      </c>
      <c r="P250" s="16" t="n">
        <v>0</v>
      </c>
      <c r="Q250" s="15" t="n">
        <v>0</v>
      </c>
      <c r="R250" s="15" t="n">
        <v>0</v>
      </c>
      <c r="S250" s="17" t="n">
        <v>114210</v>
      </c>
      <c r="T250" s="15" t="s">
        <v>186</v>
      </c>
      <c r="U250" s="15" t="n">
        <v>2027</v>
      </c>
      <c r="V250" s="15" t="s">
        <v>1037</v>
      </c>
      <c r="W250" s="18" t="s">
        <v>147</v>
      </c>
      <c r="X250" s="18" t="s">
        <v>407</v>
      </c>
      <c r="Y250" s="15" t="s">
        <v>600</v>
      </c>
      <c r="Z250" s="15" t="s">
        <v>600</v>
      </c>
      <c r="AA250" s="19" t="str">
        <f aca="false">HYPERLINK("https://www.transfermarkt.com/schnellsuche/ergebnis/schnellsuche?query="&amp;SUBSTITUTE(A250," ","+"),"Search Transfermarkt")</f>
        <v>Search Transfermarkt</v>
      </c>
    </row>
    <row r="251" customFormat="false" ht="23.85" hidden="false" customHeight="false" outlineLevel="0" collapsed="false">
      <c r="A251" s="15" t="s">
        <v>1038</v>
      </c>
      <c r="B251" s="15" t="s">
        <v>66</v>
      </c>
      <c r="C251" s="15" t="s">
        <v>1039</v>
      </c>
      <c r="D251" s="15" t="n">
        <v>3</v>
      </c>
      <c r="E251" s="15" t="s">
        <v>1040</v>
      </c>
      <c r="F251" s="15" t="s">
        <v>170</v>
      </c>
      <c r="G251" s="15" t="n">
        <v>23</v>
      </c>
      <c r="H251" s="15" t="n">
        <v>1863</v>
      </c>
      <c r="I251" s="15" t="n">
        <v>10</v>
      </c>
      <c r="J251" s="15" t="n">
        <v>14</v>
      </c>
      <c r="K251" s="15" t="n">
        <v>164</v>
      </c>
      <c r="L251" s="15" t="n">
        <v>72</v>
      </c>
      <c r="M251" s="15" t="n">
        <v>54</v>
      </c>
      <c r="N251" s="15" t="n">
        <v>0</v>
      </c>
      <c r="O251" s="15" t="n">
        <v>0</v>
      </c>
      <c r="P251" s="16" t="n">
        <v>0</v>
      </c>
      <c r="Q251" s="15" t="n">
        <v>0</v>
      </c>
      <c r="R251" s="15" t="n">
        <v>0</v>
      </c>
      <c r="S251" s="17" t="n">
        <v>58013</v>
      </c>
      <c r="T251" s="15" t="s">
        <v>137</v>
      </c>
      <c r="U251" s="15" t="n">
        <v>2029</v>
      </c>
      <c r="V251" s="15" t="s">
        <v>1041</v>
      </c>
      <c r="W251" s="18" t="s">
        <v>139</v>
      </c>
      <c r="X251" s="18" t="s">
        <v>182</v>
      </c>
      <c r="Y251" s="15" t="s">
        <v>600</v>
      </c>
      <c r="Z251" s="15" t="s">
        <v>600</v>
      </c>
      <c r="AA251" s="19" t="str">
        <f aca="false">HYPERLINK("https://www.transfermarkt.com/schnellsuche/ergebnis/schnellsuche?query="&amp;SUBSTITUTE(A251," ","+"),"Search Transfermarkt")</f>
        <v>Search Transfermarkt</v>
      </c>
    </row>
    <row r="252" customFormat="false" ht="23.85" hidden="false" customHeight="false" outlineLevel="0" collapsed="false">
      <c r="A252" s="15" t="s">
        <v>1042</v>
      </c>
      <c r="B252" s="15" t="s">
        <v>75</v>
      </c>
      <c r="C252" s="15" t="s">
        <v>247</v>
      </c>
      <c r="D252" s="15" t="n">
        <v>3</v>
      </c>
      <c r="E252" s="15" t="s">
        <v>915</v>
      </c>
      <c r="F252" s="15" t="s">
        <v>170</v>
      </c>
      <c r="G252" s="15" t="n">
        <v>19</v>
      </c>
      <c r="H252" s="15" t="n">
        <v>987</v>
      </c>
      <c r="I252" s="15" t="n">
        <v>7</v>
      </c>
      <c r="J252" s="15" t="n">
        <v>14</v>
      </c>
      <c r="K252" s="15" t="n">
        <v>168</v>
      </c>
      <c r="L252" s="15" t="n">
        <v>71</v>
      </c>
      <c r="M252" s="15" t="n">
        <v>38</v>
      </c>
      <c r="N252" s="15" t="n">
        <v>0</v>
      </c>
      <c r="O252" s="15" t="n">
        <v>0</v>
      </c>
      <c r="P252" s="16" t="n">
        <v>0</v>
      </c>
      <c r="Q252" s="15" t="n">
        <v>0</v>
      </c>
      <c r="R252" s="15" t="n">
        <v>0</v>
      </c>
      <c r="S252" s="17" t="n">
        <v>138960</v>
      </c>
      <c r="T252" s="15" t="s">
        <v>137</v>
      </c>
      <c r="U252" s="15" t="n">
        <v>2027</v>
      </c>
      <c r="V252" s="15" t="s">
        <v>916</v>
      </c>
      <c r="W252" s="18" t="s">
        <v>139</v>
      </c>
      <c r="X252" s="18" t="s">
        <v>197</v>
      </c>
      <c r="Y252" s="15" t="s">
        <v>600</v>
      </c>
      <c r="Z252" s="15" t="s">
        <v>600</v>
      </c>
      <c r="AA252" s="19" t="str">
        <f aca="false">HYPERLINK("https://www.transfermarkt.com/schnellsuche/ergebnis/schnellsuche?query="&amp;SUBSTITUTE(A252," ","+"),"Search Transfermarkt")</f>
        <v>Search Transfermarkt</v>
      </c>
    </row>
    <row r="253" customFormat="false" ht="23.85" hidden="false" customHeight="false" outlineLevel="0" collapsed="false">
      <c r="A253" s="15" t="s">
        <v>1043</v>
      </c>
      <c r="B253" s="15" t="s">
        <v>92</v>
      </c>
      <c r="C253" s="15" t="s">
        <v>719</v>
      </c>
      <c r="D253" s="15" t="n">
        <v>3</v>
      </c>
      <c r="E253" s="15" t="s">
        <v>1044</v>
      </c>
      <c r="F253" s="15" t="s">
        <v>170</v>
      </c>
      <c r="G253" s="15" t="n">
        <v>24</v>
      </c>
      <c r="H253" s="15" t="n">
        <v>929</v>
      </c>
      <c r="I253" s="15" t="n">
        <v>4</v>
      </c>
      <c r="J253" s="15" t="n">
        <v>12</v>
      </c>
      <c r="K253" s="15" t="n">
        <v>140</v>
      </c>
      <c r="L253" s="15" t="n">
        <v>85</v>
      </c>
      <c r="M253" s="15" t="n">
        <v>33</v>
      </c>
      <c r="N253" s="15" t="n">
        <v>0</v>
      </c>
      <c r="O253" s="15" t="n">
        <v>0</v>
      </c>
      <c r="P253" s="16" t="n">
        <v>0</v>
      </c>
      <c r="Q253" s="15" t="n">
        <v>0</v>
      </c>
      <c r="R253" s="15" t="n">
        <v>0</v>
      </c>
      <c r="S253" s="17" t="n">
        <v>72097</v>
      </c>
      <c r="T253" s="15" t="s">
        <v>164</v>
      </c>
      <c r="U253" s="15" t="n">
        <v>2029</v>
      </c>
      <c r="V253" s="15" t="s">
        <v>1045</v>
      </c>
      <c r="W253" s="18" t="s">
        <v>139</v>
      </c>
      <c r="X253" s="18" t="s">
        <v>159</v>
      </c>
      <c r="Y253" s="15" t="s">
        <v>600</v>
      </c>
      <c r="Z253" s="15" t="s">
        <v>600</v>
      </c>
      <c r="AA253" s="19" t="str">
        <f aca="false">HYPERLINK("https://www.transfermarkt.com/schnellsuche/ergebnis/schnellsuche?query="&amp;SUBSTITUTE(A253," ","+"),"Search Transfermarkt")</f>
        <v>Search Transfermarkt</v>
      </c>
    </row>
    <row r="254" customFormat="false" ht="23.85" hidden="false" customHeight="false" outlineLevel="0" collapsed="false">
      <c r="A254" s="15" t="s">
        <v>1046</v>
      </c>
      <c r="B254" s="15" t="s">
        <v>66</v>
      </c>
      <c r="C254" s="15" t="s">
        <v>1039</v>
      </c>
      <c r="D254" s="15" t="n">
        <v>2</v>
      </c>
      <c r="E254" s="15" t="s">
        <v>1047</v>
      </c>
      <c r="F254" s="15" t="s">
        <v>136</v>
      </c>
      <c r="G254" s="15" t="n">
        <v>24</v>
      </c>
      <c r="H254" s="15" t="n">
        <v>1971</v>
      </c>
      <c r="I254" s="15" t="n">
        <v>2</v>
      </c>
      <c r="J254" s="15" t="n">
        <v>3</v>
      </c>
      <c r="K254" s="15" t="n">
        <v>49</v>
      </c>
      <c r="L254" s="15" t="n">
        <v>29</v>
      </c>
      <c r="M254" s="15" t="n">
        <v>117</v>
      </c>
      <c r="N254" s="15" t="n">
        <v>0</v>
      </c>
      <c r="O254" s="15" t="n">
        <v>0</v>
      </c>
      <c r="P254" s="16" t="n">
        <v>0</v>
      </c>
      <c r="Q254" s="15" t="n">
        <v>0</v>
      </c>
      <c r="R254" s="15" t="n">
        <v>0</v>
      </c>
      <c r="S254" s="17" t="n">
        <v>71115</v>
      </c>
      <c r="T254" s="15" t="s">
        <v>186</v>
      </c>
      <c r="U254" s="15" t="n">
        <v>2027</v>
      </c>
      <c r="V254" s="15" t="s">
        <v>1048</v>
      </c>
      <c r="W254" s="18" t="s">
        <v>188</v>
      </c>
      <c r="X254" s="18" t="s">
        <v>182</v>
      </c>
      <c r="Y254" s="15" t="s">
        <v>600</v>
      </c>
      <c r="Z254" s="15" t="s">
        <v>600</v>
      </c>
      <c r="AA254" s="19" t="str">
        <f aca="false">HYPERLINK("https://www.transfermarkt.com/schnellsuche/ergebnis/schnellsuche?query="&amp;SUBSTITUTE(A254," ","+"),"Search Transfermarkt")</f>
        <v>Search Transfermarkt</v>
      </c>
    </row>
    <row r="255" customFormat="false" ht="23.85" hidden="false" customHeight="false" outlineLevel="0" collapsed="false">
      <c r="A255" s="15" t="s">
        <v>1049</v>
      </c>
      <c r="B255" s="15" t="s">
        <v>73</v>
      </c>
      <c r="C255" s="15" t="s">
        <v>168</v>
      </c>
      <c r="D255" s="15" t="n">
        <v>2</v>
      </c>
      <c r="E255" s="15" t="s">
        <v>1050</v>
      </c>
      <c r="F255" s="15" t="s">
        <v>163</v>
      </c>
      <c r="G255" s="15" t="n">
        <v>26</v>
      </c>
      <c r="H255" s="15" t="n">
        <v>2236</v>
      </c>
      <c r="I255" s="15" t="n">
        <v>17</v>
      </c>
      <c r="J255" s="15" t="n">
        <v>3</v>
      </c>
      <c r="K255" s="15" t="n">
        <v>43</v>
      </c>
      <c r="L255" s="15" t="n">
        <v>60</v>
      </c>
      <c r="M255" s="15" t="n">
        <v>8</v>
      </c>
      <c r="N255" s="15" t="n">
        <v>0</v>
      </c>
      <c r="O255" s="15" t="n">
        <v>0</v>
      </c>
      <c r="P255" s="16" t="n">
        <v>0</v>
      </c>
      <c r="Q255" s="15" t="n">
        <v>0</v>
      </c>
      <c r="R255" s="15" t="n">
        <v>0</v>
      </c>
      <c r="S255" s="17" t="n">
        <v>32821</v>
      </c>
      <c r="T255" s="15" t="s">
        <v>137</v>
      </c>
      <c r="U255" s="15" t="n">
        <v>2029</v>
      </c>
      <c r="V255" s="15" t="s">
        <v>1051</v>
      </c>
      <c r="W255" s="18" t="s">
        <v>139</v>
      </c>
      <c r="X255" s="18" t="s">
        <v>172</v>
      </c>
      <c r="Y255" s="15" t="s">
        <v>600</v>
      </c>
      <c r="Z255" s="15" t="s">
        <v>600</v>
      </c>
      <c r="AA255" s="19" t="str">
        <f aca="false">HYPERLINK("https://www.transfermarkt.com/schnellsuche/ergebnis/schnellsuche?query="&amp;SUBSTITUTE(A255," ","+"),"Search Transfermarkt")</f>
        <v>Search Transfermarkt</v>
      </c>
    </row>
    <row r="256" customFormat="false" ht="23.85" hidden="false" customHeight="false" outlineLevel="0" collapsed="false">
      <c r="A256" s="15" t="s">
        <v>1052</v>
      </c>
      <c r="B256" s="15" t="s">
        <v>76</v>
      </c>
      <c r="C256" s="15" t="s">
        <v>1053</v>
      </c>
      <c r="D256" s="15" t="n">
        <v>2</v>
      </c>
      <c r="E256" s="15" t="s">
        <v>1054</v>
      </c>
      <c r="F256" s="15" t="s">
        <v>170</v>
      </c>
      <c r="G256" s="15" t="n">
        <v>24</v>
      </c>
      <c r="H256" s="15" t="n">
        <v>2058</v>
      </c>
      <c r="I256" s="15" t="n">
        <v>3</v>
      </c>
      <c r="J256" s="15" t="n">
        <v>5</v>
      </c>
      <c r="K256" s="15" t="n">
        <v>161</v>
      </c>
      <c r="L256" s="15" t="n">
        <v>56</v>
      </c>
      <c r="M256" s="15" t="n">
        <v>46</v>
      </c>
      <c r="N256" s="15" t="n">
        <v>0</v>
      </c>
      <c r="O256" s="15" t="n">
        <v>0</v>
      </c>
      <c r="P256" s="16" t="n">
        <v>0</v>
      </c>
      <c r="Q256" s="15" t="n">
        <v>0</v>
      </c>
      <c r="R256" s="15" t="n">
        <v>0</v>
      </c>
      <c r="S256" s="17" t="n">
        <v>106487</v>
      </c>
      <c r="T256" s="15" t="s">
        <v>137</v>
      </c>
      <c r="U256" s="15" t="n">
        <v>2028</v>
      </c>
      <c r="V256" s="15" t="s">
        <v>1055</v>
      </c>
      <c r="W256" s="18" t="s">
        <v>139</v>
      </c>
      <c r="X256" s="18" t="s">
        <v>241</v>
      </c>
      <c r="Y256" s="15" t="s">
        <v>600</v>
      </c>
      <c r="Z256" s="15" t="s">
        <v>600</v>
      </c>
      <c r="AA256" s="19" t="str">
        <f aca="false">HYPERLINK("https://www.transfermarkt.com/schnellsuche/ergebnis/schnellsuche?query="&amp;SUBSTITUTE(A256," ","+"),"Search Transfermarkt")</f>
        <v>Search Transfermarkt</v>
      </c>
    </row>
    <row r="257" customFormat="false" ht="23.85" hidden="false" customHeight="false" outlineLevel="0" collapsed="false">
      <c r="A257" s="15" t="s">
        <v>1056</v>
      </c>
      <c r="B257" s="15" t="s">
        <v>88</v>
      </c>
      <c r="C257" s="15" t="s">
        <v>613</v>
      </c>
      <c r="D257" s="15" t="n">
        <v>3</v>
      </c>
      <c r="E257" s="15" t="s">
        <v>1057</v>
      </c>
      <c r="F257" s="15" t="s">
        <v>136</v>
      </c>
      <c r="G257" s="15" t="n">
        <v>21</v>
      </c>
      <c r="H257" s="15" t="n">
        <v>2138</v>
      </c>
      <c r="I257" s="15" t="n">
        <v>1</v>
      </c>
      <c r="J257" s="15" t="n">
        <v>0</v>
      </c>
      <c r="K257" s="15" t="n">
        <v>39</v>
      </c>
      <c r="L257" s="15" t="n">
        <v>38</v>
      </c>
      <c r="M257" s="15" t="n">
        <v>100</v>
      </c>
      <c r="N257" s="15" t="n">
        <v>0</v>
      </c>
      <c r="O257" s="15" t="n">
        <v>0</v>
      </c>
      <c r="P257" s="16" t="n">
        <v>0</v>
      </c>
      <c r="Q257" s="15" t="n">
        <v>0</v>
      </c>
      <c r="R257" s="15" t="n">
        <v>0</v>
      </c>
      <c r="S257" s="17" t="n">
        <v>76201</v>
      </c>
      <c r="T257" s="15" t="s">
        <v>164</v>
      </c>
      <c r="U257" s="15" t="n">
        <v>2029</v>
      </c>
      <c r="V257" s="15" t="s">
        <v>1058</v>
      </c>
      <c r="W257" s="18" t="s">
        <v>139</v>
      </c>
      <c r="X257" s="18" t="s">
        <v>320</v>
      </c>
      <c r="Y257" s="15" t="s">
        <v>600</v>
      </c>
      <c r="Z257" s="15" t="s">
        <v>600</v>
      </c>
      <c r="AA257" s="19" t="str">
        <f aca="false">HYPERLINK("https://www.transfermarkt.com/schnellsuche/ergebnis/schnellsuche?query="&amp;SUBSTITUTE(A257," ","+"),"Search Transfermarkt")</f>
        <v>Search Transfermarkt</v>
      </c>
    </row>
    <row r="258" customFormat="false" ht="23.85" hidden="false" customHeight="false" outlineLevel="0" collapsed="false">
      <c r="A258" s="15" t="s">
        <v>1059</v>
      </c>
      <c r="B258" s="15" t="s">
        <v>90</v>
      </c>
      <c r="C258" s="15" t="s">
        <v>517</v>
      </c>
      <c r="D258" s="15" t="n">
        <v>3</v>
      </c>
      <c r="E258" s="15" t="s">
        <v>1060</v>
      </c>
      <c r="F258" s="15" t="s">
        <v>157</v>
      </c>
      <c r="G258" s="15" t="n">
        <v>25</v>
      </c>
      <c r="H258" s="15" t="n">
        <v>1496</v>
      </c>
      <c r="I258" s="15" t="n">
        <v>0</v>
      </c>
      <c r="J258" s="15" t="n">
        <v>0</v>
      </c>
      <c r="K258" s="15" t="n">
        <v>13</v>
      </c>
      <c r="L258" s="15" t="n">
        <v>5</v>
      </c>
      <c r="M258" s="15" t="n">
        <v>5</v>
      </c>
      <c r="N258" s="15" t="n">
        <v>62</v>
      </c>
      <c r="O258" s="15" t="n">
        <v>25</v>
      </c>
      <c r="P258" s="16" t="n">
        <v>69.9</v>
      </c>
      <c r="Q258" s="15" t="n">
        <v>9.5</v>
      </c>
      <c r="R258" s="15" t="n">
        <v>4</v>
      </c>
      <c r="S258" s="17" t="n">
        <v>0</v>
      </c>
      <c r="T258" s="15" t="s">
        <v>164</v>
      </c>
      <c r="U258" s="15" t="n">
        <v>2027</v>
      </c>
      <c r="V258" s="15" t="s">
        <v>1061</v>
      </c>
      <c r="W258" s="18" t="s">
        <v>139</v>
      </c>
      <c r="X258" s="18" t="s">
        <v>288</v>
      </c>
      <c r="Y258" s="15" t="s">
        <v>600</v>
      </c>
      <c r="Z258" s="15" t="s">
        <v>600</v>
      </c>
      <c r="AA258" s="19" t="str">
        <f aca="false">HYPERLINK("https://www.transfermarkt.com/schnellsuche/ergebnis/schnellsuche?query="&amp;SUBSTITUTE(A258," ","+"),"Search Transfermarkt")</f>
        <v>Search Transfermarkt</v>
      </c>
    </row>
    <row r="259" customFormat="false" ht="23.85" hidden="false" customHeight="false" outlineLevel="0" collapsed="false">
      <c r="A259" s="15" t="s">
        <v>1062</v>
      </c>
      <c r="B259" s="15" t="s">
        <v>104</v>
      </c>
      <c r="C259" s="15" t="s">
        <v>1063</v>
      </c>
      <c r="D259" s="15" t="n">
        <v>3</v>
      </c>
      <c r="E259" s="15" t="s">
        <v>1064</v>
      </c>
      <c r="F259" s="15" t="s">
        <v>163</v>
      </c>
      <c r="G259" s="15" t="n">
        <v>22</v>
      </c>
      <c r="H259" s="15" t="n">
        <v>875</v>
      </c>
      <c r="I259" s="15" t="n">
        <v>17</v>
      </c>
      <c r="J259" s="15" t="n">
        <v>9</v>
      </c>
      <c r="K259" s="15" t="n">
        <v>64</v>
      </c>
      <c r="L259" s="15" t="n">
        <v>87</v>
      </c>
      <c r="M259" s="15" t="n">
        <v>11</v>
      </c>
      <c r="N259" s="15" t="n">
        <v>0</v>
      </c>
      <c r="O259" s="15" t="n">
        <v>0</v>
      </c>
      <c r="P259" s="16" t="n">
        <v>0</v>
      </c>
      <c r="Q259" s="15" t="n">
        <v>0</v>
      </c>
      <c r="R259" s="15" t="n">
        <v>0</v>
      </c>
      <c r="S259" s="17" t="n">
        <v>77840</v>
      </c>
      <c r="T259" s="15" t="s">
        <v>164</v>
      </c>
      <c r="U259" s="15" t="n">
        <v>2028</v>
      </c>
      <c r="V259" s="15" t="s">
        <v>1065</v>
      </c>
      <c r="W259" s="18" t="s">
        <v>139</v>
      </c>
      <c r="X259" s="18" t="s">
        <v>274</v>
      </c>
      <c r="Y259" s="15" t="s">
        <v>600</v>
      </c>
      <c r="Z259" s="15" t="s">
        <v>600</v>
      </c>
      <c r="AA259" s="19" t="str">
        <f aca="false">HYPERLINK("https://www.transfermarkt.com/schnellsuche/ergebnis/schnellsuche?query="&amp;SUBSTITUTE(A259," ","+"),"Search Transfermarkt")</f>
        <v>Search Transfermarkt</v>
      </c>
    </row>
    <row r="260" customFormat="false" ht="23.85" hidden="false" customHeight="false" outlineLevel="0" collapsed="false">
      <c r="A260" s="15" t="s">
        <v>1066</v>
      </c>
      <c r="B260" s="15" t="s">
        <v>99</v>
      </c>
      <c r="C260" s="15" t="s">
        <v>676</v>
      </c>
      <c r="D260" s="15" t="n">
        <v>3</v>
      </c>
      <c r="E260" s="15" t="s">
        <v>991</v>
      </c>
      <c r="F260" s="15" t="s">
        <v>170</v>
      </c>
      <c r="G260" s="15" t="n">
        <v>19</v>
      </c>
      <c r="H260" s="15" t="n">
        <v>2253</v>
      </c>
      <c r="I260" s="15" t="n">
        <v>3</v>
      </c>
      <c r="J260" s="15" t="n">
        <v>4</v>
      </c>
      <c r="K260" s="15" t="n">
        <v>166</v>
      </c>
      <c r="L260" s="15" t="n">
        <v>97</v>
      </c>
      <c r="M260" s="15" t="n">
        <v>56</v>
      </c>
      <c r="N260" s="15" t="n">
        <v>0</v>
      </c>
      <c r="O260" s="15" t="n">
        <v>0</v>
      </c>
      <c r="P260" s="16" t="n">
        <v>0</v>
      </c>
      <c r="Q260" s="15" t="n">
        <v>0</v>
      </c>
      <c r="R260" s="15" t="n">
        <v>0</v>
      </c>
      <c r="S260" s="17" t="n">
        <v>0</v>
      </c>
      <c r="T260" s="15" t="s">
        <v>137</v>
      </c>
      <c r="U260" s="15" t="n">
        <v>2028</v>
      </c>
      <c r="V260" s="15" t="s">
        <v>992</v>
      </c>
      <c r="W260" s="18" t="s">
        <v>139</v>
      </c>
      <c r="X260" s="18" t="s">
        <v>189</v>
      </c>
      <c r="Y260" s="15" t="s">
        <v>600</v>
      </c>
      <c r="Z260" s="15" t="s">
        <v>600</v>
      </c>
      <c r="AA260" s="19" t="str">
        <f aca="false">HYPERLINK("https://www.transfermarkt.com/schnellsuche/ergebnis/schnellsuche?query="&amp;SUBSTITUTE(A260," ","+"),"Search Transfermarkt")</f>
        <v>Search Transfermarkt</v>
      </c>
    </row>
    <row r="261" customFormat="false" ht="23.85" hidden="false" customHeight="false" outlineLevel="0" collapsed="false">
      <c r="A261" s="15" t="s">
        <v>1067</v>
      </c>
      <c r="B261" s="15" t="s">
        <v>85</v>
      </c>
      <c r="C261" s="15" t="s">
        <v>330</v>
      </c>
      <c r="D261" s="15" t="n">
        <v>3</v>
      </c>
      <c r="E261" s="15" t="s">
        <v>1068</v>
      </c>
      <c r="F261" s="15" t="s">
        <v>163</v>
      </c>
      <c r="G261" s="15" t="n">
        <v>22</v>
      </c>
      <c r="H261" s="15" t="n">
        <v>2289</v>
      </c>
      <c r="I261" s="15" t="n">
        <v>8</v>
      </c>
      <c r="J261" s="15" t="n">
        <v>8</v>
      </c>
      <c r="K261" s="15" t="n">
        <v>38</v>
      </c>
      <c r="L261" s="15" t="n">
        <v>60</v>
      </c>
      <c r="M261" s="15" t="n">
        <v>9</v>
      </c>
      <c r="N261" s="15" t="n">
        <v>0</v>
      </c>
      <c r="O261" s="15" t="n">
        <v>0</v>
      </c>
      <c r="P261" s="16" t="n">
        <v>0</v>
      </c>
      <c r="Q261" s="15" t="n">
        <v>0</v>
      </c>
      <c r="R261" s="15" t="n">
        <v>0</v>
      </c>
      <c r="S261" s="17" t="n">
        <v>44436</v>
      </c>
      <c r="T261" s="15" t="s">
        <v>164</v>
      </c>
      <c r="U261" s="15" t="n">
        <v>2028</v>
      </c>
      <c r="V261" s="15" t="s">
        <v>1069</v>
      </c>
      <c r="W261" s="18" t="s">
        <v>139</v>
      </c>
      <c r="X261" s="18" t="s">
        <v>265</v>
      </c>
      <c r="Y261" s="15" t="s">
        <v>600</v>
      </c>
      <c r="Z261" s="15" t="s">
        <v>600</v>
      </c>
      <c r="AA261" s="19" t="str">
        <f aca="false">HYPERLINK("https://www.transfermarkt.com/schnellsuche/ergebnis/schnellsuche?query="&amp;SUBSTITUTE(A261," ","+"),"Search Transfermarkt")</f>
        <v>Search Transfermarkt</v>
      </c>
    </row>
    <row r="262" customFormat="false" ht="23.85" hidden="false" customHeight="false" outlineLevel="0" collapsed="false">
      <c r="A262" s="15" t="s">
        <v>1070</v>
      </c>
      <c r="B262" s="15" t="s">
        <v>103</v>
      </c>
      <c r="C262" s="15" t="s">
        <v>1071</v>
      </c>
      <c r="D262" s="15" t="n">
        <v>3</v>
      </c>
      <c r="E262" s="15" t="s">
        <v>1072</v>
      </c>
      <c r="F262" s="15" t="s">
        <v>136</v>
      </c>
      <c r="G262" s="15" t="n">
        <v>24</v>
      </c>
      <c r="H262" s="15" t="n">
        <v>2504</v>
      </c>
      <c r="I262" s="15" t="n">
        <v>3</v>
      </c>
      <c r="J262" s="15" t="n">
        <v>4</v>
      </c>
      <c r="K262" s="15" t="n">
        <v>57</v>
      </c>
      <c r="L262" s="15" t="n">
        <v>31</v>
      </c>
      <c r="M262" s="15" t="n">
        <v>115</v>
      </c>
      <c r="N262" s="15" t="n">
        <v>0</v>
      </c>
      <c r="O262" s="15" t="n">
        <v>0</v>
      </c>
      <c r="P262" s="16" t="n">
        <v>0</v>
      </c>
      <c r="Q262" s="15" t="n">
        <v>0</v>
      </c>
      <c r="R262" s="15" t="n">
        <v>0</v>
      </c>
      <c r="S262" s="17" t="n">
        <v>0</v>
      </c>
      <c r="T262" s="15" t="s">
        <v>137</v>
      </c>
      <c r="U262" s="15" t="n">
        <v>2029</v>
      </c>
      <c r="V262" s="15" t="s">
        <v>1073</v>
      </c>
      <c r="W262" s="18" t="s">
        <v>139</v>
      </c>
      <c r="X262" s="18" t="s">
        <v>481</v>
      </c>
      <c r="Y262" s="15" t="s">
        <v>600</v>
      </c>
      <c r="Z262" s="15" t="s">
        <v>600</v>
      </c>
      <c r="AA262" s="19" t="str">
        <f aca="false">HYPERLINK("https://www.transfermarkt.com/schnellsuche/ergebnis/schnellsuche?query="&amp;SUBSTITUTE(A262," ","+"),"Search Transfermarkt")</f>
        <v>Search Transfermarkt</v>
      </c>
    </row>
    <row r="263" customFormat="false" ht="23.85" hidden="false" customHeight="false" outlineLevel="0" collapsed="false">
      <c r="A263" s="15" t="s">
        <v>1074</v>
      </c>
      <c r="B263" s="15" t="s">
        <v>90</v>
      </c>
      <c r="C263" s="15" t="s">
        <v>517</v>
      </c>
      <c r="D263" s="15" t="n">
        <v>2</v>
      </c>
      <c r="E263" s="15" t="s">
        <v>1075</v>
      </c>
      <c r="F263" s="15" t="s">
        <v>157</v>
      </c>
      <c r="G263" s="15" t="n">
        <v>25</v>
      </c>
      <c r="H263" s="15" t="n">
        <v>1936</v>
      </c>
      <c r="I263" s="15" t="n">
        <v>0</v>
      </c>
      <c r="J263" s="15" t="n">
        <v>0</v>
      </c>
      <c r="K263" s="15" t="n">
        <v>20</v>
      </c>
      <c r="L263" s="15" t="n">
        <v>0</v>
      </c>
      <c r="M263" s="15" t="n">
        <v>6</v>
      </c>
      <c r="N263" s="15" t="n">
        <v>45</v>
      </c>
      <c r="O263" s="15" t="n">
        <v>40</v>
      </c>
      <c r="P263" s="16" t="n">
        <v>89.5</v>
      </c>
      <c r="Q263" s="15" t="n">
        <v>17</v>
      </c>
      <c r="R263" s="15" t="n">
        <v>7</v>
      </c>
      <c r="S263" s="17" t="n">
        <v>89690</v>
      </c>
      <c r="T263" s="15" t="s">
        <v>186</v>
      </c>
      <c r="U263" s="15" t="n">
        <v>2026</v>
      </c>
      <c r="V263" s="15" t="s">
        <v>1076</v>
      </c>
      <c r="W263" s="18" t="s">
        <v>188</v>
      </c>
      <c r="X263" s="18" t="s">
        <v>288</v>
      </c>
      <c r="Y263" s="15" t="s">
        <v>600</v>
      </c>
      <c r="Z263" s="15" t="s">
        <v>600</v>
      </c>
      <c r="AA263" s="19" t="str">
        <f aca="false">HYPERLINK("https://www.transfermarkt.com/schnellsuche/ergebnis/schnellsuche?query="&amp;SUBSTITUTE(A263," ","+"),"Search Transfermarkt")</f>
        <v>Search Transfermarkt</v>
      </c>
    </row>
    <row r="264" customFormat="false" ht="23.85" hidden="false" customHeight="false" outlineLevel="0" collapsed="false">
      <c r="A264" s="15" t="s">
        <v>1077</v>
      </c>
      <c r="B264" s="15" t="s">
        <v>98</v>
      </c>
      <c r="C264" s="15" t="s">
        <v>1078</v>
      </c>
      <c r="D264" s="15" t="n">
        <v>2</v>
      </c>
      <c r="E264" s="15" t="s">
        <v>1079</v>
      </c>
      <c r="F264" s="15" t="s">
        <v>170</v>
      </c>
      <c r="G264" s="15" t="n">
        <v>26</v>
      </c>
      <c r="H264" s="15" t="n">
        <v>860</v>
      </c>
      <c r="I264" s="15" t="n">
        <v>5</v>
      </c>
      <c r="J264" s="15" t="n">
        <v>9</v>
      </c>
      <c r="K264" s="15" t="n">
        <v>159</v>
      </c>
      <c r="L264" s="15" t="n">
        <v>74</v>
      </c>
      <c r="M264" s="15" t="n">
        <v>40</v>
      </c>
      <c r="N264" s="15" t="n">
        <v>0</v>
      </c>
      <c r="O264" s="15" t="n">
        <v>0</v>
      </c>
      <c r="P264" s="16" t="n">
        <v>0</v>
      </c>
      <c r="Q264" s="15" t="n">
        <v>0</v>
      </c>
      <c r="R264" s="15" t="n">
        <v>0</v>
      </c>
      <c r="S264" s="17" t="n">
        <v>37491</v>
      </c>
      <c r="T264" s="15" t="s">
        <v>137</v>
      </c>
      <c r="U264" s="15" t="n">
        <v>2028</v>
      </c>
      <c r="V264" s="15" t="s">
        <v>1080</v>
      </c>
      <c r="W264" s="18" t="s">
        <v>139</v>
      </c>
      <c r="X264" s="18" t="s">
        <v>148</v>
      </c>
      <c r="Y264" s="15" t="s">
        <v>600</v>
      </c>
      <c r="Z264" s="15" t="s">
        <v>600</v>
      </c>
      <c r="AA264" s="19" t="str">
        <f aca="false">HYPERLINK("https://www.transfermarkt.com/schnellsuche/ergebnis/schnellsuche?query="&amp;SUBSTITUTE(A264," ","+"),"Search Transfermarkt")</f>
        <v>Search Transfermarkt</v>
      </c>
    </row>
    <row r="265" customFormat="false" ht="23.85" hidden="false" customHeight="false" outlineLevel="0" collapsed="false">
      <c r="A265" s="15" t="s">
        <v>1081</v>
      </c>
      <c r="B265" s="15" t="s">
        <v>88</v>
      </c>
      <c r="C265" s="15" t="s">
        <v>1025</v>
      </c>
      <c r="D265" s="15" t="n">
        <v>2</v>
      </c>
      <c r="E265" s="15" t="s">
        <v>1082</v>
      </c>
      <c r="F265" s="15" t="s">
        <v>157</v>
      </c>
      <c r="G265" s="15" t="n">
        <v>24</v>
      </c>
      <c r="H265" s="15" t="n">
        <v>1425</v>
      </c>
      <c r="I265" s="15" t="n">
        <v>0</v>
      </c>
      <c r="J265" s="15" t="n">
        <v>0</v>
      </c>
      <c r="K265" s="15" t="n">
        <v>8</v>
      </c>
      <c r="L265" s="15" t="n">
        <v>3</v>
      </c>
      <c r="M265" s="15" t="n">
        <v>9</v>
      </c>
      <c r="N265" s="15" t="n">
        <v>65</v>
      </c>
      <c r="O265" s="15" t="n">
        <v>24</v>
      </c>
      <c r="P265" s="16" t="n">
        <v>60.5</v>
      </c>
      <c r="Q265" s="15" t="n">
        <v>23.1</v>
      </c>
      <c r="R265" s="15" t="n">
        <v>6</v>
      </c>
      <c r="S265" s="17" t="n">
        <v>148558</v>
      </c>
      <c r="T265" s="15" t="s">
        <v>164</v>
      </c>
      <c r="U265" s="15" t="n">
        <v>2029</v>
      </c>
      <c r="V265" s="15" t="s">
        <v>1083</v>
      </c>
      <c r="W265" s="18" t="s">
        <v>139</v>
      </c>
      <c r="X265" s="18" t="s">
        <v>320</v>
      </c>
      <c r="Y265" s="15" t="s">
        <v>600</v>
      </c>
      <c r="Z265" s="15" t="s">
        <v>600</v>
      </c>
      <c r="AA265" s="19" t="str">
        <f aca="false">HYPERLINK("https://www.transfermarkt.com/schnellsuche/ergebnis/schnellsuche?query="&amp;SUBSTITUTE(A265," ","+"),"Search Transfermarkt")</f>
        <v>Search Transfermarkt</v>
      </c>
    </row>
    <row r="266" customFormat="false" ht="23.85" hidden="false" customHeight="false" outlineLevel="0" collapsed="false">
      <c r="A266" s="15" t="s">
        <v>1084</v>
      </c>
      <c r="B266" s="15" t="s">
        <v>94</v>
      </c>
      <c r="C266" s="15" t="s">
        <v>1085</v>
      </c>
      <c r="D266" s="15" t="n">
        <v>4</v>
      </c>
      <c r="E266" s="15" t="s">
        <v>1086</v>
      </c>
      <c r="F266" s="15" t="s">
        <v>136</v>
      </c>
      <c r="G266" s="15" t="n">
        <v>22</v>
      </c>
      <c r="H266" s="15" t="n">
        <v>2423</v>
      </c>
      <c r="I266" s="15" t="n">
        <v>1</v>
      </c>
      <c r="J266" s="15" t="n">
        <v>4</v>
      </c>
      <c r="K266" s="15" t="n">
        <v>47</v>
      </c>
      <c r="L266" s="15" t="n">
        <v>39</v>
      </c>
      <c r="M266" s="15" t="n">
        <v>122</v>
      </c>
      <c r="N266" s="15" t="n">
        <v>0</v>
      </c>
      <c r="O266" s="15" t="n">
        <v>0</v>
      </c>
      <c r="P266" s="16" t="n">
        <v>0</v>
      </c>
      <c r="Q266" s="15" t="n">
        <v>0</v>
      </c>
      <c r="R266" s="15" t="n">
        <v>0</v>
      </c>
      <c r="S266" s="17" t="n">
        <v>27757</v>
      </c>
      <c r="T266" s="15" t="s">
        <v>137</v>
      </c>
      <c r="U266" s="15" t="n">
        <v>2028</v>
      </c>
      <c r="V266" s="15" t="s">
        <v>1087</v>
      </c>
      <c r="W266" s="18" t="s">
        <v>139</v>
      </c>
      <c r="X266" s="18" t="s">
        <v>226</v>
      </c>
      <c r="Y266" s="15" t="s">
        <v>600</v>
      </c>
      <c r="Z266" s="15" t="s">
        <v>600</v>
      </c>
      <c r="AA266" s="19" t="str">
        <f aca="false">HYPERLINK("https://www.transfermarkt.com/schnellsuche/ergebnis/schnellsuche?query="&amp;SUBSTITUTE(A266," ","+"),"Search Transfermarkt")</f>
        <v>Search Transfermarkt</v>
      </c>
    </row>
    <row r="267" customFormat="false" ht="23.85" hidden="false" customHeight="false" outlineLevel="0" collapsed="false">
      <c r="A267" s="15" t="s">
        <v>1088</v>
      </c>
      <c r="B267" s="15" t="s">
        <v>96</v>
      </c>
      <c r="C267" s="15" t="s">
        <v>1089</v>
      </c>
      <c r="D267" s="15" t="n">
        <v>3</v>
      </c>
      <c r="E267" s="15" t="s">
        <v>1090</v>
      </c>
      <c r="F267" s="15" t="s">
        <v>170</v>
      </c>
      <c r="G267" s="15" t="n">
        <v>25</v>
      </c>
      <c r="H267" s="15" t="n">
        <v>1964</v>
      </c>
      <c r="I267" s="15" t="n">
        <v>5</v>
      </c>
      <c r="J267" s="15" t="n">
        <v>6</v>
      </c>
      <c r="K267" s="15" t="n">
        <v>116</v>
      </c>
      <c r="L267" s="15" t="n">
        <v>87</v>
      </c>
      <c r="M267" s="15" t="n">
        <v>49</v>
      </c>
      <c r="N267" s="15" t="n">
        <v>0</v>
      </c>
      <c r="O267" s="15" t="n">
        <v>0</v>
      </c>
      <c r="P267" s="16" t="n">
        <v>0</v>
      </c>
      <c r="Q267" s="15" t="n">
        <v>0</v>
      </c>
      <c r="R267" s="15" t="n">
        <v>0</v>
      </c>
      <c r="S267" s="17" t="n">
        <v>97494</v>
      </c>
      <c r="T267" s="15" t="s">
        <v>137</v>
      </c>
      <c r="U267" s="15" t="n">
        <v>2029</v>
      </c>
      <c r="V267" s="15" t="s">
        <v>1091</v>
      </c>
      <c r="W267" s="18" t="s">
        <v>139</v>
      </c>
      <c r="X267" s="18" t="s">
        <v>216</v>
      </c>
      <c r="Y267" s="15" t="s">
        <v>600</v>
      </c>
      <c r="Z267" s="15" t="s">
        <v>600</v>
      </c>
      <c r="AA267" s="19" t="str">
        <f aca="false">HYPERLINK("https://www.transfermarkt.com/schnellsuche/ergebnis/schnellsuche?query="&amp;SUBSTITUTE(A267," ","+"),"Search Transfermarkt")</f>
        <v>Search Transfermarkt</v>
      </c>
    </row>
    <row r="268" customFormat="false" ht="23.85" hidden="false" customHeight="false" outlineLevel="0" collapsed="false">
      <c r="A268" s="15" t="s">
        <v>1092</v>
      </c>
      <c r="B268" s="15" t="s">
        <v>106</v>
      </c>
      <c r="C268" s="15" t="s">
        <v>1093</v>
      </c>
      <c r="D268" s="15" t="n">
        <v>4</v>
      </c>
      <c r="E268" s="15" t="s">
        <v>904</v>
      </c>
      <c r="F268" s="15" t="s">
        <v>157</v>
      </c>
      <c r="G268" s="15" t="n">
        <v>26</v>
      </c>
      <c r="H268" s="15" t="n">
        <v>1650</v>
      </c>
      <c r="I268" s="15" t="n">
        <v>0</v>
      </c>
      <c r="J268" s="15" t="n">
        <v>0</v>
      </c>
      <c r="K268" s="15" t="n">
        <v>11</v>
      </c>
      <c r="L268" s="15" t="n">
        <v>4</v>
      </c>
      <c r="M268" s="15" t="n">
        <v>4</v>
      </c>
      <c r="N268" s="15" t="n">
        <v>77</v>
      </c>
      <c r="O268" s="15" t="n">
        <v>37</v>
      </c>
      <c r="P268" s="16" t="n">
        <v>66.4</v>
      </c>
      <c r="Q268" s="15" t="n">
        <v>24.3</v>
      </c>
      <c r="R268" s="15" t="n">
        <v>3</v>
      </c>
      <c r="S268" s="17" t="n">
        <v>67332</v>
      </c>
      <c r="T268" s="15" t="s">
        <v>137</v>
      </c>
      <c r="U268" s="15" t="n">
        <v>2027</v>
      </c>
      <c r="V268" s="15" t="s">
        <v>905</v>
      </c>
      <c r="W268" s="18" t="s">
        <v>139</v>
      </c>
      <c r="X268" s="18" t="s">
        <v>283</v>
      </c>
      <c r="Y268" s="15" t="s">
        <v>600</v>
      </c>
      <c r="Z268" s="15" t="s">
        <v>600</v>
      </c>
      <c r="AA268" s="19" t="str">
        <f aca="false">HYPERLINK("https://www.transfermarkt.com/schnellsuche/ergebnis/schnellsuche?query="&amp;SUBSTITUTE(A268," ","+"),"Search Transfermarkt")</f>
        <v>Search Transfermarkt</v>
      </c>
    </row>
    <row r="269" customFormat="false" ht="23.85" hidden="false" customHeight="false" outlineLevel="0" collapsed="false">
      <c r="A269" s="15" t="s">
        <v>1094</v>
      </c>
      <c r="B269" s="15" t="s">
        <v>80</v>
      </c>
      <c r="C269" s="15" t="s">
        <v>1095</v>
      </c>
      <c r="D269" s="15" t="n">
        <v>2</v>
      </c>
      <c r="E269" s="15" t="s">
        <v>999</v>
      </c>
      <c r="F269" s="15" t="s">
        <v>157</v>
      </c>
      <c r="G269" s="15" t="n">
        <v>17</v>
      </c>
      <c r="H269" s="15" t="n">
        <v>1127</v>
      </c>
      <c r="I269" s="15" t="n">
        <v>0</v>
      </c>
      <c r="J269" s="15" t="n">
        <v>0</v>
      </c>
      <c r="K269" s="15" t="n">
        <v>11</v>
      </c>
      <c r="L269" s="15" t="n">
        <v>1</v>
      </c>
      <c r="M269" s="15" t="n">
        <v>10</v>
      </c>
      <c r="N269" s="15" t="n">
        <v>35</v>
      </c>
      <c r="O269" s="15" t="n">
        <v>26</v>
      </c>
      <c r="P269" s="16" t="n">
        <v>66.3</v>
      </c>
      <c r="Q269" s="15" t="n">
        <v>11.4</v>
      </c>
      <c r="R269" s="15" t="n">
        <v>5</v>
      </c>
      <c r="S269" s="17" t="n">
        <v>0</v>
      </c>
      <c r="T269" s="15" t="s">
        <v>164</v>
      </c>
      <c r="U269" s="15" t="n">
        <v>2026</v>
      </c>
      <c r="V269" s="15" t="s">
        <v>1000</v>
      </c>
      <c r="W269" s="18" t="s">
        <v>147</v>
      </c>
      <c r="X269" s="18" t="s">
        <v>304</v>
      </c>
      <c r="Y269" s="15" t="s">
        <v>600</v>
      </c>
      <c r="Z269" s="15" t="s">
        <v>600</v>
      </c>
      <c r="AA269" s="19" t="str">
        <f aca="false">HYPERLINK("https://www.transfermarkt.com/schnellsuche/ergebnis/schnellsuche?query="&amp;SUBSTITUTE(A269," ","+"),"Search Transfermarkt")</f>
        <v>Search Transfermarkt</v>
      </c>
    </row>
    <row r="270" customFormat="false" ht="23.85" hidden="false" customHeight="false" outlineLevel="0" collapsed="false">
      <c r="A270" s="15" t="s">
        <v>1096</v>
      </c>
      <c r="B270" s="15" t="s">
        <v>104</v>
      </c>
      <c r="C270" s="15" t="s">
        <v>590</v>
      </c>
      <c r="D270" s="15" t="n">
        <v>3</v>
      </c>
      <c r="E270" s="15" t="s">
        <v>1097</v>
      </c>
      <c r="F270" s="15" t="s">
        <v>163</v>
      </c>
      <c r="G270" s="15" t="n">
        <v>19</v>
      </c>
      <c r="H270" s="15" t="n">
        <v>1498</v>
      </c>
      <c r="I270" s="15" t="n">
        <v>17</v>
      </c>
      <c r="J270" s="15" t="n">
        <v>5</v>
      </c>
      <c r="K270" s="15" t="n">
        <v>35</v>
      </c>
      <c r="L270" s="15" t="n">
        <v>75</v>
      </c>
      <c r="M270" s="15" t="n">
        <v>9</v>
      </c>
      <c r="N270" s="15" t="n">
        <v>0</v>
      </c>
      <c r="O270" s="15" t="n">
        <v>0</v>
      </c>
      <c r="P270" s="16" t="n">
        <v>0</v>
      </c>
      <c r="Q270" s="15" t="n">
        <v>0</v>
      </c>
      <c r="R270" s="15" t="n">
        <v>0</v>
      </c>
      <c r="S270" s="17" t="n">
        <v>0</v>
      </c>
      <c r="T270" s="15" t="s">
        <v>164</v>
      </c>
      <c r="U270" s="15" t="n">
        <v>2028</v>
      </c>
      <c r="V270" s="15" t="s">
        <v>1098</v>
      </c>
      <c r="W270" s="18" t="s">
        <v>139</v>
      </c>
      <c r="X270" s="18" t="s">
        <v>274</v>
      </c>
      <c r="Y270" s="15" t="s">
        <v>600</v>
      </c>
      <c r="Z270" s="15" t="s">
        <v>600</v>
      </c>
      <c r="AA270" s="19" t="str">
        <f aca="false">HYPERLINK("https://www.transfermarkt.com/schnellsuche/ergebnis/schnellsuche?query="&amp;SUBSTITUTE(A270," ","+"),"Search Transfermarkt")</f>
        <v>Search Transfermarkt</v>
      </c>
    </row>
    <row r="271" customFormat="false" ht="23.85" hidden="false" customHeight="false" outlineLevel="0" collapsed="false">
      <c r="A271" s="15" t="s">
        <v>1099</v>
      </c>
      <c r="B271" s="15" t="s">
        <v>77</v>
      </c>
      <c r="C271" s="15" t="s">
        <v>1100</v>
      </c>
      <c r="D271" s="15" t="n">
        <v>3</v>
      </c>
      <c r="E271" s="15" t="s">
        <v>356</v>
      </c>
      <c r="F271" s="15" t="s">
        <v>157</v>
      </c>
      <c r="G271" s="15" t="n">
        <v>19</v>
      </c>
      <c r="H271" s="15" t="n">
        <v>1109</v>
      </c>
      <c r="I271" s="15" t="n">
        <v>0</v>
      </c>
      <c r="J271" s="15" t="n">
        <v>0</v>
      </c>
      <c r="K271" s="15" t="n">
        <v>9</v>
      </c>
      <c r="L271" s="15" t="n">
        <v>0</v>
      </c>
      <c r="M271" s="15" t="n">
        <v>8</v>
      </c>
      <c r="N271" s="15" t="n">
        <v>47</v>
      </c>
      <c r="O271" s="15" t="n">
        <v>23</v>
      </c>
      <c r="P271" s="16" t="n">
        <v>63</v>
      </c>
      <c r="Q271" s="15" t="n">
        <v>5.4</v>
      </c>
      <c r="R271" s="15" t="n">
        <v>4</v>
      </c>
      <c r="S271" s="17" t="n">
        <v>124110</v>
      </c>
      <c r="T271" s="15" t="s">
        <v>137</v>
      </c>
      <c r="U271" s="15" t="n">
        <v>2028</v>
      </c>
      <c r="V271" s="15" t="s">
        <v>357</v>
      </c>
      <c r="W271" s="18" t="s">
        <v>139</v>
      </c>
      <c r="X271" s="18" t="s">
        <v>358</v>
      </c>
      <c r="Y271" s="15" t="s">
        <v>600</v>
      </c>
      <c r="Z271" s="15" t="s">
        <v>600</v>
      </c>
      <c r="AA271" s="19" t="str">
        <f aca="false">HYPERLINK("https://www.transfermarkt.com/schnellsuche/ergebnis/schnellsuche?query="&amp;SUBSTITUTE(A271," ","+"),"Search Transfermarkt")</f>
        <v>Search Transfermarkt</v>
      </c>
    </row>
    <row r="272" customFormat="false" ht="23.85" hidden="false" customHeight="false" outlineLevel="0" collapsed="false">
      <c r="A272" s="15" t="s">
        <v>1101</v>
      </c>
      <c r="B272" s="15" t="s">
        <v>83</v>
      </c>
      <c r="C272" s="15" t="s">
        <v>943</v>
      </c>
      <c r="D272" s="15" t="n">
        <v>3</v>
      </c>
      <c r="E272" s="15" t="s">
        <v>1102</v>
      </c>
      <c r="F272" s="15" t="s">
        <v>170</v>
      </c>
      <c r="G272" s="15" t="n">
        <v>21</v>
      </c>
      <c r="H272" s="15" t="n">
        <v>2389</v>
      </c>
      <c r="I272" s="15" t="n">
        <v>8</v>
      </c>
      <c r="J272" s="15" t="n">
        <v>7</v>
      </c>
      <c r="K272" s="15" t="n">
        <v>147</v>
      </c>
      <c r="L272" s="15" t="n">
        <v>87</v>
      </c>
      <c r="M272" s="15" t="n">
        <v>33</v>
      </c>
      <c r="N272" s="15" t="n">
        <v>0</v>
      </c>
      <c r="O272" s="15" t="n">
        <v>0</v>
      </c>
      <c r="P272" s="16" t="n">
        <v>0</v>
      </c>
      <c r="Q272" s="15" t="n">
        <v>0</v>
      </c>
      <c r="R272" s="15" t="n">
        <v>0</v>
      </c>
      <c r="S272" s="17" t="n">
        <v>83591</v>
      </c>
      <c r="T272" s="15" t="s">
        <v>186</v>
      </c>
      <c r="U272" s="15" t="n">
        <v>2026</v>
      </c>
      <c r="V272" s="15" t="s">
        <v>1103</v>
      </c>
      <c r="W272" s="18" t="s">
        <v>188</v>
      </c>
      <c r="X272" s="18" t="s">
        <v>379</v>
      </c>
      <c r="Y272" s="15" t="s">
        <v>600</v>
      </c>
      <c r="Z272" s="15" t="s">
        <v>600</v>
      </c>
      <c r="AA272" s="19" t="str">
        <f aca="false">HYPERLINK("https://www.transfermarkt.com/schnellsuche/ergebnis/schnellsuche?query="&amp;SUBSTITUTE(A272," ","+"),"Search Transfermarkt")</f>
        <v>Search Transfermarkt</v>
      </c>
    </row>
    <row r="273" customFormat="false" ht="23.85" hidden="false" customHeight="false" outlineLevel="0" collapsed="false">
      <c r="A273" s="15" t="s">
        <v>1104</v>
      </c>
      <c r="B273" s="15" t="s">
        <v>69</v>
      </c>
      <c r="C273" s="15" t="s">
        <v>1105</v>
      </c>
      <c r="D273" s="15" t="n">
        <v>2</v>
      </c>
      <c r="E273" s="15" t="s">
        <v>692</v>
      </c>
      <c r="F273" s="15" t="s">
        <v>157</v>
      </c>
      <c r="G273" s="15" t="n">
        <v>24</v>
      </c>
      <c r="H273" s="15" t="n">
        <v>934</v>
      </c>
      <c r="I273" s="15" t="n">
        <v>0</v>
      </c>
      <c r="J273" s="15" t="n">
        <v>0</v>
      </c>
      <c r="K273" s="15" t="n">
        <v>11</v>
      </c>
      <c r="L273" s="15" t="n">
        <v>1</v>
      </c>
      <c r="M273" s="15" t="n">
        <v>8</v>
      </c>
      <c r="N273" s="15" t="n">
        <v>26</v>
      </c>
      <c r="O273" s="15" t="n">
        <v>20</v>
      </c>
      <c r="P273" s="16" t="n">
        <v>65.8</v>
      </c>
      <c r="Q273" s="15" t="n">
        <v>13</v>
      </c>
      <c r="R273" s="15" t="n">
        <v>2</v>
      </c>
      <c r="S273" s="17" t="n">
        <v>26397</v>
      </c>
      <c r="T273" s="15" t="s">
        <v>137</v>
      </c>
      <c r="U273" s="15" t="n">
        <v>2028</v>
      </c>
      <c r="V273" s="15" t="s">
        <v>693</v>
      </c>
      <c r="W273" s="18" t="s">
        <v>139</v>
      </c>
      <c r="X273" s="18" t="s">
        <v>140</v>
      </c>
      <c r="Y273" s="15" t="s">
        <v>600</v>
      </c>
      <c r="Z273" s="15" t="s">
        <v>600</v>
      </c>
      <c r="AA273" s="19" t="str">
        <f aca="false">HYPERLINK("https://www.transfermarkt.com/schnellsuche/ergebnis/schnellsuche?query="&amp;SUBSTITUTE(A273," ","+"),"Search Transfermarkt")</f>
        <v>Search Transfermarkt</v>
      </c>
    </row>
    <row r="274" customFormat="false" ht="23.85" hidden="false" customHeight="false" outlineLevel="0" collapsed="false">
      <c r="A274" s="15" t="s">
        <v>1106</v>
      </c>
      <c r="B274" s="15" t="s">
        <v>71</v>
      </c>
      <c r="C274" s="15" t="s">
        <v>1107</v>
      </c>
      <c r="D274" s="15" t="n">
        <v>2</v>
      </c>
      <c r="E274" s="15" t="s">
        <v>1108</v>
      </c>
      <c r="F274" s="15" t="s">
        <v>136</v>
      </c>
      <c r="G274" s="15" t="n">
        <v>17</v>
      </c>
      <c r="H274" s="15" t="n">
        <v>1324</v>
      </c>
      <c r="I274" s="15" t="n">
        <v>0</v>
      </c>
      <c r="J274" s="15" t="n">
        <v>4</v>
      </c>
      <c r="K274" s="15" t="n">
        <v>53</v>
      </c>
      <c r="L274" s="15" t="n">
        <v>40</v>
      </c>
      <c r="M274" s="15" t="n">
        <v>104</v>
      </c>
      <c r="N274" s="15" t="n">
        <v>0</v>
      </c>
      <c r="O274" s="15" t="n">
        <v>0</v>
      </c>
      <c r="P274" s="16" t="n">
        <v>0</v>
      </c>
      <c r="Q274" s="15" t="n">
        <v>0</v>
      </c>
      <c r="R274" s="15" t="n">
        <v>0</v>
      </c>
      <c r="S274" s="17" t="n">
        <v>0</v>
      </c>
      <c r="T274" s="15" t="s">
        <v>137</v>
      </c>
      <c r="U274" s="15" t="n">
        <v>2028</v>
      </c>
      <c r="V274" s="15" t="s">
        <v>1109</v>
      </c>
      <c r="W274" s="18" t="s">
        <v>147</v>
      </c>
      <c r="X274" s="18" t="s">
        <v>177</v>
      </c>
      <c r="Y274" s="15" t="s">
        <v>600</v>
      </c>
      <c r="Z274" s="15" t="s">
        <v>600</v>
      </c>
      <c r="AA274" s="19" t="str">
        <f aca="false">HYPERLINK("https://www.transfermarkt.com/schnellsuche/ergebnis/schnellsuche?query="&amp;SUBSTITUTE(A274," ","+"),"Search Transfermarkt")</f>
        <v>Search Transfermarkt</v>
      </c>
    </row>
    <row r="275" customFormat="false" ht="23.85" hidden="false" customHeight="false" outlineLevel="0" collapsed="false">
      <c r="A275" s="15" t="s">
        <v>1110</v>
      </c>
      <c r="B275" s="15" t="s">
        <v>104</v>
      </c>
      <c r="C275" s="15" t="s">
        <v>1063</v>
      </c>
      <c r="D275" s="15" t="n">
        <v>2</v>
      </c>
      <c r="E275" s="15" t="s">
        <v>1111</v>
      </c>
      <c r="F275" s="15" t="s">
        <v>170</v>
      </c>
      <c r="G275" s="15" t="n">
        <v>19</v>
      </c>
      <c r="H275" s="15" t="n">
        <v>832</v>
      </c>
      <c r="I275" s="15" t="n">
        <v>8</v>
      </c>
      <c r="J275" s="15" t="n">
        <v>4</v>
      </c>
      <c r="K275" s="15" t="n">
        <v>121</v>
      </c>
      <c r="L275" s="15" t="n">
        <v>96</v>
      </c>
      <c r="M275" s="15" t="n">
        <v>32</v>
      </c>
      <c r="N275" s="15" t="n">
        <v>0</v>
      </c>
      <c r="O275" s="15" t="n">
        <v>0</v>
      </c>
      <c r="P275" s="16" t="n">
        <v>0</v>
      </c>
      <c r="Q275" s="15" t="n">
        <v>0</v>
      </c>
      <c r="R275" s="15" t="n">
        <v>0</v>
      </c>
      <c r="S275" s="17" t="n">
        <v>39039</v>
      </c>
      <c r="T275" s="15" t="s">
        <v>137</v>
      </c>
      <c r="U275" s="15" t="n">
        <v>2028</v>
      </c>
      <c r="V275" s="15" t="s">
        <v>1112</v>
      </c>
      <c r="W275" s="18" t="s">
        <v>139</v>
      </c>
      <c r="X275" s="18" t="s">
        <v>274</v>
      </c>
      <c r="Y275" s="15" t="s">
        <v>600</v>
      </c>
      <c r="Z275" s="15" t="s">
        <v>600</v>
      </c>
      <c r="AA275" s="19" t="str">
        <f aca="false">HYPERLINK("https://www.transfermarkt.com/schnellsuche/ergebnis/schnellsuche?query="&amp;SUBSTITUTE(A275," ","+"),"Search Transfermarkt")</f>
        <v>Search Transfermarkt</v>
      </c>
    </row>
    <row r="276" customFormat="false" ht="23.85" hidden="false" customHeight="false" outlineLevel="0" collapsed="false">
      <c r="A276" s="15" t="s">
        <v>1113</v>
      </c>
      <c r="B276" s="15" t="s">
        <v>64</v>
      </c>
      <c r="C276" s="15" t="s">
        <v>1114</v>
      </c>
      <c r="D276" s="15" t="n">
        <v>4</v>
      </c>
      <c r="E276" s="15" t="s">
        <v>1115</v>
      </c>
      <c r="F276" s="15" t="s">
        <v>163</v>
      </c>
      <c r="G276" s="15" t="n">
        <v>19</v>
      </c>
      <c r="H276" s="15" t="n">
        <v>1714</v>
      </c>
      <c r="I276" s="15" t="n">
        <v>12</v>
      </c>
      <c r="J276" s="15" t="n">
        <v>7</v>
      </c>
      <c r="K276" s="15" t="n">
        <v>33</v>
      </c>
      <c r="L276" s="15" t="n">
        <v>89</v>
      </c>
      <c r="M276" s="15" t="n">
        <v>4</v>
      </c>
      <c r="N276" s="15" t="n">
        <v>0</v>
      </c>
      <c r="O276" s="15" t="n">
        <v>0</v>
      </c>
      <c r="P276" s="16" t="n">
        <v>0</v>
      </c>
      <c r="Q276" s="15" t="n">
        <v>0</v>
      </c>
      <c r="R276" s="15" t="n">
        <v>0</v>
      </c>
      <c r="S276" s="17" t="n">
        <v>136509</v>
      </c>
      <c r="T276" s="15" t="s">
        <v>164</v>
      </c>
      <c r="U276" s="15" t="n">
        <v>2028</v>
      </c>
      <c r="V276" s="15" t="s">
        <v>1116</v>
      </c>
      <c r="W276" s="18" t="s">
        <v>139</v>
      </c>
      <c r="X276" s="18" t="s">
        <v>231</v>
      </c>
      <c r="Y276" s="15" t="s">
        <v>600</v>
      </c>
      <c r="Z276" s="15" t="s">
        <v>600</v>
      </c>
      <c r="AA276" s="19" t="str">
        <f aca="false">HYPERLINK("https://www.transfermarkt.com/schnellsuche/ergebnis/schnellsuche?query="&amp;SUBSTITUTE(A276," ","+"),"Search Transfermarkt")</f>
        <v>Search Transfermarkt</v>
      </c>
    </row>
    <row r="277" customFormat="false" ht="23.85" hidden="false" customHeight="false" outlineLevel="0" collapsed="false">
      <c r="A277" s="15" t="s">
        <v>1117</v>
      </c>
      <c r="B277" s="15" t="s">
        <v>77</v>
      </c>
      <c r="C277" s="15" t="s">
        <v>544</v>
      </c>
      <c r="D277" s="15" t="n">
        <v>2</v>
      </c>
      <c r="E277" s="15" t="s">
        <v>1118</v>
      </c>
      <c r="F277" s="15" t="s">
        <v>157</v>
      </c>
      <c r="G277" s="15" t="n">
        <v>26</v>
      </c>
      <c r="H277" s="15" t="n">
        <v>2169</v>
      </c>
      <c r="I277" s="15" t="n">
        <v>0</v>
      </c>
      <c r="J277" s="15" t="n">
        <v>0</v>
      </c>
      <c r="K277" s="15" t="n">
        <v>7</v>
      </c>
      <c r="L277" s="15" t="n">
        <v>3</v>
      </c>
      <c r="M277" s="15" t="n">
        <v>9</v>
      </c>
      <c r="N277" s="15" t="n">
        <v>63</v>
      </c>
      <c r="O277" s="15" t="n">
        <v>40</v>
      </c>
      <c r="P277" s="16" t="n">
        <v>60.5</v>
      </c>
      <c r="Q277" s="15" t="n">
        <v>35.4</v>
      </c>
      <c r="R277" s="15" t="n">
        <v>4</v>
      </c>
      <c r="S277" s="17" t="n">
        <v>0</v>
      </c>
      <c r="T277" s="15" t="s">
        <v>137</v>
      </c>
      <c r="U277" s="15" t="n">
        <v>2029</v>
      </c>
      <c r="V277" s="15" t="s">
        <v>1119</v>
      </c>
      <c r="W277" s="18" t="s">
        <v>139</v>
      </c>
      <c r="X277" s="18" t="s">
        <v>358</v>
      </c>
      <c r="Y277" s="15" t="s">
        <v>600</v>
      </c>
      <c r="Z277" s="15" t="s">
        <v>600</v>
      </c>
      <c r="AA277" s="19" t="str">
        <f aca="false">HYPERLINK("https://www.transfermarkt.com/schnellsuche/ergebnis/schnellsuche?query="&amp;SUBSTITUTE(A277," ","+"),"Search Transfermarkt")</f>
        <v>Search Transfermarkt</v>
      </c>
    </row>
    <row r="278" customFormat="false" ht="23.85" hidden="false" customHeight="false" outlineLevel="0" collapsed="false">
      <c r="A278" s="15" t="s">
        <v>1120</v>
      </c>
      <c r="B278" s="15" t="s">
        <v>89</v>
      </c>
      <c r="C278" s="15" t="s">
        <v>969</v>
      </c>
      <c r="D278" s="15" t="n">
        <v>3</v>
      </c>
      <c r="E278" s="15" t="s">
        <v>1121</v>
      </c>
      <c r="F278" s="15" t="s">
        <v>170</v>
      </c>
      <c r="G278" s="15" t="n">
        <v>20</v>
      </c>
      <c r="H278" s="15" t="n">
        <v>1820</v>
      </c>
      <c r="I278" s="15" t="n">
        <v>10</v>
      </c>
      <c r="J278" s="15" t="n">
        <v>9</v>
      </c>
      <c r="K278" s="15" t="n">
        <v>164</v>
      </c>
      <c r="L278" s="15" t="n">
        <v>58</v>
      </c>
      <c r="M278" s="15" t="n">
        <v>31</v>
      </c>
      <c r="N278" s="15" t="n">
        <v>0</v>
      </c>
      <c r="O278" s="15" t="n">
        <v>0</v>
      </c>
      <c r="P278" s="16" t="n">
        <v>0</v>
      </c>
      <c r="Q278" s="15" t="n">
        <v>0</v>
      </c>
      <c r="R278" s="15" t="n">
        <v>0</v>
      </c>
      <c r="S278" s="17" t="n">
        <v>0</v>
      </c>
      <c r="T278" s="15" t="s">
        <v>164</v>
      </c>
      <c r="U278" s="15" t="n">
        <v>2026</v>
      </c>
      <c r="V278" s="15" t="s">
        <v>1122</v>
      </c>
      <c r="W278" s="18" t="s">
        <v>139</v>
      </c>
      <c r="X278" s="18" t="s">
        <v>206</v>
      </c>
      <c r="Y278" s="15" t="s">
        <v>600</v>
      </c>
      <c r="Z278" s="15" t="s">
        <v>600</v>
      </c>
      <c r="AA278" s="19" t="str">
        <f aca="false">HYPERLINK("https://www.transfermarkt.com/schnellsuche/ergebnis/schnellsuche?query="&amp;SUBSTITUTE(A278," ","+"),"Search Transfermarkt")</f>
        <v>Search Transfermarkt</v>
      </c>
    </row>
    <row r="279" customFormat="false" ht="23.85" hidden="false" customHeight="false" outlineLevel="0" collapsed="false">
      <c r="A279" s="15" t="s">
        <v>1123</v>
      </c>
      <c r="B279" s="15" t="s">
        <v>83</v>
      </c>
      <c r="C279" s="15" t="s">
        <v>943</v>
      </c>
      <c r="D279" s="15" t="n">
        <v>3</v>
      </c>
      <c r="E279" s="15" t="s">
        <v>1102</v>
      </c>
      <c r="F279" s="15" t="s">
        <v>136</v>
      </c>
      <c r="G279" s="15" t="n">
        <v>18</v>
      </c>
      <c r="H279" s="15" t="n">
        <v>1776</v>
      </c>
      <c r="I279" s="15" t="n">
        <v>0</v>
      </c>
      <c r="J279" s="15" t="n">
        <v>3</v>
      </c>
      <c r="K279" s="15" t="n">
        <v>46</v>
      </c>
      <c r="L279" s="15" t="n">
        <v>32</v>
      </c>
      <c r="M279" s="15" t="n">
        <v>104</v>
      </c>
      <c r="N279" s="15" t="n">
        <v>0</v>
      </c>
      <c r="O279" s="15" t="n">
        <v>0</v>
      </c>
      <c r="P279" s="16" t="n">
        <v>0</v>
      </c>
      <c r="Q279" s="15" t="n">
        <v>0</v>
      </c>
      <c r="R279" s="15" t="n">
        <v>0</v>
      </c>
      <c r="S279" s="17" t="n">
        <v>96696</v>
      </c>
      <c r="T279" s="15" t="s">
        <v>137</v>
      </c>
      <c r="U279" s="15" t="n">
        <v>2026</v>
      </c>
      <c r="V279" s="15" t="s">
        <v>1103</v>
      </c>
      <c r="W279" s="18" t="s">
        <v>139</v>
      </c>
      <c r="X279" s="18" t="s">
        <v>379</v>
      </c>
      <c r="Y279" s="15" t="s">
        <v>600</v>
      </c>
      <c r="Z279" s="15" t="s">
        <v>600</v>
      </c>
      <c r="AA279" s="19" t="str">
        <f aca="false">HYPERLINK("https://www.transfermarkt.com/schnellsuche/ergebnis/schnellsuche?query="&amp;SUBSTITUTE(A279," ","+"),"Search Transfermarkt")</f>
        <v>Search Transfermarkt</v>
      </c>
    </row>
    <row r="280" customFormat="false" ht="23.85" hidden="false" customHeight="false" outlineLevel="0" collapsed="false">
      <c r="A280" s="15" t="s">
        <v>1124</v>
      </c>
      <c r="B280" s="15" t="s">
        <v>81</v>
      </c>
      <c r="C280" s="15" t="s">
        <v>466</v>
      </c>
      <c r="D280" s="15" t="n">
        <v>3</v>
      </c>
      <c r="E280" s="15" t="s">
        <v>456</v>
      </c>
      <c r="F280" s="15" t="s">
        <v>170</v>
      </c>
      <c r="G280" s="15" t="n">
        <v>20</v>
      </c>
      <c r="H280" s="15" t="n">
        <v>1210</v>
      </c>
      <c r="I280" s="15" t="n">
        <v>1</v>
      </c>
      <c r="J280" s="15" t="n">
        <v>7</v>
      </c>
      <c r="K280" s="15" t="n">
        <v>172</v>
      </c>
      <c r="L280" s="15" t="n">
        <v>73</v>
      </c>
      <c r="M280" s="15" t="n">
        <v>58</v>
      </c>
      <c r="N280" s="15" t="n">
        <v>0</v>
      </c>
      <c r="O280" s="15" t="n">
        <v>0</v>
      </c>
      <c r="P280" s="16" t="n">
        <v>0</v>
      </c>
      <c r="Q280" s="15" t="n">
        <v>0</v>
      </c>
      <c r="R280" s="15" t="n">
        <v>0</v>
      </c>
      <c r="S280" s="17" t="n">
        <v>142573</v>
      </c>
      <c r="T280" s="15" t="s">
        <v>186</v>
      </c>
      <c r="U280" s="15" t="n">
        <v>2026</v>
      </c>
      <c r="V280" s="15" t="s">
        <v>457</v>
      </c>
      <c r="W280" s="18" t="s">
        <v>188</v>
      </c>
      <c r="X280" s="18" t="s">
        <v>407</v>
      </c>
      <c r="Y280" s="15" t="s">
        <v>600</v>
      </c>
      <c r="Z280" s="15" t="s">
        <v>600</v>
      </c>
      <c r="AA280" s="19" t="str">
        <f aca="false">HYPERLINK("https://www.transfermarkt.com/schnellsuche/ergebnis/schnellsuche?query="&amp;SUBSTITUTE(A280," ","+"),"Search Transfermarkt")</f>
        <v>Search Transfermarkt</v>
      </c>
    </row>
    <row r="281" customFormat="false" ht="23.85" hidden="false" customHeight="false" outlineLevel="0" collapsed="false">
      <c r="A281" s="15" t="s">
        <v>1125</v>
      </c>
      <c r="B281" s="15" t="s">
        <v>87</v>
      </c>
      <c r="C281" s="15" t="s">
        <v>347</v>
      </c>
      <c r="D281" s="15" t="n">
        <v>2</v>
      </c>
      <c r="E281" s="15" t="s">
        <v>1126</v>
      </c>
      <c r="F281" s="15" t="s">
        <v>157</v>
      </c>
      <c r="G281" s="15" t="n">
        <v>22</v>
      </c>
      <c r="H281" s="15" t="n">
        <v>1266</v>
      </c>
      <c r="I281" s="15" t="n">
        <v>0</v>
      </c>
      <c r="J281" s="15" t="n">
        <v>0</v>
      </c>
      <c r="K281" s="15" t="n">
        <v>6</v>
      </c>
      <c r="L281" s="15" t="n">
        <v>1</v>
      </c>
      <c r="M281" s="15" t="n">
        <v>3</v>
      </c>
      <c r="N281" s="15" t="n">
        <v>51</v>
      </c>
      <c r="O281" s="15" t="n">
        <v>24</v>
      </c>
      <c r="P281" s="16" t="n">
        <v>84.1</v>
      </c>
      <c r="Q281" s="15" t="n">
        <v>18.5</v>
      </c>
      <c r="R281" s="15" t="n">
        <v>5</v>
      </c>
      <c r="S281" s="17" t="n">
        <v>117931</v>
      </c>
      <c r="T281" s="15" t="s">
        <v>164</v>
      </c>
      <c r="U281" s="15" t="n">
        <v>2029</v>
      </c>
      <c r="V281" s="15" t="s">
        <v>1127</v>
      </c>
      <c r="W281" s="18" t="s">
        <v>139</v>
      </c>
      <c r="X281" s="18" t="s">
        <v>341</v>
      </c>
      <c r="Y281" s="15" t="s">
        <v>600</v>
      </c>
      <c r="Z281" s="15" t="s">
        <v>600</v>
      </c>
      <c r="AA281" s="19" t="str">
        <f aca="false">HYPERLINK("https://www.transfermarkt.com/schnellsuche/ergebnis/schnellsuche?query="&amp;SUBSTITUTE(A281," ","+"),"Search Transfermarkt")</f>
        <v>Search Transfermarkt</v>
      </c>
    </row>
    <row r="282" customFormat="false" ht="23.85" hidden="false" customHeight="false" outlineLevel="0" collapsed="false">
      <c r="A282" s="15" t="s">
        <v>1128</v>
      </c>
      <c r="B282" s="15" t="s">
        <v>98</v>
      </c>
      <c r="C282" s="15" t="s">
        <v>243</v>
      </c>
      <c r="D282" s="15" t="n">
        <v>4</v>
      </c>
      <c r="E282" s="15" t="s">
        <v>951</v>
      </c>
      <c r="F282" s="15" t="s">
        <v>163</v>
      </c>
      <c r="G282" s="15" t="n">
        <v>19</v>
      </c>
      <c r="H282" s="15" t="n">
        <v>1228</v>
      </c>
      <c r="I282" s="15" t="n">
        <v>7</v>
      </c>
      <c r="J282" s="15" t="n">
        <v>5</v>
      </c>
      <c r="K282" s="15" t="n">
        <v>40</v>
      </c>
      <c r="L282" s="15" t="n">
        <v>79</v>
      </c>
      <c r="M282" s="15" t="n">
        <v>13</v>
      </c>
      <c r="N282" s="15" t="n">
        <v>0</v>
      </c>
      <c r="O282" s="15" t="n">
        <v>0</v>
      </c>
      <c r="P282" s="16" t="n">
        <v>0</v>
      </c>
      <c r="Q282" s="15" t="n">
        <v>0</v>
      </c>
      <c r="R282" s="15" t="n">
        <v>0</v>
      </c>
      <c r="S282" s="17" t="n">
        <v>99256</v>
      </c>
      <c r="T282" s="15" t="s">
        <v>186</v>
      </c>
      <c r="U282" s="15" t="n">
        <v>2028</v>
      </c>
      <c r="V282" s="15" t="s">
        <v>952</v>
      </c>
      <c r="W282" s="18" t="s">
        <v>188</v>
      </c>
      <c r="X282" s="18" t="s">
        <v>148</v>
      </c>
      <c r="Y282" s="15" t="s">
        <v>600</v>
      </c>
      <c r="Z282" s="15" t="s">
        <v>600</v>
      </c>
      <c r="AA282" s="19" t="str">
        <f aca="false">HYPERLINK("https://www.transfermarkt.com/schnellsuche/ergebnis/schnellsuche?query="&amp;SUBSTITUTE(A282," ","+"),"Search Transfermarkt")</f>
        <v>Search Transfermarkt</v>
      </c>
    </row>
    <row r="283" customFormat="false" ht="23.85" hidden="false" customHeight="false" outlineLevel="0" collapsed="false">
      <c r="A283" s="15" t="s">
        <v>1129</v>
      </c>
      <c r="B283" s="15" t="s">
        <v>86</v>
      </c>
      <c r="C283" s="15" t="s">
        <v>470</v>
      </c>
      <c r="D283" s="15" t="n">
        <v>3</v>
      </c>
      <c r="E283" s="15" t="s">
        <v>1130</v>
      </c>
      <c r="F283" s="15" t="s">
        <v>163</v>
      </c>
      <c r="G283" s="15" t="n">
        <v>25</v>
      </c>
      <c r="H283" s="15" t="n">
        <v>1380</v>
      </c>
      <c r="I283" s="15" t="n">
        <v>13</v>
      </c>
      <c r="J283" s="15" t="n">
        <v>8</v>
      </c>
      <c r="K283" s="15" t="n">
        <v>37</v>
      </c>
      <c r="L283" s="15" t="n">
        <v>73</v>
      </c>
      <c r="M283" s="15" t="n">
        <v>5</v>
      </c>
      <c r="N283" s="15" t="n">
        <v>0</v>
      </c>
      <c r="O283" s="15" t="n">
        <v>0</v>
      </c>
      <c r="P283" s="16" t="n">
        <v>0</v>
      </c>
      <c r="Q283" s="15" t="n">
        <v>0</v>
      </c>
      <c r="R283" s="15" t="n">
        <v>0</v>
      </c>
      <c r="S283" s="17" t="n">
        <v>0</v>
      </c>
      <c r="T283" s="15" t="s">
        <v>137</v>
      </c>
      <c r="U283" s="15" t="n">
        <v>2026</v>
      </c>
      <c r="V283" s="15" t="s">
        <v>1131</v>
      </c>
      <c r="W283" s="18" t="s">
        <v>139</v>
      </c>
      <c r="X283" s="18" t="s">
        <v>473</v>
      </c>
      <c r="Y283" s="15" t="s">
        <v>600</v>
      </c>
      <c r="Z283" s="15" t="s">
        <v>600</v>
      </c>
      <c r="AA283" s="19" t="str">
        <f aca="false">HYPERLINK("https://www.transfermarkt.com/schnellsuche/ergebnis/schnellsuche?query="&amp;SUBSTITUTE(A283," ","+"),"Search Transfermarkt")</f>
        <v>Search Transfermarkt</v>
      </c>
    </row>
    <row r="284" customFormat="false" ht="23.85" hidden="false" customHeight="false" outlineLevel="0" collapsed="false">
      <c r="A284" s="15" t="s">
        <v>1132</v>
      </c>
      <c r="B284" s="15" t="s">
        <v>81</v>
      </c>
      <c r="C284" s="15" t="s">
        <v>404</v>
      </c>
      <c r="D284" s="15" t="n">
        <v>2</v>
      </c>
      <c r="E284" s="15" t="s">
        <v>1133</v>
      </c>
      <c r="F284" s="15" t="s">
        <v>163</v>
      </c>
      <c r="G284" s="15" t="n">
        <v>24</v>
      </c>
      <c r="H284" s="15" t="n">
        <v>2287</v>
      </c>
      <c r="I284" s="15" t="n">
        <v>10</v>
      </c>
      <c r="J284" s="15" t="n">
        <v>2</v>
      </c>
      <c r="K284" s="15" t="n">
        <v>63</v>
      </c>
      <c r="L284" s="15" t="n">
        <v>90</v>
      </c>
      <c r="M284" s="15" t="n">
        <v>11</v>
      </c>
      <c r="N284" s="15" t="n">
        <v>0</v>
      </c>
      <c r="O284" s="15" t="n">
        <v>0</v>
      </c>
      <c r="P284" s="16" t="n">
        <v>0</v>
      </c>
      <c r="Q284" s="15" t="n">
        <v>0</v>
      </c>
      <c r="R284" s="15" t="n">
        <v>0</v>
      </c>
      <c r="S284" s="17" t="n">
        <v>0</v>
      </c>
      <c r="T284" s="15" t="s">
        <v>186</v>
      </c>
      <c r="U284" s="15" t="n">
        <v>2026</v>
      </c>
      <c r="V284" s="15" t="s">
        <v>1134</v>
      </c>
      <c r="W284" s="18" t="s">
        <v>188</v>
      </c>
      <c r="X284" s="18" t="s">
        <v>407</v>
      </c>
      <c r="Y284" s="15" t="s">
        <v>600</v>
      </c>
      <c r="Z284" s="15" t="s">
        <v>600</v>
      </c>
      <c r="AA284" s="19" t="str">
        <f aca="false">HYPERLINK("https://www.transfermarkt.com/schnellsuche/ergebnis/schnellsuche?query="&amp;SUBSTITUTE(A284," ","+"),"Search Transfermarkt")</f>
        <v>Search Transfermarkt</v>
      </c>
    </row>
    <row r="285" customFormat="false" ht="23.85" hidden="false" customHeight="false" outlineLevel="0" collapsed="false">
      <c r="A285" s="15" t="s">
        <v>1135</v>
      </c>
      <c r="B285" s="15" t="s">
        <v>100</v>
      </c>
      <c r="C285" s="15" t="s">
        <v>845</v>
      </c>
      <c r="D285" s="15" t="n">
        <v>2</v>
      </c>
      <c r="E285" s="15" t="s">
        <v>1136</v>
      </c>
      <c r="F285" s="15" t="s">
        <v>157</v>
      </c>
      <c r="G285" s="15" t="n">
        <v>22</v>
      </c>
      <c r="H285" s="15" t="n">
        <v>2082</v>
      </c>
      <c r="I285" s="15" t="n">
        <v>0</v>
      </c>
      <c r="J285" s="15" t="n">
        <v>0</v>
      </c>
      <c r="K285" s="15" t="n">
        <v>17</v>
      </c>
      <c r="L285" s="15" t="n">
        <v>1</v>
      </c>
      <c r="M285" s="15" t="n">
        <v>4</v>
      </c>
      <c r="N285" s="15" t="n">
        <v>72</v>
      </c>
      <c r="O285" s="15" t="n">
        <v>32</v>
      </c>
      <c r="P285" s="16" t="n">
        <v>90.6</v>
      </c>
      <c r="Q285" s="15" t="n">
        <v>16</v>
      </c>
      <c r="R285" s="15" t="n">
        <v>5</v>
      </c>
      <c r="S285" s="17" t="n">
        <v>139488</v>
      </c>
      <c r="T285" s="15" t="s">
        <v>137</v>
      </c>
      <c r="U285" s="15" t="n">
        <v>2026</v>
      </c>
      <c r="V285" s="15" t="s">
        <v>1137</v>
      </c>
      <c r="W285" s="18" t="s">
        <v>139</v>
      </c>
      <c r="X285" s="18" t="s">
        <v>221</v>
      </c>
      <c r="Y285" s="15" t="s">
        <v>600</v>
      </c>
      <c r="Z285" s="15" t="s">
        <v>600</v>
      </c>
      <c r="AA285" s="19" t="str">
        <f aca="false">HYPERLINK("https://www.transfermarkt.com/schnellsuche/ergebnis/schnellsuche?query="&amp;SUBSTITUTE(A285," ","+"),"Search Transfermarkt")</f>
        <v>Search Transfermarkt</v>
      </c>
    </row>
    <row r="286" customFormat="false" ht="23.85" hidden="false" customHeight="false" outlineLevel="0" collapsed="false">
      <c r="A286" s="15" t="s">
        <v>1138</v>
      </c>
      <c r="B286" s="15" t="s">
        <v>67</v>
      </c>
      <c r="C286" s="15" t="s">
        <v>636</v>
      </c>
      <c r="D286" s="15" t="n">
        <v>2</v>
      </c>
      <c r="E286" s="15" t="s">
        <v>1139</v>
      </c>
      <c r="F286" s="15" t="s">
        <v>170</v>
      </c>
      <c r="G286" s="15" t="n">
        <v>26</v>
      </c>
      <c r="H286" s="15" t="n">
        <v>949</v>
      </c>
      <c r="I286" s="15" t="n">
        <v>3</v>
      </c>
      <c r="J286" s="15" t="n">
        <v>5</v>
      </c>
      <c r="K286" s="15" t="n">
        <v>116</v>
      </c>
      <c r="L286" s="15" t="n">
        <v>68</v>
      </c>
      <c r="M286" s="15" t="n">
        <v>45</v>
      </c>
      <c r="N286" s="15" t="n">
        <v>0</v>
      </c>
      <c r="O286" s="15" t="n">
        <v>0</v>
      </c>
      <c r="P286" s="16" t="n">
        <v>0</v>
      </c>
      <c r="Q286" s="15" t="n">
        <v>0</v>
      </c>
      <c r="R286" s="15" t="n">
        <v>0</v>
      </c>
      <c r="S286" s="17" t="n">
        <v>0</v>
      </c>
      <c r="T286" s="15" t="s">
        <v>137</v>
      </c>
      <c r="U286" s="15" t="n">
        <v>2027</v>
      </c>
      <c r="V286" s="15" t="s">
        <v>1140</v>
      </c>
      <c r="W286" s="18" t="s">
        <v>139</v>
      </c>
      <c r="X286" s="18" t="s">
        <v>236</v>
      </c>
      <c r="Y286" s="15" t="s">
        <v>600</v>
      </c>
      <c r="Z286" s="15" t="s">
        <v>600</v>
      </c>
      <c r="AA286" s="19" t="str">
        <f aca="false">HYPERLINK("https://www.transfermarkt.com/schnellsuche/ergebnis/schnellsuche?query="&amp;SUBSTITUTE(A286," ","+"),"Search Transfermarkt")</f>
        <v>Search Transfermarkt</v>
      </c>
    </row>
    <row r="287" customFormat="false" ht="23.85" hidden="false" customHeight="false" outlineLevel="0" collapsed="false">
      <c r="A287" s="15" t="s">
        <v>1141</v>
      </c>
      <c r="B287" s="15" t="s">
        <v>104</v>
      </c>
      <c r="C287" s="15" t="s">
        <v>313</v>
      </c>
      <c r="D287" s="15" t="n">
        <v>4</v>
      </c>
      <c r="E287" s="15" t="s">
        <v>1142</v>
      </c>
      <c r="F287" s="15" t="s">
        <v>157</v>
      </c>
      <c r="G287" s="15" t="n">
        <v>23</v>
      </c>
      <c r="H287" s="15" t="n">
        <v>1603</v>
      </c>
      <c r="I287" s="15" t="n">
        <v>0</v>
      </c>
      <c r="J287" s="15" t="n">
        <v>0</v>
      </c>
      <c r="K287" s="15" t="n">
        <v>8</v>
      </c>
      <c r="L287" s="15" t="n">
        <v>3</v>
      </c>
      <c r="M287" s="15" t="n">
        <v>7</v>
      </c>
      <c r="N287" s="15" t="n">
        <v>75</v>
      </c>
      <c r="O287" s="15" t="n">
        <v>23</v>
      </c>
      <c r="P287" s="16" t="n">
        <v>73.5</v>
      </c>
      <c r="Q287" s="15" t="n">
        <v>16</v>
      </c>
      <c r="R287" s="15" t="n">
        <v>7</v>
      </c>
      <c r="S287" s="17" t="n">
        <v>85572</v>
      </c>
      <c r="T287" s="15" t="s">
        <v>186</v>
      </c>
      <c r="U287" s="15" t="n">
        <v>2028</v>
      </c>
      <c r="V287" s="15" t="s">
        <v>1143</v>
      </c>
      <c r="W287" s="18" t="s">
        <v>188</v>
      </c>
      <c r="X287" s="18" t="s">
        <v>274</v>
      </c>
      <c r="Y287" s="15" t="s">
        <v>600</v>
      </c>
      <c r="Z287" s="15" t="s">
        <v>600</v>
      </c>
      <c r="AA287" s="19" t="str">
        <f aca="false">HYPERLINK("https://www.transfermarkt.com/schnellsuche/ergebnis/schnellsuche?query="&amp;SUBSTITUTE(A287," ","+"),"Search Transfermarkt")</f>
        <v>Search Transfermarkt</v>
      </c>
    </row>
    <row r="288" customFormat="false" ht="23.85" hidden="false" customHeight="false" outlineLevel="0" collapsed="false">
      <c r="A288" s="15" t="s">
        <v>1144</v>
      </c>
      <c r="B288" s="15" t="s">
        <v>81</v>
      </c>
      <c r="C288" s="15" t="s">
        <v>1145</v>
      </c>
      <c r="D288" s="15" t="n">
        <v>2</v>
      </c>
      <c r="E288" s="15" t="s">
        <v>456</v>
      </c>
      <c r="F288" s="15" t="s">
        <v>136</v>
      </c>
      <c r="G288" s="15" t="n">
        <v>19</v>
      </c>
      <c r="H288" s="15" t="n">
        <v>2647</v>
      </c>
      <c r="I288" s="15" t="n">
        <v>1</v>
      </c>
      <c r="J288" s="15" t="n">
        <v>2</v>
      </c>
      <c r="K288" s="15" t="n">
        <v>39</v>
      </c>
      <c r="L288" s="15" t="n">
        <v>48</v>
      </c>
      <c r="M288" s="15" t="n">
        <v>107</v>
      </c>
      <c r="N288" s="15" t="n">
        <v>0</v>
      </c>
      <c r="O288" s="15" t="n">
        <v>0</v>
      </c>
      <c r="P288" s="16" t="n">
        <v>0</v>
      </c>
      <c r="Q288" s="15" t="n">
        <v>0</v>
      </c>
      <c r="R288" s="15" t="n">
        <v>0</v>
      </c>
      <c r="S288" s="17" t="n">
        <v>54519</v>
      </c>
      <c r="T288" s="15" t="s">
        <v>164</v>
      </c>
      <c r="U288" s="15" t="n">
        <v>2028</v>
      </c>
      <c r="V288" s="15" t="s">
        <v>457</v>
      </c>
      <c r="W288" s="18" t="s">
        <v>139</v>
      </c>
      <c r="X288" s="18" t="s">
        <v>407</v>
      </c>
      <c r="Y288" s="15" t="s">
        <v>600</v>
      </c>
      <c r="Z288" s="15" t="s">
        <v>600</v>
      </c>
      <c r="AA288" s="19" t="str">
        <f aca="false">HYPERLINK("https://www.transfermarkt.com/schnellsuche/ergebnis/schnellsuche?query="&amp;SUBSTITUTE(A288," ","+"),"Search Transfermarkt")</f>
        <v>Search Transfermarkt</v>
      </c>
    </row>
    <row r="289" customFormat="false" ht="23.85" hidden="false" customHeight="false" outlineLevel="0" collapsed="false">
      <c r="A289" s="15" t="s">
        <v>1146</v>
      </c>
      <c r="B289" s="15" t="s">
        <v>96</v>
      </c>
      <c r="C289" s="15" t="s">
        <v>790</v>
      </c>
      <c r="D289" s="15" t="n">
        <v>4</v>
      </c>
      <c r="E289" s="15" t="s">
        <v>666</v>
      </c>
      <c r="F289" s="15" t="s">
        <v>136</v>
      </c>
      <c r="G289" s="15" t="n">
        <v>24</v>
      </c>
      <c r="H289" s="15" t="n">
        <v>1235</v>
      </c>
      <c r="I289" s="15" t="n">
        <v>0</v>
      </c>
      <c r="J289" s="15" t="n">
        <v>3</v>
      </c>
      <c r="K289" s="15" t="n">
        <v>44</v>
      </c>
      <c r="L289" s="15" t="n">
        <v>39</v>
      </c>
      <c r="M289" s="15" t="n">
        <v>119</v>
      </c>
      <c r="N289" s="15" t="n">
        <v>0</v>
      </c>
      <c r="O289" s="15" t="n">
        <v>0</v>
      </c>
      <c r="P289" s="16" t="n">
        <v>0</v>
      </c>
      <c r="Q289" s="15" t="n">
        <v>0</v>
      </c>
      <c r="R289" s="15" t="n">
        <v>0</v>
      </c>
      <c r="S289" s="17" t="n">
        <v>91100</v>
      </c>
      <c r="T289" s="15" t="s">
        <v>186</v>
      </c>
      <c r="U289" s="15" t="n">
        <v>2029</v>
      </c>
      <c r="V289" s="15" t="s">
        <v>667</v>
      </c>
      <c r="W289" s="18" t="s">
        <v>188</v>
      </c>
      <c r="X289" s="18" t="s">
        <v>216</v>
      </c>
      <c r="Y289" s="15" t="s">
        <v>600</v>
      </c>
      <c r="Z289" s="15" t="s">
        <v>600</v>
      </c>
      <c r="AA289" s="19" t="str">
        <f aca="false">HYPERLINK("https://www.transfermarkt.com/schnellsuche/ergebnis/schnellsuche?query="&amp;SUBSTITUTE(A289," ","+"),"Search Transfermarkt")</f>
        <v>Search Transfermarkt</v>
      </c>
    </row>
    <row r="290" customFormat="false" ht="23.85" hidden="false" customHeight="false" outlineLevel="0" collapsed="false">
      <c r="A290" s="15" t="s">
        <v>1147</v>
      </c>
      <c r="B290" s="15" t="s">
        <v>96</v>
      </c>
      <c r="C290" s="15" t="s">
        <v>213</v>
      </c>
      <c r="D290" s="15" t="n">
        <v>3</v>
      </c>
      <c r="E290" s="15" t="s">
        <v>1148</v>
      </c>
      <c r="F290" s="15" t="s">
        <v>163</v>
      </c>
      <c r="G290" s="15" t="n">
        <v>18</v>
      </c>
      <c r="H290" s="15" t="n">
        <v>1442</v>
      </c>
      <c r="I290" s="15" t="n">
        <v>11</v>
      </c>
      <c r="J290" s="15" t="n">
        <v>1</v>
      </c>
      <c r="K290" s="15" t="n">
        <v>28</v>
      </c>
      <c r="L290" s="15" t="n">
        <v>92</v>
      </c>
      <c r="M290" s="15" t="n">
        <v>7</v>
      </c>
      <c r="N290" s="15" t="n">
        <v>0</v>
      </c>
      <c r="O290" s="15" t="n">
        <v>0</v>
      </c>
      <c r="P290" s="16" t="n">
        <v>0</v>
      </c>
      <c r="Q290" s="15" t="n">
        <v>0</v>
      </c>
      <c r="R290" s="15" t="n">
        <v>0</v>
      </c>
      <c r="S290" s="17" t="n">
        <v>82759</v>
      </c>
      <c r="T290" s="15" t="s">
        <v>186</v>
      </c>
      <c r="U290" s="15" t="n">
        <v>2029</v>
      </c>
      <c r="V290" s="15" t="s">
        <v>1149</v>
      </c>
      <c r="W290" s="18" t="s">
        <v>188</v>
      </c>
      <c r="X290" s="18" t="s">
        <v>216</v>
      </c>
      <c r="Y290" s="15" t="s">
        <v>600</v>
      </c>
      <c r="Z290" s="15" t="s">
        <v>600</v>
      </c>
      <c r="AA290" s="19" t="str">
        <f aca="false">HYPERLINK("https://www.transfermarkt.com/schnellsuche/ergebnis/schnellsuche?query="&amp;SUBSTITUTE(A290," ","+"),"Search Transfermarkt")</f>
        <v>Search Transfermarkt</v>
      </c>
    </row>
    <row r="291" customFormat="false" ht="23.85" hidden="false" customHeight="false" outlineLevel="0" collapsed="false">
      <c r="A291" s="15" t="s">
        <v>1150</v>
      </c>
      <c r="B291" s="15" t="s">
        <v>64</v>
      </c>
      <c r="C291" s="15" t="s">
        <v>1114</v>
      </c>
      <c r="D291" s="15" t="n">
        <v>4</v>
      </c>
      <c r="E291" s="15" t="s">
        <v>1151</v>
      </c>
      <c r="F291" s="15" t="s">
        <v>170</v>
      </c>
      <c r="G291" s="15" t="n">
        <v>19</v>
      </c>
      <c r="H291" s="15" t="n">
        <v>2685</v>
      </c>
      <c r="I291" s="15" t="n">
        <v>10</v>
      </c>
      <c r="J291" s="15" t="n">
        <v>12</v>
      </c>
      <c r="K291" s="15" t="n">
        <v>167</v>
      </c>
      <c r="L291" s="15" t="n">
        <v>72</v>
      </c>
      <c r="M291" s="15" t="n">
        <v>40</v>
      </c>
      <c r="N291" s="15" t="n">
        <v>0</v>
      </c>
      <c r="O291" s="15" t="n">
        <v>0</v>
      </c>
      <c r="P291" s="16" t="n">
        <v>0</v>
      </c>
      <c r="Q291" s="15" t="n">
        <v>0</v>
      </c>
      <c r="R291" s="15" t="n">
        <v>0</v>
      </c>
      <c r="S291" s="17" t="n">
        <v>141219</v>
      </c>
      <c r="T291" s="15" t="s">
        <v>137</v>
      </c>
      <c r="U291" s="15" t="n">
        <v>2028</v>
      </c>
      <c r="V291" s="15" t="s">
        <v>1152</v>
      </c>
      <c r="W291" s="18" t="s">
        <v>139</v>
      </c>
      <c r="X291" s="18" t="s">
        <v>231</v>
      </c>
      <c r="Y291" s="15" t="s">
        <v>600</v>
      </c>
      <c r="Z291" s="15" t="s">
        <v>600</v>
      </c>
      <c r="AA291" s="19" t="str">
        <f aca="false">HYPERLINK("https://www.transfermarkt.com/schnellsuche/ergebnis/schnellsuche?query="&amp;SUBSTITUTE(A291," ","+"),"Search Transfermarkt")</f>
        <v>Search Transfermarkt</v>
      </c>
    </row>
    <row r="292" customFormat="false" ht="23.85" hidden="false" customHeight="false" outlineLevel="0" collapsed="false">
      <c r="A292" s="15" t="s">
        <v>1153</v>
      </c>
      <c r="B292" s="15" t="s">
        <v>71</v>
      </c>
      <c r="C292" s="15" t="s">
        <v>580</v>
      </c>
      <c r="D292" s="15" t="n">
        <v>2</v>
      </c>
      <c r="E292" s="15" t="s">
        <v>1154</v>
      </c>
      <c r="F292" s="15" t="s">
        <v>157</v>
      </c>
      <c r="G292" s="15" t="n">
        <v>18</v>
      </c>
      <c r="H292" s="15" t="n">
        <v>2088</v>
      </c>
      <c r="I292" s="15" t="n">
        <v>0</v>
      </c>
      <c r="J292" s="15" t="n">
        <v>0</v>
      </c>
      <c r="K292" s="15" t="n">
        <v>14</v>
      </c>
      <c r="L292" s="15" t="n">
        <v>3</v>
      </c>
      <c r="M292" s="15" t="n">
        <v>5</v>
      </c>
      <c r="N292" s="15" t="n">
        <v>52</v>
      </c>
      <c r="O292" s="15" t="n">
        <v>32</v>
      </c>
      <c r="P292" s="16" t="n">
        <v>66.1</v>
      </c>
      <c r="Q292" s="15" t="n">
        <v>30.2</v>
      </c>
      <c r="R292" s="15" t="n">
        <v>4</v>
      </c>
      <c r="S292" s="17" t="n">
        <v>0</v>
      </c>
      <c r="T292" s="15" t="s">
        <v>137</v>
      </c>
      <c r="U292" s="15" t="n">
        <v>2029</v>
      </c>
      <c r="V292" s="15" t="s">
        <v>1155</v>
      </c>
      <c r="W292" s="18" t="s">
        <v>139</v>
      </c>
      <c r="X292" s="18" t="s">
        <v>177</v>
      </c>
      <c r="Y292" s="15" t="s">
        <v>600</v>
      </c>
      <c r="Z292" s="15" t="s">
        <v>600</v>
      </c>
      <c r="AA292" s="19" t="str">
        <f aca="false">HYPERLINK("https://www.transfermarkt.com/schnellsuche/ergebnis/schnellsuche?query="&amp;SUBSTITUTE(A292," ","+"),"Search Transfermarkt")</f>
        <v>Search Transfermarkt</v>
      </c>
    </row>
    <row r="293" customFormat="false" ht="23.85" hidden="false" customHeight="false" outlineLevel="0" collapsed="false">
      <c r="A293" s="15" t="s">
        <v>1156</v>
      </c>
      <c r="B293" s="15" t="s">
        <v>87</v>
      </c>
      <c r="C293" s="15" t="s">
        <v>1157</v>
      </c>
      <c r="D293" s="15" t="n">
        <v>2</v>
      </c>
      <c r="E293" s="15" t="s">
        <v>948</v>
      </c>
      <c r="F293" s="15" t="s">
        <v>163</v>
      </c>
      <c r="G293" s="15" t="n">
        <v>17</v>
      </c>
      <c r="H293" s="15" t="n">
        <v>1279</v>
      </c>
      <c r="I293" s="15" t="n">
        <v>15</v>
      </c>
      <c r="J293" s="15" t="n">
        <v>6</v>
      </c>
      <c r="K293" s="15" t="n">
        <v>34</v>
      </c>
      <c r="L293" s="15" t="n">
        <v>74</v>
      </c>
      <c r="M293" s="15" t="n">
        <v>15</v>
      </c>
      <c r="N293" s="15" t="n">
        <v>0</v>
      </c>
      <c r="O293" s="15" t="n">
        <v>0</v>
      </c>
      <c r="P293" s="16" t="n">
        <v>0</v>
      </c>
      <c r="Q293" s="15" t="n">
        <v>0</v>
      </c>
      <c r="R293" s="15" t="n">
        <v>0</v>
      </c>
      <c r="S293" s="17" t="n">
        <v>105379</v>
      </c>
      <c r="T293" s="15" t="s">
        <v>137</v>
      </c>
      <c r="U293" s="15" t="n">
        <v>2028</v>
      </c>
      <c r="V293" s="15" t="s">
        <v>949</v>
      </c>
      <c r="W293" s="18" t="s">
        <v>147</v>
      </c>
      <c r="X293" s="18" t="s">
        <v>341</v>
      </c>
      <c r="Y293" s="15" t="s">
        <v>600</v>
      </c>
      <c r="Z293" s="15" t="s">
        <v>600</v>
      </c>
      <c r="AA293" s="19" t="str">
        <f aca="false">HYPERLINK("https://www.transfermarkt.com/schnellsuche/ergebnis/schnellsuche?query="&amp;SUBSTITUTE(A293," ","+"),"Search Transfermarkt")</f>
        <v>Search Transfermarkt</v>
      </c>
    </row>
    <row r="294" customFormat="false" ht="23.85" hidden="false" customHeight="false" outlineLevel="0" collapsed="false">
      <c r="A294" s="15" t="s">
        <v>1158</v>
      </c>
      <c r="B294" s="15" t="s">
        <v>81</v>
      </c>
      <c r="C294" s="15" t="s">
        <v>404</v>
      </c>
      <c r="D294" s="15" t="n">
        <v>2</v>
      </c>
      <c r="E294" s="15" t="s">
        <v>1159</v>
      </c>
      <c r="F294" s="15" t="s">
        <v>136</v>
      </c>
      <c r="G294" s="15" t="n">
        <v>25</v>
      </c>
      <c r="H294" s="15" t="n">
        <v>2592</v>
      </c>
      <c r="I294" s="15" t="n">
        <v>3</v>
      </c>
      <c r="J294" s="15" t="n">
        <v>0</v>
      </c>
      <c r="K294" s="15" t="n">
        <v>48</v>
      </c>
      <c r="L294" s="15" t="n">
        <v>24</v>
      </c>
      <c r="M294" s="15" t="n">
        <v>98</v>
      </c>
      <c r="N294" s="15" t="n">
        <v>0</v>
      </c>
      <c r="O294" s="15" t="n">
        <v>0</v>
      </c>
      <c r="P294" s="16" t="n">
        <v>0</v>
      </c>
      <c r="Q294" s="15" t="n">
        <v>0</v>
      </c>
      <c r="R294" s="15" t="n">
        <v>0</v>
      </c>
      <c r="S294" s="17" t="n">
        <v>40055</v>
      </c>
      <c r="T294" s="15" t="s">
        <v>164</v>
      </c>
      <c r="U294" s="15" t="n">
        <v>2026</v>
      </c>
      <c r="V294" s="15" t="s">
        <v>1160</v>
      </c>
      <c r="W294" s="18" t="s">
        <v>139</v>
      </c>
      <c r="X294" s="18" t="s">
        <v>407</v>
      </c>
      <c r="Y294" s="15" t="s">
        <v>600</v>
      </c>
      <c r="Z294" s="15" t="s">
        <v>600</v>
      </c>
      <c r="AA294" s="19" t="str">
        <f aca="false">HYPERLINK("https://www.transfermarkt.com/schnellsuche/ergebnis/schnellsuche?query="&amp;SUBSTITUTE(A294," ","+"),"Search Transfermarkt")</f>
        <v>Search Transfermarkt</v>
      </c>
    </row>
    <row r="295" customFormat="false" ht="23.85" hidden="false" customHeight="false" outlineLevel="0" collapsed="false">
      <c r="A295" s="15" t="s">
        <v>1161</v>
      </c>
      <c r="B295" s="15" t="s">
        <v>90</v>
      </c>
      <c r="C295" s="15" t="s">
        <v>900</v>
      </c>
      <c r="D295" s="15" t="n">
        <v>2</v>
      </c>
      <c r="E295" s="15" t="s">
        <v>1162</v>
      </c>
      <c r="F295" s="15" t="s">
        <v>163</v>
      </c>
      <c r="G295" s="15" t="n">
        <v>24</v>
      </c>
      <c r="H295" s="15" t="n">
        <v>2397</v>
      </c>
      <c r="I295" s="15" t="n">
        <v>11</v>
      </c>
      <c r="J295" s="15" t="n">
        <v>4</v>
      </c>
      <c r="K295" s="15" t="n">
        <v>63</v>
      </c>
      <c r="L295" s="15" t="n">
        <v>80</v>
      </c>
      <c r="M295" s="15" t="n">
        <v>7</v>
      </c>
      <c r="N295" s="15" t="n">
        <v>0</v>
      </c>
      <c r="O295" s="15" t="n">
        <v>0</v>
      </c>
      <c r="P295" s="16" t="n">
        <v>0</v>
      </c>
      <c r="Q295" s="15" t="n">
        <v>0</v>
      </c>
      <c r="R295" s="15" t="n">
        <v>0</v>
      </c>
      <c r="S295" s="17" t="n">
        <v>61120</v>
      </c>
      <c r="T295" s="15" t="s">
        <v>186</v>
      </c>
      <c r="U295" s="15" t="n">
        <v>2027</v>
      </c>
      <c r="V295" s="15" t="s">
        <v>1163</v>
      </c>
      <c r="W295" s="18" t="s">
        <v>188</v>
      </c>
      <c r="X295" s="18" t="s">
        <v>288</v>
      </c>
      <c r="Y295" s="15" t="s">
        <v>600</v>
      </c>
      <c r="Z295" s="15" t="s">
        <v>600</v>
      </c>
      <c r="AA295" s="19" t="str">
        <f aca="false">HYPERLINK("https://www.transfermarkt.com/schnellsuche/ergebnis/schnellsuche?query="&amp;SUBSTITUTE(A295," ","+"),"Search Transfermarkt")</f>
        <v>Search Transfermarkt</v>
      </c>
    </row>
    <row r="296" customFormat="false" ht="23.85" hidden="false" customHeight="false" outlineLevel="0" collapsed="false">
      <c r="A296" s="15" t="s">
        <v>1164</v>
      </c>
      <c r="B296" s="15" t="s">
        <v>90</v>
      </c>
      <c r="C296" s="15" t="s">
        <v>285</v>
      </c>
      <c r="D296" s="15" t="n">
        <v>2</v>
      </c>
      <c r="E296" s="15" t="s">
        <v>1165</v>
      </c>
      <c r="F296" s="15" t="s">
        <v>136</v>
      </c>
      <c r="G296" s="15" t="n">
        <v>22</v>
      </c>
      <c r="H296" s="15" t="n">
        <v>2685</v>
      </c>
      <c r="I296" s="15" t="n">
        <v>1</v>
      </c>
      <c r="J296" s="15" t="n">
        <v>3</v>
      </c>
      <c r="K296" s="15" t="n">
        <v>45</v>
      </c>
      <c r="L296" s="15" t="n">
        <v>47</v>
      </c>
      <c r="M296" s="15" t="n">
        <v>107</v>
      </c>
      <c r="N296" s="15" t="n">
        <v>0</v>
      </c>
      <c r="O296" s="15" t="n">
        <v>0</v>
      </c>
      <c r="P296" s="16" t="n">
        <v>0</v>
      </c>
      <c r="Q296" s="15" t="n">
        <v>0</v>
      </c>
      <c r="R296" s="15" t="n">
        <v>0</v>
      </c>
      <c r="S296" s="17" t="n">
        <v>67225</v>
      </c>
      <c r="T296" s="15" t="s">
        <v>137</v>
      </c>
      <c r="U296" s="15" t="n">
        <v>2028</v>
      </c>
      <c r="V296" s="15" t="s">
        <v>1166</v>
      </c>
      <c r="W296" s="18" t="s">
        <v>139</v>
      </c>
      <c r="X296" s="18" t="s">
        <v>288</v>
      </c>
      <c r="Y296" s="15" t="s">
        <v>600</v>
      </c>
      <c r="Z296" s="15" t="s">
        <v>600</v>
      </c>
      <c r="AA296" s="19" t="str">
        <f aca="false">HYPERLINK("https://www.transfermarkt.com/schnellsuche/ergebnis/schnellsuche?query="&amp;SUBSTITUTE(A296," ","+"),"Search Transfermarkt")</f>
        <v>Search Transfermarkt</v>
      </c>
    </row>
    <row r="297" customFormat="false" ht="23.85" hidden="false" customHeight="false" outlineLevel="0" collapsed="false">
      <c r="A297" s="15" t="s">
        <v>1167</v>
      </c>
      <c r="B297" s="15" t="s">
        <v>86</v>
      </c>
      <c r="C297" s="15" t="s">
        <v>1168</v>
      </c>
      <c r="D297" s="15" t="n">
        <v>3</v>
      </c>
      <c r="E297" s="15" t="s">
        <v>1169</v>
      </c>
      <c r="F297" s="15" t="s">
        <v>170</v>
      </c>
      <c r="G297" s="15" t="n">
        <v>22</v>
      </c>
      <c r="H297" s="15" t="n">
        <v>1973</v>
      </c>
      <c r="I297" s="15" t="n">
        <v>3</v>
      </c>
      <c r="J297" s="15" t="n">
        <v>10</v>
      </c>
      <c r="K297" s="15" t="n">
        <v>117</v>
      </c>
      <c r="L297" s="15" t="n">
        <v>82</v>
      </c>
      <c r="M297" s="15" t="n">
        <v>50</v>
      </c>
      <c r="N297" s="15" t="n">
        <v>0</v>
      </c>
      <c r="O297" s="15" t="n">
        <v>0</v>
      </c>
      <c r="P297" s="16" t="n">
        <v>0</v>
      </c>
      <c r="Q297" s="15" t="n">
        <v>0</v>
      </c>
      <c r="R297" s="15" t="n">
        <v>0</v>
      </c>
      <c r="S297" s="17" t="n">
        <v>0</v>
      </c>
      <c r="T297" s="15" t="s">
        <v>164</v>
      </c>
      <c r="U297" s="15" t="n">
        <v>2026</v>
      </c>
      <c r="V297" s="15" t="s">
        <v>1170</v>
      </c>
      <c r="W297" s="18" t="s">
        <v>139</v>
      </c>
      <c r="X297" s="18" t="s">
        <v>473</v>
      </c>
      <c r="Y297" s="15" t="s">
        <v>600</v>
      </c>
      <c r="Z297" s="15" t="s">
        <v>600</v>
      </c>
      <c r="AA297" s="19" t="str">
        <f aca="false">HYPERLINK("https://www.transfermarkt.com/schnellsuche/ergebnis/schnellsuche?query="&amp;SUBSTITUTE(A297," ","+"),"Search Transfermarkt")</f>
        <v>Search Transfermarkt</v>
      </c>
    </row>
    <row r="298" customFormat="false" ht="23.85" hidden="false" customHeight="false" outlineLevel="0" collapsed="false">
      <c r="A298" s="15" t="s">
        <v>1171</v>
      </c>
      <c r="B298" s="15" t="s">
        <v>82</v>
      </c>
      <c r="C298" s="15" t="s">
        <v>1172</v>
      </c>
      <c r="D298" s="15" t="n">
        <v>2</v>
      </c>
      <c r="E298" s="15" t="s">
        <v>1173</v>
      </c>
      <c r="F298" s="15" t="s">
        <v>136</v>
      </c>
      <c r="G298" s="15" t="n">
        <v>21</v>
      </c>
      <c r="H298" s="15" t="n">
        <v>2190</v>
      </c>
      <c r="I298" s="15" t="n">
        <v>0</v>
      </c>
      <c r="J298" s="15" t="n">
        <v>0</v>
      </c>
      <c r="K298" s="15" t="n">
        <v>71</v>
      </c>
      <c r="L298" s="15" t="n">
        <v>45</v>
      </c>
      <c r="M298" s="15" t="n">
        <v>117</v>
      </c>
      <c r="N298" s="15" t="n">
        <v>0</v>
      </c>
      <c r="O298" s="15" t="n">
        <v>0</v>
      </c>
      <c r="P298" s="16" t="n">
        <v>0</v>
      </c>
      <c r="Q298" s="15" t="n">
        <v>0</v>
      </c>
      <c r="R298" s="15" t="n">
        <v>0</v>
      </c>
      <c r="S298" s="17" t="n">
        <v>87608</v>
      </c>
      <c r="T298" s="15" t="s">
        <v>186</v>
      </c>
      <c r="U298" s="15" t="n">
        <v>2026</v>
      </c>
      <c r="V298" s="15" t="s">
        <v>1174</v>
      </c>
      <c r="W298" s="18" t="s">
        <v>188</v>
      </c>
      <c r="X298" s="18" t="s">
        <v>166</v>
      </c>
      <c r="Y298" s="15" t="s">
        <v>600</v>
      </c>
      <c r="Z298" s="15" t="s">
        <v>600</v>
      </c>
      <c r="AA298" s="19" t="str">
        <f aca="false">HYPERLINK("https://www.transfermarkt.com/schnellsuche/ergebnis/schnellsuche?query="&amp;SUBSTITUTE(A298," ","+"),"Search Transfermarkt")</f>
        <v>Search Transfermarkt</v>
      </c>
    </row>
    <row r="299" customFormat="false" ht="23.85" hidden="false" customHeight="false" outlineLevel="0" collapsed="false">
      <c r="A299" s="15" t="s">
        <v>1175</v>
      </c>
      <c r="B299" s="15" t="s">
        <v>71</v>
      </c>
      <c r="C299" s="15" t="s">
        <v>1176</v>
      </c>
      <c r="D299" s="15" t="n">
        <v>2</v>
      </c>
      <c r="E299" s="15" t="s">
        <v>1177</v>
      </c>
      <c r="F299" s="15" t="s">
        <v>170</v>
      </c>
      <c r="G299" s="15" t="n">
        <v>23</v>
      </c>
      <c r="H299" s="15" t="n">
        <v>2564</v>
      </c>
      <c r="I299" s="15" t="n">
        <v>8</v>
      </c>
      <c r="J299" s="15" t="n">
        <v>12</v>
      </c>
      <c r="K299" s="15" t="n">
        <v>175</v>
      </c>
      <c r="L299" s="15" t="n">
        <v>76</v>
      </c>
      <c r="M299" s="15" t="n">
        <v>45</v>
      </c>
      <c r="N299" s="15" t="n">
        <v>0</v>
      </c>
      <c r="O299" s="15" t="n">
        <v>0</v>
      </c>
      <c r="P299" s="16" t="n">
        <v>0</v>
      </c>
      <c r="Q299" s="15" t="n">
        <v>0</v>
      </c>
      <c r="R299" s="15" t="n">
        <v>0</v>
      </c>
      <c r="S299" s="17" t="n">
        <v>133814</v>
      </c>
      <c r="T299" s="15" t="s">
        <v>137</v>
      </c>
      <c r="U299" s="15" t="n">
        <v>2027</v>
      </c>
      <c r="V299" s="15" t="s">
        <v>1178</v>
      </c>
      <c r="W299" s="18" t="s">
        <v>139</v>
      </c>
      <c r="X299" s="18" t="s">
        <v>177</v>
      </c>
      <c r="Y299" s="15" t="s">
        <v>600</v>
      </c>
      <c r="Z299" s="15" t="s">
        <v>600</v>
      </c>
      <c r="AA299" s="19" t="str">
        <f aca="false">HYPERLINK("https://www.transfermarkt.com/schnellsuche/ergebnis/schnellsuche?query="&amp;SUBSTITUTE(A299," ","+"),"Search Transfermarkt")</f>
        <v>Search Transfermarkt</v>
      </c>
    </row>
    <row r="300" customFormat="false" ht="23.85" hidden="false" customHeight="false" outlineLevel="0" collapsed="false">
      <c r="A300" s="15" t="s">
        <v>1179</v>
      </c>
      <c r="B300" s="15" t="s">
        <v>75</v>
      </c>
      <c r="C300" s="15" t="s">
        <v>1180</v>
      </c>
      <c r="D300" s="15" t="n">
        <v>2</v>
      </c>
      <c r="E300" s="15" t="s">
        <v>1181</v>
      </c>
      <c r="F300" s="15" t="s">
        <v>136</v>
      </c>
      <c r="G300" s="15" t="n">
        <v>19</v>
      </c>
      <c r="H300" s="15" t="n">
        <v>1605</v>
      </c>
      <c r="I300" s="15" t="n">
        <v>0</v>
      </c>
      <c r="J300" s="15" t="n">
        <v>3</v>
      </c>
      <c r="K300" s="15" t="n">
        <v>40</v>
      </c>
      <c r="L300" s="15" t="n">
        <v>44</v>
      </c>
      <c r="M300" s="15" t="n">
        <v>125</v>
      </c>
      <c r="N300" s="15" t="n">
        <v>0</v>
      </c>
      <c r="O300" s="15" t="n">
        <v>0</v>
      </c>
      <c r="P300" s="16" t="n">
        <v>0</v>
      </c>
      <c r="Q300" s="15" t="n">
        <v>0</v>
      </c>
      <c r="R300" s="15" t="n">
        <v>0</v>
      </c>
      <c r="S300" s="17" t="n">
        <v>90611</v>
      </c>
      <c r="T300" s="15" t="s">
        <v>186</v>
      </c>
      <c r="U300" s="15" t="n">
        <v>2027</v>
      </c>
      <c r="V300" s="15" t="s">
        <v>1182</v>
      </c>
      <c r="W300" s="18" t="s">
        <v>188</v>
      </c>
      <c r="X300" s="18" t="s">
        <v>197</v>
      </c>
      <c r="Y300" s="15" t="s">
        <v>600</v>
      </c>
      <c r="Z300" s="15" t="s">
        <v>600</v>
      </c>
      <c r="AA300" s="19" t="str">
        <f aca="false">HYPERLINK("https://www.transfermarkt.com/schnellsuche/ergebnis/schnellsuche?query="&amp;SUBSTITUTE(A300," ","+"),"Search Transfermarkt")</f>
        <v>Search Transfermarkt</v>
      </c>
    </row>
    <row r="301" customFormat="false" ht="23.85" hidden="false" customHeight="false" outlineLevel="0" collapsed="false">
      <c r="A301" s="15" t="s">
        <v>1183</v>
      </c>
      <c r="B301" s="15" t="s">
        <v>71</v>
      </c>
      <c r="C301" s="15" t="s">
        <v>174</v>
      </c>
      <c r="D301" s="15" t="n">
        <v>2</v>
      </c>
      <c r="E301" s="15" t="s">
        <v>1184</v>
      </c>
      <c r="F301" s="15" t="s">
        <v>157</v>
      </c>
      <c r="G301" s="15" t="n">
        <v>18</v>
      </c>
      <c r="H301" s="15" t="n">
        <v>814</v>
      </c>
      <c r="I301" s="15" t="n">
        <v>0</v>
      </c>
      <c r="J301" s="15" t="n">
        <v>0</v>
      </c>
      <c r="K301" s="15" t="n">
        <v>11</v>
      </c>
      <c r="L301" s="15" t="n">
        <v>4</v>
      </c>
      <c r="M301" s="15" t="n">
        <v>5</v>
      </c>
      <c r="N301" s="15" t="n">
        <v>36</v>
      </c>
      <c r="O301" s="15" t="n">
        <v>19</v>
      </c>
      <c r="P301" s="16" t="n">
        <v>63.2</v>
      </c>
      <c r="Q301" s="15" t="n">
        <v>7.5</v>
      </c>
      <c r="R301" s="15" t="n">
        <v>4</v>
      </c>
      <c r="S301" s="17" t="n">
        <v>114793</v>
      </c>
      <c r="T301" s="15" t="s">
        <v>137</v>
      </c>
      <c r="U301" s="15" t="n">
        <v>2027</v>
      </c>
      <c r="V301" s="15" t="s">
        <v>1185</v>
      </c>
      <c r="W301" s="18" t="s">
        <v>139</v>
      </c>
      <c r="X301" s="18" t="s">
        <v>177</v>
      </c>
      <c r="Y301" s="15" t="s">
        <v>600</v>
      </c>
      <c r="Z301" s="15" t="s">
        <v>600</v>
      </c>
      <c r="AA301" s="19" t="str">
        <f aca="false">HYPERLINK("https://www.transfermarkt.com/schnellsuche/ergebnis/schnellsuche?query="&amp;SUBSTITUTE(A301," ","+"),"Search Transfermarkt")</f>
        <v>Search Transfermarkt</v>
      </c>
    </row>
    <row r="302" customFormat="false" ht="23.85" hidden="false" customHeight="false" outlineLevel="0" collapsed="false">
      <c r="A302" s="15" t="s">
        <v>1186</v>
      </c>
      <c r="B302" s="15" t="s">
        <v>100</v>
      </c>
      <c r="C302" s="15" t="s">
        <v>218</v>
      </c>
      <c r="D302" s="15" t="n">
        <v>3</v>
      </c>
      <c r="E302" s="15" t="s">
        <v>1187</v>
      </c>
      <c r="F302" s="15" t="s">
        <v>163</v>
      </c>
      <c r="G302" s="15" t="n">
        <v>23</v>
      </c>
      <c r="H302" s="15" t="n">
        <v>1047</v>
      </c>
      <c r="I302" s="15" t="n">
        <v>19</v>
      </c>
      <c r="J302" s="15" t="n">
        <v>9</v>
      </c>
      <c r="K302" s="15" t="n">
        <v>52</v>
      </c>
      <c r="L302" s="15" t="n">
        <v>64</v>
      </c>
      <c r="M302" s="15" t="n">
        <v>13</v>
      </c>
      <c r="N302" s="15" t="n">
        <v>0</v>
      </c>
      <c r="O302" s="15" t="n">
        <v>0</v>
      </c>
      <c r="P302" s="16" t="n">
        <v>0</v>
      </c>
      <c r="Q302" s="15" t="n">
        <v>0</v>
      </c>
      <c r="R302" s="15" t="n">
        <v>0</v>
      </c>
      <c r="S302" s="17" t="n">
        <v>66381</v>
      </c>
      <c r="T302" s="15" t="s">
        <v>164</v>
      </c>
      <c r="U302" s="15" t="n">
        <v>2028</v>
      </c>
      <c r="V302" s="15" t="s">
        <v>1188</v>
      </c>
      <c r="W302" s="18" t="s">
        <v>139</v>
      </c>
      <c r="X302" s="18" t="s">
        <v>221</v>
      </c>
      <c r="Y302" s="15" t="s">
        <v>600</v>
      </c>
      <c r="Z302" s="15" t="s">
        <v>600</v>
      </c>
      <c r="AA302" s="19" t="str">
        <f aca="false">HYPERLINK("https://www.transfermarkt.com/schnellsuche/ergebnis/schnellsuche?query="&amp;SUBSTITUTE(A302," ","+"),"Search Transfermarkt")</f>
        <v>Search Transfermarkt</v>
      </c>
    </row>
    <row r="303" customFormat="false" ht="23.85" hidden="false" customHeight="false" outlineLevel="0" collapsed="false">
      <c r="A303" s="15" t="s">
        <v>1189</v>
      </c>
      <c r="B303" s="15" t="s">
        <v>76</v>
      </c>
      <c r="C303" s="15" t="s">
        <v>1190</v>
      </c>
      <c r="D303" s="15" t="n">
        <v>3</v>
      </c>
      <c r="E303" s="15" t="s">
        <v>1191</v>
      </c>
      <c r="F303" s="15" t="s">
        <v>170</v>
      </c>
      <c r="G303" s="15" t="n">
        <v>22</v>
      </c>
      <c r="H303" s="15" t="n">
        <v>926</v>
      </c>
      <c r="I303" s="15" t="n">
        <v>4</v>
      </c>
      <c r="J303" s="15" t="n">
        <v>13</v>
      </c>
      <c r="K303" s="15" t="n">
        <v>147</v>
      </c>
      <c r="L303" s="15" t="n">
        <v>91</v>
      </c>
      <c r="M303" s="15" t="n">
        <v>54</v>
      </c>
      <c r="N303" s="15" t="n">
        <v>0</v>
      </c>
      <c r="O303" s="15" t="n">
        <v>0</v>
      </c>
      <c r="P303" s="16" t="n">
        <v>0</v>
      </c>
      <c r="Q303" s="15" t="n">
        <v>0</v>
      </c>
      <c r="R303" s="15" t="n">
        <v>0</v>
      </c>
      <c r="S303" s="17" t="n">
        <v>117653</v>
      </c>
      <c r="T303" s="15" t="s">
        <v>164</v>
      </c>
      <c r="U303" s="15" t="n">
        <v>2028</v>
      </c>
      <c r="V303" s="15" t="s">
        <v>1192</v>
      </c>
      <c r="W303" s="18" t="s">
        <v>139</v>
      </c>
      <c r="X303" s="18" t="s">
        <v>241</v>
      </c>
      <c r="Y303" s="15" t="s">
        <v>600</v>
      </c>
      <c r="Z303" s="15" t="s">
        <v>600</v>
      </c>
      <c r="AA303" s="19" t="str">
        <f aca="false">HYPERLINK("https://www.transfermarkt.com/schnellsuche/ergebnis/schnellsuche?query="&amp;SUBSTITUTE(A303," ","+"),"Search Transfermarkt")</f>
        <v>Search Transfermarkt</v>
      </c>
    </row>
    <row r="304" customFormat="false" ht="23.85" hidden="false" customHeight="false" outlineLevel="0" collapsed="false">
      <c r="A304" s="15" t="s">
        <v>1193</v>
      </c>
      <c r="B304" s="15" t="s">
        <v>68</v>
      </c>
      <c r="C304" s="15" t="s">
        <v>1194</v>
      </c>
      <c r="D304" s="15" t="n">
        <v>3</v>
      </c>
      <c r="E304" s="15" t="s">
        <v>1195</v>
      </c>
      <c r="F304" s="15" t="s">
        <v>163</v>
      </c>
      <c r="G304" s="15" t="n">
        <v>21</v>
      </c>
      <c r="H304" s="15" t="n">
        <v>1979</v>
      </c>
      <c r="I304" s="15" t="n">
        <v>19</v>
      </c>
      <c r="J304" s="15" t="n">
        <v>9</v>
      </c>
      <c r="K304" s="15" t="n">
        <v>53</v>
      </c>
      <c r="L304" s="15" t="n">
        <v>83</v>
      </c>
      <c r="M304" s="15" t="n">
        <v>6</v>
      </c>
      <c r="N304" s="15" t="n">
        <v>0</v>
      </c>
      <c r="O304" s="15" t="n">
        <v>0</v>
      </c>
      <c r="P304" s="16" t="n">
        <v>0</v>
      </c>
      <c r="Q304" s="15" t="n">
        <v>0</v>
      </c>
      <c r="R304" s="15" t="n">
        <v>0</v>
      </c>
      <c r="S304" s="17" t="n">
        <v>32765</v>
      </c>
      <c r="T304" s="15" t="s">
        <v>137</v>
      </c>
      <c r="U304" s="15" t="n">
        <v>2026</v>
      </c>
      <c r="V304" s="15" t="s">
        <v>1196</v>
      </c>
      <c r="W304" s="18" t="s">
        <v>139</v>
      </c>
      <c r="X304" s="18" t="s">
        <v>153</v>
      </c>
      <c r="Y304" s="15" t="s">
        <v>600</v>
      </c>
      <c r="Z304" s="15" t="s">
        <v>600</v>
      </c>
      <c r="AA304" s="19" t="str">
        <f aca="false">HYPERLINK("https://www.transfermarkt.com/schnellsuche/ergebnis/schnellsuche?query="&amp;SUBSTITUTE(A304," ","+"),"Search Transfermarkt")</f>
        <v>Search Transfermarkt</v>
      </c>
    </row>
    <row r="305" customFormat="false" ht="23.85" hidden="false" customHeight="false" outlineLevel="0" collapsed="false">
      <c r="A305" s="15" t="s">
        <v>1197</v>
      </c>
      <c r="B305" s="15" t="s">
        <v>100</v>
      </c>
      <c r="C305" s="15" t="s">
        <v>887</v>
      </c>
      <c r="D305" s="15" t="n">
        <v>3</v>
      </c>
      <c r="E305" s="15" t="s">
        <v>881</v>
      </c>
      <c r="F305" s="15" t="s">
        <v>136</v>
      </c>
      <c r="G305" s="15" t="n">
        <v>26</v>
      </c>
      <c r="H305" s="15" t="n">
        <v>1804</v>
      </c>
      <c r="I305" s="15" t="n">
        <v>3</v>
      </c>
      <c r="J305" s="15" t="n">
        <v>3</v>
      </c>
      <c r="K305" s="15" t="n">
        <v>62</v>
      </c>
      <c r="L305" s="15" t="n">
        <v>39</v>
      </c>
      <c r="M305" s="15" t="n">
        <v>76</v>
      </c>
      <c r="N305" s="15" t="n">
        <v>0</v>
      </c>
      <c r="O305" s="15" t="n">
        <v>0</v>
      </c>
      <c r="P305" s="16" t="n">
        <v>0</v>
      </c>
      <c r="Q305" s="15" t="n">
        <v>0</v>
      </c>
      <c r="R305" s="15" t="n">
        <v>0</v>
      </c>
      <c r="S305" s="17" t="n">
        <v>0</v>
      </c>
      <c r="T305" s="15" t="s">
        <v>164</v>
      </c>
      <c r="U305" s="15" t="n">
        <v>2027</v>
      </c>
      <c r="V305" s="15" t="s">
        <v>882</v>
      </c>
      <c r="W305" s="18" t="s">
        <v>139</v>
      </c>
      <c r="X305" s="18" t="s">
        <v>221</v>
      </c>
      <c r="Y305" s="15" t="s">
        <v>600</v>
      </c>
      <c r="Z305" s="15" t="s">
        <v>600</v>
      </c>
      <c r="AA305" s="19" t="str">
        <f aca="false">HYPERLINK("https://www.transfermarkt.com/schnellsuche/ergebnis/schnellsuche?query="&amp;SUBSTITUTE(A305," ","+"),"Search Transfermarkt")</f>
        <v>Search Transfermarkt</v>
      </c>
    </row>
    <row r="306" customFormat="false" ht="23.85" hidden="false" customHeight="false" outlineLevel="0" collapsed="false">
      <c r="A306" s="15" t="s">
        <v>1198</v>
      </c>
      <c r="B306" s="15" t="s">
        <v>81</v>
      </c>
      <c r="C306" s="15" t="s">
        <v>680</v>
      </c>
      <c r="D306" s="15" t="n">
        <v>4</v>
      </c>
      <c r="E306" s="15" t="s">
        <v>782</v>
      </c>
      <c r="F306" s="15" t="s">
        <v>136</v>
      </c>
      <c r="G306" s="15" t="n">
        <v>25</v>
      </c>
      <c r="H306" s="15" t="n">
        <v>1595</v>
      </c>
      <c r="I306" s="15" t="n">
        <v>0</v>
      </c>
      <c r="J306" s="15" t="n">
        <v>2</v>
      </c>
      <c r="K306" s="15" t="n">
        <v>44</v>
      </c>
      <c r="L306" s="15" t="n">
        <v>34</v>
      </c>
      <c r="M306" s="15" t="n">
        <v>127</v>
      </c>
      <c r="N306" s="15" t="n">
        <v>0</v>
      </c>
      <c r="O306" s="15" t="n">
        <v>0</v>
      </c>
      <c r="P306" s="16" t="n">
        <v>0</v>
      </c>
      <c r="Q306" s="15" t="n">
        <v>0</v>
      </c>
      <c r="R306" s="15" t="n">
        <v>0</v>
      </c>
      <c r="S306" s="17" t="n">
        <v>90672</v>
      </c>
      <c r="T306" s="15" t="s">
        <v>137</v>
      </c>
      <c r="U306" s="15" t="n">
        <v>2029</v>
      </c>
      <c r="V306" s="15" t="s">
        <v>783</v>
      </c>
      <c r="W306" s="18" t="s">
        <v>139</v>
      </c>
      <c r="X306" s="18" t="s">
        <v>407</v>
      </c>
      <c r="Y306" s="15" t="s">
        <v>600</v>
      </c>
      <c r="Z306" s="15" t="s">
        <v>600</v>
      </c>
      <c r="AA306" s="19" t="str">
        <f aca="false">HYPERLINK("https://www.transfermarkt.com/schnellsuche/ergebnis/schnellsuche?query="&amp;SUBSTITUTE(A306," ","+"),"Search Transfermarkt")</f>
        <v>Search Transfermarkt</v>
      </c>
    </row>
    <row r="307" customFormat="false" ht="23.85" hidden="false" customHeight="false" outlineLevel="0" collapsed="false">
      <c r="A307" s="15" t="s">
        <v>1199</v>
      </c>
      <c r="B307" s="15" t="s">
        <v>76</v>
      </c>
      <c r="C307" s="15" t="s">
        <v>740</v>
      </c>
      <c r="D307" s="15" t="n">
        <v>2</v>
      </c>
      <c r="E307" s="15" t="s">
        <v>1200</v>
      </c>
      <c r="F307" s="15" t="s">
        <v>136</v>
      </c>
      <c r="G307" s="15" t="n">
        <v>26</v>
      </c>
      <c r="H307" s="15" t="n">
        <v>1753</v>
      </c>
      <c r="I307" s="15" t="n">
        <v>0</v>
      </c>
      <c r="J307" s="15" t="n">
        <v>1</v>
      </c>
      <c r="K307" s="15" t="n">
        <v>70</v>
      </c>
      <c r="L307" s="15" t="n">
        <v>33</v>
      </c>
      <c r="M307" s="15" t="n">
        <v>128</v>
      </c>
      <c r="N307" s="15" t="n">
        <v>0</v>
      </c>
      <c r="O307" s="15" t="n">
        <v>0</v>
      </c>
      <c r="P307" s="16" t="n">
        <v>0</v>
      </c>
      <c r="Q307" s="15" t="n">
        <v>0</v>
      </c>
      <c r="R307" s="15" t="n">
        <v>0</v>
      </c>
      <c r="S307" s="17" t="n">
        <v>121588</v>
      </c>
      <c r="T307" s="15" t="s">
        <v>137</v>
      </c>
      <c r="U307" s="15" t="n">
        <v>2026</v>
      </c>
      <c r="V307" s="15" t="s">
        <v>1201</v>
      </c>
      <c r="W307" s="18" t="s">
        <v>139</v>
      </c>
      <c r="X307" s="18" t="s">
        <v>241</v>
      </c>
      <c r="Y307" s="15" t="s">
        <v>600</v>
      </c>
      <c r="Z307" s="15" t="s">
        <v>600</v>
      </c>
      <c r="AA307" s="19" t="str">
        <f aca="false">HYPERLINK("https://www.transfermarkt.com/schnellsuche/ergebnis/schnellsuche?query="&amp;SUBSTITUTE(A307," ","+"),"Search Transfermarkt")</f>
        <v>Search Transfermarkt</v>
      </c>
    </row>
    <row r="308" customFormat="false" ht="23.85" hidden="false" customHeight="false" outlineLevel="0" collapsed="false">
      <c r="A308" s="15" t="s">
        <v>1202</v>
      </c>
      <c r="B308" s="15" t="s">
        <v>75</v>
      </c>
      <c r="C308" s="15" t="s">
        <v>806</v>
      </c>
      <c r="D308" s="15" t="n">
        <v>2</v>
      </c>
      <c r="E308" s="15" t="s">
        <v>1203</v>
      </c>
      <c r="F308" s="15" t="s">
        <v>163</v>
      </c>
      <c r="G308" s="15" t="n">
        <v>21</v>
      </c>
      <c r="H308" s="15" t="n">
        <v>900</v>
      </c>
      <c r="I308" s="15" t="n">
        <v>8</v>
      </c>
      <c r="J308" s="15" t="n">
        <v>7</v>
      </c>
      <c r="K308" s="15" t="n">
        <v>50</v>
      </c>
      <c r="L308" s="15" t="n">
        <v>88</v>
      </c>
      <c r="M308" s="15" t="n">
        <v>5</v>
      </c>
      <c r="N308" s="15" t="n">
        <v>0</v>
      </c>
      <c r="O308" s="15" t="n">
        <v>0</v>
      </c>
      <c r="P308" s="16" t="n">
        <v>0</v>
      </c>
      <c r="Q308" s="15" t="n">
        <v>0</v>
      </c>
      <c r="R308" s="15" t="n">
        <v>0</v>
      </c>
      <c r="S308" s="17" t="n">
        <v>0</v>
      </c>
      <c r="T308" s="15" t="s">
        <v>164</v>
      </c>
      <c r="U308" s="15" t="n">
        <v>2029</v>
      </c>
      <c r="V308" s="15" t="s">
        <v>1204</v>
      </c>
      <c r="W308" s="18" t="s">
        <v>139</v>
      </c>
      <c r="X308" s="18" t="s">
        <v>197</v>
      </c>
      <c r="Y308" s="15" t="s">
        <v>600</v>
      </c>
      <c r="Z308" s="15" t="s">
        <v>600</v>
      </c>
      <c r="AA308" s="19" t="str">
        <f aca="false">HYPERLINK("https://www.transfermarkt.com/schnellsuche/ergebnis/schnellsuche?query="&amp;SUBSTITUTE(A308," ","+"),"Search Transfermarkt")</f>
        <v>Search Transfermarkt</v>
      </c>
    </row>
    <row r="309" customFormat="false" ht="23.85" hidden="false" customHeight="false" outlineLevel="0" collapsed="false">
      <c r="A309" s="15" t="s">
        <v>1205</v>
      </c>
      <c r="B309" s="15" t="s">
        <v>67</v>
      </c>
      <c r="C309" s="15" t="s">
        <v>505</v>
      </c>
      <c r="D309" s="15" t="n">
        <v>3</v>
      </c>
      <c r="E309" s="15" t="s">
        <v>1206</v>
      </c>
      <c r="F309" s="15" t="s">
        <v>170</v>
      </c>
      <c r="G309" s="15" t="n">
        <v>20</v>
      </c>
      <c r="H309" s="15" t="n">
        <v>936</v>
      </c>
      <c r="I309" s="15" t="n">
        <v>8</v>
      </c>
      <c r="J309" s="15" t="n">
        <v>4</v>
      </c>
      <c r="K309" s="15" t="n">
        <v>137</v>
      </c>
      <c r="L309" s="15" t="n">
        <v>69</v>
      </c>
      <c r="M309" s="15" t="n">
        <v>28</v>
      </c>
      <c r="N309" s="15" t="n">
        <v>0</v>
      </c>
      <c r="O309" s="15" t="n">
        <v>0</v>
      </c>
      <c r="P309" s="16" t="n">
        <v>0</v>
      </c>
      <c r="Q309" s="15" t="n">
        <v>0</v>
      </c>
      <c r="R309" s="15" t="n">
        <v>0</v>
      </c>
      <c r="S309" s="17" t="n">
        <v>0</v>
      </c>
      <c r="T309" s="15" t="s">
        <v>186</v>
      </c>
      <c r="U309" s="15" t="n">
        <v>2026</v>
      </c>
      <c r="V309" s="15" t="s">
        <v>1207</v>
      </c>
      <c r="W309" s="18" t="s">
        <v>188</v>
      </c>
      <c r="X309" s="18" t="s">
        <v>236</v>
      </c>
      <c r="Y309" s="15" t="s">
        <v>600</v>
      </c>
      <c r="Z309" s="15" t="s">
        <v>600</v>
      </c>
      <c r="AA309" s="19" t="str">
        <f aca="false">HYPERLINK("https://www.transfermarkt.com/schnellsuche/ergebnis/schnellsuche?query="&amp;SUBSTITUTE(A309," ","+"),"Search Transfermarkt")</f>
        <v>Search Transfermarkt</v>
      </c>
    </row>
    <row r="310" customFormat="false" ht="23.85" hidden="false" customHeight="false" outlineLevel="0" collapsed="false">
      <c r="A310" s="15" t="s">
        <v>1208</v>
      </c>
      <c r="B310" s="15" t="s">
        <v>64</v>
      </c>
      <c r="C310" s="15" t="s">
        <v>442</v>
      </c>
      <c r="D310" s="15" t="n">
        <v>2</v>
      </c>
      <c r="E310" s="15" t="s">
        <v>443</v>
      </c>
      <c r="F310" s="15" t="s">
        <v>163</v>
      </c>
      <c r="G310" s="15" t="n">
        <v>24</v>
      </c>
      <c r="H310" s="15" t="n">
        <v>1539</v>
      </c>
      <c r="I310" s="15" t="n">
        <v>11</v>
      </c>
      <c r="J310" s="15" t="n">
        <v>6</v>
      </c>
      <c r="K310" s="15" t="n">
        <v>35</v>
      </c>
      <c r="L310" s="15" t="n">
        <v>58</v>
      </c>
      <c r="M310" s="15" t="n">
        <v>4</v>
      </c>
      <c r="N310" s="15" t="n">
        <v>0</v>
      </c>
      <c r="O310" s="15" t="n">
        <v>0</v>
      </c>
      <c r="P310" s="16" t="n">
        <v>0</v>
      </c>
      <c r="Q310" s="15" t="n">
        <v>0</v>
      </c>
      <c r="R310" s="15" t="n">
        <v>0</v>
      </c>
      <c r="S310" s="17" t="n">
        <v>89276</v>
      </c>
      <c r="T310" s="15" t="s">
        <v>186</v>
      </c>
      <c r="U310" s="15" t="n">
        <v>2026</v>
      </c>
      <c r="V310" s="15" t="s">
        <v>444</v>
      </c>
      <c r="W310" s="18" t="s">
        <v>188</v>
      </c>
      <c r="X310" s="18" t="s">
        <v>231</v>
      </c>
      <c r="Y310" s="15" t="s">
        <v>600</v>
      </c>
      <c r="Z310" s="15" t="s">
        <v>600</v>
      </c>
      <c r="AA310" s="19" t="str">
        <f aca="false">HYPERLINK("https://www.transfermarkt.com/schnellsuche/ergebnis/schnellsuche?query="&amp;SUBSTITUTE(A310," ","+"),"Search Transfermarkt")</f>
        <v>Search Transfermarkt</v>
      </c>
    </row>
    <row r="311" customFormat="false" ht="23.85" hidden="false" customHeight="false" outlineLevel="0" collapsed="false">
      <c r="A311" s="15" t="s">
        <v>1209</v>
      </c>
      <c r="B311" s="15" t="s">
        <v>100</v>
      </c>
      <c r="C311" s="15" t="s">
        <v>1210</v>
      </c>
      <c r="D311" s="15" t="n">
        <v>2</v>
      </c>
      <c r="E311" s="15" t="s">
        <v>1211</v>
      </c>
      <c r="F311" s="15" t="s">
        <v>136</v>
      </c>
      <c r="G311" s="15" t="n">
        <v>24</v>
      </c>
      <c r="H311" s="15" t="n">
        <v>1987</v>
      </c>
      <c r="I311" s="15" t="n">
        <v>3</v>
      </c>
      <c r="J311" s="15" t="n">
        <v>5</v>
      </c>
      <c r="K311" s="15" t="n">
        <v>51</v>
      </c>
      <c r="L311" s="15" t="n">
        <v>23</v>
      </c>
      <c r="M311" s="15" t="n">
        <v>88</v>
      </c>
      <c r="N311" s="15" t="n">
        <v>0</v>
      </c>
      <c r="O311" s="15" t="n">
        <v>0</v>
      </c>
      <c r="P311" s="16" t="n">
        <v>0</v>
      </c>
      <c r="Q311" s="15" t="n">
        <v>0</v>
      </c>
      <c r="R311" s="15" t="n">
        <v>0</v>
      </c>
      <c r="S311" s="17" t="n">
        <v>0</v>
      </c>
      <c r="T311" s="15" t="s">
        <v>164</v>
      </c>
      <c r="U311" s="15" t="n">
        <v>2026</v>
      </c>
      <c r="V311" s="15" t="s">
        <v>1212</v>
      </c>
      <c r="W311" s="18" t="s">
        <v>139</v>
      </c>
      <c r="X311" s="18" t="s">
        <v>221</v>
      </c>
      <c r="Y311" s="15" t="s">
        <v>600</v>
      </c>
      <c r="Z311" s="15" t="s">
        <v>600</v>
      </c>
      <c r="AA311" s="19" t="str">
        <f aca="false">HYPERLINK("https://www.transfermarkt.com/schnellsuche/ergebnis/schnellsuche?query="&amp;SUBSTITUTE(A311," ","+"),"Search Transfermarkt")</f>
        <v>Search Transfermarkt</v>
      </c>
    </row>
    <row r="312" customFormat="false" ht="23.85" hidden="false" customHeight="false" outlineLevel="0" collapsed="false">
      <c r="A312" s="15" t="s">
        <v>1213</v>
      </c>
      <c r="B312" s="15" t="s">
        <v>73</v>
      </c>
      <c r="C312" s="15" t="s">
        <v>661</v>
      </c>
      <c r="D312" s="15" t="n">
        <v>2</v>
      </c>
      <c r="E312" s="15" t="s">
        <v>1214</v>
      </c>
      <c r="F312" s="15" t="s">
        <v>170</v>
      </c>
      <c r="G312" s="15" t="n">
        <v>25</v>
      </c>
      <c r="H312" s="15" t="n">
        <v>1657</v>
      </c>
      <c r="I312" s="15" t="n">
        <v>7</v>
      </c>
      <c r="J312" s="15" t="n">
        <v>7</v>
      </c>
      <c r="K312" s="15" t="n">
        <v>151</v>
      </c>
      <c r="L312" s="15" t="n">
        <v>89</v>
      </c>
      <c r="M312" s="15" t="n">
        <v>52</v>
      </c>
      <c r="N312" s="15" t="n">
        <v>0</v>
      </c>
      <c r="O312" s="15" t="n">
        <v>0</v>
      </c>
      <c r="P312" s="16" t="n">
        <v>0</v>
      </c>
      <c r="Q312" s="15" t="n">
        <v>0</v>
      </c>
      <c r="R312" s="15" t="n">
        <v>0</v>
      </c>
      <c r="S312" s="17" t="n">
        <v>16611</v>
      </c>
      <c r="T312" s="15" t="s">
        <v>164</v>
      </c>
      <c r="U312" s="15" t="n">
        <v>2028</v>
      </c>
      <c r="V312" s="15" t="s">
        <v>1215</v>
      </c>
      <c r="W312" s="18" t="s">
        <v>139</v>
      </c>
      <c r="X312" s="18" t="s">
        <v>172</v>
      </c>
      <c r="Y312" s="15" t="s">
        <v>600</v>
      </c>
      <c r="Z312" s="15" t="s">
        <v>600</v>
      </c>
      <c r="AA312" s="19" t="str">
        <f aca="false">HYPERLINK("https://www.transfermarkt.com/schnellsuche/ergebnis/schnellsuche?query="&amp;SUBSTITUTE(A312," ","+"),"Search Transfermarkt")</f>
        <v>Search Transfermarkt</v>
      </c>
    </row>
    <row r="313" customFormat="false" ht="23.85" hidden="false" customHeight="false" outlineLevel="0" collapsed="false">
      <c r="A313" s="15" t="s">
        <v>1216</v>
      </c>
      <c r="B313" s="15" t="s">
        <v>86</v>
      </c>
      <c r="C313" s="15" t="s">
        <v>1217</v>
      </c>
      <c r="D313" s="15" t="n">
        <v>2</v>
      </c>
      <c r="E313" s="15" t="s">
        <v>1218</v>
      </c>
      <c r="F313" s="15" t="s">
        <v>136</v>
      </c>
      <c r="G313" s="15" t="n">
        <v>18</v>
      </c>
      <c r="H313" s="15" t="n">
        <v>1295</v>
      </c>
      <c r="I313" s="15" t="n">
        <v>2</v>
      </c>
      <c r="J313" s="15" t="n">
        <v>0</v>
      </c>
      <c r="K313" s="15" t="n">
        <v>42</v>
      </c>
      <c r="L313" s="15" t="n">
        <v>21</v>
      </c>
      <c r="M313" s="15" t="n">
        <v>112</v>
      </c>
      <c r="N313" s="15" t="n">
        <v>0</v>
      </c>
      <c r="O313" s="15" t="n">
        <v>0</v>
      </c>
      <c r="P313" s="16" t="n">
        <v>0</v>
      </c>
      <c r="Q313" s="15" t="n">
        <v>0</v>
      </c>
      <c r="R313" s="15" t="n">
        <v>0</v>
      </c>
      <c r="S313" s="17" t="n">
        <v>0</v>
      </c>
      <c r="T313" s="15" t="s">
        <v>137</v>
      </c>
      <c r="U313" s="15" t="n">
        <v>2028</v>
      </c>
      <c r="V313" s="15" t="s">
        <v>1219</v>
      </c>
      <c r="W313" s="18" t="s">
        <v>139</v>
      </c>
      <c r="X313" s="18" t="s">
        <v>473</v>
      </c>
      <c r="Y313" s="15" t="s">
        <v>600</v>
      </c>
      <c r="Z313" s="15" t="s">
        <v>600</v>
      </c>
      <c r="AA313" s="19" t="str">
        <f aca="false">HYPERLINK("https://www.transfermarkt.com/schnellsuche/ergebnis/schnellsuche?query="&amp;SUBSTITUTE(A313," ","+"),"Search Transfermarkt")</f>
        <v>Search Transfermarkt</v>
      </c>
    </row>
    <row r="314" customFormat="false" ht="23.85" hidden="false" customHeight="false" outlineLevel="0" collapsed="false">
      <c r="A314" s="15" t="s">
        <v>1220</v>
      </c>
      <c r="B314" s="15" t="s">
        <v>75</v>
      </c>
      <c r="C314" s="15" t="s">
        <v>1221</v>
      </c>
      <c r="D314" s="15" t="n">
        <v>2</v>
      </c>
      <c r="E314" s="15" t="s">
        <v>1222</v>
      </c>
      <c r="F314" s="15" t="s">
        <v>163</v>
      </c>
      <c r="G314" s="15" t="n">
        <v>24</v>
      </c>
      <c r="H314" s="15" t="n">
        <v>807</v>
      </c>
      <c r="I314" s="15" t="n">
        <v>14</v>
      </c>
      <c r="J314" s="15" t="n">
        <v>9</v>
      </c>
      <c r="K314" s="15" t="n">
        <v>67</v>
      </c>
      <c r="L314" s="15" t="n">
        <v>101</v>
      </c>
      <c r="M314" s="15" t="n">
        <v>9</v>
      </c>
      <c r="N314" s="15" t="n">
        <v>0</v>
      </c>
      <c r="O314" s="15" t="n">
        <v>0</v>
      </c>
      <c r="P314" s="16" t="n">
        <v>0</v>
      </c>
      <c r="Q314" s="15" t="n">
        <v>0</v>
      </c>
      <c r="R314" s="15" t="n">
        <v>0</v>
      </c>
      <c r="S314" s="17" t="n">
        <v>0</v>
      </c>
      <c r="T314" s="15" t="s">
        <v>186</v>
      </c>
      <c r="U314" s="15" t="n">
        <v>2027</v>
      </c>
      <c r="V314" s="15" t="s">
        <v>1223</v>
      </c>
      <c r="W314" s="18" t="s">
        <v>188</v>
      </c>
      <c r="X314" s="18" t="s">
        <v>197</v>
      </c>
      <c r="Y314" s="15" t="s">
        <v>600</v>
      </c>
      <c r="Z314" s="15" t="s">
        <v>600</v>
      </c>
      <c r="AA314" s="19" t="str">
        <f aca="false">HYPERLINK("https://www.transfermarkt.com/schnellsuche/ergebnis/schnellsuche?query="&amp;SUBSTITUTE(A314," ","+"),"Search Transfermarkt")</f>
        <v>Search Transfermarkt</v>
      </c>
    </row>
    <row r="315" customFormat="false" ht="23.85" hidden="false" customHeight="false" outlineLevel="0" collapsed="false">
      <c r="A315" s="15" t="s">
        <v>1224</v>
      </c>
      <c r="B315" s="15" t="s">
        <v>92</v>
      </c>
      <c r="C315" s="15" t="s">
        <v>1225</v>
      </c>
      <c r="D315" s="15" t="n">
        <v>4</v>
      </c>
      <c r="E315" s="15" t="s">
        <v>1226</v>
      </c>
      <c r="F315" s="15" t="s">
        <v>170</v>
      </c>
      <c r="G315" s="15" t="n">
        <v>18</v>
      </c>
      <c r="H315" s="15" t="n">
        <v>1778</v>
      </c>
      <c r="I315" s="15" t="n">
        <v>9</v>
      </c>
      <c r="J315" s="15" t="n">
        <v>6</v>
      </c>
      <c r="K315" s="15" t="n">
        <v>135</v>
      </c>
      <c r="L315" s="15" t="n">
        <v>64</v>
      </c>
      <c r="M315" s="15" t="n">
        <v>45</v>
      </c>
      <c r="N315" s="15" t="n">
        <v>0</v>
      </c>
      <c r="O315" s="15" t="n">
        <v>0</v>
      </c>
      <c r="P315" s="16" t="n">
        <v>0</v>
      </c>
      <c r="Q315" s="15" t="n">
        <v>0</v>
      </c>
      <c r="R315" s="15" t="n">
        <v>0</v>
      </c>
      <c r="S315" s="17" t="n">
        <v>13688</v>
      </c>
      <c r="T315" s="15" t="s">
        <v>186</v>
      </c>
      <c r="U315" s="15" t="n">
        <v>2029</v>
      </c>
      <c r="V315" s="15" t="s">
        <v>1227</v>
      </c>
      <c r="W315" s="18" t="s">
        <v>188</v>
      </c>
      <c r="X315" s="18" t="s">
        <v>159</v>
      </c>
      <c r="Y315" s="15" t="s">
        <v>600</v>
      </c>
      <c r="Z315" s="15" t="s">
        <v>600</v>
      </c>
      <c r="AA315" s="19" t="str">
        <f aca="false">HYPERLINK("https://www.transfermarkt.com/schnellsuche/ergebnis/schnellsuche?query="&amp;SUBSTITUTE(A315," ","+"),"Search Transfermarkt")</f>
        <v>Search Transfermarkt</v>
      </c>
    </row>
    <row r="316" customFormat="false" ht="23.85" hidden="false" customHeight="false" outlineLevel="0" collapsed="false">
      <c r="A316" s="15" t="s">
        <v>1228</v>
      </c>
      <c r="B316" s="15" t="s">
        <v>68</v>
      </c>
      <c r="C316" s="15" t="s">
        <v>605</v>
      </c>
      <c r="D316" s="15" t="n">
        <v>3</v>
      </c>
      <c r="E316" s="15" t="s">
        <v>1229</v>
      </c>
      <c r="F316" s="15" t="s">
        <v>170</v>
      </c>
      <c r="G316" s="15" t="n">
        <v>19</v>
      </c>
      <c r="H316" s="15" t="n">
        <v>1251</v>
      </c>
      <c r="I316" s="15" t="n">
        <v>7</v>
      </c>
      <c r="J316" s="15" t="n">
        <v>4</v>
      </c>
      <c r="K316" s="15" t="n">
        <v>126</v>
      </c>
      <c r="L316" s="15" t="n">
        <v>61</v>
      </c>
      <c r="M316" s="15" t="n">
        <v>48</v>
      </c>
      <c r="N316" s="15" t="n">
        <v>0</v>
      </c>
      <c r="O316" s="15" t="n">
        <v>0</v>
      </c>
      <c r="P316" s="16" t="n">
        <v>0</v>
      </c>
      <c r="Q316" s="15" t="n">
        <v>0</v>
      </c>
      <c r="R316" s="15" t="n">
        <v>0</v>
      </c>
      <c r="S316" s="17" t="n">
        <v>13273</v>
      </c>
      <c r="T316" s="15" t="s">
        <v>164</v>
      </c>
      <c r="U316" s="15" t="n">
        <v>2029</v>
      </c>
      <c r="V316" s="15" t="s">
        <v>1230</v>
      </c>
      <c r="W316" s="18" t="s">
        <v>139</v>
      </c>
      <c r="X316" s="18" t="s">
        <v>153</v>
      </c>
      <c r="Y316" s="15" t="s">
        <v>600</v>
      </c>
      <c r="Z316" s="15" t="s">
        <v>600</v>
      </c>
      <c r="AA316" s="19" t="str">
        <f aca="false">HYPERLINK("https://www.transfermarkt.com/schnellsuche/ergebnis/schnellsuche?query="&amp;SUBSTITUTE(A316," ","+"),"Search Transfermarkt")</f>
        <v>Search Transfermarkt</v>
      </c>
    </row>
    <row r="317" customFormat="false" ht="23.85" hidden="false" customHeight="false" outlineLevel="0" collapsed="false">
      <c r="A317" s="15" t="s">
        <v>1231</v>
      </c>
      <c r="B317" s="15" t="s">
        <v>86</v>
      </c>
      <c r="C317" s="15" t="s">
        <v>1232</v>
      </c>
      <c r="D317" s="15" t="n">
        <v>2</v>
      </c>
      <c r="E317" s="15" t="s">
        <v>1233</v>
      </c>
      <c r="F317" s="15" t="s">
        <v>136</v>
      </c>
      <c r="G317" s="15" t="n">
        <v>24</v>
      </c>
      <c r="H317" s="15" t="n">
        <v>2561</v>
      </c>
      <c r="I317" s="15" t="n">
        <v>1</v>
      </c>
      <c r="J317" s="15" t="n">
        <v>4</v>
      </c>
      <c r="K317" s="15" t="n">
        <v>41</v>
      </c>
      <c r="L317" s="15" t="n">
        <v>26</v>
      </c>
      <c r="M317" s="15" t="n">
        <v>108</v>
      </c>
      <c r="N317" s="15" t="n">
        <v>0</v>
      </c>
      <c r="O317" s="15" t="n">
        <v>0</v>
      </c>
      <c r="P317" s="16" t="n">
        <v>0</v>
      </c>
      <c r="Q317" s="15" t="n">
        <v>0</v>
      </c>
      <c r="R317" s="15" t="n">
        <v>0</v>
      </c>
      <c r="S317" s="17" t="n">
        <v>57982</v>
      </c>
      <c r="T317" s="15" t="s">
        <v>137</v>
      </c>
      <c r="U317" s="15" t="n">
        <v>2028</v>
      </c>
      <c r="V317" s="15" t="s">
        <v>1234</v>
      </c>
      <c r="W317" s="18" t="s">
        <v>139</v>
      </c>
      <c r="X317" s="18" t="s">
        <v>473</v>
      </c>
      <c r="Y317" s="15" t="s">
        <v>600</v>
      </c>
      <c r="Z317" s="15" t="s">
        <v>600</v>
      </c>
      <c r="AA317" s="19" t="str">
        <f aca="false">HYPERLINK("https://www.transfermarkt.com/schnellsuche/ergebnis/schnellsuche?query="&amp;SUBSTITUTE(A317," ","+"),"Search Transfermarkt")</f>
        <v>Search Transfermarkt</v>
      </c>
    </row>
    <row r="318" customFormat="false" ht="23.85" hidden="false" customHeight="false" outlineLevel="0" collapsed="false">
      <c r="A318" s="15" t="s">
        <v>1235</v>
      </c>
      <c r="B318" s="15" t="s">
        <v>68</v>
      </c>
      <c r="C318" s="15" t="s">
        <v>1236</v>
      </c>
      <c r="D318" s="15" t="n">
        <v>3</v>
      </c>
      <c r="E318" s="15" t="s">
        <v>1237</v>
      </c>
      <c r="F318" s="15" t="s">
        <v>170</v>
      </c>
      <c r="G318" s="15" t="n">
        <v>19</v>
      </c>
      <c r="H318" s="15" t="n">
        <v>2217</v>
      </c>
      <c r="I318" s="15" t="n">
        <v>4</v>
      </c>
      <c r="J318" s="15" t="n">
        <v>11</v>
      </c>
      <c r="K318" s="15" t="n">
        <v>127</v>
      </c>
      <c r="L318" s="15" t="n">
        <v>56</v>
      </c>
      <c r="M318" s="15" t="n">
        <v>47</v>
      </c>
      <c r="N318" s="15" t="n">
        <v>0</v>
      </c>
      <c r="O318" s="15" t="n">
        <v>0</v>
      </c>
      <c r="P318" s="16" t="n">
        <v>0</v>
      </c>
      <c r="Q318" s="15" t="n">
        <v>0</v>
      </c>
      <c r="R318" s="15" t="n">
        <v>0</v>
      </c>
      <c r="S318" s="17" t="n">
        <v>129165</v>
      </c>
      <c r="T318" s="15" t="s">
        <v>186</v>
      </c>
      <c r="U318" s="15" t="n">
        <v>2029</v>
      </c>
      <c r="V318" s="15" t="s">
        <v>1238</v>
      </c>
      <c r="W318" s="18" t="s">
        <v>188</v>
      </c>
      <c r="X318" s="18" t="s">
        <v>153</v>
      </c>
      <c r="Y318" s="15" t="s">
        <v>600</v>
      </c>
      <c r="Z318" s="15" t="s">
        <v>600</v>
      </c>
      <c r="AA318" s="19" t="str">
        <f aca="false">HYPERLINK("https://www.transfermarkt.com/schnellsuche/ergebnis/schnellsuche?query="&amp;SUBSTITUTE(A318," ","+"),"Search Transfermarkt")</f>
        <v>Search Transfermarkt</v>
      </c>
    </row>
    <row r="319" customFormat="false" ht="23.85" hidden="false" customHeight="false" outlineLevel="0" collapsed="false">
      <c r="A319" s="15" t="s">
        <v>1239</v>
      </c>
      <c r="B319" s="15" t="s">
        <v>81</v>
      </c>
      <c r="C319" s="15" t="s">
        <v>1035</v>
      </c>
      <c r="D319" s="15" t="n">
        <v>2</v>
      </c>
      <c r="E319" s="15" t="s">
        <v>1240</v>
      </c>
      <c r="F319" s="15" t="s">
        <v>136</v>
      </c>
      <c r="G319" s="15" t="n">
        <v>23</v>
      </c>
      <c r="H319" s="15" t="n">
        <v>2433</v>
      </c>
      <c r="I319" s="15" t="n">
        <v>0</v>
      </c>
      <c r="J319" s="15" t="n">
        <v>4</v>
      </c>
      <c r="K319" s="15" t="n">
        <v>42</v>
      </c>
      <c r="L319" s="15" t="n">
        <v>30</v>
      </c>
      <c r="M319" s="15" t="n">
        <v>111</v>
      </c>
      <c r="N319" s="15" t="n">
        <v>0</v>
      </c>
      <c r="O319" s="15" t="n">
        <v>0</v>
      </c>
      <c r="P319" s="16" t="n">
        <v>0</v>
      </c>
      <c r="Q319" s="15" t="n">
        <v>0</v>
      </c>
      <c r="R319" s="15" t="n">
        <v>0</v>
      </c>
      <c r="S319" s="17" t="n">
        <v>22866</v>
      </c>
      <c r="T319" s="15" t="s">
        <v>164</v>
      </c>
      <c r="U319" s="15" t="n">
        <v>2026</v>
      </c>
      <c r="V319" s="15" t="s">
        <v>1241</v>
      </c>
      <c r="W319" s="18" t="s">
        <v>139</v>
      </c>
      <c r="X319" s="18" t="s">
        <v>407</v>
      </c>
      <c r="Y319" s="15" t="s">
        <v>600</v>
      </c>
      <c r="Z319" s="15" t="s">
        <v>600</v>
      </c>
      <c r="AA319" s="19" t="str">
        <f aca="false">HYPERLINK("https://www.transfermarkt.com/schnellsuche/ergebnis/schnellsuche?query="&amp;SUBSTITUTE(A319," ","+"),"Search Transfermarkt")</f>
        <v>Search Transfermarkt</v>
      </c>
    </row>
    <row r="320" customFormat="false" ht="23.85" hidden="false" customHeight="false" outlineLevel="0" collapsed="false">
      <c r="A320" s="15" t="s">
        <v>1242</v>
      </c>
      <c r="B320" s="15" t="s">
        <v>81</v>
      </c>
      <c r="C320" s="15" t="s">
        <v>1145</v>
      </c>
      <c r="D320" s="15" t="n">
        <v>2</v>
      </c>
      <c r="E320" s="15" t="s">
        <v>1159</v>
      </c>
      <c r="F320" s="15" t="s">
        <v>170</v>
      </c>
      <c r="G320" s="15" t="n">
        <v>25</v>
      </c>
      <c r="H320" s="15" t="n">
        <v>2319</v>
      </c>
      <c r="I320" s="15" t="n">
        <v>2</v>
      </c>
      <c r="J320" s="15" t="n">
        <v>10</v>
      </c>
      <c r="K320" s="15" t="n">
        <v>107</v>
      </c>
      <c r="L320" s="15" t="n">
        <v>61</v>
      </c>
      <c r="M320" s="15" t="n">
        <v>43</v>
      </c>
      <c r="N320" s="15" t="n">
        <v>0</v>
      </c>
      <c r="O320" s="15" t="n">
        <v>0</v>
      </c>
      <c r="P320" s="16" t="n">
        <v>0</v>
      </c>
      <c r="Q320" s="15" t="n">
        <v>0</v>
      </c>
      <c r="R320" s="15" t="n">
        <v>0</v>
      </c>
      <c r="S320" s="17" t="n">
        <v>105754</v>
      </c>
      <c r="T320" s="15" t="s">
        <v>164</v>
      </c>
      <c r="U320" s="15" t="n">
        <v>2029</v>
      </c>
      <c r="V320" s="15" t="s">
        <v>1160</v>
      </c>
      <c r="W320" s="18" t="s">
        <v>139</v>
      </c>
      <c r="X320" s="18" t="s">
        <v>407</v>
      </c>
      <c r="Y320" s="15" t="s">
        <v>600</v>
      </c>
      <c r="Z320" s="15" t="s">
        <v>600</v>
      </c>
      <c r="AA320" s="19" t="str">
        <f aca="false">HYPERLINK("https://www.transfermarkt.com/schnellsuche/ergebnis/schnellsuche?query="&amp;SUBSTITUTE(A320," ","+"),"Search Transfermarkt")</f>
        <v>Search Transfermarkt</v>
      </c>
    </row>
    <row r="321" customFormat="false" ht="23.85" hidden="false" customHeight="false" outlineLevel="0" collapsed="false">
      <c r="A321" s="15" t="s">
        <v>1243</v>
      </c>
      <c r="B321" s="15" t="s">
        <v>94</v>
      </c>
      <c r="C321" s="15" t="s">
        <v>1244</v>
      </c>
      <c r="D321" s="15" t="n">
        <v>3</v>
      </c>
      <c r="E321" s="15" t="s">
        <v>1245</v>
      </c>
      <c r="F321" s="15" t="s">
        <v>157</v>
      </c>
      <c r="G321" s="15" t="n">
        <v>24</v>
      </c>
      <c r="H321" s="15" t="n">
        <v>1505</v>
      </c>
      <c r="I321" s="15" t="n">
        <v>0</v>
      </c>
      <c r="J321" s="15" t="n">
        <v>0</v>
      </c>
      <c r="K321" s="15" t="n">
        <v>9</v>
      </c>
      <c r="L321" s="15" t="n">
        <v>1</v>
      </c>
      <c r="M321" s="15" t="n">
        <v>5</v>
      </c>
      <c r="N321" s="15" t="n">
        <v>59</v>
      </c>
      <c r="O321" s="15" t="n">
        <v>24</v>
      </c>
      <c r="P321" s="16" t="n">
        <v>86.7</v>
      </c>
      <c r="Q321" s="15" t="n">
        <v>24.8</v>
      </c>
      <c r="R321" s="15" t="n">
        <v>5</v>
      </c>
      <c r="S321" s="17" t="n">
        <v>13935</v>
      </c>
      <c r="T321" s="15" t="s">
        <v>186</v>
      </c>
      <c r="U321" s="15" t="n">
        <v>2026</v>
      </c>
      <c r="V321" s="15" t="s">
        <v>1246</v>
      </c>
      <c r="W321" s="18" t="s">
        <v>188</v>
      </c>
      <c r="X321" s="18" t="s">
        <v>226</v>
      </c>
      <c r="Y321" s="15" t="s">
        <v>600</v>
      </c>
      <c r="Z321" s="15" t="s">
        <v>600</v>
      </c>
      <c r="AA321" s="19" t="str">
        <f aca="false">HYPERLINK("https://www.transfermarkt.com/schnellsuche/ergebnis/schnellsuche?query="&amp;SUBSTITUTE(A321," ","+"),"Search Transfermarkt")</f>
        <v>Search Transfermarkt</v>
      </c>
    </row>
    <row r="322" customFormat="false" ht="23.85" hidden="false" customHeight="false" outlineLevel="0" collapsed="false">
      <c r="A322" s="15" t="s">
        <v>1247</v>
      </c>
      <c r="B322" s="15" t="s">
        <v>83</v>
      </c>
      <c r="C322" s="15" t="s">
        <v>1248</v>
      </c>
      <c r="D322" s="15" t="n">
        <v>3</v>
      </c>
      <c r="E322" s="15" t="s">
        <v>1249</v>
      </c>
      <c r="F322" s="15" t="s">
        <v>170</v>
      </c>
      <c r="G322" s="15" t="n">
        <v>17</v>
      </c>
      <c r="H322" s="15" t="n">
        <v>2107</v>
      </c>
      <c r="I322" s="15" t="n">
        <v>10</v>
      </c>
      <c r="J322" s="15" t="n">
        <v>12</v>
      </c>
      <c r="K322" s="15" t="n">
        <v>138</v>
      </c>
      <c r="L322" s="15" t="n">
        <v>69</v>
      </c>
      <c r="M322" s="15" t="n">
        <v>28</v>
      </c>
      <c r="N322" s="15" t="n">
        <v>0</v>
      </c>
      <c r="O322" s="15" t="n">
        <v>0</v>
      </c>
      <c r="P322" s="16" t="n">
        <v>0</v>
      </c>
      <c r="Q322" s="15" t="n">
        <v>0</v>
      </c>
      <c r="R322" s="15" t="n">
        <v>0</v>
      </c>
      <c r="S322" s="17" t="n">
        <v>80308</v>
      </c>
      <c r="T322" s="15" t="s">
        <v>137</v>
      </c>
      <c r="U322" s="15" t="n">
        <v>2029</v>
      </c>
      <c r="V322" s="15" t="s">
        <v>1250</v>
      </c>
      <c r="W322" s="18" t="s">
        <v>147</v>
      </c>
      <c r="X322" s="18" t="s">
        <v>379</v>
      </c>
      <c r="Y322" s="15" t="s">
        <v>600</v>
      </c>
      <c r="Z322" s="15" t="s">
        <v>600</v>
      </c>
      <c r="AA322" s="19" t="str">
        <f aca="false">HYPERLINK("https://www.transfermarkt.com/schnellsuche/ergebnis/schnellsuche?query="&amp;SUBSTITUTE(A322," ","+"),"Search Transfermarkt")</f>
        <v>Search Transfermarkt</v>
      </c>
    </row>
    <row r="323" customFormat="false" ht="23.85" hidden="false" customHeight="false" outlineLevel="0" collapsed="false">
      <c r="A323" s="15" t="s">
        <v>1251</v>
      </c>
      <c r="B323" s="15" t="s">
        <v>68</v>
      </c>
      <c r="C323" s="15" t="s">
        <v>640</v>
      </c>
      <c r="D323" s="15" t="n">
        <v>3</v>
      </c>
      <c r="E323" s="15" t="s">
        <v>1252</v>
      </c>
      <c r="F323" s="15" t="s">
        <v>157</v>
      </c>
      <c r="G323" s="15" t="n">
        <v>21</v>
      </c>
      <c r="H323" s="15" t="n">
        <v>2696</v>
      </c>
      <c r="I323" s="15" t="n">
        <v>0</v>
      </c>
      <c r="J323" s="15" t="n">
        <v>0</v>
      </c>
      <c r="K323" s="15" t="n">
        <v>19</v>
      </c>
      <c r="L323" s="15" t="n">
        <v>6</v>
      </c>
      <c r="M323" s="15" t="n">
        <v>6</v>
      </c>
      <c r="N323" s="15" t="n">
        <v>123</v>
      </c>
      <c r="O323" s="15" t="n">
        <v>41</v>
      </c>
      <c r="P323" s="16" t="n">
        <v>89.6</v>
      </c>
      <c r="Q323" s="15" t="n">
        <v>4.5</v>
      </c>
      <c r="R323" s="15" t="n">
        <v>12</v>
      </c>
      <c r="S323" s="17" t="n">
        <v>77557</v>
      </c>
      <c r="T323" s="15" t="s">
        <v>137</v>
      </c>
      <c r="U323" s="15" t="n">
        <v>2028</v>
      </c>
      <c r="V323" s="15" t="s">
        <v>1253</v>
      </c>
      <c r="W323" s="18" t="s">
        <v>139</v>
      </c>
      <c r="X323" s="18" t="s">
        <v>153</v>
      </c>
      <c r="Y323" s="15" t="s">
        <v>600</v>
      </c>
      <c r="Z323" s="15" t="s">
        <v>600</v>
      </c>
      <c r="AA323" s="19" t="str">
        <f aca="false">HYPERLINK("https://www.transfermarkt.com/schnellsuche/ergebnis/schnellsuche?query="&amp;SUBSTITUTE(A323," ","+"),"Search Transfermarkt")</f>
        <v>Search Transfermarkt</v>
      </c>
    </row>
    <row r="324" customFormat="false" ht="23.85" hidden="false" customHeight="false" outlineLevel="0" collapsed="false">
      <c r="A324" s="15" t="s">
        <v>1254</v>
      </c>
      <c r="B324" s="15" t="s">
        <v>83</v>
      </c>
      <c r="C324" s="15" t="s">
        <v>1255</v>
      </c>
      <c r="D324" s="15" t="n">
        <v>2</v>
      </c>
      <c r="E324" s="15" t="s">
        <v>1256</v>
      </c>
      <c r="F324" s="15" t="s">
        <v>157</v>
      </c>
      <c r="G324" s="15" t="n">
        <v>21</v>
      </c>
      <c r="H324" s="15" t="n">
        <v>1838</v>
      </c>
      <c r="I324" s="15" t="n">
        <v>0</v>
      </c>
      <c r="J324" s="15" t="n">
        <v>0</v>
      </c>
      <c r="K324" s="15" t="n">
        <v>20</v>
      </c>
      <c r="L324" s="15" t="n">
        <v>1</v>
      </c>
      <c r="M324" s="15" t="n">
        <v>7</v>
      </c>
      <c r="N324" s="15" t="n">
        <v>50</v>
      </c>
      <c r="O324" s="15" t="n">
        <v>42</v>
      </c>
      <c r="P324" s="16" t="n">
        <v>64.2</v>
      </c>
      <c r="Q324" s="15" t="n">
        <v>2.9</v>
      </c>
      <c r="R324" s="15" t="n">
        <v>9</v>
      </c>
      <c r="S324" s="17" t="n">
        <v>73106</v>
      </c>
      <c r="T324" s="15" t="s">
        <v>164</v>
      </c>
      <c r="U324" s="15" t="n">
        <v>2028</v>
      </c>
      <c r="V324" s="15" t="s">
        <v>1257</v>
      </c>
      <c r="W324" s="18" t="s">
        <v>139</v>
      </c>
      <c r="X324" s="18" t="s">
        <v>379</v>
      </c>
      <c r="Y324" s="15" t="s">
        <v>600</v>
      </c>
      <c r="Z324" s="15" t="s">
        <v>600</v>
      </c>
      <c r="AA324" s="19" t="str">
        <f aca="false">HYPERLINK("https://www.transfermarkt.com/schnellsuche/ergebnis/schnellsuche?query="&amp;SUBSTITUTE(A324," ","+"),"Search Transfermarkt")</f>
        <v>Search Transfermarkt</v>
      </c>
    </row>
    <row r="325" customFormat="false" ht="23.85" hidden="false" customHeight="false" outlineLevel="0" collapsed="false">
      <c r="A325" s="15" t="s">
        <v>1258</v>
      </c>
      <c r="B325" s="15" t="s">
        <v>94</v>
      </c>
      <c r="C325" s="15" t="s">
        <v>1259</v>
      </c>
      <c r="D325" s="15" t="n">
        <v>3</v>
      </c>
      <c r="E325" s="15" t="s">
        <v>1260</v>
      </c>
      <c r="F325" s="15" t="s">
        <v>136</v>
      </c>
      <c r="G325" s="15" t="n">
        <v>23</v>
      </c>
      <c r="H325" s="15" t="n">
        <v>823</v>
      </c>
      <c r="I325" s="15" t="n">
        <v>3</v>
      </c>
      <c r="J325" s="15" t="n">
        <v>4</v>
      </c>
      <c r="K325" s="15" t="n">
        <v>52</v>
      </c>
      <c r="L325" s="15" t="n">
        <v>40</v>
      </c>
      <c r="M325" s="15" t="n">
        <v>110</v>
      </c>
      <c r="N325" s="15" t="n">
        <v>0</v>
      </c>
      <c r="O325" s="15" t="n">
        <v>0</v>
      </c>
      <c r="P325" s="16" t="n">
        <v>0</v>
      </c>
      <c r="Q325" s="15" t="n">
        <v>0</v>
      </c>
      <c r="R325" s="15" t="n">
        <v>0</v>
      </c>
      <c r="S325" s="17" t="n">
        <v>0</v>
      </c>
      <c r="T325" s="15" t="s">
        <v>186</v>
      </c>
      <c r="U325" s="15" t="n">
        <v>2029</v>
      </c>
      <c r="V325" s="15" t="s">
        <v>1261</v>
      </c>
      <c r="W325" s="18" t="s">
        <v>188</v>
      </c>
      <c r="X325" s="18" t="s">
        <v>226</v>
      </c>
      <c r="Y325" s="15" t="s">
        <v>600</v>
      </c>
      <c r="Z325" s="15" t="s">
        <v>600</v>
      </c>
      <c r="AA325" s="19" t="str">
        <f aca="false">HYPERLINK("https://www.transfermarkt.com/schnellsuche/ergebnis/schnellsuche?query="&amp;SUBSTITUTE(A325," ","+"),"Search Transfermarkt")</f>
        <v>Search Transfermarkt</v>
      </c>
    </row>
    <row r="326" customFormat="false" ht="23.85" hidden="false" customHeight="false" outlineLevel="0" collapsed="false">
      <c r="A326" s="15" t="s">
        <v>1262</v>
      </c>
      <c r="B326" s="15" t="s">
        <v>96</v>
      </c>
      <c r="C326" s="15" t="s">
        <v>1263</v>
      </c>
      <c r="D326" s="15" t="n">
        <v>4</v>
      </c>
      <c r="E326" s="15" t="s">
        <v>1264</v>
      </c>
      <c r="F326" s="15" t="s">
        <v>136</v>
      </c>
      <c r="G326" s="15" t="n">
        <v>17</v>
      </c>
      <c r="H326" s="15" t="n">
        <v>1052</v>
      </c>
      <c r="I326" s="15" t="n">
        <v>2</v>
      </c>
      <c r="J326" s="15" t="n">
        <v>3</v>
      </c>
      <c r="K326" s="15" t="n">
        <v>48</v>
      </c>
      <c r="L326" s="15" t="n">
        <v>25</v>
      </c>
      <c r="M326" s="15" t="n">
        <v>117</v>
      </c>
      <c r="N326" s="15" t="n">
        <v>0</v>
      </c>
      <c r="O326" s="15" t="n">
        <v>0</v>
      </c>
      <c r="P326" s="16" t="n">
        <v>0</v>
      </c>
      <c r="Q326" s="15" t="n">
        <v>0</v>
      </c>
      <c r="R326" s="15" t="n">
        <v>0</v>
      </c>
      <c r="S326" s="17" t="n">
        <v>83163</v>
      </c>
      <c r="T326" s="15" t="s">
        <v>137</v>
      </c>
      <c r="U326" s="15" t="n">
        <v>2027</v>
      </c>
      <c r="V326" s="15" t="s">
        <v>1265</v>
      </c>
      <c r="W326" s="18" t="s">
        <v>147</v>
      </c>
      <c r="X326" s="18" t="s">
        <v>216</v>
      </c>
      <c r="Y326" s="15" t="s">
        <v>600</v>
      </c>
      <c r="Z326" s="15" t="s">
        <v>600</v>
      </c>
      <c r="AA326" s="19" t="str">
        <f aca="false">HYPERLINK("https://www.transfermarkt.com/schnellsuche/ergebnis/schnellsuche?query="&amp;SUBSTITUTE(A326," ","+"),"Search Transfermarkt")</f>
        <v>Search Transfermarkt</v>
      </c>
    </row>
    <row r="327" customFormat="false" ht="23.85" hidden="false" customHeight="false" outlineLevel="0" collapsed="false">
      <c r="A327" s="15" t="s">
        <v>1266</v>
      </c>
      <c r="B327" s="15" t="s">
        <v>67</v>
      </c>
      <c r="C327" s="15" t="s">
        <v>381</v>
      </c>
      <c r="D327" s="15" t="n">
        <v>2</v>
      </c>
      <c r="E327" s="15" t="s">
        <v>1267</v>
      </c>
      <c r="F327" s="15" t="s">
        <v>157</v>
      </c>
      <c r="G327" s="15" t="n">
        <v>18</v>
      </c>
      <c r="H327" s="15" t="n">
        <v>1030</v>
      </c>
      <c r="I327" s="15" t="n">
        <v>0</v>
      </c>
      <c r="J327" s="15" t="n">
        <v>0</v>
      </c>
      <c r="K327" s="15" t="n">
        <v>7</v>
      </c>
      <c r="L327" s="15" t="n">
        <v>2</v>
      </c>
      <c r="M327" s="15" t="n">
        <v>4</v>
      </c>
      <c r="N327" s="15" t="n">
        <v>51</v>
      </c>
      <c r="O327" s="15" t="n">
        <v>25</v>
      </c>
      <c r="P327" s="16" t="n">
        <v>58</v>
      </c>
      <c r="Q327" s="15" t="n">
        <v>4.4</v>
      </c>
      <c r="R327" s="15" t="n">
        <v>5</v>
      </c>
      <c r="S327" s="17" t="n">
        <v>48123</v>
      </c>
      <c r="T327" s="15" t="s">
        <v>137</v>
      </c>
      <c r="U327" s="15" t="n">
        <v>2027</v>
      </c>
      <c r="V327" s="15" t="s">
        <v>1268</v>
      </c>
      <c r="W327" s="18" t="s">
        <v>139</v>
      </c>
      <c r="X327" s="18" t="s">
        <v>236</v>
      </c>
      <c r="Y327" s="15" t="s">
        <v>600</v>
      </c>
      <c r="Z327" s="15" t="s">
        <v>600</v>
      </c>
      <c r="AA327" s="19" t="str">
        <f aca="false">HYPERLINK("https://www.transfermarkt.com/schnellsuche/ergebnis/schnellsuche?query="&amp;SUBSTITUTE(A327," ","+"),"Search Transfermarkt")</f>
        <v>Search Transfermarkt</v>
      </c>
    </row>
    <row r="328" customFormat="false" ht="23.85" hidden="false" customHeight="false" outlineLevel="0" collapsed="false">
      <c r="A328" s="15" t="s">
        <v>1269</v>
      </c>
      <c r="B328" s="15" t="s">
        <v>77</v>
      </c>
      <c r="C328" s="15" t="s">
        <v>1029</v>
      </c>
      <c r="D328" s="15" t="n">
        <v>2</v>
      </c>
      <c r="E328" s="15" t="s">
        <v>1270</v>
      </c>
      <c r="F328" s="15" t="s">
        <v>170</v>
      </c>
      <c r="G328" s="15" t="n">
        <v>26</v>
      </c>
      <c r="H328" s="15" t="n">
        <v>1519</v>
      </c>
      <c r="I328" s="15" t="n">
        <v>3</v>
      </c>
      <c r="J328" s="15" t="n">
        <v>13</v>
      </c>
      <c r="K328" s="15" t="n">
        <v>143</v>
      </c>
      <c r="L328" s="15" t="n">
        <v>98</v>
      </c>
      <c r="M328" s="15" t="n">
        <v>35</v>
      </c>
      <c r="N328" s="15" t="n">
        <v>0</v>
      </c>
      <c r="O328" s="15" t="n">
        <v>0</v>
      </c>
      <c r="P328" s="16" t="n">
        <v>0</v>
      </c>
      <c r="Q328" s="15" t="n">
        <v>0</v>
      </c>
      <c r="R328" s="15" t="n">
        <v>0</v>
      </c>
      <c r="S328" s="17" t="n">
        <v>0</v>
      </c>
      <c r="T328" s="15" t="s">
        <v>137</v>
      </c>
      <c r="U328" s="15" t="n">
        <v>2026</v>
      </c>
      <c r="V328" s="15" t="s">
        <v>1271</v>
      </c>
      <c r="W328" s="18" t="s">
        <v>139</v>
      </c>
      <c r="X328" s="18" t="s">
        <v>358</v>
      </c>
      <c r="Y328" s="15" t="s">
        <v>600</v>
      </c>
      <c r="Z328" s="15" t="s">
        <v>600</v>
      </c>
      <c r="AA328" s="19" t="str">
        <f aca="false">HYPERLINK("https://www.transfermarkt.com/schnellsuche/ergebnis/schnellsuche?query="&amp;SUBSTITUTE(A328," ","+"),"Search Transfermarkt")</f>
        <v>Search Transfermarkt</v>
      </c>
    </row>
    <row r="329" customFormat="false" ht="23.85" hidden="false" customHeight="false" outlineLevel="0" collapsed="false">
      <c r="A329" s="15" t="s">
        <v>1272</v>
      </c>
      <c r="B329" s="15" t="s">
        <v>79</v>
      </c>
      <c r="C329" s="15" t="s">
        <v>1273</v>
      </c>
      <c r="D329" s="15" t="n">
        <v>3</v>
      </c>
      <c r="E329" s="15" t="s">
        <v>1274</v>
      </c>
      <c r="F329" s="15" t="s">
        <v>163</v>
      </c>
      <c r="G329" s="15" t="n">
        <v>17</v>
      </c>
      <c r="H329" s="15" t="n">
        <v>1172</v>
      </c>
      <c r="I329" s="15" t="n">
        <v>8</v>
      </c>
      <c r="J329" s="15" t="n">
        <v>6</v>
      </c>
      <c r="K329" s="15" t="n">
        <v>60</v>
      </c>
      <c r="L329" s="15" t="n">
        <v>58</v>
      </c>
      <c r="M329" s="15" t="n">
        <v>8</v>
      </c>
      <c r="N329" s="15" t="n">
        <v>0</v>
      </c>
      <c r="O329" s="15" t="n">
        <v>0</v>
      </c>
      <c r="P329" s="16" t="n">
        <v>0</v>
      </c>
      <c r="Q329" s="15" t="n">
        <v>0</v>
      </c>
      <c r="R329" s="15" t="n">
        <v>0</v>
      </c>
      <c r="S329" s="17" t="n">
        <v>73065</v>
      </c>
      <c r="T329" s="15" t="s">
        <v>137</v>
      </c>
      <c r="U329" s="15" t="n">
        <v>2027</v>
      </c>
      <c r="V329" s="15" t="s">
        <v>1275</v>
      </c>
      <c r="W329" s="18" t="s">
        <v>147</v>
      </c>
      <c r="X329" s="18" t="s">
        <v>412</v>
      </c>
      <c r="Y329" s="15" t="s">
        <v>600</v>
      </c>
      <c r="Z329" s="15" t="s">
        <v>600</v>
      </c>
      <c r="AA329" s="19" t="str">
        <f aca="false">HYPERLINK("https://www.transfermarkt.com/schnellsuche/ergebnis/schnellsuche?query="&amp;SUBSTITUTE(A329," ","+"),"Search Transfermarkt")</f>
        <v>Search Transfermarkt</v>
      </c>
    </row>
    <row r="330" customFormat="false" ht="23.85" hidden="false" customHeight="false" outlineLevel="0" collapsed="false">
      <c r="A330" s="15" t="s">
        <v>1276</v>
      </c>
      <c r="B330" s="15" t="s">
        <v>86</v>
      </c>
      <c r="C330" s="15" t="s">
        <v>1277</v>
      </c>
      <c r="D330" s="15" t="n">
        <v>2</v>
      </c>
      <c r="E330" s="15" t="s">
        <v>1278</v>
      </c>
      <c r="F330" s="15" t="s">
        <v>157</v>
      </c>
      <c r="G330" s="15" t="n">
        <v>21</v>
      </c>
      <c r="H330" s="15" t="n">
        <v>2688</v>
      </c>
      <c r="I330" s="15" t="n">
        <v>0</v>
      </c>
      <c r="J330" s="15" t="n">
        <v>0</v>
      </c>
      <c r="K330" s="15" t="n">
        <v>6</v>
      </c>
      <c r="L330" s="15" t="n">
        <v>3</v>
      </c>
      <c r="M330" s="15" t="n">
        <v>5</v>
      </c>
      <c r="N330" s="15" t="n">
        <v>91</v>
      </c>
      <c r="O330" s="15" t="n">
        <v>50</v>
      </c>
      <c r="P330" s="16" t="n">
        <v>81.8</v>
      </c>
      <c r="Q330" s="15" t="n">
        <v>38.4</v>
      </c>
      <c r="R330" s="15" t="n">
        <v>10</v>
      </c>
      <c r="S330" s="17" t="n">
        <v>35660</v>
      </c>
      <c r="T330" s="15" t="s">
        <v>164</v>
      </c>
      <c r="U330" s="15" t="n">
        <v>2029</v>
      </c>
      <c r="V330" s="15" t="s">
        <v>1279</v>
      </c>
      <c r="W330" s="18" t="s">
        <v>139</v>
      </c>
      <c r="X330" s="18" t="s">
        <v>473</v>
      </c>
      <c r="Y330" s="15" t="s">
        <v>600</v>
      </c>
      <c r="Z330" s="15" t="s">
        <v>600</v>
      </c>
      <c r="AA330" s="19" t="str">
        <f aca="false">HYPERLINK("https://www.transfermarkt.com/schnellsuche/ergebnis/schnellsuche?query="&amp;SUBSTITUTE(A330," ","+"),"Search Transfermarkt")</f>
        <v>Search Transfermarkt</v>
      </c>
    </row>
    <row r="331" customFormat="false" ht="23.85" hidden="false" customHeight="false" outlineLevel="0" collapsed="false">
      <c r="A331" s="15" t="s">
        <v>1280</v>
      </c>
      <c r="B331" s="15" t="s">
        <v>67</v>
      </c>
      <c r="C331" s="15" t="s">
        <v>1281</v>
      </c>
      <c r="D331" s="15" t="n">
        <v>3</v>
      </c>
      <c r="E331" s="15" t="s">
        <v>598</v>
      </c>
      <c r="F331" s="15" t="s">
        <v>170</v>
      </c>
      <c r="G331" s="15" t="n">
        <v>22</v>
      </c>
      <c r="H331" s="15" t="n">
        <v>971</v>
      </c>
      <c r="I331" s="15" t="n">
        <v>9</v>
      </c>
      <c r="J331" s="15" t="n">
        <v>7</v>
      </c>
      <c r="K331" s="15" t="n">
        <v>164</v>
      </c>
      <c r="L331" s="15" t="n">
        <v>71</v>
      </c>
      <c r="M331" s="15" t="n">
        <v>42</v>
      </c>
      <c r="N331" s="15" t="n">
        <v>0</v>
      </c>
      <c r="O331" s="15" t="n">
        <v>0</v>
      </c>
      <c r="P331" s="16" t="n">
        <v>0</v>
      </c>
      <c r="Q331" s="15" t="n">
        <v>0</v>
      </c>
      <c r="R331" s="15" t="n">
        <v>0</v>
      </c>
      <c r="S331" s="17" t="n">
        <v>15051</v>
      </c>
      <c r="T331" s="15" t="s">
        <v>137</v>
      </c>
      <c r="U331" s="15" t="n">
        <v>2026</v>
      </c>
      <c r="V331" s="15" t="s">
        <v>599</v>
      </c>
      <c r="W331" s="18" t="s">
        <v>139</v>
      </c>
      <c r="X331" s="18" t="s">
        <v>236</v>
      </c>
      <c r="Y331" s="15" t="s">
        <v>600</v>
      </c>
      <c r="Z331" s="15" t="s">
        <v>600</v>
      </c>
      <c r="AA331" s="19" t="str">
        <f aca="false">HYPERLINK("https://www.transfermarkt.com/schnellsuche/ergebnis/schnellsuche?query="&amp;SUBSTITUTE(A331," ","+"),"Search Transfermarkt")</f>
        <v>Search Transfermarkt</v>
      </c>
    </row>
    <row r="332" customFormat="false" ht="23.85" hidden="false" customHeight="false" outlineLevel="0" collapsed="false">
      <c r="A332" s="15" t="s">
        <v>1282</v>
      </c>
      <c r="B332" s="15" t="s">
        <v>66</v>
      </c>
      <c r="C332" s="15" t="s">
        <v>1283</v>
      </c>
      <c r="D332" s="15" t="n">
        <v>2</v>
      </c>
      <c r="E332" s="15" t="s">
        <v>1284</v>
      </c>
      <c r="F332" s="15" t="s">
        <v>170</v>
      </c>
      <c r="G332" s="15" t="n">
        <v>18</v>
      </c>
      <c r="H332" s="15" t="n">
        <v>2235</v>
      </c>
      <c r="I332" s="15" t="n">
        <v>5</v>
      </c>
      <c r="J332" s="15" t="n">
        <v>14</v>
      </c>
      <c r="K332" s="15" t="n">
        <v>161</v>
      </c>
      <c r="L332" s="15" t="n">
        <v>79</v>
      </c>
      <c r="M332" s="15" t="n">
        <v>28</v>
      </c>
      <c r="N332" s="15" t="n">
        <v>0</v>
      </c>
      <c r="O332" s="15" t="n">
        <v>0</v>
      </c>
      <c r="P332" s="16" t="n">
        <v>0</v>
      </c>
      <c r="Q332" s="15" t="n">
        <v>0</v>
      </c>
      <c r="R332" s="15" t="n">
        <v>0</v>
      </c>
      <c r="S332" s="17" t="n">
        <v>96342</v>
      </c>
      <c r="T332" s="15" t="s">
        <v>137</v>
      </c>
      <c r="U332" s="15" t="n">
        <v>2028</v>
      </c>
      <c r="V332" s="15" t="s">
        <v>1285</v>
      </c>
      <c r="W332" s="18" t="s">
        <v>139</v>
      </c>
      <c r="X332" s="18" t="s">
        <v>182</v>
      </c>
      <c r="Y332" s="15" t="s">
        <v>600</v>
      </c>
      <c r="Z332" s="15" t="s">
        <v>600</v>
      </c>
      <c r="AA332" s="19" t="str">
        <f aca="false">HYPERLINK("https://www.transfermarkt.com/schnellsuche/ergebnis/schnellsuche?query="&amp;SUBSTITUTE(A332," ","+"),"Search Transfermarkt")</f>
        <v>Search Transfermarkt</v>
      </c>
    </row>
    <row r="333" customFormat="false" ht="23.85" hidden="false" customHeight="false" outlineLevel="0" collapsed="false">
      <c r="A333" s="15" t="s">
        <v>1286</v>
      </c>
      <c r="B333" s="15" t="s">
        <v>80</v>
      </c>
      <c r="C333" s="15" t="s">
        <v>1287</v>
      </c>
      <c r="D333" s="15" t="n">
        <v>2</v>
      </c>
      <c r="E333" s="15" t="s">
        <v>999</v>
      </c>
      <c r="F333" s="15" t="s">
        <v>136</v>
      </c>
      <c r="G333" s="15" t="n">
        <v>17</v>
      </c>
      <c r="H333" s="15" t="n">
        <v>1341</v>
      </c>
      <c r="I333" s="15" t="n">
        <v>1</v>
      </c>
      <c r="J333" s="15" t="n">
        <v>5</v>
      </c>
      <c r="K333" s="15" t="n">
        <v>56</v>
      </c>
      <c r="L333" s="15" t="n">
        <v>27</v>
      </c>
      <c r="M333" s="15" t="n">
        <v>88</v>
      </c>
      <c r="N333" s="15" t="n">
        <v>0</v>
      </c>
      <c r="O333" s="15" t="n">
        <v>0</v>
      </c>
      <c r="P333" s="16" t="n">
        <v>0</v>
      </c>
      <c r="Q333" s="15" t="n">
        <v>0</v>
      </c>
      <c r="R333" s="15" t="n">
        <v>0</v>
      </c>
      <c r="S333" s="17" t="n">
        <v>132955</v>
      </c>
      <c r="T333" s="15" t="s">
        <v>137</v>
      </c>
      <c r="U333" s="15" t="n">
        <v>2028</v>
      </c>
      <c r="V333" s="15" t="s">
        <v>1000</v>
      </c>
      <c r="W333" s="18" t="s">
        <v>147</v>
      </c>
      <c r="X333" s="18" t="s">
        <v>304</v>
      </c>
      <c r="Y333" s="15" t="s">
        <v>600</v>
      </c>
      <c r="Z333" s="15" t="s">
        <v>600</v>
      </c>
      <c r="AA333" s="19" t="str">
        <f aca="false">HYPERLINK("https://www.transfermarkt.com/schnellsuche/ergebnis/schnellsuche?query="&amp;SUBSTITUTE(A333," ","+"),"Search Transfermarkt")</f>
        <v>Search Transfermarkt</v>
      </c>
    </row>
    <row r="334" customFormat="false" ht="23.85" hidden="false" customHeight="false" outlineLevel="0" collapsed="false">
      <c r="A334" s="15" t="s">
        <v>1288</v>
      </c>
      <c r="B334" s="15" t="s">
        <v>68</v>
      </c>
      <c r="C334" s="15" t="s">
        <v>1289</v>
      </c>
      <c r="D334" s="15" t="n">
        <v>3</v>
      </c>
      <c r="E334" s="15" t="s">
        <v>259</v>
      </c>
      <c r="F334" s="15" t="s">
        <v>157</v>
      </c>
      <c r="G334" s="15" t="n">
        <v>17</v>
      </c>
      <c r="H334" s="15" t="n">
        <v>2112</v>
      </c>
      <c r="I334" s="15" t="n">
        <v>0</v>
      </c>
      <c r="J334" s="15" t="n">
        <v>0</v>
      </c>
      <c r="K334" s="15" t="n">
        <v>8</v>
      </c>
      <c r="L334" s="15" t="n">
        <v>0</v>
      </c>
      <c r="M334" s="15" t="n">
        <v>8</v>
      </c>
      <c r="N334" s="15" t="n">
        <v>70</v>
      </c>
      <c r="O334" s="15" t="n">
        <v>32</v>
      </c>
      <c r="P334" s="16" t="n">
        <v>57.6</v>
      </c>
      <c r="Q334" s="15" t="n">
        <v>19.6</v>
      </c>
      <c r="R334" s="15" t="n">
        <v>8</v>
      </c>
      <c r="S334" s="17" t="n">
        <v>0</v>
      </c>
      <c r="T334" s="15" t="s">
        <v>137</v>
      </c>
      <c r="U334" s="15" t="n">
        <v>2026</v>
      </c>
      <c r="V334" s="15" t="s">
        <v>260</v>
      </c>
      <c r="W334" s="18" t="s">
        <v>147</v>
      </c>
      <c r="X334" s="18" t="s">
        <v>153</v>
      </c>
      <c r="Y334" s="15" t="s">
        <v>600</v>
      </c>
      <c r="Z334" s="15" t="s">
        <v>600</v>
      </c>
      <c r="AA334" s="19" t="str">
        <f aca="false">HYPERLINK("https://www.transfermarkt.com/schnellsuche/ergebnis/schnellsuche?query="&amp;SUBSTITUTE(A334," ","+"),"Search Transfermarkt")</f>
        <v>Search Transfermarkt</v>
      </c>
    </row>
    <row r="335" customFormat="false" ht="23.85" hidden="false" customHeight="false" outlineLevel="0" collapsed="false">
      <c r="A335" s="15" t="s">
        <v>1290</v>
      </c>
      <c r="B335" s="15" t="s">
        <v>104</v>
      </c>
      <c r="C335" s="15" t="s">
        <v>271</v>
      </c>
      <c r="D335" s="15" t="n">
        <v>2</v>
      </c>
      <c r="E335" s="15" t="s">
        <v>1291</v>
      </c>
      <c r="F335" s="15" t="s">
        <v>136</v>
      </c>
      <c r="G335" s="15" t="n">
        <v>19</v>
      </c>
      <c r="H335" s="15" t="n">
        <v>2571</v>
      </c>
      <c r="I335" s="15" t="n">
        <v>0</v>
      </c>
      <c r="J335" s="15" t="n">
        <v>3</v>
      </c>
      <c r="K335" s="15" t="n">
        <v>69</v>
      </c>
      <c r="L335" s="15" t="n">
        <v>38</v>
      </c>
      <c r="M335" s="15" t="n">
        <v>102</v>
      </c>
      <c r="N335" s="15" t="n">
        <v>0</v>
      </c>
      <c r="O335" s="15" t="n">
        <v>0</v>
      </c>
      <c r="P335" s="16" t="n">
        <v>0</v>
      </c>
      <c r="Q335" s="15" t="n">
        <v>0</v>
      </c>
      <c r="R335" s="15" t="n">
        <v>0</v>
      </c>
      <c r="S335" s="17" t="n">
        <v>61672</v>
      </c>
      <c r="T335" s="15" t="s">
        <v>137</v>
      </c>
      <c r="U335" s="15" t="n">
        <v>2026</v>
      </c>
      <c r="V335" s="15" t="s">
        <v>1292</v>
      </c>
      <c r="W335" s="18" t="s">
        <v>139</v>
      </c>
      <c r="X335" s="18" t="s">
        <v>274</v>
      </c>
      <c r="Y335" s="15" t="s">
        <v>600</v>
      </c>
      <c r="Z335" s="15" t="s">
        <v>600</v>
      </c>
      <c r="AA335" s="19" t="str">
        <f aca="false">HYPERLINK("https://www.transfermarkt.com/schnellsuche/ergebnis/schnellsuche?query="&amp;SUBSTITUTE(A335," ","+"),"Search Transfermarkt")</f>
        <v>Search Transfermarkt</v>
      </c>
    </row>
    <row r="336" customFormat="false" ht="23.85" hidden="false" customHeight="false" outlineLevel="0" collapsed="false">
      <c r="A336" s="15" t="s">
        <v>1293</v>
      </c>
      <c r="B336" s="15" t="s">
        <v>69</v>
      </c>
      <c r="C336" s="15" t="s">
        <v>1294</v>
      </c>
      <c r="D336" s="15" t="n">
        <v>2</v>
      </c>
      <c r="E336" s="15" t="s">
        <v>1295</v>
      </c>
      <c r="F336" s="15" t="s">
        <v>170</v>
      </c>
      <c r="G336" s="15" t="n">
        <v>26</v>
      </c>
      <c r="H336" s="15" t="n">
        <v>1363</v>
      </c>
      <c r="I336" s="15" t="n">
        <v>3</v>
      </c>
      <c r="J336" s="15" t="n">
        <v>9</v>
      </c>
      <c r="K336" s="15" t="n">
        <v>168</v>
      </c>
      <c r="L336" s="15" t="n">
        <v>62</v>
      </c>
      <c r="M336" s="15" t="n">
        <v>28</v>
      </c>
      <c r="N336" s="15" t="n">
        <v>0</v>
      </c>
      <c r="O336" s="15" t="n">
        <v>0</v>
      </c>
      <c r="P336" s="16" t="n">
        <v>0</v>
      </c>
      <c r="Q336" s="15" t="n">
        <v>0</v>
      </c>
      <c r="R336" s="15" t="n">
        <v>0</v>
      </c>
      <c r="S336" s="17" t="n">
        <v>81738</v>
      </c>
      <c r="T336" s="15" t="s">
        <v>137</v>
      </c>
      <c r="U336" s="15" t="n">
        <v>2027</v>
      </c>
      <c r="V336" s="15" t="s">
        <v>1296</v>
      </c>
      <c r="W336" s="18" t="s">
        <v>139</v>
      </c>
      <c r="X336" s="18" t="s">
        <v>140</v>
      </c>
      <c r="Y336" s="15" t="s">
        <v>600</v>
      </c>
      <c r="Z336" s="15" t="s">
        <v>600</v>
      </c>
      <c r="AA336" s="19" t="str">
        <f aca="false">HYPERLINK("https://www.transfermarkt.com/schnellsuche/ergebnis/schnellsuche?query="&amp;SUBSTITUTE(A336," ","+"),"Search Transfermarkt")</f>
        <v>Search Transfermarkt</v>
      </c>
    </row>
    <row r="337" customFormat="false" ht="23.85" hidden="false" customHeight="false" outlineLevel="0" collapsed="false">
      <c r="A337" s="15" t="s">
        <v>1297</v>
      </c>
      <c r="B337" s="15" t="s">
        <v>89</v>
      </c>
      <c r="C337" s="15" t="s">
        <v>1298</v>
      </c>
      <c r="D337" s="15" t="n">
        <v>3</v>
      </c>
      <c r="E337" s="15" t="s">
        <v>1299</v>
      </c>
      <c r="F337" s="15" t="s">
        <v>136</v>
      </c>
      <c r="G337" s="15" t="n">
        <v>26</v>
      </c>
      <c r="H337" s="15" t="n">
        <v>2474</v>
      </c>
      <c r="I337" s="15" t="n">
        <v>1</v>
      </c>
      <c r="J337" s="15" t="n">
        <v>2</v>
      </c>
      <c r="K337" s="15" t="n">
        <v>72</v>
      </c>
      <c r="L337" s="15" t="n">
        <v>39</v>
      </c>
      <c r="M337" s="15" t="n">
        <v>94</v>
      </c>
      <c r="N337" s="15" t="n">
        <v>0</v>
      </c>
      <c r="O337" s="15" t="n">
        <v>0</v>
      </c>
      <c r="P337" s="16" t="n">
        <v>0</v>
      </c>
      <c r="Q337" s="15" t="n">
        <v>0</v>
      </c>
      <c r="R337" s="15" t="n">
        <v>0</v>
      </c>
      <c r="S337" s="17" t="n">
        <v>0</v>
      </c>
      <c r="T337" s="15" t="s">
        <v>164</v>
      </c>
      <c r="U337" s="15" t="n">
        <v>2029</v>
      </c>
      <c r="V337" s="15" t="s">
        <v>1300</v>
      </c>
      <c r="W337" s="18" t="s">
        <v>139</v>
      </c>
      <c r="X337" s="18" t="s">
        <v>206</v>
      </c>
      <c r="Y337" s="15" t="s">
        <v>600</v>
      </c>
      <c r="Z337" s="15" t="s">
        <v>600</v>
      </c>
      <c r="AA337" s="19" t="str">
        <f aca="false">HYPERLINK("https://www.transfermarkt.com/schnellsuche/ergebnis/schnellsuche?query="&amp;SUBSTITUTE(A337," ","+"),"Search Transfermarkt")</f>
        <v>Search Transfermarkt</v>
      </c>
    </row>
    <row r="338" customFormat="false" ht="23.85" hidden="false" customHeight="false" outlineLevel="0" collapsed="false">
      <c r="A338" s="15" t="s">
        <v>1301</v>
      </c>
      <c r="B338" s="15" t="s">
        <v>67</v>
      </c>
      <c r="C338" s="15" t="s">
        <v>1302</v>
      </c>
      <c r="D338" s="15" t="n">
        <v>3</v>
      </c>
      <c r="E338" s="15" t="s">
        <v>1303</v>
      </c>
      <c r="F338" s="15" t="s">
        <v>170</v>
      </c>
      <c r="G338" s="15" t="n">
        <v>23</v>
      </c>
      <c r="H338" s="15" t="n">
        <v>1869</v>
      </c>
      <c r="I338" s="15" t="n">
        <v>8</v>
      </c>
      <c r="J338" s="15" t="n">
        <v>10</v>
      </c>
      <c r="K338" s="15" t="n">
        <v>174</v>
      </c>
      <c r="L338" s="15" t="n">
        <v>76</v>
      </c>
      <c r="M338" s="15" t="n">
        <v>33</v>
      </c>
      <c r="N338" s="15" t="n">
        <v>0</v>
      </c>
      <c r="O338" s="15" t="n">
        <v>0</v>
      </c>
      <c r="P338" s="16" t="n">
        <v>0</v>
      </c>
      <c r="Q338" s="15" t="n">
        <v>0</v>
      </c>
      <c r="R338" s="15" t="n">
        <v>0</v>
      </c>
      <c r="S338" s="17" t="n">
        <v>0</v>
      </c>
      <c r="T338" s="15" t="s">
        <v>137</v>
      </c>
      <c r="U338" s="15" t="n">
        <v>2028</v>
      </c>
      <c r="V338" s="15" t="s">
        <v>1304</v>
      </c>
      <c r="W338" s="18" t="s">
        <v>139</v>
      </c>
      <c r="X338" s="18" t="s">
        <v>236</v>
      </c>
      <c r="Y338" s="15" t="s">
        <v>600</v>
      </c>
      <c r="Z338" s="15" t="s">
        <v>600</v>
      </c>
      <c r="AA338" s="19" t="str">
        <f aca="false">HYPERLINK("https://www.transfermarkt.com/schnellsuche/ergebnis/schnellsuche?query="&amp;SUBSTITUTE(A338," ","+"),"Search Transfermarkt")</f>
        <v>Search Transfermarkt</v>
      </c>
    </row>
    <row r="339" customFormat="false" ht="23.85" hidden="false" customHeight="false" outlineLevel="0" collapsed="false">
      <c r="A339" s="15" t="s">
        <v>1305</v>
      </c>
      <c r="B339" s="15" t="s">
        <v>88</v>
      </c>
      <c r="C339" s="15" t="s">
        <v>563</v>
      </c>
      <c r="D339" s="15" t="n">
        <v>2</v>
      </c>
      <c r="E339" s="15" t="s">
        <v>1306</v>
      </c>
      <c r="F339" s="15" t="s">
        <v>170</v>
      </c>
      <c r="G339" s="15" t="n">
        <v>21</v>
      </c>
      <c r="H339" s="15" t="n">
        <v>2233</v>
      </c>
      <c r="I339" s="15" t="n">
        <v>9</v>
      </c>
      <c r="J339" s="15" t="n">
        <v>11</v>
      </c>
      <c r="K339" s="15" t="n">
        <v>165</v>
      </c>
      <c r="L339" s="15" t="n">
        <v>98</v>
      </c>
      <c r="M339" s="15" t="n">
        <v>56</v>
      </c>
      <c r="N339" s="15" t="n">
        <v>0</v>
      </c>
      <c r="O339" s="15" t="n">
        <v>0</v>
      </c>
      <c r="P339" s="16" t="n">
        <v>0</v>
      </c>
      <c r="Q339" s="15" t="n">
        <v>0</v>
      </c>
      <c r="R339" s="15" t="n">
        <v>0</v>
      </c>
      <c r="S339" s="17" t="n">
        <v>129802</v>
      </c>
      <c r="T339" s="15" t="s">
        <v>137</v>
      </c>
      <c r="U339" s="15" t="n">
        <v>2026</v>
      </c>
      <c r="V339" s="15" t="s">
        <v>1307</v>
      </c>
      <c r="W339" s="18" t="s">
        <v>139</v>
      </c>
      <c r="X339" s="18" t="s">
        <v>320</v>
      </c>
      <c r="Y339" s="15" t="s">
        <v>600</v>
      </c>
      <c r="Z339" s="15" t="s">
        <v>600</v>
      </c>
      <c r="AA339" s="19" t="str">
        <f aca="false">HYPERLINK("https://www.transfermarkt.com/schnellsuche/ergebnis/schnellsuche?query="&amp;SUBSTITUTE(A339," ","+"),"Search Transfermarkt")</f>
        <v>Search Transfermarkt</v>
      </c>
    </row>
    <row r="340" customFormat="false" ht="23.85" hidden="false" customHeight="false" outlineLevel="0" collapsed="false">
      <c r="A340" s="15" t="s">
        <v>1308</v>
      </c>
      <c r="B340" s="15" t="s">
        <v>66</v>
      </c>
      <c r="C340" s="15" t="s">
        <v>540</v>
      </c>
      <c r="D340" s="15" t="n">
        <v>3</v>
      </c>
      <c r="E340" s="15" t="s">
        <v>1309</v>
      </c>
      <c r="F340" s="15" t="s">
        <v>136</v>
      </c>
      <c r="G340" s="15" t="n">
        <v>23</v>
      </c>
      <c r="H340" s="15" t="n">
        <v>1802</v>
      </c>
      <c r="I340" s="15" t="n">
        <v>2</v>
      </c>
      <c r="J340" s="15" t="n">
        <v>0</v>
      </c>
      <c r="K340" s="15" t="n">
        <v>59</v>
      </c>
      <c r="L340" s="15" t="n">
        <v>47</v>
      </c>
      <c r="M340" s="15" t="n">
        <v>103</v>
      </c>
      <c r="N340" s="15" t="n">
        <v>0</v>
      </c>
      <c r="O340" s="15" t="n">
        <v>0</v>
      </c>
      <c r="P340" s="16" t="n">
        <v>0</v>
      </c>
      <c r="Q340" s="15" t="n">
        <v>0</v>
      </c>
      <c r="R340" s="15" t="n">
        <v>0</v>
      </c>
      <c r="S340" s="17" t="n">
        <v>122704</v>
      </c>
      <c r="T340" s="15" t="s">
        <v>186</v>
      </c>
      <c r="U340" s="15" t="n">
        <v>2029</v>
      </c>
      <c r="V340" s="15" t="s">
        <v>1310</v>
      </c>
      <c r="W340" s="18" t="s">
        <v>188</v>
      </c>
      <c r="X340" s="18" t="s">
        <v>182</v>
      </c>
      <c r="Y340" s="15" t="s">
        <v>600</v>
      </c>
      <c r="Z340" s="15" t="s">
        <v>600</v>
      </c>
      <c r="AA340" s="19" t="str">
        <f aca="false">HYPERLINK("https://www.transfermarkt.com/schnellsuche/ergebnis/schnellsuche?query="&amp;SUBSTITUTE(A340," ","+"),"Search Transfermarkt")</f>
        <v>Search Transfermarkt</v>
      </c>
    </row>
    <row r="341" customFormat="false" ht="23.85" hidden="false" customHeight="false" outlineLevel="0" collapsed="false">
      <c r="A341" s="15" t="s">
        <v>1311</v>
      </c>
      <c r="B341" s="15" t="s">
        <v>88</v>
      </c>
      <c r="C341" s="15" t="s">
        <v>317</v>
      </c>
      <c r="D341" s="15" t="n">
        <v>2</v>
      </c>
      <c r="E341" s="15" t="s">
        <v>1026</v>
      </c>
      <c r="F341" s="15" t="s">
        <v>136</v>
      </c>
      <c r="G341" s="15" t="n">
        <v>20</v>
      </c>
      <c r="H341" s="15" t="n">
        <v>1067</v>
      </c>
      <c r="I341" s="15" t="n">
        <v>0</v>
      </c>
      <c r="J341" s="15" t="n">
        <v>2</v>
      </c>
      <c r="K341" s="15" t="n">
        <v>66</v>
      </c>
      <c r="L341" s="15" t="n">
        <v>23</v>
      </c>
      <c r="M341" s="15" t="n">
        <v>125</v>
      </c>
      <c r="N341" s="15" t="n">
        <v>0</v>
      </c>
      <c r="O341" s="15" t="n">
        <v>0</v>
      </c>
      <c r="P341" s="16" t="n">
        <v>0</v>
      </c>
      <c r="Q341" s="15" t="n">
        <v>0</v>
      </c>
      <c r="R341" s="15" t="n">
        <v>0</v>
      </c>
      <c r="S341" s="17" t="n">
        <v>47993</v>
      </c>
      <c r="T341" s="15" t="s">
        <v>164</v>
      </c>
      <c r="U341" s="15" t="n">
        <v>2029</v>
      </c>
      <c r="V341" s="15" t="s">
        <v>1027</v>
      </c>
      <c r="W341" s="18" t="s">
        <v>139</v>
      </c>
      <c r="X341" s="18" t="s">
        <v>320</v>
      </c>
      <c r="Y341" s="15" t="s">
        <v>600</v>
      </c>
      <c r="Z341" s="15" t="s">
        <v>600</v>
      </c>
      <c r="AA341" s="19" t="str">
        <f aca="false">HYPERLINK("https://www.transfermarkt.com/schnellsuche/ergebnis/schnellsuche?query="&amp;SUBSTITUTE(A341," ","+"),"Search Transfermarkt")</f>
        <v>Search Transfermarkt</v>
      </c>
    </row>
    <row r="342" customFormat="false" ht="23.85" hidden="false" customHeight="false" outlineLevel="0" collapsed="false">
      <c r="A342" s="15" t="s">
        <v>1312</v>
      </c>
      <c r="B342" s="15" t="s">
        <v>71</v>
      </c>
      <c r="C342" s="15" t="s">
        <v>1313</v>
      </c>
      <c r="D342" s="15" t="n">
        <v>2</v>
      </c>
      <c r="E342" s="15" t="s">
        <v>1314</v>
      </c>
      <c r="F342" s="15" t="s">
        <v>136</v>
      </c>
      <c r="G342" s="15" t="n">
        <v>22</v>
      </c>
      <c r="H342" s="15" t="n">
        <v>2319</v>
      </c>
      <c r="I342" s="15" t="n">
        <v>3</v>
      </c>
      <c r="J342" s="15" t="n">
        <v>5</v>
      </c>
      <c r="K342" s="15" t="n">
        <v>65</v>
      </c>
      <c r="L342" s="15" t="n">
        <v>26</v>
      </c>
      <c r="M342" s="15" t="n">
        <v>76</v>
      </c>
      <c r="N342" s="15" t="n">
        <v>0</v>
      </c>
      <c r="O342" s="15" t="n">
        <v>0</v>
      </c>
      <c r="P342" s="16" t="n">
        <v>0</v>
      </c>
      <c r="Q342" s="15" t="n">
        <v>0</v>
      </c>
      <c r="R342" s="15" t="n">
        <v>0</v>
      </c>
      <c r="S342" s="17" t="n">
        <v>66435</v>
      </c>
      <c r="T342" s="15" t="s">
        <v>164</v>
      </c>
      <c r="U342" s="15" t="n">
        <v>2027</v>
      </c>
      <c r="V342" s="15" t="s">
        <v>1315</v>
      </c>
      <c r="W342" s="18" t="s">
        <v>139</v>
      </c>
      <c r="X342" s="18" t="s">
        <v>177</v>
      </c>
      <c r="Y342" s="15" t="s">
        <v>600</v>
      </c>
      <c r="Z342" s="15" t="s">
        <v>600</v>
      </c>
      <c r="AA342" s="19" t="str">
        <f aca="false">HYPERLINK("https://www.transfermarkt.com/schnellsuche/ergebnis/schnellsuche?query="&amp;SUBSTITUTE(A342," ","+"),"Search Transfermarkt")</f>
        <v>Search Transfermarkt</v>
      </c>
    </row>
    <row r="343" customFormat="false" ht="23.85" hidden="false" customHeight="false" outlineLevel="0" collapsed="false">
      <c r="A343" s="15" t="s">
        <v>1316</v>
      </c>
      <c r="B343" s="15" t="s">
        <v>94</v>
      </c>
      <c r="C343" s="15" t="s">
        <v>1259</v>
      </c>
      <c r="D343" s="15" t="n">
        <v>2</v>
      </c>
      <c r="E343" s="15" t="s">
        <v>1317</v>
      </c>
      <c r="F343" s="15" t="s">
        <v>163</v>
      </c>
      <c r="G343" s="15" t="n">
        <v>24</v>
      </c>
      <c r="H343" s="15" t="n">
        <v>1976</v>
      </c>
      <c r="I343" s="15" t="n">
        <v>9</v>
      </c>
      <c r="J343" s="15" t="n">
        <v>5</v>
      </c>
      <c r="K343" s="15" t="n">
        <v>65</v>
      </c>
      <c r="L343" s="15" t="n">
        <v>81</v>
      </c>
      <c r="M343" s="15" t="n">
        <v>9</v>
      </c>
      <c r="N343" s="15" t="n">
        <v>0</v>
      </c>
      <c r="O343" s="15" t="n">
        <v>0</v>
      </c>
      <c r="P343" s="16" t="n">
        <v>0</v>
      </c>
      <c r="Q343" s="15" t="n">
        <v>0</v>
      </c>
      <c r="R343" s="15" t="n">
        <v>0</v>
      </c>
      <c r="S343" s="17" t="n">
        <v>0</v>
      </c>
      <c r="T343" s="15" t="s">
        <v>137</v>
      </c>
      <c r="U343" s="15" t="n">
        <v>2027</v>
      </c>
      <c r="V343" s="15" t="s">
        <v>1318</v>
      </c>
      <c r="W343" s="18" t="s">
        <v>139</v>
      </c>
      <c r="X343" s="18" t="s">
        <v>226</v>
      </c>
      <c r="Y343" s="15" t="s">
        <v>600</v>
      </c>
      <c r="Z343" s="15" t="s">
        <v>600</v>
      </c>
      <c r="AA343" s="19" t="str">
        <f aca="false">HYPERLINK("https://www.transfermarkt.com/schnellsuche/ergebnis/schnellsuche?query="&amp;SUBSTITUTE(A343," ","+"),"Search Transfermarkt")</f>
        <v>Search Transfermarkt</v>
      </c>
    </row>
    <row r="344" customFormat="false" ht="23.85" hidden="false" customHeight="false" outlineLevel="0" collapsed="false">
      <c r="A344" s="15" t="s">
        <v>1319</v>
      </c>
      <c r="B344" s="15" t="s">
        <v>86</v>
      </c>
      <c r="C344" s="15" t="s">
        <v>486</v>
      </c>
      <c r="D344" s="15" t="n">
        <v>2</v>
      </c>
      <c r="E344" s="15" t="s">
        <v>1320</v>
      </c>
      <c r="F344" s="15" t="s">
        <v>157</v>
      </c>
      <c r="G344" s="15" t="n">
        <v>22</v>
      </c>
      <c r="H344" s="15" t="n">
        <v>1368</v>
      </c>
      <c r="I344" s="15" t="n">
        <v>0</v>
      </c>
      <c r="J344" s="15" t="n">
        <v>0</v>
      </c>
      <c r="K344" s="15" t="n">
        <v>17</v>
      </c>
      <c r="L344" s="15" t="n">
        <v>0</v>
      </c>
      <c r="M344" s="15" t="n">
        <v>8</v>
      </c>
      <c r="N344" s="15" t="n">
        <v>45</v>
      </c>
      <c r="O344" s="15" t="n">
        <v>19</v>
      </c>
      <c r="P344" s="16" t="n">
        <v>84.3</v>
      </c>
      <c r="Q344" s="15" t="n">
        <v>21</v>
      </c>
      <c r="R344" s="15" t="n">
        <v>6</v>
      </c>
      <c r="S344" s="17" t="n">
        <v>115165</v>
      </c>
      <c r="T344" s="15" t="s">
        <v>137</v>
      </c>
      <c r="U344" s="15" t="n">
        <v>2029</v>
      </c>
      <c r="V344" s="15" t="s">
        <v>1321</v>
      </c>
      <c r="W344" s="18" t="s">
        <v>139</v>
      </c>
      <c r="X344" s="18" t="s">
        <v>473</v>
      </c>
      <c r="Y344" s="15" t="s">
        <v>600</v>
      </c>
      <c r="Z344" s="15" t="s">
        <v>600</v>
      </c>
      <c r="AA344" s="19" t="str">
        <f aca="false">HYPERLINK("https://www.transfermarkt.com/schnellsuche/ergebnis/schnellsuche?query="&amp;SUBSTITUTE(A344," ","+"),"Search Transfermarkt")</f>
        <v>Search Transfermarkt</v>
      </c>
    </row>
    <row r="345" customFormat="false" ht="23.85" hidden="false" customHeight="false" outlineLevel="0" collapsed="false">
      <c r="A345" s="15" t="s">
        <v>1322</v>
      </c>
      <c r="B345" s="15" t="s">
        <v>83</v>
      </c>
      <c r="C345" s="15" t="s">
        <v>434</v>
      </c>
      <c r="D345" s="15" t="n">
        <v>3</v>
      </c>
      <c r="E345" s="15" t="s">
        <v>1323</v>
      </c>
      <c r="F345" s="15" t="s">
        <v>136</v>
      </c>
      <c r="G345" s="15" t="n">
        <v>18</v>
      </c>
      <c r="H345" s="15" t="n">
        <v>1841</v>
      </c>
      <c r="I345" s="15" t="n">
        <v>2</v>
      </c>
      <c r="J345" s="15" t="n">
        <v>2</v>
      </c>
      <c r="K345" s="15" t="n">
        <v>65</v>
      </c>
      <c r="L345" s="15" t="n">
        <v>20</v>
      </c>
      <c r="M345" s="15" t="n">
        <v>88</v>
      </c>
      <c r="N345" s="15" t="n">
        <v>0</v>
      </c>
      <c r="O345" s="15" t="n">
        <v>0</v>
      </c>
      <c r="P345" s="16" t="n">
        <v>0</v>
      </c>
      <c r="Q345" s="15" t="n">
        <v>0</v>
      </c>
      <c r="R345" s="15" t="n">
        <v>0</v>
      </c>
      <c r="S345" s="17" t="n">
        <v>42396</v>
      </c>
      <c r="T345" s="15" t="s">
        <v>186</v>
      </c>
      <c r="U345" s="15" t="n">
        <v>2028</v>
      </c>
      <c r="V345" s="15" t="s">
        <v>1324</v>
      </c>
      <c r="W345" s="18" t="s">
        <v>188</v>
      </c>
      <c r="X345" s="18" t="s">
        <v>379</v>
      </c>
      <c r="Y345" s="15" t="s">
        <v>600</v>
      </c>
      <c r="Z345" s="15" t="s">
        <v>600</v>
      </c>
      <c r="AA345" s="19" t="str">
        <f aca="false">HYPERLINK("https://www.transfermarkt.com/schnellsuche/ergebnis/schnellsuche?query="&amp;SUBSTITUTE(A345," ","+"),"Search Transfermarkt")</f>
        <v>Search Transfermarkt</v>
      </c>
    </row>
    <row r="346" customFormat="false" ht="23.85" hidden="false" customHeight="false" outlineLevel="0" collapsed="false">
      <c r="A346" s="15" t="s">
        <v>1325</v>
      </c>
      <c r="B346" s="15" t="s">
        <v>77</v>
      </c>
      <c r="C346" s="15" t="s">
        <v>1326</v>
      </c>
      <c r="D346" s="15" t="n">
        <v>2</v>
      </c>
      <c r="E346" s="15" t="s">
        <v>1327</v>
      </c>
      <c r="F346" s="15" t="s">
        <v>163</v>
      </c>
      <c r="G346" s="15" t="n">
        <v>19</v>
      </c>
      <c r="H346" s="15" t="n">
        <v>1986</v>
      </c>
      <c r="I346" s="15" t="n">
        <v>9</v>
      </c>
      <c r="J346" s="15" t="n">
        <v>6</v>
      </c>
      <c r="K346" s="15" t="n">
        <v>46</v>
      </c>
      <c r="L346" s="15" t="n">
        <v>97</v>
      </c>
      <c r="M346" s="15" t="n">
        <v>15</v>
      </c>
      <c r="N346" s="15" t="n">
        <v>0</v>
      </c>
      <c r="O346" s="15" t="n">
        <v>0</v>
      </c>
      <c r="P346" s="16" t="n">
        <v>0</v>
      </c>
      <c r="Q346" s="15" t="n">
        <v>0</v>
      </c>
      <c r="R346" s="15" t="n">
        <v>0</v>
      </c>
      <c r="S346" s="17" t="n">
        <v>10940</v>
      </c>
      <c r="T346" s="15" t="s">
        <v>137</v>
      </c>
      <c r="U346" s="15" t="n">
        <v>2028</v>
      </c>
      <c r="V346" s="15" t="s">
        <v>1328</v>
      </c>
      <c r="W346" s="18" t="s">
        <v>139</v>
      </c>
      <c r="X346" s="18" t="s">
        <v>358</v>
      </c>
      <c r="Y346" s="15" t="s">
        <v>600</v>
      </c>
      <c r="Z346" s="15" t="s">
        <v>600</v>
      </c>
      <c r="AA346" s="19" t="str">
        <f aca="false">HYPERLINK("https://www.transfermarkt.com/schnellsuche/ergebnis/schnellsuche?query="&amp;SUBSTITUTE(A346," ","+"),"Search Transfermarkt")</f>
        <v>Search Transfermarkt</v>
      </c>
    </row>
    <row r="347" customFormat="false" ht="23.85" hidden="false" customHeight="false" outlineLevel="0" collapsed="false">
      <c r="A347" s="15" t="s">
        <v>1329</v>
      </c>
      <c r="B347" s="15" t="s">
        <v>88</v>
      </c>
      <c r="C347" s="15" t="s">
        <v>1330</v>
      </c>
      <c r="D347" s="15" t="n">
        <v>2</v>
      </c>
      <c r="E347" s="15" t="s">
        <v>979</v>
      </c>
      <c r="F347" s="15" t="s">
        <v>136</v>
      </c>
      <c r="G347" s="15" t="n">
        <v>22</v>
      </c>
      <c r="H347" s="15" t="n">
        <v>1792</v>
      </c>
      <c r="I347" s="15" t="n">
        <v>2</v>
      </c>
      <c r="J347" s="15" t="n">
        <v>3</v>
      </c>
      <c r="K347" s="15" t="n">
        <v>50</v>
      </c>
      <c r="L347" s="15" t="n">
        <v>42</v>
      </c>
      <c r="M347" s="15" t="n">
        <v>98</v>
      </c>
      <c r="N347" s="15" t="n">
        <v>0</v>
      </c>
      <c r="O347" s="15" t="n">
        <v>0</v>
      </c>
      <c r="P347" s="16" t="n">
        <v>0</v>
      </c>
      <c r="Q347" s="15" t="n">
        <v>0</v>
      </c>
      <c r="R347" s="15" t="n">
        <v>0</v>
      </c>
      <c r="S347" s="17" t="n">
        <v>0</v>
      </c>
      <c r="T347" s="15" t="s">
        <v>137</v>
      </c>
      <c r="U347" s="15" t="n">
        <v>2029</v>
      </c>
      <c r="V347" s="15" t="s">
        <v>980</v>
      </c>
      <c r="W347" s="18" t="s">
        <v>139</v>
      </c>
      <c r="X347" s="18" t="s">
        <v>320</v>
      </c>
      <c r="Y347" s="15" t="s">
        <v>600</v>
      </c>
      <c r="Z347" s="15" t="s">
        <v>600</v>
      </c>
      <c r="AA347" s="19" t="str">
        <f aca="false">HYPERLINK("https://www.transfermarkt.com/schnellsuche/ergebnis/schnellsuche?query="&amp;SUBSTITUTE(A347," ","+"),"Search Transfermarkt")</f>
        <v>Search Transfermarkt</v>
      </c>
    </row>
    <row r="348" customFormat="false" ht="23.85" hidden="false" customHeight="false" outlineLevel="0" collapsed="false">
      <c r="A348" s="15" t="s">
        <v>1331</v>
      </c>
      <c r="B348" s="15" t="s">
        <v>77</v>
      </c>
      <c r="C348" s="15" t="s">
        <v>446</v>
      </c>
      <c r="D348" s="15" t="n">
        <v>3</v>
      </c>
      <c r="E348" s="15" t="s">
        <v>803</v>
      </c>
      <c r="F348" s="15" t="s">
        <v>163</v>
      </c>
      <c r="G348" s="15" t="n">
        <v>22</v>
      </c>
      <c r="H348" s="15" t="n">
        <v>2270</v>
      </c>
      <c r="I348" s="15" t="n">
        <v>19</v>
      </c>
      <c r="J348" s="15" t="n">
        <v>1</v>
      </c>
      <c r="K348" s="15" t="n">
        <v>36</v>
      </c>
      <c r="L348" s="15" t="n">
        <v>72</v>
      </c>
      <c r="M348" s="15" t="n">
        <v>9</v>
      </c>
      <c r="N348" s="15" t="n">
        <v>0</v>
      </c>
      <c r="O348" s="15" t="n">
        <v>0</v>
      </c>
      <c r="P348" s="16" t="n">
        <v>0</v>
      </c>
      <c r="Q348" s="15" t="n">
        <v>0</v>
      </c>
      <c r="R348" s="15" t="n">
        <v>0</v>
      </c>
      <c r="S348" s="17" t="n">
        <v>121736</v>
      </c>
      <c r="T348" s="15" t="s">
        <v>164</v>
      </c>
      <c r="U348" s="15" t="n">
        <v>2027</v>
      </c>
      <c r="V348" s="15" t="s">
        <v>804</v>
      </c>
      <c r="W348" s="18" t="s">
        <v>139</v>
      </c>
      <c r="X348" s="18" t="s">
        <v>358</v>
      </c>
      <c r="Y348" s="15" t="s">
        <v>600</v>
      </c>
      <c r="Z348" s="15" t="s">
        <v>600</v>
      </c>
      <c r="AA348" s="19" t="str">
        <f aca="false">HYPERLINK("https://www.transfermarkt.com/schnellsuche/ergebnis/schnellsuche?query="&amp;SUBSTITUTE(A348," ","+"),"Search Transfermarkt")</f>
        <v>Search Transfermarkt</v>
      </c>
    </row>
    <row r="349" customFormat="false" ht="23.85" hidden="false" customHeight="false" outlineLevel="0" collapsed="false">
      <c r="A349" s="15" t="s">
        <v>1332</v>
      </c>
      <c r="B349" s="15" t="s">
        <v>103</v>
      </c>
      <c r="C349" s="15" t="s">
        <v>1333</v>
      </c>
      <c r="D349" s="15" t="n">
        <v>4</v>
      </c>
      <c r="E349" s="15" t="s">
        <v>1334</v>
      </c>
      <c r="F349" s="15" t="s">
        <v>157</v>
      </c>
      <c r="G349" s="15" t="n">
        <v>26</v>
      </c>
      <c r="H349" s="15" t="n">
        <v>2603</v>
      </c>
      <c r="I349" s="15" t="n">
        <v>0</v>
      </c>
      <c r="J349" s="15" t="n">
        <v>0</v>
      </c>
      <c r="K349" s="15" t="n">
        <v>13</v>
      </c>
      <c r="L349" s="15" t="n">
        <v>0</v>
      </c>
      <c r="M349" s="15" t="n">
        <v>8</v>
      </c>
      <c r="N349" s="15" t="n">
        <v>129</v>
      </c>
      <c r="O349" s="15" t="n">
        <v>38</v>
      </c>
      <c r="P349" s="16" t="n">
        <v>81.3</v>
      </c>
      <c r="Q349" s="15" t="n">
        <v>31.3</v>
      </c>
      <c r="R349" s="15" t="n">
        <v>13</v>
      </c>
      <c r="S349" s="17" t="n">
        <v>35732</v>
      </c>
      <c r="T349" s="15" t="s">
        <v>137</v>
      </c>
      <c r="U349" s="15" t="n">
        <v>2028</v>
      </c>
      <c r="V349" s="15" t="s">
        <v>1335</v>
      </c>
      <c r="W349" s="18" t="s">
        <v>139</v>
      </c>
      <c r="X349" s="18" t="s">
        <v>481</v>
      </c>
      <c r="Y349" s="15" t="s">
        <v>600</v>
      </c>
      <c r="Z349" s="15" t="s">
        <v>600</v>
      </c>
      <c r="AA349" s="19" t="str">
        <f aca="false">HYPERLINK("https://www.transfermarkt.com/schnellsuche/ergebnis/schnellsuche?query="&amp;SUBSTITUTE(A349," ","+"),"Search Transfermarkt")</f>
        <v>Search Transfermarkt</v>
      </c>
    </row>
    <row r="350" customFormat="false" ht="23.85" hidden="false" customHeight="false" outlineLevel="0" collapsed="false">
      <c r="A350" s="15" t="s">
        <v>1336</v>
      </c>
      <c r="B350" s="15" t="s">
        <v>68</v>
      </c>
      <c r="C350" s="15" t="s">
        <v>1337</v>
      </c>
      <c r="D350" s="15" t="n">
        <v>2</v>
      </c>
      <c r="E350" s="15" t="s">
        <v>290</v>
      </c>
      <c r="F350" s="15" t="s">
        <v>170</v>
      </c>
      <c r="G350" s="15" t="n">
        <v>18</v>
      </c>
      <c r="H350" s="15" t="n">
        <v>1001</v>
      </c>
      <c r="I350" s="15" t="n">
        <v>2</v>
      </c>
      <c r="J350" s="15" t="n">
        <v>4</v>
      </c>
      <c r="K350" s="15" t="n">
        <v>151</v>
      </c>
      <c r="L350" s="15" t="n">
        <v>94</v>
      </c>
      <c r="M350" s="15" t="n">
        <v>57</v>
      </c>
      <c r="N350" s="15" t="n">
        <v>0</v>
      </c>
      <c r="O350" s="15" t="n">
        <v>0</v>
      </c>
      <c r="P350" s="16" t="n">
        <v>0</v>
      </c>
      <c r="Q350" s="15" t="n">
        <v>0</v>
      </c>
      <c r="R350" s="15" t="n">
        <v>0</v>
      </c>
      <c r="S350" s="17" t="n">
        <v>137637</v>
      </c>
      <c r="T350" s="15" t="s">
        <v>186</v>
      </c>
      <c r="U350" s="15" t="n">
        <v>2029</v>
      </c>
      <c r="V350" s="15" t="s">
        <v>291</v>
      </c>
      <c r="W350" s="18" t="s">
        <v>188</v>
      </c>
      <c r="X350" s="18" t="s">
        <v>153</v>
      </c>
      <c r="Y350" s="15" t="s">
        <v>600</v>
      </c>
      <c r="Z350" s="15" t="s">
        <v>600</v>
      </c>
      <c r="AA350" s="19" t="str">
        <f aca="false">HYPERLINK("https://www.transfermarkt.com/schnellsuche/ergebnis/schnellsuche?query="&amp;SUBSTITUTE(A350," ","+"),"Search Transfermarkt")</f>
        <v>Search Transfermarkt</v>
      </c>
    </row>
    <row r="351" customFormat="false" ht="23.85" hidden="false" customHeight="false" outlineLevel="0" collapsed="false">
      <c r="A351" s="15" t="s">
        <v>1338</v>
      </c>
      <c r="B351" s="15" t="s">
        <v>89</v>
      </c>
      <c r="C351" s="15" t="s">
        <v>685</v>
      </c>
      <c r="D351" s="15" t="n">
        <v>3</v>
      </c>
      <c r="E351" s="15" t="s">
        <v>970</v>
      </c>
      <c r="F351" s="15" t="s">
        <v>136</v>
      </c>
      <c r="G351" s="15" t="n">
        <v>18</v>
      </c>
      <c r="H351" s="15" t="n">
        <v>2611</v>
      </c>
      <c r="I351" s="15" t="n">
        <v>0</v>
      </c>
      <c r="J351" s="15" t="n">
        <v>0</v>
      </c>
      <c r="K351" s="15" t="n">
        <v>41</v>
      </c>
      <c r="L351" s="15" t="n">
        <v>46</v>
      </c>
      <c r="M351" s="15" t="n">
        <v>111</v>
      </c>
      <c r="N351" s="15" t="n">
        <v>0</v>
      </c>
      <c r="O351" s="15" t="n">
        <v>0</v>
      </c>
      <c r="P351" s="16" t="n">
        <v>0</v>
      </c>
      <c r="Q351" s="15" t="n">
        <v>0</v>
      </c>
      <c r="R351" s="15" t="n">
        <v>0</v>
      </c>
      <c r="S351" s="17" t="n">
        <v>38969</v>
      </c>
      <c r="T351" s="15" t="s">
        <v>164</v>
      </c>
      <c r="U351" s="15" t="n">
        <v>2029</v>
      </c>
      <c r="V351" s="15" t="s">
        <v>971</v>
      </c>
      <c r="W351" s="18" t="s">
        <v>139</v>
      </c>
      <c r="X351" s="18" t="s">
        <v>206</v>
      </c>
      <c r="Y351" s="15" t="s">
        <v>600</v>
      </c>
      <c r="Z351" s="15" t="s">
        <v>600</v>
      </c>
      <c r="AA351" s="19" t="str">
        <f aca="false">HYPERLINK("https://www.transfermarkt.com/schnellsuche/ergebnis/schnellsuche?query="&amp;SUBSTITUTE(A351," ","+"),"Search Transfermarkt")</f>
        <v>Search Transfermarkt</v>
      </c>
    </row>
    <row r="352" customFormat="false" ht="23.85" hidden="false" customHeight="false" outlineLevel="0" collapsed="false">
      <c r="A352" s="15" t="s">
        <v>1339</v>
      </c>
      <c r="B352" s="15" t="s">
        <v>66</v>
      </c>
      <c r="C352" s="15" t="s">
        <v>389</v>
      </c>
      <c r="D352" s="15" t="n">
        <v>3</v>
      </c>
      <c r="E352" s="15" t="s">
        <v>1340</v>
      </c>
      <c r="F352" s="15" t="s">
        <v>136</v>
      </c>
      <c r="G352" s="15" t="n">
        <v>23</v>
      </c>
      <c r="H352" s="15" t="n">
        <v>2577</v>
      </c>
      <c r="I352" s="15" t="n">
        <v>0</v>
      </c>
      <c r="J352" s="15" t="n">
        <v>4</v>
      </c>
      <c r="K352" s="15" t="n">
        <v>47</v>
      </c>
      <c r="L352" s="15" t="n">
        <v>48</v>
      </c>
      <c r="M352" s="15" t="n">
        <v>96</v>
      </c>
      <c r="N352" s="15" t="n">
        <v>0</v>
      </c>
      <c r="O352" s="15" t="n">
        <v>0</v>
      </c>
      <c r="P352" s="16" t="n">
        <v>0</v>
      </c>
      <c r="Q352" s="15" t="n">
        <v>0</v>
      </c>
      <c r="R352" s="15" t="n">
        <v>0</v>
      </c>
      <c r="S352" s="17" t="n">
        <v>112684</v>
      </c>
      <c r="T352" s="15" t="s">
        <v>186</v>
      </c>
      <c r="U352" s="15" t="n">
        <v>2026</v>
      </c>
      <c r="V352" s="15" t="s">
        <v>1341</v>
      </c>
      <c r="W352" s="18" t="s">
        <v>188</v>
      </c>
      <c r="X352" s="18" t="s">
        <v>182</v>
      </c>
      <c r="Y352" s="15" t="s">
        <v>600</v>
      </c>
      <c r="Z352" s="15" t="s">
        <v>600</v>
      </c>
      <c r="AA352" s="19" t="str">
        <f aca="false">HYPERLINK("https://www.transfermarkt.com/schnellsuche/ergebnis/schnellsuche?query="&amp;SUBSTITUTE(A352," ","+"),"Search Transfermarkt")</f>
        <v>Search Transfermarkt</v>
      </c>
    </row>
    <row r="353" customFormat="false" ht="23.85" hidden="false" customHeight="false" outlineLevel="0" collapsed="false">
      <c r="A353" s="15" t="s">
        <v>1342</v>
      </c>
      <c r="B353" s="15" t="s">
        <v>80</v>
      </c>
      <c r="C353" s="15" t="s">
        <v>1343</v>
      </c>
      <c r="D353" s="15" t="n">
        <v>3</v>
      </c>
      <c r="E353" s="15" t="s">
        <v>1344</v>
      </c>
      <c r="F353" s="15" t="s">
        <v>157</v>
      </c>
      <c r="G353" s="15" t="n">
        <v>17</v>
      </c>
      <c r="H353" s="15" t="n">
        <v>1039</v>
      </c>
      <c r="I353" s="15" t="n">
        <v>0</v>
      </c>
      <c r="J353" s="15" t="n">
        <v>0</v>
      </c>
      <c r="K353" s="15" t="n">
        <v>13</v>
      </c>
      <c r="L353" s="15" t="n">
        <v>0</v>
      </c>
      <c r="M353" s="15" t="n">
        <v>5</v>
      </c>
      <c r="N353" s="15" t="n">
        <v>28</v>
      </c>
      <c r="O353" s="15" t="n">
        <v>15</v>
      </c>
      <c r="P353" s="16" t="n">
        <v>66</v>
      </c>
      <c r="Q353" s="15" t="n">
        <v>12.1</v>
      </c>
      <c r="R353" s="15" t="n">
        <v>4</v>
      </c>
      <c r="S353" s="17" t="n">
        <v>38498</v>
      </c>
      <c r="T353" s="15" t="s">
        <v>137</v>
      </c>
      <c r="U353" s="15" t="n">
        <v>2029</v>
      </c>
      <c r="V353" s="15" t="s">
        <v>1345</v>
      </c>
      <c r="W353" s="18" t="s">
        <v>147</v>
      </c>
      <c r="X353" s="18" t="s">
        <v>304</v>
      </c>
      <c r="Y353" s="15" t="s">
        <v>600</v>
      </c>
      <c r="Z353" s="15" t="s">
        <v>600</v>
      </c>
      <c r="AA353" s="19" t="str">
        <f aca="false">HYPERLINK("https://www.transfermarkt.com/schnellsuche/ergebnis/schnellsuche?query="&amp;SUBSTITUTE(A353," ","+"),"Search Transfermarkt")</f>
        <v>Search Transfermarkt</v>
      </c>
    </row>
    <row r="354" customFormat="false" ht="23.85" hidden="false" customHeight="false" outlineLevel="0" collapsed="false">
      <c r="A354" s="15" t="s">
        <v>1346</v>
      </c>
      <c r="B354" s="15" t="s">
        <v>88</v>
      </c>
      <c r="C354" s="15" t="s">
        <v>1347</v>
      </c>
      <c r="D354" s="15" t="n">
        <v>3</v>
      </c>
      <c r="E354" s="15" t="s">
        <v>1348</v>
      </c>
      <c r="F354" s="15" t="s">
        <v>170</v>
      </c>
      <c r="G354" s="15" t="n">
        <v>25</v>
      </c>
      <c r="H354" s="15" t="n">
        <v>1125</v>
      </c>
      <c r="I354" s="15" t="n">
        <v>2</v>
      </c>
      <c r="J354" s="15" t="n">
        <v>4</v>
      </c>
      <c r="K354" s="15" t="n">
        <v>126</v>
      </c>
      <c r="L354" s="15" t="n">
        <v>70</v>
      </c>
      <c r="M354" s="15" t="n">
        <v>34</v>
      </c>
      <c r="N354" s="15" t="n">
        <v>0</v>
      </c>
      <c r="O354" s="15" t="n">
        <v>0</v>
      </c>
      <c r="P354" s="16" t="n">
        <v>0</v>
      </c>
      <c r="Q354" s="15" t="n">
        <v>0</v>
      </c>
      <c r="R354" s="15" t="n">
        <v>0</v>
      </c>
      <c r="S354" s="17" t="n">
        <v>0</v>
      </c>
      <c r="T354" s="15" t="s">
        <v>164</v>
      </c>
      <c r="U354" s="15" t="n">
        <v>2026</v>
      </c>
      <c r="V354" s="15" t="s">
        <v>1349</v>
      </c>
      <c r="W354" s="18" t="s">
        <v>139</v>
      </c>
      <c r="X354" s="18" t="s">
        <v>320</v>
      </c>
      <c r="Y354" s="15" t="s">
        <v>600</v>
      </c>
      <c r="Z354" s="15" t="s">
        <v>600</v>
      </c>
      <c r="AA354" s="19" t="str">
        <f aca="false">HYPERLINK("https://www.transfermarkt.com/schnellsuche/ergebnis/schnellsuche?query="&amp;SUBSTITUTE(A354," ","+"),"Search Transfermarkt")</f>
        <v>Search Transfermarkt</v>
      </c>
    </row>
    <row r="355" customFormat="false" ht="23.85" hidden="false" customHeight="false" outlineLevel="0" collapsed="false">
      <c r="A355" s="15" t="s">
        <v>1350</v>
      </c>
      <c r="B355" s="15" t="s">
        <v>81</v>
      </c>
      <c r="C355" s="15" t="s">
        <v>1351</v>
      </c>
      <c r="D355" s="15" t="n">
        <v>2</v>
      </c>
      <c r="E355" s="15" t="s">
        <v>1352</v>
      </c>
      <c r="F355" s="15" t="s">
        <v>136</v>
      </c>
      <c r="G355" s="15" t="n">
        <v>25</v>
      </c>
      <c r="H355" s="15" t="n">
        <v>2140</v>
      </c>
      <c r="I355" s="15" t="n">
        <v>1</v>
      </c>
      <c r="J355" s="15" t="n">
        <v>3</v>
      </c>
      <c r="K355" s="15" t="n">
        <v>67</v>
      </c>
      <c r="L355" s="15" t="n">
        <v>22</v>
      </c>
      <c r="M355" s="15" t="n">
        <v>106</v>
      </c>
      <c r="N355" s="15" t="n">
        <v>0</v>
      </c>
      <c r="O355" s="15" t="n">
        <v>0</v>
      </c>
      <c r="P355" s="16" t="n">
        <v>0</v>
      </c>
      <c r="Q355" s="15" t="n">
        <v>0</v>
      </c>
      <c r="R355" s="15" t="n">
        <v>0</v>
      </c>
      <c r="S355" s="17" t="n">
        <v>20312</v>
      </c>
      <c r="T355" s="15" t="s">
        <v>164</v>
      </c>
      <c r="U355" s="15" t="n">
        <v>2026</v>
      </c>
      <c r="V355" s="15" t="s">
        <v>1353</v>
      </c>
      <c r="W355" s="18" t="s">
        <v>139</v>
      </c>
      <c r="X355" s="18" t="s">
        <v>407</v>
      </c>
      <c r="Y355" s="15" t="s">
        <v>600</v>
      </c>
      <c r="Z355" s="15" t="s">
        <v>600</v>
      </c>
      <c r="AA355" s="19" t="str">
        <f aca="false">HYPERLINK("https://www.transfermarkt.com/schnellsuche/ergebnis/schnellsuche?query="&amp;SUBSTITUTE(A355," ","+"),"Search Transfermarkt")</f>
        <v>Search Transfermarkt</v>
      </c>
    </row>
    <row r="356" customFormat="false" ht="23.85" hidden="false" customHeight="false" outlineLevel="0" collapsed="false">
      <c r="A356" s="15" t="s">
        <v>1354</v>
      </c>
      <c r="B356" s="15" t="s">
        <v>106</v>
      </c>
      <c r="C356" s="15" t="s">
        <v>556</v>
      </c>
      <c r="D356" s="15" t="n">
        <v>2</v>
      </c>
      <c r="E356" s="15" t="s">
        <v>1355</v>
      </c>
      <c r="F356" s="15" t="s">
        <v>136</v>
      </c>
      <c r="G356" s="15" t="n">
        <v>21</v>
      </c>
      <c r="H356" s="15" t="n">
        <v>2109</v>
      </c>
      <c r="I356" s="15" t="n">
        <v>1</v>
      </c>
      <c r="J356" s="15" t="n">
        <v>0</v>
      </c>
      <c r="K356" s="15" t="n">
        <v>38</v>
      </c>
      <c r="L356" s="15" t="n">
        <v>36</v>
      </c>
      <c r="M356" s="15" t="n">
        <v>118</v>
      </c>
      <c r="N356" s="15" t="n">
        <v>0</v>
      </c>
      <c r="O356" s="15" t="n">
        <v>0</v>
      </c>
      <c r="P356" s="16" t="n">
        <v>0</v>
      </c>
      <c r="Q356" s="15" t="n">
        <v>0</v>
      </c>
      <c r="R356" s="15" t="n">
        <v>0</v>
      </c>
      <c r="S356" s="17" t="n">
        <v>67962</v>
      </c>
      <c r="T356" s="15" t="s">
        <v>164</v>
      </c>
      <c r="U356" s="15" t="n">
        <v>2028</v>
      </c>
      <c r="V356" s="15" t="s">
        <v>1356</v>
      </c>
      <c r="W356" s="18" t="s">
        <v>139</v>
      </c>
      <c r="X356" s="18" t="s">
        <v>283</v>
      </c>
      <c r="Y356" s="15" t="s">
        <v>600</v>
      </c>
      <c r="Z356" s="15" t="s">
        <v>600</v>
      </c>
      <c r="AA356" s="19" t="str">
        <f aca="false">HYPERLINK("https://www.transfermarkt.com/schnellsuche/ergebnis/schnellsuche?query="&amp;SUBSTITUTE(A356," ","+"),"Search Transfermarkt")</f>
        <v>Search Transfermarkt</v>
      </c>
    </row>
    <row r="357" customFormat="false" ht="23.85" hidden="false" customHeight="false" outlineLevel="0" collapsed="false">
      <c r="A357" s="15" t="s">
        <v>1357</v>
      </c>
      <c r="B357" s="15" t="s">
        <v>66</v>
      </c>
      <c r="C357" s="15" t="s">
        <v>1358</v>
      </c>
      <c r="D357" s="15" t="n">
        <v>3</v>
      </c>
      <c r="E357" s="15" t="s">
        <v>1359</v>
      </c>
      <c r="F357" s="15" t="s">
        <v>136</v>
      </c>
      <c r="G357" s="15" t="n">
        <v>20</v>
      </c>
      <c r="H357" s="15" t="n">
        <v>1216</v>
      </c>
      <c r="I357" s="15" t="n">
        <v>1</v>
      </c>
      <c r="J357" s="15" t="n">
        <v>3</v>
      </c>
      <c r="K357" s="15" t="n">
        <v>64</v>
      </c>
      <c r="L357" s="15" t="n">
        <v>37</v>
      </c>
      <c r="M357" s="15" t="n">
        <v>100</v>
      </c>
      <c r="N357" s="15" t="n">
        <v>0</v>
      </c>
      <c r="O357" s="15" t="n">
        <v>0</v>
      </c>
      <c r="P357" s="16" t="n">
        <v>0</v>
      </c>
      <c r="Q357" s="15" t="n">
        <v>0</v>
      </c>
      <c r="R357" s="15" t="n">
        <v>0</v>
      </c>
      <c r="S357" s="17" t="n">
        <v>0</v>
      </c>
      <c r="T357" s="15" t="s">
        <v>137</v>
      </c>
      <c r="U357" s="15" t="n">
        <v>2028</v>
      </c>
      <c r="V357" s="15" t="s">
        <v>1360</v>
      </c>
      <c r="W357" s="18" t="s">
        <v>139</v>
      </c>
      <c r="X357" s="18" t="s">
        <v>182</v>
      </c>
      <c r="Y357" s="15" t="s">
        <v>600</v>
      </c>
      <c r="Z357" s="15" t="s">
        <v>600</v>
      </c>
      <c r="AA357" s="19" t="str">
        <f aca="false">HYPERLINK("https://www.transfermarkt.com/schnellsuche/ergebnis/schnellsuche?query="&amp;SUBSTITUTE(A357," ","+"),"Search Transfermarkt")</f>
        <v>Search Transfermarkt</v>
      </c>
    </row>
    <row r="358" customFormat="false" ht="23.85" hidden="false" customHeight="false" outlineLevel="0" collapsed="false">
      <c r="A358" s="15" t="s">
        <v>1361</v>
      </c>
      <c r="B358" s="15" t="s">
        <v>99</v>
      </c>
      <c r="C358" s="15" t="s">
        <v>1362</v>
      </c>
      <c r="D358" s="15" t="n">
        <v>2</v>
      </c>
      <c r="E358" s="15" t="s">
        <v>1363</v>
      </c>
      <c r="F358" s="15" t="s">
        <v>136</v>
      </c>
      <c r="G358" s="15" t="n">
        <v>26</v>
      </c>
      <c r="H358" s="15" t="n">
        <v>2377</v>
      </c>
      <c r="I358" s="15" t="n">
        <v>3</v>
      </c>
      <c r="J358" s="15" t="n">
        <v>0</v>
      </c>
      <c r="K358" s="15" t="n">
        <v>67</v>
      </c>
      <c r="L358" s="15" t="n">
        <v>24</v>
      </c>
      <c r="M358" s="15" t="n">
        <v>116</v>
      </c>
      <c r="N358" s="15" t="n">
        <v>0</v>
      </c>
      <c r="O358" s="15" t="n">
        <v>0</v>
      </c>
      <c r="P358" s="16" t="n">
        <v>0</v>
      </c>
      <c r="Q358" s="15" t="n">
        <v>0</v>
      </c>
      <c r="R358" s="15" t="n">
        <v>0</v>
      </c>
      <c r="S358" s="17" t="n">
        <v>0</v>
      </c>
      <c r="T358" s="15" t="s">
        <v>186</v>
      </c>
      <c r="U358" s="15" t="n">
        <v>2026</v>
      </c>
      <c r="V358" s="15" t="s">
        <v>1364</v>
      </c>
      <c r="W358" s="18" t="s">
        <v>188</v>
      </c>
      <c r="X358" s="18" t="s">
        <v>189</v>
      </c>
      <c r="Y358" s="15" t="s">
        <v>600</v>
      </c>
      <c r="Z358" s="15" t="s">
        <v>600</v>
      </c>
      <c r="AA358" s="19" t="str">
        <f aca="false">HYPERLINK("https://www.transfermarkt.com/schnellsuche/ergebnis/schnellsuche?query="&amp;SUBSTITUTE(A358," ","+"),"Search Transfermarkt")</f>
        <v>Search Transfermarkt</v>
      </c>
    </row>
    <row r="359" customFormat="false" ht="23.85" hidden="false" customHeight="false" outlineLevel="0" collapsed="false">
      <c r="A359" s="15" t="s">
        <v>1365</v>
      </c>
      <c r="B359" s="15" t="s">
        <v>96</v>
      </c>
      <c r="C359" s="15" t="s">
        <v>1366</v>
      </c>
      <c r="D359" s="15" t="n">
        <v>4</v>
      </c>
      <c r="E359" s="15" t="s">
        <v>1367</v>
      </c>
      <c r="F359" s="15" t="s">
        <v>136</v>
      </c>
      <c r="G359" s="15" t="n">
        <v>22</v>
      </c>
      <c r="H359" s="15" t="n">
        <v>836</v>
      </c>
      <c r="I359" s="15" t="n">
        <v>0</v>
      </c>
      <c r="J359" s="15" t="n">
        <v>3</v>
      </c>
      <c r="K359" s="15" t="n">
        <v>49</v>
      </c>
      <c r="L359" s="15" t="n">
        <v>40</v>
      </c>
      <c r="M359" s="15" t="n">
        <v>102</v>
      </c>
      <c r="N359" s="15" t="n">
        <v>0</v>
      </c>
      <c r="O359" s="15" t="n">
        <v>0</v>
      </c>
      <c r="P359" s="16" t="n">
        <v>0</v>
      </c>
      <c r="Q359" s="15" t="n">
        <v>0</v>
      </c>
      <c r="R359" s="15" t="n">
        <v>0</v>
      </c>
      <c r="S359" s="17" t="n">
        <v>31062</v>
      </c>
      <c r="T359" s="15" t="s">
        <v>137</v>
      </c>
      <c r="U359" s="15" t="n">
        <v>2028</v>
      </c>
      <c r="V359" s="15" t="s">
        <v>1368</v>
      </c>
      <c r="W359" s="18" t="s">
        <v>139</v>
      </c>
      <c r="X359" s="18" t="s">
        <v>216</v>
      </c>
      <c r="Y359" s="15" t="s">
        <v>600</v>
      </c>
      <c r="Z359" s="15" t="s">
        <v>600</v>
      </c>
      <c r="AA359" s="19" t="str">
        <f aca="false">HYPERLINK("https://www.transfermarkt.com/schnellsuche/ergebnis/schnellsuche?query="&amp;SUBSTITUTE(A359," ","+"),"Search Transfermarkt")</f>
        <v>Search Transfermarkt</v>
      </c>
    </row>
    <row r="360" customFormat="false" ht="23.85" hidden="false" customHeight="false" outlineLevel="0" collapsed="false">
      <c r="A360" s="15" t="s">
        <v>1369</v>
      </c>
      <c r="B360" s="15" t="s">
        <v>100</v>
      </c>
      <c r="C360" s="15" t="s">
        <v>1210</v>
      </c>
      <c r="D360" s="15" t="n">
        <v>2</v>
      </c>
      <c r="E360" s="15" t="s">
        <v>1370</v>
      </c>
      <c r="F360" s="15" t="s">
        <v>170</v>
      </c>
      <c r="G360" s="15" t="n">
        <v>22</v>
      </c>
      <c r="H360" s="15" t="n">
        <v>2367</v>
      </c>
      <c r="I360" s="15" t="n">
        <v>4</v>
      </c>
      <c r="J360" s="15" t="n">
        <v>6</v>
      </c>
      <c r="K360" s="15" t="n">
        <v>146</v>
      </c>
      <c r="L360" s="15" t="n">
        <v>93</v>
      </c>
      <c r="M360" s="15" t="n">
        <v>47</v>
      </c>
      <c r="N360" s="15" t="n">
        <v>0</v>
      </c>
      <c r="O360" s="15" t="n">
        <v>0</v>
      </c>
      <c r="P360" s="16" t="n">
        <v>0</v>
      </c>
      <c r="Q360" s="15" t="n">
        <v>0</v>
      </c>
      <c r="R360" s="15" t="n">
        <v>0</v>
      </c>
      <c r="S360" s="17" t="n">
        <v>77473</v>
      </c>
      <c r="T360" s="15" t="s">
        <v>137</v>
      </c>
      <c r="U360" s="15" t="n">
        <v>2028</v>
      </c>
      <c r="V360" s="15" t="s">
        <v>1371</v>
      </c>
      <c r="W360" s="18" t="s">
        <v>139</v>
      </c>
      <c r="X360" s="18" t="s">
        <v>221</v>
      </c>
      <c r="Y360" s="15" t="s">
        <v>600</v>
      </c>
      <c r="Z360" s="15" t="s">
        <v>600</v>
      </c>
      <c r="AA360" s="19" t="str">
        <f aca="false">HYPERLINK("https://www.transfermarkt.com/schnellsuche/ergebnis/schnellsuche?query="&amp;SUBSTITUTE(A360," ","+"),"Search Transfermarkt")</f>
        <v>Search Transfermarkt</v>
      </c>
    </row>
    <row r="361" customFormat="false" ht="23.85" hidden="false" customHeight="false" outlineLevel="0" collapsed="false">
      <c r="A361" s="15" t="s">
        <v>1372</v>
      </c>
      <c r="B361" s="15" t="s">
        <v>76</v>
      </c>
      <c r="C361" s="15" t="s">
        <v>238</v>
      </c>
      <c r="D361" s="15" t="n">
        <v>4</v>
      </c>
      <c r="E361" s="15" t="s">
        <v>1373</v>
      </c>
      <c r="F361" s="15" t="s">
        <v>157</v>
      </c>
      <c r="G361" s="15" t="n">
        <v>26</v>
      </c>
      <c r="H361" s="15" t="n">
        <v>2354</v>
      </c>
      <c r="I361" s="15" t="n">
        <v>0</v>
      </c>
      <c r="J361" s="15" t="n">
        <v>0</v>
      </c>
      <c r="K361" s="15" t="n">
        <v>13</v>
      </c>
      <c r="L361" s="15" t="n">
        <v>3</v>
      </c>
      <c r="M361" s="15" t="n">
        <v>10</v>
      </c>
      <c r="N361" s="15" t="n">
        <v>106</v>
      </c>
      <c r="O361" s="15" t="n">
        <v>39</v>
      </c>
      <c r="P361" s="16" t="n">
        <v>70</v>
      </c>
      <c r="Q361" s="15" t="n">
        <v>29</v>
      </c>
      <c r="R361" s="15" t="n">
        <v>11</v>
      </c>
      <c r="S361" s="17" t="n">
        <v>56751</v>
      </c>
      <c r="T361" s="15" t="s">
        <v>164</v>
      </c>
      <c r="U361" s="15" t="n">
        <v>2029</v>
      </c>
      <c r="V361" s="15" t="s">
        <v>1374</v>
      </c>
      <c r="W361" s="18" t="s">
        <v>139</v>
      </c>
      <c r="X361" s="18" t="s">
        <v>241</v>
      </c>
      <c r="Y361" s="15" t="s">
        <v>600</v>
      </c>
      <c r="Z361" s="15" t="s">
        <v>600</v>
      </c>
      <c r="AA361" s="19" t="str">
        <f aca="false">HYPERLINK("https://www.transfermarkt.com/schnellsuche/ergebnis/schnellsuche?query="&amp;SUBSTITUTE(A361," ","+"),"Search Transfermarkt")</f>
        <v>Search Transfermarkt</v>
      </c>
    </row>
    <row r="362" customFormat="false" ht="23.85" hidden="false" customHeight="false" outlineLevel="0" collapsed="false">
      <c r="A362" s="15" t="s">
        <v>1375</v>
      </c>
      <c r="B362" s="15" t="s">
        <v>76</v>
      </c>
      <c r="C362" s="15" t="s">
        <v>251</v>
      </c>
      <c r="D362" s="15" t="n">
        <v>2</v>
      </c>
      <c r="E362" s="15" t="s">
        <v>1376</v>
      </c>
      <c r="F362" s="15" t="s">
        <v>170</v>
      </c>
      <c r="G362" s="15" t="n">
        <v>21</v>
      </c>
      <c r="H362" s="15" t="n">
        <v>2153</v>
      </c>
      <c r="I362" s="15" t="n">
        <v>7</v>
      </c>
      <c r="J362" s="15" t="n">
        <v>13</v>
      </c>
      <c r="K362" s="15" t="n">
        <v>168</v>
      </c>
      <c r="L362" s="15" t="n">
        <v>92</v>
      </c>
      <c r="M362" s="15" t="n">
        <v>43</v>
      </c>
      <c r="N362" s="15" t="n">
        <v>0</v>
      </c>
      <c r="O362" s="15" t="n">
        <v>0</v>
      </c>
      <c r="P362" s="16" t="n">
        <v>0</v>
      </c>
      <c r="Q362" s="15" t="n">
        <v>0</v>
      </c>
      <c r="R362" s="15" t="n">
        <v>0</v>
      </c>
      <c r="S362" s="17" t="n">
        <v>0</v>
      </c>
      <c r="T362" s="15" t="s">
        <v>137</v>
      </c>
      <c r="U362" s="15" t="n">
        <v>2026</v>
      </c>
      <c r="V362" s="15" t="s">
        <v>1377</v>
      </c>
      <c r="W362" s="18" t="s">
        <v>139</v>
      </c>
      <c r="X362" s="18" t="s">
        <v>241</v>
      </c>
      <c r="Y362" s="15" t="s">
        <v>600</v>
      </c>
      <c r="Z362" s="15" t="s">
        <v>600</v>
      </c>
      <c r="AA362" s="19" t="str">
        <f aca="false">HYPERLINK("https://www.transfermarkt.com/schnellsuche/ergebnis/schnellsuche?query="&amp;SUBSTITUTE(A362," ","+"),"Search Transfermarkt")</f>
        <v>Search Transfermarkt</v>
      </c>
    </row>
    <row r="363" customFormat="false" ht="23.85" hidden="false" customHeight="false" outlineLevel="0" collapsed="false">
      <c r="A363" s="15" t="s">
        <v>1378</v>
      </c>
      <c r="B363" s="15" t="s">
        <v>75</v>
      </c>
      <c r="C363" s="15" t="s">
        <v>806</v>
      </c>
      <c r="D363" s="15" t="n">
        <v>4</v>
      </c>
      <c r="E363" s="15" t="s">
        <v>1379</v>
      </c>
      <c r="F363" s="15" t="s">
        <v>163</v>
      </c>
      <c r="G363" s="15" t="n">
        <v>22</v>
      </c>
      <c r="H363" s="15" t="n">
        <v>2381</v>
      </c>
      <c r="I363" s="15" t="n">
        <v>18</v>
      </c>
      <c r="J363" s="15" t="n">
        <v>3</v>
      </c>
      <c r="K363" s="15" t="n">
        <v>41</v>
      </c>
      <c r="L363" s="15" t="n">
        <v>70</v>
      </c>
      <c r="M363" s="15" t="n">
        <v>4</v>
      </c>
      <c r="N363" s="15" t="n">
        <v>0</v>
      </c>
      <c r="O363" s="15" t="n">
        <v>0</v>
      </c>
      <c r="P363" s="16" t="n">
        <v>0</v>
      </c>
      <c r="Q363" s="15" t="n">
        <v>0</v>
      </c>
      <c r="R363" s="15" t="n">
        <v>0</v>
      </c>
      <c r="S363" s="17" t="n">
        <v>0</v>
      </c>
      <c r="T363" s="15" t="s">
        <v>164</v>
      </c>
      <c r="U363" s="15" t="n">
        <v>2026</v>
      </c>
      <c r="V363" s="15" t="s">
        <v>1380</v>
      </c>
      <c r="W363" s="18" t="s">
        <v>139</v>
      </c>
      <c r="X363" s="18" t="s">
        <v>197</v>
      </c>
      <c r="Y363" s="15" t="s">
        <v>600</v>
      </c>
      <c r="Z363" s="15" t="s">
        <v>600</v>
      </c>
      <c r="AA363" s="19" t="str">
        <f aca="false">HYPERLINK("https://www.transfermarkt.com/schnellsuche/ergebnis/schnellsuche?query="&amp;SUBSTITUTE(A363," ","+"),"Search Transfermarkt")</f>
        <v>Search Transfermarkt</v>
      </c>
    </row>
    <row r="364" customFormat="false" ht="23.85" hidden="false" customHeight="false" outlineLevel="0" collapsed="false">
      <c r="A364" s="15" t="s">
        <v>1381</v>
      </c>
      <c r="B364" s="15" t="s">
        <v>92</v>
      </c>
      <c r="C364" s="15" t="s">
        <v>1382</v>
      </c>
      <c r="D364" s="15" t="n">
        <v>4</v>
      </c>
      <c r="E364" s="15" t="s">
        <v>1383</v>
      </c>
      <c r="F364" s="15" t="s">
        <v>136</v>
      </c>
      <c r="G364" s="15" t="n">
        <v>24</v>
      </c>
      <c r="H364" s="15" t="n">
        <v>1450</v>
      </c>
      <c r="I364" s="15" t="n">
        <v>2</v>
      </c>
      <c r="J364" s="15" t="n">
        <v>0</v>
      </c>
      <c r="K364" s="15" t="n">
        <v>60</v>
      </c>
      <c r="L364" s="15" t="n">
        <v>43</v>
      </c>
      <c r="M364" s="15" t="n">
        <v>93</v>
      </c>
      <c r="N364" s="15" t="n">
        <v>0</v>
      </c>
      <c r="O364" s="15" t="n">
        <v>0</v>
      </c>
      <c r="P364" s="16" t="n">
        <v>0</v>
      </c>
      <c r="Q364" s="15" t="n">
        <v>0</v>
      </c>
      <c r="R364" s="15" t="n">
        <v>0</v>
      </c>
      <c r="S364" s="17" t="n">
        <v>26795</v>
      </c>
      <c r="T364" s="15" t="s">
        <v>137</v>
      </c>
      <c r="U364" s="15" t="n">
        <v>2029</v>
      </c>
      <c r="V364" s="15" t="s">
        <v>1384</v>
      </c>
      <c r="W364" s="18" t="s">
        <v>139</v>
      </c>
      <c r="X364" s="18" t="s">
        <v>159</v>
      </c>
      <c r="Y364" s="15" t="s">
        <v>600</v>
      </c>
      <c r="Z364" s="15" t="s">
        <v>600</v>
      </c>
      <c r="AA364" s="19" t="str">
        <f aca="false">HYPERLINK("https://www.transfermarkt.com/schnellsuche/ergebnis/schnellsuche?query="&amp;SUBSTITUTE(A364," ","+"),"Search Transfermarkt")</f>
        <v>Search Transfermarkt</v>
      </c>
    </row>
    <row r="365" customFormat="false" ht="23.85" hidden="false" customHeight="false" outlineLevel="0" collapsed="false">
      <c r="A365" s="15" t="s">
        <v>1385</v>
      </c>
      <c r="B365" s="15" t="s">
        <v>87</v>
      </c>
      <c r="C365" s="15" t="s">
        <v>347</v>
      </c>
      <c r="D365" s="15" t="n">
        <v>3</v>
      </c>
      <c r="E365" s="15" t="s">
        <v>1386</v>
      </c>
      <c r="F365" s="15" t="s">
        <v>157</v>
      </c>
      <c r="G365" s="15" t="n">
        <v>23</v>
      </c>
      <c r="H365" s="15" t="n">
        <v>2126</v>
      </c>
      <c r="I365" s="15" t="n">
        <v>0</v>
      </c>
      <c r="J365" s="15" t="n">
        <v>0</v>
      </c>
      <c r="K365" s="15" t="n">
        <v>18</v>
      </c>
      <c r="L365" s="15" t="n">
        <v>6</v>
      </c>
      <c r="M365" s="15" t="n">
        <v>5</v>
      </c>
      <c r="N365" s="15" t="n">
        <v>64</v>
      </c>
      <c r="O365" s="15" t="n">
        <v>25</v>
      </c>
      <c r="P365" s="16" t="n">
        <v>78.9</v>
      </c>
      <c r="Q365" s="15" t="n">
        <v>21.5</v>
      </c>
      <c r="R365" s="15" t="n">
        <v>9</v>
      </c>
      <c r="S365" s="17" t="n">
        <v>136790</v>
      </c>
      <c r="T365" s="15" t="s">
        <v>137</v>
      </c>
      <c r="U365" s="15" t="n">
        <v>2028</v>
      </c>
      <c r="V365" s="15" t="s">
        <v>1387</v>
      </c>
      <c r="W365" s="18" t="s">
        <v>139</v>
      </c>
      <c r="X365" s="18" t="s">
        <v>341</v>
      </c>
      <c r="Y365" s="15" t="s">
        <v>600</v>
      </c>
      <c r="Z365" s="15" t="s">
        <v>600</v>
      </c>
      <c r="AA365" s="19" t="str">
        <f aca="false">HYPERLINK("https://www.transfermarkt.com/schnellsuche/ergebnis/schnellsuche?query="&amp;SUBSTITUTE(A365," ","+"),"Search Transfermarkt")</f>
        <v>Search Transfermarkt</v>
      </c>
    </row>
    <row r="366" customFormat="false" ht="23.85" hidden="false" customHeight="false" outlineLevel="0" collapsed="false">
      <c r="A366" s="15" t="s">
        <v>1388</v>
      </c>
      <c r="B366" s="15" t="s">
        <v>79</v>
      </c>
      <c r="C366" s="15" t="s">
        <v>409</v>
      </c>
      <c r="D366" s="15" t="n">
        <v>2</v>
      </c>
      <c r="E366" s="15" t="s">
        <v>1389</v>
      </c>
      <c r="F366" s="15" t="s">
        <v>170</v>
      </c>
      <c r="G366" s="15" t="n">
        <v>22</v>
      </c>
      <c r="H366" s="15" t="n">
        <v>1589</v>
      </c>
      <c r="I366" s="15" t="n">
        <v>5</v>
      </c>
      <c r="J366" s="15" t="n">
        <v>8</v>
      </c>
      <c r="K366" s="15" t="n">
        <v>130</v>
      </c>
      <c r="L366" s="15" t="n">
        <v>84</v>
      </c>
      <c r="M366" s="15" t="n">
        <v>28</v>
      </c>
      <c r="N366" s="15" t="n">
        <v>0</v>
      </c>
      <c r="O366" s="15" t="n">
        <v>0</v>
      </c>
      <c r="P366" s="16" t="n">
        <v>0</v>
      </c>
      <c r="Q366" s="15" t="n">
        <v>0</v>
      </c>
      <c r="R366" s="15" t="n">
        <v>0</v>
      </c>
      <c r="S366" s="17" t="n">
        <v>0</v>
      </c>
      <c r="T366" s="15" t="s">
        <v>186</v>
      </c>
      <c r="U366" s="15" t="n">
        <v>2027</v>
      </c>
      <c r="V366" s="15" t="s">
        <v>1390</v>
      </c>
      <c r="W366" s="18" t="s">
        <v>188</v>
      </c>
      <c r="X366" s="18" t="s">
        <v>412</v>
      </c>
      <c r="Y366" s="15" t="s">
        <v>600</v>
      </c>
      <c r="Z366" s="15" t="s">
        <v>600</v>
      </c>
      <c r="AA366" s="19" t="str">
        <f aca="false">HYPERLINK("https://www.transfermarkt.com/schnellsuche/ergebnis/schnellsuche?query="&amp;SUBSTITUTE(A366," ","+"),"Search Transfermarkt")</f>
        <v>Search Transfermarkt</v>
      </c>
    </row>
    <row r="367" customFormat="false" ht="23.85" hidden="false" customHeight="false" outlineLevel="0" collapsed="false">
      <c r="A367" s="15" t="s">
        <v>1391</v>
      </c>
      <c r="B367" s="15" t="s">
        <v>76</v>
      </c>
      <c r="C367" s="15" t="s">
        <v>238</v>
      </c>
      <c r="D367" s="15" t="n">
        <v>3</v>
      </c>
      <c r="E367" s="15" t="s">
        <v>1392</v>
      </c>
      <c r="F367" s="15" t="s">
        <v>163</v>
      </c>
      <c r="G367" s="15" t="n">
        <v>26</v>
      </c>
      <c r="H367" s="15" t="n">
        <v>2131</v>
      </c>
      <c r="I367" s="15" t="n">
        <v>10</v>
      </c>
      <c r="J367" s="15" t="n">
        <v>2</v>
      </c>
      <c r="K367" s="15" t="n">
        <v>33</v>
      </c>
      <c r="L367" s="15" t="n">
        <v>98</v>
      </c>
      <c r="M367" s="15" t="n">
        <v>14</v>
      </c>
      <c r="N367" s="15" t="n">
        <v>0</v>
      </c>
      <c r="O367" s="15" t="n">
        <v>0</v>
      </c>
      <c r="P367" s="16" t="n">
        <v>0</v>
      </c>
      <c r="Q367" s="15" t="n">
        <v>0</v>
      </c>
      <c r="R367" s="15" t="n">
        <v>0</v>
      </c>
      <c r="S367" s="17" t="n">
        <v>37241</v>
      </c>
      <c r="T367" s="15" t="s">
        <v>137</v>
      </c>
      <c r="U367" s="15" t="n">
        <v>2026</v>
      </c>
      <c r="V367" s="15" t="s">
        <v>1393</v>
      </c>
      <c r="W367" s="18" t="s">
        <v>139</v>
      </c>
      <c r="X367" s="18" t="s">
        <v>241</v>
      </c>
      <c r="Y367" s="15" t="s">
        <v>600</v>
      </c>
      <c r="Z367" s="15" t="s">
        <v>600</v>
      </c>
      <c r="AA367" s="19" t="str">
        <f aca="false">HYPERLINK("https://www.transfermarkt.com/schnellsuche/ergebnis/schnellsuche?query="&amp;SUBSTITUTE(A367," ","+"),"Search Transfermarkt")</f>
        <v>Search Transfermarkt</v>
      </c>
    </row>
    <row r="368" customFormat="false" ht="23.85" hidden="false" customHeight="false" outlineLevel="0" collapsed="false">
      <c r="A368" s="15" t="s">
        <v>1394</v>
      </c>
      <c r="B368" s="15" t="s">
        <v>90</v>
      </c>
      <c r="C368" s="15" t="s">
        <v>1395</v>
      </c>
      <c r="D368" s="15" t="n">
        <v>4</v>
      </c>
      <c r="E368" s="15" t="s">
        <v>1396</v>
      </c>
      <c r="F368" s="15" t="s">
        <v>136</v>
      </c>
      <c r="G368" s="15" t="n">
        <v>17</v>
      </c>
      <c r="H368" s="15" t="n">
        <v>2648</v>
      </c>
      <c r="I368" s="15" t="n">
        <v>3</v>
      </c>
      <c r="J368" s="15" t="n">
        <v>0</v>
      </c>
      <c r="K368" s="15" t="n">
        <v>72</v>
      </c>
      <c r="L368" s="15" t="n">
        <v>25</v>
      </c>
      <c r="M368" s="15" t="n">
        <v>104</v>
      </c>
      <c r="N368" s="15" t="n">
        <v>0</v>
      </c>
      <c r="O368" s="15" t="n">
        <v>0</v>
      </c>
      <c r="P368" s="16" t="n">
        <v>0</v>
      </c>
      <c r="Q368" s="15" t="n">
        <v>0</v>
      </c>
      <c r="R368" s="15" t="n">
        <v>0</v>
      </c>
      <c r="S368" s="17" t="n">
        <v>0</v>
      </c>
      <c r="T368" s="15" t="s">
        <v>186</v>
      </c>
      <c r="U368" s="15" t="n">
        <v>2027</v>
      </c>
      <c r="V368" s="15" t="s">
        <v>1397</v>
      </c>
      <c r="W368" s="18" t="s">
        <v>147</v>
      </c>
      <c r="X368" s="18" t="s">
        <v>288</v>
      </c>
      <c r="Y368" s="15" t="s">
        <v>600</v>
      </c>
      <c r="Z368" s="15" t="s">
        <v>600</v>
      </c>
      <c r="AA368" s="19" t="str">
        <f aca="false">HYPERLINK("https://www.transfermarkt.com/schnellsuche/ergebnis/schnellsuche?query="&amp;SUBSTITUTE(A368," ","+"),"Search Transfermarkt")</f>
        <v>Search Transfermarkt</v>
      </c>
    </row>
    <row r="369" customFormat="false" ht="23.85" hidden="false" customHeight="false" outlineLevel="0" collapsed="false">
      <c r="A369" s="15" t="s">
        <v>1398</v>
      </c>
      <c r="B369" s="15" t="s">
        <v>102</v>
      </c>
      <c r="C369" s="15" t="s">
        <v>1399</v>
      </c>
      <c r="D369" s="15" t="n">
        <v>4</v>
      </c>
      <c r="E369" s="15" t="s">
        <v>1400</v>
      </c>
      <c r="F369" s="15" t="s">
        <v>170</v>
      </c>
      <c r="G369" s="15" t="n">
        <v>18</v>
      </c>
      <c r="H369" s="15" t="n">
        <v>1751</v>
      </c>
      <c r="I369" s="15" t="n">
        <v>3</v>
      </c>
      <c r="J369" s="15" t="n">
        <v>5</v>
      </c>
      <c r="K369" s="15" t="n">
        <v>155</v>
      </c>
      <c r="L369" s="15" t="n">
        <v>80</v>
      </c>
      <c r="M369" s="15" t="n">
        <v>36</v>
      </c>
      <c r="N369" s="15" t="n">
        <v>0</v>
      </c>
      <c r="O369" s="15" t="n">
        <v>0</v>
      </c>
      <c r="P369" s="16" t="n">
        <v>0</v>
      </c>
      <c r="Q369" s="15" t="n">
        <v>0</v>
      </c>
      <c r="R369" s="15" t="n">
        <v>0</v>
      </c>
      <c r="S369" s="17" t="n">
        <v>99382</v>
      </c>
      <c r="T369" s="15" t="s">
        <v>137</v>
      </c>
      <c r="U369" s="15" t="n">
        <v>2028</v>
      </c>
      <c r="V369" s="15" t="s">
        <v>1401</v>
      </c>
      <c r="W369" s="18" t="s">
        <v>139</v>
      </c>
      <c r="X369" s="18" t="s">
        <v>453</v>
      </c>
      <c r="Y369" s="15" t="s">
        <v>600</v>
      </c>
      <c r="Z369" s="15" t="s">
        <v>600</v>
      </c>
      <c r="AA369" s="19" t="str">
        <f aca="false">HYPERLINK("https://www.transfermarkt.com/schnellsuche/ergebnis/schnellsuche?query="&amp;SUBSTITUTE(A369," ","+"),"Search Transfermarkt")</f>
        <v>Search Transfermarkt</v>
      </c>
    </row>
    <row r="370" customFormat="false" ht="23.85" hidden="false" customHeight="false" outlineLevel="0" collapsed="false">
      <c r="A370" s="15" t="s">
        <v>1402</v>
      </c>
      <c r="B370" s="15" t="s">
        <v>92</v>
      </c>
      <c r="C370" s="15" t="s">
        <v>309</v>
      </c>
      <c r="D370" s="15" t="n">
        <v>2</v>
      </c>
      <c r="E370" s="15" t="s">
        <v>1403</v>
      </c>
      <c r="F370" s="15" t="s">
        <v>163</v>
      </c>
      <c r="G370" s="15" t="n">
        <v>20</v>
      </c>
      <c r="H370" s="15" t="n">
        <v>1435</v>
      </c>
      <c r="I370" s="15" t="n">
        <v>10</v>
      </c>
      <c r="J370" s="15" t="n">
        <v>4</v>
      </c>
      <c r="K370" s="15" t="n">
        <v>29</v>
      </c>
      <c r="L370" s="15" t="n">
        <v>77</v>
      </c>
      <c r="M370" s="15" t="n">
        <v>4</v>
      </c>
      <c r="N370" s="15" t="n">
        <v>0</v>
      </c>
      <c r="O370" s="15" t="n">
        <v>0</v>
      </c>
      <c r="P370" s="16" t="n">
        <v>0</v>
      </c>
      <c r="Q370" s="15" t="n">
        <v>0</v>
      </c>
      <c r="R370" s="15" t="n">
        <v>0</v>
      </c>
      <c r="S370" s="17" t="n">
        <v>34001</v>
      </c>
      <c r="T370" s="15" t="s">
        <v>137</v>
      </c>
      <c r="U370" s="15" t="n">
        <v>2027</v>
      </c>
      <c r="V370" s="15" t="s">
        <v>1404</v>
      </c>
      <c r="W370" s="18" t="s">
        <v>139</v>
      </c>
      <c r="X370" s="18" t="s">
        <v>159</v>
      </c>
      <c r="Y370" s="15" t="s">
        <v>600</v>
      </c>
      <c r="Z370" s="15" t="s">
        <v>600</v>
      </c>
      <c r="AA370" s="19" t="str">
        <f aca="false">HYPERLINK("https://www.transfermarkt.com/schnellsuche/ergebnis/schnellsuche?query="&amp;SUBSTITUTE(A370," ","+"),"Search Transfermarkt")</f>
        <v>Search Transfermarkt</v>
      </c>
    </row>
    <row r="371" customFormat="false" ht="23.85" hidden="false" customHeight="false" outlineLevel="0" collapsed="false">
      <c r="A371" s="15" t="s">
        <v>1405</v>
      </c>
      <c r="B371" s="15" t="s">
        <v>64</v>
      </c>
      <c r="C371" s="15" t="s">
        <v>1406</v>
      </c>
      <c r="D371" s="15" t="n">
        <v>3</v>
      </c>
      <c r="E371" s="15" t="s">
        <v>1407</v>
      </c>
      <c r="F371" s="15" t="s">
        <v>163</v>
      </c>
      <c r="G371" s="15" t="n">
        <v>24</v>
      </c>
      <c r="H371" s="15" t="n">
        <v>1193</v>
      </c>
      <c r="I371" s="15" t="n">
        <v>14</v>
      </c>
      <c r="J371" s="15" t="n">
        <v>9</v>
      </c>
      <c r="K371" s="15" t="n">
        <v>45</v>
      </c>
      <c r="L371" s="15" t="n">
        <v>81</v>
      </c>
      <c r="M371" s="15" t="n">
        <v>8</v>
      </c>
      <c r="N371" s="15" t="n">
        <v>0</v>
      </c>
      <c r="O371" s="15" t="n">
        <v>0</v>
      </c>
      <c r="P371" s="16" t="n">
        <v>0</v>
      </c>
      <c r="Q371" s="15" t="n">
        <v>0</v>
      </c>
      <c r="R371" s="15" t="n">
        <v>0</v>
      </c>
      <c r="S371" s="17" t="n">
        <v>0</v>
      </c>
      <c r="T371" s="15" t="s">
        <v>186</v>
      </c>
      <c r="U371" s="15" t="n">
        <v>2026</v>
      </c>
      <c r="V371" s="15" t="s">
        <v>1408</v>
      </c>
      <c r="W371" s="18" t="s">
        <v>188</v>
      </c>
      <c r="X371" s="18" t="s">
        <v>231</v>
      </c>
      <c r="Y371" s="15" t="s">
        <v>600</v>
      </c>
      <c r="Z371" s="15" t="s">
        <v>600</v>
      </c>
      <c r="AA371" s="19" t="str">
        <f aca="false">HYPERLINK("https://www.transfermarkt.com/schnellsuche/ergebnis/schnellsuche?query="&amp;SUBSTITUTE(A371," ","+"),"Search Transfermarkt")</f>
        <v>Search Transfermarkt</v>
      </c>
    </row>
    <row r="372" customFormat="false" ht="23.85" hidden="false" customHeight="false" outlineLevel="0" collapsed="false">
      <c r="A372" s="15" t="s">
        <v>1409</v>
      </c>
      <c r="B372" s="15" t="s">
        <v>99</v>
      </c>
      <c r="C372" s="15" t="s">
        <v>624</v>
      </c>
      <c r="D372" s="15" t="n">
        <v>3</v>
      </c>
      <c r="E372" s="15" t="s">
        <v>1410</v>
      </c>
      <c r="F372" s="15" t="s">
        <v>157</v>
      </c>
      <c r="G372" s="15" t="n">
        <v>20</v>
      </c>
      <c r="H372" s="15" t="n">
        <v>964</v>
      </c>
      <c r="I372" s="15" t="n">
        <v>0</v>
      </c>
      <c r="J372" s="15" t="n">
        <v>0</v>
      </c>
      <c r="K372" s="15" t="n">
        <v>6</v>
      </c>
      <c r="L372" s="15" t="n">
        <v>1</v>
      </c>
      <c r="M372" s="15" t="n">
        <v>6</v>
      </c>
      <c r="N372" s="15" t="n">
        <v>36</v>
      </c>
      <c r="O372" s="15" t="n">
        <v>15</v>
      </c>
      <c r="P372" s="16" t="n">
        <v>60.1</v>
      </c>
      <c r="Q372" s="15" t="n">
        <v>12</v>
      </c>
      <c r="R372" s="15" t="n">
        <v>2</v>
      </c>
      <c r="S372" s="17" t="n">
        <v>40385</v>
      </c>
      <c r="T372" s="15" t="s">
        <v>137</v>
      </c>
      <c r="U372" s="15" t="n">
        <v>2028</v>
      </c>
      <c r="V372" s="15" t="s">
        <v>1411</v>
      </c>
      <c r="W372" s="18" t="s">
        <v>139</v>
      </c>
      <c r="X372" s="18" t="s">
        <v>189</v>
      </c>
      <c r="Y372" s="15" t="s">
        <v>600</v>
      </c>
      <c r="Z372" s="15" t="s">
        <v>600</v>
      </c>
      <c r="AA372" s="19" t="str">
        <f aca="false">HYPERLINK("https://www.transfermarkt.com/schnellsuche/ergebnis/schnellsuche?query="&amp;SUBSTITUTE(A372," ","+"),"Search Transfermarkt")</f>
        <v>Search Transfermarkt</v>
      </c>
    </row>
    <row r="373" customFormat="false" ht="23.85" hidden="false" customHeight="false" outlineLevel="0" collapsed="false">
      <c r="A373" s="15" t="s">
        <v>1412</v>
      </c>
      <c r="B373" s="15" t="s">
        <v>73</v>
      </c>
      <c r="C373" s="15" t="s">
        <v>168</v>
      </c>
      <c r="D373" s="15" t="n">
        <v>4</v>
      </c>
      <c r="E373" s="15" t="s">
        <v>1413</v>
      </c>
      <c r="F373" s="15" t="s">
        <v>136</v>
      </c>
      <c r="G373" s="15" t="n">
        <v>22</v>
      </c>
      <c r="H373" s="15" t="n">
        <v>1607</v>
      </c>
      <c r="I373" s="15" t="n">
        <v>3</v>
      </c>
      <c r="J373" s="15" t="n">
        <v>3</v>
      </c>
      <c r="K373" s="15" t="n">
        <v>58</v>
      </c>
      <c r="L373" s="15" t="n">
        <v>32</v>
      </c>
      <c r="M373" s="15" t="n">
        <v>109</v>
      </c>
      <c r="N373" s="15" t="n">
        <v>0</v>
      </c>
      <c r="O373" s="15" t="n">
        <v>0</v>
      </c>
      <c r="P373" s="16" t="n">
        <v>0</v>
      </c>
      <c r="Q373" s="15" t="n">
        <v>0</v>
      </c>
      <c r="R373" s="15" t="n">
        <v>0</v>
      </c>
      <c r="S373" s="17" t="n">
        <v>66982</v>
      </c>
      <c r="T373" s="15" t="s">
        <v>137</v>
      </c>
      <c r="U373" s="15" t="n">
        <v>2026</v>
      </c>
      <c r="V373" s="15" t="s">
        <v>1414</v>
      </c>
      <c r="W373" s="18" t="s">
        <v>139</v>
      </c>
      <c r="X373" s="18" t="s">
        <v>172</v>
      </c>
      <c r="Y373" s="15" t="s">
        <v>600</v>
      </c>
      <c r="Z373" s="15" t="s">
        <v>600</v>
      </c>
      <c r="AA373" s="19" t="str">
        <f aca="false">HYPERLINK("https://www.transfermarkt.com/schnellsuche/ergebnis/schnellsuche?query="&amp;SUBSTITUTE(A373," ","+"),"Search Transfermarkt")</f>
        <v>Search Transfermarkt</v>
      </c>
    </row>
    <row r="374" customFormat="false" ht="23.85" hidden="false" customHeight="false" outlineLevel="0" collapsed="false">
      <c r="A374" s="15" t="s">
        <v>1415</v>
      </c>
      <c r="B374" s="15" t="s">
        <v>92</v>
      </c>
      <c r="C374" s="15" t="s">
        <v>155</v>
      </c>
      <c r="D374" s="15" t="n">
        <v>2</v>
      </c>
      <c r="E374" s="15" t="s">
        <v>1416</v>
      </c>
      <c r="F374" s="15" t="s">
        <v>157</v>
      </c>
      <c r="G374" s="15" t="n">
        <v>23</v>
      </c>
      <c r="H374" s="15" t="n">
        <v>1487</v>
      </c>
      <c r="I374" s="15" t="n">
        <v>0</v>
      </c>
      <c r="J374" s="15" t="n">
        <v>0</v>
      </c>
      <c r="K374" s="15" t="n">
        <v>9</v>
      </c>
      <c r="L374" s="15" t="n">
        <v>5</v>
      </c>
      <c r="M374" s="15" t="n">
        <v>4</v>
      </c>
      <c r="N374" s="15" t="n">
        <v>56</v>
      </c>
      <c r="O374" s="15" t="n">
        <v>29</v>
      </c>
      <c r="P374" s="16" t="n">
        <v>82.2</v>
      </c>
      <c r="Q374" s="15" t="n">
        <v>21</v>
      </c>
      <c r="R374" s="15" t="n">
        <v>7</v>
      </c>
      <c r="S374" s="17" t="n">
        <v>59068</v>
      </c>
      <c r="T374" s="15" t="s">
        <v>137</v>
      </c>
      <c r="U374" s="15" t="n">
        <v>2026</v>
      </c>
      <c r="V374" s="15" t="s">
        <v>1417</v>
      </c>
      <c r="W374" s="18" t="s">
        <v>139</v>
      </c>
      <c r="X374" s="18" t="s">
        <v>159</v>
      </c>
      <c r="Y374" s="15" t="s">
        <v>600</v>
      </c>
      <c r="Z374" s="15" t="s">
        <v>600</v>
      </c>
      <c r="AA374" s="19" t="str">
        <f aca="false">HYPERLINK("https://www.transfermarkt.com/schnellsuche/ergebnis/schnellsuche?query="&amp;SUBSTITUTE(A374," ","+"),"Search Transfermarkt")</f>
        <v>Search Transfermarkt</v>
      </c>
    </row>
    <row r="375" customFormat="false" ht="23.85" hidden="false" customHeight="false" outlineLevel="0" collapsed="false">
      <c r="A375" s="15" t="s">
        <v>1418</v>
      </c>
      <c r="B375" s="15" t="s">
        <v>62</v>
      </c>
      <c r="C375" s="15" t="s">
        <v>1419</v>
      </c>
      <c r="D375" s="15" t="n">
        <v>4</v>
      </c>
      <c r="E375" s="15" t="s">
        <v>1420</v>
      </c>
      <c r="F375" s="15" t="s">
        <v>170</v>
      </c>
      <c r="G375" s="15" t="n">
        <v>24</v>
      </c>
      <c r="H375" s="15" t="n">
        <v>2379</v>
      </c>
      <c r="I375" s="15" t="n">
        <v>1</v>
      </c>
      <c r="J375" s="15" t="n">
        <v>11</v>
      </c>
      <c r="K375" s="15" t="n">
        <v>169</v>
      </c>
      <c r="L375" s="15" t="n">
        <v>98</v>
      </c>
      <c r="M375" s="15" t="n">
        <v>42</v>
      </c>
      <c r="N375" s="15" t="n">
        <v>0</v>
      </c>
      <c r="O375" s="15" t="n">
        <v>0</v>
      </c>
      <c r="P375" s="16" t="n">
        <v>0</v>
      </c>
      <c r="Q375" s="15" t="n">
        <v>0</v>
      </c>
      <c r="R375" s="15" t="n">
        <v>0</v>
      </c>
      <c r="S375" s="17" t="n">
        <v>105504</v>
      </c>
      <c r="T375" s="15" t="s">
        <v>186</v>
      </c>
      <c r="U375" s="15" t="n">
        <v>2028</v>
      </c>
      <c r="V375" s="15" t="s">
        <v>1421</v>
      </c>
      <c r="W375" s="18" t="s">
        <v>188</v>
      </c>
      <c r="X375" s="18" t="s">
        <v>211</v>
      </c>
      <c r="Y375" s="15" t="s">
        <v>600</v>
      </c>
      <c r="Z375" s="15" t="s">
        <v>600</v>
      </c>
      <c r="AA375" s="19" t="str">
        <f aca="false">HYPERLINK("https://www.transfermarkt.com/schnellsuche/ergebnis/schnellsuche?query="&amp;SUBSTITUTE(A375," ","+"),"Search Transfermarkt")</f>
        <v>Search Transfermarkt</v>
      </c>
    </row>
    <row r="376" customFormat="false" ht="23.85" hidden="false" customHeight="false" outlineLevel="0" collapsed="false">
      <c r="A376" s="15" t="s">
        <v>1422</v>
      </c>
      <c r="B376" s="15" t="s">
        <v>86</v>
      </c>
      <c r="C376" s="15" t="s">
        <v>1423</v>
      </c>
      <c r="D376" s="15" t="n">
        <v>3</v>
      </c>
      <c r="E376" s="15" t="s">
        <v>529</v>
      </c>
      <c r="F376" s="15" t="s">
        <v>163</v>
      </c>
      <c r="G376" s="15" t="n">
        <v>22</v>
      </c>
      <c r="H376" s="15" t="n">
        <v>1244</v>
      </c>
      <c r="I376" s="15" t="n">
        <v>11</v>
      </c>
      <c r="J376" s="15" t="n">
        <v>4</v>
      </c>
      <c r="K376" s="15" t="n">
        <v>59</v>
      </c>
      <c r="L376" s="15" t="n">
        <v>69</v>
      </c>
      <c r="M376" s="15" t="n">
        <v>14</v>
      </c>
      <c r="N376" s="15" t="n">
        <v>0</v>
      </c>
      <c r="O376" s="15" t="n">
        <v>0</v>
      </c>
      <c r="P376" s="16" t="n">
        <v>0</v>
      </c>
      <c r="Q376" s="15" t="n">
        <v>0</v>
      </c>
      <c r="R376" s="15" t="n">
        <v>0</v>
      </c>
      <c r="S376" s="17" t="n">
        <v>134782</v>
      </c>
      <c r="T376" s="15" t="s">
        <v>137</v>
      </c>
      <c r="U376" s="15" t="n">
        <v>2029</v>
      </c>
      <c r="V376" s="15" t="s">
        <v>530</v>
      </c>
      <c r="W376" s="18" t="s">
        <v>139</v>
      </c>
      <c r="X376" s="18" t="s">
        <v>473</v>
      </c>
      <c r="Y376" s="15" t="s">
        <v>600</v>
      </c>
      <c r="Z376" s="15" t="s">
        <v>600</v>
      </c>
      <c r="AA376" s="19" t="str">
        <f aca="false">HYPERLINK("https://www.transfermarkt.com/schnellsuche/ergebnis/schnellsuche?query="&amp;SUBSTITUTE(A376," ","+"),"Search Transfermarkt")</f>
        <v>Search Transfermarkt</v>
      </c>
    </row>
    <row r="377" customFormat="false" ht="23.85" hidden="false" customHeight="false" outlineLevel="0" collapsed="false">
      <c r="A377" s="15" t="s">
        <v>1424</v>
      </c>
      <c r="B377" s="15" t="s">
        <v>82</v>
      </c>
      <c r="C377" s="15" t="s">
        <v>430</v>
      </c>
      <c r="D377" s="15" t="n">
        <v>3</v>
      </c>
      <c r="E377" s="15" t="s">
        <v>1425</v>
      </c>
      <c r="F377" s="15" t="s">
        <v>136</v>
      </c>
      <c r="G377" s="15" t="n">
        <v>25</v>
      </c>
      <c r="H377" s="15" t="n">
        <v>1628</v>
      </c>
      <c r="I377" s="15" t="n">
        <v>1</v>
      </c>
      <c r="J377" s="15" t="n">
        <v>0</v>
      </c>
      <c r="K377" s="15" t="n">
        <v>65</v>
      </c>
      <c r="L377" s="15" t="n">
        <v>20</v>
      </c>
      <c r="M377" s="15" t="n">
        <v>101</v>
      </c>
      <c r="N377" s="15" t="n">
        <v>0</v>
      </c>
      <c r="O377" s="15" t="n">
        <v>0</v>
      </c>
      <c r="P377" s="16" t="n">
        <v>0</v>
      </c>
      <c r="Q377" s="15" t="n">
        <v>0</v>
      </c>
      <c r="R377" s="15" t="n">
        <v>0</v>
      </c>
      <c r="S377" s="17" t="n">
        <v>0</v>
      </c>
      <c r="T377" s="15" t="s">
        <v>137</v>
      </c>
      <c r="U377" s="15" t="n">
        <v>2029</v>
      </c>
      <c r="V377" s="15" t="s">
        <v>1426</v>
      </c>
      <c r="W377" s="18" t="s">
        <v>139</v>
      </c>
      <c r="X377" s="18" t="s">
        <v>166</v>
      </c>
      <c r="Y377" s="15" t="s">
        <v>600</v>
      </c>
      <c r="Z377" s="15" t="s">
        <v>600</v>
      </c>
      <c r="AA377" s="19" t="str">
        <f aca="false">HYPERLINK("https://www.transfermarkt.com/schnellsuche/ergebnis/schnellsuche?query="&amp;SUBSTITUTE(A377," ","+"),"Search Transfermarkt")</f>
        <v>Search Transfermarkt</v>
      </c>
    </row>
    <row r="378" customFormat="false" ht="23.85" hidden="false" customHeight="false" outlineLevel="0" collapsed="false">
      <c r="A378" s="15" t="s">
        <v>1427</v>
      </c>
      <c r="B378" s="15" t="s">
        <v>75</v>
      </c>
      <c r="C378" s="15" t="s">
        <v>914</v>
      </c>
      <c r="D378" s="15" t="n">
        <v>3</v>
      </c>
      <c r="E378" s="15" t="s">
        <v>915</v>
      </c>
      <c r="F378" s="15" t="s">
        <v>157</v>
      </c>
      <c r="G378" s="15" t="n">
        <v>24</v>
      </c>
      <c r="H378" s="15" t="n">
        <v>1151</v>
      </c>
      <c r="I378" s="15" t="n">
        <v>0</v>
      </c>
      <c r="J378" s="15" t="n">
        <v>0</v>
      </c>
      <c r="K378" s="15" t="n">
        <v>10</v>
      </c>
      <c r="L378" s="15" t="n">
        <v>3</v>
      </c>
      <c r="M378" s="15" t="n">
        <v>8</v>
      </c>
      <c r="N378" s="15" t="n">
        <v>49</v>
      </c>
      <c r="O378" s="15" t="n">
        <v>15</v>
      </c>
      <c r="P378" s="16" t="n">
        <v>75.3</v>
      </c>
      <c r="Q378" s="15" t="n">
        <v>5.1</v>
      </c>
      <c r="R378" s="15" t="n">
        <v>5</v>
      </c>
      <c r="S378" s="17" t="n">
        <v>47164</v>
      </c>
      <c r="T378" s="15" t="s">
        <v>186</v>
      </c>
      <c r="U378" s="15" t="n">
        <v>2027</v>
      </c>
      <c r="V378" s="15" t="s">
        <v>916</v>
      </c>
      <c r="W378" s="18" t="s">
        <v>188</v>
      </c>
      <c r="X378" s="18" t="s">
        <v>197</v>
      </c>
      <c r="Y378" s="15" t="s">
        <v>600</v>
      </c>
      <c r="Z378" s="15" t="s">
        <v>600</v>
      </c>
      <c r="AA378" s="19" t="str">
        <f aca="false">HYPERLINK("https://www.transfermarkt.com/schnellsuche/ergebnis/schnellsuche?query="&amp;SUBSTITUTE(A378," ","+"),"Search Transfermarkt")</f>
        <v>Search Transfermarkt</v>
      </c>
    </row>
    <row r="379" customFormat="false" ht="23.85" hidden="false" customHeight="false" outlineLevel="0" collapsed="false">
      <c r="A379" s="15" t="s">
        <v>1428</v>
      </c>
      <c r="B379" s="15" t="s">
        <v>77</v>
      </c>
      <c r="C379" s="15" t="s">
        <v>1029</v>
      </c>
      <c r="D379" s="15" t="n">
        <v>2</v>
      </c>
      <c r="E379" s="15" t="s">
        <v>1429</v>
      </c>
      <c r="F379" s="15" t="s">
        <v>157</v>
      </c>
      <c r="G379" s="15" t="n">
        <v>21</v>
      </c>
      <c r="H379" s="15" t="n">
        <v>2331</v>
      </c>
      <c r="I379" s="15" t="n">
        <v>0</v>
      </c>
      <c r="J379" s="15" t="n">
        <v>0</v>
      </c>
      <c r="K379" s="15" t="n">
        <v>10</v>
      </c>
      <c r="L379" s="15" t="n">
        <v>3</v>
      </c>
      <c r="M379" s="15" t="n">
        <v>5</v>
      </c>
      <c r="N379" s="15" t="n">
        <v>76</v>
      </c>
      <c r="O379" s="15" t="n">
        <v>26</v>
      </c>
      <c r="P379" s="16" t="n">
        <v>58.6</v>
      </c>
      <c r="Q379" s="15" t="n">
        <v>14.1</v>
      </c>
      <c r="R379" s="15" t="n">
        <v>11</v>
      </c>
      <c r="S379" s="17" t="n">
        <v>89972</v>
      </c>
      <c r="T379" s="15" t="s">
        <v>186</v>
      </c>
      <c r="U379" s="15" t="n">
        <v>2027</v>
      </c>
      <c r="V379" s="15" t="s">
        <v>1430</v>
      </c>
      <c r="W379" s="18" t="s">
        <v>188</v>
      </c>
      <c r="X379" s="18" t="s">
        <v>358</v>
      </c>
      <c r="Y379" s="15" t="s">
        <v>600</v>
      </c>
      <c r="Z379" s="15" t="s">
        <v>600</v>
      </c>
      <c r="AA379" s="19" t="str">
        <f aca="false">HYPERLINK("https://www.transfermarkt.com/schnellsuche/ergebnis/schnellsuche?query="&amp;SUBSTITUTE(A379," ","+"),"Search Transfermarkt")</f>
        <v>Search Transfermarkt</v>
      </c>
    </row>
    <row r="380" customFormat="false" ht="23.85" hidden="false" customHeight="false" outlineLevel="0" collapsed="false">
      <c r="A380" s="15" t="s">
        <v>1431</v>
      </c>
      <c r="B380" s="15" t="s">
        <v>102</v>
      </c>
      <c r="C380" s="15" t="s">
        <v>450</v>
      </c>
      <c r="D380" s="15" t="n">
        <v>4</v>
      </c>
      <c r="E380" s="15" t="s">
        <v>1432</v>
      </c>
      <c r="F380" s="15" t="s">
        <v>136</v>
      </c>
      <c r="G380" s="15" t="n">
        <v>26</v>
      </c>
      <c r="H380" s="15" t="n">
        <v>1754</v>
      </c>
      <c r="I380" s="15" t="n">
        <v>3</v>
      </c>
      <c r="J380" s="15" t="n">
        <v>2</v>
      </c>
      <c r="K380" s="15" t="n">
        <v>70</v>
      </c>
      <c r="L380" s="15" t="n">
        <v>40</v>
      </c>
      <c r="M380" s="15" t="n">
        <v>113</v>
      </c>
      <c r="N380" s="15" t="n">
        <v>0</v>
      </c>
      <c r="O380" s="15" t="n">
        <v>0</v>
      </c>
      <c r="P380" s="16" t="n">
        <v>0</v>
      </c>
      <c r="Q380" s="15" t="n">
        <v>0</v>
      </c>
      <c r="R380" s="15" t="n">
        <v>0</v>
      </c>
      <c r="S380" s="17" t="n">
        <v>0</v>
      </c>
      <c r="T380" s="15" t="s">
        <v>186</v>
      </c>
      <c r="U380" s="15" t="n">
        <v>2029</v>
      </c>
      <c r="V380" s="15" t="s">
        <v>1433</v>
      </c>
      <c r="W380" s="18" t="s">
        <v>188</v>
      </c>
      <c r="X380" s="18" t="s">
        <v>453</v>
      </c>
      <c r="Y380" s="15" t="s">
        <v>600</v>
      </c>
      <c r="Z380" s="15" t="s">
        <v>600</v>
      </c>
      <c r="AA380" s="19" t="str">
        <f aca="false">HYPERLINK("https://www.transfermarkt.com/schnellsuche/ergebnis/schnellsuche?query="&amp;SUBSTITUTE(A380," ","+"),"Search Transfermarkt")</f>
        <v>Search Transfermarkt</v>
      </c>
    </row>
    <row r="381" customFormat="false" ht="23.85" hidden="false" customHeight="false" outlineLevel="0" collapsed="false">
      <c r="A381" s="15" t="s">
        <v>1434</v>
      </c>
      <c r="B381" s="15" t="s">
        <v>69</v>
      </c>
      <c r="C381" s="15" t="s">
        <v>134</v>
      </c>
      <c r="D381" s="15" t="n">
        <v>3</v>
      </c>
      <c r="E381" s="15" t="s">
        <v>1435</v>
      </c>
      <c r="F381" s="15" t="s">
        <v>136</v>
      </c>
      <c r="G381" s="15" t="n">
        <v>25</v>
      </c>
      <c r="H381" s="15" t="n">
        <v>1242</v>
      </c>
      <c r="I381" s="15" t="n">
        <v>1</v>
      </c>
      <c r="J381" s="15" t="n">
        <v>0</v>
      </c>
      <c r="K381" s="15" t="n">
        <v>61</v>
      </c>
      <c r="L381" s="15" t="n">
        <v>25</v>
      </c>
      <c r="M381" s="15" t="n">
        <v>115</v>
      </c>
      <c r="N381" s="15" t="n">
        <v>0</v>
      </c>
      <c r="O381" s="15" t="n">
        <v>0</v>
      </c>
      <c r="P381" s="16" t="n">
        <v>0</v>
      </c>
      <c r="Q381" s="15" t="n">
        <v>0</v>
      </c>
      <c r="R381" s="15" t="n">
        <v>0</v>
      </c>
      <c r="S381" s="17" t="n">
        <v>0</v>
      </c>
      <c r="T381" s="15" t="s">
        <v>137</v>
      </c>
      <c r="U381" s="15" t="n">
        <v>2027</v>
      </c>
      <c r="V381" s="15" t="s">
        <v>1436</v>
      </c>
      <c r="W381" s="18" t="s">
        <v>139</v>
      </c>
      <c r="X381" s="18" t="s">
        <v>140</v>
      </c>
      <c r="Y381" s="15" t="s">
        <v>600</v>
      </c>
      <c r="Z381" s="15" t="s">
        <v>600</v>
      </c>
      <c r="AA381" s="19" t="str">
        <f aca="false">HYPERLINK("https://www.transfermarkt.com/schnellsuche/ergebnis/schnellsuche?query="&amp;SUBSTITUTE(A381," ","+"),"Search Transfermarkt")</f>
        <v>Search Transfermarkt</v>
      </c>
    </row>
    <row r="382" customFormat="false" ht="23.85" hidden="false" customHeight="false" outlineLevel="0" collapsed="false">
      <c r="A382" s="15" t="s">
        <v>1437</v>
      </c>
      <c r="B382" s="15" t="s">
        <v>67</v>
      </c>
      <c r="C382" s="15" t="s">
        <v>1302</v>
      </c>
      <c r="D382" s="15" t="n">
        <v>4</v>
      </c>
      <c r="E382" s="15" t="s">
        <v>1438</v>
      </c>
      <c r="F382" s="15" t="s">
        <v>136</v>
      </c>
      <c r="G382" s="15" t="n">
        <v>22</v>
      </c>
      <c r="H382" s="15" t="n">
        <v>2605</v>
      </c>
      <c r="I382" s="15" t="n">
        <v>0</v>
      </c>
      <c r="J382" s="15" t="n">
        <v>4</v>
      </c>
      <c r="K382" s="15" t="n">
        <v>38</v>
      </c>
      <c r="L382" s="15" t="n">
        <v>23</v>
      </c>
      <c r="M382" s="15" t="n">
        <v>121</v>
      </c>
      <c r="N382" s="15" t="n">
        <v>0</v>
      </c>
      <c r="O382" s="15" t="n">
        <v>0</v>
      </c>
      <c r="P382" s="16" t="n">
        <v>0</v>
      </c>
      <c r="Q382" s="15" t="n">
        <v>0</v>
      </c>
      <c r="R382" s="15" t="n">
        <v>0</v>
      </c>
      <c r="S382" s="17" t="n">
        <v>135389</v>
      </c>
      <c r="T382" s="15" t="s">
        <v>164</v>
      </c>
      <c r="U382" s="15" t="n">
        <v>2027</v>
      </c>
      <c r="V382" s="15" t="s">
        <v>1439</v>
      </c>
      <c r="W382" s="18" t="s">
        <v>139</v>
      </c>
      <c r="X382" s="18" t="s">
        <v>236</v>
      </c>
      <c r="Y382" s="15" t="s">
        <v>600</v>
      </c>
      <c r="Z382" s="15" t="s">
        <v>600</v>
      </c>
      <c r="AA382" s="19" t="str">
        <f aca="false">HYPERLINK("https://www.transfermarkt.com/schnellsuche/ergebnis/schnellsuche?query="&amp;SUBSTITUTE(A382," ","+"),"Search Transfermarkt")</f>
        <v>Search Transfermarkt</v>
      </c>
    </row>
    <row r="383" customFormat="false" ht="23.85" hidden="false" customHeight="false" outlineLevel="0" collapsed="false">
      <c r="A383" s="15" t="s">
        <v>1440</v>
      </c>
      <c r="B383" s="15" t="s">
        <v>104</v>
      </c>
      <c r="C383" s="15" t="s">
        <v>271</v>
      </c>
      <c r="D383" s="15" t="n">
        <v>3</v>
      </c>
      <c r="E383" s="15" t="s">
        <v>1441</v>
      </c>
      <c r="F383" s="15" t="s">
        <v>136</v>
      </c>
      <c r="G383" s="15" t="n">
        <v>17</v>
      </c>
      <c r="H383" s="15" t="n">
        <v>1499</v>
      </c>
      <c r="I383" s="15" t="n">
        <v>2</v>
      </c>
      <c r="J383" s="15" t="n">
        <v>0</v>
      </c>
      <c r="K383" s="15" t="n">
        <v>53</v>
      </c>
      <c r="L383" s="15" t="n">
        <v>32</v>
      </c>
      <c r="M383" s="15" t="n">
        <v>122</v>
      </c>
      <c r="N383" s="15" t="n">
        <v>0</v>
      </c>
      <c r="O383" s="15" t="n">
        <v>0</v>
      </c>
      <c r="P383" s="16" t="n">
        <v>0</v>
      </c>
      <c r="Q383" s="15" t="n">
        <v>0</v>
      </c>
      <c r="R383" s="15" t="n">
        <v>0</v>
      </c>
      <c r="S383" s="17" t="n">
        <v>18972</v>
      </c>
      <c r="T383" s="15" t="s">
        <v>186</v>
      </c>
      <c r="U383" s="15" t="n">
        <v>2029</v>
      </c>
      <c r="V383" s="15" t="s">
        <v>1442</v>
      </c>
      <c r="W383" s="18" t="s">
        <v>147</v>
      </c>
      <c r="X383" s="18" t="s">
        <v>274</v>
      </c>
      <c r="Y383" s="15" t="s">
        <v>600</v>
      </c>
      <c r="Z383" s="15" t="s">
        <v>600</v>
      </c>
      <c r="AA383" s="19" t="str">
        <f aca="false">HYPERLINK("https://www.transfermarkt.com/schnellsuche/ergebnis/schnellsuche?query="&amp;SUBSTITUTE(A383," ","+"),"Search Transfermarkt")</f>
        <v>Search Transfermarkt</v>
      </c>
    </row>
    <row r="384" customFormat="false" ht="23.85" hidden="false" customHeight="false" outlineLevel="0" collapsed="false">
      <c r="A384" s="15" t="s">
        <v>1443</v>
      </c>
      <c r="B384" s="15" t="s">
        <v>80</v>
      </c>
      <c r="C384" s="15" t="s">
        <v>1095</v>
      </c>
      <c r="D384" s="15" t="n">
        <v>2</v>
      </c>
      <c r="E384" s="15" t="s">
        <v>323</v>
      </c>
      <c r="F384" s="15" t="s">
        <v>163</v>
      </c>
      <c r="G384" s="15" t="n">
        <v>20</v>
      </c>
      <c r="H384" s="15" t="n">
        <v>1409</v>
      </c>
      <c r="I384" s="15" t="n">
        <v>7</v>
      </c>
      <c r="J384" s="15" t="n">
        <v>6</v>
      </c>
      <c r="K384" s="15" t="n">
        <v>50</v>
      </c>
      <c r="L384" s="15" t="n">
        <v>91</v>
      </c>
      <c r="M384" s="15" t="n">
        <v>6</v>
      </c>
      <c r="N384" s="15" t="n">
        <v>0</v>
      </c>
      <c r="O384" s="15" t="n">
        <v>0</v>
      </c>
      <c r="P384" s="16" t="n">
        <v>0</v>
      </c>
      <c r="Q384" s="15" t="n">
        <v>0</v>
      </c>
      <c r="R384" s="15" t="n">
        <v>0</v>
      </c>
      <c r="S384" s="17" t="n">
        <v>34795</v>
      </c>
      <c r="T384" s="15" t="s">
        <v>164</v>
      </c>
      <c r="U384" s="15" t="n">
        <v>2029</v>
      </c>
      <c r="V384" s="15" t="s">
        <v>324</v>
      </c>
      <c r="W384" s="18" t="s">
        <v>139</v>
      </c>
      <c r="X384" s="18" t="s">
        <v>304</v>
      </c>
      <c r="Y384" s="15" t="s">
        <v>600</v>
      </c>
      <c r="Z384" s="15" t="s">
        <v>600</v>
      </c>
      <c r="AA384" s="19" t="str">
        <f aca="false">HYPERLINK("https://www.transfermarkt.com/schnellsuche/ergebnis/schnellsuche?query="&amp;SUBSTITUTE(A384," ","+"),"Search Transfermarkt")</f>
        <v>Search Transfermarkt</v>
      </c>
    </row>
    <row r="385" customFormat="false" ht="23.85" hidden="false" customHeight="false" outlineLevel="0" collapsed="false">
      <c r="A385" s="15" t="s">
        <v>1444</v>
      </c>
      <c r="B385" s="15" t="s">
        <v>68</v>
      </c>
      <c r="C385" s="15" t="s">
        <v>1236</v>
      </c>
      <c r="D385" s="15" t="n">
        <v>2</v>
      </c>
      <c r="E385" s="15" t="s">
        <v>1445</v>
      </c>
      <c r="F385" s="15" t="s">
        <v>163</v>
      </c>
      <c r="G385" s="15" t="n">
        <v>17</v>
      </c>
      <c r="H385" s="15" t="n">
        <v>2440</v>
      </c>
      <c r="I385" s="15" t="n">
        <v>16</v>
      </c>
      <c r="J385" s="15" t="n">
        <v>9</v>
      </c>
      <c r="K385" s="15" t="n">
        <v>58</v>
      </c>
      <c r="L385" s="15" t="n">
        <v>77</v>
      </c>
      <c r="M385" s="15" t="n">
        <v>14</v>
      </c>
      <c r="N385" s="15" t="n">
        <v>0</v>
      </c>
      <c r="O385" s="15" t="n">
        <v>0</v>
      </c>
      <c r="P385" s="16" t="n">
        <v>0</v>
      </c>
      <c r="Q385" s="15" t="n">
        <v>0</v>
      </c>
      <c r="R385" s="15" t="n">
        <v>0</v>
      </c>
      <c r="S385" s="17" t="n">
        <v>0</v>
      </c>
      <c r="T385" s="15" t="s">
        <v>164</v>
      </c>
      <c r="U385" s="15" t="n">
        <v>2027</v>
      </c>
      <c r="V385" s="15" t="s">
        <v>1446</v>
      </c>
      <c r="W385" s="18" t="s">
        <v>147</v>
      </c>
      <c r="X385" s="18" t="s">
        <v>153</v>
      </c>
      <c r="Y385" s="15" t="s">
        <v>600</v>
      </c>
      <c r="Z385" s="15" t="s">
        <v>600</v>
      </c>
      <c r="AA385" s="19" t="str">
        <f aca="false">HYPERLINK("https://www.transfermarkt.com/schnellsuche/ergebnis/schnellsuche?query="&amp;SUBSTITUTE(A385," ","+"),"Search Transfermarkt")</f>
        <v>Search Transfermarkt</v>
      </c>
    </row>
    <row r="386" customFormat="false" ht="23.85" hidden="false" customHeight="false" outlineLevel="0" collapsed="false">
      <c r="A386" s="15" t="s">
        <v>1447</v>
      </c>
      <c r="B386" s="15" t="s">
        <v>102</v>
      </c>
      <c r="C386" s="15" t="s">
        <v>1005</v>
      </c>
      <c r="D386" s="15" t="n">
        <v>2</v>
      </c>
      <c r="E386" s="15" t="s">
        <v>1400</v>
      </c>
      <c r="F386" s="15" t="s">
        <v>170</v>
      </c>
      <c r="G386" s="15" t="n">
        <v>25</v>
      </c>
      <c r="H386" s="15" t="n">
        <v>1812</v>
      </c>
      <c r="I386" s="15" t="n">
        <v>2</v>
      </c>
      <c r="J386" s="15" t="n">
        <v>11</v>
      </c>
      <c r="K386" s="15" t="n">
        <v>166</v>
      </c>
      <c r="L386" s="15" t="n">
        <v>52</v>
      </c>
      <c r="M386" s="15" t="n">
        <v>36</v>
      </c>
      <c r="N386" s="15" t="n">
        <v>0</v>
      </c>
      <c r="O386" s="15" t="n">
        <v>0</v>
      </c>
      <c r="P386" s="16" t="n">
        <v>0</v>
      </c>
      <c r="Q386" s="15" t="n">
        <v>0</v>
      </c>
      <c r="R386" s="15" t="n">
        <v>0</v>
      </c>
      <c r="S386" s="17" t="n">
        <v>0</v>
      </c>
      <c r="T386" s="15" t="s">
        <v>137</v>
      </c>
      <c r="U386" s="15" t="n">
        <v>2028</v>
      </c>
      <c r="V386" s="15" t="s">
        <v>1401</v>
      </c>
      <c r="W386" s="18" t="s">
        <v>139</v>
      </c>
      <c r="X386" s="18" t="s">
        <v>453</v>
      </c>
      <c r="Y386" s="15" t="s">
        <v>600</v>
      </c>
      <c r="Z386" s="15" t="s">
        <v>600</v>
      </c>
      <c r="AA386" s="19" t="str">
        <f aca="false">HYPERLINK("https://www.transfermarkt.com/schnellsuche/ergebnis/schnellsuche?query="&amp;SUBSTITUTE(A386," ","+"),"Search Transfermarkt")</f>
        <v>Search Transfermarkt</v>
      </c>
    </row>
    <row r="387" customFormat="false" ht="23.85" hidden="false" customHeight="false" outlineLevel="0" collapsed="false">
      <c r="A387" s="15" t="s">
        <v>1448</v>
      </c>
      <c r="B387" s="15" t="s">
        <v>80</v>
      </c>
      <c r="C387" s="15" t="s">
        <v>509</v>
      </c>
      <c r="D387" s="15" t="n">
        <v>3</v>
      </c>
      <c r="E387" s="15" t="s">
        <v>1449</v>
      </c>
      <c r="F387" s="15" t="s">
        <v>157</v>
      </c>
      <c r="G387" s="15" t="n">
        <v>23</v>
      </c>
      <c r="H387" s="15" t="n">
        <v>1254</v>
      </c>
      <c r="I387" s="15" t="n">
        <v>0</v>
      </c>
      <c r="J387" s="15" t="n">
        <v>0</v>
      </c>
      <c r="K387" s="15" t="n">
        <v>16</v>
      </c>
      <c r="L387" s="15" t="n">
        <v>3</v>
      </c>
      <c r="M387" s="15" t="n">
        <v>8</v>
      </c>
      <c r="N387" s="15" t="n">
        <v>42</v>
      </c>
      <c r="O387" s="15" t="n">
        <v>19</v>
      </c>
      <c r="P387" s="16" t="n">
        <v>59.1</v>
      </c>
      <c r="Q387" s="15" t="n">
        <v>17.2</v>
      </c>
      <c r="R387" s="15" t="n">
        <v>2</v>
      </c>
      <c r="S387" s="17" t="n">
        <v>94196</v>
      </c>
      <c r="T387" s="15" t="s">
        <v>137</v>
      </c>
      <c r="U387" s="15" t="n">
        <v>2026</v>
      </c>
      <c r="V387" s="15" t="s">
        <v>1450</v>
      </c>
      <c r="W387" s="18" t="s">
        <v>139</v>
      </c>
      <c r="X387" s="18" t="s">
        <v>304</v>
      </c>
      <c r="Y387" s="15" t="s">
        <v>600</v>
      </c>
      <c r="Z387" s="15" t="s">
        <v>600</v>
      </c>
      <c r="AA387" s="19" t="str">
        <f aca="false">HYPERLINK("https://www.transfermarkt.com/schnellsuche/ergebnis/schnellsuche?query="&amp;SUBSTITUTE(A387," ","+"),"Search Transfermarkt")</f>
        <v>Search Transfermarkt</v>
      </c>
    </row>
    <row r="388" customFormat="false" ht="23.85" hidden="false" customHeight="false" outlineLevel="0" collapsed="false">
      <c r="A388" s="15" t="s">
        <v>1451</v>
      </c>
      <c r="B388" s="15" t="s">
        <v>81</v>
      </c>
      <c r="C388" s="15" t="s">
        <v>404</v>
      </c>
      <c r="D388" s="15" t="n">
        <v>4</v>
      </c>
      <c r="E388" s="15" t="s">
        <v>1452</v>
      </c>
      <c r="F388" s="15" t="s">
        <v>136</v>
      </c>
      <c r="G388" s="15" t="n">
        <v>19</v>
      </c>
      <c r="H388" s="15" t="n">
        <v>2362</v>
      </c>
      <c r="I388" s="15" t="n">
        <v>0</v>
      </c>
      <c r="J388" s="15" t="n">
        <v>4</v>
      </c>
      <c r="K388" s="15" t="n">
        <v>39</v>
      </c>
      <c r="L388" s="15" t="n">
        <v>38</v>
      </c>
      <c r="M388" s="15" t="n">
        <v>103</v>
      </c>
      <c r="N388" s="15" t="n">
        <v>0</v>
      </c>
      <c r="O388" s="15" t="n">
        <v>0</v>
      </c>
      <c r="P388" s="16" t="n">
        <v>0</v>
      </c>
      <c r="Q388" s="15" t="n">
        <v>0</v>
      </c>
      <c r="R388" s="15" t="n">
        <v>0</v>
      </c>
      <c r="S388" s="17" t="n">
        <v>121785</v>
      </c>
      <c r="T388" s="15" t="s">
        <v>137</v>
      </c>
      <c r="U388" s="15" t="n">
        <v>2027</v>
      </c>
      <c r="V388" s="15" t="s">
        <v>1453</v>
      </c>
      <c r="W388" s="18" t="s">
        <v>139</v>
      </c>
      <c r="X388" s="18" t="s">
        <v>407</v>
      </c>
      <c r="Y388" s="15" t="s">
        <v>600</v>
      </c>
      <c r="Z388" s="15" t="s">
        <v>600</v>
      </c>
      <c r="AA388" s="19" t="str">
        <f aca="false">HYPERLINK("https://www.transfermarkt.com/schnellsuche/ergebnis/schnellsuche?query="&amp;SUBSTITUTE(A388," ","+"),"Search Transfermarkt")</f>
        <v>Search Transfermarkt</v>
      </c>
    </row>
    <row r="389" customFormat="false" ht="23.85" hidden="false" customHeight="false" outlineLevel="0" collapsed="false">
      <c r="A389" s="15" t="s">
        <v>1454</v>
      </c>
      <c r="B389" s="15" t="s">
        <v>89</v>
      </c>
      <c r="C389" s="15" t="s">
        <v>1455</v>
      </c>
      <c r="D389" s="15" t="n">
        <v>4</v>
      </c>
      <c r="E389" s="15" t="s">
        <v>1456</v>
      </c>
      <c r="F389" s="15" t="s">
        <v>136</v>
      </c>
      <c r="G389" s="15" t="n">
        <v>24</v>
      </c>
      <c r="H389" s="15" t="n">
        <v>1528</v>
      </c>
      <c r="I389" s="15" t="n">
        <v>0</v>
      </c>
      <c r="J389" s="15" t="n">
        <v>1</v>
      </c>
      <c r="K389" s="15" t="n">
        <v>62</v>
      </c>
      <c r="L389" s="15" t="n">
        <v>28</v>
      </c>
      <c r="M389" s="15" t="n">
        <v>100</v>
      </c>
      <c r="N389" s="15" t="n">
        <v>0</v>
      </c>
      <c r="O389" s="15" t="n">
        <v>0</v>
      </c>
      <c r="P389" s="16" t="n">
        <v>0</v>
      </c>
      <c r="Q389" s="15" t="n">
        <v>0</v>
      </c>
      <c r="R389" s="15" t="n">
        <v>0</v>
      </c>
      <c r="S389" s="17" t="n">
        <v>0</v>
      </c>
      <c r="T389" s="15" t="s">
        <v>137</v>
      </c>
      <c r="U389" s="15" t="n">
        <v>2026</v>
      </c>
      <c r="V389" s="15" t="s">
        <v>1457</v>
      </c>
      <c r="W389" s="18" t="s">
        <v>139</v>
      </c>
      <c r="X389" s="18" t="s">
        <v>206</v>
      </c>
      <c r="Y389" s="15" t="s">
        <v>600</v>
      </c>
      <c r="Z389" s="15" t="s">
        <v>600</v>
      </c>
      <c r="AA389" s="19" t="str">
        <f aca="false">HYPERLINK("https://www.transfermarkt.com/schnellsuche/ergebnis/schnellsuche?query="&amp;SUBSTITUTE(A389," ","+"),"Search Transfermarkt")</f>
        <v>Search Transfermarkt</v>
      </c>
    </row>
    <row r="390" customFormat="false" ht="23.85" hidden="false" customHeight="false" outlineLevel="0" collapsed="false">
      <c r="A390" s="15" t="s">
        <v>1458</v>
      </c>
      <c r="B390" s="15" t="s">
        <v>86</v>
      </c>
      <c r="C390" s="15" t="s">
        <v>1459</v>
      </c>
      <c r="D390" s="15" t="n">
        <v>2</v>
      </c>
      <c r="E390" s="15" t="s">
        <v>471</v>
      </c>
      <c r="F390" s="15" t="s">
        <v>136</v>
      </c>
      <c r="G390" s="15" t="n">
        <v>23</v>
      </c>
      <c r="H390" s="15" t="n">
        <v>922</v>
      </c>
      <c r="I390" s="15" t="n">
        <v>2</v>
      </c>
      <c r="J390" s="15" t="n">
        <v>1</v>
      </c>
      <c r="K390" s="15" t="n">
        <v>61</v>
      </c>
      <c r="L390" s="15" t="n">
        <v>30</v>
      </c>
      <c r="M390" s="15" t="n">
        <v>88</v>
      </c>
      <c r="N390" s="15" t="n">
        <v>0</v>
      </c>
      <c r="O390" s="15" t="n">
        <v>0</v>
      </c>
      <c r="P390" s="16" t="n">
        <v>0</v>
      </c>
      <c r="Q390" s="15" t="n">
        <v>0</v>
      </c>
      <c r="R390" s="15" t="n">
        <v>0</v>
      </c>
      <c r="S390" s="17" t="n">
        <v>143931</v>
      </c>
      <c r="T390" s="15" t="s">
        <v>164</v>
      </c>
      <c r="U390" s="15" t="n">
        <v>2027</v>
      </c>
      <c r="V390" s="15" t="s">
        <v>472</v>
      </c>
      <c r="W390" s="18" t="s">
        <v>139</v>
      </c>
      <c r="X390" s="18" t="s">
        <v>473</v>
      </c>
      <c r="Y390" s="15" t="s">
        <v>600</v>
      </c>
      <c r="Z390" s="15" t="s">
        <v>600</v>
      </c>
      <c r="AA390" s="19" t="str">
        <f aca="false">HYPERLINK("https://www.transfermarkt.com/schnellsuche/ergebnis/schnellsuche?query="&amp;SUBSTITUTE(A390," ","+"),"Search Transfermarkt")</f>
        <v>Search Transfermarkt</v>
      </c>
    </row>
    <row r="391" customFormat="false" ht="23.85" hidden="false" customHeight="false" outlineLevel="0" collapsed="false">
      <c r="A391" s="15" t="s">
        <v>1460</v>
      </c>
      <c r="B391" s="15" t="s">
        <v>83</v>
      </c>
      <c r="C391" s="15" t="s">
        <v>1248</v>
      </c>
      <c r="D391" s="15" t="n">
        <v>4</v>
      </c>
      <c r="E391" s="15" t="s">
        <v>1461</v>
      </c>
      <c r="F391" s="15" t="s">
        <v>157</v>
      </c>
      <c r="G391" s="15" t="n">
        <v>25</v>
      </c>
      <c r="H391" s="15" t="n">
        <v>1824</v>
      </c>
      <c r="I391" s="15" t="n">
        <v>0</v>
      </c>
      <c r="J391" s="15" t="n">
        <v>0</v>
      </c>
      <c r="K391" s="15" t="n">
        <v>9</v>
      </c>
      <c r="L391" s="15" t="n">
        <v>4</v>
      </c>
      <c r="M391" s="15" t="n">
        <v>9</v>
      </c>
      <c r="N391" s="15" t="n">
        <v>80</v>
      </c>
      <c r="O391" s="15" t="n">
        <v>42</v>
      </c>
      <c r="P391" s="16" t="n">
        <v>72.7</v>
      </c>
      <c r="Q391" s="15" t="n">
        <v>29.7</v>
      </c>
      <c r="R391" s="15" t="n">
        <v>8</v>
      </c>
      <c r="S391" s="17" t="n">
        <v>0</v>
      </c>
      <c r="T391" s="15" t="s">
        <v>137</v>
      </c>
      <c r="U391" s="15" t="n">
        <v>2029</v>
      </c>
      <c r="V391" s="15" t="s">
        <v>1462</v>
      </c>
      <c r="W391" s="18" t="s">
        <v>139</v>
      </c>
      <c r="X391" s="18" t="s">
        <v>379</v>
      </c>
      <c r="Y391" s="15" t="s">
        <v>600</v>
      </c>
      <c r="Z391" s="15" t="s">
        <v>600</v>
      </c>
      <c r="AA391" s="19" t="str">
        <f aca="false">HYPERLINK("https://www.transfermarkt.com/schnellsuche/ergebnis/schnellsuche?query="&amp;SUBSTITUTE(A391," ","+"),"Search Transfermarkt")</f>
        <v>Search Transfermarkt</v>
      </c>
    </row>
    <row r="392" customFormat="false" ht="23.85" hidden="false" customHeight="false" outlineLevel="0" collapsed="false">
      <c r="A392" s="15" t="s">
        <v>1463</v>
      </c>
      <c r="B392" s="15" t="s">
        <v>85</v>
      </c>
      <c r="C392" s="15" t="s">
        <v>1464</v>
      </c>
      <c r="D392" s="15" t="n">
        <v>2</v>
      </c>
      <c r="E392" s="15" t="s">
        <v>1068</v>
      </c>
      <c r="F392" s="15" t="s">
        <v>136</v>
      </c>
      <c r="G392" s="15" t="n">
        <v>17</v>
      </c>
      <c r="H392" s="15" t="n">
        <v>2047</v>
      </c>
      <c r="I392" s="15" t="n">
        <v>1</v>
      </c>
      <c r="J392" s="15" t="n">
        <v>1</v>
      </c>
      <c r="K392" s="15" t="n">
        <v>56</v>
      </c>
      <c r="L392" s="15" t="n">
        <v>27</v>
      </c>
      <c r="M392" s="15" t="n">
        <v>109</v>
      </c>
      <c r="N392" s="15" t="n">
        <v>0</v>
      </c>
      <c r="O392" s="15" t="n">
        <v>0</v>
      </c>
      <c r="P392" s="16" t="n">
        <v>0</v>
      </c>
      <c r="Q392" s="15" t="n">
        <v>0</v>
      </c>
      <c r="R392" s="15" t="n">
        <v>0</v>
      </c>
      <c r="S392" s="17" t="n">
        <v>9919</v>
      </c>
      <c r="T392" s="15" t="s">
        <v>164</v>
      </c>
      <c r="U392" s="15" t="n">
        <v>2028</v>
      </c>
      <c r="V392" s="15" t="s">
        <v>1069</v>
      </c>
      <c r="W392" s="18" t="s">
        <v>147</v>
      </c>
      <c r="X392" s="18" t="s">
        <v>265</v>
      </c>
      <c r="Y392" s="15" t="s">
        <v>600</v>
      </c>
      <c r="Z392" s="15" t="s">
        <v>600</v>
      </c>
      <c r="AA392" s="19" t="str">
        <f aca="false">HYPERLINK("https://www.transfermarkt.com/schnellsuche/ergebnis/schnellsuche?query="&amp;SUBSTITUTE(A392," ","+"),"Search Transfermarkt")</f>
        <v>Search Transfermarkt</v>
      </c>
    </row>
    <row r="393" customFormat="false" ht="23.85" hidden="false" customHeight="false" outlineLevel="0" collapsed="false">
      <c r="A393" s="15" t="s">
        <v>1465</v>
      </c>
      <c r="B393" s="15" t="s">
        <v>103</v>
      </c>
      <c r="C393" s="15" t="s">
        <v>816</v>
      </c>
      <c r="D393" s="15" t="n">
        <v>2</v>
      </c>
      <c r="E393" s="15" t="s">
        <v>1466</v>
      </c>
      <c r="F393" s="15" t="s">
        <v>163</v>
      </c>
      <c r="G393" s="15" t="n">
        <v>22</v>
      </c>
      <c r="H393" s="15" t="n">
        <v>1787</v>
      </c>
      <c r="I393" s="15" t="n">
        <v>20</v>
      </c>
      <c r="J393" s="15" t="n">
        <v>2</v>
      </c>
      <c r="K393" s="15" t="n">
        <v>42</v>
      </c>
      <c r="L393" s="15" t="n">
        <v>90</v>
      </c>
      <c r="M393" s="15" t="n">
        <v>14</v>
      </c>
      <c r="N393" s="15" t="n">
        <v>0</v>
      </c>
      <c r="O393" s="15" t="n">
        <v>0</v>
      </c>
      <c r="P393" s="16" t="n">
        <v>0</v>
      </c>
      <c r="Q393" s="15" t="n">
        <v>0</v>
      </c>
      <c r="R393" s="15" t="n">
        <v>0</v>
      </c>
      <c r="S393" s="17" t="n">
        <v>104334</v>
      </c>
      <c r="T393" s="15" t="s">
        <v>137</v>
      </c>
      <c r="U393" s="15" t="n">
        <v>2026</v>
      </c>
      <c r="V393" s="15" t="s">
        <v>1467</v>
      </c>
      <c r="W393" s="18" t="s">
        <v>139</v>
      </c>
      <c r="X393" s="18" t="s">
        <v>481</v>
      </c>
      <c r="Y393" s="15" t="s">
        <v>600</v>
      </c>
      <c r="Z393" s="15" t="s">
        <v>600</v>
      </c>
      <c r="AA393" s="19" t="str">
        <f aca="false">HYPERLINK("https://www.transfermarkt.com/schnellsuche/ergebnis/schnellsuche?query="&amp;SUBSTITUTE(A393," ","+"),"Search Transfermarkt")</f>
        <v>Search Transfermarkt</v>
      </c>
    </row>
    <row r="394" customFormat="false" ht="23.85" hidden="false" customHeight="false" outlineLevel="0" collapsed="false">
      <c r="A394" s="15" t="s">
        <v>1468</v>
      </c>
      <c r="B394" s="15" t="s">
        <v>75</v>
      </c>
      <c r="C394" s="15" t="s">
        <v>914</v>
      </c>
      <c r="D394" s="15" t="n">
        <v>2</v>
      </c>
      <c r="E394" s="15" t="s">
        <v>1379</v>
      </c>
      <c r="F394" s="15" t="s">
        <v>136</v>
      </c>
      <c r="G394" s="15" t="n">
        <v>19</v>
      </c>
      <c r="H394" s="15" t="n">
        <v>2572</v>
      </c>
      <c r="I394" s="15" t="n">
        <v>1</v>
      </c>
      <c r="J394" s="15" t="n">
        <v>2</v>
      </c>
      <c r="K394" s="15" t="n">
        <v>53</v>
      </c>
      <c r="L394" s="15" t="n">
        <v>37</v>
      </c>
      <c r="M394" s="15" t="n">
        <v>84</v>
      </c>
      <c r="N394" s="15" t="n">
        <v>0</v>
      </c>
      <c r="O394" s="15" t="n">
        <v>0</v>
      </c>
      <c r="P394" s="16" t="n">
        <v>0</v>
      </c>
      <c r="Q394" s="15" t="n">
        <v>0</v>
      </c>
      <c r="R394" s="15" t="n">
        <v>0</v>
      </c>
      <c r="S394" s="17" t="n">
        <v>129785</v>
      </c>
      <c r="T394" s="15" t="s">
        <v>164</v>
      </c>
      <c r="U394" s="15" t="n">
        <v>2029</v>
      </c>
      <c r="V394" s="15" t="s">
        <v>1380</v>
      </c>
      <c r="W394" s="18" t="s">
        <v>139</v>
      </c>
      <c r="X394" s="18" t="s">
        <v>197</v>
      </c>
      <c r="Y394" s="15" t="s">
        <v>600</v>
      </c>
      <c r="Z394" s="15" t="s">
        <v>600</v>
      </c>
      <c r="AA394" s="19" t="str">
        <f aca="false">HYPERLINK("https://www.transfermarkt.com/schnellsuche/ergebnis/schnellsuche?query="&amp;SUBSTITUTE(A394," ","+"),"Search Transfermarkt")</f>
        <v>Search Transfermarkt</v>
      </c>
    </row>
    <row r="395" customFormat="false" ht="23.85" hidden="false" customHeight="false" outlineLevel="0" collapsed="false">
      <c r="A395" s="15" t="s">
        <v>1469</v>
      </c>
      <c r="B395" s="15" t="s">
        <v>94</v>
      </c>
      <c r="C395" s="15" t="s">
        <v>223</v>
      </c>
      <c r="D395" s="15" t="n">
        <v>4</v>
      </c>
      <c r="E395" s="15" t="s">
        <v>1470</v>
      </c>
      <c r="F395" s="15" t="s">
        <v>136</v>
      </c>
      <c r="G395" s="15" t="n">
        <v>25</v>
      </c>
      <c r="H395" s="15" t="n">
        <v>1339</v>
      </c>
      <c r="I395" s="15" t="n">
        <v>2</v>
      </c>
      <c r="J395" s="15" t="n">
        <v>4</v>
      </c>
      <c r="K395" s="15" t="n">
        <v>68</v>
      </c>
      <c r="L395" s="15" t="n">
        <v>39</v>
      </c>
      <c r="M395" s="15" t="n">
        <v>101</v>
      </c>
      <c r="N395" s="15" t="n">
        <v>0</v>
      </c>
      <c r="O395" s="15" t="n">
        <v>0</v>
      </c>
      <c r="P395" s="16" t="n">
        <v>0</v>
      </c>
      <c r="Q395" s="15" t="n">
        <v>0</v>
      </c>
      <c r="R395" s="15" t="n">
        <v>0</v>
      </c>
      <c r="S395" s="17" t="n">
        <v>0</v>
      </c>
      <c r="T395" s="15" t="s">
        <v>186</v>
      </c>
      <c r="U395" s="15" t="n">
        <v>2029</v>
      </c>
      <c r="V395" s="15" t="s">
        <v>1471</v>
      </c>
      <c r="W395" s="18" t="s">
        <v>188</v>
      </c>
      <c r="X395" s="18" t="s">
        <v>226</v>
      </c>
      <c r="Y395" s="15" t="s">
        <v>600</v>
      </c>
      <c r="Z395" s="15" t="s">
        <v>600</v>
      </c>
      <c r="AA395" s="19" t="str">
        <f aca="false">HYPERLINK("https://www.transfermarkt.com/schnellsuche/ergebnis/schnellsuche?query="&amp;SUBSTITUTE(A395," ","+"),"Search Transfermarkt")</f>
        <v>Search Transfermarkt</v>
      </c>
    </row>
    <row r="396" customFormat="false" ht="23.85" hidden="false" customHeight="false" outlineLevel="0" collapsed="false">
      <c r="A396" s="15" t="s">
        <v>1472</v>
      </c>
      <c r="B396" s="15" t="s">
        <v>76</v>
      </c>
      <c r="C396" s="15" t="s">
        <v>1473</v>
      </c>
      <c r="D396" s="15" t="n">
        <v>4</v>
      </c>
      <c r="E396" s="15" t="s">
        <v>1474</v>
      </c>
      <c r="F396" s="15" t="s">
        <v>170</v>
      </c>
      <c r="G396" s="15" t="n">
        <v>17</v>
      </c>
      <c r="H396" s="15" t="n">
        <v>1513</v>
      </c>
      <c r="I396" s="15" t="n">
        <v>8</v>
      </c>
      <c r="J396" s="15" t="n">
        <v>5</v>
      </c>
      <c r="K396" s="15" t="n">
        <v>112</v>
      </c>
      <c r="L396" s="15" t="n">
        <v>55</v>
      </c>
      <c r="M396" s="15" t="n">
        <v>45</v>
      </c>
      <c r="N396" s="15" t="n">
        <v>0</v>
      </c>
      <c r="O396" s="15" t="n">
        <v>0</v>
      </c>
      <c r="P396" s="16" t="n">
        <v>0</v>
      </c>
      <c r="Q396" s="15" t="n">
        <v>0</v>
      </c>
      <c r="R396" s="15" t="n">
        <v>0</v>
      </c>
      <c r="S396" s="17" t="n">
        <v>22550</v>
      </c>
      <c r="T396" s="15" t="s">
        <v>186</v>
      </c>
      <c r="U396" s="15" t="n">
        <v>2028</v>
      </c>
      <c r="V396" s="15" t="s">
        <v>1475</v>
      </c>
      <c r="W396" s="18" t="s">
        <v>147</v>
      </c>
      <c r="X396" s="18" t="s">
        <v>241</v>
      </c>
      <c r="Y396" s="15" t="s">
        <v>600</v>
      </c>
      <c r="Z396" s="15" t="s">
        <v>600</v>
      </c>
      <c r="AA396" s="19" t="str">
        <f aca="false">HYPERLINK("https://www.transfermarkt.com/schnellsuche/ergebnis/schnellsuche?query="&amp;SUBSTITUTE(A396," ","+"),"Search Transfermarkt")</f>
        <v>Search Transfermarkt</v>
      </c>
    </row>
    <row r="397" customFormat="false" ht="23.85" hidden="false" customHeight="false" outlineLevel="0" collapsed="false">
      <c r="A397" s="15" t="s">
        <v>1476</v>
      </c>
      <c r="B397" s="15" t="s">
        <v>82</v>
      </c>
      <c r="C397" s="15" t="s">
        <v>430</v>
      </c>
      <c r="D397" s="15" t="n">
        <v>2</v>
      </c>
      <c r="E397" s="15" t="s">
        <v>1477</v>
      </c>
      <c r="F397" s="15" t="s">
        <v>136</v>
      </c>
      <c r="G397" s="15" t="n">
        <v>24</v>
      </c>
      <c r="H397" s="15" t="n">
        <v>1024</v>
      </c>
      <c r="I397" s="15" t="n">
        <v>3</v>
      </c>
      <c r="J397" s="15" t="n">
        <v>0</v>
      </c>
      <c r="K397" s="15" t="n">
        <v>49</v>
      </c>
      <c r="L397" s="15" t="n">
        <v>42</v>
      </c>
      <c r="M397" s="15" t="n">
        <v>127</v>
      </c>
      <c r="N397" s="15" t="n">
        <v>0</v>
      </c>
      <c r="O397" s="15" t="n">
        <v>0</v>
      </c>
      <c r="P397" s="16" t="n">
        <v>0</v>
      </c>
      <c r="Q397" s="15" t="n">
        <v>0</v>
      </c>
      <c r="R397" s="15" t="n">
        <v>0</v>
      </c>
      <c r="S397" s="17" t="n">
        <v>0</v>
      </c>
      <c r="T397" s="15" t="s">
        <v>137</v>
      </c>
      <c r="U397" s="15" t="n">
        <v>2026</v>
      </c>
      <c r="V397" s="15" t="s">
        <v>1478</v>
      </c>
      <c r="W397" s="18" t="s">
        <v>139</v>
      </c>
      <c r="X397" s="18" t="s">
        <v>166</v>
      </c>
      <c r="Y397" s="15" t="s">
        <v>600</v>
      </c>
      <c r="Z397" s="15" t="s">
        <v>600</v>
      </c>
      <c r="AA397" s="19" t="str">
        <f aca="false">HYPERLINK("https://www.transfermarkt.com/schnellsuche/ergebnis/schnellsuche?query="&amp;SUBSTITUTE(A397," ","+"),"Search Transfermarkt")</f>
        <v>Search Transfermarkt</v>
      </c>
    </row>
    <row r="398" customFormat="false" ht="23.85" hidden="false" customHeight="false" outlineLevel="0" collapsed="false">
      <c r="A398" s="15" t="s">
        <v>1479</v>
      </c>
      <c r="B398" s="15" t="s">
        <v>71</v>
      </c>
      <c r="C398" s="15" t="s">
        <v>174</v>
      </c>
      <c r="D398" s="15" t="n">
        <v>2</v>
      </c>
      <c r="E398" s="15" t="s">
        <v>1480</v>
      </c>
      <c r="F398" s="15" t="s">
        <v>157</v>
      </c>
      <c r="G398" s="15" t="n">
        <v>23</v>
      </c>
      <c r="H398" s="15" t="n">
        <v>1682</v>
      </c>
      <c r="I398" s="15" t="n">
        <v>0</v>
      </c>
      <c r="J398" s="15" t="n">
        <v>0</v>
      </c>
      <c r="K398" s="15" t="n">
        <v>19</v>
      </c>
      <c r="L398" s="15" t="n">
        <v>4</v>
      </c>
      <c r="M398" s="15" t="n">
        <v>3</v>
      </c>
      <c r="N398" s="15" t="n">
        <v>41</v>
      </c>
      <c r="O398" s="15" t="n">
        <v>36</v>
      </c>
      <c r="P398" s="16" t="n">
        <v>55.4</v>
      </c>
      <c r="Q398" s="15" t="n">
        <v>19.5</v>
      </c>
      <c r="R398" s="15" t="n">
        <v>7</v>
      </c>
      <c r="S398" s="17" t="n">
        <v>121171</v>
      </c>
      <c r="T398" s="15" t="s">
        <v>164</v>
      </c>
      <c r="U398" s="15" t="n">
        <v>2028</v>
      </c>
      <c r="V398" s="15" t="s">
        <v>1481</v>
      </c>
      <c r="W398" s="18" t="s">
        <v>139</v>
      </c>
      <c r="X398" s="18" t="s">
        <v>177</v>
      </c>
      <c r="Y398" s="15" t="s">
        <v>600</v>
      </c>
      <c r="Z398" s="15" t="s">
        <v>600</v>
      </c>
      <c r="AA398" s="19" t="str">
        <f aca="false">HYPERLINK("https://www.transfermarkt.com/schnellsuche/ergebnis/schnellsuche?query="&amp;SUBSTITUTE(A398," ","+"),"Search Transfermarkt")</f>
        <v>Search Transfermarkt</v>
      </c>
    </row>
    <row r="399" customFormat="false" ht="23.85" hidden="false" customHeight="false" outlineLevel="0" collapsed="false">
      <c r="A399" s="15" t="s">
        <v>1482</v>
      </c>
      <c r="B399" s="15" t="s">
        <v>88</v>
      </c>
      <c r="C399" s="15" t="s">
        <v>563</v>
      </c>
      <c r="D399" s="15" t="n">
        <v>2</v>
      </c>
      <c r="E399" s="15" t="s">
        <v>1483</v>
      </c>
      <c r="F399" s="15" t="s">
        <v>157</v>
      </c>
      <c r="G399" s="15" t="n">
        <v>18</v>
      </c>
      <c r="H399" s="15" t="n">
        <v>884</v>
      </c>
      <c r="I399" s="15" t="n">
        <v>0</v>
      </c>
      <c r="J399" s="15" t="n">
        <v>0</v>
      </c>
      <c r="K399" s="15" t="n">
        <v>6</v>
      </c>
      <c r="L399" s="15" t="n">
        <v>6</v>
      </c>
      <c r="M399" s="15" t="n">
        <v>10</v>
      </c>
      <c r="N399" s="15" t="n">
        <v>23</v>
      </c>
      <c r="O399" s="15" t="n">
        <v>17</v>
      </c>
      <c r="P399" s="16" t="n">
        <v>83.4</v>
      </c>
      <c r="Q399" s="15" t="n">
        <v>2.1</v>
      </c>
      <c r="R399" s="15" t="n">
        <v>2</v>
      </c>
      <c r="S399" s="17" t="n">
        <v>77670</v>
      </c>
      <c r="T399" s="15" t="s">
        <v>186</v>
      </c>
      <c r="U399" s="15" t="n">
        <v>2027</v>
      </c>
      <c r="V399" s="15" t="s">
        <v>1484</v>
      </c>
      <c r="W399" s="18" t="s">
        <v>188</v>
      </c>
      <c r="X399" s="18" t="s">
        <v>320</v>
      </c>
      <c r="Y399" s="15" t="s">
        <v>600</v>
      </c>
      <c r="Z399" s="15" t="s">
        <v>600</v>
      </c>
      <c r="AA399" s="19" t="str">
        <f aca="false">HYPERLINK("https://www.transfermarkt.com/schnellsuche/ergebnis/schnellsuche?query="&amp;SUBSTITUTE(A399," ","+"),"Search Transfermarkt")</f>
        <v>Search Transfermarkt</v>
      </c>
    </row>
    <row r="400" customFormat="false" ht="23.85" hidden="false" customHeight="false" outlineLevel="0" collapsed="false">
      <c r="A400" s="15" t="s">
        <v>1485</v>
      </c>
      <c r="B400" s="15" t="s">
        <v>104</v>
      </c>
      <c r="C400" s="15" t="s">
        <v>271</v>
      </c>
      <c r="D400" s="15" t="n">
        <v>3</v>
      </c>
      <c r="E400" s="15" t="s">
        <v>1486</v>
      </c>
      <c r="F400" s="15" t="s">
        <v>136</v>
      </c>
      <c r="G400" s="15" t="n">
        <v>17</v>
      </c>
      <c r="H400" s="15" t="n">
        <v>800</v>
      </c>
      <c r="I400" s="15" t="n">
        <v>3</v>
      </c>
      <c r="J400" s="15" t="n">
        <v>1</v>
      </c>
      <c r="K400" s="15" t="n">
        <v>64</v>
      </c>
      <c r="L400" s="15" t="n">
        <v>36</v>
      </c>
      <c r="M400" s="15" t="n">
        <v>91</v>
      </c>
      <c r="N400" s="15" t="n">
        <v>0</v>
      </c>
      <c r="O400" s="15" t="n">
        <v>0</v>
      </c>
      <c r="P400" s="16" t="n">
        <v>0</v>
      </c>
      <c r="Q400" s="15" t="n">
        <v>0</v>
      </c>
      <c r="R400" s="15" t="n">
        <v>0</v>
      </c>
      <c r="S400" s="17" t="n">
        <v>0</v>
      </c>
      <c r="T400" s="15" t="s">
        <v>164</v>
      </c>
      <c r="U400" s="15" t="n">
        <v>2026</v>
      </c>
      <c r="V400" s="15" t="s">
        <v>1487</v>
      </c>
      <c r="W400" s="18" t="s">
        <v>147</v>
      </c>
      <c r="X400" s="18" t="s">
        <v>274</v>
      </c>
      <c r="Y400" s="15" t="s">
        <v>600</v>
      </c>
      <c r="Z400" s="15" t="s">
        <v>600</v>
      </c>
      <c r="AA400" s="19" t="str">
        <f aca="false">HYPERLINK("https://www.transfermarkt.com/schnellsuche/ergebnis/schnellsuche?query="&amp;SUBSTITUTE(A400," ","+"),"Search Transfermarkt")</f>
        <v>Search Transfermarkt</v>
      </c>
    </row>
    <row r="401" customFormat="false" ht="23.85" hidden="false" customHeight="false" outlineLevel="0" collapsed="false">
      <c r="A401" s="15" t="s">
        <v>1488</v>
      </c>
      <c r="B401" s="15" t="s">
        <v>85</v>
      </c>
      <c r="C401" s="15" t="s">
        <v>651</v>
      </c>
      <c r="D401" s="15" t="n">
        <v>2</v>
      </c>
      <c r="E401" s="15" t="s">
        <v>1489</v>
      </c>
      <c r="F401" s="15" t="s">
        <v>163</v>
      </c>
      <c r="G401" s="15" t="n">
        <v>18</v>
      </c>
      <c r="H401" s="15" t="n">
        <v>1492</v>
      </c>
      <c r="I401" s="15" t="n">
        <v>7</v>
      </c>
      <c r="J401" s="15" t="n">
        <v>3</v>
      </c>
      <c r="K401" s="15" t="n">
        <v>32</v>
      </c>
      <c r="L401" s="15" t="n">
        <v>73</v>
      </c>
      <c r="M401" s="15" t="n">
        <v>7</v>
      </c>
      <c r="N401" s="15" t="n">
        <v>0</v>
      </c>
      <c r="O401" s="15" t="n">
        <v>0</v>
      </c>
      <c r="P401" s="16" t="n">
        <v>0</v>
      </c>
      <c r="Q401" s="15" t="n">
        <v>0</v>
      </c>
      <c r="R401" s="15" t="n">
        <v>0</v>
      </c>
      <c r="S401" s="17" t="n">
        <v>144420</v>
      </c>
      <c r="T401" s="15" t="s">
        <v>137</v>
      </c>
      <c r="U401" s="15" t="n">
        <v>2028</v>
      </c>
      <c r="V401" s="15" t="s">
        <v>1490</v>
      </c>
      <c r="W401" s="18" t="s">
        <v>139</v>
      </c>
      <c r="X401" s="18" t="s">
        <v>265</v>
      </c>
      <c r="Y401" s="15" t="s">
        <v>600</v>
      </c>
      <c r="Z401" s="15" t="s">
        <v>600</v>
      </c>
      <c r="AA401" s="19" t="str">
        <f aca="false">HYPERLINK("https://www.transfermarkt.com/schnellsuche/ergebnis/schnellsuche?query="&amp;SUBSTITUTE(A401," ","+"),"Search Transfermarkt")</f>
        <v>Search Transfermarkt</v>
      </c>
    </row>
    <row r="402" customFormat="false" ht="23.85" hidden="false" customHeight="false" outlineLevel="0" collapsed="false">
      <c r="A402" s="15" t="s">
        <v>1491</v>
      </c>
      <c r="B402" s="15" t="s">
        <v>85</v>
      </c>
      <c r="C402" s="15" t="s">
        <v>1464</v>
      </c>
      <c r="D402" s="15" t="n">
        <v>2</v>
      </c>
      <c r="E402" s="15" t="s">
        <v>1492</v>
      </c>
      <c r="F402" s="15" t="s">
        <v>157</v>
      </c>
      <c r="G402" s="15" t="n">
        <v>19</v>
      </c>
      <c r="H402" s="15" t="n">
        <v>2057</v>
      </c>
      <c r="I402" s="15" t="n">
        <v>0</v>
      </c>
      <c r="J402" s="15" t="n">
        <v>0</v>
      </c>
      <c r="K402" s="15" t="n">
        <v>16</v>
      </c>
      <c r="L402" s="15" t="n">
        <v>6</v>
      </c>
      <c r="M402" s="15" t="n">
        <v>3</v>
      </c>
      <c r="N402" s="15" t="n">
        <v>91</v>
      </c>
      <c r="O402" s="15" t="n">
        <v>32</v>
      </c>
      <c r="P402" s="16" t="n">
        <v>62.1</v>
      </c>
      <c r="Q402" s="15" t="n">
        <v>25.9</v>
      </c>
      <c r="R402" s="15" t="n">
        <v>4</v>
      </c>
      <c r="S402" s="17" t="n">
        <v>61860</v>
      </c>
      <c r="T402" s="15" t="s">
        <v>186</v>
      </c>
      <c r="U402" s="15" t="n">
        <v>2027</v>
      </c>
      <c r="V402" s="15" t="s">
        <v>1493</v>
      </c>
      <c r="W402" s="18" t="s">
        <v>188</v>
      </c>
      <c r="X402" s="18" t="s">
        <v>265</v>
      </c>
      <c r="Y402" s="15" t="s">
        <v>600</v>
      </c>
      <c r="Z402" s="15" t="s">
        <v>600</v>
      </c>
      <c r="AA402" s="19" t="str">
        <f aca="false">HYPERLINK("https://www.transfermarkt.com/schnellsuche/ergebnis/schnellsuche?query="&amp;SUBSTITUTE(A402," ","+"),"Search Transfermarkt")</f>
        <v>Search Transfermarkt</v>
      </c>
    </row>
    <row r="403" customFormat="false" ht="23.85" hidden="false" customHeight="false" outlineLevel="0" collapsed="false">
      <c r="A403" s="15" t="s">
        <v>1494</v>
      </c>
      <c r="B403" s="15" t="s">
        <v>68</v>
      </c>
      <c r="C403" s="15" t="s">
        <v>1337</v>
      </c>
      <c r="D403" s="15" t="n">
        <v>3</v>
      </c>
      <c r="E403" s="15" t="s">
        <v>1495</v>
      </c>
      <c r="F403" s="15" t="s">
        <v>157</v>
      </c>
      <c r="G403" s="15" t="n">
        <v>25</v>
      </c>
      <c r="H403" s="15" t="n">
        <v>2039</v>
      </c>
      <c r="I403" s="15" t="n">
        <v>0</v>
      </c>
      <c r="J403" s="15" t="n">
        <v>0</v>
      </c>
      <c r="K403" s="15" t="n">
        <v>8</v>
      </c>
      <c r="L403" s="15" t="n">
        <v>5</v>
      </c>
      <c r="M403" s="15" t="n">
        <v>10</v>
      </c>
      <c r="N403" s="15" t="n">
        <v>56</v>
      </c>
      <c r="O403" s="15" t="n">
        <v>40</v>
      </c>
      <c r="P403" s="16" t="n">
        <v>79.6</v>
      </c>
      <c r="Q403" s="15" t="n">
        <v>16.1</v>
      </c>
      <c r="R403" s="15" t="n">
        <v>10</v>
      </c>
      <c r="S403" s="17" t="n">
        <v>23172</v>
      </c>
      <c r="T403" s="15" t="s">
        <v>164</v>
      </c>
      <c r="U403" s="15" t="n">
        <v>2026</v>
      </c>
      <c r="V403" s="15" t="s">
        <v>1496</v>
      </c>
      <c r="W403" s="18" t="s">
        <v>139</v>
      </c>
      <c r="X403" s="18" t="s">
        <v>153</v>
      </c>
      <c r="Y403" s="15" t="s">
        <v>600</v>
      </c>
      <c r="Z403" s="15" t="s">
        <v>600</v>
      </c>
      <c r="AA403" s="19" t="str">
        <f aca="false">HYPERLINK("https://www.transfermarkt.com/schnellsuche/ergebnis/schnellsuche?query="&amp;SUBSTITUTE(A403," ","+"),"Search Transfermarkt")</f>
        <v>Search Transfermarkt</v>
      </c>
    </row>
    <row r="404" customFormat="false" ht="23.85" hidden="false" customHeight="false" outlineLevel="0" collapsed="false">
      <c r="A404" s="15" t="s">
        <v>1497</v>
      </c>
      <c r="B404" s="15" t="s">
        <v>76</v>
      </c>
      <c r="C404" s="15" t="s">
        <v>1498</v>
      </c>
      <c r="D404" s="15" t="n">
        <v>3</v>
      </c>
      <c r="E404" s="15" t="s">
        <v>1499</v>
      </c>
      <c r="F404" s="15" t="s">
        <v>136</v>
      </c>
      <c r="G404" s="15" t="n">
        <v>18</v>
      </c>
      <c r="H404" s="15" t="n">
        <v>1121</v>
      </c>
      <c r="I404" s="15" t="n">
        <v>2</v>
      </c>
      <c r="J404" s="15" t="n">
        <v>0</v>
      </c>
      <c r="K404" s="15" t="n">
        <v>56</v>
      </c>
      <c r="L404" s="15" t="n">
        <v>36</v>
      </c>
      <c r="M404" s="15" t="n">
        <v>89</v>
      </c>
      <c r="N404" s="15" t="n">
        <v>0</v>
      </c>
      <c r="O404" s="15" t="n">
        <v>0</v>
      </c>
      <c r="P404" s="16" t="n">
        <v>0</v>
      </c>
      <c r="Q404" s="15" t="n">
        <v>0</v>
      </c>
      <c r="R404" s="15" t="n">
        <v>0</v>
      </c>
      <c r="S404" s="17" t="n">
        <v>127385</v>
      </c>
      <c r="T404" s="15" t="s">
        <v>186</v>
      </c>
      <c r="U404" s="15" t="n">
        <v>2028</v>
      </c>
      <c r="V404" s="15" t="s">
        <v>1500</v>
      </c>
      <c r="W404" s="18" t="s">
        <v>188</v>
      </c>
      <c r="X404" s="18" t="s">
        <v>241</v>
      </c>
      <c r="Y404" s="15" t="s">
        <v>600</v>
      </c>
      <c r="Z404" s="15" t="s">
        <v>600</v>
      </c>
      <c r="AA404" s="19" t="str">
        <f aca="false">HYPERLINK("https://www.transfermarkt.com/schnellsuche/ergebnis/schnellsuche?query="&amp;SUBSTITUTE(A404," ","+"),"Search Transfermarkt")</f>
        <v>Search Transfermarkt</v>
      </c>
    </row>
    <row r="405" customFormat="false" ht="23.85" hidden="false" customHeight="false" outlineLevel="0" collapsed="false">
      <c r="A405" s="15" t="s">
        <v>1501</v>
      </c>
      <c r="B405" s="15" t="s">
        <v>94</v>
      </c>
      <c r="C405" s="15" t="s">
        <v>351</v>
      </c>
      <c r="D405" s="15" t="n">
        <v>4</v>
      </c>
      <c r="E405" s="15" t="s">
        <v>352</v>
      </c>
      <c r="F405" s="15" t="s">
        <v>163</v>
      </c>
      <c r="G405" s="15" t="n">
        <v>22</v>
      </c>
      <c r="H405" s="15" t="n">
        <v>2663</v>
      </c>
      <c r="I405" s="15" t="n">
        <v>15</v>
      </c>
      <c r="J405" s="15" t="n">
        <v>2</v>
      </c>
      <c r="K405" s="15" t="n">
        <v>68</v>
      </c>
      <c r="L405" s="15" t="n">
        <v>60</v>
      </c>
      <c r="M405" s="15" t="n">
        <v>5</v>
      </c>
      <c r="N405" s="15" t="n">
        <v>0</v>
      </c>
      <c r="O405" s="15" t="n">
        <v>0</v>
      </c>
      <c r="P405" s="16" t="n">
        <v>0</v>
      </c>
      <c r="Q405" s="15" t="n">
        <v>0</v>
      </c>
      <c r="R405" s="15" t="n">
        <v>0</v>
      </c>
      <c r="S405" s="17" t="n">
        <v>25906</v>
      </c>
      <c r="T405" s="15" t="s">
        <v>137</v>
      </c>
      <c r="U405" s="15" t="n">
        <v>2027</v>
      </c>
      <c r="V405" s="15" t="s">
        <v>353</v>
      </c>
      <c r="W405" s="18" t="s">
        <v>139</v>
      </c>
      <c r="X405" s="18" t="s">
        <v>226</v>
      </c>
      <c r="Y405" s="15" t="s">
        <v>600</v>
      </c>
      <c r="Z405" s="15" t="s">
        <v>600</v>
      </c>
      <c r="AA405" s="19" t="str">
        <f aca="false">HYPERLINK("https://www.transfermarkt.com/schnellsuche/ergebnis/schnellsuche?query="&amp;SUBSTITUTE(A405," ","+"),"Search Transfermarkt")</f>
        <v>Search Transfermarkt</v>
      </c>
    </row>
    <row r="406" customFormat="false" ht="23.85" hidden="false" customHeight="false" outlineLevel="0" collapsed="false">
      <c r="A406" s="15" t="s">
        <v>1502</v>
      </c>
      <c r="B406" s="15" t="s">
        <v>81</v>
      </c>
      <c r="C406" s="15" t="s">
        <v>455</v>
      </c>
      <c r="D406" s="15" t="n">
        <v>3</v>
      </c>
      <c r="E406" s="15" t="s">
        <v>1503</v>
      </c>
      <c r="F406" s="15" t="s">
        <v>170</v>
      </c>
      <c r="G406" s="15" t="n">
        <v>19</v>
      </c>
      <c r="H406" s="15" t="n">
        <v>1016</v>
      </c>
      <c r="I406" s="15" t="n">
        <v>9</v>
      </c>
      <c r="J406" s="15" t="n">
        <v>9</v>
      </c>
      <c r="K406" s="15" t="n">
        <v>112</v>
      </c>
      <c r="L406" s="15" t="n">
        <v>70</v>
      </c>
      <c r="M406" s="15" t="n">
        <v>38</v>
      </c>
      <c r="N406" s="15" t="n">
        <v>0</v>
      </c>
      <c r="O406" s="15" t="n">
        <v>0</v>
      </c>
      <c r="P406" s="16" t="n">
        <v>0</v>
      </c>
      <c r="Q406" s="15" t="n">
        <v>0</v>
      </c>
      <c r="R406" s="15" t="n">
        <v>0</v>
      </c>
      <c r="S406" s="17" t="n">
        <v>0</v>
      </c>
      <c r="T406" s="15" t="s">
        <v>164</v>
      </c>
      <c r="U406" s="15" t="n">
        <v>2028</v>
      </c>
      <c r="V406" s="15" t="s">
        <v>1504</v>
      </c>
      <c r="W406" s="18" t="s">
        <v>139</v>
      </c>
      <c r="X406" s="18" t="s">
        <v>407</v>
      </c>
      <c r="Y406" s="15" t="s">
        <v>600</v>
      </c>
      <c r="Z406" s="15" t="s">
        <v>600</v>
      </c>
      <c r="AA406" s="19" t="str">
        <f aca="false">HYPERLINK("https://www.transfermarkt.com/schnellsuche/ergebnis/schnellsuche?query="&amp;SUBSTITUTE(A406," ","+"),"Search Transfermarkt")</f>
        <v>Search Transfermarkt</v>
      </c>
    </row>
    <row r="407" customFormat="false" ht="23.85" hidden="false" customHeight="false" outlineLevel="0" collapsed="false">
      <c r="A407" s="15" t="s">
        <v>1505</v>
      </c>
      <c r="B407" s="15" t="s">
        <v>87</v>
      </c>
      <c r="C407" s="15" t="s">
        <v>364</v>
      </c>
      <c r="D407" s="15" t="n">
        <v>4</v>
      </c>
      <c r="E407" s="15" t="s">
        <v>1506</v>
      </c>
      <c r="F407" s="15" t="s">
        <v>170</v>
      </c>
      <c r="G407" s="15" t="n">
        <v>24</v>
      </c>
      <c r="H407" s="15" t="n">
        <v>2518</v>
      </c>
      <c r="I407" s="15" t="n">
        <v>5</v>
      </c>
      <c r="J407" s="15" t="n">
        <v>12</v>
      </c>
      <c r="K407" s="15" t="n">
        <v>128</v>
      </c>
      <c r="L407" s="15" t="n">
        <v>55</v>
      </c>
      <c r="M407" s="15" t="n">
        <v>46</v>
      </c>
      <c r="N407" s="15" t="n">
        <v>0</v>
      </c>
      <c r="O407" s="15" t="n">
        <v>0</v>
      </c>
      <c r="P407" s="16" t="n">
        <v>0</v>
      </c>
      <c r="Q407" s="15" t="n">
        <v>0</v>
      </c>
      <c r="R407" s="15" t="n">
        <v>0</v>
      </c>
      <c r="S407" s="17" t="n">
        <v>43295</v>
      </c>
      <c r="T407" s="15" t="s">
        <v>137</v>
      </c>
      <c r="U407" s="15" t="n">
        <v>2028</v>
      </c>
      <c r="V407" s="15" t="s">
        <v>1507</v>
      </c>
      <c r="W407" s="18" t="s">
        <v>139</v>
      </c>
      <c r="X407" s="18" t="s">
        <v>341</v>
      </c>
      <c r="Y407" s="15" t="s">
        <v>600</v>
      </c>
      <c r="Z407" s="15" t="s">
        <v>600</v>
      </c>
      <c r="AA407" s="19" t="str">
        <f aca="false">HYPERLINK("https://www.transfermarkt.com/schnellsuche/ergebnis/schnellsuche?query="&amp;SUBSTITUTE(A407," ","+"),"Search Transfermarkt")</f>
        <v>Search Transfermarkt</v>
      </c>
    </row>
    <row r="408" customFormat="false" ht="23.85" hidden="false" customHeight="false" outlineLevel="0" collapsed="false">
      <c r="A408" s="15" t="s">
        <v>1508</v>
      </c>
      <c r="B408" s="15" t="s">
        <v>85</v>
      </c>
      <c r="C408" s="15" t="s">
        <v>262</v>
      </c>
      <c r="D408" s="15" t="n">
        <v>3</v>
      </c>
      <c r="E408" s="15" t="s">
        <v>1509</v>
      </c>
      <c r="F408" s="15" t="s">
        <v>170</v>
      </c>
      <c r="G408" s="15" t="n">
        <v>22</v>
      </c>
      <c r="H408" s="15" t="n">
        <v>1123</v>
      </c>
      <c r="I408" s="15" t="n">
        <v>9</v>
      </c>
      <c r="J408" s="15" t="n">
        <v>12</v>
      </c>
      <c r="K408" s="15" t="n">
        <v>111</v>
      </c>
      <c r="L408" s="15" t="n">
        <v>65</v>
      </c>
      <c r="M408" s="15" t="n">
        <v>35</v>
      </c>
      <c r="N408" s="15" t="n">
        <v>0</v>
      </c>
      <c r="O408" s="15" t="n">
        <v>0</v>
      </c>
      <c r="P408" s="16" t="n">
        <v>0</v>
      </c>
      <c r="Q408" s="15" t="n">
        <v>0</v>
      </c>
      <c r="R408" s="15" t="n">
        <v>0</v>
      </c>
      <c r="S408" s="17" t="n">
        <v>48080</v>
      </c>
      <c r="T408" s="15" t="s">
        <v>137</v>
      </c>
      <c r="U408" s="15" t="n">
        <v>2028</v>
      </c>
      <c r="V408" s="15" t="s">
        <v>1510</v>
      </c>
      <c r="W408" s="18" t="s">
        <v>139</v>
      </c>
      <c r="X408" s="18" t="s">
        <v>265</v>
      </c>
      <c r="Y408" s="15" t="s">
        <v>600</v>
      </c>
      <c r="Z408" s="15" t="s">
        <v>600</v>
      </c>
      <c r="AA408" s="19" t="str">
        <f aca="false">HYPERLINK("https://www.transfermarkt.com/schnellsuche/ergebnis/schnellsuche?query="&amp;SUBSTITUTE(A408," ","+"),"Search Transfermarkt")</f>
        <v>Search Transfermarkt</v>
      </c>
    </row>
    <row r="409" customFormat="false" ht="23.85" hidden="false" customHeight="false" outlineLevel="0" collapsed="false">
      <c r="A409" s="15" t="s">
        <v>1511</v>
      </c>
      <c r="B409" s="15" t="s">
        <v>90</v>
      </c>
      <c r="C409" s="15" t="s">
        <v>1395</v>
      </c>
      <c r="D409" s="15" t="n">
        <v>2</v>
      </c>
      <c r="E409" s="15" t="s">
        <v>853</v>
      </c>
      <c r="F409" s="15" t="s">
        <v>170</v>
      </c>
      <c r="G409" s="15" t="n">
        <v>24</v>
      </c>
      <c r="H409" s="15" t="n">
        <v>1509</v>
      </c>
      <c r="I409" s="15" t="n">
        <v>2</v>
      </c>
      <c r="J409" s="15" t="n">
        <v>11</v>
      </c>
      <c r="K409" s="15" t="n">
        <v>164</v>
      </c>
      <c r="L409" s="15" t="n">
        <v>71</v>
      </c>
      <c r="M409" s="15" t="n">
        <v>46</v>
      </c>
      <c r="N409" s="15" t="n">
        <v>0</v>
      </c>
      <c r="O409" s="15" t="n">
        <v>0</v>
      </c>
      <c r="P409" s="16" t="n">
        <v>0</v>
      </c>
      <c r="Q409" s="15" t="n">
        <v>0</v>
      </c>
      <c r="R409" s="15" t="n">
        <v>0</v>
      </c>
      <c r="S409" s="17" t="n">
        <v>80650</v>
      </c>
      <c r="T409" s="15" t="s">
        <v>164</v>
      </c>
      <c r="U409" s="15" t="n">
        <v>2029</v>
      </c>
      <c r="V409" s="15" t="s">
        <v>854</v>
      </c>
      <c r="W409" s="18" t="s">
        <v>139</v>
      </c>
      <c r="X409" s="18" t="s">
        <v>288</v>
      </c>
      <c r="Y409" s="15" t="s">
        <v>600</v>
      </c>
      <c r="Z409" s="15" t="s">
        <v>600</v>
      </c>
      <c r="AA409" s="19" t="str">
        <f aca="false">HYPERLINK("https://www.transfermarkt.com/schnellsuche/ergebnis/schnellsuche?query="&amp;SUBSTITUTE(A409," ","+"),"Search Transfermarkt")</f>
        <v>Search Transfermarkt</v>
      </c>
    </row>
    <row r="410" customFormat="false" ht="23.85" hidden="false" customHeight="false" outlineLevel="0" collapsed="false">
      <c r="A410" s="15" t="s">
        <v>1512</v>
      </c>
      <c r="B410" s="15" t="s">
        <v>68</v>
      </c>
      <c r="C410" s="15" t="s">
        <v>605</v>
      </c>
      <c r="D410" s="15" t="n">
        <v>3</v>
      </c>
      <c r="E410" s="15" t="s">
        <v>1513</v>
      </c>
      <c r="F410" s="15" t="s">
        <v>163</v>
      </c>
      <c r="G410" s="15" t="n">
        <v>19</v>
      </c>
      <c r="H410" s="15" t="n">
        <v>1332</v>
      </c>
      <c r="I410" s="15" t="n">
        <v>10</v>
      </c>
      <c r="J410" s="15" t="n">
        <v>6</v>
      </c>
      <c r="K410" s="15" t="n">
        <v>54</v>
      </c>
      <c r="L410" s="15" t="n">
        <v>89</v>
      </c>
      <c r="M410" s="15" t="n">
        <v>15</v>
      </c>
      <c r="N410" s="15" t="n">
        <v>0</v>
      </c>
      <c r="O410" s="15" t="n">
        <v>0</v>
      </c>
      <c r="P410" s="16" t="n">
        <v>0</v>
      </c>
      <c r="Q410" s="15" t="n">
        <v>0</v>
      </c>
      <c r="R410" s="15" t="n">
        <v>0</v>
      </c>
      <c r="S410" s="17" t="n">
        <v>101721</v>
      </c>
      <c r="T410" s="15" t="s">
        <v>137</v>
      </c>
      <c r="U410" s="15" t="n">
        <v>2026</v>
      </c>
      <c r="V410" s="15" t="s">
        <v>1514</v>
      </c>
      <c r="W410" s="18" t="s">
        <v>139</v>
      </c>
      <c r="X410" s="18" t="s">
        <v>153</v>
      </c>
      <c r="Y410" s="15" t="s">
        <v>600</v>
      </c>
      <c r="Z410" s="15" t="s">
        <v>600</v>
      </c>
      <c r="AA410" s="19" t="str">
        <f aca="false">HYPERLINK("https://www.transfermarkt.com/schnellsuche/ergebnis/schnellsuche?query="&amp;SUBSTITUTE(A410," ","+"),"Search Transfermarkt")</f>
        <v>Search Transfermarkt</v>
      </c>
    </row>
    <row r="411" customFormat="false" ht="23.85" hidden="false" customHeight="false" outlineLevel="0" collapsed="false">
      <c r="A411" s="15" t="s">
        <v>1515</v>
      </c>
      <c r="B411" s="15" t="s">
        <v>76</v>
      </c>
      <c r="C411" s="15" t="s">
        <v>238</v>
      </c>
      <c r="D411" s="15" t="n">
        <v>4</v>
      </c>
      <c r="E411" s="15" t="s">
        <v>1516</v>
      </c>
      <c r="F411" s="15" t="s">
        <v>157</v>
      </c>
      <c r="G411" s="15" t="n">
        <v>23</v>
      </c>
      <c r="H411" s="15" t="n">
        <v>2036</v>
      </c>
      <c r="I411" s="15" t="n">
        <v>0</v>
      </c>
      <c r="J411" s="15" t="n">
        <v>0</v>
      </c>
      <c r="K411" s="15" t="n">
        <v>15</v>
      </c>
      <c r="L411" s="15" t="n">
        <v>3</v>
      </c>
      <c r="M411" s="15" t="n">
        <v>3</v>
      </c>
      <c r="N411" s="15" t="n">
        <v>86</v>
      </c>
      <c r="O411" s="15" t="n">
        <v>28</v>
      </c>
      <c r="P411" s="16" t="n">
        <v>59.7</v>
      </c>
      <c r="Q411" s="15" t="n">
        <v>27.8</v>
      </c>
      <c r="R411" s="15" t="n">
        <v>9</v>
      </c>
      <c r="S411" s="17" t="n">
        <v>46924</v>
      </c>
      <c r="T411" s="15" t="s">
        <v>164</v>
      </c>
      <c r="U411" s="15" t="n">
        <v>2027</v>
      </c>
      <c r="V411" s="15" t="s">
        <v>1517</v>
      </c>
      <c r="W411" s="18" t="s">
        <v>139</v>
      </c>
      <c r="X411" s="18" t="s">
        <v>241</v>
      </c>
      <c r="Y411" s="15" t="s">
        <v>600</v>
      </c>
      <c r="Z411" s="15" t="s">
        <v>600</v>
      </c>
      <c r="AA411" s="19" t="str">
        <f aca="false">HYPERLINK("https://www.transfermarkt.com/schnellsuche/ergebnis/schnellsuche?query="&amp;SUBSTITUTE(A411," ","+"),"Search Transfermarkt")</f>
        <v>Search Transfermarkt</v>
      </c>
    </row>
    <row r="412" customFormat="false" ht="23.85" hidden="false" customHeight="false" outlineLevel="0" collapsed="false">
      <c r="A412" s="15" t="s">
        <v>1518</v>
      </c>
      <c r="B412" s="15" t="s">
        <v>100</v>
      </c>
      <c r="C412" s="15" t="s">
        <v>497</v>
      </c>
      <c r="D412" s="15" t="n">
        <v>4</v>
      </c>
      <c r="E412" s="15" t="s">
        <v>494</v>
      </c>
      <c r="F412" s="15" t="s">
        <v>136</v>
      </c>
      <c r="G412" s="15" t="n">
        <v>22</v>
      </c>
      <c r="H412" s="15" t="n">
        <v>2621</v>
      </c>
      <c r="I412" s="15" t="n">
        <v>3</v>
      </c>
      <c r="J412" s="15" t="n">
        <v>2</v>
      </c>
      <c r="K412" s="15" t="n">
        <v>50</v>
      </c>
      <c r="L412" s="15" t="n">
        <v>45</v>
      </c>
      <c r="M412" s="15" t="n">
        <v>96</v>
      </c>
      <c r="N412" s="15" t="n">
        <v>0</v>
      </c>
      <c r="O412" s="15" t="n">
        <v>0</v>
      </c>
      <c r="P412" s="16" t="n">
        <v>0</v>
      </c>
      <c r="Q412" s="15" t="n">
        <v>0</v>
      </c>
      <c r="R412" s="15" t="n">
        <v>0</v>
      </c>
      <c r="S412" s="17" t="n">
        <v>0</v>
      </c>
      <c r="T412" s="15" t="s">
        <v>186</v>
      </c>
      <c r="U412" s="15" t="n">
        <v>2027</v>
      </c>
      <c r="V412" s="15" t="s">
        <v>495</v>
      </c>
      <c r="W412" s="18" t="s">
        <v>188</v>
      </c>
      <c r="X412" s="18" t="s">
        <v>221</v>
      </c>
      <c r="Y412" s="15" t="s">
        <v>600</v>
      </c>
      <c r="Z412" s="15" t="s">
        <v>600</v>
      </c>
      <c r="AA412" s="19" t="str">
        <f aca="false">HYPERLINK("https://www.transfermarkt.com/schnellsuche/ergebnis/schnellsuche?query="&amp;SUBSTITUTE(A412," ","+"),"Search Transfermarkt")</f>
        <v>Search Transfermarkt</v>
      </c>
    </row>
    <row r="413" customFormat="false" ht="23.85" hidden="false" customHeight="false" outlineLevel="0" collapsed="false">
      <c r="A413" s="15" t="s">
        <v>1519</v>
      </c>
      <c r="B413" s="15" t="s">
        <v>87</v>
      </c>
      <c r="C413" s="15" t="s">
        <v>947</v>
      </c>
      <c r="D413" s="15" t="n">
        <v>3</v>
      </c>
      <c r="E413" s="15" t="s">
        <v>1520</v>
      </c>
      <c r="F413" s="15" t="s">
        <v>136</v>
      </c>
      <c r="G413" s="15" t="n">
        <v>18</v>
      </c>
      <c r="H413" s="15" t="n">
        <v>1378</v>
      </c>
      <c r="I413" s="15" t="n">
        <v>0</v>
      </c>
      <c r="J413" s="15" t="n">
        <v>2</v>
      </c>
      <c r="K413" s="15" t="n">
        <v>68</v>
      </c>
      <c r="L413" s="15" t="n">
        <v>45</v>
      </c>
      <c r="M413" s="15" t="n">
        <v>121</v>
      </c>
      <c r="N413" s="15" t="n">
        <v>0</v>
      </c>
      <c r="O413" s="15" t="n">
        <v>0</v>
      </c>
      <c r="P413" s="16" t="n">
        <v>0</v>
      </c>
      <c r="Q413" s="15" t="n">
        <v>0</v>
      </c>
      <c r="R413" s="15" t="n">
        <v>0</v>
      </c>
      <c r="S413" s="17" t="n">
        <v>53415</v>
      </c>
      <c r="T413" s="15" t="s">
        <v>137</v>
      </c>
      <c r="U413" s="15" t="n">
        <v>2029</v>
      </c>
      <c r="V413" s="15" t="s">
        <v>1521</v>
      </c>
      <c r="W413" s="18" t="s">
        <v>139</v>
      </c>
      <c r="X413" s="18" t="s">
        <v>341</v>
      </c>
      <c r="Y413" s="15" t="s">
        <v>600</v>
      </c>
      <c r="Z413" s="15" t="s">
        <v>600</v>
      </c>
      <c r="AA413" s="19" t="str">
        <f aca="false">HYPERLINK("https://www.transfermarkt.com/schnellsuche/ergebnis/schnellsuche?query="&amp;SUBSTITUTE(A413," ","+"),"Search Transfermarkt")</f>
        <v>Search Transfermarkt</v>
      </c>
    </row>
    <row r="414" customFormat="false" ht="23.85" hidden="false" customHeight="false" outlineLevel="0" collapsed="false">
      <c r="A414" s="15" t="s">
        <v>1522</v>
      </c>
      <c r="B414" s="15" t="s">
        <v>89</v>
      </c>
      <c r="C414" s="15" t="s">
        <v>1523</v>
      </c>
      <c r="D414" s="15" t="n">
        <v>3</v>
      </c>
      <c r="E414" s="15" t="s">
        <v>549</v>
      </c>
      <c r="F414" s="15" t="s">
        <v>157</v>
      </c>
      <c r="G414" s="15" t="n">
        <v>20</v>
      </c>
      <c r="H414" s="15" t="n">
        <v>2179</v>
      </c>
      <c r="I414" s="15" t="n">
        <v>0</v>
      </c>
      <c r="J414" s="15" t="n">
        <v>0</v>
      </c>
      <c r="K414" s="15" t="n">
        <v>6</v>
      </c>
      <c r="L414" s="15" t="n">
        <v>6</v>
      </c>
      <c r="M414" s="15" t="n">
        <v>9</v>
      </c>
      <c r="N414" s="15" t="n">
        <v>78</v>
      </c>
      <c r="O414" s="15" t="n">
        <v>29</v>
      </c>
      <c r="P414" s="16" t="n">
        <v>72.9</v>
      </c>
      <c r="Q414" s="15" t="n">
        <v>7.4</v>
      </c>
      <c r="R414" s="15" t="n">
        <v>8</v>
      </c>
      <c r="S414" s="17" t="n">
        <v>95119</v>
      </c>
      <c r="T414" s="15" t="s">
        <v>164</v>
      </c>
      <c r="U414" s="15" t="n">
        <v>2028</v>
      </c>
      <c r="V414" s="15" t="s">
        <v>550</v>
      </c>
      <c r="W414" s="18" t="s">
        <v>139</v>
      </c>
      <c r="X414" s="18" t="s">
        <v>206</v>
      </c>
      <c r="Y414" s="15" t="s">
        <v>600</v>
      </c>
      <c r="Z414" s="15" t="s">
        <v>600</v>
      </c>
      <c r="AA414" s="19" t="str">
        <f aca="false">HYPERLINK("https://www.transfermarkt.com/schnellsuche/ergebnis/schnellsuche?query="&amp;SUBSTITUTE(A414," ","+"),"Search Transfermarkt")</f>
        <v>Search Transfermarkt</v>
      </c>
    </row>
    <row r="415" customFormat="false" ht="23.85" hidden="false" customHeight="false" outlineLevel="0" collapsed="false">
      <c r="A415" s="15" t="s">
        <v>1524</v>
      </c>
      <c r="B415" s="15" t="s">
        <v>62</v>
      </c>
      <c r="C415" s="15" t="s">
        <v>1419</v>
      </c>
      <c r="D415" s="15" t="n">
        <v>3</v>
      </c>
      <c r="E415" s="15" t="s">
        <v>1525</v>
      </c>
      <c r="F415" s="15" t="s">
        <v>136</v>
      </c>
      <c r="G415" s="15" t="n">
        <v>22</v>
      </c>
      <c r="H415" s="15" t="n">
        <v>1541</v>
      </c>
      <c r="I415" s="15" t="n">
        <v>1</v>
      </c>
      <c r="J415" s="15" t="n">
        <v>3</v>
      </c>
      <c r="K415" s="15" t="n">
        <v>61</v>
      </c>
      <c r="L415" s="15" t="n">
        <v>37</v>
      </c>
      <c r="M415" s="15" t="n">
        <v>112</v>
      </c>
      <c r="N415" s="15" t="n">
        <v>0</v>
      </c>
      <c r="O415" s="15" t="n">
        <v>0</v>
      </c>
      <c r="P415" s="16" t="n">
        <v>0</v>
      </c>
      <c r="Q415" s="15" t="n">
        <v>0</v>
      </c>
      <c r="R415" s="15" t="n">
        <v>0</v>
      </c>
      <c r="S415" s="17" t="n">
        <v>80008</v>
      </c>
      <c r="T415" s="15" t="s">
        <v>137</v>
      </c>
      <c r="U415" s="15" t="n">
        <v>2028</v>
      </c>
      <c r="V415" s="15" t="s">
        <v>1526</v>
      </c>
      <c r="W415" s="18" t="s">
        <v>139</v>
      </c>
      <c r="X415" s="18" t="s">
        <v>211</v>
      </c>
      <c r="Y415" s="15" t="s">
        <v>600</v>
      </c>
      <c r="Z415" s="15" t="s">
        <v>600</v>
      </c>
      <c r="AA415" s="19" t="str">
        <f aca="false">HYPERLINK("https://www.transfermarkt.com/schnellsuche/ergebnis/schnellsuche?query="&amp;SUBSTITUTE(A415," ","+"),"Search Transfermarkt")</f>
        <v>Search Transfermarkt</v>
      </c>
    </row>
    <row r="416" customFormat="false" ht="23.85" hidden="false" customHeight="false" outlineLevel="0" collapsed="false">
      <c r="A416" s="15" t="s">
        <v>1527</v>
      </c>
      <c r="B416" s="15" t="s">
        <v>76</v>
      </c>
      <c r="C416" s="15" t="s">
        <v>1473</v>
      </c>
      <c r="D416" s="15" t="n">
        <v>2</v>
      </c>
      <c r="E416" s="15" t="s">
        <v>1200</v>
      </c>
      <c r="F416" s="15" t="s">
        <v>170</v>
      </c>
      <c r="G416" s="15" t="n">
        <v>26</v>
      </c>
      <c r="H416" s="15" t="n">
        <v>2029</v>
      </c>
      <c r="I416" s="15" t="n">
        <v>10</v>
      </c>
      <c r="J416" s="15" t="n">
        <v>9</v>
      </c>
      <c r="K416" s="15" t="n">
        <v>147</v>
      </c>
      <c r="L416" s="15" t="n">
        <v>62</v>
      </c>
      <c r="M416" s="15" t="n">
        <v>53</v>
      </c>
      <c r="N416" s="15" t="n">
        <v>0</v>
      </c>
      <c r="O416" s="15" t="n">
        <v>0</v>
      </c>
      <c r="P416" s="16" t="n">
        <v>0</v>
      </c>
      <c r="Q416" s="15" t="n">
        <v>0</v>
      </c>
      <c r="R416" s="15" t="n">
        <v>0</v>
      </c>
      <c r="S416" s="17" t="n">
        <v>91509</v>
      </c>
      <c r="T416" s="15" t="s">
        <v>164</v>
      </c>
      <c r="U416" s="15" t="n">
        <v>2028</v>
      </c>
      <c r="V416" s="15" t="s">
        <v>1201</v>
      </c>
      <c r="W416" s="18" t="s">
        <v>139</v>
      </c>
      <c r="X416" s="18" t="s">
        <v>241</v>
      </c>
      <c r="Y416" s="15" t="s">
        <v>600</v>
      </c>
      <c r="Z416" s="15" t="s">
        <v>600</v>
      </c>
      <c r="AA416" s="19" t="str">
        <f aca="false">HYPERLINK("https://www.transfermarkt.com/schnellsuche/ergebnis/schnellsuche?query="&amp;SUBSTITUTE(A416," ","+"),"Search Transfermarkt")</f>
        <v>Search Transfermarkt</v>
      </c>
    </row>
    <row r="417" customFormat="false" ht="23.85" hidden="false" customHeight="false" outlineLevel="0" collapsed="false">
      <c r="A417" s="15" t="s">
        <v>1528</v>
      </c>
      <c r="B417" s="15" t="s">
        <v>79</v>
      </c>
      <c r="C417" s="15" t="s">
        <v>1529</v>
      </c>
      <c r="D417" s="15" t="n">
        <v>4</v>
      </c>
      <c r="E417" s="15" t="s">
        <v>577</v>
      </c>
      <c r="F417" s="15" t="s">
        <v>136</v>
      </c>
      <c r="G417" s="15" t="n">
        <v>23</v>
      </c>
      <c r="H417" s="15" t="n">
        <v>2378</v>
      </c>
      <c r="I417" s="15" t="n">
        <v>2</v>
      </c>
      <c r="J417" s="15" t="n">
        <v>1</v>
      </c>
      <c r="K417" s="15" t="n">
        <v>43</v>
      </c>
      <c r="L417" s="15" t="n">
        <v>43</v>
      </c>
      <c r="M417" s="15" t="n">
        <v>98</v>
      </c>
      <c r="N417" s="15" t="n">
        <v>0</v>
      </c>
      <c r="O417" s="15" t="n">
        <v>0</v>
      </c>
      <c r="P417" s="16" t="n">
        <v>0</v>
      </c>
      <c r="Q417" s="15" t="n">
        <v>0</v>
      </c>
      <c r="R417" s="15" t="n">
        <v>0</v>
      </c>
      <c r="S417" s="17" t="n">
        <v>0</v>
      </c>
      <c r="T417" s="15" t="s">
        <v>137</v>
      </c>
      <c r="U417" s="15" t="n">
        <v>2026</v>
      </c>
      <c r="V417" s="15" t="s">
        <v>578</v>
      </c>
      <c r="W417" s="18" t="s">
        <v>139</v>
      </c>
      <c r="X417" s="18" t="s">
        <v>412</v>
      </c>
      <c r="Y417" s="15" t="s">
        <v>600</v>
      </c>
      <c r="Z417" s="15" t="s">
        <v>600</v>
      </c>
      <c r="AA417" s="19" t="str">
        <f aca="false">HYPERLINK("https://www.transfermarkt.com/schnellsuche/ergebnis/schnellsuche?query="&amp;SUBSTITUTE(A417," ","+"),"Search Transfermarkt")</f>
        <v>Search Transfermarkt</v>
      </c>
    </row>
    <row r="418" customFormat="false" ht="23.85" hidden="false" customHeight="false" outlineLevel="0" collapsed="false">
      <c r="A418" s="15" t="s">
        <v>1530</v>
      </c>
      <c r="B418" s="15" t="s">
        <v>88</v>
      </c>
      <c r="C418" s="15" t="s">
        <v>1347</v>
      </c>
      <c r="D418" s="15" t="n">
        <v>3</v>
      </c>
      <c r="E418" s="15" t="s">
        <v>1531</v>
      </c>
      <c r="F418" s="15" t="s">
        <v>136</v>
      </c>
      <c r="G418" s="15" t="n">
        <v>22</v>
      </c>
      <c r="H418" s="15" t="n">
        <v>1355</v>
      </c>
      <c r="I418" s="15" t="n">
        <v>3</v>
      </c>
      <c r="J418" s="15" t="n">
        <v>5</v>
      </c>
      <c r="K418" s="15" t="n">
        <v>55</v>
      </c>
      <c r="L418" s="15" t="n">
        <v>35</v>
      </c>
      <c r="M418" s="15" t="n">
        <v>125</v>
      </c>
      <c r="N418" s="15" t="n">
        <v>0</v>
      </c>
      <c r="O418" s="15" t="n">
        <v>0</v>
      </c>
      <c r="P418" s="16" t="n">
        <v>0</v>
      </c>
      <c r="Q418" s="15" t="n">
        <v>0</v>
      </c>
      <c r="R418" s="15" t="n">
        <v>0</v>
      </c>
      <c r="S418" s="17" t="n">
        <v>0</v>
      </c>
      <c r="T418" s="15" t="s">
        <v>186</v>
      </c>
      <c r="U418" s="15" t="n">
        <v>2026</v>
      </c>
      <c r="V418" s="15" t="s">
        <v>1532</v>
      </c>
      <c r="W418" s="18" t="s">
        <v>188</v>
      </c>
      <c r="X418" s="18" t="s">
        <v>320</v>
      </c>
      <c r="Y418" s="15" t="s">
        <v>600</v>
      </c>
      <c r="Z418" s="15" t="s">
        <v>600</v>
      </c>
      <c r="AA418" s="19" t="str">
        <f aca="false">HYPERLINK("https://www.transfermarkt.com/schnellsuche/ergebnis/schnellsuche?query="&amp;SUBSTITUTE(A418," ","+"),"Search Transfermarkt")</f>
        <v>Search Transfermarkt</v>
      </c>
    </row>
    <row r="419" customFormat="false" ht="23.85" hidden="false" customHeight="false" outlineLevel="0" collapsed="false">
      <c r="A419" s="15" t="s">
        <v>1533</v>
      </c>
      <c r="B419" s="15" t="s">
        <v>76</v>
      </c>
      <c r="C419" s="15" t="s">
        <v>740</v>
      </c>
      <c r="D419" s="15" t="n">
        <v>2</v>
      </c>
      <c r="E419" s="15" t="s">
        <v>1376</v>
      </c>
      <c r="F419" s="15" t="s">
        <v>170</v>
      </c>
      <c r="G419" s="15" t="n">
        <v>24</v>
      </c>
      <c r="H419" s="15" t="n">
        <v>1217</v>
      </c>
      <c r="I419" s="15" t="n">
        <v>7</v>
      </c>
      <c r="J419" s="15" t="n">
        <v>6</v>
      </c>
      <c r="K419" s="15" t="n">
        <v>174</v>
      </c>
      <c r="L419" s="15" t="n">
        <v>95</v>
      </c>
      <c r="M419" s="15" t="n">
        <v>57</v>
      </c>
      <c r="N419" s="15" t="n">
        <v>0</v>
      </c>
      <c r="O419" s="15" t="n">
        <v>0</v>
      </c>
      <c r="P419" s="16" t="n">
        <v>0</v>
      </c>
      <c r="Q419" s="15" t="n">
        <v>0</v>
      </c>
      <c r="R419" s="15" t="n">
        <v>0</v>
      </c>
      <c r="S419" s="17" t="n">
        <v>43066</v>
      </c>
      <c r="T419" s="15" t="s">
        <v>186</v>
      </c>
      <c r="U419" s="15" t="n">
        <v>2026</v>
      </c>
      <c r="V419" s="15" t="s">
        <v>1377</v>
      </c>
      <c r="W419" s="18" t="s">
        <v>188</v>
      </c>
      <c r="X419" s="18" t="s">
        <v>241</v>
      </c>
      <c r="Y419" s="15" t="s">
        <v>600</v>
      </c>
      <c r="Z419" s="15" t="s">
        <v>600</v>
      </c>
      <c r="AA419" s="19" t="str">
        <f aca="false">HYPERLINK("https://www.transfermarkt.com/schnellsuche/ergebnis/schnellsuche?query="&amp;SUBSTITUTE(A419," ","+"),"Search Transfermarkt")</f>
        <v>Search Transfermarkt</v>
      </c>
    </row>
    <row r="420" customFormat="false" ht="23.85" hidden="false" customHeight="false" outlineLevel="0" collapsed="false">
      <c r="A420" s="15" t="s">
        <v>1534</v>
      </c>
      <c r="B420" s="15" t="s">
        <v>69</v>
      </c>
      <c r="C420" s="15" t="s">
        <v>1294</v>
      </c>
      <c r="D420" s="15" t="n">
        <v>4</v>
      </c>
      <c r="E420" s="15" t="s">
        <v>1535</v>
      </c>
      <c r="F420" s="15" t="s">
        <v>157</v>
      </c>
      <c r="G420" s="15" t="n">
        <v>26</v>
      </c>
      <c r="H420" s="15" t="n">
        <v>1215</v>
      </c>
      <c r="I420" s="15" t="n">
        <v>0</v>
      </c>
      <c r="J420" s="15" t="n">
        <v>0</v>
      </c>
      <c r="K420" s="15" t="n">
        <v>14</v>
      </c>
      <c r="L420" s="15" t="n">
        <v>6</v>
      </c>
      <c r="M420" s="15" t="n">
        <v>6</v>
      </c>
      <c r="N420" s="15" t="n">
        <v>53</v>
      </c>
      <c r="O420" s="15" t="n">
        <v>17</v>
      </c>
      <c r="P420" s="16" t="n">
        <v>75.9</v>
      </c>
      <c r="Q420" s="15" t="n">
        <v>12.5</v>
      </c>
      <c r="R420" s="15" t="n">
        <v>3</v>
      </c>
      <c r="S420" s="17" t="n">
        <v>0</v>
      </c>
      <c r="T420" s="15" t="s">
        <v>164</v>
      </c>
      <c r="U420" s="15" t="n">
        <v>2027</v>
      </c>
      <c r="V420" s="15" t="s">
        <v>1536</v>
      </c>
      <c r="W420" s="18" t="s">
        <v>139</v>
      </c>
      <c r="X420" s="18" t="s">
        <v>140</v>
      </c>
      <c r="Y420" s="15" t="s">
        <v>600</v>
      </c>
      <c r="Z420" s="15" t="s">
        <v>600</v>
      </c>
      <c r="AA420" s="19" t="str">
        <f aca="false">HYPERLINK("https://www.transfermarkt.com/schnellsuche/ergebnis/schnellsuche?query="&amp;SUBSTITUTE(A420," ","+"),"Search Transfermarkt")</f>
        <v>Search Transfermarkt</v>
      </c>
    </row>
    <row r="421" customFormat="false" ht="23.85" hidden="false" customHeight="false" outlineLevel="0" collapsed="false">
      <c r="A421" s="15" t="s">
        <v>1537</v>
      </c>
      <c r="B421" s="15" t="s">
        <v>68</v>
      </c>
      <c r="C421" s="15" t="s">
        <v>1194</v>
      </c>
      <c r="D421" s="15" t="n">
        <v>4</v>
      </c>
      <c r="E421" s="15" t="s">
        <v>259</v>
      </c>
      <c r="F421" s="15" t="s">
        <v>136</v>
      </c>
      <c r="G421" s="15" t="n">
        <v>24</v>
      </c>
      <c r="H421" s="15" t="n">
        <v>2061</v>
      </c>
      <c r="I421" s="15" t="n">
        <v>2</v>
      </c>
      <c r="J421" s="15" t="n">
        <v>5</v>
      </c>
      <c r="K421" s="15" t="n">
        <v>53</v>
      </c>
      <c r="L421" s="15" t="n">
        <v>30</v>
      </c>
      <c r="M421" s="15" t="n">
        <v>112</v>
      </c>
      <c r="N421" s="15" t="n">
        <v>0</v>
      </c>
      <c r="O421" s="15" t="n">
        <v>0</v>
      </c>
      <c r="P421" s="16" t="n">
        <v>0</v>
      </c>
      <c r="Q421" s="15" t="n">
        <v>0</v>
      </c>
      <c r="R421" s="15" t="n">
        <v>0</v>
      </c>
      <c r="S421" s="17" t="n">
        <v>15828</v>
      </c>
      <c r="T421" s="15" t="s">
        <v>164</v>
      </c>
      <c r="U421" s="15" t="n">
        <v>2028</v>
      </c>
      <c r="V421" s="15" t="s">
        <v>260</v>
      </c>
      <c r="W421" s="18" t="s">
        <v>139</v>
      </c>
      <c r="X421" s="18" t="s">
        <v>153</v>
      </c>
      <c r="Y421" s="15" t="s">
        <v>600</v>
      </c>
      <c r="Z421" s="15" t="s">
        <v>600</v>
      </c>
      <c r="AA421" s="19" t="str">
        <f aca="false">HYPERLINK("https://www.transfermarkt.com/schnellsuche/ergebnis/schnellsuche?query="&amp;SUBSTITUTE(A421," ","+"),"Search Transfermarkt")</f>
        <v>Search Transfermarkt</v>
      </c>
    </row>
    <row r="422" customFormat="false" ht="23.85" hidden="false" customHeight="false" outlineLevel="0" collapsed="false">
      <c r="A422" s="15" t="s">
        <v>1538</v>
      </c>
      <c r="B422" s="15" t="s">
        <v>99</v>
      </c>
      <c r="C422" s="15" t="s">
        <v>1539</v>
      </c>
      <c r="D422" s="15" t="n">
        <v>3</v>
      </c>
      <c r="E422" s="15" t="s">
        <v>1540</v>
      </c>
      <c r="F422" s="15" t="s">
        <v>170</v>
      </c>
      <c r="G422" s="15" t="n">
        <v>25</v>
      </c>
      <c r="H422" s="15" t="n">
        <v>1264</v>
      </c>
      <c r="I422" s="15" t="n">
        <v>1</v>
      </c>
      <c r="J422" s="15" t="n">
        <v>5</v>
      </c>
      <c r="K422" s="15" t="n">
        <v>162</v>
      </c>
      <c r="L422" s="15" t="n">
        <v>68</v>
      </c>
      <c r="M422" s="15" t="n">
        <v>36</v>
      </c>
      <c r="N422" s="15" t="n">
        <v>0</v>
      </c>
      <c r="O422" s="15" t="n">
        <v>0</v>
      </c>
      <c r="P422" s="16" t="n">
        <v>0</v>
      </c>
      <c r="Q422" s="15" t="n">
        <v>0</v>
      </c>
      <c r="R422" s="15" t="n">
        <v>0</v>
      </c>
      <c r="S422" s="17" t="n">
        <v>29223</v>
      </c>
      <c r="T422" s="15" t="s">
        <v>137</v>
      </c>
      <c r="U422" s="15" t="n">
        <v>2027</v>
      </c>
      <c r="V422" s="15" t="s">
        <v>1541</v>
      </c>
      <c r="W422" s="18" t="s">
        <v>139</v>
      </c>
      <c r="X422" s="18" t="s">
        <v>189</v>
      </c>
      <c r="Y422" s="15" t="s">
        <v>600</v>
      </c>
      <c r="Z422" s="15" t="s">
        <v>600</v>
      </c>
      <c r="AA422" s="19" t="str">
        <f aca="false">HYPERLINK("https://www.transfermarkt.com/schnellsuche/ergebnis/schnellsuche?query="&amp;SUBSTITUTE(A422," ","+"),"Search Transfermarkt")</f>
        <v>Search Transfermarkt</v>
      </c>
    </row>
    <row r="423" customFormat="false" ht="23.85" hidden="false" customHeight="false" outlineLevel="0" collapsed="false">
      <c r="A423" s="15" t="s">
        <v>1542</v>
      </c>
      <c r="B423" s="15" t="s">
        <v>71</v>
      </c>
      <c r="C423" s="15" t="s">
        <v>174</v>
      </c>
      <c r="D423" s="15" t="n">
        <v>4</v>
      </c>
      <c r="E423" s="15" t="s">
        <v>1543</v>
      </c>
      <c r="F423" s="15" t="s">
        <v>136</v>
      </c>
      <c r="G423" s="15" t="n">
        <v>20</v>
      </c>
      <c r="H423" s="15" t="n">
        <v>2471</v>
      </c>
      <c r="I423" s="15" t="n">
        <v>2</v>
      </c>
      <c r="J423" s="15" t="n">
        <v>1</v>
      </c>
      <c r="K423" s="15" t="n">
        <v>64</v>
      </c>
      <c r="L423" s="15" t="n">
        <v>37</v>
      </c>
      <c r="M423" s="15" t="n">
        <v>94</v>
      </c>
      <c r="N423" s="15" t="n">
        <v>0</v>
      </c>
      <c r="O423" s="15" t="n">
        <v>0</v>
      </c>
      <c r="P423" s="16" t="n">
        <v>0</v>
      </c>
      <c r="Q423" s="15" t="n">
        <v>0</v>
      </c>
      <c r="R423" s="15" t="n">
        <v>0</v>
      </c>
      <c r="S423" s="17" t="n">
        <v>113717</v>
      </c>
      <c r="T423" s="15" t="s">
        <v>137</v>
      </c>
      <c r="U423" s="15" t="n">
        <v>2026</v>
      </c>
      <c r="V423" s="15" t="s">
        <v>1544</v>
      </c>
      <c r="W423" s="18" t="s">
        <v>139</v>
      </c>
      <c r="X423" s="18" t="s">
        <v>177</v>
      </c>
      <c r="Y423" s="15" t="s">
        <v>600</v>
      </c>
      <c r="Z423" s="15" t="s">
        <v>600</v>
      </c>
      <c r="AA423" s="19" t="str">
        <f aca="false">HYPERLINK("https://www.transfermarkt.com/schnellsuche/ergebnis/schnellsuche?query="&amp;SUBSTITUTE(A423," ","+"),"Search Transfermarkt")</f>
        <v>Search Transfermarkt</v>
      </c>
    </row>
    <row r="424" customFormat="false" ht="23.85" hidden="false" customHeight="false" outlineLevel="0" collapsed="false">
      <c r="A424" s="15" t="s">
        <v>1545</v>
      </c>
      <c r="B424" s="15" t="s">
        <v>83</v>
      </c>
      <c r="C424" s="15" t="s">
        <v>1255</v>
      </c>
      <c r="D424" s="15" t="n">
        <v>4</v>
      </c>
      <c r="E424" s="15" t="s">
        <v>1546</v>
      </c>
      <c r="F424" s="15" t="s">
        <v>136</v>
      </c>
      <c r="G424" s="15" t="n">
        <v>24</v>
      </c>
      <c r="H424" s="15" t="n">
        <v>1246</v>
      </c>
      <c r="I424" s="15" t="n">
        <v>0</v>
      </c>
      <c r="J424" s="15" t="n">
        <v>1</v>
      </c>
      <c r="K424" s="15" t="n">
        <v>48</v>
      </c>
      <c r="L424" s="15" t="n">
        <v>25</v>
      </c>
      <c r="M424" s="15" t="n">
        <v>93</v>
      </c>
      <c r="N424" s="15" t="n">
        <v>0</v>
      </c>
      <c r="O424" s="15" t="n">
        <v>0</v>
      </c>
      <c r="P424" s="16" t="n">
        <v>0</v>
      </c>
      <c r="Q424" s="15" t="n">
        <v>0</v>
      </c>
      <c r="R424" s="15" t="n">
        <v>0</v>
      </c>
      <c r="S424" s="17" t="n">
        <v>66334</v>
      </c>
      <c r="T424" s="15" t="s">
        <v>164</v>
      </c>
      <c r="U424" s="15" t="n">
        <v>2028</v>
      </c>
      <c r="V424" s="15" t="s">
        <v>1547</v>
      </c>
      <c r="W424" s="18" t="s">
        <v>139</v>
      </c>
      <c r="X424" s="18" t="s">
        <v>379</v>
      </c>
      <c r="Y424" s="15" t="s">
        <v>600</v>
      </c>
      <c r="Z424" s="15" t="s">
        <v>600</v>
      </c>
      <c r="AA424" s="19" t="str">
        <f aca="false">HYPERLINK("https://www.transfermarkt.com/schnellsuche/ergebnis/schnellsuche?query="&amp;SUBSTITUTE(A424," ","+"),"Search Transfermarkt")</f>
        <v>Search Transfermarkt</v>
      </c>
    </row>
    <row r="425" customFormat="false" ht="23.85" hidden="false" customHeight="false" outlineLevel="0" collapsed="false">
      <c r="A425" s="15" t="s">
        <v>1548</v>
      </c>
      <c r="B425" s="15" t="s">
        <v>94</v>
      </c>
      <c r="C425" s="15" t="s">
        <v>334</v>
      </c>
      <c r="D425" s="15" t="n">
        <v>2</v>
      </c>
      <c r="E425" s="15" t="s">
        <v>1549</v>
      </c>
      <c r="F425" s="15" t="s">
        <v>163</v>
      </c>
      <c r="G425" s="15" t="n">
        <v>24</v>
      </c>
      <c r="H425" s="15" t="n">
        <v>1349</v>
      </c>
      <c r="I425" s="15" t="n">
        <v>18</v>
      </c>
      <c r="J425" s="15" t="n">
        <v>8</v>
      </c>
      <c r="K425" s="15" t="n">
        <v>62</v>
      </c>
      <c r="L425" s="15" t="n">
        <v>76</v>
      </c>
      <c r="M425" s="15" t="n">
        <v>7</v>
      </c>
      <c r="N425" s="15" t="n">
        <v>0</v>
      </c>
      <c r="O425" s="15" t="n">
        <v>0</v>
      </c>
      <c r="P425" s="16" t="n">
        <v>0</v>
      </c>
      <c r="Q425" s="15" t="n">
        <v>0</v>
      </c>
      <c r="R425" s="15" t="n">
        <v>0</v>
      </c>
      <c r="S425" s="17" t="n">
        <v>0</v>
      </c>
      <c r="T425" s="15" t="s">
        <v>137</v>
      </c>
      <c r="U425" s="15" t="n">
        <v>2029</v>
      </c>
      <c r="V425" s="15" t="s">
        <v>1550</v>
      </c>
      <c r="W425" s="18" t="s">
        <v>139</v>
      </c>
      <c r="X425" s="18" t="s">
        <v>226</v>
      </c>
      <c r="Y425" s="15" t="s">
        <v>600</v>
      </c>
      <c r="Z425" s="15" t="s">
        <v>600</v>
      </c>
      <c r="AA425" s="19" t="str">
        <f aca="false">HYPERLINK("https://www.transfermarkt.com/schnellsuche/ergebnis/schnellsuche?query="&amp;SUBSTITUTE(A425," ","+"),"Search Transfermarkt")</f>
        <v>Search Transfermarkt</v>
      </c>
    </row>
    <row r="426" customFormat="false" ht="23.85" hidden="false" customHeight="false" outlineLevel="0" collapsed="false">
      <c r="A426" s="15" t="s">
        <v>1551</v>
      </c>
      <c r="B426" s="15" t="s">
        <v>106</v>
      </c>
      <c r="C426" s="15" t="s">
        <v>1552</v>
      </c>
      <c r="D426" s="15" t="n">
        <v>4</v>
      </c>
      <c r="E426" s="15" t="s">
        <v>1553</v>
      </c>
      <c r="F426" s="15" t="s">
        <v>170</v>
      </c>
      <c r="G426" s="15" t="n">
        <v>22</v>
      </c>
      <c r="H426" s="15" t="n">
        <v>1031</v>
      </c>
      <c r="I426" s="15" t="n">
        <v>4</v>
      </c>
      <c r="J426" s="15" t="n">
        <v>5</v>
      </c>
      <c r="K426" s="15" t="n">
        <v>165</v>
      </c>
      <c r="L426" s="15" t="n">
        <v>82</v>
      </c>
      <c r="M426" s="15" t="n">
        <v>34</v>
      </c>
      <c r="N426" s="15" t="n">
        <v>0</v>
      </c>
      <c r="O426" s="15" t="n">
        <v>0</v>
      </c>
      <c r="P426" s="16" t="n">
        <v>0</v>
      </c>
      <c r="Q426" s="15" t="n">
        <v>0</v>
      </c>
      <c r="R426" s="15" t="n">
        <v>0</v>
      </c>
      <c r="S426" s="17" t="n">
        <v>44250</v>
      </c>
      <c r="T426" s="15" t="s">
        <v>186</v>
      </c>
      <c r="U426" s="15" t="n">
        <v>2028</v>
      </c>
      <c r="V426" s="15" t="s">
        <v>1554</v>
      </c>
      <c r="W426" s="18" t="s">
        <v>188</v>
      </c>
      <c r="X426" s="18" t="s">
        <v>283</v>
      </c>
      <c r="Y426" s="15" t="s">
        <v>600</v>
      </c>
      <c r="Z426" s="15" t="s">
        <v>600</v>
      </c>
      <c r="AA426" s="19" t="str">
        <f aca="false">HYPERLINK("https://www.transfermarkt.com/schnellsuche/ergebnis/schnellsuche?query="&amp;SUBSTITUTE(A426," ","+"),"Search Transfermarkt")</f>
        <v>Search Transfermarkt</v>
      </c>
    </row>
    <row r="427" customFormat="false" ht="23.85" hidden="false" customHeight="false" outlineLevel="0" collapsed="false">
      <c r="A427" s="15" t="s">
        <v>1555</v>
      </c>
      <c r="B427" s="15" t="s">
        <v>92</v>
      </c>
      <c r="C427" s="15" t="s">
        <v>309</v>
      </c>
      <c r="D427" s="15" t="n">
        <v>2</v>
      </c>
      <c r="E427" s="15" t="s">
        <v>310</v>
      </c>
      <c r="F427" s="15" t="s">
        <v>170</v>
      </c>
      <c r="G427" s="15" t="n">
        <v>20</v>
      </c>
      <c r="H427" s="15" t="n">
        <v>816</v>
      </c>
      <c r="I427" s="15" t="n">
        <v>4</v>
      </c>
      <c r="J427" s="15" t="n">
        <v>9</v>
      </c>
      <c r="K427" s="15" t="n">
        <v>133</v>
      </c>
      <c r="L427" s="15" t="n">
        <v>62</v>
      </c>
      <c r="M427" s="15" t="n">
        <v>51</v>
      </c>
      <c r="N427" s="15" t="n">
        <v>0</v>
      </c>
      <c r="O427" s="15" t="n">
        <v>0</v>
      </c>
      <c r="P427" s="16" t="n">
        <v>0</v>
      </c>
      <c r="Q427" s="15" t="n">
        <v>0</v>
      </c>
      <c r="R427" s="15" t="n">
        <v>0</v>
      </c>
      <c r="S427" s="17" t="n">
        <v>0</v>
      </c>
      <c r="T427" s="15" t="s">
        <v>137</v>
      </c>
      <c r="U427" s="15" t="n">
        <v>2026</v>
      </c>
      <c r="V427" s="15" t="s">
        <v>311</v>
      </c>
      <c r="W427" s="18" t="s">
        <v>139</v>
      </c>
      <c r="X427" s="18" t="s">
        <v>159</v>
      </c>
      <c r="Y427" s="15" t="s">
        <v>600</v>
      </c>
      <c r="Z427" s="15" t="s">
        <v>600</v>
      </c>
      <c r="AA427" s="19" t="str">
        <f aca="false">HYPERLINK("https://www.transfermarkt.com/schnellsuche/ergebnis/schnellsuche?query="&amp;SUBSTITUTE(A427," ","+"),"Search Transfermarkt")</f>
        <v>Search Transfermarkt</v>
      </c>
    </row>
    <row r="428" customFormat="false" ht="23.85" hidden="false" customHeight="false" outlineLevel="0" collapsed="false">
      <c r="A428" s="15" t="s">
        <v>1556</v>
      </c>
      <c r="B428" s="15" t="s">
        <v>98</v>
      </c>
      <c r="C428" s="15" t="s">
        <v>462</v>
      </c>
      <c r="D428" s="15" t="n">
        <v>2</v>
      </c>
      <c r="E428" s="15" t="s">
        <v>463</v>
      </c>
      <c r="F428" s="15" t="s">
        <v>163</v>
      </c>
      <c r="G428" s="15" t="n">
        <v>23</v>
      </c>
      <c r="H428" s="15" t="n">
        <v>1418</v>
      </c>
      <c r="I428" s="15" t="n">
        <v>14</v>
      </c>
      <c r="J428" s="15" t="n">
        <v>5</v>
      </c>
      <c r="K428" s="15" t="n">
        <v>35</v>
      </c>
      <c r="L428" s="15" t="n">
        <v>91</v>
      </c>
      <c r="M428" s="15" t="n">
        <v>12</v>
      </c>
      <c r="N428" s="15" t="n">
        <v>0</v>
      </c>
      <c r="O428" s="15" t="n">
        <v>0</v>
      </c>
      <c r="P428" s="16" t="n">
        <v>0</v>
      </c>
      <c r="Q428" s="15" t="n">
        <v>0</v>
      </c>
      <c r="R428" s="15" t="n">
        <v>0</v>
      </c>
      <c r="S428" s="17" t="n">
        <v>0</v>
      </c>
      <c r="T428" s="15" t="s">
        <v>137</v>
      </c>
      <c r="U428" s="15" t="n">
        <v>2028</v>
      </c>
      <c r="V428" s="15" t="s">
        <v>464</v>
      </c>
      <c r="W428" s="18" t="s">
        <v>139</v>
      </c>
      <c r="X428" s="18" t="s">
        <v>148</v>
      </c>
      <c r="Y428" s="15" t="s">
        <v>600</v>
      </c>
      <c r="Z428" s="15" t="s">
        <v>600</v>
      </c>
      <c r="AA428" s="19" t="str">
        <f aca="false">HYPERLINK("https://www.transfermarkt.com/schnellsuche/ergebnis/schnellsuche?query="&amp;SUBSTITUTE(A428," ","+"),"Search Transfermarkt")</f>
        <v>Search Transfermarkt</v>
      </c>
    </row>
    <row r="429" customFormat="false" ht="23.85" hidden="false" customHeight="false" outlineLevel="0" collapsed="false">
      <c r="A429" s="15" t="s">
        <v>1557</v>
      </c>
      <c r="B429" s="15" t="s">
        <v>81</v>
      </c>
      <c r="C429" s="15" t="s">
        <v>680</v>
      </c>
      <c r="D429" s="15" t="n">
        <v>2</v>
      </c>
      <c r="E429" s="15" t="s">
        <v>1159</v>
      </c>
      <c r="F429" s="15" t="s">
        <v>136</v>
      </c>
      <c r="G429" s="15" t="n">
        <v>26</v>
      </c>
      <c r="H429" s="15" t="n">
        <v>2678</v>
      </c>
      <c r="I429" s="15" t="n">
        <v>0</v>
      </c>
      <c r="J429" s="15" t="n">
        <v>4</v>
      </c>
      <c r="K429" s="15" t="n">
        <v>42</v>
      </c>
      <c r="L429" s="15" t="n">
        <v>29</v>
      </c>
      <c r="M429" s="15" t="n">
        <v>89</v>
      </c>
      <c r="N429" s="15" t="n">
        <v>0</v>
      </c>
      <c r="O429" s="15" t="n">
        <v>0</v>
      </c>
      <c r="P429" s="16" t="n">
        <v>0</v>
      </c>
      <c r="Q429" s="15" t="n">
        <v>0</v>
      </c>
      <c r="R429" s="15" t="n">
        <v>0</v>
      </c>
      <c r="S429" s="17" t="n">
        <v>29063</v>
      </c>
      <c r="T429" s="15" t="s">
        <v>137</v>
      </c>
      <c r="U429" s="15" t="n">
        <v>2028</v>
      </c>
      <c r="V429" s="15" t="s">
        <v>1160</v>
      </c>
      <c r="W429" s="18" t="s">
        <v>139</v>
      </c>
      <c r="X429" s="18" t="s">
        <v>407</v>
      </c>
      <c r="Y429" s="15" t="s">
        <v>600</v>
      </c>
      <c r="Z429" s="15" t="s">
        <v>600</v>
      </c>
      <c r="AA429" s="19" t="str">
        <f aca="false">HYPERLINK("https://www.transfermarkt.com/schnellsuche/ergebnis/schnellsuche?query="&amp;SUBSTITUTE(A429," ","+"),"Search Transfermarkt")</f>
        <v>Search Transfermarkt</v>
      </c>
    </row>
    <row r="430" customFormat="false" ht="23.85" hidden="false" customHeight="false" outlineLevel="0" collapsed="false">
      <c r="A430" s="15" t="s">
        <v>1558</v>
      </c>
      <c r="B430" s="15" t="s">
        <v>83</v>
      </c>
      <c r="C430" s="15" t="s">
        <v>943</v>
      </c>
      <c r="D430" s="15" t="n">
        <v>3</v>
      </c>
      <c r="E430" s="15" t="s">
        <v>1559</v>
      </c>
      <c r="F430" s="15" t="s">
        <v>163</v>
      </c>
      <c r="G430" s="15" t="n">
        <v>17</v>
      </c>
      <c r="H430" s="15" t="n">
        <v>1860</v>
      </c>
      <c r="I430" s="15" t="n">
        <v>10</v>
      </c>
      <c r="J430" s="15" t="n">
        <v>3</v>
      </c>
      <c r="K430" s="15" t="n">
        <v>62</v>
      </c>
      <c r="L430" s="15" t="n">
        <v>64</v>
      </c>
      <c r="M430" s="15" t="n">
        <v>4</v>
      </c>
      <c r="N430" s="15" t="n">
        <v>0</v>
      </c>
      <c r="O430" s="15" t="n">
        <v>0</v>
      </c>
      <c r="P430" s="16" t="n">
        <v>0</v>
      </c>
      <c r="Q430" s="15" t="n">
        <v>0</v>
      </c>
      <c r="R430" s="15" t="n">
        <v>0</v>
      </c>
      <c r="S430" s="17" t="n">
        <v>0</v>
      </c>
      <c r="T430" s="15" t="s">
        <v>164</v>
      </c>
      <c r="U430" s="15" t="n">
        <v>2027</v>
      </c>
      <c r="V430" s="15" t="s">
        <v>1560</v>
      </c>
      <c r="W430" s="18" t="s">
        <v>147</v>
      </c>
      <c r="X430" s="18" t="s">
        <v>379</v>
      </c>
      <c r="Y430" s="15" t="s">
        <v>600</v>
      </c>
      <c r="Z430" s="15" t="s">
        <v>600</v>
      </c>
      <c r="AA430" s="19" t="str">
        <f aca="false">HYPERLINK("https://www.transfermarkt.com/schnellsuche/ergebnis/schnellsuche?query="&amp;SUBSTITUTE(A430," ","+"),"Search Transfermarkt")</f>
        <v>Search Transfermarkt</v>
      </c>
    </row>
    <row r="431" customFormat="false" ht="23.85" hidden="false" customHeight="false" outlineLevel="0" collapsed="false">
      <c r="A431" s="15" t="s">
        <v>1561</v>
      </c>
      <c r="B431" s="15" t="s">
        <v>99</v>
      </c>
      <c r="C431" s="15" t="s">
        <v>574</v>
      </c>
      <c r="D431" s="15" t="n">
        <v>2</v>
      </c>
      <c r="E431" s="15" t="s">
        <v>200</v>
      </c>
      <c r="F431" s="15" t="s">
        <v>163</v>
      </c>
      <c r="G431" s="15" t="n">
        <v>22</v>
      </c>
      <c r="H431" s="15" t="n">
        <v>2446</v>
      </c>
      <c r="I431" s="15" t="n">
        <v>8</v>
      </c>
      <c r="J431" s="15" t="n">
        <v>2</v>
      </c>
      <c r="K431" s="15" t="n">
        <v>45</v>
      </c>
      <c r="L431" s="15" t="n">
        <v>78</v>
      </c>
      <c r="M431" s="15" t="n">
        <v>11</v>
      </c>
      <c r="N431" s="15" t="n">
        <v>0</v>
      </c>
      <c r="O431" s="15" t="n">
        <v>0</v>
      </c>
      <c r="P431" s="16" t="n">
        <v>0</v>
      </c>
      <c r="Q431" s="15" t="n">
        <v>0</v>
      </c>
      <c r="R431" s="15" t="n">
        <v>0</v>
      </c>
      <c r="S431" s="17" t="n">
        <v>128913</v>
      </c>
      <c r="T431" s="15" t="s">
        <v>186</v>
      </c>
      <c r="U431" s="15" t="n">
        <v>2029</v>
      </c>
      <c r="V431" s="15" t="s">
        <v>201</v>
      </c>
      <c r="W431" s="18" t="s">
        <v>188</v>
      </c>
      <c r="X431" s="18" t="s">
        <v>189</v>
      </c>
      <c r="Y431" s="15" t="s">
        <v>600</v>
      </c>
      <c r="Z431" s="15" t="s">
        <v>600</v>
      </c>
      <c r="AA431" s="19" t="str">
        <f aca="false">HYPERLINK("https://www.transfermarkt.com/schnellsuche/ergebnis/schnellsuche?query="&amp;SUBSTITUTE(A431," ","+"),"Search Transfermarkt")</f>
        <v>Search Transfermarkt</v>
      </c>
    </row>
    <row r="432" customFormat="false" ht="23.85" hidden="false" customHeight="false" outlineLevel="0" collapsed="false">
      <c r="A432" s="15" t="s">
        <v>1562</v>
      </c>
      <c r="B432" s="15" t="s">
        <v>62</v>
      </c>
      <c r="C432" s="15" t="s">
        <v>208</v>
      </c>
      <c r="D432" s="15" t="n">
        <v>3</v>
      </c>
      <c r="E432" s="15" t="s">
        <v>209</v>
      </c>
      <c r="F432" s="15" t="s">
        <v>136</v>
      </c>
      <c r="G432" s="15" t="n">
        <v>21</v>
      </c>
      <c r="H432" s="15" t="n">
        <v>2554</v>
      </c>
      <c r="I432" s="15" t="n">
        <v>0</v>
      </c>
      <c r="J432" s="15" t="n">
        <v>2</v>
      </c>
      <c r="K432" s="15" t="n">
        <v>69</v>
      </c>
      <c r="L432" s="15" t="n">
        <v>30</v>
      </c>
      <c r="M432" s="15" t="n">
        <v>99</v>
      </c>
      <c r="N432" s="15" t="n">
        <v>0</v>
      </c>
      <c r="O432" s="15" t="n">
        <v>0</v>
      </c>
      <c r="P432" s="16" t="n">
        <v>0</v>
      </c>
      <c r="Q432" s="15" t="n">
        <v>0</v>
      </c>
      <c r="R432" s="15" t="n">
        <v>0</v>
      </c>
      <c r="S432" s="17" t="n">
        <v>144049</v>
      </c>
      <c r="T432" s="15" t="s">
        <v>137</v>
      </c>
      <c r="U432" s="15" t="n">
        <v>2029</v>
      </c>
      <c r="V432" s="15" t="s">
        <v>210</v>
      </c>
      <c r="W432" s="18" t="s">
        <v>139</v>
      </c>
      <c r="X432" s="18" t="s">
        <v>211</v>
      </c>
      <c r="Y432" s="15" t="s">
        <v>600</v>
      </c>
      <c r="Z432" s="15" t="s">
        <v>600</v>
      </c>
      <c r="AA432" s="19" t="str">
        <f aca="false">HYPERLINK("https://www.transfermarkt.com/schnellsuche/ergebnis/schnellsuche?query="&amp;SUBSTITUTE(A432," ","+"),"Search Transfermarkt")</f>
        <v>Search Transfermarkt</v>
      </c>
    </row>
    <row r="433" customFormat="false" ht="23.85" hidden="false" customHeight="false" outlineLevel="0" collapsed="false">
      <c r="A433" s="15" t="s">
        <v>1563</v>
      </c>
      <c r="B433" s="15" t="s">
        <v>102</v>
      </c>
      <c r="C433" s="15" t="s">
        <v>695</v>
      </c>
      <c r="D433" s="15" t="n">
        <v>2</v>
      </c>
      <c r="E433" s="15" t="s">
        <v>483</v>
      </c>
      <c r="F433" s="15" t="s">
        <v>163</v>
      </c>
      <c r="G433" s="15" t="n">
        <v>24</v>
      </c>
      <c r="H433" s="15" t="n">
        <v>2128</v>
      </c>
      <c r="I433" s="15" t="n">
        <v>13</v>
      </c>
      <c r="J433" s="15" t="n">
        <v>5</v>
      </c>
      <c r="K433" s="15" t="n">
        <v>38</v>
      </c>
      <c r="L433" s="15" t="n">
        <v>70</v>
      </c>
      <c r="M433" s="15" t="n">
        <v>15</v>
      </c>
      <c r="N433" s="15" t="n">
        <v>0</v>
      </c>
      <c r="O433" s="15" t="n">
        <v>0</v>
      </c>
      <c r="P433" s="16" t="n">
        <v>0</v>
      </c>
      <c r="Q433" s="15" t="n">
        <v>0</v>
      </c>
      <c r="R433" s="15" t="n">
        <v>0</v>
      </c>
      <c r="S433" s="17" t="n">
        <v>0</v>
      </c>
      <c r="T433" s="15" t="s">
        <v>186</v>
      </c>
      <c r="U433" s="15" t="n">
        <v>2026</v>
      </c>
      <c r="V433" s="15" t="s">
        <v>484</v>
      </c>
      <c r="W433" s="18" t="s">
        <v>188</v>
      </c>
      <c r="X433" s="18" t="s">
        <v>453</v>
      </c>
      <c r="Y433" s="15" t="s">
        <v>600</v>
      </c>
      <c r="Z433" s="15" t="s">
        <v>600</v>
      </c>
      <c r="AA433" s="19" t="str">
        <f aca="false">HYPERLINK("https://www.transfermarkt.com/schnellsuche/ergebnis/schnellsuche?query="&amp;SUBSTITUTE(A433," ","+"),"Search Transfermarkt")</f>
        <v>Search Transfermarkt</v>
      </c>
    </row>
    <row r="434" customFormat="false" ht="23.85" hidden="false" customHeight="false" outlineLevel="0" collapsed="false">
      <c r="A434" s="15" t="s">
        <v>1564</v>
      </c>
      <c r="B434" s="15" t="s">
        <v>89</v>
      </c>
      <c r="C434" s="15" t="s">
        <v>1298</v>
      </c>
      <c r="D434" s="15" t="n">
        <v>2</v>
      </c>
      <c r="E434" s="15" t="s">
        <v>1565</v>
      </c>
      <c r="F434" s="15" t="s">
        <v>170</v>
      </c>
      <c r="G434" s="15" t="n">
        <v>26</v>
      </c>
      <c r="H434" s="15" t="n">
        <v>1770</v>
      </c>
      <c r="I434" s="15" t="n">
        <v>9</v>
      </c>
      <c r="J434" s="15" t="n">
        <v>9</v>
      </c>
      <c r="K434" s="15" t="n">
        <v>162</v>
      </c>
      <c r="L434" s="15" t="n">
        <v>60</v>
      </c>
      <c r="M434" s="15" t="n">
        <v>57</v>
      </c>
      <c r="N434" s="15" t="n">
        <v>0</v>
      </c>
      <c r="O434" s="15" t="n">
        <v>0</v>
      </c>
      <c r="P434" s="16" t="n">
        <v>0</v>
      </c>
      <c r="Q434" s="15" t="n">
        <v>0</v>
      </c>
      <c r="R434" s="15" t="n">
        <v>0</v>
      </c>
      <c r="S434" s="17" t="n">
        <v>100647</v>
      </c>
      <c r="T434" s="15" t="s">
        <v>186</v>
      </c>
      <c r="U434" s="15" t="n">
        <v>2027</v>
      </c>
      <c r="V434" s="15" t="s">
        <v>1566</v>
      </c>
      <c r="W434" s="18" t="s">
        <v>188</v>
      </c>
      <c r="X434" s="18" t="s">
        <v>206</v>
      </c>
      <c r="Y434" s="15" t="s">
        <v>600</v>
      </c>
      <c r="Z434" s="15" t="s">
        <v>600</v>
      </c>
      <c r="AA434" s="19" t="str">
        <f aca="false">HYPERLINK("https://www.transfermarkt.com/schnellsuche/ergebnis/schnellsuche?query="&amp;SUBSTITUTE(A434," ","+"),"Search Transfermarkt")</f>
        <v>Search Transfermarkt</v>
      </c>
    </row>
    <row r="435" customFormat="false" ht="23.85" hidden="false" customHeight="false" outlineLevel="0" collapsed="false">
      <c r="A435" s="15" t="s">
        <v>1567</v>
      </c>
      <c r="B435" s="15" t="s">
        <v>76</v>
      </c>
      <c r="C435" s="15" t="s">
        <v>1498</v>
      </c>
      <c r="D435" s="15" t="n">
        <v>4</v>
      </c>
      <c r="E435" s="15" t="s">
        <v>1568</v>
      </c>
      <c r="F435" s="15" t="s">
        <v>170</v>
      </c>
      <c r="G435" s="15" t="n">
        <v>21</v>
      </c>
      <c r="H435" s="15" t="n">
        <v>1942</v>
      </c>
      <c r="I435" s="15" t="n">
        <v>6</v>
      </c>
      <c r="J435" s="15" t="n">
        <v>8</v>
      </c>
      <c r="K435" s="15" t="n">
        <v>142</v>
      </c>
      <c r="L435" s="15" t="n">
        <v>69</v>
      </c>
      <c r="M435" s="15" t="n">
        <v>30</v>
      </c>
      <c r="N435" s="15" t="n">
        <v>0</v>
      </c>
      <c r="O435" s="15" t="n">
        <v>0</v>
      </c>
      <c r="P435" s="16" t="n">
        <v>0</v>
      </c>
      <c r="Q435" s="15" t="n">
        <v>0</v>
      </c>
      <c r="R435" s="15" t="n">
        <v>0</v>
      </c>
      <c r="S435" s="17" t="n">
        <v>100472</v>
      </c>
      <c r="T435" s="15" t="s">
        <v>164</v>
      </c>
      <c r="U435" s="15" t="n">
        <v>2026</v>
      </c>
      <c r="V435" s="15" t="s">
        <v>1569</v>
      </c>
      <c r="W435" s="18" t="s">
        <v>139</v>
      </c>
      <c r="X435" s="18" t="s">
        <v>241</v>
      </c>
      <c r="Y435" s="15" t="s">
        <v>600</v>
      </c>
      <c r="Z435" s="15" t="s">
        <v>600</v>
      </c>
      <c r="AA435" s="19" t="str">
        <f aca="false">HYPERLINK("https://www.transfermarkt.com/schnellsuche/ergebnis/schnellsuche?query="&amp;SUBSTITUTE(A435," ","+"),"Search Transfermarkt")</f>
        <v>Search Transfermarkt</v>
      </c>
    </row>
    <row r="436" customFormat="false" ht="23.85" hidden="false" customHeight="false" outlineLevel="0" collapsed="false">
      <c r="A436" s="15" t="s">
        <v>1570</v>
      </c>
      <c r="B436" s="15" t="s">
        <v>104</v>
      </c>
      <c r="C436" s="15" t="s">
        <v>1063</v>
      </c>
      <c r="D436" s="15" t="n">
        <v>2</v>
      </c>
      <c r="E436" s="15" t="s">
        <v>1571</v>
      </c>
      <c r="F436" s="15" t="s">
        <v>170</v>
      </c>
      <c r="G436" s="15" t="n">
        <v>25</v>
      </c>
      <c r="H436" s="15" t="n">
        <v>1835</v>
      </c>
      <c r="I436" s="15" t="n">
        <v>3</v>
      </c>
      <c r="J436" s="15" t="n">
        <v>10</v>
      </c>
      <c r="K436" s="15" t="n">
        <v>106</v>
      </c>
      <c r="L436" s="15" t="n">
        <v>79</v>
      </c>
      <c r="M436" s="15" t="n">
        <v>34</v>
      </c>
      <c r="N436" s="15" t="n">
        <v>0</v>
      </c>
      <c r="O436" s="15" t="n">
        <v>0</v>
      </c>
      <c r="P436" s="16" t="n">
        <v>0</v>
      </c>
      <c r="Q436" s="15" t="n">
        <v>0</v>
      </c>
      <c r="R436" s="15" t="n">
        <v>0</v>
      </c>
      <c r="S436" s="17" t="n">
        <v>45894</v>
      </c>
      <c r="T436" s="15" t="s">
        <v>164</v>
      </c>
      <c r="U436" s="15" t="n">
        <v>2027</v>
      </c>
      <c r="V436" s="15" t="s">
        <v>1572</v>
      </c>
      <c r="W436" s="18" t="s">
        <v>139</v>
      </c>
      <c r="X436" s="18" t="s">
        <v>274</v>
      </c>
      <c r="Y436" s="15" t="s">
        <v>600</v>
      </c>
      <c r="Z436" s="15" t="s">
        <v>600</v>
      </c>
      <c r="AA436" s="19" t="str">
        <f aca="false">HYPERLINK("https://www.transfermarkt.com/schnellsuche/ergebnis/schnellsuche?query="&amp;SUBSTITUTE(A436," ","+"),"Search Transfermarkt")</f>
        <v>Search Transfermarkt</v>
      </c>
    </row>
    <row r="437" customFormat="false" ht="23.85" hidden="false" customHeight="false" outlineLevel="0" collapsed="false">
      <c r="A437" s="15" t="s">
        <v>1573</v>
      </c>
      <c r="B437" s="15" t="s">
        <v>73</v>
      </c>
      <c r="C437" s="15" t="s">
        <v>1574</v>
      </c>
      <c r="D437" s="15" t="n">
        <v>2</v>
      </c>
      <c r="E437" s="15" t="s">
        <v>1575</v>
      </c>
      <c r="F437" s="15" t="s">
        <v>163</v>
      </c>
      <c r="G437" s="15" t="n">
        <v>23</v>
      </c>
      <c r="H437" s="15" t="n">
        <v>2589</v>
      </c>
      <c r="I437" s="15" t="n">
        <v>11</v>
      </c>
      <c r="J437" s="15" t="n">
        <v>3</v>
      </c>
      <c r="K437" s="15" t="n">
        <v>55</v>
      </c>
      <c r="L437" s="15" t="n">
        <v>60</v>
      </c>
      <c r="M437" s="15" t="n">
        <v>15</v>
      </c>
      <c r="N437" s="15" t="n">
        <v>0</v>
      </c>
      <c r="O437" s="15" t="n">
        <v>0</v>
      </c>
      <c r="P437" s="16" t="n">
        <v>0</v>
      </c>
      <c r="Q437" s="15" t="n">
        <v>0</v>
      </c>
      <c r="R437" s="15" t="n">
        <v>0</v>
      </c>
      <c r="S437" s="17" t="n">
        <v>0</v>
      </c>
      <c r="T437" s="15" t="s">
        <v>164</v>
      </c>
      <c r="U437" s="15" t="n">
        <v>2026</v>
      </c>
      <c r="V437" s="15" t="s">
        <v>1576</v>
      </c>
      <c r="W437" s="18" t="s">
        <v>139</v>
      </c>
      <c r="X437" s="18" t="s">
        <v>172</v>
      </c>
      <c r="Y437" s="15" t="s">
        <v>600</v>
      </c>
      <c r="Z437" s="15" t="s">
        <v>600</v>
      </c>
      <c r="AA437" s="19" t="str">
        <f aca="false">HYPERLINK("https://www.transfermarkt.com/schnellsuche/ergebnis/schnellsuche?query="&amp;SUBSTITUTE(A437," ","+"),"Search Transfermarkt")</f>
        <v>Search Transfermarkt</v>
      </c>
    </row>
    <row r="438" customFormat="false" ht="23.85" hidden="false" customHeight="false" outlineLevel="0" collapsed="false">
      <c r="A438" s="15" t="s">
        <v>1577</v>
      </c>
      <c r="B438" s="15" t="s">
        <v>106</v>
      </c>
      <c r="C438" s="15" t="s">
        <v>556</v>
      </c>
      <c r="D438" s="15" t="n">
        <v>3</v>
      </c>
      <c r="E438" s="15" t="s">
        <v>1578</v>
      </c>
      <c r="F438" s="15" t="s">
        <v>163</v>
      </c>
      <c r="G438" s="15" t="n">
        <v>18</v>
      </c>
      <c r="H438" s="15" t="n">
        <v>2671</v>
      </c>
      <c r="I438" s="15" t="n">
        <v>18</v>
      </c>
      <c r="J438" s="15" t="n">
        <v>1</v>
      </c>
      <c r="K438" s="15" t="n">
        <v>65</v>
      </c>
      <c r="L438" s="15" t="n">
        <v>73</v>
      </c>
      <c r="M438" s="15" t="n">
        <v>10</v>
      </c>
      <c r="N438" s="15" t="n">
        <v>0</v>
      </c>
      <c r="O438" s="15" t="n">
        <v>0</v>
      </c>
      <c r="P438" s="16" t="n">
        <v>0</v>
      </c>
      <c r="Q438" s="15" t="n">
        <v>0</v>
      </c>
      <c r="R438" s="15" t="n">
        <v>0</v>
      </c>
      <c r="S438" s="17" t="n">
        <v>141841</v>
      </c>
      <c r="T438" s="15" t="s">
        <v>137</v>
      </c>
      <c r="U438" s="15" t="n">
        <v>2028</v>
      </c>
      <c r="V438" s="15" t="s">
        <v>1579</v>
      </c>
      <c r="W438" s="18" t="s">
        <v>139</v>
      </c>
      <c r="X438" s="18" t="s">
        <v>283</v>
      </c>
      <c r="Y438" s="15" t="s">
        <v>600</v>
      </c>
      <c r="Z438" s="15" t="s">
        <v>600</v>
      </c>
      <c r="AA438" s="19" t="str">
        <f aca="false">HYPERLINK("https://www.transfermarkt.com/schnellsuche/ergebnis/schnellsuche?query="&amp;SUBSTITUTE(A438," ","+"),"Search Transfermarkt")</f>
        <v>Search Transfermarkt</v>
      </c>
    </row>
    <row r="439" customFormat="false" ht="23.85" hidden="false" customHeight="false" outlineLevel="0" collapsed="false">
      <c r="A439" s="15" t="s">
        <v>1580</v>
      </c>
      <c r="B439" s="15" t="s">
        <v>75</v>
      </c>
      <c r="C439" s="15" t="s">
        <v>1581</v>
      </c>
      <c r="D439" s="15" t="n">
        <v>3</v>
      </c>
      <c r="E439" s="15" t="s">
        <v>1582</v>
      </c>
      <c r="F439" s="15" t="s">
        <v>163</v>
      </c>
      <c r="G439" s="15" t="n">
        <v>20</v>
      </c>
      <c r="H439" s="15" t="n">
        <v>2652</v>
      </c>
      <c r="I439" s="15" t="n">
        <v>20</v>
      </c>
      <c r="J439" s="15" t="n">
        <v>4</v>
      </c>
      <c r="K439" s="15" t="n">
        <v>59</v>
      </c>
      <c r="L439" s="15" t="n">
        <v>80</v>
      </c>
      <c r="M439" s="15" t="n">
        <v>15</v>
      </c>
      <c r="N439" s="15" t="n">
        <v>0</v>
      </c>
      <c r="O439" s="15" t="n">
        <v>0</v>
      </c>
      <c r="P439" s="16" t="n">
        <v>0</v>
      </c>
      <c r="Q439" s="15" t="n">
        <v>0</v>
      </c>
      <c r="R439" s="15" t="n">
        <v>0</v>
      </c>
      <c r="S439" s="17" t="n">
        <v>36445</v>
      </c>
      <c r="T439" s="15" t="s">
        <v>186</v>
      </c>
      <c r="U439" s="15" t="n">
        <v>2026</v>
      </c>
      <c r="V439" s="15" t="s">
        <v>1583</v>
      </c>
      <c r="W439" s="18" t="s">
        <v>188</v>
      </c>
      <c r="X439" s="18" t="s">
        <v>197</v>
      </c>
      <c r="Y439" s="15" t="s">
        <v>600</v>
      </c>
      <c r="Z439" s="15" t="s">
        <v>600</v>
      </c>
      <c r="AA439" s="19" t="str">
        <f aca="false">HYPERLINK("https://www.transfermarkt.com/schnellsuche/ergebnis/schnellsuche?query="&amp;SUBSTITUTE(A439," ","+"),"Search Transfermarkt")</f>
        <v>Search Transfermarkt</v>
      </c>
    </row>
    <row r="440" customFormat="false" ht="23.85" hidden="false" customHeight="false" outlineLevel="0" collapsed="false">
      <c r="A440" s="15" t="s">
        <v>1584</v>
      </c>
      <c r="B440" s="15" t="s">
        <v>66</v>
      </c>
      <c r="C440" s="15" t="s">
        <v>1358</v>
      </c>
      <c r="D440" s="15" t="n">
        <v>2</v>
      </c>
      <c r="E440" s="15" t="s">
        <v>1047</v>
      </c>
      <c r="F440" s="15" t="s">
        <v>170</v>
      </c>
      <c r="G440" s="15" t="n">
        <v>24</v>
      </c>
      <c r="H440" s="15" t="n">
        <v>2620</v>
      </c>
      <c r="I440" s="15" t="n">
        <v>5</v>
      </c>
      <c r="J440" s="15" t="n">
        <v>14</v>
      </c>
      <c r="K440" s="15" t="n">
        <v>131</v>
      </c>
      <c r="L440" s="15" t="n">
        <v>80</v>
      </c>
      <c r="M440" s="15" t="n">
        <v>57</v>
      </c>
      <c r="N440" s="15" t="n">
        <v>0</v>
      </c>
      <c r="O440" s="15" t="n">
        <v>0</v>
      </c>
      <c r="P440" s="16" t="n">
        <v>0</v>
      </c>
      <c r="Q440" s="15" t="n">
        <v>0</v>
      </c>
      <c r="R440" s="15" t="n">
        <v>0</v>
      </c>
      <c r="S440" s="17" t="n">
        <v>138838</v>
      </c>
      <c r="T440" s="15" t="s">
        <v>164</v>
      </c>
      <c r="U440" s="15" t="n">
        <v>2027</v>
      </c>
      <c r="V440" s="15" t="s">
        <v>1048</v>
      </c>
      <c r="W440" s="18" t="s">
        <v>139</v>
      </c>
      <c r="X440" s="18" t="s">
        <v>182</v>
      </c>
      <c r="Y440" s="15" t="s">
        <v>600</v>
      </c>
      <c r="Z440" s="15" t="s">
        <v>600</v>
      </c>
      <c r="AA440" s="19" t="str">
        <f aca="false">HYPERLINK("https://www.transfermarkt.com/schnellsuche/ergebnis/schnellsuche?query="&amp;SUBSTITUTE(A440," ","+"),"Search Transfermarkt")</f>
        <v>Search Transfermarkt</v>
      </c>
    </row>
    <row r="441" customFormat="false" ht="23.85" hidden="false" customHeight="false" outlineLevel="0" collapsed="false">
      <c r="A441" s="15" t="s">
        <v>1585</v>
      </c>
      <c r="B441" s="15" t="s">
        <v>100</v>
      </c>
      <c r="C441" s="15" t="s">
        <v>845</v>
      </c>
      <c r="D441" s="15" t="n">
        <v>4</v>
      </c>
      <c r="E441" s="15" t="s">
        <v>1586</v>
      </c>
      <c r="F441" s="15" t="s">
        <v>163</v>
      </c>
      <c r="G441" s="15" t="n">
        <v>24</v>
      </c>
      <c r="H441" s="15" t="n">
        <v>1525</v>
      </c>
      <c r="I441" s="15" t="n">
        <v>7</v>
      </c>
      <c r="J441" s="15" t="n">
        <v>8</v>
      </c>
      <c r="K441" s="15" t="n">
        <v>67</v>
      </c>
      <c r="L441" s="15" t="n">
        <v>101</v>
      </c>
      <c r="M441" s="15" t="n">
        <v>5</v>
      </c>
      <c r="N441" s="15" t="n">
        <v>0</v>
      </c>
      <c r="O441" s="15" t="n">
        <v>0</v>
      </c>
      <c r="P441" s="16" t="n">
        <v>0</v>
      </c>
      <c r="Q441" s="15" t="n">
        <v>0</v>
      </c>
      <c r="R441" s="15" t="n">
        <v>0</v>
      </c>
      <c r="S441" s="17" t="n">
        <v>0</v>
      </c>
      <c r="T441" s="15" t="s">
        <v>186</v>
      </c>
      <c r="U441" s="15" t="n">
        <v>2027</v>
      </c>
      <c r="V441" s="15" t="s">
        <v>1587</v>
      </c>
      <c r="W441" s="18" t="s">
        <v>188</v>
      </c>
      <c r="X441" s="18" t="s">
        <v>221</v>
      </c>
      <c r="Y441" s="15" t="s">
        <v>600</v>
      </c>
      <c r="Z441" s="15" t="s">
        <v>600</v>
      </c>
      <c r="AA441" s="19" t="str">
        <f aca="false">HYPERLINK("https://www.transfermarkt.com/schnellsuche/ergebnis/schnellsuche?query="&amp;SUBSTITUTE(A441," ","+"),"Search Transfermarkt")</f>
        <v>Search Transfermarkt</v>
      </c>
    </row>
    <row r="442" customFormat="false" ht="23.85" hidden="false" customHeight="false" outlineLevel="0" collapsed="false">
      <c r="A442" s="15" t="s">
        <v>1588</v>
      </c>
      <c r="B442" s="15" t="s">
        <v>81</v>
      </c>
      <c r="C442" s="15" t="s">
        <v>1035</v>
      </c>
      <c r="D442" s="15" t="n">
        <v>2</v>
      </c>
      <c r="E442" s="15" t="s">
        <v>1589</v>
      </c>
      <c r="F442" s="15" t="s">
        <v>136</v>
      </c>
      <c r="G442" s="15" t="n">
        <v>24</v>
      </c>
      <c r="H442" s="15" t="n">
        <v>1551</v>
      </c>
      <c r="I442" s="15" t="n">
        <v>2</v>
      </c>
      <c r="J442" s="15" t="n">
        <v>5</v>
      </c>
      <c r="K442" s="15" t="n">
        <v>51</v>
      </c>
      <c r="L442" s="15" t="n">
        <v>25</v>
      </c>
      <c r="M442" s="15" t="n">
        <v>99</v>
      </c>
      <c r="N442" s="15" t="n">
        <v>0</v>
      </c>
      <c r="O442" s="15" t="n">
        <v>0</v>
      </c>
      <c r="P442" s="16" t="n">
        <v>0</v>
      </c>
      <c r="Q442" s="15" t="n">
        <v>0</v>
      </c>
      <c r="R442" s="15" t="n">
        <v>0</v>
      </c>
      <c r="S442" s="17" t="n">
        <v>0</v>
      </c>
      <c r="T442" s="15" t="s">
        <v>186</v>
      </c>
      <c r="U442" s="15" t="n">
        <v>2029</v>
      </c>
      <c r="V442" s="15" t="s">
        <v>1590</v>
      </c>
      <c r="W442" s="18" t="s">
        <v>188</v>
      </c>
      <c r="X442" s="18" t="s">
        <v>407</v>
      </c>
      <c r="Y442" s="15" t="s">
        <v>600</v>
      </c>
      <c r="Z442" s="15" t="s">
        <v>600</v>
      </c>
      <c r="AA442" s="19" t="str">
        <f aca="false">HYPERLINK("https://www.transfermarkt.com/schnellsuche/ergebnis/schnellsuche?query="&amp;SUBSTITUTE(A442," ","+"),"Search Transfermarkt")</f>
        <v>Search Transfermarkt</v>
      </c>
    </row>
    <row r="443" customFormat="false" ht="23.85" hidden="false" customHeight="false" outlineLevel="0" collapsed="false">
      <c r="A443" s="15" t="s">
        <v>1591</v>
      </c>
      <c r="B443" s="15" t="s">
        <v>88</v>
      </c>
      <c r="C443" s="15" t="s">
        <v>1330</v>
      </c>
      <c r="D443" s="15" t="n">
        <v>3</v>
      </c>
      <c r="E443" s="15" t="s">
        <v>614</v>
      </c>
      <c r="F443" s="15" t="s">
        <v>163</v>
      </c>
      <c r="G443" s="15" t="n">
        <v>25</v>
      </c>
      <c r="H443" s="15" t="n">
        <v>2343</v>
      </c>
      <c r="I443" s="15" t="n">
        <v>8</v>
      </c>
      <c r="J443" s="15" t="n">
        <v>2</v>
      </c>
      <c r="K443" s="15" t="n">
        <v>56</v>
      </c>
      <c r="L443" s="15" t="n">
        <v>90</v>
      </c>
      <c r="M443" s="15" t="n">
        <v>16</v>
      </c>
      <c r="N443" s="15" t="n">
        <v>0</v>
      </c>
      <c r="O443" s="15" t="n">
        <v>0</v>
      </c>
      <c r="P443" s="16" t="n">
        <v>0</v>
      </c>
      <c r="Q443" s="15" t="n">
        <v>0</v>
      </c>
      <c r="R443" s="15" t="n">
        <v>0</v>
      </c>
      <c r="S443" s="17" t="n">
        <v>107967</v>
      </c>
      <c r="T443" s="15" t="s">
        <v>164</v>
      </c>
      <c r="U443" s="15" t="n">
        <v>2027</v>
      </c>
      <c r="V443" s="15" t="s">
        <v>615</v>
      </c>
      <c r="W443" s="18" t="s">
        <v>139</v>
      </c>
      <c r="X443" s="18" t="s">
        <v>320</v>
      </c>
      <c r="Y443" s="15" t="s">
        <v>600</v>
      </c>
      <c r="Z443" s="15" t="s">
        <v>600</v>
      </c>
      <c r="AA443" s="19" t="str">
        <f aca="false">HYPERLINK("https://www.transfermarkt.com/schnellsuche/ergebnis/schnellsuche?query="&amp;SUBSTITUTE(A443," ","+"),"Search Transfermarkt")</f>
        <v>Search Transfermarkt</v>
      </c>
    </row>
    <row r="444" customFormat="false" ht="23.85" hidden="false" customHeight="false" outlineLevel="0" collapsed="false">
      <c r="A444" s="15" t="s">
        <v>1592</v>
      </c>
      <c r="B444" s="15" t="s">
        <v>69</v>
      </c>
      <c r="C444" s="15" t="s">
        <v>134</v>
      </c>
      <c r="D444" s="15" t="n">
        <v>2</v>
      </c>
      <c r="E444" s="15" t="s">
        <v>1593</v>
      </c>
      <c r="F444" s="15" t="s">
        <v>136</v>
      </c>
      <c r="G444" s="15" t="n">
        <v>18</v>
      </c>
      <c r="H444" s="15" t="n">
        <v>2476</v>
      </c>
      <c r="I444" s="15" t="n">
        <v>1</v>
      </c>
      <c r="J444" s="15" t="n">
        <v>4</v>
      </c>
      <c r="K444" s="15" t="n">
        <v>62</v>
      </c>
      <c r="L444" s="15" t="n">
        <v>34</v>
      </c>
      <c r="M444" s="15" t="n">
        <v>75</v>
      </c>
      <c r="N444" s="15" t="n">
        <v>0</v>
      </c>
      <c r="O444" s="15" t="n">
        <v>0</v>
      </c>
      <c r="P444" s="16" t="n">
        <v>0</v>
      </c>
      <c r="Q444" s="15" t="n">
        <v>0</v>
      </c>
      <c r="R444" s="15" t="n">
        <v>0</v>
      </c>
      <c r="S444" s="17" t="n">
        <v>0</v>
      </c>
      <c r="T444" s="15" t="s">
        <v>186</v>
      </c>
      <c r="U444" s="15" t="n">
        <v>2026</v>
      </c>
      <c r="V444" s="15" t="s">
        <v>1594</v>
      </c>
      <c r="W444" s="18" t="s">
        <v>188</v>
      </c>
      <c r="X444" s="18" t="s">
        <v>140</v>
      </c>
      <c r="Y444" s="15" t="s">
        <v>600</v>
      </c>
      <c r="Z444" s="15" t="s">
        <v>600</v>
      </c>
      <c r="AA444" s="19" t="str">
        <f aca="false">HYPERLINK("https://www.transfermarkt.com/schnellsuche/ergebnis/schnellsuche?query="&amp;SUBSTITUTE(A444," ","+"),"Search Transfermarkt")</f>
        <v>Search Transfermarkt</v>
      </c>
    </row>
    <row r="445" customFormat="false" ht="23.85" hidden="false" customHeight="false" outlineLevel="0" collapsed="false">
      <c r="A445" s="15" t="s">
        <v>1595</v>
      </c>
      <c r="B445" s="15" t="s">
        <v>94</v>
      </c>
      <c r="C445" s="15" t="s">
        <v>1259</v>
      </c>
      <c r="D445" s="15" t="n">
        <v>3</v>
      </c>
      <c r="E445" s="15" t="s">
        <v>1596</v>
      </c>
      <c r="F445" s="15" t="s">
        <v>170</v>
      </c>
      <c r="G445" s="15" t="n">
        <v>26</v>
      </c>
      <c r="H445" s="15" t="n">
        <v>2326</v>
      </c>
      <c r="I445" s="15" t="n">
        <v>10</v>
      </c>
      <c r="J445" s="15" t="n">
        <v>14</v>
      </c>
      <c r="K445" s="15" t="n">
        <v>167</v>
      </c>
      <c r="L445" s="15" t="n">
        <v>90</v>
      </c>
      <c r="M445" s="15" t="n">
        <v>38</v>
      </c>
      <c r="N445" s="15" t="n">
        <v>0</v>
      </c>
      <c r="O445" s="15" t="n">
        <v>0</v>
      </c>
      <c r="P445" s="16" t="n">
        <v>0</v>
      </c>
      <c r="Q445" s="15" t="n">
        <v>0</v>
      </c>
      <c r="R445" s="15" t="n">
        <v>0</v>
      </c>
      <c r="S445" s="17" t="n">
        <v>119757</v>
      </c>
      <c r="T445" s="15" t="s">
        <v>164</v>
      </c>
      <c r="U445" s="15" t="n">
        <v>2026</v>
      </c>
      <c r="V445" s="15" t="s">
        <v>1597</v>
      </c>
      <c r="W445" s="18" t="s">
        <v>139</v>
      </c>
      <c r="X445" s="18" t="s">
        <v>226</v>
      </c>
      <c r="Y445" s="15" t="s">
        <v>600</v>
      </c>
      <c r="Z445" s="15" t="s">
        <v>600</v>
      </c>
      <c r="AA445" s="19" t="str">
        <f aca="false">HYPERLINK("https://www.transfermarkt.com/schnellsuche/ergebnis/schnellsuche?query="&amp;SUBSTITUTE(A445," ","+"),"Search Transfermarkt")</f>
        <v>Search Transfermarkt</v>
      </c>
    </row>
    <row r="446" customFormat="false" ht="23.85" hidden="false" customHeight="false" outlineLevel="0" collapsed="false">
      <c r="A446" s="15" t="s">
        <v>1598</v>
      </c>
      <c r="B446" s="15" t="s">
        <v>99</v>
      </c>
      <c r="C446" s="15" t="s">
        <v>184</v>
      </c>
      <c r="D446" s="15" t="n">
        <v>2</v>
      </c>
      <c r="E446" s="15" t="s">
        <v>1599</v>
      </c>
      <c r="F446" s="15" t="s">
        <v>157</v>
      </c>
      <c r="G446" s="15" t="n">
        <v>20</v>
      </c>
      <c r="H446" s="15" t="n">
        <v>1341</v>
      </c>
      <c r="I446" s="15" t="n">
        <v>0</v>
      </c>
      <c r="J446" s="15" t="n">
        <v>0</v>
      </c>
      <c r="K446" s="15" t="n">
        <v>10</v>
      </c>
      <c r="L446" s="15" t="n">
        <v>1</v>
      </c>
      <c r="M446" s="15" t="n">
        <v>10</v>
      </c>
      <c r="N446" s="15" t="n">
        <v>55</v>
      </c>
      <c r="O446" s="15" t="n">
        <v>20</v>
      </c>
      <c r="P446" s="16" t="n">
        <v>61.1</v>
      </c>
      <c r="Q446" s="15" t="n">
        <v>13.2</v>
      </c>
      <c r="R446" s="15" t="n">
        <v>5</v>
      </c>
      <c r="S446" s="17" t="n">
        <v>122369</v>
      </c>
      <c r="T446" s="15" t="s">
        <v>164</v>
      </c>
      <c r="U446" s="15" t="n">
        <v>2029</v>
      </c>
      <c r="V446" s="15" t="s">
        <v>1600</v>
      </c>
      <c r="W446" s="18" t="s">
        <v>139</v>
      </c>
      <c r="X446" s="18" t="s">
        <v>189</v>
      </c>
      <c r="Y446" s="15" t="s">
        <v>600</v>
      </c>
      <c r="Z446" s="15" t="s">
        <v>600</v>
      </c>
      <c r="AA446" s="19" t="str">
        <f aca="false">HYPERLINK("https://www.transfermarkt.com/schnellsuche/ergebnis/schnellsuche?query="&amp;SUBSTITUTE(A446," ","+"),"Search Transfermarkt")</f>
        <v>Search Transfermarkt</v>
      </c>
    </row>
    <row r="447" customFormat="false" ht="23.85" hidden="false" customHeight="false" outlineLevel="0" collapsed="false">
      <c r="A447" s="15" t="s">
        <v>1601</v>
      </c>
      <c r="B447" s="15" t="s">
        <v>85</v>
      </c>
      <c r="C447" s="15" t="s">
        <v>651</v>
      </c>
      <c r="D447" s="15" t="n">
        <v>2</v>
      </c>
      <c r="E447" s="15" t="s">
        <v>1602</v>
      </c>
      <c r="F447" s="15" t="s">
        <v>136</v>
      </c>
      <c r="G447" s="15" t="n">
        <v>18</v>
      </c>
      <c r="H447" s="15" t="n">
        <v>2104</v>
      </c>
      <c r="I447" s="15" t="n">
        <v>0</v>
      </c>
      <c r="J447" s="15" t="n">
        <v>0</v>
      </c>
      <c r="K447" s="15" t="n">
        <v>64</v>
      </c>
      <c r="L447" s="15" t="n">
        <v>24</v>
      </c>
      <c r="M447" s="15" t="n">
        <v>86</v>
      </c>
      <c r="N447" s="15" t="n">
        <v>0</v>
      </c>
      <c r="O447" s="15" t="n">
        <v>0</v>
      </c>
      <c r="P447" s="16" t="n">
        <v>0</v>
      </c>
      <c r="Q447" s="15" t="n">
        <v>0</v>
      </c>
      <c r="R447" s="15" t="n">
        <v>0</v>
      </c>
      <c r="S447" s="17" t="n">
        <v>80666</v>
      </c>
      <c r="T447" s="15" t="s">
        <v>186</v>
      </c>
      <c r="U447" s="15" t="n">
        <v>2026</v>
      </c>
      <c r="V447" s="15" t="s">
        <v>1603</v>
      </c>
      <c r="W447" s="18" t="s">
        <v>188</v>
      </c>
      <c r="X447" s="18" t="s">
        <v>265</v>
      </c>
      <c r="Y447" s="15" t="s">
        <v>600</v>
      </c>
      <c r="Z447" s="15" t="s">
        <v>600</v>
      </c>
      <c r="AA447" s="19" t="str">
        <f aca="false">HYPERLINK("https://www.transfermarkt.com/schnellsuche/ergebnis/schnellsuche?query="&amp;SUBSTITUTE(A447," ","+"),"Search Transfermarkt")</f>
        <v>Search Transfermarkt</v>
      </c>
    </row>
    <row r="448" customFormat="false" ht="23.85" hidden="false" customHeight="false" outlineLevel="0" collapsed="false">
      <c r="A448" s="15" t="s">
        <v>1604</v>
      </c>
      <c r="B448" s="15" t="s">
        <v>87</v>
      </c>
      <c r="C448" s="15" t="s">
        <v>959</v>
      </c>
      <c r="D448" s="15" t="n">
        <v>3</v>
      </c>
      <c r="E448" s="15" t="s">
        <v>1011</v>
      </c>
      <c r="F448" s="15" t="s">
        <v>170</v>
      </c>
      <c r="G448" s="15" t="n">
        <v>17</v>
      </c>
      <c r="H448" s="15" t="n">
        <v>1162</v>
      </c>
      <c r="I448" s="15" t="n">
        <v>4</v>
      </c>
      <c r="J448" s="15" t="n">
        <v>11</v>
      </c>
      <c r="K448" s="15" t="n">
        <v>150</v>
      </c>
      <c r="L448" s="15" t="n">
        <v>67</v>
      </c>
      <c r="M448" s="15" t="n">
        <v>40</v>
      </c>
      <c r="N448" s="15" t="n">
        <v>0</v>
      </c>
      <c r="O448" s="15" t="n">
        <v>0</v>
      </c>
      <c r="P448" s="16" t="n">
        <v>0</v>
      </c>
      <c r="Q448" s="15" t="n">
        <v>0</v>
      </c>
      <c r="R448" s="15" t="n">
        <v>0</v>
      </c>
      <c r="S448" s="17" t="n">
        <v>0</v>
      </c>
      <c r="T448" s="15" t="s">
        <v>137</v>
      </c>
      <c r="U448" s="15" t="n">
        <v>2026</v>
      </c>
      <c r="V448" s="15" t="s">
        <v>1012</v>
      </c>
      <c r="W448" s="18" t="s">
        <v>147</v>
      </c>
      <c r="X448" s="18" t="s">
        <v>341</v>
      </c>
      <c r="Y448" s="15" t="s">
        <v>600</v>
      </c>
      <c r="Z448" s="15" t="s">
        <v>600</v>
      </c>
      <c r="AA448" s="19" t="str">
        <f aca="false">HYPERLINK("https://www.transfermarkt.com/schnellsuche/ergebnis/schnellsuche?query="&amp;SUBSTITUTE(A448," ","+"),"Search Transfermarkt")</f>
        <v>Search Transfermarkt</v>
      </c>
    </row>
    <row r="449" customFormat="false" ht="23.85" hidden="false" customHeight="false" outlineLevel="0" collapsed="false">
      <c r="A449" s="15" t="s">
        <v>1605</v>
      </c>
      <c r="B449" s="15" t="s">
        <v>92</v>
      </c>
      <c r="C449" s="15" t="s">
        <v>309</v>
      </c>
      <c r="D449" s="15" t="n">
        <v>2</v>
      </c>
      <c r="E449" s="15" t="s">
        <v>1606</v>
      </c>
      <c r="F449" s="15" t="s">
        <v>163</v>
      </c>
      <c r="G449" s="15" t="n">
        <v>17</v>
      </c>
      <c r="H449" s="15" t="n">
        <v>2130</v>
      </c>
      <c r="I449" s="15" t="n">
        <v>12</v>
      </c>
      <c r="J449" s="15" t="n">
        <v>8</v>
      </c>
      <c r="K449" s="15" t="n">
        <v>38</v>
      </c>
      <c r="L449" s="15" t="n">
        <v>66</v>
      </c>
      <c r="M449" s="15" t="n">
        <v>15</v>
      </c>
      <c r="N449" s="15" t="n">
        <v>0</v>
      </c>
      <c r="O449" s="15" t="n">
        <v>0</v>
      </c>
      <c r="P449" s="16" t="n">
        <v>0</v>
      </c>
      <c r="Q449" s="15" t="n">
        <v>0</v>
      </c>
      <c r="R449" s="15" t="n">
        <v>0</v>
      </c>
      <c r="S449" s="17" t="n">
        <v>105080</v>
      </c>
      <c r="T449" s="15" t="s">
        <v>186</v>
      </c>
      <c r="U449" s="15" t="n">
        <v>2026</v>
      </c>
      <c r="V449" s="15" t="s">
        <v>1607</v>
      </c>
      <c r="W449" s="18" t="s">
        <v>147</v>
      </c>
      <c r="X449" s="18" t="s">
        <v>159</v>
      </c>
      <c r="Y449" s="15" t="s">
        <v>600</v>
      </c>
      <c r="Z449" s="15" t="s">
        <v>600</v>
      </c>
      <c r="AA449" s="19" t="str">
        <f aca="false">HYPERLINK("https://www.transfermarkt.com/schnellsuche/ergebnis/schnellsuche?query="&amp;SUBSTITUTE(A449," ","+"),"Search Transfermarkt")</f>
        <v>Search Transfermarkt</v>
      </c>
    </row>
    <row r="450" customFormat="false" ht="23.85" hidden="false" customHeight="false" outlineLevel="0" collapsed="false">
      <c r="A450" s="15" t="s">
        <v>1608</v>
      </c>
      <c r="B450" s="15" t="s">
        <v>83</v>
      </c>
      <c r="C450" s="15" t="s">
        <v>943</v>
      </c>
      <c r="D450" s="15" t="n">
        <v>3</v>
      </c>
      <c r="E450" s="15" t="s">
        <v>1102</v>
      </c>
      <c r="F450" s="15" t="s">
        <v>157</v>
      </c>
      <c r="G450" s="15" t="n">
        <v>22</v>
      </c>
      <c r="H450" s="15" t="n">
        <v>2042</v>
      </c>
      <c r="I450" s="15" t="n">
        <v>0</v>
      </c>
      <c r="J450" s="15" t="n">
        <v>0</v>
      </c>
      <c r="K450" s="15" t="n">
        <v>12</v>
      </c>
      <c r="L450" s="15" t="n">
        <v>2</v>
      </c>
      <c r="M450" s="15" t="n">
        <v>4</v>
      </c>
      <c r="N450" s="15" t="n">
        <v>67</v>
      </c>
      <c r="O450" s="15" t="n">
        <v>28</v>
      </c>
      <c r="P450" s="16" t="n">
        <v>82.7</v>
      </c>
      <c r="Q450" s="15" t="n">
        <v>6.1</v>
      </c>
      <c r="R450" s="15" t="n">
        <v>7</v>
      </c>
      <c r="S450" s="17" t="n">
        <v>54741</v>
      </c>
      <c r="T450" s="15" t="s">
        <v>137</v>
      </c>
      <c r="U450" s="15" t="n">
        <v>2026</v>
      </c>
      <c r="V450" s="15" t="s">
        <v>1103</v>
      </c>
      <c r="W450" s="18" t="s">
        <v>139</v>
      </c>
      <c r="X450" s="18" t="s">
        <v>379</v>
      </c>
      <c r="Y450" s="15" t="s">
        <v>600</v>
      </c>
      <c r="Z450" s="15" t="s">
        <v>600</v>
      </c>
      <c r="AA450" s="19" t="str">
        <f aca="false">HYPERLINK("https://www.transfermarkt.com/schnellsuche/ergebnis/schnellsuche?query="&amp;SUBSTITUTE(A450," ","+"),"Search Transfermarkt")</f>
        <v>Search Transfermarkt</v>
      </c>
    </row>
    <row r="451" customFormat="false" ht="23.85" hidden="false" customHeight="false" outlineLevel="0" collapsed="false">
      <c r="A451" s="15" t="s">
        <v>1609</v>
      </c>
      <c r="B451" s="15" t="s">
        <v>94</v>
      </c>
      <c r="C451" s="15" t="s">
        <v>223</v>
      </c>
      <c r="D451" s="15" t="n">
        <v>2</v>
      </c>
      <c r="E451" s="15" t="s">
        <v>1610</v>
      </c>
      <c r="F451" s="15" t="s">
        <v>163</v>
      </c>
      <c r="G451" s="15" t="n">
        <v>24</v>
      </c>
      <c r="H451" s="15" t="n">
        <v>967</v>
      </c>
      <c r="I451" s="15" t="n">
        <v>10</v>
      </c>
      <c r="J451" s="15" t="n">
        <v>9</v>
      </c>
      <c r="K451" s="15" t="n">
        <v>48</v>
      </c>
      <c r="L451" s="15" t="n">
        <v>99</v>
      </c>
      <c r="M451" s="15" t="n">
        <v>15</v>
      </c>
      <c r="N451" s="15" t="n">
        <v>0</v>
      </c>
      <c r="O451" s="15" t="n">
        <v>0</v>
      </c>
      <c r="P451" s="16" t="n">
        <v>0</v>
      </c>
      <c r="Q451" s="15" t="n">
        <v>0</v>
      </c>
      <c r="R451" s="15" t="n">
        <v>0</v>
      </c>
      <c r="S451" s="17" t="n">
        <v>12202</v>
      </c>
      <c r="T451" s="15" t="s">
        <v>137</v>
      </c>
      <c r="U451" s="15" t="n">
        <v>2028</v>
      </c>
      <c r="V451" s="15" t="s">
        <v>1611</v>
      </c>
      <c r="W451" s="18" t="s">
        <v>139</v>
      </c>
      <c r="X451" s="18" t="s">
        <v>226</v>
      </c>
      <c r="Y451" s="15" t="s">
        <v>600</v>
      </c>
      <c r="Z451" s="15" t="s">
        <v>600</v>
      </c>
      <c r="AA451" s="19" t="str">
        <f aca="false">HYPERLINK("https://www.transfermarkt.com/schnellsuche/ergebnis/schnellsuche?query="&amp;SUBSTITUTE(A451," ","+"),"Search Transfermarkt")</f>
        <v>Search Transfermarkt</v>
      </c>
    </row>
    <row r="452" customFormat="false" ht="23.85" hidden="false" customHeight="false" outlineLevel="0" collapsed="false">
      <c r="A452" s="15" t="s">
        <v>1612</v>
      </c>
      <c r="B452" s="15" t="s">
        <v>100</v>
      </c>
      <c r="C452" s="15" t="s">
        <v>218</v>
      </c>
      <c r="D452" s="15" t="n">
        <v>2</v>
      </c>
      <c r="E452" s="15" t="s">
        <v>872</v>
      </c>
      <c r="F452" s="15" t="s">
        <v>163</v>
      </c>
      <c r="G452" s="15" t="n">
        <v>20</v>
      </c>
      <c r="H452" s="15" t="n">
        <v>2349</v>
      </c>
      <c r="I452" s="15" t="n">
        <v>16</v>
      </c>
      <c r="J452" s="15" t="n">
        <v>5</v>
      </c>
      <c r="K452" s="15" t="n">
        <v>36</v>
      </c>
      <c r="L452" s="15" t="n">
        <v>92</v>
      </c>
      <c r="M452" s="15" t="n">
        <v>6</v>
      </c>
      <c r="N452" s="15" t="n">
        <v>0</v>
      </c>
      <c r="O452" s="15" t="n">
        <v>0</v>
      </c>
      <c r="P452" s="16" t="n">
        <v>0</v>
      </c>
      <c r="Q452" s="15" t="n">
        <v>0</v>
      </c>
      <c r="R452" s="15" t="n">
        <v>0</v>
      </c>
      <c r="S452" s="17" t="n">
        <v>62542</v>
      </c>
      <c r="T452" s="15" t="s">
        <v>137</v>
      </c>
      <c r="U452" s="15" t="n">
        <v>2027</v>
      </c>
      <c r="V452" s="15" t="s">
        <v>873</v>
      </c>
      <c r="W452" s="18" t="s">
        <v>139</v>
      </c>
      <c r="X452" s="18" t="s">
        <v>221</v>
      </c>
      <c r="Y452" s="15" t="s">
        <v>600</v>
      </c>
      <c r="Z452" s="15" t="s">
        <v>600</v>
      </c>
      <c r="AA452" s="19" t="str">
        <f aca="false">HYPERLINK("https://www.transfermarkt.com/schnellsuche/ergebnis/schnellsuche?query="&amp;SUBSTITUTE(A452," ","+"),"Search Transfermarkt")</f>
        <v>Search Transfermarkt</v>
      </c>
    </row>
    <row r="453" customFormat="false" ht="23.85" hidden="false" customHeight="false" outlineLevel="0" collapsed="false">
      <c r="A453" s="15" t="s">
        <v>1613</v>
      </c>
      <c r="B453" s="15" t="s">
        <v>88</v>
      </c>
      <c r="C453" s="15" t="s">
        <v>343</v>
      </c>
      <c r="D453" s="15" t="n">
        <v>2</v>
      </c>
      <c r="E453" s="15" t="s">
        <v>614</v>
      </c>
      <c r="F453" s="15" t="s">
        <v>170</v>
      </c>
      <c r="G453" s="15" t="n">
        <v>19</v>
      </c>
      <c r="H453" s="15" t="n">
        <v>2220</v>
      </c>
      <c r="I453" s="15" t="n">
        <v>7</v>
      </c>
      <c r="J453" s="15" t="n">
        <v>8</v>
      </c>
      <c r="K453" s="15" t="n">
        <v>166</v>
      </c>
      <c r="L453" s="15" t="n">
        <v>66</v>
      </c>
      <c r="M453" s="15" t="n">
        <v>32</v>
      </c>
      <c r="N453" s="15" t="n">
        <v>0</v>
      </c>
      <c r="O453" s="15" t="n">
        <v>0</v>
      </c>
      <c r="P453" s="16" t="n">
        <v>0</v>
      </c>
      <c r="Q453" s="15" t="n">
        <v>0</v>
      </c>
      <c r="R453" s="15" t="n">
        <v>0</v>
      </c>
      <c r="S453" s="17" t="n">
        <v>87101</v>
      </c>
      <c r="T453" s="15" t="s">
        <v>164</v>
      </c>
      <c r="U453" s="15" t="n">
        <v>2028</v>
      </c>
      <c r="V453" s="15" t="s">
        <v>615</v>
      </c>
      <c r="W453" s="18" t="s">
        <v>139</v>
      </c>
      <c r="X453" s="18" t="s">
        <v>320</v>
      </c>
      <c r="Y453" s="15" t="s">
        <v>600</v>
      </c>
      <c r="Z453" s="15" t="s">
        <v>600</v>
      </c>
      <c r="AA453" s="19" t="str">
        <f aca="false">HYPERLINK("https://www.transfermarkt.com/schnellsuche/ergebnis/schnellsuche?query="&amp;SUBSTITUTE(A453," ","+"),"Search Transfermarkt")</f>
        <v>Search Transfermarkt</v>
      </c>
    </row>
    <row r="454" customFormat="false" ht="23.85" hidden="false" customHeight="false" outlineLevel="0" collapsed="false">
      <c r="A454" s="15" t="s">
        <v>1614</v>
      </c>
      <c r="B454" s="15" t="s">
        <v>64</v>
      </c>
      <c r="C454" s="15" t="s">
        <v>1615</v>
      </c>
      <c r="D454" s="15" t="n">
        <v>3</v>
      </c>
      <c r="E454" s="15" t="s">
        <v>1616</v>
      </c>
      <c r="F454" s="15" t="s">
        <v>170</v>
      </c>
      <c r="G454" s="15" t="n">
        <v>20</v>
      </c>
      <c r="H454" s="15" t="n">
        <v>2094</v>
      </c>
      <c r="I454" s="15" t="n">
        <v>3</v>
      </c>
      <c r="J454" s="15" t="n">
        <v>14</v>
      </c>
      <c r="K454" s="15" t="n">
        <v>143</v>
      </c>
      <c r="L454" s="15" t="n">
        <v>77</v>
      </c>
      <c r="M454" s="15" t="n">
        <v>51</v>
      </c>
      <c r="N454" s="15" t="n">
        <v>0</v>
      </c>
      <c r="O454" s="15" t="n">
        <v>0</v>
      </c>
      <c r="P454" s="16" t="n">
        <v>0</v>
      </c>
      <c r="Q454" s="15" t="n">
        <v>0</v>
      </c>
      <c r="R454" s="15" t="n">
        <v>0</v>
      </c>
      <c r="S454" s="17" t="n">
        <v>50717</v>
      </c>
      <c r="T454" s="15" t="s">
        <v>137</v>
      </c>
      <c r="U454" s="15" t="n">
        <v>2027</v>
      </c>
      <c r="V454" s="15" t="s">
        <v>1617</v>
      </c>
      <c r="W454" s="18" t="s">
        <v>139</v>
      </c>
      <c r="X454" s="18" t="s">
        <v>231</v>
      </c>
      <c r="Y454" s="15" t="s">
        <v>600</v>
      </c>
      <c r="Z454" s="15" t="s">
        <v>600</v>
      </c>
      <c r="AA454" s="19" t="str">
        <f aca="false">HYPERLINK("https://www.transfermarkt.com/schnellsuche/ergebnis/schnellsuche?query="&amp;SUBSTITUTE(A454," ","+"),"Search Transfermarkt")</f>
        <v>Search Transfermarkt</v>
      </c>
    </row>
    <row r="455" customFormat="false" ht="23.85" hidden="false" customHeight="false" outlineLevel="0" collapsed="false">
      <c r="A455" s="15" t="s">
        <v>1618</v>
      </c>
      <c r="B455" s="15" t="s">
        <v>69</v>
      </c>
      <c r="C455" s="15" t="s">
        <v>1105</v>
      </c>
      <c r="D455" s="15" t="n">
        <v>2</v>
      </c>
      <c r="E455" s="15" t="s">
        <v>996</v>
      </c>
      <c r="F455" s="15" t="s">
        <v>170</v>
      </c>
      <c r="G455" s="15" t="n">
        <v>24</v>
      </c>
      <c r="H455" s="15" t="n">
        <v>2480</v>
      </c>
      <c r="I455" s="15" t="n">
        <v>8</v>
      </c>
      <c r="J455" s="15" t="n">
        <v>7</v>
      </c>
      <c r="K455" s="15" t="n">
        <v>118</v>
      </c>
      <c r="L455" s="15" t="n">
        <v>76</v>
      </c>
      <c r="M455" s="15" t="n">
        <v>55</v>
      </c>
      <c r="N455" s="15" t="n">
        <v>0</v>
      </c>
      <c r="O455" s="15" t="n">
        <v>0</v>
      </c>
      <c r="P455" s="16" t="n">
        <v>0</v>
      </c>
      <c r="Q455" s="15" t="n">
        <v>0</v>
      </c>
      <c r="R455" s="15" t="n">
        <v>0</v>
      </c>
      <c r="S455" s="17" t="n">
        <v>65932</v>
      </c>
      <c r="T455" s="15" t="s">
        <v>137</v>
      </c>
      <c r="U455" s="15" t="n">
        <v>2029</v>
      </c>
      <c r="V455" s="15" t="s">
        <v>997</v>
      </c>
      <c r="W455" s="18" t="s">
        <v>139</v>
      </c>
      <c r="X455" s="18" t="s">
        <v>140</v>
      </c>
      <c r="Y455" s="15" t="s">
        <v>600</v>
      </c>
      <c r="Z455" s="15" t="s">
        <v>600</v>
      </c>
      <c r="AA455" s="19" t="str">
        <f aca="false">HYPERLINK("https://www.transfermarkt.com/schnellsuche/ergebnis/schnellsuche?query="&amp;SUBSTITUTE(A455," ","+"),"Search Transfermarkt")</f>
        <v>Search Transfermarkt</v>
      </c>
    </row>
    <row r="456" customFormat="false" ht="23.85" hidden="false" customHeight="false" outlineLevel="0" collapsed="false">
      <c r="A456" s="15" t="s">
        <v>1619</v>
      </c>
      <c r="B456" s="15" t="s">
        <v>64</v>
      </c>
      <c r="C456" s="15" t="s">
        <v>1620</v>
      </c>
      <c r="D456" s="15" t="n">
        <v>2</v>
      </c>
      <c r="E456" s="15" t="s">
        <v>1616</v>
      </c>
      <c r="F456" s="15" t="s">
        <v>163</v>
      </c>
      <c r="G456" s="15" t="n">
        <v>20</v>
      </c>
      <c r="H456" s="15" t="n">
        <v>1233</v>
      </c>
      <c r="I456" s="15" t="n">
        <v>20</v>
      </c>
      <c r="J456" s="15" t="n">
        <v>8</v>
      </c>
      <c r="K456" s="15" t="n">
        <v>43</v>
      </c>
      <c r="L456" s="15" t="n">
        <v>102</v>
      </c>
      <c r="M456" s="15" t="n">
        <v>13</v>
      </c>
      <c r="N456" s="15" t="n">
        <v>0</v>
      </c>
      <c r="O456" s="15" t="n">
        <v>0</v>
      </c>
      <c r="P456" s="16" t="n">
        <v>0</v>
      </c>
      <c r="Q456" s="15" t="n">
        <v>0</v>
      </c>
      <c r="R456" s="15" t="n">
        <v>0</v>
      </c>
      <c r="S456" s="17" t="n">
        <v>0</v>
      </c>
      <c r="T456" s="15" t="s">
        <v>137</v>
      </c>
      <c r="U456" s="15" t="n">
        <v>2029</v>
      </c>
      <c r="V456" s="15" t="s">
        <v>1617</v>
      </c>
      <c r="W456" s="18" t="s">
        <v>139</v>
      </c>
      <c r="X456" s="18" t="s">
        <v>231</v>
      </c>
      <c r="Y456" s="15" t="s">
        <v>600</v>
      </c>
      <c r="Z456" s="15" t="s">
        <v>600</v>
      </c>
      <c r="AA456" s="19" t="str">
        <f aca="false">HYPERLINK("https://www.transfermarkt.com/schnellsuche/ergebnis/schnellsuche?query="&amp;SUBSTITUTE(A456," ","+"),"Search Transfermarkt")</f>
        <v>Search Transfermarkt</v>
      </c>
    </row>
    <row r="457" customFormat="false" ht="23.85" hidden="false" customHeight="false" outlineLevel="0" collapsed="false">
      <c r="A457" s="15" t="s">
        <v>1621</v>
      </c>
      <c r="B457" s="15" t="s">
        <v>79</v>
      </c>
      <c r="C457" s="15" t="s">
        <v>1622</v>
      </c>
      <c r="D457" s="15" t="n">
        <v>2</v>
      </c>
      <c r="E457" s="15" t="s">
        <v>1623</v>
      </c>
      <c r="F457" s="15" t="s">
        <v>136</v>
      </c>
      <c r="G457" s="15" t="n">
        <v>20</v>
      </c>
      <c r="H457" s="15" t="n">
        <v>2264</v>
      </c>
      <c r="I457" s="15" t="n">
        <v>2</v>
      </c>
      <c r="J457" s="15" t="n">
        <v>4</v>
      </c>
      <c r="K457" s="15" t="n">
        <v>50</v>
      </c>
      <c r="L457" s="15" t="n">
        <v>31</v>
      </c>
      <c r="M457" s="15" t="n">
        <v>88</v>
      </c>
      <c r="N457" s="15" t="n">
        <v>0</v>
      </c>
      <c r="O457" s="15" t="n">
        <v>0</v>
      </c>
      <c r="P457" s="16" t="n">
        <v>0</v>
      </c>
      <c r="Q457" s="15" t="n">
        <v>0</v>
      </c>
      <c r="R457" s="15" t="n">
        <v>0</v>
      </c>
      <c r="S457" s="17" t="n">
        <v>0</v>
      </c>
      <c r="T457" s="15" t="s">
        <v>137</v>
      </c>
      <c r="U457" s="15" t="n">
        <v>2029</v>
      </c>
      <c r="V457" s="15" t="s">
        <v>1624</v>
      </c>
      <c r="W457" s="18" t="s">
        <v>139</v>
      </c>
      <c r="X457" s="18" t="s">
        <v>412</v>
      </c>
      <c r="Y457" s="15" t="s">
        <v>600</v>
      </c>
      <c r="Z457" s="15" t="s">
        <v>600</v>
      </c>
      <c r="AA457" s="19" t="str">
        <f aca="false">HYPERLINK("https://www.transfermarkt.com/schnellsuche/ergebnis/schnellsuche?query="&amp;SUBSTITUTE(A457," ","+"),"Search Transfermarkt")</f>
        <v>Search Transfermarkt</v>
      </c>
    </row>
    <row r="458" customFormat="false" ht="23.85" hidden="false" customHeight="false" outlineLevel="0" collapsed="false">
      <c r="A458" s="15" t="s">
        <v>1625</v>
      </c>
      <c r="B458" s="15" t="s">
        <v>92</v>
      </c>
      <c r="C458" s="15" t="s">
        <v>1626</v>
      </c>
      <c r="D458" s="15" t="n">
        <v>3</v>
      </c>
      <c r="E458" s="15" t="s">
        <v>1627</v>
      </c>
      <c r="F458" s="15" t="s">
        <v>157</v>
      </c>
      <c r="G458" s="15" t="n">
        <v>26</v>
      </c>
      <c r="H458" s="15" t="n">
        <v>1298</v>
      </c>
      <c r="I458" s="15" t="n">
        <v>0</v>
      </c>
      <c r="J458" s="15" t="n">
        <v>0</v>
      </c>
      <c r="K458" s="15" t="n">
        <v>17</v>
      </c>
      <c r="L458" s="15" t="n">
        <v>0</v>
      </c>
      <c r="M458" s="15" t="n">
        <v>6</v>
      </c>
      <c r="N458" s="15" t="n">
        <v>48</v>
      </c>
      <c r="O458" s="15" t="n">
        <v>32</v>
      </c>
      <c r="P458" s="16" t="n">
        <v>63.2</v>
      </c>
      <c r="Q458" s="15" t="n">
        <v>8.3</v>
      </c>
      <c r="R458" s="15" t="n">
        <v>3</v>
      </c>
      <c r="S458" s="17" t="n">
        <v>0</v>
      </c>
      <c r="T458" s="15" t="s">
        <v>137</v>
      </c>
      <c r="U458" s="15" t="n">
        <v>2028</v>
      </c>
      <c r="V458" s="15" t="s">
        <v>1628</v>
      </c>
      <c r="W458" s="18" t="s">
        <v>139</v>
      </c>
      <c r="X458" s="18" t="s">
        <v>159</v>
      </c>
      <c r="Y458" s="15" t="s">
        <v>600</v>
      </c>
      <c r="Z458" s="15" t="s">
        <v>600</v>
      </c>
      <c r="AA458" s="19" t="str">
        <f aca="false">HYPERLINK("https://www.transfermarkt.com/schnellsuche/ergebnis/schnellsuche?query="&amp;SUBSTITUTE(A458," ","+"),"Search Transfermarkt")</f>
        <v>Search Transfermarkt</v>
      </c>
    </row>
    <row r="459" customFormat="false" ht="23.85" hidden="false" customHeight="false" outlineLevel="0" collapsed="false">
      <c r="A459" s="15" t="s">
        <v>1629</v>
      </c>
      <c r="B459" s="15" t="s">
        <v>82</v>
      </c>
      <c r="C459" s="15" t="s">
        <v>1630</v>
      </c>
      <c r="D459" s="15" t="n">
        <v>3</v>
      </c>
      <c r="E459" s="15" t="s">
        <v>907</v>
      </c>
      <c r="F459" s="15" t="s">
        <v>136</v>
      </c>
      <c r="G459" s="15" t="n">
        <v>20</v>
      </c>
      <c r="H459" s="15" t="n">
        <v>2672</v>
      </c>
      <c r="I459" s="15" t="n">
        <v>1</v>
      </c>
      <c r="J459" s="15" t="n">
        <v>4</v>
      </c>
      <c r="K459" s="15" t="n">
        <v>71</v>
      </c>
      <c r="L459" s="15" t="n">
        <v>41</v>
      </c>
      <c r="M459" s="15" t="n">
        <v>129</v>
      </c>
      <c r="N459" s="15" t="n">
        <v>0</v>
      </c>
      <c r="O459" s="15" t="n">
        <v>0</v>
      </c>
      <c r="P459" s="16" t="n">
        <v>0</v>
      </c>
      <c r="Q459" s="15" t="n">
        <v>0</v>
      </c>
      <c r="R459" s="15" t="n">
        <v>0</v>
      </c>
      <c r="S459" s="17" t="n">
        <v>103138</v>
      </c>
      <c r="T459" s="15" t="s">
        <v>164</v>
      </c>
      <c r="U459" s="15" t="n">
        <v>2028</v>
      </c>
      <c r="V459" s="15" t="s">
        <v>908</v>
      </c>
      <c r="W459" s="18" t="s">
        <v>139</v>
      </c>
      <c r="X459" s="18" t="s">
        <v>166</v>
      </c>
      <c r="Y459" s="15" t="s">
        <v>600</v>
      </c>
      <c r="Z459" s="15" t="s">
        <v>600</v>
      </c>
      <c r="AA459" s="19" t="str">
        <f aca="false">HYPERLINK("https://www.transfermarkt.com/schnellsuche/ergebnis/schnellsuche?query="&amp;SUBSTITUTE(A459," ","+"),"Search Transfermarkt")</f>
        <v>Search Transfermarkt</v>
      </c>
    </row>
    <row r="460" customFormat="false" ht="23.85" hidden="false" customHeight="false" outlineLevel="0" collapsed="false">
      <c r="A460" s="15" t="s">
        <v>1631</v>
      </c>
      <c r="B460" s="15" t="s">
        <v>71</v>
      </c>
      <c r="C460" s="15" t="s">
        <v>1313</v>
      </c>
      <c r="D460" s="15" t="n">
        <v>3</v>
      </c>
      <c r="E460" s="15" t="s">
        <v>633</v>
      </c>
      <c r="F460" s="15" t="s">
        <v>136</v>
      </c>
      <c r="G460" s="15" t="n">
        <v>22</v>
      </c>
      <c r="H460" s="15" t="n">
        <v>2683</v>
      </c>
      <c r="I460" s="15" t="n">
        <v>0</v>
      </c>
      <c r="J460" s="15" t="n">
        <v>4</v>
      </c>
      <c r="K460" s="15" t="n">
        <v>41</v>
      </c>
      <c r="L460" s="15" t="n">
        <v>37</v>
      </c>
      <c r="M460" s="15" t="n">
        <v>99</v>
      </c>
      <c r="N460" s="15" t="n">
        <v>0</v>
      </c>
      <c r="O460" s="15" t="n">
        <v>0</v>
      </c>
      <c r="P460" s="16" t="n">
        <v>0</v>
      </c>
      <c r="Q460" s="15" t="n">
        <v>0</v>
      </c>
      <c r="R460" s="15" t="n">
        <v>0</v>
      </c>
      <c r="S460" s="17" t="n">
        <v>0</v>
      </c>
      <c r="T460" s="15" t="s">
        <v>137</v>
      </c>
      <c r="U460" s="15" t="n">
        <v>2028</v>
      </c>
      <c r="V460" s="15" t="s">
        <v>634</v>
      </c>
      <c r="W460" s="18" t="s">
        <v>139</v>
      </c>
      <c r="X460" s="18" t="s">
        <v>177</v>
      </c>
      <c r="Y460" s="15" t="s">
        <v>600</v>
      </c>
      <c r="Z460" s="15" t="s">
        <v>600</v>
      </c>
      <c r="AA460" s="19" t="str">
        <f aca="false">HYPERLINK("https://www.transfermarkt.com/schnellsuche/ergebnis/schnellsuche?query="&amp;SUBSTITUTE(A460," ","+"),"Search Transfermarkt")</f>
        <v>Search Transfermarkt</v>
      </c>
    </row>
    <row r="461" customFormat="false" ht="23.85" hidden="false" customHeight="false" outlineLevel="0" collapsed="false">
      <c r="A461" s="15" t="s">
        <v>1632</v>
      </c>
      <c r="B461" s="15" t="s">
        <v>81</v>
      </c>
      <c r="C461" s="15" t="s">
        <v>1351</v>
      </c>
      <c r="D461" s="15" t="n">
        <v>3</v>
      </c>
      <c r="E461" s="15" t="s">
        <v>1633</v>
      </c>
      <c r="F461" s="15" t="s">
        <v>136</v>
      </c>
      <c r="G461" s="15" t="n">
        <v>18</v>
      </c>
      <c r="H461" s="15" t="n">
        <v>2022</v>
      </c>
      <c r="I461" s="15" t="n">
        <v>3</v>
      </c>
      <c r="J461" s="15" t="n">
        <v>1</v>
      </c>
      <c r="K461" s="15" t="n">
        <v>64</v>
      </c>
      <c r="L461" s="15" t="n">
        <v>28</v>
      </c>
      <c r="M461" s="15" t="n">
        <v>83</v>
      </c>
      <c r="N461" s="15" t="n">
        <v>0</v>
      </c>
      <c r="O461" s="15" t="n">
        <v>0</v>
      </c>
      <c r="P461" s="16" t="n">
        <v>0</v>
      </c>
      <c r="Q461" s="15" t="n">
        <v>0</v>
      </c>
      <c r="R461" s="15" t="n">
        <v>0</v>
      </c>
      <c r="S461" s="17" t="n">
        <v>61315</v>
      </c>
      <c r="T461" s="15" t="s">
        <v>137</v>
      </c>
      <c r="U461" s="15" t="n">
        <v>2028</v>
      </c>
      <c r="V461" s="15" t="s">
        <v>1634</v>
      </c>
      <c r="W461" s="18" t="s">
        <v>139</v>
      </c>
      <c r="X461" s="18" t="s">
        <v>407</v>
      </c>
      <c r="Y461" s="15" t="s">
        <v>600</v>
      </c>
      <c r="Z461" s="15" t="s">
        <v>600</v>
      </c>
      <c r="AA461" s="19" t="str">
        <f aca="false">HYPERLINK("https://www.transfermarkt.com/schnellsuche/ergebnis/schnellsuche?query="&amp;SUBSTITUTE(A461," ","+"),"Search Transfermarkt")</f>
        <v>Search Transfermarkt</v>
      </c>
    </row>
    <row r="462" customFormat="false" ht="23.85" hidden="false" customHeight="false" outlineLevel="0" collapsed="false">
      <c r="A462" s="15" t="s">
        <v>1635</v>
      </c>
      <c r="B462" s="15" t="s">
        <v>88</v>
      </c>
      <c r="C462" s="15" t="s">
        <v>1347</v>
      </c>
      <c r="D462" s="15" t="n">
        <v>4</v>
      </c>
      <c r="E462" s="15" t="s">
        <v>1636</v>
      </c>
      <c r="F462" s="15" t="s">
        <v>136</v>
      </c>
      <c r="G462" s="15" t="n">
        <v>19</v>
      </c>
      <c r="H462" s="15" t="n">
        <v>1786</v>
      </c>
      <c r="I462" s="15" t="n">
        <v>0</v>
      </c>
      <c r="J462" s="15" t="n">
        <v>1</v>
      </c>
      <c r="K462" s="15" t="n">
        <v>72</v>
      </c>
      <c r="L462" s="15" t="n">
        <v>28</v>
      </c>
      <c r="M462" s="15" t="n">
        <v>81</v>
      </c>
      <c r="N462" s="15" t="n">
        <v>0</v>
      </c>
      <c r="O462" s="15" t="n">
        <v>0</v>
      </c>
      <c r="P462" s="16" t="n">
        <v>0</v>
      </c>
      <c r="Q462" s="15" t="n">
        <v>0</v>
      </c>
      <c r="R462" s="15" t="n">
        <v>0</v>
      </c>
      <c r="S462" s="17" t="n">
        <v>53416</v>
      </c>
      <c r="T462" s="15" t="s">
        <v>164</v>
      </c>
      <c r="U462" s="15" t="n">
        <v>2027</v>
      </c>
      <c r="V462" s="15" t="s">
        <v>1637</v>
      </c>
      <c r="W462" s="18" t="s">
        <v>139</v>
      </c>
      <c r="X462" s="18" t="s">
        <v>320</v>
      </c>
      <c r="Y462" s="15" t="s">
        <v>600</v>
      </c>
      <c r="Z462" s="15" t="s">
        <v>600</v>
      </c>
      <c r="AA462" s="19" t="str">
        <f aca="false">HYPERLINK("https://www.transfermarkt.com/schnellsuche/ergebnis/schnellsuche?query="&amp;SUBSTITUTE(A462," ","+"),"Search Transfermarkt")</f>
        <v>Search Transfermarkt</v>
      </c>
    </row>
    <row r="463" customFormat="false" ht="23.85" hidden="false" customHeight="false" outlineLevel="0" collapsed="false">
      <c r="A463" s="15" t="s">
        <v>1638</v>
      </c>
      <c r="B463" s="15" t="s">
        <v>86</v>
      </c>
      <c r="C463" s="15" t="s">
        <v>1232</v>
      </c>
      <c r="D463" s="15" t="n">
        <v>3</v>
      </c>
      <c r="E463" s="15" t="s">
        <v>1639</v>
      </c>
      <c r="F463" s="15" t="s">
        <v>136</v>
      </c>
      <c r="G463" s="15" t="n">
        <v>25</v>
      </c>
      <c r="H463" s="15" t="n">
        <v>1087</v>
      </c>
      <c r="I463" s="15" t="n">
        <v>3</v>
      </c>
      <c r="J463" s="15" t="n">
        <v>4</v>
      </c>
      <c r="K463" s="15" t="n">
        <v>53</v>
      </c>
      <c r="L463" s="15" t="n">
        <v>42</v>
      </c>
      <c r="M463" s="15" t="n">
        <v>119</v>
      </c>
      <c r="N463" s="15" t="n">
        <v>0</v>
      </c>
      <c r="O463" s="15" t="n">
        <v>0</v>
      </c>
      <c r="P463" s="16" t="n">
        <v>0</v>
      </c>
      <c r="Q463" s="15" t="n">
        <v>0</v>
      </c>
      <c r="R463" s="15" t="n">
        <v>0</v>
      </c>
      <c r="S463" s="17" t="n">
        <v>0</v>
      </c>
      <c r="T463" s="15" t="s">
        <v>164</v>
      </c>
      <c r="U463" s="15" t="n">
        <v>2027</v>
      </c>
      <c r="V463" s="15" t="s">
        <v>1640</v>
      </c>
      <c r="W463" s="18" t="s">
        <v>139</v>
      </c>
      <c r="X463" s="18" t="s">
        <v>473</v>
      </c>
      <c r="Y463" s="15" t="s">
        <v>600</v>
      </c>
      <c r="Z463" s="15" t="s">
        <v>600</v>
      </c>
      <c r="AA463" s="19" t="str">
        <f aca="false">HYPERLINK("https://www.transfermarkt.com/schnellsuche/ergebnis/schnellsuche?query="&amp;SUBSTITUTE(A463," ","+"),"Search Transfermarkt")</f>
        <v>Search Transfermarkt</v>
      </c>
    </row>
    <row r="464" customFormat="false" ht="23.85" hidden="false" customHeight="false" outlineLevel="0" collapsed="false">
      <c r="A464" s="15" t="s">
        <v>1641</v>
      </c>
      <c r="B464" s="15" t="s">
        <v>75</v>
      </c>
      <c r="C464" s="15" t="s">
        <v>247</v>
      </c>
      <c r="D464" s="15" t="n">
        <v>2</v>
      </c>
      <c r="E464" s="15" t="s">
        <v>1582</v>
      </c>
      <c r="F464" s="15" t="s">
        <v>157</v>
      </c>
      <c r="G464" s="15" t="n">
        <v>17</v>
      </c>
      <c r="H464" s="15" t="n">
        <v>868</v>
      </c>
      <c r="I464" s="15" t="n">
        <v>0</v>
      </c>
      <c r="J464" s="15" t="n">
        <v>0</v>
      </c>
      <c r="K464" s="15" t="n">
        <v>20</v>
      </c>
      <c r="L464" s="15" t="n">
        <v>2</v>
      </c>
      <c r="M464" s="15" t="n">
        <v>7</v>
      </c>
      <c r="N464" s="15" t="n">
        <v>20</v>
      </c>
      <c r="O464" s="15" t="n">
        <v>10</v>
      </c>
      <c r="P464" s="16" t="n">
        <v>68.5</v>
      </c>
      <c r="Q464" s="15" t="n">
        <v>11.1</v>
      </c>
      <c r="R464" s="15" t="n">
        <v>3</v>
      </c>
      <c r="S464" s="17" t="n">
        <v>52008</v>
      </c>
      <c r="T464" s="15" t="s">
        <v>137</v>
      </c>
      <c r="U464" s="15" t="n">
        <v>2028</v>
      </c>
      <c r="V464" s="15" t="s">
        <v>1583</v>
      </c>
      <c r="W464" s="18" t="s">
        <v>147</v>
      </c>
      <c r="X464" s="18" t="s">
        <v>197</v>
      </c>
      <c r="Y464" s="15" t="s">
        <v>600</v>
      </c>
      <c r="Z464" s="15" t="s">
        <v>600</v>
      </c>
      <c r="AA464" s="19" t="str">
        <f aca="false">HYPERLINK("https://www.transfermarkt.com/schnellsuche/ergebnis/schnellsuche?query="&amp;SUBSTITUTE(A464," ","+"),"Search Transfermarkt")</f>
        <v>Search Transfermarkt</v>
      </c>
    </row>
    <row r="465" customFormat="false" ht="23.85" hidden="false" customHeight="false" outlineLevel="0" collapsed="false">
      <c r="A465" s="15" t="s">
        <v>1642</v>
      </c>
      <c r="B465" s="15" t="s">
        <v>62</v>
      </c>
      <c r="C465" s="15" t="s">
        <v>422</v>
      </c>
      <c r="D465" s="15" t="n">
        <v>4</v>
      </c>
      <c r="E465" s="15" t="s">
        <v>394</v>
      </c>
      <c r="F465" s="15" t="s">
        <v>136</v>
      </c>
      <c r="G465" s="15" t="n">
        <v>18</v>
      </c>
      <c r="H465" s="15" t="n">
        <v>1074</v>
      </c>
      <c r="I465" s="15" t="n">
        <v>0</v>
      </c>
      <c r="J465" s="15" t="n">
        <v>5</v>
      </c>
      <c r="K465" s="15" t="n">
        <v>44</v>
      </c>
      <c r="L465" s="15" t="n">
        <v>34</v>
      </c>
      <c r="M465" s="15" t="n">
        <v>95</v>
      </c>
      <c r="N465" s="15" t="n">
        <v>0</v>
      </c>
      <c r="O465" s="15" t="n">
        <v>0</v>
      </c>
      <c r="P465" s="16" t="n">
        <v>0</v>
      </c>
      <c r="Q465" s="15" t="n">
        <v>0</v>
      </c>
      <c r="R465" s="15" t="n">
        <v>0</v>
      </c>
      <c r="S465" s="17" t="n">
        <v>43652</v>
      </c>
      <c r="T465" s="15" t="s">
        <v>137</v>
      </c>
      <c r="U465" s="15" t="n">
        <v>2027</v>
      </c>
      <c r="V465" s="15" t="s">
        <v>395</v>
      </c>
      <c r="W465" s="18" t="s">
        <v>139</v>
      </c>
      <c r="X465" s="18" t="s">
        <v>211</v>
      </c>
      <c r="Y465" s="15" t="s">
        <v>600</v>
      </c>
      <c r="Z465" s="15" t="s">
        <v>600</v>
      </c>
      <c r="AA465" s="19" t="str">
        <f aca="false">HYPERLINK("https://www.transfermarkt.com/schnellsuche/ergebnis/schnellsuche?query="&amp;SUBSTITUTE(A465," ","+"),"Search Transfermarkt")</f>
        <v>Search Transfermarkt</v>
      </c>
    </row>
    <row r="466" customFormat="false" ht="23.85" hidden="false" customHeight="false" outlineLevel="0" collapsed="false">
      <c r="A466" s="15" t="s">
        <v>1643</v>
      </c>
      <c r="B466" s="15" t="s">
        <v>89</v>
      </c>
      <c r="C466" s="15" t="s">
        <v>548</v>
      </c>
      <c r="D466" s="15" t="n">
        <v>2</v>
      </c>
      <c r="E466" s="15" t="s">
        <v>549</v>
      </c>
      <c r="F466" s="15" t="s">
        <v>136</v>
      </c>
      <c r="G466" s="15" t="n">
        <v>20</v>
      </c>
      <c r="H466" s="15" t="n">
        <v>1276</v>
      </c>
      <c r="I466" s="15" t="n">
        <v>0</v>
      </c>
      <c r="J466" s="15" t="n">
        <v>0</v>
      </c>
      <c r="K466" s="15" t="n">
        <v>70</v>
      </c>
      <c r="L466" s="15" t="n">
        <v>26</v>
      </c>
      <c r="M466" s="15" t="n">
        <v>111</v>
      </c>
      <c r="N466" s="15" t="n">
        <v>0</v>
      </c>
      <c r="O466" s="15" t="n">
        <v>0</v>
      </c>
      <c r="P466" s="16" t="n">
        <v>0</v>
      </c>
      <c r="Q466" s="15" t="n">
        <v>0</v>
      </c>
      <c r="R466" s="15" t="n">
        <v>0</v>
      </c>
      <c r="S466" s="17" t="n">
        <v>140395</v>
      </c>
      <c r="T466" s="15" t="s">
        <v>137</v>
      </c>
      <c r="U466" s="15" t="n">
        <v>2027</v>
      </c>
      <c r="V466" s="15" t="s">
        <v>550</v>
      </c>
      <c r="W466" s="18" t="s">
        <v>139</v>
      </c>
      <c r="X466" s="18" t="s">
        <v>206</v>
      </c>
      <c r="Y466" s="15" t="s">
        <v>600</v>
      </c>
      <c r="Z466" s="15" t="s">
        <v>600</v>
      </c>
      <c r="AA466" s="19" t="str">
        <f aca="false">HYPERLINK("https://www.transfermarkt.com/schnellsuche/ergebnis/schnellsuche?query="&amp;SUBSTITUTE(A466," ","+"),"Search Transfermarkt")</f>
        <v>Search Transfermarkt</v>
      </c>
    </row>
    <row r="467" customFormat="false" ht="23.85" hidden="false" customHeight="false" outlineLevel="0" collapsed="false">
      <c r="A467" s="15" t="s">
        <v>1644</v>
      </c>
      <c r="B467" s="15" t="s">
        <v>82</v>
      </c>
      <c r="C467" s="15" t="s">
        <v>1172</v>
      </c>
      <c r="D467" s="15" t="n">
        <v>4</v>
      </c>
      <c r="E467" s="15" t="s">
        <v>571</v>
      </c>
      <c r="F467" s="15" t="s">
        <v>170</v>
      </c>
      <c r="G467" s="15" t="n">
        <v>20</v>
      </c>
      <c r="H467" s="15" t="n">
        <v>1170</v>
      </c>
      <c r="I467" s="15" t="n">
        <v>2</v>
      </c>
      <c r="J467" s="15" t="n">
        <v>10</v>
      </c>
      <c r="K467" s="15" t="n">
        <v>152</v>
      </c>
      <c r="L467" s="15" t="n">
        <v>54</v>
      </c>
      <c r="M467" s="15" t="n">
        <v>47</v>
      </c>
      <c r="N467" s="15" t="n">
        <v>0</v>
      </c>
      <c r="O467" s="15" t="n">
        <v>0</v>
      </c>
      <c r="P467" s="16" t="n">
        <v>0</v>
      </c>
      <c r="Q467" s="15" t="n">
        <v>0</v>
      </c>
      <c r="R467" s="15" t="n">
        <v>0</v>
      </c>
      <c r="S467" s="17" t="n">
        <v>105590</v>
      </c>
      <c r="T467" s="15" t="s">
        <v>164</v>
      </c>
      <c r="U467" s="15" t="n">
        <v>2029</v>
      </c>
      <c r="V467" s="15" t="s">
        <v>572</v>
      </c>
      <c r="W467" s="18" t="s">
        <v>139</v>
      </c>
      <c r="X467" s="18" t="s">
        <v>166</v>
      </c>
      <c r="Y467" s="15" t="s">
        <v>600</v>
      </c>
      <c r="Z467" s="15" t="s">
        <v>600</v>
      </c>
      <c r="AA467" s="19" t="str">
        <f aca="false">HYPERLINK("https://www.transfermarkt.com/schnellsuche/ergebnis/schnellsuche?query="&amp;SUBSTITUTE(A467," ","+"),"Search Transfermarkt")</f>
        <v>Search Transfermarkt</v>
      </c>
    </row>
    <row r="468" customFormat="false" ht="23.85" hidden="false" customHeight="false" outlineLevel="0" collapsed="false">
      <c r="A468" s="15" t="s">
        <v>1645</v>
      </c>
      <c r="B468" s="15" t="s">
        <v>85</v>
      </c>
      <c r="C468" s="15" t="s">
        <v>705</v>
      </c>
      <c r="D468" s="15" t="n">
        <v>3</v>
      </c>
      <c r="E468" s="15" t="s">
        <v>1646</v>
      </c>
      <c r="F468" s="15" t="s">
        <v>170</v>
      </c>
      <c r="G468" s="15" t="n">
        <v>22</v>
      </c>
      <c r="H468" s="15" t="n">
        <v>1482</v>
      </c>
      <c r="I468" s="15" t="n">
        <v>10</v>
      </c>
      <c r="J468" s="15" t="n">
        <v>10</v>
      </c>
      <c r="K468" s="15" t="n">
        <v>111</v>
      </c>
      <c r="L468" s="15" t="n">
        <v>94</v>
      </c>
      <c r="M468" s="15" t="n">
        <v>51</v>
      </c>
      <c r="N468" s="15" t="n">
        <v>0</v>
      </c>
      <c r="O468" s="15" t="n">
        <v>0</v>
      </c>
      <c r="P468" s="16" t="n">
        <v>0</v>
      </c>
      <c r="Q468" s="15" t="n">
        <v>0</v>
      </c>
      <c r="R468" s="15" t="n">
        <v>0</v>
      </c>
      <c r="S468" s="17" t="n">
        <v>112863</v>
      </c>
      <c r="T468" s="15" t="s">
        <v>137</v>
      </c>
      <c r="U468" s="15" t="n">
        <v>2026</v>
      </c>
      <c r="V468" s="15" t="s">
        <v>1647</v>
      </c>
      <c r="W468" s="18" t="s">
        <v>139</v>
      </c>
      <c r="X468" s="18" t="s">
        <v>265</v>
      </c>
      <c r="Y468" s="15" t="s">
        <v>600</v>
      </c>
      <c r="Z468" s="15" t="s">
        <v>600</v>
      </c>
      <c r="AA468" s="19" t="str">
        <f aca="false">HYPERLINK("https://www.transfermarkt.com/schnellsuche/ergebnis/schnellsuche?query="&amp;SUBSTITUTE(A468," ","+"),"Search Transfermarkt")</f>
        <v>Search Transfermarkt</v>
      </c>
    </row>
    <row r="469" customFormat="false" ht="23.85" hidden="false" customHeight="false" outlineLevel="0" collapsed="false">
      <c r="A469" s="15" t="s">
        <v>1648</v>
      </c>
      <c r="B469" s="15" t="s">
        <v>75</v>
      </c>
      <c r="C469" s="15" t="s">
        <v>914</v>
      </c>
      <c r="D469" s="15" t="n">
        <v>3</v>
      </c>
      <c r="E469" s="15" t="s">
        <v>988</v>
      </c>
      <c r="F469" s="15" t="s">
        <v>170</v>
      </c>
      <c r="G469" s="15" t="n">
        <v>19</v>
      </c>
      <c r="H469" s="15" t="n">
        <v>1742</v>
      </c>
      <c r="I469" s="15" t="n">
        <v>5</v>
      </c>
      <c r="J469" s="15" t="n">
        <v>4</v>
      </c>
      <c r="K469" s="15" t="n">
        <v>122</v>
      </c>
      <c r="L469" s="15" t="n">
        <v>84</v>
      </c>
      <c r="M469" s="15" t="n">
        <v>42</v>
      </c>
      <c r="N469" s="15" t="n">
        <v>0</v>
      </c>
      <c r="O469" s="15" t="n">
        <v>0</v>
      </c>
      <c r="P469" s="16" t="n">
        <v>0</v>
      </c>
      <c r="Q469" s="15" t="n">
        <v>0</v>
      </c>
      <c r="R469" s="15" t="n">
        <v>0</v>
      </c>
      <c r="S469" s="17" t="n">
        <v>80130</v>
      </c>
      <c r="T469" s="15" t="s">
        <v>137</v>
      </c>
      <c r="U469" s="15" t="n">
        <v>2028</v>
      </c>
      <c r="V469" s="15" t="s">
        <v>989</v>
      </c>
      <c r="W469" s="18" t="s">
        <v>139</v>
      </c>
      <c r="X469" s="18" t="s">
        <v>197</v>
      </c>
      <c r="Y469" s="15" t="s">
        <v>600</v>
      </c>
      <c r="Z469" s="15" t="s">
        <v>600</v>
      </c>
      <c r="AA469" s="19" t="str">
        <f aca="false">HYPERLINK("https://www.transfermarkt.com/schnellsuche/ergebnis/schnellsuche?query="&amp;SUBSTITUTE(A469," ","+"),"Search Transfermarkt")</f>
        <v>Search Transfermarkt</v>
      </c>
    </row>
    <row r="470" customFormat="false" ht="23.85" hidden="false" customHeight="false" outlineLevel="0" collapsed="false">
      <c r="A470" s="15" t="s">
        <v>1649</v>
      </c>
      <c r="B470" s="15" t="s">
        <v>87</v>
      </c>
      <c r="C470" s="15" t="s">
        <v>1157</v>
      </c>
      <c r="D470" s="15" t="n">
        <v>2</v>
      </c>
      <c r="E470" s="15" t="s">
        <v>339</v>
      </c>
      <c r="F470" s="15" t="s">
        <v>170</v>
      </c>
      <c r="G470" s="15" t="n">
        <v>21</v>
      </c>
      <c r="H470" s="15" t="n">
        <v>1378</v>
      </c>
      <c r="I470" s="15" t="n">
        <v>5</v>
      </c>
      <c r="J470" s="15" t="n">
        <v>6</v>
      </c>
      <c r="K470" s="15" t="n">
        <v>150</v>
      </c>
      <c r="L470" s="15" t="n">
        <v>63</v>
      </c>
      <c r="M470" s="15" t="n">
        <v>45</v>
      </c>
      <c r="N470" s="15" t="n">
        <v>0</v>
      </c>
      <c r="O470" s="15" t="n">
        <v>0</v>
      </c>
      <c r="P470" s="16" t="n">
        <v>0</v>
      </c>
      <c r="Q470" s="15" t="n">
        <v>0</v>
      </c>
      <c r="R470" s="15" t="n">
        <v>0</v>
      </c>
      <c r="S470" s="17" t="n">
        <v>0</v>
      </c>
      <c r="T470" s="15" t="s">
        <v>137</v>
      </c>
      <c r="U470" s="15" t="n">
        <v>2028</v>
      </c>
      <c r="V470" s="15" t="s">
        <v>340</v>
      </c>
      <c r="W470" s="18" t="s">
        <v>139</v>
      </c>
      <c r="X470" s="18" t="s">
        <v>341</v>
      </c>
      <c r="Y470" s="15" t="s">
        <v>600</v>
      </c>
      <c r="Z470" s="15" t="s">
        <v>600</v>
      </c>
      <c r="AA470" s="19" t="str">
        <f aca="false">HYPERLINK("https://www.transfermarkt.com/schnellsuche/ergebnis/schnellsuche?query="&amp;SUBSTITUTE(A470," ","+"),"Search Transfermarkt")</f>
        <v>Search Transfermarkt</v>
      </c>
    </row>
    <row r="471" customFormat="false" ht="23.85" hidden="false" customHeight="false" outlineLevel="0" collapsed="false">
      <c r="A471" s="15" t="s">
        <v>1650</v>
      </c>
      <c r="B471" s="15" t="s">
        <v>99</v>
      </c>
      <c r="C471" s="15" t="s">
        <v>1362</v>
      </c>
      <c r="D471" s="15" t="n">
        <v>3</v>
      </c>
      <c r="E471" s="15" t="s">
        <v>669</v>
      </c>
      <c r="F471" s="15" t="s">
        <v>170</v>
      </c>
      <c r="G471" s="15" t="n">
        <v>22</v>
      </c>
      <c r="H471" s="15" t="n">
        <v>1331</v>
      </c>
      <c r="I471" s="15" t="n">
        <v>6</v>
      </c>
      <c r="J471" s="15" t="n">
        <v>8</v>
      </c>
      <c r="K471" s="15" t="n">
        <v>178</v>
      </c>
      <c r="L471" s="15" t="n">
        <v>64</v>
      </c>
      <c r="M471" s="15" t="n">
        <v>35</v>
      </c>
      <c r="N471" s="15" t="n">
        <v>0</v>
      </c>
      <c r="O471" s="15" t="n">
        <v>0</v>
      </c>
      <c r="P471" s="16" t="n">
        <v>0</v>
      </c>
      <c r="Q471" s="15" t="n">
        <v>0</v>
      </c>
      <c r="R471" s="15" t="n">
        <v>0</v>
      </c>
      <c r="S471" s="17" t="n">
        <v>0</v>
      </c>
      <c r="T471" s="15" t="s">
        <v>137</v>
      </c>
      <c r="U471" s="15" t="n">
        <v>2029</v>
      </c>
      <c r="V471" s="15" t="s">
        <v>670</v>
      </c>
      <c r="W471" s="18" t="s">
        <v>139</v>
      </c>
      <c r="X471" s="18" t="s">
        <v>189</v>
      </c>
      <c r="Y471" s="15" t="s">
        <v>600</v>
      </c>
      <c r="Z471" s="15" t="s">
        <v>600</v>
      </c>
      <c r="AA471" s="19" t="str">
        <f aca="false">HYPERLINK("https://www.transfermarkt.com/schnellsuche/ergebnis/schnellsuche?query="&amp;SUBSTITUTE(A471," ","+"),"Search Transfermarkt")</f>
        <v>Search Transfermarkt</v>
      </c>
    </row>
    <row r="472" customFormat="false" ht="23.85" hidden="false" customHeight="false" outlineLevel="0" collapsed="false">
      <c r="A472" s="15" t="s">
        <v>1651</v>
      </c>
      <c r="B472" s="15" t="s">
        <v>104</v>
      </c>
      <c r="C472" s="15" t="s">
        <v>1652</v>
      </c>
      <c r="D472" s="15" t="n">
        <v>2</v>
      </c>
      <c r="E472" s="15" t="s">
        <v>1097</v>
      </c>
      <c r="F472" s="15" t="s">
        <v>170</v>
      </c>
      <c r="G472" s="15" t="n">
        <v>20</v>
      </c>
      <c r="H472" s="15" t="n">
        <v>1655</v>
      </c>
      <c r="I472" s="15" t="n">
        <v>1</v>
      </c>
      <c r="J472" s="15" t="n">
        <v>10</v>
      </c>
      <c r="K472" s="15" t="n">
        <v>165</v>
      </c>
      <c r="L472" s="15" t="n">
        <v>77</v>
      </c>
      <c r="M472" s="15" t="n">
        <v>33</v>
      </c>
      <c r="N472" s="15" t="n">
        <v>0</v>
      </c>
      <c r="O472" s="15" t="n">
        <v>0</v>
      </c>
      <c r="P472" s="16" t="n">
        <v>0</v>
      </c>
      <c r="Q472" s="15" t="n">
        <v>0</v>
      </c>
      <c r="R472" s="15" t="n">
        <v>0</v>
      </c>
      <c r="S472" s="17" t="n">
        <v>31441</v>
      </c>
      <c r="T472" s="15" t="s">
        <v>164</v>
      </c>
      <c r="U472" s="15" t="n">
        <v>2028</v>
      </c>
      <c r="V472" s="15" t="s">
        <v>1098</v>
      </c>
      <c r="W472" s="18" t="s">
        <v>139</v>
      </c>
      <c r="X472" s="18" t="s">
        <v>274</v>
      </c>
      <c r="Y472" s="15" t="s">
        <v>600</v>
      </c>
      <c r="Z472" s="15" t="s">
        <v>600</v>
      </c>
      <c r="AA472" s="19" t="str">
        <f aca="false">HYPERLINK("https://www.transfermarkt.com/schnellsuche/ergebnis/schnellsuche?query="&amp;SUBSTITUTE(A472," ","+"),"Search Transfermarkt")</f>
        <v>Search Transfermarkt</v>
      </c>
    </row>
    <row r="473" customFormat="false" ht="23.85" hidden="false" customHeight="false" outlineLevel="0" collapsed="false">
      <c r="A473" s="15" t="s">
        <v>1653</v>
      </c>
      <c r="B473" s="15" t="s">
        <v>68</v>
      </c>
      <c r="C473" s="15" t="s">
        <v>954</v>
      </c>
      <c r="D473" s="15" t="n">
        <v>2</v>
      </c>
      <c r="E473" s="15" t="s">
        <v>955</v>
      </c>
      <c r="F473" s="15" t="s">
        <v>157</v>
      </c>
      <c r="G473" s="15" t="n">
        <v>26</v>
      </c>
      <c r="H473" s="15" t="n">
        <v>1179</v>
      </c>
      <c r="I473" s="15" t="n">
        <v>0</v>
      </c>
      <c r="J473" s="15" t="n">
        <v>0</v>
      </c>
      <c r="K473" s="15" t="n">
        <v>13</v>
      </c>
      <c r="L473" s="15" t="n">
        <v>5</v>
      </c>
      <c r="M473" s="15" t="n">
        <v>7</v>
      </c>
      <c r="N473" s="15" t="n">
        <v>59</v>
      </c>
      <c r="O473" s="15" t="n">
        <v>26</v>
      </c>
      <c r="P473" s="16" t="n">
        <v>81.9</v>
      </c>
      <c r="Q473" s="15" t="n">
        <v>9.4</v>
      </c>
      <c r="R473" s="15" t="n">
        <v>2</v>
      </c>
      <c r="S473" s="17" t="n">
        <v>145483</v>
      </c>
      <c r="T473" s="15" t="s">
        <v>137</v>
      </c>
      <c r="U473" s="15" t="n">
        <v>2029</v>
      </c>
      <c r="V473" s="15" t="s">
        <v>956</v>
      </c>
      <c r="W473" s="18" t="s">
        <v>139</v>
      </c>
      <c r="X473" s="18" t="s">
        <v>153</v>
      </c>
      <c r="Y473" s="15" t="s">
        <v>600</v>
      </c>
      <c r="Z473" s="15" t="s">
        <v>600</v>
      </c>
      <c r="AA473" s="19" t="str">
        <f aca="false">HYPERLINK("https://www.transfermarkt.com/schnellsuche/ergebnis/schnellsuche?query="&amp;SUBSTITUTE(A473," ","+"),"Search Transfermarkt")</f>
        <v>Search Transfermarkt</v>
      </c>
    </row>
    <row r="474" customFormat="false" ht="23.85" hidden="false" customHeight="false" outlineLevel="0" collapsed="false">
      <c r="A474" s="15" t="s">
        <v>1654</v>
      </c>
      <c r="B474" s="15" t="s">
        <v>81</v>
      </c>
      <c r="C474" s="15" t="s">
        <v>567</v>
      </c>
      <c r="D474" s="15" t="n">
        <v>2</v>
      </c>
      <c r="E474" s="15" t="s">
        <v>1036</v>
      </c>
      <c r="F474" s="15" t="s">
        <v>136</v>
      </c>
      <c r="G474" s="15" t="n">
        <v>22</v>
      </c>
      <c r="H474" s="15" t="n">
        <v>2650</v>
      </c>
      <c r="I474" s="15" t="n">
        <v>1</v>
      </c>
      <c r="J474" s="15" t="n">
        <v>3</v>
      </c>
      <c r="K474" s="15" t="n">
        <v>52</v>
      </c>
      <c r="L474" s="15" t="n">
        <v>26</v>
      </c>
      <c r="M474" s="15" t="n">
        <v>113</v>
      </c>
      <c r="N474" s="15" t="n">
        <v>0</v>
      </c>
      <c r="O474" s="15" t="n">
        <v>0</v>
      </c>
      <c r="P474" s="16" t="n">
        <v>0</v>
      </c>
      <c r="Q474" s="15" t="n">
        <v>0</v>
      </c>
      <c r="R474" s="15" t="n">
        <v>0</v>
      </c>
      <c r="S474" s="17" t="n">
        <v>42120</v>
      </c>
      <c r="T474" s="15" t="s">
        <v>137</v>
      </c>
      <c r="U474" s="15" t="n">
        <v>2029</v>
      </c>
      <c r="V474" s="15" t="s">
        <v>1037</v>
      </c>
      <c r="W474" s="18" t="s">
        <v>139</v>
      </c>
      <c r="X474" s="18" t="s">
        <v>407</v>
      </c>
      <c r="Y474" s="15" t="s">
        <v>600</v>
      </c>
      <c r="Z474" s="15" t="s">
        <v>600</v>
      </c>
      <c r="AA474" s="19" t="str">
        <f aca="false">HYPERLINK("https://www.transfermarkt.com/schnellsuche/ergebnis/schnellsuche?query="&amp;SUBSTITUTE(A474," ","+"),"Search Transfermarkt")</f>
        <v>Search Transfermarkt</v>
      </c>
    </row>
    <row r="475" customFormat="false" ht="23.85" hidden="false" customHeight="false" outlineLevel="0" collapsed="false">
      <c r="A475" s="15" t="s">
        <v>1655</v>
      </c>
      <c r="B475" s="15" t="s">
        <v>73</v>
      </c>
      <c r="C475" s="15" t="s">
        <v>1656</v>
      </c>
      <c r="D475" s="15" t="n">
        <v>4</v>
      </c>
      <c r="E475" s="15" t="s">
        <v>1657</v>
      </c>
      <c r="F475" s="15" t="s">
        <v>157</v>
      </c>
      <c r="G475" s="15" t="n">
        <v>23</v>
      </c>
      <c r="H475" s="15" t="n">
        <v>1321</v>
      </c>
      <c r="I475" s="15" t="n">
        <v>0</v>
      </c>
      <c r="J475" s="15" t="n">
        <v>0</v>
      </c>
      <c r="K475" s="15" t="n">
        <v>13</v>
      </c>
      <c r="L475" s="15" t="n">
        <v>6</v>
      </c>
      <c r="M475" s="15" t="n">
        <v>9</v>
      </c>
      <c r="N475" s="15" t="n">
        <v>64</v>
      </c>
      <c r="O475" s="15" t="n">
        <v>29</v>
      </c>
      <c r="P475" s="16" t="n">
        <v>76</v>
      </c>
      <c r="Q475" s="15" t="n">
        <v>9.2</v>
      </c>
      <c r="R475" s="15" t="n">
        <v>2</v>
      </c>
      <c r="S475" s="17" t="n">
        <v>94166</v>
      </c>
      <c r="T475" s="15" t="s">
        <v>164</v>
      </c>
      <c r="U475" s="15" t="n">
        <v>2029</v>
      </c>
      <c r="V475" s="15" t="s">
        <v>1658</v>
      </c>
      <c r="W475" s="18" t="s">
        <v>139</v>
      </c>
      <c r="X475" s="18" t="s">
        <v>172</v>
      </c>
      <c r="Y475" s="15" t="s">
        <v>600</v>
      </c>
      <c r="Z475" s="15" t="s">
        <v>600</v>
      </c>
      <c r="AA475" s="19" t="str">
        <f aca="false">HYPERLINK("https://www.transfermarkt.com/schnellsuche/ergebnis/schnellsuche?query="&amp;SUBSTITUTE(A475," ","+"),"Search Transfermarkt")</f>
        <v>Search Transfermarkt</v>
      </c>
    </row>
    <row r="476" customFormat="false" ht="23.85" hidden="false" customHeight="false" outlineLevel="0" collapsed="false">
      <c r="A476" s="15" t="s">
        <v>1659</v>
      </c>
      <c r="B476" s="15" t="s">
        <v>104</v>
      </c>
      <c r="C476" s="15" t="s">
        <v>1660</v>
      </c>
      <c r="D476" s="15" t="n">
        <v>3</v>
      </c>
      <c r="E476" s="15" t="s">
        <v>1661</v>
      </c>
      <c r="F476" s="15" t="s">
        <v>136</v>
      </c>
      <c r="G476" s="15" t="n">
        <v>17</v>
      </c>
      <c r="H476" s="15" t="n">
        <v>2130</v>
      </c>
      <c r="I476" s="15" t="n">
        <v>0</v>
      </c>
      <c r="J476" s="15" t="n">
        <v>5</v>
      </c>
      <c r="K476" s="15" t="n">
        <v>50</v>
      </c>
      <c r="L476" s="15" t="n">
        <v>31</v>
      </c>
      <c r="M476" s="15" t="n">
        <v>76</v>
      </c>
      <c r="N476" s="15" t="n">
        <v>0</v>
      </c>
      <c r="O476" s="15" t="n">
        <v>0</v>
      </c>
      <c r="P476" s="16" t="n">
        <v>0</v>
      </c>
      <c r="Q476" s="15" t="n">
        <v>0</v>
      </c>
      <c r="R476" s="15" t="n">
        <v>0</v>
      </c>
      <c r="S476" s="17" t="n">
        <v>51408</v>
      </c>
      <c r="T476" s="15" t="s">
        <v>137</v>
      </c>
      <c r="U476" s="15" t="n">
        <v>2027</v>
      </c>
      <c r="V476" s="15" t="s">
        <v>1662</v>
      </c>
      <c r="W476" s="18" t="s">
        <v>147</v>
      </c>
      <c r="X476" s="18" t="s">
        <v>274</v>
      </c>
      <c r="Y476" s="15" t="s">
        <v>600</v>
      </c>
      <c r="Z476" s="15" t="s">
        <v>600</v>
      </c>
      <c r="AA476" s="19" t="str">
        <f aca="false">HYPERLINK("https://www.transfermarkt.com/schnellsuche/ergebnis/schnellsuche?query="&amp;SUBSTITUTE(A476," ","+"),"Search Transfermarkt")</f>
        <v>Search Transfermarkt</v>
      </c>
    </row>
    <row r="477" customFormat="false" ht="23.85" hidden="false" customHeight="false" outlineLevel="0" collapsed="false">
      <c r="A477" s="15" t="s">
        <v>1663</v>
      </c>
      <c r="B477" s="15" t="s">
        <v>104</v>
      </c>
      <c r="C477" s="15" t="s">
        <v>1660</v>
      </c>
      <c r="D477" s="15" t="n">
        <v>3</v>
      </c>
      <c r="E477" s="15" t="s">
        <v>1486</v>
      </c>
      <c r="F477" s="15" t="s">
        <v>163</v>
      </c>
      <c r="G477" s="15" t="n">
        <v>18</v>
      </c>
      <c r="H477" s="15" t="n">
        <v>924</v>
      </c>
      <c r="I477" s="15" t="n">
        <v>14</v>
      </c>
      <c r="J477" s="15" t="n">
        <v>5</v>
      </c>
      <c r="K477" s="15" t="n">
        <v>28</v>
      </c>
      <c r="L477" s="15" t="n">
        <v>62</v>
      </c>
      <c r="M477" s="15" t="n">
        <v>9</v>
      </c>
      <c r="N477" s="15" t="n">
        <v>0</v>
      </c>
      <c r="O477" s="15" t="n">
        <v>0</v>
      </c>
      <c r="P477" s="16" t="n">
        <v>0</v>
      </c>
      <c r="Q477" s="15" t="n">
        <v>0</v>
      </c>
      <c r="R477" s="15" t="n">
        <v>0</v>
      </c>
      <c r="S477" s="17" t="n">
        <v>0</v>
      </c>
      <c r="T477" s="15" t="s">
        <v>137</v>
      </c>
      <c r="U477" s="15" t="n">
        <v>2026</v>
      </c>
      <c r="V477" s="15" t="s">
        <v>1487</v>
      </c>
      <c r="W477" s="18" t="s">
        <v>139</v>
      </c>
      <c r="X477" s="18" t="s">
        <v>274</v>
      </c>
      <c r="Y477" s="15" t="s">
        <v>600</v>
      </c>
      <c r="Z477" s="15" t="s">
        <v>600</v>
      </c>
      <c r="AA477" s="19" t="str">
        <f aca="false">HYPERLINK("https://www.transfermarkt.com/schnellsuche/ergebnis/schnellsuche?query="&amp;SUBSTITUTE(A477," ","+"),"Search Transfermarkt")</f>
        <v>Search Transfermarkt</v>
      </c>
    </row>
    <row r="478" customFormat="false" ht="23.85" hidden="false" customHeight="false" outlineLevel="0" collapsed="false">
      <c r="A478" s="15" t="s">
        <v>1664</v>
      </c>
      <c r="B478" s="15" t="s">
        <v>96</v>
      </c>
      <c r="C478" s="15" t="s">
        <v>1665</v>
      </c>
      <c r="D478" s="15" t="n">
        <v>3</v>
      </c>
      <c r="E478" s="15" t="s">
        <v>1666</v>
      </c>
      <c r="F478" s="15" t="s">
        <v>136</v>
      </c>
      <c r="G478" s="15" t="n">
        <v>18</v>
      </c>
      <c r="H478" s="15" t="n">
        <v>2092</v>
      </c>
      <c r="I478" s="15" t="n">
        <v>0</v>
      </c>
      <c r="J478" s="15" t="n">
        <v>4</v>
      </c>
      <c r="K478" s="15" t="n">
        <v>59</v>
      </c>
      <c r="L478" s="15" t="n">
        <v>21</v>
      </c>
      <c r="M478" s="15" t="n">
        <v>128</v>
      </c>
      <c r="N478" s="15" t="n">
        <v>0</v>
      </c>
      <c r="O478" s="15" t="n">
        <v>0</v>
      </c>
      <c r="P478" s="16" t="n">
        <v>0</v>
      </c>
      <c r="Q478" s="15" t="n">
        <v>0</v>
      </c>
      <c r="R478" s="15" t="n">
        <v>0</v>
      </c>
      <c r="S478" s="17" t="n">
        <v>8030</v>
      </c>
      <c r="T478" s="15" t="s">
        <v>137</v>
      </c>
      <c r="U478" s="15" t="n">
        <v>2028</v>
      </c>
      <c r="V478" s="15" t="s">
        <v>1667</v>
      </c>
      <c r="W478" s="18" t="s">
        <v>139</v>
      </c>
      <c r="X478" s="18" t="s">
        <v>216</v>
      </c>
      <c r="Y478" s="15" t="s">
        <v>600</v>
      </c>
      <c r="Z478" s="15" t="s">
        <v>600</v>
      </c>
      <c r="AA478" s="19" t="str">
        <f aca="false">HYPERLINK("https://www.transfermarkt.com/schnellsuche/ergebnis/schnellsuche?query="&amp;SUBSTITUTE(A478," ","+"),"Search Transfermarkt")</f>
        <v>Search Transfermarkt</v>
      </c>
    </row>
    <row r="479" customFormat="false" ht="23.85" hidden="false" customHeight="false" outlineLevel="0" collapsed="false">
      <c r="A479" s="15" t="s">
        <v>1668</v>
      </c>
      <c r="B479" s="15" t="s">
        <v>64</v>
      </c>
      <c r="C479" s="15" t="s">
        <v>1114</v>
      </c>
      <c r="D479" s="15" t="n">
        <v>2</v>
      </c>
      <c r="E479" s="15" t="s">
        <v>1669</v>
      </c>
      <c r="F479" s="15" t="s">
        <v>157</v>
      </c>
      <c r="G479" s="15" t="n">
        <v>18</v>
      </c>
      <c r="H479" s="15" t="n">
        <v>1295</v>
      </c>
      <c r="I479" s="15" t="n">
        <v>0</v>
      </c>
      <c r="J479" s="15" t="n">
        <v>0</v>
      </c>
      <c r="K479" s="15" t="n">
        <v>12</v>
      </c>
      <c r="L479" s="15" t="n">
        <v>5</v>
      </c>
      <c r="M479" s="15" t="n">
        <v>9</v>
      </c>
      <c r="N479" s="15" t="n">
        <v>48</v>
      </c>
      <c r="O479" s="15" t="n">
        <v>18</v>
      </c>
      <c r="P479" s="16" t="n">
        <v>71.1</v>
      </c>
      <c r="Q479" s="15" t="n">
        <v>3.5</v>
      </c>
      <c r="R479" s="15" t="n">
        <v>3</v>
      </c>
      <c r="S479" s="17" t="n">
        <v>0</v>
      </c>
      <c r="T479" s="15" t="s">
        <v>137</v>
      </c>
      <c r="U479" s="15" t="n">
        <v>2027</v>
      </c>
      <c r="V479" s="15" t="s">
        <v>1670</v>
      </c>
      <c r="W479" s="18" t="s">
        <v>139</v>
      </c>
      <c r="X479" s="18" t="s">
        <v>231</v>
      </c>
      <c r="Y479" s="15" t="s">
        <v>600</v>
      </c>
      <c r="Z479" s="15" t="s">
        <v>600</v>
      </c>
      <c r="AA479" s="19" t="str">
        <f aca="false">HYPERLINK("https://www.transfermarkt.com/schnellsuche/ergebnis/schnellsuche?query="&amp;SUBSTITUTE(A479," ","+"),"Search Transfermarkt")</f>
        <v>Search Transfermarkt</v>
      </c>
    </row>
    <row r="480" customFormat="false" ht="23.85" hidden="false" customHeight="false" outlineLevel="0" collapsed="false">
      <c r="A480" s="15" t="s">
        <v>1671</v>
      </c>
      <c r="B480" s="15" t="s">
        <v>75</v>
      </c>
      <c r="C480" s="15" t="s">
        <v>1221</v>
      </c>
      <c r="D480" s="15" t="n">
        <v>2</v>
      </c>
      <c r="E480" s="15" t="s">
        <v>1672</v>
      </c>
      <c r="F480" s="15" t="s">
        <v>170</v>
      </c>
      <c r="G480" s="15" t="n">
        <v>17</v>
      </c>
      <c r="H480" s="15" t="n">
        <v>1385</v>
      </c>
      <c r="I480" s="15" t="n">
        <v>8</v>
      </c>
      <c r="J480" s="15" t="n">
        <v>5</v>
      </c>
      <c r="K480" s="15" t="n">
        <v>114</v>
      </c>
      <c r="L480" s="15" t="n">
        <v>85</v>
      </c>
      <c r="M480" s="15" t="n">
        <v>50</v>
      </c>
      <c r="N480" s="15" t="n">
        <v>0</v>
      </c>
      <c r="O480" s="15" t="n">
        <v>0</v>
      </c>
      <c r="P480" s="16" t="n">
        <v>0</v>
      </c>
      <c r="Q480" s="15" t="n">
        <v>0</v>
      </c>
      <c r="R480" s="15" t="n">
        <v>0</v>
      </c>
      <c r="S480" s="17" t="n">
        <v>120490</v>
      </c>
      <c r="T480" s="15" t="s">
        <v>137</v>
      </c>
      <c r="U480" s="15" t="n">
        <v>2028</v>
      </c>
      <c r="V480" s="15" t="s">
        <v>1673</v>
      </c>
      <c r="W480" s="18" t="s">
        <v>147</v>
      </c>
      <c r="X480" s="18" t="s">
        <v>197</v>
      </c>
      <c r="Y480" s="15" t="s">
        <v>600</v>
      </c>
      <c r="Z480" s="15" t="s">
        <v>600</v>
      </c>
      <c r="AA480" s="19" t="str">
        <f aca="false">HYPERLINK("https://www.transfermarkt.com/schnellsuche/ergebnis/schnellsuche?query="&amp;SUBSTITUTE(A480," ","+"),"Search Transfermarkt")</f>
        <v>Search Transfermarkt</v>
      </c>
    </row>
    <row r="481" customFormat="false" ht="23.85" hidden="false" customHeight="false" outlineLevel="0" collapsed="false">
      <c r="A481" s="15" t="s">
        <v>1674</v>
      </c>
      <c r="B481" s="15" t="s">
        <v>98</v>
      </c>
      <c r="C481" s="15" t="s">
        <v>778</v>
      </c>
      <c r="D481" s="15" t="n">
        <v>2</v>
      </c>
      <c r="E481" s="15" t="s">
        <v>1675</v>
      </c>
      <c r="F481" s="15" t="s">
        <v>136</v>
      </c>
      <c r="G481" s="15" t="n">
        <v>24</v>
      </c>
      <c r="H481" s="15" t="n">
        <v>1383</v>
      </c>
      <c r="I481" s="15" t="n">
        <v>2</v>
      </c>
      <c r="J481" s="15" t="n">
        <v>4</v>
      </c>
      <c r="K481" s="15" t="n">
        <v>63</v>
      </c>
      <c r="L481" s="15" t="n">
        <v>31</v>
      </c>
      <c r="M481" s="15" t="n">
        <v>95</v>
      </c>
      <c r="N481" s="15" t="n">
        <v>0</v>
      </c>
      <c r="O481" s="15" t="n">
        <v>0</v>
      </c>
      <c r="P481" s="16" t="n">
        <v>0</v>
      </c>
      <c r="Q481" s="15" t="n">
        <v>0</v>
      </c>
      <c r="R481" s="15" t="n">
        <v>0</v>
      </c>
      <c r="S481" s="17" t="n">
        <v>10549</v>
      </c>
      <c r="T481" s="15" t="s">
        <v>137</v>
      </c>
      <c r="U481" s="15" t="n">
        <v>2029</v>
      </c>
      <c r="V481" s="15" t="s">
        <v>1676</v>
      </c>
      <c r="W481" s="18" t="s">
        <v>139</v>
      </c>
      <c r="X481" s="18" t="s">
        <v>148</v>
      </c>
      <c r="Y481" s="15" t="s">
        <v>600</v>
      </c>
      <c r="Z481" s="15" t="s">
        <v>600</v>
      </c>
      <c r="AA481" s="19" t="str">
        <f aca="false">HYPERLINK("https://www.transfermarkt.com/schnellsuche/ergebnis/schnellsuche?query="&amp;SUBSTITUTE(A481," ","+"),"Search Transfermarkt")</f>
        <v>Search Transfermarkt</v>
      </c>
    </row>
    <row r="482" customFormat="false" ht="23.85" hidden="false" customHeight="false" outlineLevel="0" collapsed="false">
      <c r="A482" s="15" t="s">
        <v>1677</v>
      </c>
      <c r="B482" s="15" t="s">
        <v>94</v>
      </c>
      <c r="C482" s="15" t="s">
        <v>1259</v>
      </c>
      <c r="D482" s="15" t="n">
        <v>3</v>
      </c>
      <c r="E482" s="15" t="s">
        <v>1678</v>
      </c>
      <c r="F482" s="15" t="s">
        <v>170</v>
      </c>
      <c r="G482" s="15" t="n">
        <v>20</v>
      </c>
      <c r="H482" s="15" t="n">
        <v>2513</v>
      </c>
      <c r="I482" s="15" t="n">
        <v>10</v>
      </c>
      <c r="J482" s="15" t="n">
        <v>12</v>
      </c>
      <c r="K482" s="15" t="n">
        <v>113</v>
      </c>
      <c r="L482" s="15" t="n">
        <v>69</v>
      </c>
      <c r="M482" s="15" t="n">
        <v>34</v>
      </c>
      <c r="N482" s="15" t="n">
        <v>0</v>
      </c>
      <c r="O482" s="15" t="n">
        <v>0</v>
      </c>
      <c r="P482" s="16" t="n">
        <v>0</v>
      </c>
      <c r="Q482" s="15" t="n">
        <v>0</v>
      </c>
      <c r="R482" s="15" t="n">
        <v>0</v>
      </c>
      <c r="S482" s="17" t="n">
        <v>118384</v>
      </c>
      <c r="T482" s="15" t="s">
        <v>164</v>
      </c>
      <c r="U482" s="15" t="n">
        <v>2028</v>
      </c>
      <c r="V482" s="15" t="s">
        <v>1679</v>
      </c>
      <c r="W482" s="18" t="s">
        <v>139</v>
      </c>
      <c r="X482" s="18" t="s">
        <v>226</v>
      </c>
      <c r="Y482" s="15" t="s">
        <v>600</v>
      </c>
      <c r="Z482" s="15" t="s">
        <v>600</v>
      </c>
      <c r="AA482" s="19" t="str">
        <f aca="false">HYPERLINK("https://www.transfermarkt.com/schnellsuche/ergebnis/schnellsuche?query="&amp;SUBSTITUTE(A482," ","+"),"Search Transfermarkt")</f>
        <v>Search Transfermarkt</v>
      </c>
    </row>
    <row r="483" customFormat="false" ht="23.85" hidden="false" customHeight="false" outlineLevel="0" collapsed="false">
      <c r="A483" s="15" t="s">
        <v>1680</v>
      </c>
      <c r="B483" s="15" t="s">
        <v>83</v>
      </c>
      <c r="C483" s="15" t="s">
        <v>434</v>
      </c>
      <c r="D483" s="15" t="n">
        <v>3</v>
      </c>
      <c r="E483" s="15" t="s">
        <v>435</v>
      </c>
      <c r="F483" s="15" t="s">
        <v>170</v>
      </c>
      <c r="G483" s="15" t="n">
        <v>25</v>
      </c>
      <c r="H483" s="15" t="n">
        <v>2568</v>
      </c>
      <c r="I483" s="15" t="n">
        <v>10</v>
      </c>
      <c r="J483" s="15" t="n">
        <v>5</v>
      </c>
      <c r="K483" s="15" t="n">
        <v>138</v>
      </c>
      <c r="L483" s="15" t="n">
        <v>59</v>
      </c>
      <c r="M483" s="15" t="n">
        <v>48</v>
      </c>
      <c r="N483" s="15" t="n">
        <v>0</v>
      </c>
      <c r="O483" s="15" t="n">
        <v>0</v>
      </c>
      <c r="P483" s="16" t="n">
        <v>0</v>
      </c>
      <c r="Q483" s="15" t="n">
        <v>0</v>
      </c>
      <c r="R483" s="15" t="n">
        <v>0</v>
      </c>
      <c r="S483" s="17" t="n">
        <v>34423</v>
      </c>
      <c r="T483" s="15" t="s">
        <v>164</v>
      </c>
      <c r="U483" s="15" t="n">
        <v>2029</v>
      </c>
      <c r="V483" s="15" t="s">
        <v>436</v>
      </c>
      <c r="W483" s="18" t="s">
        <v>139</v>
      </c>
      <c r="X483" s="18" t="s">
        <v>379</v>
      </c>
      <c r="Y483" s="15" t="s">
        <v>600</v>
      </c>
      <c r="Z483" s="15" t="s">
        <v>600</v>
      </c>
      <c r="AA483" s="19" t="str">
        <f aca="false">HYPERLINK("https://www.transfermarkt.com/schnellsuche/ergebnis/schnellsuche?query="&amp;SUBSTITUTE(A483," ","+"),"Search Transfermarkt")</f>
        <v>Search Transfermarkt</v>
      </c>
    </row>
    <row r="484" customFormat="false" ht="23.85" hidden="false" customHeight="false" outlineLevel="0" collapsed="false">
      <c r="A484" s="15" t="s">
        <v>1681</v>
      </c>
      <c r="B484" s="15" t="s">
        <v>62</v>
      </c>
      <c r="C484" s="15" t="s">
        <v>393</v>
      </c>
      <c r="D484" s="15" t="n">
        <v>2</v>
      </c>
      <c r="E484" s="15" t="s">
        <v>1682</v>
      </c>
      <c r="F484" s="15" t="s">
        <v>136</v>
      </c>
      <c r="G484" s="15" t="n">
        <v>26</v>
      </c>
      <c r="H484" s="15" t="n">
        <v>2680</v>
      </c>
      <c r="I484" s="15" t="n">
        <v>2</v>
      </c>
      <c r="J484" s="15" t="n">
        <v>4</v>
      </c>
      <c r="K484" s="15" t="n">
        <v>63</v>
      </c>
      <c r="L484" s="15" t="n">
        <v>34</v>
      </c>
      <c r="M484" s="15" t="n">
        <v>122</v>
      </c>
      <c r="N484" s="15" t="n">
        <v>0</v>
      </c>
      <c r="O484" s="15" t="n">
        <v>0</v>
      </c>
      <c r="P484" s="16" t="n">
        <v>0</v>
      </c>
      <c r="Q484" s="15" t="n">
        <v>0</v>
      </c>
      <c r="R484" s="15" t="n">
        <v>0</v>
      </c>
      <c r="S484" s="17" t="n">
        <v>89731</v>
      </c>
      <c r="T484" s="15" t="s">
        <v>137</v>
      </c>
      <c r="U484" s="15" t="n">
        <v>2027</v>
      </c>
      <c r="V484" s="15" t="s">
        <v>1683</v>
      </c>
      <c r="W484" s="18" t="s">
        <v>139</v>
      </c>
      <c r="X484" s="18" t="s">
        <v>211</v>
      </c>
      <c r="Y484" s="15" t="s">
        <v>600</v>
      </c>
      <c r="Z484" s="15" t="s">
        <v>600</v>
      </c>
      <c r="AA484" s="19" t="str">
        <f aca="false">HYPERLINK("https://www.transfermarkt.com/schnellsuche/ergebnis/schnellsuche?query="&amp;SUBSTITUTE(A484," ","+"),"Search Transfermarkt")</f>
        <v>Search Transfermarkt</v>
      </c>
    </row>
    <row r="485" customFormat="false" ht="23.85" hidden="false" customHeight="false" outlineLevel="0" collapsed="false">
      <c r="A485" s="15" t="s">
        <v>1684</v>
      </c>
      <c r="B485" s="15" t="s">
        <v>106</v>
      </c>
      <c r="C485" s="15" t="s">
        <v>1552</v>
      </c>
      <c r="D485" s="15" t="n">
        <v>2</v>
      </c>
      <c r="E485" s="15" t="s">
        <v>904</v>
      </c>
      <c r="F485" s="15" t="s">
        <v>136</v>
      </c>
      <c r="G485" s="15" t="n">
        <v>21</v>
      </c>
      <c r="H485" s="15" t="n">
        <v>1915</v>
      </c>
      <c r="I485" s="15" t="n">
        <v>2</v>
      </c>
      <c r="J485" s="15" t="n">
        <v>0</v>
      </c>
      <c r="K485" s="15" t="n">
        <v>59</v>
      </c>
      <c r="L485" s="15" t="n">
        <v>25</v>
      </c>
      <c r="M485" s="15" t="n">
        <v>128</v>
      </c>
      <c r="N485" s="15" t="n">
        <v>0</v>
      </c>
      <c r="O485" s="15" t="n">
        <v>0</v>
      </c>
      <c r="P485" s="16" t="n">
        <v>0</v>
      </c>
      <c r="Q485" s="15" t="n">
        <v>0</v>
      </c>
      <c r="R485" s="15" t="n">
        <v>0</v>
      </c>
      <c r="S485" s="17" t="n">
        <v>44585</v>
      </c>
      <c r="T485" s="15" t="s">
        <v>137</v>
      </c>
      <c r="U485" s="15" t="n">
        <v>2026</v>
      </c>
      <c r="V485" s="15" t="s">
        <v>905</v>
      </c>
      <c r="W485" s="18" t="s">
        <v>139</v>
      </c>
      <c r="X485" s="18" t="s">
        <v>283</v>
      </c>
      <c r="Y485" s="15" t="s">
        <v>600</v>
      </c>
      <c r="Z485" s="15" t="s">
        <v>600</v>
      </c>
      <c r="AA485" s="19" t="str">
        <f aca="false">HYPERLINK("https://www.transfermarkt.com/schnellsuche/ergebnis/schnellsuche?query="&amp;SUBSTITUTE(A485," ","+"),"Search Transfermarkt")</f>
        <v>Search Transfermarkt</v>
      </c>
    </row>
    <row r="486" customFormat="false" ht="23.85" hidden="false" customHeight="false" outlineLevel="0" collapsed="false">
      <c r="A486" s="15" t="s">
        <v>1685</v>
      </c>
      <c r="B486" s="15" t="s">
        <v>100</v>
      </c>
      <c r="C486" s="15" t="s">
        <v>1686</v>
      </c>
      <c r="D486" s="15" t="n">
        <v>3</v>
      </c>
      <c r="E486" s="15" t="s">
        <v>881</v>
      </c>
      <c r="F486" s="15" t="s">
        <v>170</v>
      </c>
      <c r="G486" s="15" t="n">
        <v>23</v>
      </c>
      <c r="H486" s="15" t="n">
        <v>2263</v>
      </c>
      <c r="I486" s="15" t="n">
        <v>7</v>
      </c>
      <c r="J486" s="15" t="n">
        <v>6</v>
      </c>
      <c r="K486" s="15" t="n">
        <v>140</v>
      </c>
      <c r="L486" s="15" t="n">
        <v>70</v>
      </c>
      <c r="M486" s="15" t="n">
        <v>47</v>
      </c>
      <c r="N486" s="15" t="n">
        <v>0</v>
      </c>
      <c r="O486" s="15" t="n">
        <v>0</v>
      </c>
      <c r="P486" s="16" t="n">
        <v>0</v>
      </c>
      <c r="Q486" s="15" t="n">
        <v>0</v>
      </c>
      <c r="R486" s="15" t="n">
        <v>0</v>
      </c>
      <c r="S486" s="17" t="n">
        <v>0</v>
      </c>
      <c r="T486" s="15" t="s">
        <v>137</v>
      </c>
      <c r="U486" s="15" t="n">
        <v>2027</v>
      </c>
      <c r="V486" s="15" t="s">
        <v>882</v>
      </c>
      <c r="W486" s="18" t="s">
        <v>139</v>
      </c>
      <c r="X486" s="18" t="s">
        <v>221</v>
      </c>
      <c r="Y486" s="15" t="s">
        <v>600</v>
      </c>
      <c r="Z486" s="15" t="s">
        <v>600</v>
      </c>
      <c r="AA486" s="19" t="str">
        <f aca="false">HYPERLINK("https://www.transfermarkt.com/schnellsuche/ergebnis/schnellsuche?query="&amp;SUBSTITUTE(A486," ","+"),"Search Transfermarkt")</f>
        <v>Search Transfermarkt</v>
      </c>
    </row>
    <row r="487" customFormat="false" ht="23.85" hidden="false" customHeight="false" outlineLevel="0" collapsed="false">
      <c r="A487" s="15" t="s">
        <v>1687</v>
      </c>
      <c r="B487" s="15" t="s">
        <v>99</v>
      </c>
      <c r="C487" s="15" t="s">
        <v>184</v>
      </c>
      <c r="D487" s="15" t="n">
        <v>3</v>
      </c>
      <c r="E487" s="15" t="s">
        <v>991</v>
      </c>
      <c r="F487" s="15" t="s">
        <v>157</v>
      </c>
      <c r="G487" s="15" t="n">
        <v>26</v>
      </c>
      <c r="H487" s="15" t="n">
        <v>2670</v>
      </c>
      <c r="I487" s="15" t="n">
        <v>0</v>
      </c>
      <c r="J487" s="15" t="n">
        <v>0</v>
      </c>
      <c r="K487" s="15" t="n">
        <v>19</v>
      </c>
      <c r="L487" s="15" t="n">
        <v>4</v>
      </c>
      <c r="M487" s="15" t="n">
        <v>6</v>
      </c>
      <c r="N487" s="15" t="n">
        <v>104</v>
      </c>
      <c r="O487" s="15" t="n">
        <v>53</v>
      </c>
      <c r="P487" s="16" t="n">
        <v>55.7</v>
      </c>
      <c r="Q487" s="15" t="n">
        <v>37.9</v>
      </c>
      <c r="R487" s="15" t="n">
        <v>11</v>
      </c>
      <c r="S487" s="17" t="n">
        <v>96911</v>
      </c>
      <c r="T487" s="15" t="s">
        <v>137</v>
      </c>
      <c r="U487" s="15" t="n">
        <v>2027</v>
      </c>
      <c r="V487" s="15" t="s">
        <v>992</v>
      </c>
      <c r="W487" s="18" t="s">
        <v>139</v>
      </c>
      <c r="X487" s="18" t="s">
        <v>189</v>
      </c>
      <c r="Y487" s="15" t="s">
        <v>600</v>
      </c>
      <c r="Z487" s="15" t="s">
        <v>600</v>
      </c>
      <c r="AA487" s="19" t="str">
        <f aca="false">HYPERLINK("https://www.transfermarkt.com/schnellsuche/ergebnis/schnellsuche?query="&amp;SUBSTITUTE(A487," ","+"),"Search Transfermarkt")</f>
        <v>Search Transfermarkt</v>
      </c>
    </row>
    <row r="488" customFormat="false" ht="23.85" hidden="false" customHeight="false" outlineLevel="0" collapsed="false">
      <c r="A488" s="15" t="s">
        <v>1688</v>
      </c>
      <c r="B488" s="15" t="s">
        <v>94</v>
      </c>
      <c r="C488" s="15" t="s">
        <v>1689</v>
      </c>
      <c r="D488" s="15" t="n">
        <v>3</v>
      </c>
      <c r="E488" s="15" t="s">
        <v>1317</v>
      </c>
      <c r="F488" s="15" t="s">
        <v>157</v>
      </c>
      <c r="G488" s="15" t="n">
        <v>18</v>
      </c>
      <c r="H488" s="15" t="n">
        <v>1540</v>
      </c>
      <c r="I488" s="15" t="n">
        <v>0</v>
      </c>
      <c r="J488" s="15" t="n">
        <v>0</v>
      </c>
      <c r="K488" s="15" t="n">
        <v>19</v>
      </c>
      <c r="L488" s="15" t="n">
        <v>6</v>
      </c>
      <c r="M488" s="15" t="n">
        <v>9</v>
      </c>
      <c r="N488" s="15" t="n">
        <v>50</v>
      </c>
      <c r="O488" s="15" t="n">
        <v>18</v>
      </c>
      <c r="P488" s="16" t="n">
        <v>60.1</v>
      </c>
      <c r="Q488" s="15" t="n">
        <v>7.6</v>
      </c>
      <c r="R488" s="15" t="n">
        <v>3</v>
      </c>
      <c r="S488" s="17" t="n">
        <v>62949</v>
      </c>
      <c r="T488" s="15" t="s">
        <v>137</v>
      </c>
      <c r="U488" s="15" t="n">
        <v>2027</v>
      </c>
      <c r="V488" s="15" t="s">
        <v>1318</v>
      </c>
      <c r="W488" s="18" t="s">
        <v>139</v>
      </c>
      <c r="X488" s="18" t="s">
        <v>226</v>
      </c>
      <c r="Y488" s="15" t="s">
        <v>600</v>
      </c>
      <c r="Z488" s="15" t="s">
        <v>600</v>
      </c>
      <c r="AA488" s="19" t="str">
        <f aca="false">HYPERLINK("https://www.transfermarkt.com/schnellsuche/ergebnis/schnellsuche?query="&amp;SUBSTITUTE(A488," ","+"),"Search Transfermarkt")</f>
        <v>Search Transfermarkt</v>
      </c>
    </row>
    <row r="489" customFormat="false" ht="23.85" hidden="false" customHeight="false" outlineLevel="0" collapsed="false">
      <c r="A489" s="15" t="s">
        <v>1690</v>
      </c>
      <c r="B489" s="15" t="s">
        <v>85</v>
      </c>
      <c r="C489" s="15" t="s">
        <v>651</v>
      </c>
      <c r="D489" s="15" t="n">
        <v>2</v>
      </c>
      <c r="E489" s="15" t="s">
        <v>537</v>
      </c>
      <c r="F489" s="15" t="s">
        <v>170</v>
      </c>
      <c r="G489" s="15" t="n">
        <v>18</v>
      </c>
      <c r="H489" s="15" t="n">
        <v>1697</v>
      </c>
      <c r="I489" s="15" t="n">
        <v>3</v>
      </c>
      <c r="J489" s="15" t="n">
        <v>14</v>
      </c>
      <c r="K489" s="15" t="n">
        <v>178</v>
      </c>
      <c r="L489" s="15" t="n">
        <v>64</v>
      </c>
      <c r="M489" s="15" t="n">
        <v>29</v>
      </c>
      <c r="N489" s="15" t="n">
        <v>0</v>
      </c>
      <c r="O489" s="15" t="n">
        <v>0</v>
      </c>
      <c r="P489" s="16" t="n">
        <v>0</v>
      </c>
      <c r="Q489" s="15" t="n">
        <v>0</v>
      </c>
      <c r="R489" s="15" t="n">
        <v>0</v>
      </c>
      <c r="S489" s="17" t="n">
        <v>0</v>
      </c>
      <c r="T489" s="15" t="s">
        <v>137</v>
      </c>
      <c r="U489" s="15" t="n">
        <v>2028</v>
      </c>
      <c r="V489" s="15" t="s">
        <v>538</v>
      </c>
      <c r="W489" s="18" t="s">
        <v>139</v>
      </c>
      <c r="X489" s="18" t="s">
        <v>265</v>
      </c>
      <c r="Y489" s="15" t="s">
        <v>600</v>
      </c>
      <c r="Z489" s="15" t="s">
        <v>600</v>
      </c>
      <c r="AA489" s="19" t="str">
        <f aca="false">HYPERLINK("https://www.transfermarkt.com/schnellsuche/ergebnis/schnellsuche?query="&amp;SUBSTITUTE(A489," ","+"),"Search Transfermarkt")</f>
        <v>Search Transfermarkt</v>
      </c>
    </row>
    <row r="490" customFormat="false" ht="23.85" hidden="false" customHeight="false" outlineLevel="0" collapsed="false">
      <c r="A490" s="15" t="s">
        <v>1691</v>
      </c>
      <c r="B490" s="15" t="s">
        <v>77</v>
      </c>
      <c r="C490" s="15" t="s">
        <v>1100</v>
      </c>
      <c r="D490" s="15" t="n">
        <v>4</v>
      </c>
      <c r="E490" s="15" t="s">
        <v>1429</v>
      </c>
      <c r="F490" s="15" t="s">
        <v>157</v>
      </c>
      <c r="G490" s="15" t="n">
        <v>23</v>
      </c>
      <c r="H490" s="15" t="n">
        <v>2519</v>
      </c>
      <c r="I490" s="15" t="n">
        <v>0</v>
      </c>
      <c r="J490" s="15" t="n">
        <v>0</v>
      </c>
      <c r="K490" s="15" t="n">
        <v>19</v>
      </c>
      <c r="L490" s="15" t="n">
        <v>6</v>
      </c>
      <c r="M490" s="15" t="n">
        <v>8</v>
      </c>
      <c r="N490" s="15" t="n">
        <v>102</v>
      </c>
      <c r="O490" s="15" t="n">
        <v>60</v>
      </c>
      <c r="P490" s="16" t="n">
        <v>60.2</v>
      </c>
      <c r="Q490" s="15" t="n">
        <v>16.8</v>
      </c>
      <c r="R490" s="15" t="n">
        <v>9</v>
      </c>
      <c r="S490" s="17" t="n">
        <v>125535</v>
      </c>
      <c r="T490" s="15" t="s">
        <v>164</v>
      </c>
      <c r="U490" s="15" t="n">
        <v>2026</v>
      </c>
      <c r="V490" s="15" t="s">
        <v>1430</v>
      </c>
      <c r="W490" s="18" t="s">
        <v>139</v>
      </c>
      <c r="X490" s="18" t="s">
        <v>358</v>
      </c>
      <c r="Y490" s="15" t="s">
        <v>600</v>
      </c>
      <c r="Z490" s="15" t="s">
        <v>600</v>
      </c>
      <c r="AA490" s="19" t="str">
        <f aca="false">HYPERLINK("https://www.transfermarkt.com/schnellsuche/ergebnis/schnellsuche?query="&amp;SUBSTITUTE(A490," ","+"),"Search Transfermarkt")</f>
        <v>Search Transfermarkt</v>
      </c>
    </row>
    <row r="491" customFormat="false" ht="23.85" hidden="false" customHeight="false" outlineLevel="0" collapsed="false">
      <c r="A491" s="15" t="s">
        <v>1692</v>
      </c>
      <c r="B491" s="15" t="s">
        <v>82</v>
      </c>
      <c r="C491" s="15" t="s">
        <v>743</v>
      </c>
      <c r="D491" s="15" t="n">
        <v>4</v>
      </c>
      <c r="E491" s="15" t="s">
        <v>431</v>
      </c>
      <c r="F491" s="15" t="s">
        <v>157</v>
      </c>
      <c r="G491" s="15" t="n">
        <v>17</v>
      </c>
      <c r="H491" s="15" t="n">
        <v>1789</v>
      </c>
      <c r="I491" s="15" t="n">
        <v>0</v>
      </c>
      <c r="J491" s="15" t="n">
        <v>0</v>
      </c>
      <c r="K491" s="15" t="n">
        <v>9</v>
      </c>
      <c r="L491" s="15" t="n">
        <v>2</v>
      </c>
      <c r="M491" s="15" t="n">
        <v>10</v>
      </c>
      <c r="N491" s="15" t="n">
        <v>82</v>
      </c>
      <c r="O491" s="15" t="n">
        <v>27</v>
      </c>
      <c r="P491" s="16" t="n">
        <v>56.4</v>
      </c>
      <c r="Q491" s="15" t="n">
        <v>2.2</v>
      </c>
      <c r="R491" s="15" t="n">
        <v>6</v>
      </c>
      <c r="S491" s="17" t="n">
        <v>0</v>
      </c>
      <c r="T491" s="15" t="s">
        <v>164</v>
      </c>
      <c r="U491" s="15" t="n">
        <v>2028</v>
      </c>
      <c r="V491" s="15" t="s">
        <v>432</v>
      </c>
      <c r="W491" s="18" t="s">
        <v>147</v>
      </c>
      <c r="X491" s="18" t="s">
        <v>166</v>
      </c>
      <c r="Y491" s="15" t="s">
        <v>600</v>
      </c>
      <c r="Z491" s="15" t="s">
        <v>600</v>
      </c>
      <c r="AA491" s="19" t="str">
        <f aca="false">HYPERLINK("https://www.transfermarkt.com/schnellsuche/ergebnis/schnellsuche?query="&amp;SUBSTITUTE(A491," ","+"),"Search Transfermarkt")</f>
        <v>Search Transfermarkt</v>
      </c>
    </row>
    <row r="492" customFormat="false" ht="23.85" hidden="false" customHeight="false" outlineLevel="0" collapsed="false">
      <c r="A492" s="15" t="s">
        <v>1693</v>
      </c>
      <c r="B492" s="15" t="s">
        <v>68</v>
      </c>
      <c r="C492" s="15" t="s">
        <v>687</v>
      </c>
      <c r="D492" s="15" t="n">
        <v>2</v>
      </c>
      <c r="E492" s="15" t="s">
        <v>1694</v>
      </c>
      <c r="F492" s="15" t="s">
        <v>136</v>
      </c>
      <c r="G492" s="15" t="n">
        <v>20</v>
      </c>
      <c r="H492" s="15" t="n">
        <v>2677</v>
      </c>
      <c r="I492" s="15" t="n">
        <v>2</v>
      </c>
      <c r="J492" s="15" t="n">
        <v>0</v>
      </c>
      <c r="K492" s="15" t="n">
        <v>63</v>
      </c>
      <c r="L492" s="15" t="n">
        <v>30</v>
      </c>
      <c r="M492" s="15" t="n">
        <v>105</v>
      </c>
      <c r="N492" s="15" t="n">
        <v>0</v>
      </c>
      <c r="O492" s="15" t="n">
        <v>0</v>
      </c>
      <c r="P492" s="16" t="n">
        <v>0</v>
      </c>
      <c r="Q492" s="15" t="n">
        <v>0</v>
      </c>
      <c r="R492" s="15" t="n">
        <v>0</v>
      </c>
      <c r="S492" s="17" t="n">
        <v>56692</v>
      </c>
      <c r="T492" s="15" t="s">
        <v>164</v>
      </c>
      <c r="U492" s="15" t="n">
        <v>2026</v>
      </c>
      <c r="V492" s="15" t="s">
        <v>1695</v>
      </c>
      <c r="W492" s="18" t="s">
        <v>139</v>
      </c>
      <c r="X492" s="18" t="s">
        <v>153</v>
      </c>
      <c r="Y492" s="15" t="s">
        <v>600</v>
      </c>
      <c r="Z492" s="15" t="s">
        <v>600</v>
      </c>
      <c r="AA492" s="19" t="str">
        <f aca="false">HYPERLINK("https://www.transfermarkt.com/schnellsuche/ergebnis/schnellsuche?query="&amp;SUBSTITUTE(A492," ","+"),"Search Transfermarkt")</f>
        <v>Search Transfermarkt</v>
      </c>
    </row>
    <row r="493" customFormat="false" ht="23.85" hidden="false" customHeight="false" outlineLevel="0" collapsed="false">
      <c r="A493" s="15" t="s">
        <v>1696</v>
      </c>
      <c r="B493" s="15" t="s">
        <v>73</v>
      </c>
      <c r="C493" s="15" t="s">
        <v>1656</v>
      </c>
      <c r="D493" s="15" t="n">
        <v>4</v>
      </c>
      <c r="E493" s="15" t="s">
        <v>1697</v>
      </c>
      <c r="F493" s="15" t="s">
        <v>170</v>
      </c>
      <c r="G493" s="15" t="n">
        <v>19</v>
      </c>
      <c r="H493" s="15" t="n">
        <v>2450</v>
      </c>
      <c r="I493" s="15" t="n">
        <v>7</v>
      </c>
      <c r="J493" s="15" t="n">
        <v>6</v>
      </c>
      <c r="K493" s="15" t="n">
        <v>162</v>
      </c>
      <c r="L493" s="15" t="n">
        <v>75</v>
      </c>
      <c r="M493" s="15" t="n">
        <v>40</v>
      </c>
      <c r="N493" s="15" t="n">
        <v>0</v>
      </c>
      <c r="O493" s="15" t="n">
        <v>0</v>
      </c>
      <c r="P493" s="16" t="n">
        <v>0</v>
      </c>
      <c r="Q493" s="15" t="n">
        <v>0</v>
      </c>
      <c r="R493" s="15" t="n">
        <v>0</v>
      </c>
      <c r="S493" s="17" t="n">
        <v>136551</v>
      </c>
      <c r="T493" s="15" t="s">
        <v>137</v>
      </c>
      <c r="U493" s="15" t="n">
        <v>2026</v>
      </c>
      <c r="V493" s="15" t="s">
        <v>1698</v>
      </c>
      <c r="W493" s="18" t="s">
        <v>139</v>
      </c>
      <c r="X493" s="18" t="s">
        <v>172</v>
      </c>
      <c r="Y493" s="15" t="s">
        <v>600</v>
      </c>
      <c r="Z493" s="15" t="s">
        <v>600</v>
      </c>
      <c r="AA493" s="19" t="str">
        <f aca="false">HYPERLINK("https://www.transfermarkt.com/schnellsuche/ergebnis/schnellsuche?query="&amp;SUBSTITUTE(A493," ","+"),"Search Transfermarkt")</f>
        <v>Search Transfermarkt</v>
      </c>
    </row>
    <row r="494" customFormat="false" ht="23.85" hidden="false" customHeight="false" outlineLevel="0" collapsed="false">
      <c r="A494" s="15" t="s">
        <v>1699</v>
      </c>
      <c r="B494" s="15" t="s">
        <v>80</v>
      </c>
      <c r="C494" s="15" t="s">
        <v>322</v>
      </c>
      <c r="D494" s="15" t="n">
        <v>2</v>
      </c>
      <c r="E494" s="15" t="s">
        <v>1700</v>
      </c>
      <c r="F494" s="15" t="s">
        <v>136</v>
      </c>
      <c r="G494" s="15" t="n">
        <v>19</v>
      </c>
      <c r="H494" s="15" t="n">
        <v>1358</v>
      </c>
      <c r="I494" s="15" t="n">
        <v>0</v>
      </c>
      <c r="J494" s="15" t="n">
        <v>4</v>
      </c>
      <c r="K494" s="15" t="n">
        <v>38</v>
      </c>
      <c r="L494" s="15" t="n">
        <v>37</v>
      </c>
      <c r="M494" s="15" t="n">
        <v>105</v>
      </c>
      <c r="N494" s="15" t="n">
        <v>0</v>
      </c>
      <c r="O494" s="15" t="n">
        <v>0</v>
      </c>
      <c r="P494" s="16" t="n">
        <v>0</v>
      </c>
      <c r="Q494" s="15" t="n">
        <v>0</v>
      </c>
      <c r="R494" s="15" t="n">
        <v>0</v>
      </c>
      <c r="S494" s="17" t="n">
        <v>23766</v>
      </c>
      <c r="T494" s="15" t="s">
        <v>137</v>
      </c>
      <c r="U494" s="15" t="n">
        <v>2026</v>
      </c>
      <c r="V494" s="15" t="s">
        <v>1701</v>
      </c>
      <c r="W494" s="18" t="s">
        <v>139</v>
      </c>
      <c r="X494" s="18" t="s">
        <v>304</v>
      </c>
      <c r="Y494" s="15" t="s">
        <v>600</v>
      </c>
      <c r="Z494" s="15" t="s">
        <v>600</v>
      </c>
      <c r="AA494" s="19" t="str">
        <f aca="false">HYPERLINK("https://www.transfermarkt.com/schnellsuche/ergebnis/schnellsuche?query="&amp;SUBSTITUTE(A494," ","+"),"Search Transfermarkt")</f>
        <v>Search Transfermarkt</v>
      </c>
    </row>
    <row r="495" customFormat="false" ht="23.85" hidden="false" customHeight="false" outlineLevel="0" collapsed="false">
      <c r="A495" s="15" t="s">
        <v>1702</v>
      </c>
      <c r="B495" s="15" t="s">
        <v>99</v>
      </c>
      <c r="C495" s="15" t="s">
        <v>372</v>
      </c>
      <c r="D495" s="15" t="n">
        <v>2</v>
      </c>
      <c r="E495" s="15" t="s">
        <v>927</v>
      </c>
      <c r="F495" s="15" t="s">
        <v>163</v>
      </c>
      <c r="G495" s="15" t="n">
        <v>22</v>
      </c>
      <c r="H495" s="15" t="n">
        <v>2406</v>
      </c>
      <c r="I495" s="15" t="n">
        <v>16</v>
      </c>
      <c r="J495" s="15" t="n">
        <v>9</v>
      </c>
      <c r="K495" s="15" t="n">
        <v>54</v>
      </c>
      <c r="L495" s="15" t="n">
        <v>76</v>
      </c>
      <c r="M495" s="15" t="n">
        <v>13</v>
      </c>
      <c r="N495" s="15" t="n">
        <v>0</v>
      </c>
      <c r="O495" s="15" t="n">
        <v>0</v>
      </c>
      <c r="P495" s="16" t="n">
        <v>0</v>
      </c>
      <c r="Q495" s="15" t="n">
        <v>0</v>
      </c>
      <c r="R495" s="15" t="n">
        <v>0</v>
      </c>
      <c r="S495" s="17" t="n">
        <v>114026</v>
      </c>
      <c r="T495" s="15" t="s">
        <v>164</v>
      </c>
      <c r="U495" s="15" t="n">
        <v>2029</v>
      </c>
      <c r="V495" s="15" t="s">
        <v>928</v>
      </c>
      <c r="W495" s="18" t="s">
        <v>139</v>
      </c>
      <c r="X495" s="18" t="s">
        <v>189</v>
      </c>
      <c r="Y495" s="15" t="s">
        <v>600</v>
      </c>
      <c r="Z495" s="15" t="s">
        <v>600</v>
      </c>
      <c r="AA495" s="19" t="str">
        <f aca="false">HYPERLINK("https://www.transfermarkt.com/schnellsuche/ergebnis/schnellsuche?query="&amp;SUBSTITUTE(A495," ","+"),"Search Transfermarkt")</f>
        <v>Search Transfermarkt</v>
      </c>
    </row>
    <row r="496" customFormat="false" ht="23.85" hidden="false" customHeight="false" outlineLevel="0" collapsed="false">
      <c r="A496" s="15" t="s">
        <v>1703</v>
      </c>
      <c r="B496" s="15" t="s">
        <v>77</v>
      </c>
      <c r="C496" s="15" t="s">
        <v>770</v>
      </c>
      <c r="D496" s="15" t="n">
        <v>3</v>
      </c>
      <c r="E496" s="15" t="s">
        <v>1704</v>
      </c>
      <c r="F496" s="15" t="s">
        <v>170</v>
      </c>
      <c r="G496" s="15" t="n">
        <v>19</v>
      </c>
      <c r="H496" s="15" t="n">
        <v>2583</v>
      </c>
      <c r="I496" s="15" t="n">
        <v>4</v>
      </c>
      <c r="J496" s="15" t="n">
        <v>9</v>
      </c>
      <c r="K496" s="15" t="n">
        <v>163</v>
      </c>
      <c r="L496" s="15" t="n">
        <v>87</v>
      </c>
      <c r="M496" s="15" t="n">
        <v>38</v>
      </c>
      <c r="N496" s="15" t="n">
        <v>0</v>
      </c>
      <c r="O496" s="15" t="n">
        <v>0</v>
      </c>
      <c r="P496" s="16" t="n">
        <v>0</v>
      </c>
      <c r="Q496" s="15" t="n">
        <v>0</v>
      </c>
      <c r="R496" s="15" t="n">
        <v>0</v>
      </c>
      <c r="S496" s="17" t="n">
        <v>129075</v>
      </c>
      <c r="T496" s="15" t="s">
        <v>186</v>
      </c>
      <c r="U496" s="15" t="n">
        <v>2028</v>
      </c>
      <c r="V496" s="15" t="s">
        <v>1705</v>
      </c>
      <c r="W496" s="18" t="s">
        <v>188</v>
      </c>
      <c r="X496" s="18" t="s">
        <v>358</v>
      </c>
      <c r="Y496" s="15" t="s">
        <v>600</v>
      </c>
      <c r="Z496" s="15" t="s">
        <v>600</v>
      </c>
      <c r="AA496" s="19" t="str">
        <f aca="false">HYPERLINK("https://www.transfermarkt.com/schnellsuche/ergebnis/schnellsuche?query="&amp;SUBSTITUTE(A496," ","+"),"Search Transfermarkt")</f>
        <v>Search Transfermarkt</v>
      </c>
    </row>
    <row r="497" customFormat="false" ht="23.85" hidden="false" customHeight="false" outlineLevel="0" collapsed="false">
      <c r="A497" s="15" t="s">
        <v>1706</v>
      </c>
      <c r="B497" s="15" t="s">
        <v>67</v>
      </c>
      <c r="C497" s="15" t="s">
        <v>1707</v>
      </c>
      <c r="D497" s="15" t="n">
        <v>3</v>
      </c>
      <c r="E497" s="15" t="s">
        <v>1708</v>
      </c>
      <c r="F497" s="15" t="s">
        <v>157</v>
      </c>
      <c r="G497" s="15" t="n">
        <v>21</v>
      </c>
      <c r="H497" s="15" t="n">
        <v>2559</v>
      </c>
      <c r="I497" s="15" t="n">
        <v>0</v>
      </c>
      <c r="J497" s="15" t="n">
        <v>0</v>
      </c>
      <c r="K497" s="15" t="n">
        <v>18</v>
      </c>
      <c r="L497" s="15" t="n">
        <v>3</v>
      </c>
      <c r="M497" s="15" t="n">
        <v>6</v>
      </c>
      <c r="N497" s="15" t="n">
        <v>108</v>
      </c>
      <c r="O497" s="15" t="n">
        <v>37</v>
      </c>
      <c r="P497" s="16" t="n">
        <v>60.5</v>
      </c>
      <c r="Q497" s="15" t="n">
        <v>19.3</v>
      </c>
      <c r="R497" s="15" t="n">
        <v>11</v>
      </c>
      <c r="S497" s="17" t="n">
        <v>0</v>
      </c>
      <c r="T497" s="15" t="s">
        <v>137</v>
      </c>
      <c r="U497" s="15" t="n">
        <v>2027</v>
      </c>
      <c r="V497" s="15" t="s">
        <v>1709</v>
      </c>
      <c r="W497" s="18" t="s">
        <v>139</v>
      </c>
      <c r="X497" s="18" t="s">
        <v>236</v>
      </c>
      <c r="Y497" s="15" t="s">
        <v>600</v>
      </c>
      <c r="Z497" s="15" t="s">
        <v>600</v>
      </c>
      <c r="AA497" s="19" t="str">
        <f aca="false">HYPERLINK("https://www.transfermarkt.com/schnellsuche/ergebnis/schnellsuche?query="&amp;SUBSTITUTE(A497," ","+"),"Search Transfermarkt")</f>
        <v>Search Transfermarkt</v>
      </c>
    </row>
    <row r="498" customFormat="false" ht="23.85" hidden="false" customHeight="false" outlineLevel="0" collapsed="false">
      <c r="A498" s="15" t="s">
        <v>1710</v>
      </c>
      <c r="B498" s="15" t="s">
        <v>87</v>
      </c>
      <c r="C498" s="15" t="s">
        <v>364</v>
      </c>
      <c r="D498" s="15" t="n">
        <v>2</v>
      </c>
      <c r="E498" s="15" t="s">
        <v>1011</v>
      </c>
      <c r="F498" s="15" t="s">
        <v>136</v>
      </c>
      <c r="G498" s="15" t="n">
        <v>23</v>
      </c>
      <c r="H498" s="15" t="n">
        <v>1493</v>
      </c>
      <c r="I498" s="15" t="n">
        <v>1</v>
      </c>
      <c r="J498" s="15" t="n">
        <v>0</v>
      </c>
      <c r="K498" s="15" t="n">
        <v>48</v>
      </c>
      <c r="L498" s="15" t="n">
        <v>28</v>
      </c>
      <c r="M498" s="15" t="n">
        <v>93</v>
      </c>
      <c r="N498" s="15" t="n">
        <v>0</v>
      </c>
      <c r="O498" s="15" t="n">
        <v>0</v>
      </c>
      <c r="P498" s="16" t="n">
        <v>0</v>
      </c>
      <c r="Q498" s="15" t="n">
        <v>0</v>
      </c>
      <c r="R498" s="15" t="n">
        <v>0</v>
      </c>
      <c r="S498" s="17" t="n">
        <v>63000</v>
      </c>
      <c r="T498" s="15" t="s">
        <v>137</v>
      </c>
      <c r="U498" s="15" t="n">
        <v>2027</v>
      </c>
      <c r="V498" s="15" t="s">
        <v>1012</v>
      </c>
      <c r="W498" s="18" t="s">
        <v>139</v>
      </c>
      <c r="X498" s="18" t="s">
        <v>341</v>
      </c>
      <c r="Y498" s="15" t="s">
        <v>600</v>
      </c>
      <c r="Z498" s="15" t="s">
        <v>600</v>
      </c>
      <c r="AA498" s="19" t="str">
        <f aca="false">HYPERLINK("https://www.transfermarkt.com/schnellsuche/ergebnis/schnellsuche?query="&amp;SUBSTITUTE(A498," ","+"),"Search Transfermarkt")</f>
        <v>Search Transfermarkt</v>
      </c>
    </row>
    <row r="499" customFormat="false" ht="23.85" hidden="false" customHeight="false" outlineLevel="0" collapsed="false">
      <c r="A499" s="15" t="s">
        <v>1711</v>
      </c>
      <c r="B499" s="15" t="s">
        <v>100</v>
      </c>
      <c r="C499" s="15" t="s">
        <v>1686</v>
      </c>
      <c r="D499" s="15" t="n">
        <v>2</v>
      </c>
      <c r="E499" s="15" t="s">
        <v>1187</v>
      </c>
      <c r="F499" s="15" t="s">
        <v>170</v>
      </c>
      <c r="G499" s="15" t="n">
        <v>20</v>
      </c>
      <c r="H499" s="15" t="n">
        <v>2259</v>
      </c>
      <c r="I499" s="15" t="n">
        <v>5</v>
      </c>
      <c r="J499" s="15" t="n">
        <v>12</v>
      </c>
      <c r="K499" s="15" t="n">
        <v>149</v>
      </c>
      <c r="L499" s="15" t="n">
        <v>69</v>
      </c>
      <c r="M499" s="15" t="n">
        <v>56</v>
      </c>
      <c r="N499" s="15" t="n">
        <v>0</v>
      </c>
      <c r="O499" s="15" t="n">
        <v>0</v>
      </c>
      <c r="P499" s="16" t="n">
        <v>0</v>
      </c>
      <c r="Q499" s="15" t="n">
        <v>0</v>
      </c>
      <c r="R499" s="15" t="n">
        <v>0</v>
      </c>
      <c r="S499" s="17" t="n">
        <v>0</v>
      </c>
      <c r="T499" s="15" t="s">
        <v>164</v>
      </c>
      <c r="U499" s="15" t="n">
        <v>2029</v>
      </c>
      <c r="V499" s="15" t="s">
        <v>1188</v>
      </c>
      <c r="W499" s="18" t="s">
        <v>139</v>
      </c>
      <c r="X499" s="18" t="s">
        <v>221</v>
      </c>
      <c r="Y499" s="15" t="s">
        <v>600</v>
      </c>
      <c r="Z499" s="15" t="s">
        <v>600</v>
      </c>
      <c r="AA499" s="19" t="str">
        <f aca="false">HYPERLINK("https://www.transfermarkt.com/schnellsuche/ergebnis/schnellsuche?query="&amp;SUBSTITUTE(A499," ","+"),"Search Transfermarkt")</f>
        <v>Search Transfermarkt</v>
      </c>
    </row>
    <row r="500" customFormat="false" ht="23.85" hidden="false" customHeight="false" outlineLevel="0" collapsed="false">
      <c r="A500" s="15" t="s">
        <v>1712</v>
      </c>
      <c r="B500" s="15" t="s">
        <v>88</v>
      </c>
      <c r="C500" s="15" t="s">
        <v>613</v>
      </c>
      <c r="D500" s="15" t="n">
        <v>2</v>
      </c>
      <c r="E500" s="15" t="s">
        <v>1483</v>
      </c>
      <c r="F500" s="15" t="s">
        <v>170</v>
      </c>
      <c r="G500" s="15" t="n">
        <v>20</v>
      </c>
      <c r="H500" s="15" t="n">
        <v>2091</v>
      </c>
      <c r="I500" s="15" t="n">
        <v>2</v>
      </c>
      <c r="J500" s="15" t="n">
        <v>9</v>
      </c>
      <c r="K500" s="15" t="n">
        <v>144</v>
      </c>
      <c r="L500" s="15" t="n">
        <v>64</v>
      </c>
      <c r="M500" s="15" t="n">
        <v>32</v>
      </c>
      <c r="N500" s="15" t="n">
        <v>0</v>
      </c>
      <c r="O500" s="15" t="n">
        <v>0</v>
      </c>
      <c r="P500" s="16" t="n">
        <v>0</v>
      </c>
      <c r="Q500" s="15" t="n">
        <v>0</v>
      </c>
      <c r="R500" s="15" t="n">
        <v>0</v>
      </c>
      <c r="S500" s="17" t="n">
        <v>27195</v>
      </c>
      <c r="T500" s="15" t="s">
        <v>137</v>
      </c>
      <c r="U500" s="15" t="n">
        <v>2029</v>
      </c>
      <c r="V500" s="15" t="s">
        <v>1484</v>
      </c>
      <c r="W500" s="18" t="s">
        <v>139</v>
      </c>
      <c r="X500" s="18" t="s">
        <v>320</v>
      </c>
      <c r="Y500" s="15" t="s">
        <v>600</v>
      </c>
      <c r="Z500" s="15" t="s">
        <v>600</v>
      </c>
      <c r="AA500" s="19" t="str">
        <f aca="false">HYPERLINK("https://www.transfermarkt.com/schnellsuche/ergebnis/schnellsuche?query="&amp;SUBSTITUTE(A500," ","+"),"Search Transfermarkt")</f>
        <v>Search Transfermarkt</v>
      </c>
    </row>
    <row r="501" customFormat="false" ht="23.85" hidden="false" customHeight="false" outlineLevel="0" collapsed="false">
      <c r="A501" s="15" t="s">
        <v>1713</v>
      </c>
      <c r="B501" s="15" t="s">
        <v>99</v>
      </c>
      <c r="C501" s="15" t="s">
        <v>926</v>
      </c>
      <c r="D501" s="15" t="n">
        <v>3</v>
      </c>
      <c r="E501" s="15" t="s">
        <v>677</v>
      </c>
      <c r="F501" s="15" t="s">
        <v>136</v>
      </c>
      <c r="G501" s="15" t="n">
        <v>18</v>
      </c>
      <c r="H501" s="15" t="n">
        <v>1100</v>
      </c>
      <c r="I501" s="15" t="n">
        <v>0</v>
      </c>
      <c r="J501" s="15" t="n">
        <v>1</v>
      </c>
      <c r="K501" s="15" t="n">
        <v>44</v>
      </c>
      <c r="L501" s="15" t="n">
        <v>42</v>
      </c>
      <c r="M501" s="15" t="n">
        <v>100</v>
      </c>
      <c r="N501" s="15" t="n">
        <v>0</v>
      </c>
      <c r="O501" s="15" t="n">
        <v>0</v>
      </c>
      <c r="P501" s="16" t="n">
        <v>0</v>
      </c>
      <c r="Q501" s="15" t="n">
        <v>0</v>
      </c>
      <c r="R501" s="15" t="n">
        <v>0</v>
      </c>
      <c r="S501" s="17" t="n">
        <v>19554</v>
      </c>
      <c r="T501" s="15" t="s">
        <v>137</v>
      </c>
      <c r="U501" s="15" t="n">
        <v>2026</v>
      </c>
      <c r="V501" s="15" t="s">
        <v>678</v>
      </c>
      <c r="W501" s="18" t="s">
        <v>139</v>
      </c>
      <c r="X501" s="18" t="s">
        <v>189</v>
      </c>
      <c r="Y501" s="15" t="s">
        <v>600</v>
      </c>
      <c r="Z501" s="15" t="s">
        <v>600</v>
      </c>
      <c r="AA501" s="19" t="str">
        <f aca="false">HYPERLINK("https://www.transfermarkt.com/schnellsuche/ergebnis/schnellsuche?query="&amp;SUBSTITUTE(A501," ","+"),"Search Transfermarkt")</f>
        <v>Search Transfermarkt</v>
      </c>
    </row>
    <row r="502" customFormat="false" ht="23.85" hidden="false" customHeight="false" outlineLevel="0" collapsed="false">
      <c r="A502" s="15" t="s">
        <v>1714</v>
      </c>
      <c r="B502" s="15" t="s">
        <v>89</v>
      </c>
      <c r="C502" s="15" t="s">
        <v>1014</v>
      </c>
      <c r="D502" s="15" t="n">
        <v>2</v>
      </c>
      <c r="E502" s="15" t="s">
        <v>1715</v>
      </c>
      <c r="F502" s="15" t="s">
        <v>170</v>
      </c>
      <c r="G502" s="15" t="n">
        <v>18</v>
      </c>
      <c r="H502" s="15" t="n">
        <v>854</v>
      </c>
      <c r="I502" s="15" t="n">
        <v>2</v>
      </c>
      <c r="J502" s="15" t="n">
        <v>12</v>
      </c>
      <c r="K502" s="15" t="n">
        <v>161</v>
      </c>
      <c r="L502" s="15" t="n">
        <v>83</v>
      </c>
      <c r="M502" s="15" t="n">
        <v>43</v>
      </c>
      <c r="N502" s="15" t="n">
        <v>0</v>
      </c>
      <c r="O502" s="15" t="n">
        <v>0</v>
      </c>
      <c r="P502" s="16" t="n">
        <v>0</v>
      </c>
      <c r="Q502" s="15" t="n">
        <v>0</v>
      </c>
      <c r="R502" s="15" t="n">
        <v>0</v>
      </c>
      <c r="S502" s="17" t="n">
        <v>44718</v>
      </c>
      <c r="T502" s="15" t="s">
        <v>164</v>
      </c>
      <c r="U502" s="15" t="n">
        <v>2028</v>
      </c>
      <c r="V502" s="15" t="s">
        <v>1716</v>
      </c>
      <c r="W502" s="18" t="s">
        <v>139</v>
      </c>
      <c r="X502" s="18" t="s">
        <v>206</v>
      </c>
      <c r="Y502" s="15" t="s">
        <v>600</v>
      </c>
      <c r="Z502" s="15" t="s">
        <v>600</v>
      </c>
      <c r="AA502" s="19" t="str">
        <f aca="false">HYPERLINK("https://www.transfermarkt.com/schnellsuche/ergebnis/schnellsuche?query="&amp;SUBSTITUTE(A502," ","+"),"Search Transfermarkt")</f>
        <v>Search Transfermarkt</v>
      </c>
    </row>
    <row r="503" customFormat="false" ht="23.85" hidden="false" customHeight="false" outlineLevel="0" collapsed="false">
      <c r="A503" s="15" t="s">
        <v>1717</v>
      </c>
      <c r="B503" s="15" t="s">
        <v>81</v>
      </c>
      <c r="C503" s="15" t="s">
        <v>404</v>
      </c>
      <c r="D503" s="15" t="n">
        <v>3</v>
      </c>
      <c r="E503" s="15" t="s">
        <v>1036</v>
      </c>
      <c r="F503" s="15" t="s">
        <v>157</v>
      </c>
      <c r="G503" s="15" t="n">
        <v>21</v>
      </c>
      <c r="H503" s="15" t="n">
        <v>1248</v>
      </c>
      <c r="I503" s="15" t="n">
        <v>0</v>
      </c>
      <c r="J503" s="15" t="n">
        <v>0</v>
      </c>
      <c r="K503" s="15" t="n">
        <v>19</v>
      </c>
      <c r="L503" s="15" t="n">
        <v>0</v>
      </c>
      <c r="M503" s="15" t="n">
        <v>9</v>
      </c>
      <c r="N503" s="15" t="n">
        <v>47</v>
      </c>
      <c r="O503" s="15" t="n">
        <v>26</v>
      </c>
      <c r="P503" s="16" t="n">
        <v>62.5</v>
      </c>
      <c r="Q503" s="15" t="n">
        <v>17</v>
      </c>
      <c r="R503" s="15" t="n">
        <v>5</v>
      </c>
      <c r="S503" s="17" t="n">
        <v>133613</v>
      </c>
      <c r="T503" s="15" t="s">
        <v>164</v>
      </c>
      <c r="U503" s="15" t="n">
        <v>2028</v>
      </c>
      <c r="V503" s="15" t="s">
        <v>1037</v>
      </c>
      <c r="W503" s="18" t="s">
        <v>139</v>
      </c>
      <c r="X503" s="18" t="s">
        <v>407</v>
      </c>
      <c r="Y503" s="15" t="s">
        <v>600</v>
      </c>
      <c r="Z503" s="15" t="s">
        <v>600</v>
      </c>
      <c r="AA503" s="19" t="str">
        <f aca="false">HYPERLINK("https://www.transfermarkt.com/schnellsuche/ergebnis/schnellsuche?query="&amp;SUBSTITUTE(A503," ","+"),"Search Transfermarkt")</f>
        <v>Search Transfermarkt</v>
      </c>
    </row>
    <row r="504" customFormat="false" ht="23.85" hidden="false" customHeight="false" outlineLevel="0" collapsed="false">
      <c r="A504" s="15" t="s">
        <v>1718</v>
      </c>
      <c r="B504" s="15" t="s">
        <v>69</v>
      </c>
      <c r="C504" s="15" t="s">
        <v>1719</v>
      </c>
      <c r="D504" s="15" t="n">
        <v>3</v>
      </c>
      <c r="E504" s="15" t="s">
        <v>427</v>
      </c>
      <c r="F504" s="15" t="s">
        <v>170</v>
      </c>
      <c r="G504" s="15" t="n">
        <v>25</v>
      </c>
      <c r="H504" s="15" t="n">
        <v>1132</v>
      </c>
      <c r="I504" s="15" t="n">
        <v>10</v>
      </c>
      <c r="J504" s="15" t="n">
        <v>10</v>
      </c>
      <c r="K504" s="15" t="n">
        <v>125</v>
      </c>
      <c r="L504" s="15" t="n">
        <v>95</v>
      </c>
      <c r="M504" s="15" t="n">
        <v>41</v>
      </c>
      <c r="N504" s="15" t="n">
        <v>0</v>
      </c>
      <c r="O504" s="15" t="n">
        <v>0</v>
      </c>
      <c r="P504" s="16" t="n">
        <v>0</v>
      </c>
      <c r="Q504" s="15" t="n">
        <v>0</v>
      </c>
      <c r="R504" s="15" t="n">
        <v>0</v>
      </c>
      <c r="S504" s="17" t="n">
        <v>50706</v>
      </c>
      <c r="T504" s="15" t="s">
        <v>137</v>
      </c>
      <c r="U504" s="15" t="n">
        <v>2026</v>
      </c>
      <c r="V504" s="15" t="s">
        <v>428</v>
      </c>
      <c r="W504" s="18" t="s">
        <v>139</v>
      </c>
      <c r="X504" s="18" t="s">
        <v>140</v>
      </c>
      <c r="Y504" s="15" t="s">
        <v>600</v>
      </c>
      <c r="Z504" s="15" t="s">
        <v>600</v>
      </c>
      <c r="AA504" s="19" t="str">
        <f aca="false">HYPERLINK("https://www.transfermarkt.com/schnellsuche/ergebnis/schnellsuche?query="&amp;SUBSTITUTE(A504," ","+"),"Search Transfermarkt")</f>
        <v>Search Transfermarkt</v>
      </c>
    </row>
    <row r="505" customFormat="false" ht="23.85" hidden="false" customHeight="false" outlineLevel="0" collapsed="false">
      <c r="A505" s="15" t="s">
        <v>1720</v>
      </c>
      <c r="B505" s="15" t="s">
        <v>80</v>
      </c>
      <c r="C505" s="15" t="s">
        <v>322</v>
      </c>
      <c r="D505" s="15" t="n">
        <v>4</v>
      </c>
      <c r="E505" s="15" t="s">
        <v>1721</v>
      </c>
      <c r="F505" s="15" t="s">
        <v>170</v>
      </c>
      <c r="G505" s="15" t="n">
        <v>23</v>
      </c>
      <c r="H505" s="15" t="n">
        <v>1292</v>
      </c>
      <c r="I505" s="15" t="n">
        <v>7</v>
      </c>
      <c r="J505" s="15" t="n">
        <v>13</v>
      </c>
      <c r="K505" s="15" t="n">
        <v>175</v>
      </c>
      <c r="L505" s="15" t="n">
        <v>96</v>
      </c>
      <c r="M505" s="15" t="n">
        <v>56</v>
      </c>
      <c r="N505" s="15" t="n">
        <v>0</v>
      </c>
      <c r="O505" s="15" t="n">
        <v>0</v>
      </c>
      <c r="P505" s="16" t="n">
        <v>0</v>
      </c>
      <c r="Q505" s="15" t="n">
        <v>0</v>
      </c>
      <c r="R505" s="15" t="n">
        <v>0</v>
      </c>
      <c r="S505" s="17" t="n">
        <v>46964</v>
      </c>
      <c r="T505" s="15" t="s">
        <v>164</v>
      </c>
      <c r="U505" s="15" t="n">
        <v>2026</v>
      </c>
      <c r="V505" s="15" t="s">
        <v>1722</v>
      </c>
      <c r="W505" s="18" t="s">
        <v>139</v>
      </c>
      <c r="X505" s="18" t="s">
        <v>304</v>
      </c>
      <c r="Y505" s="15" t="s">
        <v>600</v>
      </c>
      <c r="Z505" s="15" t="s">
        <v>600</v>
      </c>
      <c r="AA505" s="19" t="str">
        <f aca="false">HYPERLINK("https://www.transfermarkt.com/schnellsuche/ergebnis/schnellsuche?query="&amp;SUBSTITUTE(A505," ","+"),"Search Transfermarkt")</f>
        <v>Search Transfermarkt</v>
      </c>
    </row>
    <row r="506" customFormat="false" ht="23.85" hidden="false" customHeight="false" outlineLevel="0" collapsed="false">
      <c r="A506" s="15" t="s">
        <v>1723</v>
      </c>
      <c r="B506" s="15" t="s">
        <v>86</v>
      </c>
      <c r="C506" s="15" t="s">
        <v>1277</v>
      </c>
      <c r="D506" s="15" t="n">
        <v>2</v>
      </c>
      <c r="E506" s="15" t="s">
        <v>1218</v>
      </c>
      <c r="F506" s="15" t="s">
        <v>136</v>
      </c>
      <c r="G506" s="15" t="n">
        <v>21</v>
      </c>
      <c r="H506" s="15" t="n">
        <v>2375</v>
      </c>
      <c r="I506" s="15" t="n">
        <v>0</v>
      </c>
      <c r="J506" s="15" t="n">
        <v>0</v>
      </c>
      <c r="K506" s="15" t="n">
        <v>53</v>
      </c>
      <c r="L506" s="15" t="n">
        <v>31</v>
      </c>
      <c r="M506" s="15" t="n">
        <v>117</v>
      </c>
      <c r="N506" s="15" t="n">
        <v>0</v>
      </c>
      <c r="O506" s="15" t="n">
        <v>0</v>
      </c>
      <c r="P506" s="16" t="n">
        <v>0</v>
      </c>
      <c r="Q506" s="15" t="n">
        <v>0</v>
      </c>
      <c r="R506" s="15" t="n">
        <v>0</v>
      </c>
      <c r="S506" s="17" t="n">
        <v>63091</v>
      </c>
      <c r="T506" s="15" t="s">
        <v>137</v>
      </c>
      <c r="U506" s="15" t="n">
        <v>2027</v>
      </c>
      <c r="V506" s="15" t="s">
        <v>1219</v>
      </c>
      <c r="W506" s="18" t="s">
        <v>139</v>
      </c>
      <c r="X506" s="18" t="s">
        <v>473</v>
      </c>
      <c r="Y506" s="15" t="s">
        <v>600</v>
      </c>
      <c r="Z506" s="15" t="s">
        <v>600</v>
      </c>
      <c r="AA506" s="19" t="str">
        <f aca="false">HYPERLINK("https://www.transfermarkt.com/schnellsuche/ergebnis/schnellsuche?query="&amp;SUBSTITUTE(A506," ","+"),"Search Transfermarkt")</f>
        <v>Search Transfermarkt</v>
      </c>
    </row>
    <row r="507" customFormat="false" ht="23.85" hidden="false" customHeight="false" outlineLevel="0" collapsed="false">
      <c r="A507" s="15" t="s">
        <v>1724</v>
      </c>
      <c r="B507" s="15" t="s">
        <v>71</v>
      </c>
      <c r="C507" s="15" t="s">
        <v>1725</v>
      </c>
      <c r="D507" s="15" t="n">
        <v>2</v>
      </c>
      <c r="E507" s="15" t="s">
        <v>1726</v>
      </c>
      <c r="F507" s="15" t="s">
        <v>157</v>
      </c>
      <c r="G507" s="15" t="n">
        <v>22</v>
      </c>
      <c r="H507" s="15" t="n">
        <v>835</v>
      </c>
      <c r="I507" s="15" t="n">
        <v>0</v>
      </c>
      <c r="J507" s="15" t="n">
        <v>0</v>
      </c>
      <c r="K507" s="15" t="n">
        <v>17</v>
      </c>
      <c r="L507" s="15" t="n">
        <v>2</v>
      </c>
      <c r="M507" s="15" t="n">
        <v>3</v>
      </c>
      <c r="N507" s="15" t="n">
        <v>38</v>
      </c>
      <c r="O507" s="15" t="n">
        <v>9</v>
      </c>
      <c r="P507" s="16" t="n">
        <v>63.3</v>
      </c>
      <c r="Q507" s="15" t="n">
        <v>12.2</v>
      </c>
      <c r="R507" s="15" t="n">
        <v>4</v>
      </c>
      <c r="S507" s="17" t="n">
        <v>127903</v>
      </c>
      <c r="T507" s="15" t="s">
        <v>137</v>
      </c>
      <c r="U507" s="15" t="n">
        <v>2029</v>
      </c>
      <c r="V507" s="15" t="s">
        <v>1727</v>
      </c>
      <c r="W507" s="18" t="s">
        <v>139</v>
      </c>
      <c r="X507" s="18" t="s">
        <v>177</v>
      </c>
      <c r="Y507" s="15" t="s">
        <v>600</v>
      </c>
      <c r="Z507" s="15" t="s">
        <v>600</v>
      </c>
      <c r="AA507" s="19" t="str">
        <f aca="false">HYPERLINK("https://www.transfermarkt.com/schnellsuche/ergebnis/schnellsuche?query="&amp;SUBSTITUTE(A507," ","+"),"Search Transfermarkt")</f>
        <v>Search Transfermarkt</v>
      </c>
    </row>
    <row r="508" customFormat="false" ht="23.85" hidden="false" customHeight="false" outlineLevel="0" collapsed="false">
      <c r="A508" s="15" t="s">
        <v>1728</v>
      </c>
      <c r="B508" s="15" t="s">
        <v>69</v>
      </c>
      <c r="C508" s="15" t="s">
        <v>1729</v>
      </c>
      <c r="D508" s="15" t="n">
        <v>3</v>
      </c>
      <c r="E508" s="15" t="s">
        <v>692</v>
      </c>
      <c r="F508" s="15" t="s">
        <v>163</v>
      </c>
      <c r="G508" s="15" t="n">
        <v>22</v>
      </c>
      <c r="H508" s="15" t="n">
        <v>1815</v>
      </c>
      <c r="I508" s="15" t="n">
        <v>19</v>
      </c>
      <c r="J508" s="15" t="n">
        <v>3</v>
      </c>
      <c r="K508" s="15" t="n">
        <v>53</v>
      </c>
      <c r="L508" s="15" t="n">
        <v>86</v>
      </c>
      <c r="M508" s="15" t="n">
        <v>13</v>
      </c>
      <c r="N508" s="15" t="n">
        <v>0</v>
      </c>
      <c r="O508" s="15" t="n">
        <v>0</v>
      </c>
      <c r="P508" s="16" t="n">
        <v>0</v>
      </c>
      <c r="Q508" s="15" t="n">
        <v>0</v>
      </c>
      <c r="R508" s="15" t="n">
        <v>0</v>
      </c>
      <c r="S508" s="17" t="n">
        <v>56610</v>
      </c>
      <c r="T508" s="15" t="s">
        <v>137</v>
      </c>
      <c r="U508" s="15" t="n">
        <v>2029</v>
      </c>
      <c r="V508" s="15" t="s">
        <v>693</v>
      </c>
      <c r="W508" s="18" t="s">
        <v>139</v>
      </c>
      <c r="X508" s="18" t="s">
        <v>140</v>
      </c>
      <c r="Y508" s="15" t="s">
        <v>600</v>
      </c>
      <c r="Z508" s="15" t="s">
        <v>600</v>
      </c>
      <c r="AA508" s="19" t="str">
        <f aca="false">HYPERLINK("https://www.transfermarkt.com/schnellsuche/ergebnis/schnellsuche?query="&amp;SUBSTITUTE(A508," ","+"),"Search Transfermarkt")</f>
        <v>Search Transfermarkt</v>
      </c>
    </row>
    <row r="509" customFormat="false" ht="23.85" hidden="false" customHeight="false" outlineLevel="0" collapsed="false">
      <c r="A509" s="15" t="s">
        <v>1730</v>
      </c>
      <c r="B509" s="15" t="s">
        <v>68</v>
      </c>
      <c r="C509" s="15" t="s">
        <v>954</v>
      </c>
      <c r="D509" s="15" t="n">
        <v>3</v>
      </c>
      <c r="E509" s="15" t="s">
        <v>1731</v>
      </c>
      <c r="F509" s="15" t="s">
        <v>136</v>
      </c>
      <c r="G509" s="15" t="n">
        <v>24</v>
      </c>
      <c r="H509" s="15" t="n">
        <v>1475</v>
      </c>
      <c r="I509" s="15" t="n">
        <v>0</v>
      </c>
      <c r="J509" s="15" t="n">
        <v>1</v>
      </c>
      <c r="K509" s="15" t="n">
        <v>50</v>
      </c>
      <c r="L509" s="15" t="n">
        <v>35</v>
      </c>
      <c r="M509" s="15" t="n">
        <v>84</v>
      </c>
      <c r="N509" s="15" t="n">
        <v>0</v>
      </c>
      <c r="O509" s="15" t="n">
        <v>0</v>
      </c>
      <c r="P509" s="16" t="n">
        <v>0</v>
      </c>
      <c r="Q509" s="15" t="n">
        <v>0</v>
      </c>
      <c r="R509" s="15" t="n">
        <v>0</v>
      </c>
      <c r="S509" s="17" t="n">
        <v>0</v>
      </c>
      <c r="T509" s="15" t="s">
        <v>164</v>
      </c>
      <c r="U509" s="15" t="n">
        <v>2028</v>
      </c>
      <c r="V509" s="15" t="s">
        <v>1732</v>
      </c>
      <c r="W509" s="18" t="s">
        <v>139</v>
      </c>
      <c r="X509" s="18" t="s">
        <v>153</v>
      </c>
      <c r="Y509" s="15" t="s">
        <v>600</v>
      </c>
      <c r="Z509" s="15" t="s">
        <v>600</v>
      </c>
      <c r="AA509" s="19" t="str">
        <f aca="false">HYPERLINK("https://www.transfermarkt.com/schnellsuche/ergebnis/schnellsuche?query="&amp;SUBSTITUTE(A509," ","+"),"Search Transfermarkt")</f>
        <v>Search Transfermarkt</v>
      </c>
    </row>
    <row r="510" customFormat="false" ht="23.85" hidden="false" customHeight="false" outlineLevel="0" collapsed="false">
      <c r="A510" s="15" t="s">
        <v>1733</v>
      </c>
      <c r="B510" s="15" t="s">
        <v>89</v>
      </c>
      <c r="C510" s="15" t="s">
        <v>1455</v>
      </c>
      <c r="D510" s="15" t="n">
        <v>4</v>
      </c>
      <c r="E510" s="15" t="s">
        <v>1734</v>
      </c>
      <c r="F510" s="15" t="s">
        <v>170</v>
      </c>
      <c r="G510" s="15" t="n">
        <v>21</v>
      </c>
      <c r="H510" s="15" t="n">
        <v>2444</v>
      </c>
      <c r="I510" s="15" t="n">
        <v>3</v>
      </c>
      <c r="J510" s="15" t="n">
        <v>5</v>
      </c>
      <c r="K510" s="15" t="n">
        <v>152</v>
      </c>
      <c r="L510" s="15" t="n">
        <v>60</v>
      </c>
      <c r="M510" s="15" t="n">
        <v>37</v>
      </c>
      <c r="N510" s="15" t="n">
        <v>0</v>
      </c>
      <c r="O510" s="15" t="n">
        <v>0</v>
      </c>
      <c r="P510" s="16" t="n">
        <v>0</v>
      </c>
      <c r="Q510" s="15" t="n">
        <v>0</v>
      </c>
      <c r="R510" s="15" t="n">
        <v>0</v>
      </c>
      <c r="S510" s="17" t="n">
        <v>91854</v>
      </c>
      <c r="T510" s="15" t="s">
        <v>137</v>
      </c>
      <c r="U510" s="15" t="n">
        <v>2027</v>
      </c>
      <c r="V510" s="15" t="s">
        <v>1735</v>
      </c>
      <c r="W510" s="18" t="s">
        <v>139</v>
      </c>
      <c r="X510" s="18" t="s">
        <v>206</v>
      </c>
      <c r="Y510" s="15" t="s">
        <v>600</v>
      </c>
      <c r="Z510" s="15" t="s">
        <v>600</v>
      </c>
      <c r="AA510" s="19" t="str">
        <f aca="false">HYPERLINK("https://www.transfermarkt.com/schnellsuche/ergebnis/schnellsuche?query="&amp;SUBSTITUTE(A510," ","+"),"Search Transfermarkt")</f>
        <v>Search Transfermarkt</v>
      </c>
    </row>
    <row r="511" customFormat="false" ht="23.85" hidden="false" customHeight="false" outlineLevel="0" collapsed="false">
      <c r="A511" s="15" t="s">
        <v>1736</v>
      </c>
      <c r="B511" s="15" t="s">
        <v>83</v>
      </c>
      <c r="C511" s="15" t="s">
        <v>1255</v>
      </c>
      <c r="D511" s="15" t="n">
        <v>3</v>
      </c>
      <c r="E511" s="15" t="s">
        <v>1737</v>
      </c>
      <c r="F511" s="15" t="s">
        <v>163</v>
      </c>
      <c r="G511" s="15" t="n">
        <v>19</v>
      </c>
      <c r="H511" s="15" t="n">
        <v>1822</v>
      </c>
      <c r="I511" s="15" t="n">
        <v>9</v>
      </c>
      <c r="J511" s="15" t="n">
        <v>4</v>
      </c>
      <c r="K511" s="15" t="n">
        <v>50</v>
      </c>
      <c r="L511" s="15" t="n">
        <v>86</v>
      </c>
      <c r="M511" s="15" t="n">
        <v>6</v>
      </c>
      <c r="N511" s="15" t="n">
        <v>0</v>
      </c>
      <c r="O511" s="15" t="n">
        <v>0</v>
      </c>
      <c r="P511" s="16" t="n">
        <v>0</v>
      </c>
      <c r="Q511" s="15" t="n">
        <v>0</v>
      </c>
      <c r="R511" s="15" t="n">
        <v>0</v>
      </c>
      <c r="S511" s="17" t="n">
        <v>37249</v>
      </c>
      <c r="T511" s="15" t="s">
        <v>186</v>
      </c>
      <c r="U511" s="15" t="n">
        <v>2029</v>
      </c>
      <c r="V511" s="15" t="s">
        <v>1738</v>
      </c>
      <c r="W511" s="18" t="s">
        <v>188</v>
      </c>
      <c r="X511" s="18" t="s">
        <v>379</v>
      </c>
      <c r="Y511" s="15" t="s">
        <v>600</v>
      </c>
      <c r="Z511" s="15" t="s">
        <v>600</v>
      </c>
      <c r="AA511" s="19" t="str">
        <f aca="false">HYPERLINK("https://www.transfermarkt.com/schnellsuche/ergebnis/schnellsuche?query="&amp;SUBSTITUTE(A511," ","+"),"Search Transfermarkt")</f>
        <v>Search Transfermarkt</v>
      </c>
    </row>
    <row r="512" customFormat="false" ht="23.85" hidden="false" customHeight="false" outlineLevel="0" collapsed="false">
      <c r="A512" s="15" t="s">
        <v>1739</v>
      </c>
      <c r="B512" s="15" t="s">
        <v>68</v>
      </c>
      <c r="C512" s="15" t="s">
        <v>1194</v>
      </c>
      <c r="D512" s="15" t="n">
        <v>3</v>
      </c>
      <c r="E512" s="15" t="s">
        <v>1740</v>
      </c>
      <c r="F512" s="15" t="s">
        <v>170</v>
      </c>
      <c r="G512" s="15" t="n">
        <v>24</v>
      </c>
      <c r="H512" s="15" t="n">
        <v>1062</v>
      </c>
      <c r="I512" s="15" t="n">
        <v>10</v>
      </c>
      <c r="J512" s="15" t="n">
        <v>7</v>
      </c>
      <c r="K512" s="15" t="n">
        <v>171</v>
      </c>
      <c r="L512" s="15" t="n">
        <v>89</v>
      </c>
      <c r="M512" s="15" t="n">
        <v>31</v>
      </c>
      <c r="N512" s="15" t="n">
        <v>0</v>
      </c>
      <c r="O512" s="15" t="n">
        <v>0</v>
      </c>
      <c r="P512" s="16" t="n">
        <v>0</v>
      </c>
      <c r="Q512" s="15" t="n">
        <v>0</v>
      </c>
      <c r="R512" s="15" t="n">
        <v>0</v>
      </c>
      <c r="S512" s="17" t="n">
        <v>66863</v>
      </c>
      <c r="T512" s="15" t="s">
        <v>164</v>
      </c>
      <c r="U512" s="15" t="n">
        <v>2027</v>
      </c>
      <c r="V512" s="15" t="s">
        <v>1741</v>
      </c>
      <c r="W512" s="18" t="s">
        <v>139</v>
      </c>
      <c r="X512" s="18" t="s">
        <v>153</v>
      </c>
      <c r="Y512" s="15" t="s">
        <v>600</v>
      </c>
      <c r="Z512" s="15" t="s">
        <v>600</v>
      </c>
      <c r="AA512" s="19" t="str">
        <f aca="false">HYPERLINK("https://www.transfermarkt.com/schnellsuche/ergebnis/schnellsuche?query="&amp;SUBSTITUTE(A512," ","+"),"Search Transfermarkt")</f>
        <v>Search Transfermarkt</v>
      </c>
    </row>
    <row r="513" customFormat="false" ht="23.85" hidden="false" customHeight="false" outlineLevel="0" collapsed="false">
      <c r="A513" s="15" t="s">
        <v>1742</v>
      </c>
      <c r="B513" s="15" t="s">
        <v>88</v>
      </c>
      <c r="C513" s="15" t="s">
        <v>1025</v>
      </c>
      <c r="D513" s="15" t="n">
        <v>4</v>
      </c>
      <c r="E513" s="15" t="s">
        <v>1743</v>
      </c>
      <c r="F513" s="15" t="s">
        <v>170</v>
      </c>
      <c r="G513" s="15" t="n">
        <v>20</v>
      </c>
      <c r="H513" s="15" t="n">
        <v>2576</v>
      </c>
      <c r="I513" s="15" t="n">
        <v>10</v>
      </c>
      <c r="J513" s="15" t="n">
        <v>5</v>
      </c>
      <c r="K513" s="15" t="n">
        <v>119</v>
      </c>
      <c r="L513" s="15" t="n">
        <v>80</v>
      </c>
      <c r="M513" s="15" t="n">
        <v>54</v>
      </c>
      <c r="N513" s="15" t="n">
        <v>0</v>
      </c>
      <c r="O513" s="15" t="n">
        <v>0</v>
      </c>
      <c r="P513" s="16" t="n">
        <v>0</v>
      </c>
      <c r="Q513" s="15" t="n">
        <v>0</v>
      </c>
      <c r="R513" s="15" t="n">
        <v>0</v>
      </c>
      <c r="S513" s="17" t="n">
        <v>14383</v>
      </c>
      <c r="T513" s="15" t="s">
        <v>137</v>
      </c>
      <c r="U513" s="15" t="n">
        <v>2028</v>
      </c>
      <c r="V513" s="15" t="s">
        <v>1744</v>
      </c>
      <c r="W513" s="18" t="s">
        <v>139</v>
      </c>
      <c r="X513" s="18" t="s">
        <v>320</v>
      </c>
      <c r="Y513" s="15" t="s">
        <v>600</v>
      </c>
      <c r="Z513" s="15" t="s">
        <v>600</v>
      </c>
      <c r="AA513" s="19" t="str">
        <f aca="false">HYPERLINK("https://www.transfermarkt.com/schnellsuche/ergebnis/schnellsuche?query="&amp;SUBSTITUTE(A513," ","+"),"Search Transfermarkt")</f>
        <v>Search Transfermarkt</v>
      </c>
    </row>
    <row r="514" customFormat="false" ht="23.85" hidden="false" customHeight="false" outlineLevel="0" collapsed="false">
      <c r="A514" s="15" t="s">
        <v>1745</v>
      </c>
      <c r="B514" s="15" t="s">
        <v>62</v>
      </c>
      <c r="C514" s="15" t="s">
        <v>939</v>
      </c>
      <c r="D514" s="15" t="n">
        <v>3</v>
      </c>
      <c r="E514" s="15" t="s">
        <v>1746</v>
      </c>
      <c r="F514" s="15" t="s">
        <v>163</v>
      </c>
      <c r="G514" s="15" t="n">
        <v>20</v>
      </c>
      <c r="H514" s="15" t="n">
        <v>2629</v>
      </c>
      <c r="I514" s="15" t="n">
        <v>19</v>
      </c>
      <c r="J514" s="15" t="n">
        <v>9</v>
      </c>
      <c r="K514" s="15" t="n">
        <v>36</v>
      </c>
      <c r="L514" s="15" t="n">
        <v>65</v>
      </c>
      <c r="M514" s="15" t="n">
        <v>8</v>
      </c>
      <c r="N514" s="15" t="n">
        <v>0</v>
      </c>
      <c r="O514" s="15" t="n">
        <v>0</v>
      </c>
      <c r="P514" s="16" t="n">
        <v>0</v>
      </c>
      <c r="Q514" s="15" t="n">
        <v>0</v>
      </c>
      <c r="R514" s="15" t="n">
        <v>0</v>
      </c>
      <c r="S514" s="17" t="n">
        <v>64609</v>
      </c>
      <c r="T514" s="15" t="s">
        <v>186</v>
      </c>
      <c r="U514" s="15" t="n">
        <v>2028</v>
      </c>
      <c r="V514" s="15" t="s">
        <v>1747</v>
      </c>
      <c r="W514" s="18" t="s">
        <v>188</v>
      </c>
      <c r="X514" s="18" t="s">
        <v>211</v>
      </c>
      <c r="Y514" s="15" t="s">
        <v>600</v>
      </c>
      <c r="Z514" s="15" t="s">
        <v>600</v>
      </c>
      <c r="AA514" s="19" t="str">
        <f aca="false">HYPERLINK("https://www.transfermarkt.com/schnellsuche/ergebnis/schnellsuche?query="&amp;SUBSTITUTE(A514," ","+"),"Search Transfermarkt")</f>
        <v>Search Transfermarkt</v>
      </c>
    </row>
    <row r="515" customFormat="false" ht="23.85" hidden="false" customHeight="false" outlineLevel="0" collapsed="false">
      <c r="A515" s="15" t="s">
        <v>1748</v>
      </c>
      <c r="B515" s="15" t="s">
        <v>102</v>
      </c>
      <c r="C515" s="15" t="s">
        <v>1749</v>
      </c>
      <c r="D515" s="15" t="n">
        <v>2</v>
      </c>
      <c r="E515" s="15" t="s">
        <v>767</v>
      </c>
      <c r="F515" s="15" t="s">
        <v>157</v>
      </c>
      <c r="G515" s="15" t="n">
        <v>20</v>
      </c>
      <c r="H515" s="15" t="n">
        <v>2500</v>
      </c>
      <c r="I515" s="15" t="n">
        <v>0</v>
      </c>
      <c r="J515" s="15" t="n">
        <v>0</v>
      </c>
      <c r="K515" s="15" t="n">
        <v>20</v>
      </c>
      <c r="L515" s="15" t="n">
        <v>0</v>
      </c>
      <c r="M515" s="15" t="n">
        <v>9</v>
      </c>
      <c r="N515" s="15" t="n">
        <v>63</v>
      </c>
      <c r="O515" s="15" t="n">
        <v>54</v>
      </c>
      <c r="P515" s="16" t="n">
        <v>79.1</v>
      </c>
      <c r="Q515" s="15" t="n">
        <v>10.1</v>
      </c>
      <c r="R515" s="15" t="n">
        <v>8</v>
      </c>
      <c r="S515" s="17" t="n">
        <v>0</v>
      </c>
      <c r="T515" s="15" t="s">
        <v>186</v>
      </c>
      <c r="U515" s="15" t="n">
        <v>2026</v>
      </c>
      <c r="V515" s="15" t="s">
        <v>768</v>
      </c>
      <c r="W515" s="18" t="s">
        <v>188</v>
      </c>
      <c r="X515" s="18" t="s">
        <v>453</v>
      </c>
      <c r="Y515" s="15" t="s">
        <v>600</v>
      </c>
      <c r="Z515" s="15" t="s">
        <v>600</v>
      </c>
      <c r="AA515" s="19" t="str">
        <f aca="false">HYPERLINK("https://www.transfermarkt.com/schnellsuche/ergebnis/schnellsuche?query="&amp;SUBSTITUTE(A515," ","+"),"Search Transfermarkt")</f>
        <v>Search Transfermarkt</v>
      </c>
    </row>
    <row r="516" customFormat="false" ht="23.85" hidden="false" customHeight="false" outlineLevel="0" collapsed="false">
      <c r="A516" s="15" t="s">
        <v>1750</v>
      </c>
      <c r="B516" s="15" t="s">
        <v>76</v>
      </c>
      <c r="C516" s="15" t="s">
        <v>238</v>
      </c>
      <c r="D516" s="15" t="n">
        <v>4</v>
      </c>
      <c r="E516" s="15" t="s">
        <v>1474</v>
      </c>
      <c r="F516" s="15" t="s">
        <v>136</v>
      </c>
      <c r="G516" s="15" t="n">
        <v>17</v>
      </c>
      <c r="H516" s="15" t="n">
        <v>1367</v>
      </c>
      <c r="I516" s="15" t="n">
        <v>2</v>
      </c>
      <c r="J516" s="15" t="n">
        <v>4</v>
      </c>
      <c r="K516" s="15" t="n">
        <v>51</v>
      </c>
      <c r="L516" s="15" t="n">
        <v>46</v>
      </c>
      <c r="M516" s="15" t="n">
        <v>108</v>
      </c>
      <c r="N516" s="15" t="n">
        <v>0</v>
      </c>
      <c r="O516" s="15" t="n">
        <v>0</v>
      </c>
      <c r="P516" s="16" t="n">
        <v>0</v>
      </c>
      <c r="Q516" s="15" t="n">
        <v>0</v>
      </c>
      <c r="R516" s="15" t="n">
        <v>0</v>
      </c>
      <c r="S516" s="17" t="n">
        <v>136028</v>
      </c>
      <c r="T516" s="15" t="s">
        <v>186</v>
      </c>
      <c r="U516" s="15" t="n">
        <v>2026</v>
      </c>
      <c r="V516" s="15" t="s">
        <v>1475</v>
      </c>
      <c r="W516" s="18" t="s">
        <v>147</v>
      </c>
      <c r="X516" s="18" t="s">
        <v>241</v>
      </c>
      <c r="Y516" s="15" t="s">
        <v>600</v>
      </c>
      <c r="Z516" s="15" t="s">
        <v>600</v>
      </c>
      <c r="AA516" s="19" t="str">
        <f aca="false">HYPERLINK("https://www.transfermarkt.com/schnellsuche/ergebnis/schnellsuche?query="&amp;SUBSTITUTE(A516," ","+"),"Search Transfermarkt")</f>
        <v>Search Transfermarkt</v>
      </c>
    </row>
    <row r="517" customFormat="false" ht="23.85" hidden="false" customHeight="false" outlineLevel="0" collapsed="false">
      <c r="A517" s="15" t="s">
        <v>1751</v>
      </c>
      <c r="B517" s="15" t="s">
        <v>96</v>
      </c>
      <c r="C517" s="15" t="s">
        <v>1089</v>
      </c>
      <c r="D517" s="15" t="n">
        <v>4</v>
      </c>
      <c r="E517" s="15" t="s">
        <v>1148</v>
      </c>
      <c r="F517" s="15" t="s">
        <v>157</v>
      </c>
      <c r="G517" s="15" t="n">
        <v>18</v>
      </c>
      <c r="H517" s="15" t="n">
        <v>1996</v>
      </c>
      <c r="I517" s="15" t="n">
        <v>0</v>
      </c>
      <c r="J517" s="15" t="n">
        <v>0</v>
      </c>
      <c r="K517" s="15" t="n">
        <v>20</v>
      </c>
      <c r="L517" s="15" t="n">
        <v>2</v>
      </c>
      <c r="M517" s="15" t="n">
        <v>10</v>
      </c>
      <c r="N517" s="15" t="n">
        <v>98</v>
      </c>
      <c r="O517" s="15" t="n">
        <v>37</v>
      </c>
      <c r="P517" s="16" t="n">
        <v>84.6</v>
      </c>
      <c r="Q517" s="15" t="n">
        <v>10.7</v>
      </c>
      <c r="R517" s="15" t="n">
        <v>6</v>
      </c>
      <c r="S517" s="17" t="n">
        <v>52515</v>
      </c>
      <c r="T517" s="15" t="s">
        <v>186</v>
      </c>
      <c r="U517" s="15" t="n">
        <v>2029</v>
      </c>
      <c r="V517" s="15" t="s">
        <v>1149</v>
      </c>
      <c r="W517" s="18" t="s">
        <v>188</v>
      </c>
      <c r="X517" s="18" t="s">
        <v>216</v>
      </c>
      <c r="Y517" s="15" t="s">
        <v>600</v>
      </c>
      <c r="Z517" s="15" t="s">
        <v>600</v>
      </c>
      <c r="AA517" s="19" t="str">
        <f aca="false">HYPERLINK("https://www.transfermarkt.com/schnellsuche/ergebnis/schnellsuche?query="&amp;SUBSTITUTE(A517," ","+"),"Search Transfermarkt")</f>
        <v>Search Transfermarkt</v>
      </c>
    </row>
    <row r="518" customFormat="false" ht="23.85" hidden="false" customHeight="false" outlineLevel="0" collapsed="false">
      <c r="A518" s="15" t="s">
        <v>1752</v>
      </c>
      <c r="B518" s="15" t="s">
        <v>104</v>
      </c>
      <c r="C518" s="15" t="s">
        <v>1753</v>
      </c>
      <c r="D518" s="15" t="n">
        <v>3</v>
      </c>
      <c r="E518" s="15" t="s">
        <v>1754</v>
      </c>
      <c r="F518" s="15" t="s">
        <v>170</v>
      </c>
      <c r="G518" s="15" t="n">
        <v>18</v>
      </c>
      <c r="H518" s="15" t="n">
        <v>1885</v>
      </c>
      <c r="I518" s="15" t="n">
        <v>1</v>
      </c>
      <c r="J518" s="15" t="n">
        <v>6</v>
      </c>
      <c r="K518" s="15" t="n">
        <v>124</v>
      </c>
      <c r="L518" s="15" t="n">
        <v>97</v>
      </c>
      <c r="M518" s="15" t="n">
        <v>36</v>
      </c>
      <c r="N518" s="15" t="n">
        <v>0</v>
      </c>
      <c r="O518" s="15" t="n">
        <v>0</v>
      </c>
      <c r="P518" s="16" t="n">
        <v>0</v>
      </c>
      <c r="Q518" s="15" t="n">
        <v>0</v>
      </c>
      <c r="R518" s="15" t="n">
        <v>0</v>
      </c>
      <c r="S518" s="17" t="n">
        <v>0</v>
      </c>
      <c r="T518" s="15" t="s">
        <v>137</v>
      </c>
      <c r="U518" s="15" t="n">
        <v>2027</v>
      </c>
      <c r="V518" s="15" t="s">
        <v>1755</v>
      </c>
      <c r="W518" s="18" t="s">
        <v>139</v>
      </c>
      <c r="X518" s="18" t="s">
        <v>274</v>
      </c>
      <c r="Y518" s="15" t="s">
        <v>600</v>
      </c>
      <c r="Z518" s="15" t="s">
        <v>600</v>
      </c>
      <c r="AA518" s="19" t="str">
        <f aca="false">HYPERLINK("https://www.transfermarkt.com/schnellsuche/ergebnis/schnellsuche?query="&amp;SUBSTITUTE(A518," ","+"),"Search Transfermarkt")</f>
        <v>Search Transfermarkt</v>
      </c>
    </row>
    <row r="519" customFormat="false" ht="23.85" hidden="false" customHeight="false" outlineLevel="0" collapsed="false">
      <c r="A519" s="15" t="s">
        <v>1756</v>
      </c>
      <c r="B519" s="15" t="s">
        <v>99</v>
      </c>
      <c r="C519" s="15" t="s">
        <v>624</v>
      </c>
      <c r="D519" s="15" t="n">
        <v>2</v>
      </c>
      <c r="E519" s="15" t="s">
        <v>200</v>
      </c>
      <c r="F519" s="15" t="s">
        <v>163</v>
      </c>
      <c r="G519" s="15" t="n">
        <v>19</v>
      </c>
      <c r="H519" s="15" t="n">
        <v>2513</v>
      </c>
      <c r="I519" s="15" t="n">
        <v>20</v>
      </c>
      <c r="J519" s="15" t="n">
        <v>6</v>
      </c>
      <c r="K519" s="15" t="n">
        <v>49</v>
      </c>
      <c r="L519" s="15" t="n">
        <v>72</v>
      </c>
      <c r="M519" s="15" t="n">
        <v>12</v>
      </c>
      <c r="N519" s="15" t="n">
        <v>0</v>
      </c>
      <c r="O519" s="15" t="n">
        <v>0</v>
      </c>
      <c r="P519" s="16" t="n">
        <v>0</v>
      </c>
      <c r="Q519" s="15" t="n">
        <v>0</v>
      </c>
      <c r="R519" s="15" t="n">
        <v>0</v>
      </c>
      <c r="S519" s="17" t="n">
        <v>0</v>
      </c>
      <c r="T519" s="15" t="s">
        <v>186</v>
      </c>
      <c r="U519" s="15" t="n">
        <v>2028</v>
      </c>
      <c r="V519" s="15" t="s">
        <v>201</v>
      </c>
      <c r="W519" s="18" t="s">
        <v>188</v>
      </c>
      <c r="X519" s="18" t="s">
        <v>189</v>
      </c>
      <c r="Y519" s="15" t="s">
        <v>600</v>
      </c>
      <c r="Z519" s="15" t="s">
        <v>600</v>
      </c>
      <c r="AA519" s="19" t="str">
        <f aca="false">HYPERLINK("https://www.transfermarkt.com/schnellsuche/ergebnis/schnellsuche?query="&amp;SUBSTITUTE(A519," ","+"),"Search Transfermarkt")</f>
        <v>Search Transfermarkt</v>
      </c>
    </row>
    <row r="520" customFormat="false" ht="23.85" hidden="false" customHeight="false" outlineLevel="0" collapsed="false">
      <c r="A520" s="15" t="s">
        <v>1757</v>
      </c>
      <c r="B520" s="15" t="s">
        <v>98</v>
      </c>
      <c r="C520" s="15" t="s">
        <v>462</v>
      </c>
      <c r="D520" s="15" t="n">
        <v>3</v>
      </c>
      <c r="E520" s="15" t="s">
        <v>1758</v>
      </c>
      <c r="F520" s="15" t="s">
        <v>157</v>
      </c>
      <c r="G520" s="15" t="n">
        <v>25</v>
      </c>
      <c r="H520" s="15" t="n">
        <v>1951</v>
      </c>
      <c r="I520" s="15" t="n">
        <v>0</v>
      </c>
      <c r="J520" s="15" t="n">
        <v>0</v>
      </c>
      <c r="K520" s="15" t="n">
        <v>14</v>
      </c>
      <c r="L520" s="15" t="n">
        <v>1</v>
      </c>
      <c r="M520" s="15" t="n">
        <v>3</v>
      </c>
      <c r="N520" s="15" t="n">
        <v>58</v>
      </c>
      <c r="O520" s="15" t="n">
        <v>31</v>
      </c>
      <c r="P520" s="16" t="n">
        <v>83.7</v>
      </c>
      <c r="Q520" s="15" t="n">
        <v>20.4</v>
      </c>
      <c r="R520" s="15" t="n">
        <v>6</v>
      </c>
      <c r="S520" s="17" t="n">
        <v>25227</v>
      </c>
      <c r="T520" s="15" t="s">
        <v>137</v>
      </c>
      <c r="U520" s="15" t="n">
        <v>2026</v>
      </c>
      <c r="V520" s="15" t="s">
        <v>1759</v>
      </c>
      <c r="W520" s="18" t="s">
        <v>139</v>
      </c>
      <c r="X520" s="18" t="s">
        <v>148</v>
      </c>
      <c r="Y520" s="15" t="s">
        <v>600</v>
      </c>
      <c r="Z520" s="15" t="s">
        <v>600</v>
      </c>
      <c r="AA520" s="19" t="str">
        <f aca="false">HYPERLINK("https://www.transfermarkt.com/schnellsuche/ergebnis/schnellsuche?query="&amp;SUBSTITUTE(A520," ","+"),"Search Transfermarkt")</f>
        <v>Search Transfermarkt</v>
      </c>
    </row>
    <row r="521" customFormat="false" ht="23.85" hidden="false" customHeight="false" outlineLevel="0" collapsed="false">
      <c r="A521" s="15" t="s">
        <v>1760</v>
      </c>
      <c r="B521" s="15" t="s">
        <v>88</v>
      </c>
      <c r="C521" s="15" t="s">
        <v>343</v>
      </c>
      <c r="D521" s="15" t="n">
        <v>4</v>
      </c>
      <c r="E521" s="15" t="s">
        <v>1761</v>
      </c>
      <c r="F521" s="15" t="s">
        <v>163</v>
      </c>
      <c r="G521" s="15" t="n">
        <v>19</v>
      </c>
      <c r="H521" s="15" t="n">
        <v>2691</v>
      </c>
      <c r="I521" s="15" t="n">
        <v>17</v>
      </c>
      <c r="J521" s="15" t="n">
        <v>3</v>
      </c>
      <c r="K521" s="15" t="n">
        <v>55</v>
      </c>
      <c r="L521" s="15" t="n">
        <v>94</v>
      </c>
      <c r="M521" s="15" t="n">
        <v>7</v>
      </c>
      <c r="N521" s="15" t="n">
        <v>0</v>
      </c>
      <c r="O521" s="15" t="n">
        <v>0</v>
      </c>
      <c r="P521" s="16" t="n">
        <v>0</v>
      </c>
      <c r="Q521" s="15" t="n">
        <v>0</v>
      </c>
      <c r="R521" s="15" t="n">
        <v>0</v>
      </c>
      <c r="S521" s="17" t="n">
        <v>69810</v>
      </c>
      <c r="T521" s="15" t="s">
        <v>137</v>
      </c>
      <c r="U521" s="15" t="n">
        <v>2027</v>
      </c>
      <c r="V521" s="15" t="s">
        <v>1762</v>
      </c>
      <c r="W521" s="18" t="s">
        <v>139</v>
      </c>
      <c r="X521" s="18" t="s">
        <v>320</v>
      </c>
      <c r="Y521" s="15" t="s">
        <v>600</v>
      </c>
      <c r="Z521" s="15" t="s">
        <v>600</v>
      </c>
      <c r="AA521" s="19" t="str">
        <f aca="false">HYPERLINK("https://www.transfermarkt.com/schnellsuche/ergebnis/schnellsuche?query="&amp;SUBSTITUTE(A521," ","+"),"Search Transfermarkt")</f>
        <v>Search Transfermarkt</v>
      </c>
    </row>
    <row r="522" customFormat="false" ht="23.85" hidden="false" customHeight="false" outlineLevel="0" collapsed="false">
      <c r="A522" s="15" t="s">
        <v>1763</v>
      </c>
      <c r="B522" s="15" t="s">
        <v>73</v>
      </c>
      <c r="C522" s="15" t="s">
        <v>168</v>
      </c>
      <c r="D522" s="15" t="n">
        <v>3</v>
      </c>
      <c r="E522" s="15" t="s">
        <v>1764</v>
      </c>
      <c r="F522" s="15" t="s">
        <v>163</v>
      </c>
      <c r="G522" s="15" t="n">
        <v>25</v>
      </c>
      <c r="H522" s="15" t="n">
        <v>828</v>
      </c>
      <c r="I522" s="15" t="n">
        <v>8</v>
      </c>
      <c r="J522" s="15" t="n">
        <v>4</v>
      </c>
      <c r="K522" s="15" t="n">
        <v>40</v>
      </c>
      <c r="L522" s="15" t="n">
        <v>67</v>
      </c>
      <c r="M522" s="15" t="n">
        <v>10</v>
      </c>
      <c r="N522" s="15" t="n">
        <v>0</v>
      </c>
      <c r="O522" s="15" t="n">
        <v>0</v>
      </c>
      <c r="P522" s="16" t="n">
        <v>0</v>
      </c>
      <c r="Q522" s="15" t="n">
        <v>0</v>
      </c>
      <c r="R522" s="15" t="n">
        <v>0</v>
      </c>
      <c r="S522" s="17" t="n">
        <v>67323</v>
      </c>
      <c r="T522" s="15" t="s">
        <v>164</v>
      </c>
      <c r="U522" s="15" t="n">
        <v>2026</v>
      </c>
      <c r="V522" s="15" t="s">
        <v>1765</v>
      </c>
      <c r="W522" s="18" t="s">
        <v>139</v>
      </c>
      <c r="X522" s="18" t="s">
        <v>172</v>
      </c>
      <c r="Y522" s="15" t="s">
        <v>600</v>
      </c>
      <c r="Z522" s="15" t="s">
        <v>600</v>
      </c>
      <c r="AA522" s="19" t="str">
        <f aca="false">HYPERLINK("https://www.transfermarkt.com/schnellsuche/ergebnis/schnellsuche?query="&amp;SUBSTITUTE(A522," ","+"),"Search Transfermarkt")</f>
        <v>Search Transfermarkt</v>
      </c>
    </row>
    <row r="523" customFormat="false" ht="23.85" hidden="false" customHeight="false" outlineLevel="0" collapsed="false">
      <c r="A523" s="15" t="s">
        <v>1766</v>
      </c>
      <c r="B523" s="15" t="s">
        <v>98</v>
      </c>
      <c r="C523" s="15" t="s">
        <v>462</v>
      </c>
      <c r="D523" s="15" t="n">
        <v>2</v>
      </c>
      <c r="E523" s="15" t="s">
        <v>1767</v>
      </c>
      <c r="F523" s="15" t="s">
        <v>136</v>
      </c>
      <c r="G523" s="15" t="n">
        <v>22</v>
      </c>
      <c r="H523" s="15" t="n">
        <v>2224</v>
      </c>
      <c r="I523" s="15" t="n">
        <v>1</v>
      </c>
      <c r="J523" s="15" t="n">
        <v>0</v>
      </c>
      <c r="K523" s="15" t="n">
        <v>52</v>
      </c>
      <c r="L523" s="15" t="n">
        <v>37</v>
      </c>
      <c r="M523" s="15" t="n">
        <v>100</v>
      </c>
      <c r="N523" s="15" t="n">
        <v>0</v>
      </c>
      <c r="O523" s="15" t="n">
        <v>0</v>
      </c>
      <c r="P523" s="16" t="n">
        <v>0</v>
      </c>
      <c r="Q523" s="15" t="n">
        <v>0</v>
      </c>
      <c r="R523" s="15" t="n">
        <v>0</v>
      </c>
      <c r="S523" s="17" t="n">
        <v>104087</v>
      </c>
      <c r="T523" s="15" t="s">
        <v>137</v>
      </c>
      <c r="U523" s="15" t="n">
        <v>2029</v>
      </c>
      <c r="V523" s="15" t="s">
        <v>1768</v>
      </c>
      <c r="W523" s="18" t="s">
        <v>139</v>
      </c>
      <c r="X523" s="18" t="s">
        <v>148</v>
      </c>
      <c r="Y523" s="15" t="s">
        <v>600</v>
      </c>
      <c r="Z523" s="15" t="s">
        <v>600</v>
      </c>
      <c r="AA523" s="19" t="str">
        <f aca="false">HYPERLINK("https://www.transfermarkt.com/schnellsuche/ergebnis/schnellsuche?query="&amp;SUBSTITUTE(A523," ","+"),"Search Transfermarkt")</f>
        <v>Search Transfermarkt</v>
      </c>
    </row>
    <row r="524" customFormat="false" ht="23.85" hidden="false" customHeight="false" outlineLevel="0" collapsed="false">
      <c r="A524" s="15" t="s">
        <v>1769</v>
      </c>
      <c r="B524" s="15" t="s">
        <v>79</v>
      </c>
      <c r="C524" s="15" t="s">
        <v>1770</v>
      </c>
      <c r="D524" s="15" t="n">
        <v>2</v>
      </c>
      <c r="E524" s="15" t="s">
        <v>1771</v>
      </c>
      <c r="F524" s="15" t="s">
        <v>136</v>
      </c>
      <c r="G524" s="15" t="n">
        <v>18</v>
      </c>
      <c r="H524" s="15" t="n">
        <v>1906</v>
      </c>
      <c r="I524" s="15" t="n">
        <v>3</v>
      </c>
      <c r="J524" s="15" t="n">
        <v>5</v>
      </c>
      <c r="K524" s="15" t="n">
        <v>63</v>
      </c>
      <c r="L524" s="15" t="n">
        <v>31</v>
      </c>
      <c r="M524" s="15" t="n">
        <v>92</v>
      </c>
      <c r="N524" s="15" t="n">
        <v>0</v>
      </c>
      <c r="O524" s="15" t="n">
        <v>0</v>
      </c>
      <c r="P524" s="16" t="n">
        <v>0</v>
      </c>
      <c r="Q524" s="15" t="n">
        <v>0</v>
      </c>
      <c r="R524" s="15" t="n">
        <v>0</v>
      </c>
      <c r="S524" s="17" t="n">
        <v>22505</v>
      </c>
      <c r="T524" s="15" t="s">
        <v>137</v>
      </c>
      <c r="U524" s="15" t="n">
        <v>2029</v>
      </c>
      <c r="V524" s="15" t="s">
        <v>1772</v>
      </c>
      <c r="W524" s="18" t="s">
        <v>139</v>
      </c>
      <c r="X524" s="18" t="s">
        <v>412</v>
      </c>
      <c r="Y524" s="15" t="s">
        <v>600</v>
      </c>
      <c r="Z524" s="15" t="s">
        <v>600</v>
      </c>
      <c r="AA524" s="19" t="str">
        <f aca="false">HYPERLINK("https://www.transfermarkt.com/schnellsuche/ergebnis/schnellsuche?query="&amp;SUBSTITUTE(A524," ","+"),"Search Transfermarkt")</f>
        <v>Search Transfermarkt</v>
      </c>
    </row>
    <row r="525" customFormat="false" ht="23.85" hidden="false" customHeight="false" outlineLevel="0" collapsed="false">
      <c r="A525" s="15" t="s">
        <v>1773</v>
      </c>
      <c r="B525" s="15" t="s">
        <v>75</v>
      </c>
      <c r="C525" s="15" t="s">
        <v>194</v>
      </c>
      <c r="D525" s="15" t="n">
        <v>2</v>
      </c>
      <c r="E525" s="15" t="s">
        <v>1774</v>
      </c>
      <c r="F525" s="15" t="s">
        <v>170</v>
      </c>
      <c r="G525" s="15" t="n">
        <v>21</v>
      </c>
      <c r="H525" s="15" t="n">
        <v>2470</v>
      </c>
      <c r="I525" s="15" t="n">
        <v>5</v>
      </c>
      <c r="J525" s="15" t="n">
        <v>11</v>
      </c>
      <c r="K525" s="15" t="n">
        <v>164</v>
      </c>
      <c r="L525" s="15" t="n">
        <v>87</v>
      </c>
      <c r="M525" s="15" t="n">
        <v>31</v>
      </c>
      <c r="N525" s="15" t="n">
        <v>0</v>
      </c>
      <c r="O525" s="15" t="n">
        <v>0</v>
      </c>
      <c r="P525" s="16" t="n">
        <v>0</v>
      </c>
      <c r="Q525" s="15" t="n">
        <v>0</v>
      </c>
      <c r="R525" s="15" t="n">
        <v>0</v>
      </c>
      <c r="S525" s="17" t="n">
        <v>0</v>
      </c>
      <c r="T525" s="15" t="s">
        <v>137</v>
      </c>
      <c r="U525" s="15" t="n">
        <v>2029</v>
      </c>
      <c r="V525" s="15" t="s">
        <v>1775</v>
      </c>
      <c r="W525" s="18" t="s">
        <v>139</v>
      </c>
      <c r="X525" s="18" t="s">
        <v>197</v>
      </c>
      <c r="Y525" s="15" t="s">
        <v>600</v>
      </c>
      <c r="Z525" s="15" t="s">
        <v>600</v>
      </c>
      <c r="AA525" s="19" t="str">
        <f aca="false">HYPERLINK("https://www.transfermarkt.com/schnellsuche/ergebnis/schnellsuche?query="&amp;SUBSTITUTE(A525," ","+"),"Search Transfermarkt")</f>
        <v>Search Transfermarkt</v>
      </c>
    </row>
    <row r="526" customFormat="false" ht="23.85" hidden="false" customHeight="false" outlineLevel="0" collapsed="false">
      <c r="A526" s="15" t="s">
        <v>1776</v>
      </c>
      <c r="B526" s="15" t="s">
        <v>80</v>
      </c>
      <c r="C526" s="15" t="s">
        <v>1777</v>
      </c>
      <c r="D526" s="15" t="n">
        <v>3</v>
      </c>
      <c r="E526" s="15" t="s">
        <v>1778</v>
      </c>
      <c r="F526" s="15" t="s">
        <v>170</v>
      </c>
      <c r="G526" s="15" t="n">
        <v>20</v>
      </c>
      <c r="H526" s="15" t="n">
        <v>815</v>
      </c>
      <c r="I526" s="15" t="n">
        <v>6</v>
      </c>
      <c r="J526" s="15" t="n">
        <v>8</v>
      </c>
      <c r="K526" s="15" t="n">
        <v>151</v>
      </c>
      <c r="L526" s="15" t="n">
        <v>91</v>
      </c>
      <c r="M526" s="15" t="n">
        <v>34</v>
      </c>
      <c r="N526" s="15" t="n">
        <v>0</v>
      </c>
      <c r="O526" s="15" t="n">
        <v>0</v>
      </c>
      <c r="P526" s="16" t="n">
        <v>0</v>
      </c>
      <c r="Q526" s="15" t="n">
        <v>0</v>
      </c>
      <c r="R526" s="15" t="n">
        <v>0</v>
      </c>
      <c r="S526" s="17" t="n">
        <v>128452</v>
      </c>
      <c r="T526" s="15" t="s">
        <v>186</v>
      </c>
      <c r="U526" s="15" t="n">
        <v>2027</v>
      </c>
      <c r="V526" s="15" t="s">
        <v>1779</v>
      </c>
      <c r="W526" s="18" t="s">
        <v>188</v>
      </c>
      <c r="X526" s="18" t="s">
        <v>304</v>
      </c>
      <c r="Y526" s="15" t="s">
        <v>600</v>
      </c>
      <c r="Z526" s="15" t="s">
        <v>600</v>
      </c>
      <c r="AA526" s="19" t="str">
        <f aca="false">HYPERLINK("https://www.transfermarkt.com/schnellsuche/ergebnis/schnellsuche?query="&amp;SUBSTITUTE(A526," ","+"),"Search Transfermarkt")</f>
        <v>Search Transfermarkt</v>
      </c>
    </row>
    <row r="527" customFormat="false" ht="23.85" hidden="false" customHeight="false" outlineLevel="0" collapsed="false">
      <c r="A527" s="15" t="s">
        <v>1780</v>
      </c>
      <c r="B527" s="15" t="s">
        <v>80</v>
      </c>
      <c r="C527" s="15" t="s">
        <v>1777</v>
      </c>
      <c r="D527" s="15" t="n">
        <v>2</v>
      </c>
      <c r="E527" s="15" t="s">
        <v>1449</v>
      </c>
      <c r="F527" s="15" t="s">
        <v>170</v>
      </c>
      <c r="G527" s="15" t="n">
        <v>20</v>
      </c>
      <c r="H527" s="15" t="n">
        <v>1551</v>
      </c>
      <c r="I527" s="15" t="n">
        <v>3</v>
      </c>
      <c r="J527" s="15" t="n">
        <v>4</v>
      </c>
      <c r="K527" s="15" t="n">
        <v>175</v>
      </c>
      <c r="L527" s="15" t="n">
        <v>90</v>
      </c>
      <c r="M527" s="15" t="n">
        <v>48</v>
      </c>
      <c r="N527" s="15" t="n">
        <v>0</v>
      </c>
      <c r="O527" s="15" t="n">
        <v>0</v>
      </c>
      <c r="P527" s="16" t="n">
        <v>0</v>
      </c>
      <c r="Q527" s="15" t="n">
        <v>0</v>
      </c>
      <c r="R527" s="15" t="n">
        <v>0</v>
      </c>
      <c r="S527" s="17" t="n">
        <v>0</v>
      </c>
      <c r="T527" s="15" t="s">
        <v>186</v>
      </c>
      <c r="U527" s="15" t="n">
        <v>2027</v>
      </c>
      <c r="V527" s="15" t="s">
        <v>1450</v>
      </c>
      <c r="W527" s="18" t="s">
        <v>188</v>
      </c>
      <c r="X527" s="18" t="s">
        <v>304</v>
      </c>
      <c r="Y527" s="15" t="s">
        <v>600</v>
      </c>
      <c r="Z527" s="15" t="s">
        <v>600</v>
      </c>
      <c r="AA527" s="19" t="str">
        <f aca="false">HYPERLINK("https://www.transfermarkt.com/schnellsuche/ergebnis/schnellsuche?query="&amp;SUBSTITUTE(A527," ","+"),"Search Transfermarkt")</f>
        <v>Search Transfermarkt</v>
      </c>
    </row>
    <row r="528" customFormat="false" ht="23.85" hidden="false" customHeight="false" outlineLevel="0" collapsed="false">
      <c r="A528" s="15" t="s">
        <v>1781</v>
      </c>
      <c r="B528" s="15" t="s">
        <v>94</v>
      </c>
      <c r="C528" s="15" t="s">
        <v>1244</v>
      </c>
      <c r="D528" s="15" t="n">
        <v>2</v>
      </c>
      <c r="E528" s="15" t="s">
        <v>1782</v>
      </c>
      <c r="F528" s="15" t="s">
        <v>157</v>
      </c>
      <c r="G528" s="15" t="n">
        <v>17</v>
      </c>
      <c r="H528" s="15" t="n">
        <v>975</v>
      </c>
      <c r="I528" s="15" t="n">
        <v>0</v>
      </c>
      <c r="J528" s="15" t="n">
        <v>0</v>
      </c>
      <c r="K528" s="15" t="n">
        <v>15</v>
      </c>
      <c r="L528" s="15" t="n">
        <v>6</v>
      </c>
      <c r="M528" s="15" t="n">
        <v>7</v>
      </c>
      <c r="N528" s="15" t="n">
        <v>40</v>
      </c>
      <c r="O528" s="15" t="n">
        <v>14</v>
      </c>
      <c r="P528" s="16" t="n">
        <v>79.2</v>
      </c>
      <c r="Q528" s="15" t="n">
        <v>5.6</v>
      </c>
      <c r="R528" s="15" t="n">
        <v>4</v>
      </c>
      <c r="S528" s="17" t="n">
        <v>0</v>
      </c>
      <c r="T528" s="15" t="s">
        <v>137</v>
      </c>
      <c r="U528" s="15" t="n">
        <v>2029</v>
      </c>
      <c r="V528" s="15" t="s">
        <v>1783</v>
      </c>
      <c r="W528" s="18" t="s">
        <v>147</v>
      </c>
      <c r="X528" s="18" t="s">
        <v>226</v>
      </c>
      <c r="Y528" s="15" t="s">
        <v>600</v>
      </c>
      <c r="Z528" s="15" t="s">
        <v>600</v>
      </c>
      <c r="AA528" s="19" t="str">
        <f aca="false">HYPERLINK("https://www.transfermarkt.com/schnellsuche/ergebnis/schnellsuche?query="&amp;SUBSTITUTE(A528," ","+"),"Search Transfermarkt")</f>
        <v>Search Transfermarkt</v>
      </c>
    </row>
    <row r="529" customFormat="false" ht="23.85" hidden="false" customHeight="false" outlineLevel="0" collapsed="false">
      <c r="A529" s="15" t="s">
        <v>1784</v>
      </c>
      <c r="B529" s="15" t="s">
        <v>94</v>
      </c>
      <c r="C529" s="15" t="s">
        <v>594</v>
      </c>
      <c r="D529" s="15" t="n">
        <v>3</v>
      </c>
      <c r="E529" s="15" t="s">
        <v>629</v>
      </c>
      <c r="F529" s="15" t="s">
        <v>163</v>
      </c>
      <c r="G529" s="15" t="n">
        <v>21</v>
      </c>
      <c r="H529" s="15" t="n">
        <v>2072</v>
      </c>
      <c r="I529" s="15" t="n">
        <v>14</v>
      </c>
      <c r="J529" s="15" t="n">
        <v>7</v>
      </c>
      <c r="K529" s="15" t="n">
        <v>60</v>
      </c>
      <c r="L529" s="15" t="n">
        <v>102</v>
      </c>
      <c r="M529" s="15" t="n">
        <v>8</v>
      </c>
      <c r="N529" s="15" t="n">
        <v>0</v>
      </c>
      <c r="O529" s="15" t="n">
        <v>0</v>
      </c>
      <c r="P529" s="16" t="n">
        <v>0</v>
      </c>
      <c r="Q529" s="15" t="n">
        <v>0</v>
      </c>
      <c r="R529" s="15" t="n">
        <v>0</v>
      </c>
      <c r="S529" s="17" t="n">
        <v>0</v>
      </c>
      <c r="T529" s="15" t="s">
        <v>137</v>
      </c>
      <c r="U529" s="15" t="n">
        <v>2029</v>
      </c>
      <c r="V529" s="15" t="s">
        <v>630</v>
      </c>
      <c r="W529" s="18" t="s">
        <v>139</v>
      </c>
      <c r="X529" s="18" t="s">
        <v>226</v>
      </c>
      <c r="Y529" s="15" t="s">
        <v>600</v>
      </c>
      <c r="Z529" s="15" t="s">
        <v>600</v>
      </c>
      <c r="AA529" s="19" t="str">
        <f aca="false">HYPERLINK("https://www.transfermarkt.com/schnellsuche/ergebnis/schnellsuche?query="&amp;SUBSTITUTE(A529," ","+"),"Search Transfermarkt")</f>
        <v>Search Transfermarkt</v>
      </c>
    </row>
    <row r="530" customFormat="false" ht="23.85" hidden="false" customHeight="false" outlineLevel="0" collapsed="false">
      <c r="A530" s="15" t="s">
        <v>1785</v>
      </c>
      <c r="B530" s="15" t="s">
        <v>103</v>
      </c>
      <c r="C530" s="15" t="s">
        <v>1333</v>
      </c>
      <c r="D530" s="15" t="n">
        <v>3</v>
      </c>
      <c r="E530" s="15" t="s">
        <v>1786</v>
      </c>
      <c r="F530" s="15" t="s">
        <v>136</v>
      </c>
      <c r="G530" s="15" t="n">
        <v>18</v>
      </c>
      <c r="H530" s="15" t="n">
        <v>1636</v>
      </c>
      <c r="I530" s="15" t="n">
        <v>0</v>
      </c>
      <c r="J530" s="15" t="n">
        <v>5</v>
      </c>
      <c r="K530" s="15" t="n">
        <v>52</v>
      </c>
      <c r="L530" s="15" t="n">
        <v>20</v>
      </c>
      <c r="M530" s="15" t="n">
        <v>86</v>
      </c>
      <c r="N530" s="15" t="n">
        <v>0</v>
      </c>
      <c r="O530" s="15" t="n">
        <v>0</v>
      </c>
      <c r="P530" s="16" t="n">
        <v>0</v>
      </c>
      <c r="Q530" s="15" t="n">
        <v>0</v>
      </c>
      <c r="R530" s="15" t="n">
        <v>0</v>
      </c>
      <c r="S530" s="17" t="n">
        <v>14609</v>
      </c>
      <c r="T530" s="15" t="s">
        <v>186</v>
      </c>
      <c r="U530" s="15" t="n">
        <v>2029</v>
      </c>
      <c r="V530" s="15" t="s">
        <v>1787</v>
      </c>
      <c r="W530" s="18" t="s">
        <v>188</v>
      </c>
      <c r="X530" s="18" t="s">
        <v>481</v>
      </c>
      <c r="Y530" s="15" t="s">
        <v>600</v>
      </c>
      <c r="Z530" s="15" t="s">
        <v>600</v>
      </c>
      <c r="AA530" s="19" t="str">
        <f aca="false">HYPERLINK("https://www.transfermarkt.com/schnellsuche/ergebnis/schnellsuche?query="&amp;SUBSTITUTE(A530," ","+"),"Search Transfermarkt")</f>
        <v>Search Transfermarkt</v>
      </c>
    </row>
    <row r="531" customFormat="false" ht="23.85" hidden="false" customHeight="false" outlineLevel="0" collapsed="false">
      <c r="A531" s="15" t="s">
        <v>1788</v>
      </c>
      <c r="B531" s="15" t="s">
        <v>77</v>
      </c>
      <c r="C531" s="15" t="s">
        <v>1100</v>
      </c>
      <c r="D531" s="15" t="n">
        <v>2</v>
      </c>
      <c r="E531" s="15" t="s">
        <v>1789</v>
      </c>
      <c r="F531" s="15" t="s">
        <v>157</v>
      </c>
      <c r="G531" s="15" t="n">
        <v>19</v>
      </c>
      <c r="H531" s="15" t="n">
        <v>2001</v>
      </c>
      <c r="I531" s="15" t="n">
        <v>0</v>
      </c>
      <c r="J531" s="15" t="n">
        <v>0</v>
      </c>
      <c r="K531" s="15" t="n">
        <v>16</v>
      </c>
      <c r="L531" s="15" t="n">
        <v>0</v>
      </c>
      <c r="M531" s="15" t="n">
        <v>7</v>
      </c>
      <c r="N531" s="15" t="n">
        <v>92</v>
      </c>
      <c r="O531" s="15" t="n">
        <v>48</v>
      </c>
      <c r="P531" s="16" t="n">
        <v>73.4</v>
      </c>
      <c r="Q531" s="15" t="n">
        <v>23.9</v>
      </c>
      <c r="R531" s="15" t="n">
        <v>8</v>
      </c>
      <c r="S531" s="17" t="n">
        <v>0</v>
      </c>
      <c r="T531" s="15" t="s">
        <v>186</v>
      </c>
      <c r="U531" s="15" t="n">
        <v>2029</v>
      </c>
      <c r="V531" s="15" t="s">
        <v>1790</v>
      </c>
      <c r="W531" s="18" t="s">
        <v>188</v>
      </c>
      <c r="X531" s="18" t="s">
        <v>358</v>
      </c>
      <c r="Y531" s="15" t="s">
        <v>600</v>
      </c>
      <c r="Z531" s="15" t="s">
        <v>600</v>
      </c>
      <c r="AA531" s="19" t="str">
        <f aca="false">HYPERLINK("https://www.transfermarkt.com/schnellsuche/ergebnis/schnellsuche?query="&amp;SUBSTITUTE(A531," ","+"),"Search Transfermarkt")</f>
        <v>Search Transfermarkt</v>
      </c>
    </row>
    <row r="532" customFormat="false" ht="23.85" hidden="false" customHeight="false" outlineLevel="0" collapsed="false">
      <c r="A532" s="15" t="s">
        <v>1791</v>
      </c>
      <c r="B532" s="15" t="s">
        <v>94</v>
      </c>
      <c r="C532" s="15" t="s">
        <v>334</v>
      </c>
      <c r="D532" s="15" t="n">
        <v>2</v>
      </c>
      <c r="E532" s="15" t="s">
        <v>1260</v>
      </c>
      <c r="F532" s="15" t="s">
        <v>163</v>
      </c>
      <c r="G532" s="15" t="n">
        <v>25</v>
      </c>
      <c r="H532" s="15" t="n">
        <v>1770</v>
      </c>
      <c r="I532" s="15" t="n">
        <v>13</v>
      </c>
      <c r="J532" s="15" t="n">
        <v>7</v>
      </c>
      <c r="K532" s="15" t="n">
        <v>39</v>
      </c>
      <c r="L532" s="15" t="n">
        <v>83</v>
      </c>
      <c r="M532" s="15" t="n">
        <v>11</v>
      </c>
      <c r="N532" s="15" t="n">
        <v>0</v>
      </c>
      <c r="O532" s="15" t="n">
        <v>0</v>
      </c>
      <c r="P532" s="16" t="n">
        <v>0</v>
      </c>
      <c r="Q532" s="15" t="n">
        <v>0</v>
      </c>
      <c r="R532" s="15" t="n">
        <v>0</v>
      </c>
      <c r="S532" s="17" t="n">
        <v>125439</v>
      </c>
      <c r="T532" s="15" t="s">
        <v>164</v>
      </c>
      <c r="U532" s="15" t="n">
        <v>2029</v>
      </c>
      <c r="V532" s="15" t="s">
        <v>1261</v>
      </c>
      <c r="W532" s="18" t="s">
        <v>139</v>
      </c>
      <c r="X532" s="18" t="s">
        <v>226</v>
      </c>
      <c r="Y532" s="15" t="s">
        <v>600</v>
      </c>
      <c r="Z532" s="15" t="s">
        <v>600</v>
      </c>
      <c r="AA532" s="19" t="str">
        <f aca="false">HYPERLINK("https://www.transfermarkt.com/schnellsuche/ergebnis/schnellsuche?query="&amp;SUBSTITUTE(A532," ","+"),"Search Transfermarkt")</f>
        <v>Search Transfermarkt</v>
      </c>
    </row>
    <row r="533" customFormat="false" ht="23.85" hidden="false" customHeight="false" outlineLevel="0" collapsed="false">
      <c r="A533" s="15" t="s">
        <v>1792</v>
      </c>
      <c r="B533" s="15" t="s">
        <v>67</v>
      </c>
      <c r="C533" s="15" t="s">
        <v>584</v>
      </c>
      <c r="D533" s="15" t="n">
        <v>2</v>
      </c>
      <c r="E533" s="15" t="s">
        <v>1793</v>
      </c>
      <c r="F533" s="15" t="s">
        <v>136</v>
      </c>
      <c r="G533" s="15" t="n">
        <v>22</v>
      </c>
      <c r="H533" s="15" t="n">
        <v>1351</v>
      </c>
      <c r="I533" s="15" t="n">
        <v>0</v>
      </c>
      <c r="J533" s="15" t="n">
        <v>1</v>
      </c>
      <c r="K533" s="15" t="n">
        <v>45</v>
      </c>
      <c r="L533" s="15" t="n">
        <v>25</v>
      </c>
      <c r="M533" s="15" t="n">
        <v>87</v>
      </c>
      <c r="N533" s="15" t="n">
        <v>0</v>
      </c>
      <c r="O533" s="15" t="n">
        <v>0</v>
      </c>
      <c r="P533" s="16" t="n">
        <v>0</v>
      </c>
      <c r="Q533" s="15" t="n">
        <v>0</v>
      </c>
      <c r="R533" s="15" t="n">
        <v>0</v>
      </c>
      <c r="S533" s="17" t="n">
        <v>105160</v>
      </c>
      <c r="T533" s="15" t="s">
        <v>137</v>
      </c>
      <c r="U533" s="15" t="n">
        <v>2028</v>
      </c>
      <c r="V533" s="15" t="s">
        <v>1794</v>
      </c>
      <c r="W533" s="18" t="s">
        <v>139</v>
      </c>
      <c r="X533" s="18" t="s">
        <v>236</v>
      </c>
      <c r="Y533" s="15" t="s">
        <v>600</v>
      </c>
      <c r="Z533" s="15" t="s">
        <v>600</v>
      </c>
      <c r="AA533" s="19" t="str">
        <f aca="false">HYPERLINK("https://www.transfermarkt.com/schnellsuche/ergebnis/schnellsuche?query="&amp;SUBSTITUTE(A533," ","+"),"Search Transfermarkt")</f>
        <v>Search Transfermarkt</v>
      </c>
    </row>
    <row r="534" customFormat="false" ht="23.85" hidden="false" customHeight="false" outlineLevel="0" collapsed="false">
      <c r="A534" s="15" t="s">
        <v>1795</v>
      </c>
      <c r="B534" s="15" t="s">
        <v>94</v>
      </c>
      <c r="C534" s="15" t="s">
        <v>351</v>
      </c>
      <c r="D534" s="15" t="n">
        <v>2</v>
      </c>
      <c r="E534" s="15" t="s">
        <v>1796</v>
      </c>
      <c r="F534" s="15" t="s">
        <v>170</v>
      </c>
      <c r="G534" s="15" t="n">
        <v>26</v>
      </c>
      <c r="H534" s="15" t="n">
        <v>2039</v>
      </c>
      <c r="I534" s="15" t="n">
        <v>5</v>
      </c>
      <c r="J534" s="15" t="n">
        <v>10</v>
      </c>
      <c r="K534" s="15" t="n">
        <v>177</v>
      </c>
      <c r="L534" s="15" t="n">
        <v>92</v>
      </c>
      <c r="M534" s="15" t="n">
        <v>36</v>
      </c>
      <c r="N534" s="15" t="n">
        <v>0</v>
      </c>
      <c r="O534" s="15" t="n">
        <v>0</v>
      </c>
      <c r="P534" s="16" t="n">
        <v>0</v>
      </c>
      <c r="Q534" s="15" t="n">
        <v>0</v>
      </c>
      <c r="R534" s="15" t="n">
        <v>0</v>
      </c>
      <c r="S534" s="17" t="n">
        <v>132651</v>
      </c>
      <c r="T534" s="15" t="s">
        <v>186</v>
      </c>
      <c r="U534" s="15" t="n">
        <v>2026</v>
      </c>
      <c r="V534" s="15" t="s">
        <v>1797</v>
      </c>
      <c r="W534" s="18" t="s">
        <v>188</v>
      </c>
      <c r="X534" s="18" t="s">
        <v>226</v>
      </c>
      <c r="Y534" s="15" t="s">
        <v>600</v>
      </c>
      <c r="Z534" s="15" t="s">
        <v>600</v>
      </c>
      <c r="AA534" s="19" t="str">
        <f aca="false">HYPERLINK("https://www.transfermarkt.com/schnellsuche/ergebnis/schnellsuche?query="&amp;SUBSTITUTE(A534," ","+"),"Search Transfermarkt")</f>
        <v>Search Transfermarkt</v>
      </c>
    </row>
    <row r="535" customFormat="false" ht="23.85" hidden="false" customHeight="false" outlineLevel="0" collapsed="false">
      <c r="A535" s="15" t="s">
        <v>1798</v>
      </c>
      <c r="B535" s="15" t="s">
        <v>86</v>
      </c>
      <c r="C535" s="15" t="s">
        <v>1423</v>
      </c>
      <c r="D535" s="15" t="n">
        <v>2</v>
      </c>
      <c r="E535" s="15" t="s">
        <v>529</v>
      </c>
      <c r="F535" s="15" t="s">
        <v>157</v>
      </c>
      <c r="G535" s="15" t="n">
        <v>21</v>
      </c>
      <c r="H535" s="15" t="n">
        <v>2297</v>
      </c>
      <c r="I535" s="15" t="n">
        <v>0</v>
      </c>
      <c r="J535" s="15" t="n">
        <v>0</v>
      </c>
      <c r="K535" s="15" t="n">
        <v>6</v>
      </c>
      <c r="L535" s="15" t="n">
        <v>3</v>
      </c>
      <c r="M535" s="15" t="n">
        <v>6</v>
      </c>
      <c r="N535" s="15" t="n">
        <v>103</v>
      </c>
      <c r="O535" s="15" t="n">
        <v>39</v>
      </c>
      <c r="P535" s="16" t="n">
        <v>67.9</v>
      </c>
      <c r="Q535" s="15" t="n">
        <v>35.8</v>
      </c>
      <c r="R535" s="15" t="n">
        <v>11</v>
      </c>
      <c r="S535" s="17" t="n">
        <v>0</v>
      </c>
      <c r="T535" s="15" t="s">
        <v>164</v>
      </c>
      <c r="U535" s="15" t="n">
        <v>2027</v>
      </c>
      <c r="V535" s="15" t="s">
        <v>530</v>
      </c>
      <c r="W535" s="18" t="s">
        <v>139</v>
      </c>
      <c r="X535" s="18" t="s">
        <v>473</v>
      </c>
      <c r="Y535" s="15" t="s">
        <v>600</v>
      </c>
      <c r="Z535" s="15" t="s">
        <v>600</v>
      </c>
      <c r="AA535" s="19" t="str">
        <f aca="false">HYPERLINK("https://www.transfermarkt.com/schnellsuche/ergebnis/schnellsuche?query="&amp;SUBSTITUTE(A535," ","+"),"Search Transfermarkt")</f>
        <v>Search Transfermarkt</v>
      </c>
    </row>
    <row r="536" customFormat="false" ht="23.85" hidden="false" customHeight="false" outlineLevel="0" collapsed="false">
      <c r="A536" s="15" t="s">
        <v>1799</v>
      </c>
      <c r="B536" s="15" t="s">
        <v>79</v>
      </c>
      <c r="C536" s="15" t="s">
        <v>1273</v>
      </c>
      <c r="D536" s="15" t="n">
        <v>2</v>
      </c>
      <c r="E536" s="15" t="s">
        <v>933</v>
      </c>
      <c r="F536" s="15" t="s">
        <v>163</v>
      </c>
      <c r="G536" s="15" t="n">
        <v>23</v>
      </c>
      <c r="H536" s="15" t="n">
        <v>1674</v>
      </c>
      <c r="I536" s="15" t="n">
        <v>7</v>
      </c>
      <c r="J536" s="15" t="n">
        <v>6</v>
      </c>
      <c r="K536" s="15" t="n">
        <v>41</v>
      </c>
      <c r="L536" s="15" t="n">
        <v>73</v>
      </c>
      <c r="M536" s="15" t="n">
        <v>7</v>
      </c>
      <c r="N536" s="15" t="n">
        <v>0</v>
      </c>
      <c r="O536" s="15" t="n">
        <v>0</v>
      </c>
      <c r="P536" s="16" t="n">
        <v>0</v>
      </c>
      <c r="Q536" s="15" t="n">
        <v>0</v>
      </c>
      <c r="R536" s="15" t="n">
        <v>0</v>
      </c>
      <c r="S536" s="17" t="n">
        <v>76016</v>
      </c>
      <c r="T536" s="15" t="s">
        <v>164</v>
      </c>
      <c r="U536" s="15" t="n">
        <v>2026</v>
      </c>
      <c r="V536" s="15" t="s">
        <v>934</v>
      </c>
      <c r="W536" s="18" t="s">
        <v>139</v>
      </c>
      <c r="X536" s="18" t="s">
        <v>412</v>
      </c>
      <c r="Y536" s="15" t="s">
        <v>600</v>
      </c>
      <c r="Z536" s="15" t="s">
        <v>600</v>
      </c>
      <c r="AA536" s="19" t="str">
        <f aca="false">HYPERLINK("https://www.transfermarkt.com/schnellsuche/ergebnis/schnellsuche?query="&amp;SUBSTITUTE(A536," ","+"),"Search Transfermarkt")</f>
        <v>Search Transfermarkt</v>
      </c>
    </row>
    <row r="537" customFormat="false" ht="23.85" hidden="false" customHeight="false" outlineLevel="0" collapsed="false">
      <c r="A537" s="15" t="s">
        <v>1800</v>
      </c>
      <c r="B537" s="15" t="s">
        <v>86</v>
      </c>
      <c r="C537" s="15" t="s">
        <v>1217</v>
      </c>
      <c r="D537" s="15" t="n">
        <v>4</v>
      </c>
      <c r="E537" s="15" t="s">
        <v>1801</v>
      </c>
      <c r="F537" s="15" t="s">
        <v>136</v>
      </c>
      <c r="G537" s="15" t="n">
        <v>23</v>
      </c>
      <c r="H537" s="15" t="n">
        <v>1375</v>
      </c>
      <c r="I537" s="15" t="n">
        <v>0</v>
      </c>
      <c r="J537" s="15" t="n">
        <v>3</v>
      </c>
      <c r="K537" s="15" t="n">
        <v>50</v>
      </c>
      <c r="L537" s="15" t="n">
        <v>38</v>
      </c>
      <c r="M537" s="15" t="n">
        <v>81</v>
      </c>
      <c r="N537" s="15" t="n">
        <v>0</v>
      </c>
      <c r="O537" s="15" t="n">
        <v>0</v>
      </c>
      <c r="P537" s="16" t="n">
        <v>0</v>
      </c>
      <c r="Q537" s="15" t="n">
        <v>0</v>
      </c>
      <c r="R537" s="15" t="n">
        <v>0</v>
      </c>
      <c r="S537" s="17" t="n">
        <v>132088</v>
      </c>
      <c r="T537" s="15" t="s">
        <v>137</v>
      </c>
      <c r="U537" s="15" t="n">
        <v>2028</v>
      </c>
      <c r="V537" s="15" t="s">
        <v>1802</v>
      </c>
      <c r="W537" s="18" t="s">
        <v>139</v>
      </c>
      <c r="X537" s="18" t="s">
        <v>473</v>
      </c>
      <c r="Y537" s="15" t="s">
        <v>600</v>
      </c>
      <c r="Z537" s="15" t="s">
        <v>600</v>
      </c>
      <c r="AA537" s="19" t="str">
        <f aca="false">HYPERLINK("https://www.transfermarkt.com/schnellsuche/ergebnis/schnellsuche?query="&amp;SUBSTITUTE(A537," ","+"),"Search Transfermarkt")</f>
        <v>Search Transfermarkt</v>
      </c>
    </row>
    <row r="538" customFormat="false" ht="23.85" hidden="false" customHeight="false" outlineLevel="0" collapsed="false">
      <c r="A538" s="15" t="s">
        <v>1803</v>
      </c>
      <c r="B538" s="15" t="s">
        <v>64</v>
      </c>
      <c r="C538" s="15" t="s">
        <v>442</v>
      </c>
      <c r="D538" s="15" t="n">
        <v>2</v>
      </c>
      <c r="E538" s="15" t="s">
        <v>1804</v>
      </c>
      <c r="F538" s="15" t="s">
        <v>170</v>
      </c>
      <c r="G538" s="15" t="n">
        <v>18</v>
      </c>
      <c r="H538" s="15" t="n">
        <v>2115</v>
      </c>
      <c r="I538" s="15" t="n">
        <v>7</v>
      </c>
      <c r="J538" s="15" t="n">
        <v>6</v>
      </c>
      <c r="K538" s="15" t="n">
        <v>122</v>
      </c>
      <c r="L538" s="15" t="n">
        <v>62</v>
      </c>
      <c r="M538" s="15" t="n">
        <v>55</v>
      </c>
      <c r="N538" s="15" t="n">
        <v>0</v>
      </c>
      <c r="O538" s="15" t="n">
        <v>0</v>
      </c>
      <c r="P538" s="16" t="n">
        <v>0</v>
      </c>
      <c r="Q538" s="15" t="n">
        <v>0</v>
      </c>
      <c r="R538" s="15" t="n">
        <v>0</v>
      </c>
      <c r="S538" s="17" t="n">
        <v>32223</v>
      </c>
      <c r="T538" s="15" t="s">
        <v>137</v>
      </c>
      <c r="U538" s="15" t="n">
        <v>2026</v>
      </c>
      <c r="V538" s="15" t="s">
        <v>1805</v>
      </c>
      <c r="W538" s="18" t="s">
        <v>139</v>
      </c>
      <c r="X538" s="18" t="s">
        <v>231</v>
      </c>
      <c r="Y538" s="15" t="s">
        <v>600</v>
      </c>
      <c r="Z538" s="15" t="s">
        <v>600</v>
      </c>
      <c r="AA538" s="19" t="str">
        <f aca="false">HYPERLINK("https://www.transfermarkt.com/schnellsuche/ergebnis/schnellsuche?query="&amp;SUBSTITUTE(A538," ","+"),"Search Transfermarkt")</f>
        <v>Search Transfermarkt</v>
      </c>
    </row>
    <row r="539" customFormat="false" ht="23.85" hidden="false" customHeight="false" outlineLevel="0" collapsed="false">
      <c r="A539" s="15" t="s">
        <v>1806</v>
      </c>
      <c r="B539" s="15" t="s">
        <v>62</v>
      </c>
      <c r="C539" s="15" t="s">
        <v>1419</v>
      </c>
      <c r="D539" s="15" t="n">
        <v>3</v>
      </c>
      <c r="E539" s="15" t="s">
        <v>1807</v>
      </c>
      <c r="F539" s="15" t="s">
        <v>163</v>
      </c>
      <c r="G539" s="15" t="n">
        <v>23</v>
      </c>
      <c r="H539" s="15" t="n">
        <v>2229</v>
      </c>
      <c r="I539" s="15" t="n">
        <v>7</v>
      </c>
      <c r="J539" s="15" t="n">
        <v>8</v>
      </c>
      <c r="K539" s="15" t="n">
        <v>68</v>
      </c>
      <c r="L539" s="15" t="n">
        <v>84</v>
      </c>
      <c r="M539" s="15" t="n">
        <v>16</v>
      </c>
      <c r="N539" s="15" t="n">
        <v>0</v>
      </c>
      <c r="O539" s="15" t="n">
        <v>0</v>
      </c>
      <c r="P539" s="16" t="n">
        <v>0</v>
      </c>
      <c r="Q539" s="15" t="n">
        <v>0</v>
      </c>
      <c r="R539" s="15" t="n">
        <v>0</v>
      </c>
      <c r="S539" s="17" t="n">
        <v>70850</v>
      </c>
      <c r="T539" s="15" t="s">
        <v>137</v>
      </c>
      <c r="U539" s="15" t="n">
        <v>2027</v>
      </c>
      <c r="V539" s="15" t="s">
        <v>1808</v>
      </c>
      <c r="W539" s="18" t="s">
        <v>139</v>
      </c>
      <c r="X539" s="18" t="s">
        <v>211</v>
      </c>
      <c r="Y539" s="15" t="s">
        <v>600</v>
      </c>
      <c r="Z539" s="15" t="s">
        <v>600</v>
      </c>
      <c r="AA539" s="19" t="str">
        <f aca="false">HYPERLINK("https://www.transfermarkt.com/schnellsuche/ergebnis/schnellsuche?query="&amp;SUBSTITUTE(A539," ","+"),"Search Transfermarkt")</f>
        <v>Search Transfermarkt</v>
      </c>
    </row>
    <row r="540" customFormat="false" ht="23.85" hidden="false" customHeight="false" outlineLevel="0" collapsed="false">
      <c r="A540" s="15" t="s">
        <v>1809</v>
      </c>
      <c r="B540" s="15" t="s">
        <v>71</v>
      </c>
      <c r="C540" s="15" t="s">
        <v>1107</v>
      </c>
      <c r="D540" s="15" t="n">
        <v>2</v>
      </c>
      <c r="E540" s="15" t="s">
        <v>1810</v>
      </c>
      <c r="F540" s="15" t="s">
        <v>170</v>
      </c>
      <c r="G540" s="15" t="n">
        <v>25</v>
      </c>
      <c r="H540" s="15" t="n">
        <v>2390</v>
      </c>
      <c r="I540" s="15" t="n">
        <v>2</v>
      </c>
      <c r="J540" s="15" t="n">
        <v>6</v>
      </c>
      <c r="K540" s="15" t="n">
        <v>123</v>
      </c>
      <c r="L540" s="15" t="n">
        <v>76</v>
      </c>
      <c r="M540" s="15" t="n">
        <v>32</v>
      </c>
      <c r="N540" s="15" t="n">
        <v>0</v>
      </c>
      <c r="O540" s="15" t="n">
        <v>0</v>
      </c>
      <c r="P540" s="16" t="n">
        <v>0</v>
      </c>
      <c r="Q540" s="15" t="n">
        <v>0</v>
      </c>
      <c r="R540" s="15" t="n">
        <v>0</v>
      </c>
      <c r="S540" s="17" t="n">
        <v>142509</v>
      </c>
      <c r="T540" s="15" t="s">
        <v>137</v>
      </c>
      <c r="U540" s="15" t="n">
        <v>2026</v>
      </c>
      <c r="V540" s="15" t="s">
        <v>1811</v>
      </c>
      <c r="W540" s="18" t="s">
        <v>139</v>
      </c>
      <c r="X540" s="18" t="s">
        <v>177</v>
      </c>
      <c r="Y540" s="15" t="s">
        <v>600</v>
      </c>
      <c r="Z540" s="15" t="s">
        <v>600</v>
      </c>
      <c r="AA540" s="19" t="str">
        <f aca="false">HYPERLINK("https://www.transfermarkt.com/schnellsuche/ergebnis/schnellsuche?query="&amp;SUBSTITUTE(A540," ","+"),"Search Transfermarkt")</f>
        <v>Search Transfermarkt</v>
      </c>
    </row>
    <row r="541" customFormat="false" ht="23.85" hidden="false" customHeight="false" outlineLevel="0" collapsed="false">
      <c r="A541" s="15" t="s">
        <v>1812</v>
      </c>
      <c r="B541" s="15" t="s">
        <v>73</v>
      </c>
      <c r="C541" s="15" t="s">
        <v>168</v>
      </c>
      <c r="D541" s="15" t="n">
        <v>2</v>
      </c>
      <c r="E541" s="15" t="s">
        <v>1813</v>
      </c>
      <c r="F541" s="15" t="s">
        <v>170</v>
      </c>
      <c r="G541" s="15" t="n">
        <v>25</v>
      </c>
      <c r="H541" s="15" t="n">
        <v>1724</v>
      </c>
      <c r="I541" s="15" t="n">
        <v>2</v>
      </c>
      <c r="J541" s="15" t="n">
        <v>10</v>
      </c>
      <c r="K541" s="15" t="n">
        <v>138</v>
      </c>
      <c r="L541" s="15" t="n">
        <v>71</v>
      </c>
      <c r="M541" s="15" t="n">
        <v>36</v>
      </c>
      <c r="N541" s="15" t="n">
        <v>0</v>
      </c>
      <c r="O541" s="15" t="n">
        <v>0</v>
      </c>
      <c r="P541" s="16" t="n">
        <v>0</v>
      </c>
      <c r="Q541" s="15" t="n">
        <v>0</v>
      </c>
      <c r="R541" s="15" t="n">
        <v>0</v>
      </c>
      <c r="S541" s="17" t="n">
        <v>91036</v>
      </c>
      <c r="T541" s="15" t="s">
        <v>137</v>
      </c>
      <c r="U541" s="15" t="n">
        <v>2028</v>
      </c>
      <c r="V541" s="15" t="s">
        <v>1814</v>
      </c>
      <c r="W541" s="18" t="s">
        <v>139</v>
      </c>
      <c r="X541" s="18" t="s">
        <v>172</v>
      </c>
      <c r="Y541" s="15" t="s">
        <v>600</v>
      </c>
      <c r="Z541" s="15" t="s">
        <v>600</v>
      </c>
      <c r="AA541" s="19" t="str">
        <f aca="false">HYPERLINK("https://www.transfermarkt.com/schnellsuche/ergebnis/schnellsuche?query="&amp;SUBSTITUTE(A541," ","+"),"Search Transfermarkt")</f>
        <v>Search Transfermarkt</v>
      </c>
    </row>
    <row r="542" customFormat="false" ht="23.85" hidden="false" customHeight="false" outlineLevel="0" collapsed="false">
      <c r="A542" s="15" t="s">
        <v>1815</v>
      </c>
      <c r="B542" s="15" t="s">
        <v>73</v>
      </c>
      <c r="C542" s="15" t="s">
        <v>168</v>
      </c>
      <c r="D542" s="15" t="n">
        <v>2</v>
      </c>
      <c r="E542" s="15" t="s">
        <v>662</v>
      </c>
      <c r="F542" s="15" t="s">
        <v>170</v>
      </c>
      <c r="G542" s="15" t="n">
        <v>25</v>
      </c>
      <c r="H542" s="15" t="n">
        <v>1266</v>
      </c>
      <c r="I542" s="15" t="n">
        <v>5</v>
      </c>
      <c r="J542" s="15" t="n">
        <v>13</v>
      </c>
      <c r="K542" s="15" t="n">
        <v>108</v>
      </c>
      <c r="L542" s="15" t="n">
        <v>73</v>
      </c>
      <c r="M542" s="15" t="n">
        <v>34</v>
      </c>
      <c r="N542" s="15" t="n">
        <v>0</v>
      </c>
      <c r="O542" s="15" t="n">
        <v>0</v>
      </c>
      <c r="P542" s="16" t="n">
        <v>0</v>
      </c>
      <c r="Q542" s="15" t="n">
        <v>0</v>
      </c>
      <c r="R542" s="15" t="n">
        <v>0</v>
      </c>
      <c r="S542" s="17" t="n">
        <v>0</v>
      </c>
      <c r="T542" s="15" t="s">
        <v>137</v>
      </c>
      <c r="U542" s="15" t="n">
        <v>2026</v>
      </c>
      <c r="V542" s="15" t="s">
        <v>663</v>
      </c>
      <c r="W542" s="18" t="s">
        <v>139</v>
      </c>
      <c r="X542" s="18" t="s">
        <v>172</v>
      </c>
      <c r="Y542" s="15" t="s">
        <v>600</v>
      </c>
      <c r="Z542" s="15" t="s">
        <v>600</v>
      </c>
      <c r="AA542" s="19" t="str">
        <f aca="false">HYPERLINK("https://www.transfermarkt.com/schnellsuche/ergebnis/schnellsuche?query="&amp;SUBSTITUTE(A542," ","+"),"Search Transfermarkt")</f>
        <v>Search Transfermarkt</v>
      </c>
    </row>
    <row r="543" customFormat="false" ht="23.85" hidden="false" customHeight="false" outlineLevel="0" collapsed="false">
      <c r="A543" s="15" t="s">
        <v>1816</v>
      </c>
      <c r="B543" s="15" t="s">
        <v>87</v>
      </c>
      <c r="C543" s="15" t="s">
        <v>1817</v>
      </c>
      <c r="D543" s="15" t="n">
        <v>2</v>
      </c>
      <c r="E543" s="15" t="s">
        <v>348</v>
      </c>
      <c r="F543" s="15" t="s">
        <v>163</v>
      </c>
      <c r="G543" s="15" t="n">
        <v>20</v>
      </c>
      <c r="H543" s="15" t="n">
        <v>992</v>
      </c>
      <c r="I543" s="15" t="n">
        <v>20</v>
      </c>
      <c r="J543" s="15" t="n">
        <v>3</v>
      </c>
      <c r="K543" s="15" t="n">
        <v>59</v>
      </c>
      <c r="L543" s="15" t="n">
        <v>81</v>
      </c>
      <c r="M543" s="15" t="n">
        <v>15</v>
      </c>
      <c r="N543" s="15" t="n">
        <v>0</v>
      </c>
      <c r="O543" s="15" t="n">
        <v>0</v>
      </c>
      <c r="P543" s="16" t="n">
        <v>0</v>
      </c>
      <c r="Q543" s="15" t="n">
        <v>0</v>
      </c>
      <c r="R543" s="15" t="n">
        <v>0</v>
      </c>
      <c r="S543" s="17" t="n">
        <v>26727</v>
      </c>
      <c r="T543" s="15" t="s">
        <v>186</v>
      </c>
      <c r="U543" s="15" t="n">
        <v>2026</v>
      </c>
      <c r="V543" s="15" t="s">
        <v>349</v>
      </c>
      <c r="W543" s="18" t="s">
        <v>188</v>
      </c>
      <c r="X543" s="18" t="s">
        <v>341</v>
      </c>
      <c r="Y543" s="15" t="s">
        <v>600</v>
      </c>
      <c r="Z543" s="15" t="s">
        <v>600</v>
      </c>
      <c r="AA543" s="19" t="str">
        <f aca="false">HYPERLINK("https://www.transfermarkt.com/schnellsuche/ergebnis/schnellsuche?query="&amp;SUBSTITUTE(A543," ","+"),"Search Transfermarkt")</f>
        <v>Search Transfermarkt</v>
      </c>
    </row>
    <row r="544" customFormat="false" ht="23.85" hidden="false" customHeight="false" outlineLevel="0" collapsed="false">
      <c r="A544" s="15" t="s">
        <v>1818</v>
      </c>
      <c r="B544" s="15" t="s">
        <v>77</v>
      </c>
      <c r="C544" s="15" t="s">
        <v>355</v>
      </c>
      <c r="D544" s="15" t="n">
        <v>2</v>
      </c>
      <c r="E544" s="15" t="s">
        <v>1819</v>
      </c>
      <c r="F544" s="15" t="s">
        <v>170</v>
      </c>
      <c r="G544" s="15" t="n">
        <v>22</v>
      </c>
      <c r="H544" s="15" t="n">
        <v>1810</v>
      </c>
      <c r="I544" s="15" t="n">
        <v>9</v>
      </c>
      <c r="J544" s="15" t="n">
        <v>6</v>
      </c>
      <c r="K544" s="15" t="n">
        <v>164</v>
      </c>
      <c r="L544" s="15" t="n">
        <v>86</v>
      </c>
      <c r="M544" s="15" t="n">
        <v>40</v>
      </c>
      <c r="N544" s="15" t="n">
        <v>0</v>
      </c>
      <c r="O544" s="15" t="n">
        <v>0</v>
      </c>
      <c r="P544" s="16" t="n">
        <v>0</v>
      </c>
      <c r="Q544" s="15" t="n">
        <v>0</v>
      </c>
      <c r="R544" s="15" t="n">
        <v>0</v>
      </c>
      <c r="S544" s="17" t="n">
        <v>94016</v>
      </c>
      <c r="T544" s="15" t="s">
        <v>186</v>
      </c>
      <c r="U544" s="15" t="n">
        <v>2026</v>
      </c>
      <c r="V544" s="15" t="s">
        <v>1820</v>
      </c>
      <c r="W544" s="18" t="s">
        <v>188</v>
      </c>
      <c r="X544" s="18" t="s">
        <v>358</v>
      </c>
      <c r="Y544" s="15" t="s">
        <v>600</v>
      </c>
      <c r="Z544" s="15" t="s">
        <v>600</v>
      </c>
      <c r="AA544" s="19" t="str">
        <f aca="false">HYPERLINK("https://www.transfermarkt.com/schnellsuche/ergebnis/schnellsuche?query="&amp;SUBSTITUTE(A544," ","+"),"Search Transfermarkt")</f>
        <v>Search Transfermarkt</v>
      </c>
    </row>
    <row r="545" customFormat="false" ht="23.85" hidden="false" customHeight="false" outlineLevel="0" collapsed="false">
      <c r="A545" s="15" t="s">
        <v>1821</v>
      </c>
      <c r="B545" s="15" t="s">
        <v>83</v>
      </c>
      <c r="C545" s="15" t="s">
        <v>1822</v>
      </c>
      <c r="D545" s="15" t="n">
        <v>2</v>
      </c>
      <c r="E545" s="15" t="s">
        <v>1461</v>
      </c>
      <c r="F545" s="15" t="s">
        <v>170</v>
      </c>
      <c r="G545" s="15" t="n">
        <v>22</v>
      </c>
      <c r="H545" s="15" t="n">
        <v>1521</v>
      </c>
      <c r="I545" s="15" t="n">
        <v>6</v>
      </c>
      <c r="J545" s="15" t="n">
        <v>11</v>
      </c>
      <c r="K545" s="15" t="n">
        <v>151</v>
      </c>
      <c r="L545" s="15" t="n">
        <v>74</v>
      </c>
      <c r="M545" s="15" t="n">
        <v>46</v>
      </c>
      <c r="N545" s="15" t="n">
        <v>0</v>
      </c>
      <c r="O545" s="15" t="n">
        <v>0</v>
      </c>
      <c r="P545" s="16" t="n">
        <v>0</v>
      </c>
      <c r="Q545" s="15" t="n">
        <v>0</v>
      </c>
      <c r="R545" s="15" t="n">
        <v>0</v>
      </c>
      <c r="S545" s="17" t="n">
        <v>114443</v>
      </c>
      <c r="T545" s="15" t="s">
        <v>186</v>
      </c>
      <c r="U545" s="15" t="n">
        <v>2029</v>
      </c>
      <c r="V545" s="15" t="s">
        <v>1462</v>
      </c>
      <c r="W545" s="18" t="s">
        <v>188</v>
      </c>
      <c r="X545" s="18" t="s">
        <v>379</v>
      </c>
      <c r="Y545" s="15" t="s">
        <v>600</v>
      </c>
      <c r="Z545" s="15" t="s">
        <v>600</v>
      </c>
      <c r="AA545" s="19" t="str">
        <f aca="false">HYPERLINK("https://www.transfermarkt.com/schnellsuche/ergebnis/schnellsuche?query="&amp;SUBSTITUTE(A545," ","+"),"Search Transfermarkt")</f>
        <v>Search Transfermarkt</v>
      </c>
    </row>
    <row r="546" customFormat="false" ht="23.85" hidden="false" customHeight="false" outlineLevel="0" collapsed="false">
      <c r="A546" s="15" t="s">
        <v>1823</v>
      </c>
      <c r="B546" s="15" t="s">
        <v>77</v>
      </c>
      <c r="C546" s="15" t="s">
        <v>544</v>
      </c>
      <c r="D546" s="15" t="n">
        <v>2</v>
      </c>
      <c r="E546" s="15" t="s">
        <v>1824</v>
      </c>
      <c r="F546" s="15" t="s">
        <v>163</v>
      </c>
      <c r="G546" s="15" t="n">
        <v>20</v>
      </c>
      <c r="H546" s="15" t="n">
        <v>1652</v>
      </c>
      <c r="I546" s="15" t="n">
        <v>19</v>
      </c>
      <c r="J546" s="15" t="n">
        <v>6</v>
      </c>
      <c r="K546" s="15" t="n">
        <v>68</v>
      </c>
      <c r="L546" s="15" t="n">
        <v>75</v>
      </c>
      <c r="M546" s="15" t="n">
        <v>4</v>
      </c>
      <c r="N546" s="15" t="n">
        <v>0</v>
      </c>
      <c r="O546" s="15" t="n">
        <v>0</v>
      </c>
      <c r="P546" s="16" t="n">
        <v>0</v>
      </c>
      <c r="Q546" s="15" t="n">
        <v>0</v>
      </c>
      <c r="R546" s="15" t="n">
        <v>0</v>
      </c>
      <c r="S546" s="17" t="n">
        <v>0</v>
      </c>
      <c r="T546" s="15" t="s">
        <v>137</v>
      </c>
      <c r="U546" s="15" t="n">
        <v>2027</v>
      </c>
      <c r="V546" s="15" t="s">
        <v>1825</v>
      </c>
      <c r="W546" s="18" t="s">
        <v>139</v>
      </c>
      <c r="X546" s="18" t="s">
        <v>358</v>
      </c>
      <c r="Y546" s="15" t="s">
        <v>600</v>
      </c>
      <c r="Z546" s="15" t="s">
        <v>600</v>
      </c>
      <c r="AA546" s="19" t="str">
        <f aca="false">HYPERLINK("https://www.transfermarkt.com/schnellsuche/ergebnis/schnellsuche?query="&amp;SUBSTITUTE(A546," ","+"),"Search Transfermarkt")</f>
        <v>Search Transfermarkt</v>
      </c>
    </row>
    <row r="547" customFormat="false" ht="23.85" hidden="false" customHeight="false" outlineLevel="0" collapsed="false">
      <c r="A547" s="15" t="s">
        <v>1826</v>
      </c>
      <c r="B547" s="15" t="s">
        <v>66</v>
      </c>
      <c r="C547" s="15" t="s">
        <v>389</v>
      </c>
      <c r="D547" s="15" t="n">
        <v>3</v>
      </c>
      <c r="E547" s="15" t="s">
        <v>1827</v>
      </c>
      <c r="F547" s="15" t="s">
        <v>157</v>
      </c>
      <c r="G547" s="15" t="n">
        <v>25</v>
      </c>
      <c r="H547" s="15" t="n">
        <v>1165</v>
      </c>
      <c r="I547" s="15" t="n">
        <v>0</v>
      </c>
      <c r="J547" s="15" t="n">
        <v>0</v>
      </c>
      <c r="K547" s="15" t="n">
        <v>19</v>
      </c>
      <c r="L547" s="15" t="n">
        <v>3</v>
      </c>
      <c r="M547" s="15" t="n">
        <v>4</v>
      </c>
      <c r="N547" s="15" t="n">
        <v>45</v>
      </c>
      <c r="O547" s="15" t="n">
        <v>16</v>
      </c>
      <c r="P547" s="16" t="n">
        <v>88.4</v>
      </c>
      <c r="Q547" s="15" t="n">
        <v>10.7</v>
      </c>
      <c r="R547" s="15" t="n">
        <v>3</v>
      </c>
      <c r="S547" s="17" t="n">
        <v>0</v>
      </c>
      <c r="T547" s="15" t="s">
        <v>137</v>
      </c>
      <c r="U547" s="15" t="n">
        <v>2027</v>
      </c>
      <c r="V547" s="15" t="s">
        <v>1828</v>
      </c>
      <c r="W547" s="18" t="s">
        <v>139</v>
      </c>
      <c r="X547" s="18" t="s">
        <v>182</v>
      </c>
      <c r="Y547" s="15" t="s">
        <v>600</v>
      </c>
      <c r="Z547" s="15" t="s">
        <v>600</v>
      </c>
      <c r="AA547" s="19" t="str">
        <f aca="false">HYPERLINK("https://www.transfermarkt.com/schnellsuche/ergebnis/schnellsuche?query="&amp;SUBSTITUTE(A547," ","+"),"Search Transfermarkt")</f>
        <v>Search Transfermarkt</v>
      </c>
    </row>
    <row r="548" customFormat="false" ht="23.85" hidden="false" customHeight="false" outlineLevel="0" collapsed="false">
      <c r="A548" s="15" t="s">
        <v>1829</v>
      </c>
      <c r="B548" s="15" t="s">
        <v>90</v>
      </c>
      <c r="C548" s="15" t="s">
        <v>1830</v>
      </c>
      <c r="D548" s="15" t="n">
        <v>2</v>
      </c>
      <c r="E548" s="15" t="s">
        <v>1162</v>
      </c>
      <c r="F548" s="15" t="s">
        <v>170</v>
      </c>
      <c r="G548" s="15" t="n">
        <v>19</v>
      </c>
      <c r="H548" s="15" t="n">
        <v>1290</v>
      </c>
      <c r="I548" s="15" t="n">
        <v>9</v>
      </c>
      <c r="J548" s="15" t="n">
        <v>8</v>
      </c>
      <c r="K548" s="15" t="n">
        <v>168</v>
      </c>
      <c r="L548" s="15" t="n">
        <v>98</v>
      </c>
      <c r="M548" s="15" t="n">
        <v>49</v>
      </c>
      <c r="N548" s="15" t="n">
        <v>0</v>
      </c>
      <c r="O548" s="15" t="n">
        <v>0</v>
      </c>
      <c r="P548" s="16" t="n">
        <v>0</v>
      </c>
      <c r="Q548" s="15" t="n">
        <v>0</v>
      </c>
      <c r="R548" s="15" t="n">
        <v>0</v>
      </c>
      <c r="S548" s="17" t="n">
        <v>0</v>
      </c>
      <c r="T548" s="15" t="s">
        <v>137</v>
      </c>
      <c r="U548" s="15" t="n">
        <v>2027</v>
      </c>
      <c r="V548" s="15" t="s">
        <v>1163</v>
      </c>
      <c r="W548" s="18" t="s">
        <v>139</v>
      </c>
      <c r="X548" s="18" t="s">
        <v>288</v>
      </c>
      <c r="Y548" s="15" t="s">
        <v>600</v>
      </c>
      <c r="Z548" s="15" t="s">
        <v>600</v>
      </c>
      <c r="AA548" s="19" t="str">
        <f aca="false">HYPERLINK("https://www.transfermarkt.com/schnellsuche/ergebnis/schnellsuche?query="&amp;SUBSTITUTE(A548," ","+"),"Search Transfermarkt")</f>
        <v>Search Transfermarkt</v>
      </c>
    </row>
    <row r="549" customFormat="false" ht="23.85" hidden="false" customHeight="false" outlineLevel="0" collapsed="false">
      <c r="A549" s="15" t="s">
        <v>1831</v>
      </c>
      <c r="B549" s="15" t="s">
        <v>69</v>
      </c>
      <c r="C549" s="15" t="s">
        <v>426</v>
      </c>
      <c r="D549" s="15" t="n">
        <v>2</v>
      </c>
      <c r="E549" s="15" t="s">
        <v>1832</v>
      </c>
      <c r="F549" s="15" t="s">
        <v>136</v>
      </c>
      <c r="G549" s="15" t="n">
        <v>18</v>
      </c>
      <c r="H549" s="15" t="n">
        <v>2043</v>
      </c>
      <c r="I549" s="15" t="n">
        <v>1</v>
      </c>
      <c r="J549" s="15" t="n">
        <v>3</v>
      </c>
      <c r="K549" s="15" t="n">
        <v>41</v>
      </c>
      <c r="L549" s="15" t="n">
        <v>32</v>
      </c>
      <c r="M549" s="15" t="n">
        <v>78</v>
      </c>
      <c r="N549" s="15" t="n">
        <v>0</v>
      </c>
      <c r="O549" s="15" t="n">
        <v>0</v>
      </c>
      <c r="P549" s="16" t="n">
        <v>0</v>
      </c>
      <c r="Q549" s="15" t="n">
        <v>0</v>
      </c>
      <c r="R549" s="15" t="n">
        <v>0</v>
      </c>
      <c r="S549" s="17" t="n">
        <v>59207</v>
      </c>
      <c r="T549" s="15" t="s">
        <v>137</v>
      </c>
      <c r="U549" s="15" t="n">
        <v>2029</v>
      </c>
      <c r="V549" s="15" t="s">
        <v>1833</v>
      </c>
      <c r="W549" s="18" t="s">
        <v>139</v>
      </c>
      <c r="X549" s="18" t="s">
        <v>140</v>
      </c>
      <c r="Y549" s="15" t="s">
        <v>600</v>
      </c>
      <c r="Z549" s="15" t="s">
        <v>600</v>
      </c>
      <c r="AA549" s="19" t="str">
        <f aca="false">HYPERLINK("https://www.transfermarkt.com/schnellsuche/ergebnis/schnellsuche?query="&amp;SUBSTITUTE(A549," ","+"),"Search Transfermarkt")</f>
        <v>Search Transfermarkt</v>
      </c>
    </row>
    <row r="550" customFormat="false" ht="23.85" hidden="false" customHeight="false" outlineLevel="0" collapsed="false">
      <c r="A550" s="15" t="s">
        <v>1834</v>
      </c>
      <c r="B550" s="15" t="s">
        <v>90</v>
      </c>
      <c r="C550" s="15" t="s">
        <v>418</v>
      </c>
      <c r="D550" s="15" t="n">
        <v>3</v>
      </c>
      <c r="E550" s="15" t="s">
        <v>1835</v>
      </c>
      <c r="F550" s="15" t="s">
        <v>157</v>
      </c>
      <c r="G550" s="15" t="n">
        <v>26</v>
      </c>
      <c r="H550" s="15" t="n">
        <v>2357</v>
      </c>
      <c r="I550" s="15" t="n">
        <v>0</v>
      </c>
      <c r="J550" s="15" t="n">
        <v>0</v>
      </c>
      <c r="K550" s="15" t="n">
        <v>8</v>
      </c>
      <c r="L550" s="15" t="n">
        <v>1</v>
      </c>
      <c r="M550" s="15" t="n">
        <v>5</v>
      </c>
      <c r="N550" s="15" t="n">
        <v>85</v>
      </c>
      <c r="O550" s="15" t="n">
        <v>40</v>
      </c>
      <c r="P550" s="16" t="n">
        <v>70.1</v>
      </c>
      <c r="Q550" s="15" t="n">
        <v>10.5</v>
      </c>
      <c r="R550" s="15" t="n">
        <v>7</v>
      </c>
      <c r="S550" s="17" t="n">
        <v>108800</v>
      </c>
      <c r="T550" s="15" t="s">
        <v>164</v>
      </c>
      <c r="U550" s="15" t="n">
        <v>2026</v>
      </c>
      <c r="V550" s="15" t="s">
        <v>1836</v>
      </c>
      <c r="W550" s="18" t="s">
        <v>139</v>
      </c>
      <c r="X550" s="18" t="s">
        <v>288</v>
      </c>
      <c r="Y550" s="15" t="s">
        <v>600</v>
      </c>
      <c r="Z550" s="15" t="s">
        <v>600</v>
      </c>
      <c r="AA550" s="19" t="str">
        <f aca="false">HYPERLINK("https://www.transfermarkt.com/schnellsuche/ergebnis/schnellsuche?query="&amp;SUBSTITUTE(A550," ","+"),"Search Transfermarkt")</f>
        <v>Search Transfermarkt</v>
      </c>
    </row>
    <row r="551" customFormat="false" ht="23.85" hidden="false" customHeight="false" outlineLevel="0" collapsed="false">
      <c r="A551" s="15" t="s">
        <v>1837</v>
      </c>
      <c r="B551" s="15" t="s">
        <v>66</v>
      </c>
      <c r="C551" s="15" t="s">
        <v>1283</v>
      </c>
      <c r="D551" s="15" t="n">
        <v>4</v>
      </c>
      <c r="E551" s="15" t="s">
        <v>1838</v>
      </c>
      <c r="F551" s="15" t="s">
        <v>136</v>
      </c>
      <c r="G551" s="15" t="n">
        <v>23</v>
      </c>
      <c r="H551" s="15" t="n">
        <v>2212</v>
      </c>
      <c r="I551" s="15" t="n">
        <v>0</v>
      </c>
      <c r="J551" s="15" t="n">
        <v>2</v>
      </c>
      <c r="K551" s="15" t="n">
        <v>67</v>
      </c>
      <c r="L551" s="15" t="n">
        <v>42</v>
      </c>
      <c r="M551" s="15" t="n">
        <v>111</v>
      </c>
      <c r="N551" s="15" t="n">
        <v>0</v>
      </c>
      <c r="O551" s="15" t="n">
        <v>0</v>
      </c>
      <c r="P551" s="16" t="n">
        <v>0</v>
      </c>
      <c r="Q551" s="15" t="n">
        <v>0</v>
      </c>
      <c r="R551" s="15" t="n">
        <v>0</v>
      </c>
      <c r="S551" s="17" t="n">
        <v>15026</v>
      </c>
      <c r="T551" s="15" t="s">
        <v>137</v>
      </c>
      <c r="U551" s="15" t="n">
        <v>2026</v>
      </c>
      <c r="V551" s="15" t="s">
        <v>1839</v>
      </c>
      <c r="W551" s="18" t="s">
        <v>139</v>
      </c>
      <c r="X551" s="18" t="s">
        <v>182</v>
      </c>
      <c r="Y551" s="15" t="s">
        <v>600</v>
      </c>
      <c r="Z551" s="15" t="s">
        <v>600</v>
      </c>
      <c r="AA551" s="19" t="str">
        <f aca="false">HYPERLINK("https://www.transfermarkt.com/schnellsuche/ergebnis/schnellsuche?query="&amp;SUBSTITUTE(A551," ","+"),"Search Transfermarkt")</f>
        <v>Search Transfermarkt</v>
      </c>
    </row>
    <row r="552" customFormat="false" ht="23.85" hidden="false" customHeight="false" outlineLevel="0" collapsed="false">
      <c r="A552" s="15" t="s">
        <v>1840</v>
      </c>
      <c r="B552" s="15" t="s">
        <v>86</v>
      </c>
      <c r="C552" s="15" t="s">
        <v>1459</v>
      </c>
      <c r="D552" s="15" t="n">
        <v>2</v>
      </c>
      <c r="E552" s="15" t="s">
        <v>529</v>
      </c>
      <c r="F552" s="15" t="s">
        <v>170</v>
      </c>
      <c r="G552" s="15" t="n">
        <v>23</v>
      </c>
      <c r="H552" s="15" t="n">
        <v>2199</v>
      </c>
      <c r="I552" s="15" t="n">
        <v>4</v>
      </c>
      <c r="J552" s="15" t="n">
        <v>8</v>
      </c>
      <c r="K552" s="15" t="n">
        <v>153</v>
      </c>
      <c r="L552" s="15" t="n">
        <v>97</v>
      </c>
      <c r="M552" s="15" t="n">
        <v>28</v>
      </c>
      <c r="N552" s="15" t="n">
        <v>0</v>
      </c>
      <c r="O552" s="15" t="n">
        <v>0</v>
      </c>
      <c r="P552" s="16" t="n">
        <v>0</v>
      </c>
      <c r="Q552" s="15" t="n">
        <v>0</v>
      </c>
      <c r="R552" s="15" t="n">
        <v>0</v>
      </c>
      <c r="S552" s="17" t="n">
        <v>45323</v>
      </c>
      <c r="T552" s="15" t="s">
        <v>137</v>
      </c>
      <c r="U552" s="15" t="n">
        <v>2026</v>
      </c>
      <c r="V552" s="15" t="s">
        <v>530</v>
      </c>
      <c r="W552" s="18" t="s">
        <v>139</v>
      </c>
      <c r="X552" s="18" t="s">
        <v>473</v>
      </c>
      <c r="Y552" s="15" t="s">
        <v>600</v>
      </c>
      <c r="Z552" s="15" t="s">
        <v>600</v>
      </c>
      <c r="AA552" s="19" t="str">
        <f aca="false">HYPERLINK("https://www.transfermarkt.com/schnellsuche/ergebnis/schnellsuche?query="&amp;SUBSTITUTE(A552," ","+"),"Search Transfermarkt")</f>
        <v>Search Transfermarkt</v>
      </c>
    </row>
    <row r="553" customFormat="false" ht="23.85" hidden="false" customHeight="false" outlineLevel="0" collapsed="false">
      <c r="A553" s="15" t="s">
        <v>1841</v>
      </c>
      <c r="B553" s="15" t="s">
        <v>88</v>
      </c>
      <c r="C553" s="15" t="s">
        <v>317</v>
      </c>
      <c r="D553" s="15" t="n">
        <v>4</v>
      </c>
      <c r="E553" s="15" t="s">
        <v>1842</v>
      </c>
      <c r="F553" s="15" t="s">
        <v>136</v>
      </c>
      <c r="G553" s="15" t="n">
        <v>17</v>
      </c>
      <c r="H553" s="15" t="n">
        <v>1268</v>
      </c>
      <c r="I553" s="15" t="n">
        <v>0</v>
      </c>
      <c r="J553" s="15" t="n">
        <v>2</v>
      </c>
      <c r="K553" s="15" t="n">
        <v>58</v>
      </c>
      <c r="L553" s="15" t="n">
        <v>46</v>
      </c>
      <c r="M553" s="15" t="n">
        <v>111</v>
      </c>
      <c r="N553" s="15" t="n">
        <v>0</v>
      </c>
      <c r="O553" s="15" t="n">
        <v>0</v>
      </c>
      <c r="P553" s="16" t="n">
        <v>0</v>
      </c>
      <c r="Q553" s="15" t="n">
        <v>0</v>
      </c>
      <c r="R553" s="15" t="n">
        <v>0</v>
      </c>
      <c r="S553" s="17" t="n">
        <v>97217</v>
      </c>
      <c r="T553" s="15" t="s">
        <v>137</v>
      </c>
      <c r="U553" s="15" t="n">
        <v>2027</v>
      </c>
      <c r="V553" s="15" t="s">
        <v>1843</v>
      </c>
      <c r="W553" s="18" t="s">
        <v>147</v>
      </c>
      <c r="X553" s="18" t="s">
        <v>320</v>
      </c>
      <c r="Y553" s="15" t="s">
        <v>600</v>
      </c>
      <c r="Z553" s="15" t="s">
        <v>600</v>
      </c>
      <c r="AA553" s="19" t="str">
        <f aca="false">HYPERLINK("https://www.transfermarkt.com/schnellsuche/ergebnis/schnellsuche?query="&amp;SUBSTITUTE(A553," ","+"),"Search Transfermarkt")</f>
        <v>Search Transfermarkt</v>
      </c>
    </row>
    <row r="554" customFormat="false" ht="23.85" hidden="false" customHeight="false" outlineLevel="0" collapsed="false">
      <c r="A554" s="15" t="s">
        <v>1844</v>
      </c>
      <c r="B554" s="15" t="s">
        <v>76</v>
      </c>
      <c r="C554" s="15" t="s">
        <v>1845</v>
      </c>
      <c r="D554" s="15" t="n">
        <v>2</v>
      </c>
      <c r="E554" s="15" t="s">
        <v>1392</v>
      </c>
      <c r="F554" s="15" t="s">
        <v>157</v>
      </c>
      <c r="G554" s="15" t="n">
        <v>18</v>
      </c>
      <c r="H554" s="15" t="n">
        <v>2444</v>
      </c>
      <c r="I554" s="15" t="n">
        <v>0</v>
      </c>
      <c r="J554" s="15" t="n">
        <v>0</v>
      </c>
      <c r="K554" s="15" t="n">
        <v>11</v>
      </c>
      <c r="L554" s="15" t="n">
        <v>3</v>
      </c>
      <c r="M554" s="15" t="n">
        <v>6</v>
      </c>
      <c r="N554" s="15" t="n">
        <v>57</v>
      </c>
      <c r="O554" s="15" t="n">
        <v>56</v>
      </c>
      <c r="P554" s="16" t="n">
        <v>87.9</v>
      </c>
      <c r="Q554" s="15" t="n">
        <v>36.6</v>
      </c>
      <c r="R554" s="15" t="n">
        <v>5</v>
      </c>
      <c r="S554" s="17" t="n">
        <v>146538</v>
      </c>
      <c r="T554" s="15" t="s">
        <v>137</v>
      </c>
      <c r="U554" s="15" t="n">
        <v>2028</v>
      </c>
      <c r="V554" s="15" t="s">
        <v>1393</v>
      </c>
      <c r="W554" s="18" t="s">
        <v>139</v>
      </c>
      <c r="X554" s="18" t="s">
        <v>241</v>
      </c>
      <c r="Y554" s="15" t="s">
        <v>600</v>
      </c>
      <c r="Z554" s="15" t="s">
        <v>600</v>
      </c>
      <c r="AA554" s="19" t="str">
        <f aca="false">HYPERLINK("https://www.transfermarkt.com/schnellsuche/ergebnis/schnellsuche?query="&amp;SUBSTITUTE(A554," ","+"),"Search Transfermarkt")</f>
        <v>Search Transfermarkt</v>
      </c>
    </row>
    <row r="555" customFormat="false" ht="23.85" hidden="false" customHeight="false" outlineLevel="0" collapsed="false">
      <c r="A555" s="15" t="s">
        <v>1846</v>
      </c>
      <c r="B555" s="15" t="s">
        <v>99</v>
      </c>
      <c r="C555" s="15" t="s">
        <v>676</v>
      </c>
      <c r="D555" s="15" t="n">
        <v>2</v>
      </c>
      <c r="E555" s="15" t="s">
        <v>1540</v>
      </c>
      <c r="F555" s="15" t="s">
        <v>163</v>
      </c>
      <c r="G555" s="15" t="n">
        <v>26</v>
      </c>
      <c r="H555" s="15" t="n">
        <v>1914</v>
      </c>
      <c r="I555" s="15" t="n">
        <v>20</v>
      </c>
      <c r="J555" s="15" t="n">
        <v>4</v>
      </c>
      <c r="K555" s="15" t="n">
        <v>58</v>
      </c>
      <c r="L555" s="15" t="n">
        <v>63</v>
      </c>
      <c r="M555" s="15" t="n">
        <v>4</v>
      </c>
      <c r="N555" s="15" t="n">
        <v>0</v>
      </c>
      <c r="O555" s="15" t="n">
        <v>0</v>
      </c>
      <c r="P555" s="16" t="n">
        <v>0</v>
      </c>
      <c r="Q555" s="15" t="n">
        <v>0</v>
      </c>
      <c r="R555" s="15" t="n">
        <v>0</v>
      </c>
      <c r="S555" s="17" t="n">
        <v>68929</v>
      </c>
      <c r="T555" s="15" t="s">
        <v>137</v>
      </c>
      <c r="U555" s="15" t="n">
        <v>2027</v>
      </c>
      <c r="V555" s="15" t="s">
        <v>1541</v>
      </c>
      <c r="W555" s="18" t="s">
        <v>139</v>
      </c>
      <c r="X555" s="18" t="s">
        <v>189</v>
      </c>
      <c r="Y555" s="15" t="s">
        <v>600</v>
      </c>
      <c r="Z555" s="15" t="s">
        <v>600</v>
      </c>
      <c r="AA555" s="19" t="str">
        <f aca="false">HYPERLINK("https://www.transfermarkt.com/schnellsuche/ergebnis/schnellsuche?query="&amp;SUBSTITUTE(A555," ","+"),"Search Transfermarkt")</f>
        <v>Search Transfermarkt</v>
      </c>
    </row>
    <row r="556" customFormat="false" ht="23.85" hidden="false" customHeight="false" outlineLevel="0" collapsed="false">
      <c r="A556" s="15" t="s">
        <v>1847</v>
      </c>
      <c r="B556" s="15" t="s">
        <v>83</v>
      </c>
      <c r="C556" s="15" t="s">
        <v>434</v>
      </c>
      <c r="D556" s="15" t="n">
        <v>3</v>
      </c>
      <c r="E556" s="15" t="s">
        <v>1848</v>
      </c>
      <c r="F556" s="15" t="s">
        <v>170</v>
      </c>
      <c r="G556" s="15" t="n">
        <v>21</v>
      </c>
      <c r="H556" s="15" t="n">
        <v>1121</v>
      </c>
      <c r="I556" s="15" t="n">
        <v>6</v>
      </c>
      <c r="J556" s="15" t="n">
        <v>7</v>
      </c>
      <c r="K556" s="15" t="n">
        <v>157</v>
      </c>
      <c r="L556" s="15" t="n">
        <v>82</v>
      </c>
      <c r="M556" s="15" t="n">
        <v>47</v>
      </c>
      <c r="N556" s="15" t="n">
        <v>0</v>
      </c>
      <c r="O556" s="15" t="n">
        <v>0</v>
      </c>
      <c r="P556" s="16" t="n">
        <v>0</v>
      </c>
      <c r="Q556" s="15" t="n">
        <v>0</v>
      </c>
      <c r="R556" s="15" t="n">
        <v>0</v>
      </c>
      <c r="S556" s="17" t="n">
        <v>149564</v>
      </c>
      <c r="T556" s="15" t="s">
        <v>137</v>
      </c>
      <c r="U556" s="15" t="n">
        <v>2026</v>
      </c>
      <c r="V556" s="15" t="s">
        <v>1849</v>
      </c>
      <c r="W556" s="18" t="s">
        <v>139</v>
      </c>
      <c r="X556" s="18" t="s">
        <v>379</v>
      </c>
      <c r="Y556" s="15" t="s">
        <v>600</v>
      </c>
      <c r="Z556" s="15" t="s">
        <v>600</v>
      </c>
      <c r="AA556" s="19" t="str">
        <f aca="false">HYPERLINK("https://www.transfermarkt.com/schnellsuche/ergebnis/schnellsuche?query="&amp;SUBSTITUTE(A556," ","+"),"Search Transfermarkt")</f>
        <v>Search Transfermarkt</v>
      </c>
    </row>
    <row r="557" customFormat="false" ht="23.85" hidden="false" customHeight="false" outlineLevel="0" collapsed="false">
      <c r="A557" s="15" t="s">
        <v>1850</v>
      </c>
      <c r="B557" s="15" t="s">
        <v>81</v>
      </c>
      <c r="C557" s="15" t="s">
        <v>404</v>
      </c>
      <c r="D557" s="15" t="n">
        <v>3</v>
      </c>
      <c r="E557" s="15" t="s">
        <v>1851</v>
      </c>
      <c r="F557" s="15" t="s">
        <v>136</v>
      </c>
      <c r="G557" s="15" t="n">
        <v>17</v>
      </c>
      <c r="H557" s="15" t="n">
        <v>1807</v>
      </c>
      <c r="I557" s="15" t="n">
        <v>2</v>
      </c>
      <c r="J557" s="15" t="n">
        <v>4</v>
      </c>
      <c r="K557" s="15" t="n">
        <v>47</v>
      </c>
      <c r="L557" s="15" t="n">
        <v>22</v>
      </c>
      <c r="M557" s="15" t="n">
        <v>87</v>
      </c>
      <c r="N557" s="15" t="n">
        <v>0</v>
      </c>
      <c r="O557" s="15" t="n">
        <v>0</v>
      </c>
      <c r="P557" s="16" t="n">
        <v>0</v>
      </c>
      <c r="Q557" s="15" t="n">
        <v>0</v>
      </c>
      <c r="R557" s="15" t="n">
        <v>0</v>
      </c>
      <c r="S557" s="17" t="n">
        <v>0</v>
      </c>
      <c r="T557" s="15" t="s">
        <v>137</v>
      </c>
      <c r="U557" s="15" t="n">
        <v>2028</v>
      </c>
      <c r="V557" s="15" t="s">
        <v>1852</v>
      </c>
      <c r="W557" s="18" t="s">
        <v>147</v>
      </c>
      <c r="X557" s="18" t="s">
        <v>407</v>
      </c>
      <c r="Y557" s="15" t="s">
        <v>600</v>
      </c>
      <c r="Z557" s="15" t="s">
        <v>600</v>
      </c>
      <c r="AA557" s="19" t="str">
        <f aca="false">HYPERLINK("https://www.transfermarkt.com/schnellsuche/ergebnis/schnellsuche?query="&amp;SUBSTITUTE(A557," ","+"),"Search Transfermarkt")</f>
        <v>Search Transfermarkt</v>
      </c>
    </row>
    <row r="558" customFormat="false" ht="23.85" hidden="false" customHeight="false" outlineLevel="0" collapsed="false">
      <c r="A558" s="15" t="s">
        <v>1853</v>
      </c>
      <c r="B558" s="15" t="s">
        <v>102</v>
      </c>
      <c r="C558" s="15" t="s">
        <v>450</v>
      </c>
      <c r="D558" s="15" t="n">
        <v>2</v>
      </c>
      <c r="E558" s="15" t="s">
        <v>973</v>
      </c>
      <c r="F558" s="15" t="s">
        <v>136</v>
      </c>
      <c r="G558" s="15" t="n">
        <v>26</v>
      </c>
      <c r="H558" s="15" t="n">
        <v>2544</v>
      </c>
      <c r="I558" s="15" t="n">
        <v>1</v>
      </c>
      <c r="J558" s="15" t="n">
        <v>4</v>
      </c>
      <c r="K558" s="15" t="n">
        <v>46</v>
      </c>
      <c r="L558" s="15" t="n">
        <v>43</v>
      </c>
      <c r="M558" s="15" t="n">
        <v>129</v>
      </c>
      <c r="N558" s="15" t="n">
        <v>0</v>
      </c>
      <c r="O558" s="15" t="n">
        <v>0</v>
      </c>
      <c r="P558" s="16" t="n">
        <v>0</v>
      </c>
      <c r="Q558" s="15" t="n">
        <v>0</v>
      </c>
      <c r="R558" s="15" t="n">
        <v>0</v>
      </c>
      <c r="S558" s="17" t="n">
        <v>0</v>
      </c>
      <c r="T558" s="15" t="s">
        <v>186</v>
      </c>
      <c r="U558" s="15" t="n">
        <v>2029</v>
      </c>
      <c r="V558" s="15" t="s">
        <v>974</v>
      </c>
      <c r="W558" s="18" t="s">
        <v>188</v>
      </c>
      <c r="X558" s="18" t="s">
        <v>453</v>
      </c>
      <c r="Y558" s="15" t="s">
        <v>600</v>
      </c>
      <c r="Z558" s="15" t="s">
        <v>600</v>
      </c>
      <c r="AA558" s="19" t="str">
        <f aca="false">HYPERLINK("https://www.transfermarkt.com/schnellsuche/ergebnis/schnellsuche?query="&amp;SUBSTITUTE(A558," ","+"),"Search Transfermarkt")</f>
        <v>Search Transfermarkt</v>
      </c>
    </row>
    <row r="559" customFormat="false" ht="23.85" hidden="false" customHeight="false" outlineLevel="0" collapsed="false">
      <c r="A559" s="15" t="s">
        <v>1854</v>
      </c>
      <c r="B559" s="15" t="s">
        <v>71</v>
      </c>
      <c r="C559" s="15" t="s">
        <v>360</v>
      </c>
      <c r="D559" s="15" t="n">
        <v>2</v>
      </c>
      <c r="E559" s="15" t="s">
        <v>1855</v>
      </c>
      <c r="F559" s="15" t="s">
        <v>157</v>
      </c>
      <c r="G559" s="15" t="n">
        <v>23</v>
      </c>
      <c r="H559" s="15" t="n">
        <v>1820</v>
      </c>
      <c r="I559" s="15" t="n">
        <v>0</v>
      </c>
      <c r="J559" s="15" t="n">
        <v>0</v>
      </c>
      <c r="K559" s="15" t="n">
        <v>8</v>
      </c>
      <c r="L559" s="15" t="n">
        <v>6</v>
      </c>
      <c r="M559" s="15" t="n">
        <v>6</v>
      </c>
      <c r="N559" s="15" t="n">
        <v>42</v>
      </c>
      <c r="O559" s="15" t="n">
        <v>29</v>
      </c>
      <c r="P559" s="16" t="n">
        <v>68</v>
      </c>
      <c r="Q559" s="15" t="n">
        <v>18.4</v>
      </c>
      <c r="R559" s="15" t="n">
        <v>7</v>
      </c>
      <c r="S559" s="17" t="n">
        <v>26073</v>
      </c>
      <c r="T559" s="15" t="s">
        <v>164</v>
      </c>
      <c r="U559" s="15" t="n">
        <v>2027</v>
      </c>
      <c r="V559" s="15" t="s">
        <v>1856</v>
      </c>
      <c r="W559" s="18" t="s">
        <v>139</v>
      </c>
      <c r="X559" s="18" t="s">
        <v>177</v>
      </c>
      <c r="Y559" s="15" t="s">
        <v>600</v>
      </c>
      <c r="Z559" s="15" t="s">
        <v>600</v>
      </c>
      <c r="AA559" s="19" t="str">
        <f aca="false">HYPERLINK("https://www.transfermarkt.com/schnellsuche/ergebnis/schnellsuche?query="&amp;SUBSTITUTE(A559," ","+"),"Search Transfermarkt")</f>
        <v>Search Transfermarkt</v>
      </c>
    </row>
    <row r="560" customFormat="false" ht="23.85" hidden="false" customHeight="false" outlineLevel="0" collapsed="false">
      <c r="A560" s="15" t="s">
        <v>1857</v>
      </c>
      <c r="B560" s="15" t="s">
        <v>82</v>
      </c>
      <c r="C560" s="15" t="s">
        <v>743</v>
      </c>
      <c r="D560" s="15" t="n">
        <v>2</v>
      </c>
      <c r="E560" s="15" t="s">
        <v>1858</v>
      </c>
      <c r="F560" s="15" t="s">
        <v>136</v>
      </c>
      <c r="G560" s="15" t="n">
        <v>23</v>
      </c>
      <c r="H560" s="15" t="n">
        <v>2130</v>
      </c>
      <c r="I560" s="15" t="n">
        <v>2</v>
      </c>
      <c r="J560" s="15" t="n">
        <v>0</v>
      </c>
      <c r="K560" s="15" t="n">
        <v>70</v>
      </c>
      <c r="L560" s="15" t="n">
        <v>48</v>
      </c>
      <c r="M560" s="15" t="n">
        <v>113</v>
      </c>
      <c r="N560" s="15" t="n">
        <v>0</v>
      </c>
      <c r="O560" s="15" t="n">
        <v>0</v>
      </c>
      <c r="P560" s="16" t="n">
        <v>0</v>
      </c>
      <c r="Q560" s="15" t="n">
        <v>0</v>
      </c>
      <c r="R560" s="15" t="n">
        <v>0</v>
      </c>
      <c r="S560" s="17" t="n">
        <v>71379</v>
      </c>
      <c r="T560" s="15" t="s">
        <v>137</v>
      </c>
      <c r="U560" s="15" t="n">
        <v>2029</v>
      </c>
      <c r="V560" s="15" t="s">
        <v>1859</v>
      </c>
      <c r="W560" s="18" t="s">
        <v>139</v>
      </c>
      <c r="X560" s="18" t="s">
        <v>166</v>
      </c>
      <c r="Y560" s="15" t="s">
        <v>600</v>
      </c>
      <c r="Z560" s="15" t="s">
        <v>600</v>
      </c>
      <c r="AA560" s="19" t="str">
        <f aca="false">HYPERLINK("https://www.transfermarkt.com/schnellsuche/ergebnis/schnellsuche?query="&amp;SUBSTITUTE(A560," ","+"),"Search Transfermarkt")</f>
        <v>Search Transfermarkt</v>
      </c>
    </row>
    <row r="561" customFormat="false" ht="23.85" hidden="false" customHeight="false" outlineLevel="0" collapsed="false">
      <c r="A561" s="15" t="s">
        <v>1860</v>
      </c>
      <c r="B561" s="15" t="s">
        <v>100</v>
      </c>
      <c r="C561" s="15" t="s">
        <v>1686</v>
      </c>
      <c r="D561" s="15" t="n">
        <v>2</v>
      </c>
      <c r="E561" s="15" t="s">
        <v>219</v>
      </c>
      <c r="F561" s="15" t="s">
        <v>163</v>
      </c>
      <c r="G561" s="15" t="n">
        <v>23</v>
      </c>
      <c r="H561" s="15" t="n">
        <v>1925</v>
      </c>
      <c r="I561" s="15" t="n">
        <v>16</v>
      </c>
      <c r="J561" s="15" t="n">
        <v>1</v>
      </c>
      <c r="K561" s="15" t="n">
        <v>46</v>
      </c>
      <c r="L561" s="15" t="n">
        <v>62</v>
      </c>
      <c r="M561" s="15" t="n">
        <v>4</v>
      </c>
      <c r="N561" s="15" t="n">
        <v>0</v>
      </c>
      <c r="O561" s="15" t="n">
        <v>0</v>
      </c>
      <c r="P561" s="16" t="n">
        <v>0</v>
      </c>
      <c r="Q561" s="15" t="n">
        <v>0</v>
      </c>
      <c r="R561" s="15" t="n">
        <v>0</v>
      </c>
      <c r="S561" s="17" t="n">
        <v>147610</v>
      </c>
      <c r="T561" s="15" t="s">
        <v>164</v>
      </c>
      <c r="U561" s="15" t="n">
        <v>2027</v>
      </c>
      <c r="V561" s="15" t="s">
        <v>220</v>
      </c>
      <c r="W561" s="18" t="s">
        <v>139</v>
      </c>
      <c r="X561" s="18" t="s">
        <v>221</v>
      </c>
      <c r="Y561" s="15" t="s">
        <v>600</v>
      </c>
      <c r="Z561" s="15" t="s">
        <v>600</v>
      </c>
      <c r="AA561" s="19" t="str">
        <f aca="false">HYPERLINK("https://www.transfermarkt.com/schnellsuche/ergebnis/schnellsuche?query="&amp;SUBSTITUTE(A561," ","+"),"Search Transfermarkt")</f>
        <v>Search Transfermarkt</v>
      </c>
    </row>
    <row r="562" customFormat="false" ht="23.85" hidden="false" customHeight="false" outlineLevel="0" collapsed="false">
      <c r="A562" s="15" t="s">
        <v>1861</v>
      </c>
      <c r="B562" s="15" t="s">
        <v>102</v>
      </c>
      <c r="C562" s="15" t="s">
        <v>695</v>
      </c>
      <c r="D562" s="15" t="n">
        <v>2</v>
      </c>
      <c r="E562" s="15" t="s">
        <v>1862</v>
      </c>
      <c r="F562" s="15" t="s">
        <v>136</v>
      </c>
      <c r="G562" s="15" t="n">
        <v>23</v>
      </c>
      <c r="H562" s="15" t="n">
        <v>1906</v>
      </c>
      <c r="I562" s="15" t="n">
        <v>3</v>
      </c>
      <c r="J562" s="15" t="n">
        <v>3</v>
      </c>
      <c r="K562" s="15" t="n">
        <v>43</v>
      </c>
      <c r="L562" s="15" t="n">
        <v>33</v>
      </c>
      <c r="M562" s="15" t="n">
        <v>89</v>
      </c>
      <c r="N562" s="15" t="n">
        <v>0</v>
      </c>
      <c r="O562" s="15" t="n">
        <v>0</v>
      </c>
      <c r="P562" s="16" t="n">
        <v>0</v>
      </c>
      <c r="Q562" s="15" t="n">
        <v>0</v>
      </c>
      <c r="R562" s="15" t="n">
        <v>0</v>
      </c>
      <c r="S562" s="17" t="n">
        <v>148711</v>
      </c>
      <c r="T562" s="15" t="s">
        <v>164</v>
      </c>
      <c r="U562" s="15" t="n">
        <v>2028</v>
      </c>
      <c r="V562" s="15" t="s">
        <v>1863</v>
      </c>
      <c r="W562" s="18" t="s">
        <v>139</v>
      </c>
      <c r="X562" s="18" t="s">
        <v>453</v>
      </c>
      <c r="Y562" s="15" t="s">
        <v>600</v>
      </c>
      <c r="Z562" s="15" t="s">
        <v>600</v>
      </c>
      <c r="AA562" s="19" t="str">
        <f aca="false">HYPERLINK("https://www.transfermarkt.com/schnellsuche/ergebnis/schnellsuche?query="&amp;SUBSTITUTE(A562," ","+"),"Search Transfermarkt")</f>
        <v>Search Transfermarkt</v>
      </c>
    </row>
    <row r="563" customFormat="false" ht="23.85" hidden="false" customHeight="false" outlineLevel="0" collapsed="false">
      <c r="A563" s="15" t="s">
        <v>1864</v>
      </c>
      <c r="B563" s="15" t="s">
        <v>96</v>
      </c>
      <c r="C563" s="15" t="s">
        <v>414</v>
      </c>
      <c r="D563" s="15" t="n">
        <v>2</v>
      </c>
      <c r="E563" s="15" t="s">
        <v>1865</v>
      </c>
      <c r="F563" s="15" t="s">
        <v>170</v>
      </c>
      <c r="G563" s="15" t="n">
        <v>24</v>
      </c>
      <c r="H563" s="15" t="n">
        <v>2293</v>
      </c>
      <c r="I563" s="15" t="n">
        <v>7</v>
      </c>
      <c r="J563" s="15" t="n">
        <v>14</v>
      </c>
      <c r="K563" s="15" t="n">
        <v>114</v>
      </c>
      <c r="L563" s="15" t="n">
        <v>78</v>
      </c>
      <c r="M563" s="15" t="n">
        <v>43</v>
      </c>
      <c r="N563" s="15" t="n">
        <v>0</v>
      </c>
      <c r="O563" s="15" t="n">
        <v>0</v>
      </c>
      <c r="P563" s="16" t="n">
        <v>0</v>
      </c>
      <c r="Q563" s="15" t="n">
        <v>0</v>
      </c>
      <c r="R563" s="15" t="n">
        <v>0</v>
      </c>
      <c r="S563" s="17" t="n">
        <v>109916</v>
      </c>
      <c r="T563" s="15" t="s">
        <v>137</v>
      </c>
      <c r="U563" s="15" t="n">
        <v>2026</v>
      </c>
      <c r="V563" s="15" t="s">
        <v>1866</v>
      </c>
      <c r="W563" s="18" t="s">
        <v>139</v>
      </c>
      <c r="X563" s="18" t="s">
        <v>216</v>
      </c>
      <c r="Y563" s="15" t="s">
        <v>600</v>
      </c>
      <c r="Z563" s="15" t="s">
        <v>600</v>
      </c>
      <c r="AA563" s="19" t="str">
        <f aca="false">HYPERLINK("https://www.transfermarkt.com/schnellsuche/ergebnis/schnellsuche?query="&amp;SUBSTITUTE(A563," ","+"),"Search Transfermarkt")</f>
        <v>Search Transfermarkt</v>
      </c>
    </row>
    <row r="564" customFormat="false" ht="23.85" hidden="false" customHeight="false" outlineLevel="0" collapsed="false">
      <c r="A564" s="15" t="s">
        <v>1867</v>
      </c>
      <c r="B564" s="15" t="s">
        <v>104</v>
      </c>
      <c r="C564" s="15" t="s">
        <v>1063</v>
      </c>
      <c r="D564" s="15" t="n">
        <v>3</v>
      </c>
      <c r="E564" s="15" t="s">
        <v>1868</v>
      </c>
      <c r="F564" s="15" t="s">
        <v>136</v>
      </c>
      <c r="G564" s="15" t="n">
        <v>22</v>
      </c>
      <c r="H564" s="15" t="n">
        <v>876</v>
      </c>
      <c r="I564" s="15" t="n">
        <v>0</v>
      </c>
      <c r="J564" s="15" t="n">
        <v>3</v>
      </c>
      <c r="K564" s="15" t="n">
        <v>54</v>
      </c>
      <c r="L564" s="15" t="n">
        <v>25</v>
      </c>
      <c r="M564" s="15" t="n">
        <v>96</v>
      </c>
      <c r="N564" s="15" t="n">
        <v>0</v>
      </c>
      <c r="O564" s="15" t="n">
        <v>0</v>
      </c>
      <c r="P564" s="16" t="n">
        <v>0</v>
      </c>
      <c r="Q564" s="15" t="n">
        <v>0</v>
      </c>
      <c r="R564" s="15" t="n">
        <v>0</v>
      </c>
      <c r="S564" s="17" t="n">
        <v>91551</v>
      </c>
      <c r="T564" s="15" t="s">
        <v>164</v>
      </c>
      <c r="U564" s="15" t="n">
        <v>2028</v>
      </c>
      <c r="V564" s="15" t="s">
        <v>1869</v>
      </c>
      <c r="W564" s="18" t="s">
        <v>139</v>
      </c>
      <c r="X564" s="18" t="s">
        <v>274</v>
      </c>
      <c r="Y564" s="15" t="s">
        <v>600</v>
      </c>
      <c r="Z564" s="15" t="s">
        <v>600</v>
      </c>
      <c r="AA564" s="19" t="str">
        <f aca="false">HYPERLINK("https://www.transfermarkt.com/schnellsuche/ergebnis/schnellsuche?query="&amp;SUBSTITUTE(A564," ","+"),"Search Transfermarkt")</f>
        <v>Search Transfermarkt</v>
      </c>
    </row>
    <row r="565" customFormat="false" ht="23.85" hidden="false" customHeight="false" outlineLevel="0" collapsed="false">
      <c r="A565" s="15" t="s">
        <v>1870</v>
      </c>
      <c r="B565" s="15" t="s">
        <v>67</v>
      </c>
      <c r="C565" s="15" t="s">
        <v>255</v>
      </c>
      <c r="D565" s="15" t="n">
        <v>4</v>
      </c>
      <c r="E565" s="15" t="s">
        <v>1871</v>
      </c>
      <c r="F565" s="15" t="s">
        <v>136</v>
      </c>
      <c r="G565" s="15" t="n">
        <v>17</v>
      </c>
      <c r="H565" s="15" t="n">
        <v>2246</v>
      </c>
      <c r="I565" s="15" t="n">
        <v>2</v>
      </c>
      <c r="J565" s="15" t="n">
        <v>4</v>
      </c>
      <c r="K565" s="15" t="n">
        <v>69</v>
      </c>
      <c r="L565" s="15" t="n">
        <v>38</v>
      </c>
      <c r="M565" s="15" t="n">
        <v>119</v>
      </c>
      <c r="N565" s="15" t="n">
        <v>0</v>
      </c>
      <c r="O565" s="15" t="n">
        <v>0</v>
      </c>
      <c r="P565" s="16" t="n">
        <v>0</v>
      </c>
      <c r="Q565" s="15" t="n">
        <v>0</v>
      </c>
      <c r="R565" s="15" t="n">
        <v>0</v>
      </c>
      <c r="S565" s="17" t="n">
        <v>71654</v>
      </c>
      <c r="T565" s="15" t="s">
        <v>137</v>
      </c>
      <c r="U565" s="15" t="n">
        <v>2027</v>
      </c>
      <c r="V565" s="15" t="s">
        <v>1872</v>
      </c>
      <c r="W565" s="18" t="s">
        <v>147</v>
      </c>
      <c r="X565" s="18" t="s">
        <v>236</v>
      </c>
      <c r="Y565" s="15" t="s">
        <v>600</v>
      </c>
      <c r="Z565" s="15" t="s">
        <v>600</v>
      </c>
      <c r="AA565" s="19" t="str">
        <f aca="false">HYPERLINK("https://www.transfermarkt.com/schnellsuche/ergebnis/schnellsuche?query="&amp;SUBSTITUTE(A565," ","+"),"Search Transfermarkt")</f>
        <v>Search Transfermarkt</v>
      </c>
    </row>
    <row r="566" customFormat="false" ht="23.85" hidden="false" customHeight="false" outlineLevel="0" collapsed="false">
      <c r="A566" s="15" t="s">
        <v>1873</v>
      </c>
      <c r="B566" s="15" t="s">
        <v>73</v>
      </c>
      <c r="C566" s="15" t="s">
        <v>1574</v>
      </c>
      <c r="D566" s="15" t="n">
        <v>3</v>
      </c>
      <c r="E566" s="15" t="s">
        <v>1874</v>
      </c>
      <c r="F566" s="15" t="s">
        <v>157</v>
      </c>
      <c r="G566" s="15" t="n">
        <v>25</v>
      </c>
      <c r="H566" s="15" t="n">
        <v>2180</v>
      </c>
      <c r="I566" s="15" t="n">
        <v>0</v>
      </c>
      <c r="J566" s="15" t="n">
        <v>0</v>
      </c>
      <c r="K566" s="15" t="n">
        <v>13</v>
      </c>
      <c r="L566" s="15" t="n">
        <v>3</v>
      </c>
      <c r="M566" s="15" t="n">
        <v>3</v>
      </c>
      <c r="N566" s="15" t="n">
        <v>73</v>
      </c>
      <c r="O566" s="15" t="n">
        <v>24</v>
      </c>
      <c r="P566" s="16" t="n">
        <v>80</v>
      </c>
      <c r="Q566" s="15" t="n">
        <v>30.7</v>
      </c>
      <c r="R566" s="15" t="n">
        <v>11</v>
      </c>
      <c r="S566" s="17" t="n">
        <v>127318</v>
      </c>
      <c r="T566" s="15" t="s">
        <v>137</v>
      </c>
      <c r="U566" s="15" t="n">
        <v>2028</v>
      </c>
      <c r="V566" s="15" t="s">
        <v>1875</v>
      </c>
      <c r="W566" s="18" t="s">
        <v>139</v>
      </c>
      <c r="X566" s="18" t="s">
        <v>172</v>
      </c>
      <c r="Y566" s="15" t="s">
        <v>600</v>
      </c>
      <c r="Z566" s="15" t="s">
        <v>600</v>
      </c>
      <c r="AA566" s="19" t="str">
        <f aca="false">HYPERLINK("https://www.transfermarkt.com/schnellsuche/ergebnis/schnellsuche?query="&amp;SUBSTITUTE(A566," ","+"),"Search Transfermarkt")</f>
        <v>Search Transfermarkt</v>
      </c>
    </row>
    <row r="567" customFormat="false" ht="23.85" hidden="false" customHeight="false" outlineLevel="0" collapsed="false">
      <c r="A567" s="15" t="s">
        <v>1876</v>
      </c>
      <c r="B567" s="15" t="s">
        <v>80</v>
      </c>
      <c r="C567" s="15" t="s">
        <v>1287</v>
      </c>
      <c r="D567" s="15" t="n">
        <v>3</v>
      </c>
      <c r="E567" s="15" t="s">
        <v>1449</v>
      </c>
      <c r="F567" s="15" t="s">
        <v>163</v>
      </c>
      <c r="G567" s="15" t="n">
        <v>25</v>
      </c>
      <c r="H567" s="15" t="n">
        <v>1877</v>
      </c>
      <c r="I567" s="15" t="n">
        <v>19</v>
      </c>
      <c r="J567" s="15" t="n">
        <v>9</v>
      </c>
      <c r="K567" s="15" t="n">
        <v>36</v>
      </c>
      <c r="L567" s="15" t="n">
        <v>81</v>
      </c>
      <c r="M567" s="15" t="n">
        <v>10</v>
      </c>
      <c r="N567" s="15" t="n">
        <v>0</v>
      </c>
      <c r="O567" s="15" t="n">
        <v>0</v>
      </c>
      <c r="P567" s="16" t="n">
        <v>0</v>
      </c>
      <c r="Q567" s="15" t="n">
        <v>0</v>
      </c>
      <c r="R567" s="15" t="n">
        <v>0</v>
      </c>
      <c r="S567" s="17" t="n">
        <v>31132</v>
      </c>
      <c r="T567" s="15" t="s">
        <v>186</v>
      </c>
      <c r="U567" s="15" t="n">
        <v>2028</v>
      </c>
      <c r="V567" s="15" t="s">
        <v>1450</v>
      </c>
      <c r="W567" s="18" t="s">
        <v>188</v>
      </c>
      <c r="X567" s="18" t="s">
        <v>304</v>
      </c>
      <c r="Y567" s="15" t="s">
        <v>600</v>
      </c>
      <c r="Z567" s="15" t="s">
        <v>600</v>
      </c>
      <c r="AA567" s="19" t="str">
        <f aca="false">HYPERLINK("https://www.transfermarkt.com/schnellsuche/ergebnis/schnellsuche?query="&amp;SUBSTITUTE(A567," ","+"),"Search Transfermarkt")</f>
        <v>Search Transfermarkt</v>
      </c>
    </row>
    <row r="568" customFormat="false" ht="23.85" hidden="false" customHeight="false" outlineLevel="0" collapsed="false">
      <c r="A568" s="15" t="s">
        <v>1877</v>
      </c>
      <c r="B568" s="15" t="s">
        <v>69</v>
      </c>
      <c r="C568" s="15" t="s">
        <v>1719</v>
      </c>
      <c r="D568" s="15" t="n">
        <v>3</v>
      </c>
      <c r="E568" s="15" t="s">
        <v>1878</v>
      </c>
      <c r="F568" s="15" t="s">
        <v>136</v>
      </c>
      <c r="G568" s="15" t="n">
        <v>19</v>
      </c>
      <c r="H568" s="15" t="n">
        <v>1302</v>
      </c>
      <c r="I568" s="15" t="n">
        <v>3</v>
      </c>
      <c r="J568" s="15" t="n">
        <v>5</v>
      </c>
      <c r="K568" s="15" t="n">
        <v>64</v>
      </c>
      <c r="L568" s="15" t="n">
        <v>30</v>
      </c>
      <c r="M568" s="15" t="n">
        <v>90</v>
      </c>
      <c r="N568" s="15" t="n">
        <v>0</v>
      </c>
      <c r="O568" s="15" t="n">
        <v>0</v>
      </c>
      <c r="P568" s="16" t="n">
        <v>0</v>
      </c>
      <c r="Q568" s="15" t="n">
        <v>0</v>
      </c>
      <c r="R568" s="15" t="n">
        <v>0</v>
      </c>
      <c r="S568" s="17" t="n">
        <v>74924</v>
      </c>
      <c r="T568" s="15" t="s">
        <v>164</v>
      </c>
      <c r="U568" s="15" t="n">
        <v>2028</v>
      </c>
      <c r="V568" s="15" t="s">
        <v>1879</v>
      </c>
      <c r="W568" s="18" t="s">
        <v>139</v>
      </c>
      <c r="X568" s="18" t="s">
        <v>140</v>
      </c>
      <c r="Y568" s="15" t="s">
        <v>600</v>
      </c>
      <c r="Z568" s="15" t="s">
        <v>600</v>
      </c>
      <c r="AA568" s="19" t="str">
        <f aca="false">HYPERLINK("https://www.transfermarkt.com/schnellsuche/ergebnis/schnellsuche?query="&amp;SUBSTITUTE(A568," ","+"),"Search Transfermarkt")</f>
        <v>Search Transfermarkt</v>
      </c>
    </row>
    <row r="569" customFormat="false" ht="23.85" hidden="false" customHeight="false" outlineLevel="0" collapsed="false">
      <c r="A569" s="15" t="s">
        <v>1880</v>
      </c>
      <c r="B569" s="15" t="s">
        <v>67</v>
      </c>
      <c r="C569" s="15" t="s">
        <v>636</v>
      </c>
      <c r="D569" s="15" t="n">
        <v>2</v>
      </c>
      <c r="E569" s="15" t="s">
        <v>1881</v>
      </c>
      <c r="F569" s="15" t="s">
        <v>163</v>
      </c>
      <c r="G569" s="15" t="n">
        <v>25</v>
      </c>
      <c r="H569" s="15" t="n">
        <v>1933</v>
      </c>
      <c r="I569" s="15" t="n">
        <v>11</v>
      </c>
      <c r="J569" s="15" t="n">
        <v>5</v>
      </c>
      <c r="K569" s="15" t="n">
        <v>50</v>
      </c>
      <c r="L569" s="15" t="n">
        <v>58</v>
      </c>
      <c r="M569" s="15" t="n">
        <v>6</v>
      </c>
      <c r="N569" s="15" t="n">
        <v>0</v>
      </c>
      <c r="O569" s="15" t="n">
        <v>0</v>
      </c>
      <c r="P569" s="16" t="n">
        <v>0</v>
      </c>
      <c r="Q569" s="15" t="n">
        <v>0</v>
      </c>
      <c r="R569" s="15" t="n">
        <v>0</v>
      </c>
      <c r="S569" s="17" t="n">
        <v>0</v>
      </c>
      <c r="T569" s="15" t="s">
        <v>137</v>
      </c>
      <c r="U569" s="15" t="n">
        <v>2026</v>
      </c>
      <c r="V569" s="15" t="s">
        <v>1882</v>
      </c>
      <c r="W569" s="18" t="s">
        <v>139</v>
      </c>
      <c r="X569" s="18" t="s">
        <v>236</v>
      </c>
      <c r="Y569" s="15" t="s">
        <v>600</v>
      </c>
      <c r="Z569" s="15" t="s">
        <v>600</v>
      </c>
      <c r="AA569" s="19" t="str">
        <f aca="false">HYPERLINK("https://www.transfermarkt.com/schnellsuche/ergebnis/schnellsuche?query="&amp;SUBSTITUTE(A569," ","+"),"Search Transfermarkt")</f>
        <v>Search Transfermarkt</v>
      </c>
    </row>
    <row r="570" customFormat="false" ht="23.85" hidden="false" customHeight="false" outlineLevel="0" collapsed="false">
      <c r="A570" s="15" t="s">
        <v>1883</v>
      </c>
      <c r="B570" s="15" t="s">
        <v>102</v>
      </c>
      <c r="C570" s="15" t="s">
        <v>1884</v>
      </c>
      <c r="D570" s="15" t="n">
        <v>2</v>
      </c>
      <c r="E570" s="15" t="s">
        <v>1885</v>
      </c>
      <c r="F570" s="15" t="s">
        <v>157</v>
      </c>
      <c r="G570" s="15" t="n">
        <v>23</v>
      </c>
      <c r="H570" s="15" t="n">
        <v>1262</v>
      </c>
      <c r="I570" s="15" t="n">
        <v>0</v>
      </c>
      <c r="J570" s="15" t="n">
        <v>0</v>
      </c>
      <c r="K570" s="15" t="n">
        <v>19</v>
      </c>
      <c r="L570" s="15" t="n">
        <v>5</v>
      </c>
      <c r="M570" s="15" t="n">
        <v>5</v>
      </c>
      <c r="N570" s="15" t="n">
        <v>30</v>
      </c>
      <c r="O570" s="15" t="n">
        <v>20</v>
      </c>
      <c r="P570" s="16" t="n">
        <v>78.2</v>
      </c>
      <c r="Q570" s="15" t="n">
        <v>12.6</v>
      </c>
      <c r="R570" s="15" t="n">
        <v>3</v>
      </c>
      <c r="S570" s="17" t="n">
        <v>77786</v>
      </c>
      <c r="T570" s="15" t="s">
        <v>137</v>
      </c>
      <c r="U570" s="15" t="n">
        <v>2029</v>
      </c>
      <c r="V570" s="15" t="s">
        <v>1886</v>
      </c>
      <c r="W570" s="18" t="s">
        <v>139</v>
      </c>
      <c r="X570" s="18" t="s">
        <v>453</v>
      </c>
      <c r="Y570" s="15" t="s">
        <v>600</v>
      </c>
      <c r="Z570" s="15" t="s">
        <v>600</v>
      </c>
      <c r="AA570" s="19" t="str">
        <f aca="false">HYPERLINK("https://www.transfermarkt.com/schnellsuche/ergebnis/schnellsuche?query="&amp;SUBSTITUTE(A570," ","+"),"Search Transfermarkt")</f>
        <v>Search Transfermarkt</v>
      </c>
    </row>
    <row r="571" customFormat="false" ht="23.85" hidden="false" customHeight="false" outlineLevel="0" collapsed="false">
      <c r="A571" s="15" t="s">
        <v>1887</v>
      </c>
      <c r="B571" s="15" t="s">
        <v>68</v>
      </c>
      <c r="C571" s="15" t="s">
        <v>1236</v>
      </c>
      <c r="D571" s="15" t="n">
        <v>4</v>
      </c>
      <c r="E571" s="15" t="s">
        <v>151</v>
      </c>
      <c r="F571" s="15" t="s">
        <v>157</v>
      </c>
      <c r="G571" s="15" t="n">
        <v>18</v>
      </c>
      <c r="H571" s="15" t="n">
        <v>2691</v>
      </c>
      <c r="I571" s="15" t="n">
        <v>0</v>
      </c>
      <c r="J571" s="15" t="n">
        <v>0</v>
      </c>
      <c r="K571" s="15" t="n">
        <v>7</v>
      </c>
      <c r="L571" s="15" t="n">
        <v>1</v>
      </c>
      <c r="M571" s="15" t="n">
        <v>6</v>
      </c>
      <c r="N571" s="15" t="n">
        <v>97</v>
      </c>
      <c r="O571" s="15" t="n">
        <v>35</v>
      </c>
      <c r="P571" s="16" t="n">
        <v>79.4</v>
      </c>
      <c r="Q571" s="15" t="n">
        <v>28.1</v>
      </c>
      <c r="R571" s="15" t="n">
        <v>5</v>
      </c>
      <c r="S571" s="17" t="n">
        <v>108928</v>
      </c>
      <c r="T571" s="15" t="s">
        <v>164</v>
      </c>
      <c r="U571" s="15" t="n">
        <v>2027</v>
      </c>
      <c r="V571" s="15" t="s">
        <v>152</v>
      </c>
      <c r="W571" s="18" t="s">
        <v>139</v>
      </c>
      <c r="X571" s="18" t="s">
        <v>153</v>
      </c>
      <c r="Y571" s="15" t="s">
        <v>600</v>
      </c>
      <c r="Z571" s="15" t="s">
        <v>600</v>
      </c>
      <c r="AA571" s="19" t="str">
        <f aca="false">HYPERLINK("https://www.transfermarkt.com/schnellsuche/ergebnis/schnellsuche?query="&amp;SUBSTITUTE(A571," ","+"),"Search Transfermarkt")</f>
        <v>Search Transfermarkt</v>
      </c>
    </row>
    <row r="572" customFormat="false" ht="23.85" hidden="false" customHeight="false" outlineLevel="0" collapsed="false">
      <c r="A572" s="15" t="s">
        <v>1888</v>
      </c>
      <c r="B572" s="15" t="s">
        <v>81</v>
      </c>
      <c r="C572" s="15" t="s">
        <v>1145</v>
      </c>
      <c r="D572" s="15" t="n">
        <v>2</v>
      </c>
      <c r="E572" s="15" t="s">
        <v>1889</v>
      </c>
      <c r="F572" s="15" t="s">
        <v>170</v>
      </c>
      <c r="G572" s="15" t="n">
        <v>23</v>
      </c>
      <c r="H572" s="15" t="n">
        <v>1867</v>
      </c>
      <c r="I572" s="15" t="n">
        <v>10</v>
      </c>
      <c r="J572" s="15" t="n">
        <v>10</v>
      </c>
      <c r="K572" s="15" t="n">
        <v>120</v>
      </c>
      <c r="L572" s="15" t="n">
        <v>57</v>
      </c>
      <c r="M572" s="15" t="n">
        <v>36</v>
      </c>
      <c r="N572" s="15" t="n">
        <v>0</v>
      </c>
      <c r="O572" s="15" t="n">
        <v>0</v>
      </c>
      <c r="P572" s="16" t="n">
        <v>0</v>
      </c>
      <c r="Q572" s="15" t="n">
        <v>0</v>
      </c>
      <c r="R572" s="15" t="n">
        <v>0</v>
      </c>
      <c r="S572" s="17" t="n">
        <v>126092</v>
      </c>
      <c r="T572" s="15" t="s">
        <v>186</v>
      </c>
      <c r="U572" s="15" t="n">
        <v>2027</v>
      </c>
      <c r="V572" s="15" t="s">
        <v>1890</v>
      </c>
      <c r="W572" s="18" t="s">
        <v>188</v>
      </c>
      <c r="X572" s="18" t="s">
        <v>407</v>
      </c>
      <c r="Y572" s="15" t="s">
        <v>600</v>
      </c>
      <c r="Z572" s="15" t="s">
        <v>600</v>
      </c>
      <c r="AA572" s="19" t="str">
        <f aca="false">HYPERLINK("https://www.transfermarkt.com/schnellsuche/ergebnis/schnellsuche?query="&amp;SUBSTITUTE(A572," ","+"),"Search Transfermarkt")</f>
        <v>Search Transfermarkt</v>
      </c>
    </row>
    <row r="573" customFormat="false" ht="23.85" hidden="false" customHeight="false" outlineLevel="0" collapsed="false">
      <c r="A573" s="15" t="s">
        <v>1891</v>
      </c>
      <c r="B573" s="15" t="s">
        <v>75</v>
      </c>
      <c r="C573" s="15" t="s">
        <v>1892</v>
      </c>
      <c r="D573" s="15" t="n">
        <v>2</v>
      </c>
      <c r="E573" s="15" t="s">
        <v>1379</v>
      </c>
      <c r="F573" s="15" t="s">
        <v>136</v>
      </c>
      <c r="G573" s="15" t="n">
        <v>25</v>
      </c>
      <c r="H573" s="15" t="n">
        <v>2521</v>
      </c>
      <c r="I573" s="15" t="n">
        <v>1</v>
      </c>
      <c r="J573" s="15" t="n">
        <v>2</v>
      </c>
      <c r="K573" s="15" t="n">
        <v>67</v>
      </c>
      <c r="L573" s="15" t="n">
        <v>29</v>
      </c>
      <c r="M573" s="15" t="n">
        <v>81</v>
      </c>
      <c r="N573" s="15" t="n">
        <v>0</v>
      </c>
      <c r="O573" s="15" t="n">
        <v>0</v>
      </c>
      <c r="P573" s="16" t="n">
        <v>0</v>
      </c>
      <c r="Q573" s="15" t="n">
        <v>0</v>
      </c>
      <c r="R573" s="15" t="n">
        <v>0</v>
      </c>
      <c r="S573" s="17" t="n">
        <v>77637</v>
      </c>
      <c r="T573" s="15" t="s">
        <v>164</v>
      </c>
      <c r="U573" s="15" t="n">
        <v>2026</v>
      </c>
      <c r="V573" s="15" t="s">
        <v>1380</v>
      </c>
      <c r="W573" s="18" t="s">
        <v>139</v>
      </c>
      <c r="X573" s="18" t="s">
        <v>197</v>
      </c>
      <c r="Y573" s="15" t="s">
        <v>600</v>
      </c>
      <c r="Z573" s="15" t="s">
        <v>600</v>
      </c>
      <c r="AA573" s="19" t="str">
        <f aca="false">HYPERLINK("https://www.transfermarkt.com/schnellsuche/ergebnis/schnellsuche?query="&amp;SUBSTITUTE(A573," ","+"),"Search Transfermarkt")</f>
        <v>Search Transfermarkt</v>
      </c>
    </row>
    <row r="574" customFormat="false" ht="23.85" hidden="false" customHeight="false" outlineLevel="0" collapsed="false">
      <c r="A574" s="15" t="s">
        <v>1893</v>
      </c>
      <c r="B574" s="15" t="s">
        <v>89</v>
      </c>
      <c r="C574" s="15" t="s">
        <v>1523</v>
      </c>
      <c r="D574" s="15" t="n">
        <v>2</v>
      </c>
      <c r="E574" s="15" t="s">
        <v>1894</v>
      </c>
      <c r="F574" s="15" t="s">
        <v>163</v>
      </c>
      <c r="G574" s="15" t="n">
        <v>19</v>
      </c>
      <c r="H574" s="15" t="n">
        <v>1122</v>
      </c>
      <c r="I574" s="15" t="n">
        <v>15</v>
      </c>
      <c r="J574" s="15" t="n">
        <v>3</v>
      </c>
      <c r="K574" s="15" t="n">
        <v>63</v>
      </c>
      <c r="L574" s="15" t="n">
        <v>69</v>
      </c>
      <c r="M574" s="15" t="n">
        <v>10</v>
      </c>
      <c r="N574" s="15" t="n">
        <v>0</v>
      </c>
      <c r="O574" s="15" t="n">
        <v>0</v>
      </c>
      <c r="P574" s="16" t="n">
        <v>0</v>
      </c>
      <c r="Q574" s="15" t="n">
        <v>0</v>
      </c>
      <c r="R574" s="15" t="n">
        <v>0</v>
      </c>
      <c r="S574" s="17" t="n">
        <v>60887</v>
      </c>
      <c r="T574" s="15" t="s">
        <v>186</v>
      </c>
      <c r="U574" s="15" t="n">
        <v>2027</v>
      </c>
      <c r="V574" s="15" t="s">
        <v>1895</v>
      </c>
      <c r="W574" s="18" t="s">
        <v>188</v>
      </c>
      <c r="X574" s="18" t="s">
        <v>206</v>
      </c>
      <c r="Y574" s="15" t="s">
        <v>600</v>
      </c>
      <c r="Z574" s="15" t="s">
        <v>600</v>
      </c>
      <c r="AA574" s="19" t="str">
        <f aca="false">HYPERLINK("https://www.transfermarkt.com/schnellsuche/ergebnis/schnellsuche?query="&amp;SUBSTITUTE(A574," ","+"),"Search Transfermarkt")</f>
        <v>Search Transfermarkt</v>
      </c>
    </row>
    <row r="575" customFormat="false" ht="23.85" hidden="false" customHeight="false" outlineLevel="0" collapsed="false">
      <c r="A575" s="15" t="s">
        <v>1896</v>
      </c>
      <c r="B575" s="15" t="s">
        <v>71</v>
      </c>
      <c r="C575" s="15" t="s">
        <v>1313</v>
      </c>
      <c r="D575" s="15" t="n">
        <v>2</v>
      </c>
      <c r="E575" s="15" t="s">
        <v>1154</v>
      </c>
      <c r="F575" s="15" t="s">
        <v>163</v>
      </c>
      <c r="G575" s="15" t="n">
        <v>26</v>
      </c>
      <c r="H575" s="15" t="n">
        <v>1531</v>
      </c>
      <c r="I575" s="15" t="n">
        <v>15</v>
      </c>
      <c r="J575" s="15" t="n">
        <v>1</v>
      </c>
      <c r="K575" s="15" t="n">
        <v>40</v>
      </c>
      <c r="L575" s="15" t="n">
        <v>80</v>
      </c>
      <c r="M575" s="15" t="n">
        <v>12</v>
      </c>
      <c r="N575" s="15" t="n">
        <v>0</v>
      </c>
      <c r="O575" s="15" t="n">
        <v>0</v>
      </c>
      <c r="P575" s="16" t="n">
        <v>0</v>
      </c>
      <c r="Q575" s="15" t="n">
        <v>0</v>
      </c>
      <c r="R575" s="15" t="n">
        <v>0</v>
      </c>
      <c r="S575" s="17" t="n">
        <v>38106</v>
      </c>
      <c r="T575" s="15" t="s">
        <v>186</v>
      </c>
      <c r="U575" s="15" t="n">
        <v>2029</v>
      </c>
      <c r="V575" s="15" t="s">
        <v>1155</v>
      </c>
      <c r="W575" s="18" t="s">
        <v>188</v>
      </c>
      <c r="X575" s="18" t="s">
        <v>177</v>
      </c>
      <c r="Y575" s="15" t="s">
        <v>600</v>
      </c>
      <c r="Z575" s="15" t="s">
        <v>600</v>
      </c>
      <c r="AA575" s="19" t="str">
        <f aca="false">HYPERLINK("https://www.transfermarkt.com/schnellsuche/ergebnis/schnellsuche?query="&amp;SUBSTITUTE(A575," ","+"),"Search Transfermarkt")</f>
        <v>Search Transfermarkt</v>
      </c>
    </row>
    <row r="576" customFormat="false" ht="23.85" hidden="false" customHeight="false" outlineLevel="0" collapsed="false">
      <c r="A576" s="15" t="s">
        <v>1897</v>
      </c>
      <c r="B576" s="15" t="s">
        <v>67</v>
      </c>
      <c r="C576" s="15" t="s">
        <v>255</v>
      </c>
      <c r="D576" s="15" t="n">
        <v>2</v>
      </c>
      <c r="E576" s="15" t="s">
        <v>1898</v>
      </c>
      <c r="F576" s="15" t="s">
        <v>157</v>
      </c>
      <c r="G576" s="15" t="n">
        <v>19</v>
      </c>
      <c r="H576" s="15" t="n">
        <v>957</v>
      </c>
      <c r="I576" s="15" t="n">
        <v>0</v>
      </c>
      <c r="J576" s="15" t="n">
        <v>0</v>
      </c>
      <c r="K576" s="15" t="n">
        <v>12</v>
      </c>
      <c r="L576" s="15" t="n">
        <v>1</v>
      </c>
      <c r="M576" s="15" t="n">
        <v>7</v>
      </c>
      <c r="N576" s="15" t="n">
        <v>44</v>
      </c>
      <c r="O576" s="15" t="n">
        <v>19</v>
      </c>
      <c r="P576" s="16" t="n">
        <v>82.7</v>
      </c>
      <c r="Q576" s="15" t="n">
        <v>2.8</v>
      </c>
      <c r="R576" s="15" t="n">
        <v>3</v>
      </c>
      <c r="S576" s="17" t="n">
        <v>75839</v>
      </c>
      <c r="T576" s="15" t="s">
        <v>137</v>
      </c>
      <c r="U576" s="15" t="n">
        <v>2029</v>
      </c>
      <c r="V576" s="15" t="s">
        <v>1899</v>
      </c>
      <c r="W576" s="18" t="s">
        <v>139</v>
      </c>
      <c r="X576" s="18" t="s">
        <v>236</v>
      </c>
      <c r="Y576" s="15" t="s">
        <v>600</v>
      </c>
      <c r="Z576" s="15" t="s">
        <v>600</v>
      </c>
      <c r="AA576" s="19" t="str">
        <f aca="false">HYPERLINK("https://www.transfermarkt.com/schnellsuche/ergebnis/schnellsuche?query="&amp;SUBSTITUTE(A576," ","+"),"Search Transfermarkt")</f>
        <v>Search Transfermarkt</v>
      </c>
    </row>
    <row r="577" customFormat="false" ht="23.85" hidden="false" customHeight="false" outlineLevel="0" collapsed="false">
      <c r="A577" s="15" t="s">
        <v>1900</v>
      </c>
      <c r="B577" s="15" t="s">
        <v>83</v>
      </c>
      <c r="C577" s="15" t="s">
        <v>1248</v>
      </c>
      <c r="D577" s="15" t="n">
        <v>4</v>
      </c>
      <c r="E577" s="15" t="s">
        <v>1559</v>
      </c>
      <c r="F577" s="15" t="s">
        <v>170</v>
      </c>
      <c r="G577" s="15" t="n">
        <v>26</v>
      </c>
      <c r="H577" s="15" t="n">
        <v>2311</v>
      </c>
      <c r="I577" s="15" t="n">
        <v>9</v>
      </c>
      <c r="J577" s="15" t="n">
        <v>5</v>
      </c>
      <c r="K577" s="15" t="n">
        <v>118</v>
      </c>
      <c r="L577" s="15" t="n">
        <v>62</v>
      </c>
      <c r="M577" s="15" t="n">
        <v>52</v>
      </c>
      <c r="N577" s="15" t="n">
        <v>0</v>
      </c>
      <c r="O577" s="15" t="n">
        <v>0</v>
      </c>
      <c r="P577" s="16" t="n">
        <v>0</v>
      </c>
      <c r="Q577" s="15" t="n">
        <v>0</v>
      </c>
      <c r="R577" s="15" t="n">
        <v>0</v>
      </c>
      <c r="S577" s="17" t="n">
        <v>53366</v>
      </c>
      <c r="T577" s="15" t="s">
        <v>186</v>
      </c>
      <c r="U577" s="15" t="n">
        <v>2028</v>
      </c>
      <c r="V577" s="15" t="s">
        <v>1560</v>
      </c>
      <c r="W577" s="18" t="s">
        <v>188</v>
      </c>
      <c r="X577" s="18" t="s">
        <v>379</v>
      </c>
      <c r="Y577" s="15" t="s">
        <v>600</v>
      </c>
      <c r="Z577" s="15" t="s">
        <v>600</v>
      </c>
      <c r="AA577" s="19" t="str">
        <f aca="false">HYPERLINK("https://www.transfermarkt.com/schnellsuche/ergebnis/schnellsuche?query="&amp;SUBSTITUTE(A577," ","+"),"Search Transfermarkt")</f>
        <v>Search Transfermarkt</v>
      </c>
    </row>
    <row r="578" customFormat="false" ht="23.85" hidden="false" customHeight="false" outlineLevel="0" collapsed="false">
      <c r="A578" s="15" t="s">
        <v>1901</v>
      </c>
      <c r="B578" s="15" t="s">
        <v>62</v>
      </c>
      <c r="C578" s="15" t="s">
        <v>208</v>
      </c>
      <c r="D578" s="15" t="n">
        <v>3</v>
      </c>
      <c r="E578" s="15" t="s">
        <v>277</v>
      </c>
      <c r="F578" s="15" t="s">
        <v>170</v>
      </c>
      <c r="G578" s="15" t="n">
        <v>24</v>
      </c>
      <c r="H578" s="15" t="n">
        <v>1725</v>
      </c>
      <c r="I578" s="15" t="n">
        <v>9</v>
      </c>
      <c r="J578" s="15" t="n">
        <v>11</v>
      </c>
      <c r="K578" s="15" t="n">
        <v>111</v>
      </c>
      <c r="L578" s="15" t="n">
        <v>67</v>
      </c>
      <c r="M578" s="15" t="n">
        <v>30</v>
      </c>
      <c r="N578" s="15" t="n">
        <v>0</v>
      </c>
      <c r="O578" s="15" t="n">
        <v>0</v>
      </c>
      <c r="P578" s="16" t="n">
        <v>0</v>
      </c>
      <c r="Q578" s="15" t="n">
        <v>0</v>
      </c>
      <c r="R578" s="15" t="n">
        <v>0</v>
      </c>
      <c r="S578" s="17" t="n">
        <v>46787</v>
      </c>
      <c r="T578" s="15" t="s">
        <v>137</v>
      </c>
      <c r="U578" s="15" t="n">
        <v>2028</v>
      </c>
      <c r="V578" s="15" t="s">
        <v>278</v>
      </c>
      <c r="W578" s="18" t="s">
        <v>139</v>
      </c>
      <c r="X578" s="18" t="s">
        <v>211</v>
      </c>
      <c r="Y578" s="15" t="s">
        <v>600</v>
      </c>
      <c r="Z578" s="15" t="s">
        <v>600</v>
      </c>
      <c r="AA578" s="19" t="str">
        <f aca="false">HYPERLINK("https://www.transfermarkt.com/schnellsuche/ergebnis/schnellsuche?query="&amp;SUBSTITUTE(A578," ","+"),"Search Transfermarkt")</f>
        <v>Search Transfermarkt</v>
      </c>
    </row>
    <row r="579" customFormat="false" ht="23.85" hidden="false" customHeight="false" outlineLevel="0" collapsed="false">
      <c r="A579" s="15" t="s">
        <v>1902</v>
      </c>
      <c r="B579" s="15" t="s">
        <v>79</v>
      </c>
      <c r="C579" s="15" t="s">
        <v>730</v>
      </c>
      <c r="D579" s="15" t="n">
        <v>2</v>
      </c>
      <c r="E579" s="15" t="s">
        <v>731</v>
      </c>
      <c r="F579" s="15" t="s">
        <v>163</v>
      </c>
      <c r="G579" s="15" t="n">
        <v>19</v>
      </c>
      <c r="H579" s="15" t="n">
        <v>1693</v>
      </c>
      <c r="I579" s="15" t="n">
        <v>15</v>
      </c>
      <c r="J579" s="15" t="n">
        <v>3</v>
      </c>
      <c r="K579" s="15" t="n">
        <v>66</v>
      </c>
      <c r="L579" s="15" t="n">
        <v>96</v>
      </c>
      <c r="M579" s="15" t="n">
        <v>14</v>
      </c>
      <c r="N579" s="15" t="n">
        <v>0</v>
      </c>
      <c r="O579" s="15" t="n">
        <v>0</v>
      </c>
      <c r="P579" s="16" t="n">
        <v>0</v>
      </c>
      <c r="Q579" s="15" t="n">
        <v>0</v>
      </c>
      <c r="R579" s="15" t="n">
        <v>0</v>
      </c>
      <c r="S579" s="17" t="n">
        <v>105416</v>
      </c>
      <c r="T579" s="15" t="s">
        <v>137</v>
      </c>
      <c r="U579" s="15" t="n">
        <v>2027</v>
      </c>
      <c r="V579" s="15" t="s">
        <v>732</v>
      </c>
      <c r="W579" s="18" t="s">
        <v>139</v>
      </c>
      <c r="X579" s="18" t="s">
        <v>412</v>
      </c>
      <c r="Y579" s="15" t="s">
        <v>600</v>
      </c>
      <c r="Z579" s="15" t="s">
        <v>600</v>
      </c>
      <c r="AA579" s="19" t="str">
        <f aca="false">HYPERLINK("https://www.transfermarkt.com/schnellsuche/ergebnis/schnellsuche?query="&amp;SUBSTITUTE(A579," ","+"),"Search Transfermarkt")</f>
        <v>Search Transfermarkt</v>
      </c>
    </row>
    <row r="580" customFormat="false" ht="23.85" hidden="false" customHeight="false" outlineLevel="0" collapsed="false">
      <c r="A580" s="15" t="s">
        <v>1903</v>
      </c>
      <c r="B580" s="15" t="s">
        <v>80</v>
      </c>
      <c r="C580" s="15" t="s">
        <v>509</v>
      </c>
      <c r="D580" s="15" t="n">
        <v>3</v>
      </c>
      <c r="E580" s="15" t="s">
        <v>1904</v>
      </c>
      <c r="F580" s="15" t="s">
        <v>163</v>
      </c>
      <c r="G580" s="15" t="n">
        <v>23</v>
      </c>
      <c r="H580" s="15" t="n">
        <v>1804</v>
      </c>
      <c r="I580" s="15" t="n">
        <v>20</v>
      </c>
      <c r="J580" s="15" t="n">
        <v>2</v>
      </c>
      <c r="K580" s="15" t="n">
        <v>68</v>
      </c>
      <c r="L580" s="15" t="n">
        <v>68</v>
      </c>
      <c r="M580" s="15" t="n">
        <v>5</v>
      </c>
      <c r="N580" s="15" t="n">
        <v>0</v>
      </c>
      <c r="O580" s="15" t="n">
        <v>0</v>
      </c>
      <c r="P580" s="16" t="n">
        <v>0</v>
      </c>
      <c r="Q580" s="15" t="n">
        <v>0</v>
      </c>
      <c r="R580" s="15" t="n">
        <v>0</v>
      </c>
      <c r="S580" s="17" t="n">
        <v>13480</v>
      </c>
      <c r="T580" s="15" t="s">
        <v>137</v>
      </c>
      <c r="U580" s="15" t="n">
        <v>2028</v>
      </c>
      <c r="V580" s="15" t="s">
        <v>1905</v>
      </c>
      <c r="W580" s="18" t="s">
        <v>139</v>
      </c>
      <c r="X580" s="18" t="s">
        <v>304</v>
      </c>
      <c r="Y580" s="15" t="s">
        <v>600</v>
      </c>
      <c r="Z580" s="15" t="s">
        <v>600</v>
      </c>
      <c r="AA580" s="19" t="str">
        <f aca="false">HYPERLINK("https://www.transfermarkt.com/schnellsuche/ergebnis/schnellsuche?query="&amp;SUBSTITUTE(A580," ","+"),"Search Transfermarkt")</f>
        <v>Search Transfermarkt</v>
      </c>
    </row>
    <row r="581" customFormat="false" ht="23.85" hidden="false" customHeight="false" outlineLevel="0" collapsed="false">
      <c r="A581" s="15" t="s">
        <v>1906</v>
      </c>
      <c r="B581" s="15" t="s">
        <v>68</v>
      </c>
      <c r="C581" s="15" t="s">
        <v>640</v>
      </c>
      <c r="D581" s="15" t="n">
        <v>2</v>
      </c>
      <c r="E581" s="15" t="s">
        <v>1907</v>
      </c>
      <c r="F581" s="15" t="s">
        <v>136</v>
      </c>
      <c r="G581" s="15" t="n">
        <v>25</v>
      </c>
      <c r="H581" s="15" t="n">
        <v>2275</v>
      </c>
      <c r="I581" s="15" t="n">
        <v>0</v>
      </c>
      <c r="J581" s="15" t="n">
        <v>5</v>
      </c>
      <c r="K581" s="15" t="n">
        <v>52</v>
      </c>
      <c r="L581" s="15" t="n">
        <v>24</v>
      </c>
      <c r="M581" s="15" t="n">
        <v>107</v>
      </c>
      <c r="N581" s="15" t="n">
        <v>0</v>
      </c>
      <c r="O581" s="15" t="n">
        <v>0</v>
      </c>
      <c r="P581" s="16" t="n">
        <v>0</v>
      </c>
      <c r="Q581" s="15" t="n">
        <v>0</v>
      </c>
      <c r="R581" s="15" t="n">
        <v>0</v>
      </c>
      <c r="S581" s="17" t="n">
        <v>59538</v>
      </c>
      <c r="T581" s="15" t="s">
        <v>137</v>
      </c>
      <c r="U581" s="15" t="n">
        <v>2028</v>
      </c>
      <c r="V581" s="15" t="s">
        <v>1908</v>
      </c>
      <c r="W581" s="18" t="s">
        <v>139</v>
      </c>
      <c r="X581" s="18" t="s">
        <v>153</v>
      </c>
      <c r="Y581" s="15" t="s">
        <v>600</v>
      </c>
      <c r="Z581" s="15" t="s">
        <v>600</v>
      </c>
      <c r="AA581" s="19" t="str">
        <f aca="false">HYPERLINK("https://www.transfermarkt.com/schnellsuche/ergebnis/schnellsuche?query="&amp;SUBSTITUTE(A581," ","+"),"Search Transfermarkt")</f>
        <v>Search Transfermarkt</v>
      </c>
    </row>
    <row r="582" customFormat="false" ht="23.85" hidden="false" customHeight="false" outlineLevel="0" collapsed="false">
      <c r="A582" s="15" t="s">
        <v>1909</v>
      </c>
      <c r="B582" s="15" t="s">
        <v>76</v>
      </c>
      <c r="C582" s="15" t="s">
        <v>617</v>
      </c>
      <c r="D582" s="15" t="n">
        <v>2</v>
      </c>
      <c r="E582" s="15" t="s">
        <v>1910</v>
      </c>
      <c r="F582" s="15" t="s">
        <v>163</v>
      </c>
      <c r="G582" s="15" t="n">
        <v>19</v>
      </c>
      <c r="H582" s="15" t="n">
        <v>2627</v>
      </c>
      <c r="I582" s="15" t="n">
        <v>16</v>
      </c>
      <c r="J582" s="15" t="n">
        <v>3</v>
      </c>
      <c r="K582" s="15" t="n">
        <v>51</v>
      </c>
      <c r="L582" s="15" t="n">
        <v>101</v>
      </c>
      <c r="M582" s="15" t="n">
        <v>7</v>
      </c>
      <c r="N582" s="15" t="n">
        <v>0</v>
      </c>
      <c r="O582" s="15" t="n">
        <v>0</v>
      </c>
      <c r="P582" s="16" t="n">
        <v>0</v>
      </c>
      <c r="Q582" s="15" t="n">
        <v>0</v>
      </c>
      <c r="R582" s="15" t="n">
        <v>0</v>
      </c>
      <c r="S582" s="17" t="n">
        <v>0</v>
      </c>
      <c r="T582" s="15" t="s">
        <v>137</v>
      </c>
      <c r="U582" s="15" t="n">
        <v>2027</v>
      </c>
      <c r="V582" s="15" t="s">
        <v>1911</v>
      </c>
      <c r="W582" s="18" t="s">
        <v>139</v>
      </c>
      <c r="X582" s="18" t="s">
        <v>241</v>
      </c>
      <c r="Y582" s="15" t="s">
        <v>600</v>
      </c>
      <c r="Z582" s="15" t="s">
        <v>600</v>
      </c>
      <c r="AA582" s="19" t="str">
        <f aca="false">HYPERLINK("https://www.transfermarkt.com/schnellsuche/ergebnis/schnellsuche?query="&amp;SUBSTITUTE(A582," ","+"),"Search Transfermarkt")</f>
        <v>Search Transfermarkt</v>
      </c>
    </row>
    <row r="583" customFormat="false" ht="23.85" hidden="false" customHeight="false" outlineLevel="0" collapsed="false">
      <c r="A583" s="15" t="s">
        <v>1912</v>
      </c>
      <c r="B583" s="15" t="s">
        <v>80</v>
      </c>
      <c r="C583" s="15" t="s">
        <v>1913</v>
      </c>
      <c r="D583" s="15" t="n">
        <v>3</v>
      </c>
      <c r="E583" s="15" t="s">
        <v>1914</v>
      </c>
      <c r="F583" s="15" t="s">
        <v>170</v>
      </c>
      <c r="G583" s="15" t="n">
        <v>19</v>
      </c>
      <c r="H583" s="15" t="n">
        <v>2446</v>
      </c>
      <c r="I583" s="15" t="n">
        <v>4</v>
      </c>
      <c r="J583" s="15" t="n">
        <v>4</v>
      </c>
      <c r="K583" s="15" t="n">
        <v>109</v>
      </c>
      <c r="L583" s="15" t="n">
        <v>78</v>
      </c>
      <c r="M583" s="15" t="n">
        <v>57</v>
      </c>
      <c r="N583" s="15" t="n">
        <v>0</v>
      </c>
      <c r="O583" s="15" t="n">
        <v>0</v>
      </c>
      <c r="P583" s="16" t="n">
        <v>0</v>
      </c>
      <c r="Q583" s="15" t="n">
        <v>0</v>
      </c>
      <c r="R583" s="15" t="n">
        <v>0</v>
      </c>
      <c r="S583" s="17" t="n">
        <v>85754</v>
      </c>
      <c r="T583" s="15" t="s">
        <v>137</v>
      </c>
      <c r="U583" s="15" t="n">
        <v>2028</v>
      </c>
      <c r="V583" s="15" t="s">
        <v>1915</v>
      </c>
      <c r="W583" s="18" t="s">
        <v>139</v>
      </c>
      <c r="X583" s="18" t="s">
        <v>304</v>
      </c>
      <c r="Y583" s="15" t="s">
        <v>600</v>
      </c>
      <c r="Z583" s="15" t="s">
        <v>600</v>
      </c>
      <c r="AA583" s="19" t="str">
        <f aca="false">HYPERLINK("https://www.transfermarkt.com/schnellsuche/ergebnis/schnellsuche?query="&amp;SUBSTITUTE(A583," ","+"),"Search Transfermarkt")</f>
        <v>Search Transfermarkt</v>
      </c>
    </row>
    <row r="584" customFormat="false" ht="23.85" hidden="false" customHeight="false" outlineLevel="0" collapsed="false">
      <c r="A584" s="15" t="s">
        <v>1916</v>
      </c>
      <c r="B584" s="15" t="s">
        <v>87</v>
      </c>
      <c r="C584" s="15" t="s">
        <v>364</v>
      </c>
      <c r="D584" s="15" t="n">
        <v>4</v>
      </c>
      <c r="E584" s="15" t="s">
        <v>948</v>
      </c>
      <c r="F584" s="15" t="s">
        <v>157</v>
      </c>
      <c r="G584" s="15" t="n">
        <v>21</v>
      </c>
      <c r="H584" s="15" t="n">
        <v>2416</v>
      </c>
      <c r="I584" s="15" t="n">
        <v>0</v>
      </c>
      <c r="J584" s="15" t="n">
        <v>0</v>
      </c>
      <c r="K584" s="15" t="n">
        <v>14</v>
      </c>
      <c r="L584" s="15" t="n">
        <v>0</v>
      </c>
      <c r="M584" s="15" t="n">
        <v>10</v>
      </c>
      <c r="N584" s="15" t="n">
        <v>92</v>
      </c>
      <c r="O584" s="15" t="n">
        <v>40</v>
      </c>
      <c r="P584" s="16" t="n">
        <v>85.7</v>
      </c>
      <c r="Q584" s="15" t="n">
        <v>31.4</v>
      </c>
      <c r="R584" s="15" t="n">
        <v>6</v>
      </c>
      <c r="S584" s="17" t="n">
        <v>73246</v>
      </c>
      <c r="T584" s="15" t="s">
        <v>137</v>
      </c>
      <c r="U584" s="15" t="n">
        <v>2029</v>
      </c>
      <c r="V584" s="15" t="s">
        <v>949</v>
      </c>
      <c r="W584" s="18" t="s">
        <v>139</v>
      </c>
      <c r="X584" s="18" t="s">
        <v>341</v>
      </c>
      <c r="Y584" s="15" t="s">
        <v>600</v>
      </c>
      <c r="Z584" s="15" t="s">
        <v>600</v>
      </c>
      <c r="AA584" s="19" t="str">
        <f aca="false">HYPERLINK("https://www.transfermarkt.com/schnellsuche/ergebnis/schnellsuche?query="&amp;SUBSTITUTE(A584," ","+"),"Search Transfermarkt")</f>
        <v>Search Transfermarkt</v>
      </c>
    </row>
    <row r="585" customFormat="false" ht="23.85" hidden="false" customHeight="false" outlineLevel="0" collapsed="false">
      <c r="A585" s="15" t="s">
        <v>1917</v>
      </c>
      <c r="B585" s="15" t="s">
        <v>67</v>
      </c>
      <c r="C585" s="15" t="s">
        <v>1707</v>
      </c>
      <c r="D585" s="15" t="n">
        <v>3</v>
      </c>
      <c r="E585" s="15" t="s">
        <v>1139</v>
      </c>
      <c r="F585" s="15" t="s">
        <v>136</v>
      </c>
      <c r="G585" s="15" t="n">
        <v>18</v>
      </c>
      <c r="H585" s="15" t="n">
        <v>874</v>
      </c>
      <c r="I585" s="15" t="n">
        <v>0</v>
      </c>
      <c r="J585" s="15" t="n">
        <v>2</v>
      </c>
      <c r="K585" s="15" t="n">
        <v>63</v>
      </c>
      <c r="L585" s="15" t="n">
        <v>28</v>
      </c>
      <c r="M585" s="15" t="n">
        <v>110</v>
      </c>
      <c r="N585" s="15" t="n">
        <v>0</v>
      </c>
      <c r="O585" s="15" t="n">
        <v>0</v>
      </c>
      <c r="P585" s="16" t="n">
        <v>0</v>
      </c>
      <c r="Q585" s="15" t="n">
        <v>0</v>
      </c>
      <c r="R585" s="15" t="n">
        <v>0</v>
      </c>
      <c r="S585" s="17" t="n">
        <v>35085</v>
      </c>
      <c r="T585" s="15" t="s">
        <v>164</v>
      </c>
      <c r="U585" s="15" t="n">
        <v>2029</v>
      </c>
      <c r="V585" s="15" t="s">
        <v>1140</v>
      </c>
      <c r="W585" s="18" t="s">
        <v>139</v>
      </c>
      <c r="X585" s="18" t="s">
        <v>236</v>
      </c>
      <c r="Y585" s="15" t="s">
        <v>600</v>
      </c>
      <c r="Z585" s="15" t="s">
        <v>600</v>
      </c>
      <c r="AA585" s="19" t="str">
        <f aca="false">HYPERLINK("https://www.transfermarkt.com/schnellsuche/ergebnis/schnellsuche?query="&amp;SUBSTITUTE(A585," ","+"),"Search Transfermarkt")</f>
        <v>Search Transfermarkt</v>
      </c>
    </row>
    <row r="586" customFormat="false" ht="23.85" hidden="false" customHeight="false" outlineLevel="0" collapsed="false">
      <c r="A586" s="15" t="s">
        <v>1918</v>
      </c>
      <c r="B586" s="15" t="s">
        <v>81</v>
      </c>
      <c r="C586" s="15" t="s">
        <v>1919</v>
      </c>
      <c r="D586" s="15" t="n">
        <v>4</v>
      </c>
      <c r="E586" s="15" t="s">
        <v>1920</v>
      </c>
      <c r="F586" s="15" t="s">
        <v>163</v>
      </c>
      <c r="G586" s="15" t="n">
        <v>26</v>
      </c>
      <c r="H586" s="15" t="n">
        <v>1717</v>
      </c>
      <c r="I586" s="15" t="n">
        <v>13</v>
      </c>
      <c r="J586" s="15" t="n">
        <v>9</v>
      </c>
      <c r="K586" s="15" t="n">
        <v>50</v>
      </c>
      <c r="L586" s="15" t="n">
        <v>93</v>
      </c>
      <c r="M586" s="15" t="n">
        <v>16</v>
      </c>
      <c r="N586" s="15" t="n">
        <v>0</v>
      </c>
      <c r="O586" s="15" t="n">
        <v>0</v>
      </c>
      <c r="P586" s="16" t="n">
        <v>0</v>
      </c>
      <c r="Q586" s="15" t="n">
        <v>0</v>
      </c>
      <c r="R586" s="15" t="n">
        <v>0</v>
      </c>
      <c r="S586" s="17" t="n">
        <v>93535</v>
      </c>
      <c r="T586" s="15" t="s">
        <v>186</v>
      </c>
      <c r="U586" s="15" t="n">
        <v>2028</v>
      </c>
      <c r="V586" s="15" t="s">
        <v>1921</v>
      </c>
      <c r="W586" s="18" t="s">
        <v>188</v>
      </c>
      <c r="X586" s="18" t="s">
        <v>407</v>
      </c>
      <c r="Y586" s="15" t="s">
        <v>600</v>
      </c>
      <c r="Z586" s="15" t="s">
        <v>600</v>
      </c>
      <c r="AA586" s="19" t="str">
        <f aca="false">HYPERLINK("https://www.transfermarkt.com/schnellsuche/ergebnis/schnellsuche?query="&amp;SUBSTITUTE(A586," ","+"),"Search Transfermarkt")</f>
        <v>Search Transfermarkt</v>
      </c>
    </row>
    <row r="587" customFormat="false" ht="23.85" hidden="false" customHeight="false" outlineLevel="0" collapsed="false">
      <c r="A587" s="15" t="s">
        <v>1922</v>
      </c>
      <c r="B587" s="15" t="s">
        <v>88</v>
      </c>
      <c r="C587" s="15" t="s">
        <v>1923</v>
      </c>
      <c r="D587" s="15" t="n">
        <v>2</v>
      </c>
      <c r="E587" s="15" t="s">
        <v>1924</v>
      </c>
      <c r="F587" s="15" t="s">
        <v>163</v>
      </c>
      <c r="G587" s="15" t="n">
        <v>26</v>
      </c>
      <c r="H587" s="15" t="n">
        <v>972</v>
      </c>
      <c r="I587" s="15" t="n">
        <v>11</v>
      </c>
      <c r="J587" s="15" t="n">
        <v>3</v>
      </c>
      <c r="K587" s="15" t="n">
        <v>41</v>
      </c>
      <c r="L587" s="15" t="n">
        <v>77</v>
      </c>
      <c r="M587" s="15" t="n">
        <v>15</v>
      </c>
      <c r="N587" s="15" t="n">
        <v>0</v>
      </c>
      <c r="O587" s="15" t="n">
        <v>0</v>
      </c>
      <c r="P587" s="16" t="n">
        <v>0</v>
      </c>
      <c r="Q587" s="15" t="n">
        <v>0</v>
      </c>
      <c r="R587" s="15" t="n">
        <v>0</v>
      </c>
      <c r="S587" s="17" t="n">
        <v>88756</v>
      </c>
      <c r="T587" s="15" t="s">
        <v>164</v>
      </c>
      <c r="U587" s="15" t="n">
        <v>2029</v>
      </c>
      <c r="V587" s="15" t="s">
        <v>1925</v>
      </c>
      <c r="W587" s="18" t="s">
        <v>139</v>
      </c>
      <c r="X587" s="18" t="s">
        <v>320</v>
      </c>
      <c r="Y587" s="15" t="s">
        <v>600</v>
      </c>
      <c r="Z587" s="15" t="s">
        <v>600</v>
      </c>
      <c r="AA587" s="19" t="str">
        <f aca="false">HYPERLINK("https://www.transfermarkt.com/schnellsuche/ergebnis/schnellsuche?query="&amp;SUBSTITUTE(A587," ","+"),"Search Transfermarkt")</f>
        <v>Search Transfermarkt</v>
      </c>
    </row>
    <row r="588" customFormat="false" ht="23.85" hidden="false" customHeight="false" outlineLevel="0" collapsed="false">
      <c r="A588" s="15" t="s">
        <v>1926</v>
      </c>
      <c r="B588" s="15" t="s">
        <v>92</v>
      </c>
      <c r="C588" s="15" t="s">
        <v>1225</v>
      </c>
      <c r="D588" s="15" t="n">
        <v>2</v>
      </c>
      <c r="E588" s="15" t="s">
        <v>156</v>
      </c>
      <c r="F588" s="15" t="s">
        <v>136</v>
      </c>
      <c r="G588" s="15" t="n">
        <v>22</v>
      </c>
      <c r="H588" s="15" t="n">
        <v>1599</v>
      </c>
      <c r="I588" s="15" t="n">
        <v>3</v>
      </c>
      <c r="J588" s="15" t="n">
        <v>3</v>
      </c>
      <c r="K588" s="15" t="n">
        <v>60</v>
      </c>
      <c r="L588" s="15" t="n">
        <v>45</v>
      </c>
      <c r="M588" s="15" t="n">
        <v>114</v>
      </c>
      <c r="N588" s="15" t="n">
        <v>0</v>
      </c>
      <c r="O588" s="15" t="n">
        <v>0</v>
      </c>
      <c r="P588" s="16" t="n">
        <v>0</v>
      </c>
      <c r="Q588" s="15" t="n">
        <v>0</v>
      </c>
      <c r="R588" s="15" t="n">
        <v>0</v>
      </c>
      <c r="S588" s="17" t="n">
        <v>11917</v>
      </c>
      <c r="T588" s="15" t="s">
        <v>186</v>
      </c>
      <c r="U588" s="15" t="n">
        <v>2028</v>
      </c>
      <c r="V588" s="15" t="s">
        <v>158</v>
      </c>
      <c r="W588" s="18" t="s">
        <v>188</v>
      </c>
      <c r="X588" s="18" t="s">
        <v>159</v>
      </c>
      <c r="Y588" s="15" t="s">
        <v>600</v>
      </c>
      <c r="Z588" s="15" t="s">
        <v>600</v>
      </c>
      <c r="AA588" s="19" t="str">
        <f aca="false">HYPERLINK("https://www.transfermarkt.com/schnellsuche/ergebnis/schnellsuche?query="&amp;SUBSTITUTE(A588," ","+"),"Search Transfermarkt")</f>
        <v>Search Transfermarkt</v>
      </c>
    </row>
    <row r="589" customFormat="false" ht="23.85" hidden="false" customHeight="false" outlineLevel="0" collapsed="false">
      <c r="A589" s="15" t="s">
        <v>1927</v>
      </c>
      <c r="B589" s="15" t="s">
        <v>103</v>
      </c>
      <c r="C589" s="15" t="s">
        <v>816</v>
      </c>
      <c r="D589" s="15" t="n">
        <v>3</v>
      </c>
      <c r="E589" s="15" t="s">
        <v>1928</v>
      </c>
      <c r="F589" s="15" t="s">
        <v>136</v>
      </c>
      <c r="G589" s="15" t="n">
        <v>26</v>
      </c>
      <c r="H589" s="15" t="n">
        <v>1627</v>
      </c>
      <c r="I589" s="15" t="n">
        <v>2</v>
      </c>
      <c r="J589" s="15" t="n">
        <v>4</v>
      </c>
      <c r="K589" s="15" t="n">
        <v>51</v>
      </c>
      <c r="L589" s="15" t="n">
        <v>31</v>
      </c>
      <c r="M589" s="15" t="n">
        <v>97</v>
      </c>
      <c r="N589" s="15" t="n">
        <v>0</v>
      </c>
      <c r="O589" s="15" t="n">
        <v>0</v>
      </c>
      <c r="P589" s="16" t="n">
        <v>0</v>
      </c>
      <c r="Q589" s="15" t="n">
        <v>0</v>
      </c>
      <c r="R589" s="15" t="n">
        <v>0</v>
      </c>
      <c r="S589" s="17" t="n">
        <v>0</v>
      </c>
      <c r="T589" s="15" t="s">
        <v>164</v>
      </c>
      <c r="U589" s="15" t="n">
        <v>2026</v>
      </c>
      <c r="V589" s="15" t="s">
        <v>1929</v>
      </c>
      <c r="W589" s="18" t="s">
        <v>139</v>
      </c>
      <c r="X589" s="18" t="s">
        <v>481</v>
      </c>
      <c r="Y589" s="15" t="s">
        <v>600</v>
      </c>
      <c r="Z589" s="15" t="s">
        <v>600</v>
      </c>
      <c r="AA589" s="19" t="str">
        <f aca="false">HYPERLINK("https://www.transfermarkt.com/schnellsuche/ergebnis/schnellsuche?query="&amp;SUBSTITUTE(A589," ","+"),"Search Transfermarkt")</f>
        <v>Search Transfermarkt</v>
      </c>
    </row>
    <row r="590" customFormat="false" ht="23.85" hidden="false" customHeight="false" outlineLevel="0" collapsed="false">
      <c r="A590" s="15" t="s">
        <v>1930</v>
      </c>
      <c r="B590" s="15" t="s">
        <v>80</v>
      </c>
      <c r="C590" s="15" t="s">
        <v>1931</v>
      </c>
      <c r="D590" s="15" t="n">
        <v>3</v>
      </c>
      <c r="E590" s="15" t="s">
        <v>1932</v>
      </c>
      <c r="F590" s="15" t="s">
        <v>163</v>
      </c>
      <c r="G590" s="15" t="n">
        <v>23</v>
      </c>
      <c r="H590" s="15" t="n">
        <v>1192</v>
      </c>
      <c r="I590" s="15" t="n">
        <v>8</v>
      </c>
      <c r="J590" s="15" t="n">
        <v>6</v>
      </c>
      <c r="K590" s="15" t="n">
        <v>29</v>
      </c>
      <c r="L590" s="15" t="n">
        <v>65</v>
      </c>
      <c r="M590" s="15" t="n">
        <v>12</v>
      </c>
      <c r="N590" s="15" t="n">
        <v>0</v>
      </c>
      <c r="O590" s="15" t="n">
        <v>0</v>
      </c>
      <c r="P590" s="16" t="n">
        <v>0</v>
      </c>
      <c r="Q590" s="15" t="n">
        <v>0</v>
      </c>
      <c r="R590" s="15" t="n">
        <v>0</v>
      </c>
      <c r="S590" s="17" t="n">
        <v>127962</v>
      </c>
      <c r="T590" s="15" t="s">
        <v>164</v>
      </c>
      <c r="U590" s="15" t="n">
        <v>2028</v>
      </c>
      <c r="V590" s="15" t="s">
        <v>1933</v>
      </c>
      <c r="W590" s="18" t="s">
        <v>139</v>
      </c>
      <c r="X590" s="18" t="s">
        <v>304</v>
      </c>
      <c r="Y590" s="15" t="s">
        <v>600</v>
      </c>
      <c r="Z590" s="15" t="s">
        <v>600</v>
      </c>
      <c r="AA590" s="19" t="str">
        <f aca="false">HYPERLINK("https://www.transfermarkt.com/schnellsuche/ergebnis/schnellsuche?query="&amp;SUBSTITUTE(A590," ","+"),"Search Transfermarkt")</f>
        <v>Search Transfermarkt</v>
      </c>
    </row>
    <row r="591" customFormat="false" ht="23.85" hidden="false" customHeight="false" outlineLevel="0" collapsed="false">
      <c r="A591" s="15" t="s">
        <v>1934</v>
      </c>
      <c r="B591" s="15" t="s">
        <v>102</v>
      </c>
      <c r="C591" s="15" t="s">
        <v>695</v>
      </c>
      <c r="D591" s="15" t="n">
        <v>3</v>
      </c>
      <c r="E591" s="15" t="s">
        <v>560</v>
      </c>
      <c r="F591" s="15" t="s">
        <v>136</v>
      </c>
      <c r="G591" s="15" t="n">
        <v>23</v>
      </c>
      <c r="H591" s="15" t="n">
        <v>2362</v>
      </c>
      <c r="I591" s="15" t="n">
        <v>2</v>
      </c>
      <c r="J591" s="15" t="n">
        <v>1</v>
      </c>
      <c r="K591" s="15" t="n">
        <v>49</v>
      </c>
      <c r="L591" s="15" t="n">
        <v>35</v>
      </c>
      <c r="M591" s="15" t="n">
        <v>96</v>
      </c>
      <c r="N591" s="15" t="n">
        <v>0</v>
      </c>
      <c r="O591" s="15" t="n">
        <v>0</v>
      </c>
      <c r="P591" s="16" t="n">
        <v>0</v>
      </c>
      <c r="Q591" s="15" t="n">
        <v>0</v>
      </c>
      <c r="R591" s="15" t="n">
        <v>0</v>
      </c>
      <c r="S591" s="17" t="n">
        <v>0</v>
      </c>
      <c r="T591" s="15" t="s">
        <v>164</v>
      </c>
      <c r="U591" s="15" t="n">
        <v>2028</v>
      </c>
      <c r="V591" s="15" t="s">
        <v>561</v>
      </c>
      <c r="W591" s="18" t="s">
        <v>139</v>
      </c>
      <c r="X591" s="18" t="s">
        <v>453</v>
      </c>
      <c r="Y591" s="15" t="s">
        <v>600</v>
      </c>
      <c r="Z591" s="15" t="s">
        <v>600</v>
      </c>
      <c r="AA591" s="19" t="str">
        <f aca="false">HYPERLINK("https://www.transfermarkt.com/schnellsuche/ergebnis/schnellsuche?query="&amp;SUBSTITUTE(A591," ","+"),"Search Transfermarkt")</f>
        <v>Search Transfermarkt</v>
      </c>
    </row>
    <row r="592" customFormat="false" ht="23.85" hidden="false" customHeight="false" outlineLevel="0" collapsed="false">
      <c r="A592" s="15" t="s">
        <v>1935</v>
      </c>
      <c r="B592" s="15" t="s">
        <v>83</v>
      </c>
      <c r="C592" s="15" t="s">
        <v>376</v>
      </c>
      <c r="D592" s="15" t="n">
        <v>2</v>
      </c>
      <c r="E592" s="15" t="s">
        <v>1936</v>
      </c>
      <c r="F592" s="15" t="s">
        <v>157</v>
      </c>
      <c r="G592" s="15" t="n">
        <v>24</v>
      </c>
      <c r="H592" s="15" t="n">
        <v>2407</v>
      </c>
      <c r="I592" s="15" t="n">
        <v>0</v>
      </c>
      <c r="J592" s="15" t="n">
        <v>0</v>
      </c>
      <c r="K592" s="15" t="n">
        <v>9</v>
      </c>
      <c r="L592" s="15" t="n">
        <v>1</v>
      </c>
      <c r="M592" s="15" t="n">
        <v>3</v>
      </c>
      <c r="N592" s="15" t="n">
        <v>98</v>
      </c>
      <c r="O592" s="15" t="n">
        <v>34</v>
      </c>
      <c r="P592" s="16" t="n">
        <v>83.7</v>
      </c>
      <c r="Q592" s="15" t="n">
        <v>27.2</v>
      </c>
      <c r="R592" s="15" t="n">
        <v>5</v>
      </c>
      <c r="S592" s="17" t="n">
        <v>122941</v>
      </c>
      <c r="T592" s="15" t="s">
        <v>137</v>
      </c>
      <c r="U592" s="15" t="n">
        <v>2026</v>
      </c>
      <c r="V592" s="15" t="s">
        <v>1937</v>
      </c>
      <c r="W592" s="18" t="s">
        <v>139</v>
      </c>
      <c r="X592" s="18" t="s">
        <v>379</v>
      </c>
      <c r="Y592" s="15" t="s">
        <v>600</v>
      </c>
      <c r="Z592" s="15" t="s">
        <v>600</v>
      </c>
      <c r="AA592" s="19" t="str">
        <f aca="false">HYPERLINK("https://www.transfermarkt.com/schnellsuche/ergebnis/schnellsuche?query="&amp;SUBSTITUTE(A592," ","+"),"Search Transfermarkt")</f>
        <v>Search Transfermarkt</v>
      </c>
    </row>
    <row r="593" customFormat="false" ht="23.85" hidden="false" customHeight="false" outlineLevel="0" collapsed="false">
      <c r="A593" s="15" t="s">
        <v>1938</v>
      </c>
      <c r="B593" s="15" t="s">
        <v>75</v>
      </c>
      <c r="C593" s="15" t="s">
        <v>1581</v>
      </c>
      <c r="D593" s="15" t="n">
        <v>2</v>
      </c>
      <c r="E593" s="15" t="s">
        <v>1939</v>
      </c>
      <c r="F593" s="15" t="s">
        <v>170</v>
      </c>
      <c r="G593" s="15" t="n">
        <v>20</v>
      </c>
      <c r="H593" s="15" t="n">
        <v>2386</v>
      </c>
      <c r="I593" s="15" t="n">
        <v>9</v>
      </c>
      <c r="J593" s="15" t="n">
        <v>7</v>
      </c>
      <c r="K593" s="15" t="n">
        <v>116</v>
      </c>
      <c r="L593" s="15" t="n">
        <v>93</v>
      </c>
      <c r="M593" s="15" t="n">
        <v>58</v>
      </c>
      <c r="N593" s="15" t="n">
        <v>0</v>
      </c>
      <c r="O593" s="15" t="n">
        <v>0</v>
      </c>
      <c r="P593" s="16" t="n">
        <v>0</v>
      </c>
      <c r="Q593" s="15" t="n">
        <v>0</v>
      </c>
      <c r="R593" s="15" t="n">
        <v>0</v>
      </c>
      <c r="S593" s="17" t="n">
        <v>0</v>
      </c>
      <c r="T593" s="15" t="s">
        <v>137</v>
      </c>
      <c r="U593" s="15" t="n">
        <v>2029</v>
      </c>
      <c r="V593" s="15" t="s">
        <v>1940</v>
      </c>
      <c r="W593" s="18" t="s">
        <v>139</v>
      </c>
      <c r="X593" s="18" t="s">
        <v>197</v>
      </c>
      <c r="Y593" s="15" t="s">
        <v>600</v>
      </c>
      <c r="Z593" s="15" t="s">
        <v>600</v>
      </c>
      <c r="AA593" s="19" t="str">
        <f aca="false">HYPERLINK("https://www.transfermarkt.com/schnellsuche/ergebnis/schnellsuche?query="&amp;SUBSTITUTE(A593," ","+"),"Search Transfermarkt")</f>
        <v>Search Transfermarkt</v>
      </c>
    </row>
    <row r="594" customFormat="false" ht="23.85" hidden="false" customHeight="false" outlineLevel="0" collapsed="false">
      <c r="A594" s="15" t="s">
        <v>1941</v>
      </c>
      <c r="B594" s="15" t="s">
        <v>82</v>
      </c>
      <c r="C594" s="15" t="s">
        <v>644</v>
      </c>
      <c r="D594" s="15" t="n">
        <v>3</v>
      </c>
      <c r="E594" s="15" t="s">
        <v>1942</v>
      </c>
      <c r="F594" s="15" t="s">
        <v>157</v>
      </c>
      <c r="G594" s="15" t="n">
        <v>21</v>
      </c>
      <c r="H594" s="15" t="n">
        <v>1117</v>
      </c>
      <c r="I594" s="15" t="n">
        <v>0</v>
      </c>
      <c r="J594" s="15" t="n">
        <v>0</v>
      </c>
      <c r="K594" s="15" t="n">
        <v>17</v>
      </c>
      <c r="L594" s="15" t="n">
        <v>3</v>
      </c>
      <c r="M594" s="15" t="n">
        <v>9</v>
      </c>
      <c r="N594" s="15" t="n">
        <v>26</v>
      </c>
      <c r="O594" s="15" t="n">
        <v>25</v>
      </c>
      <c r="P594" s="16" t="n">
        <v>89.2</v>
      </c>
      <c r="Q594" s="15" t="n">
        <v>16.7</v>
      </c>
      <c r="R594" s="15" t="n">
        <v>5</v>
      </c>
      <c r="S594" s="17" t="n">
        <v>140832</v>
      </c>
      <c r="T594" s="15" t="s">
        <v>164</v>
      </c>
      <c r="U594" s="15" t="n">
        <v>2026</v>
      </c>
      <c r="V594" s="15" t="s">
        <v>1943</v>
      </c>
      <c r="W594" s="18" t="s">
        <v>139</v>
      </c>
      <c r="X594" s="18" t="s">
        <v>166</v>
      </c>
      <c r="Y594" s="15" t="s">
        <v>600</v>
      </c>
      <c r="Z594" s="15" t="s">
        <v>600</v>
      </c>
      <c r="AA594" s="19" t="str">
        <f aca="false">HYPERLINK("https://www.transfermarkt.com/schnellsuche/ergebnis/schnellsuche?query="&amp;SUBSTITUTE(A594," ","+"),"Search Transfermarkt")</f>
        <v>Search Transfermarkt</v>
      </c>
    </row>
    <row r="595" customFormat="false" ht="23.85" hidden="false" customHeight="false" outlineLevel="0" collapsed="false">
      <c r="A595" s="15" t="s">
        <v>1944</v>
      </c>
      <c r="B595" s="15" t="s">
        <v>99</v>
      </c>
      <c r="C595" s="15" t="s">
        <v>1362</v>
      </c>
      <c r="D595" s="15" t="n">
        <v>2</v>
      </c>
      <c r="E595" s="15" t="s">
        <v>1945</v>
      </c>
      <c r="F595" s="15" t="s">
        <v>163</v>
      </c>
      <c r="G595" s="15" t="n">
        <v>23</v>
      </c>
      <c r="H595" s="15" t="n">
        <v>1639</v>
      </c>
      <c r="I595" s="15" t="n">
        <v>16</v>
      </c>
      <c r="J595" s="15" t="n">
        <v>3</v>
      </c>
      <c r="K595" s="15" t="n">
        <v>51</v>
      </c>
      <c r="L595" s="15" t="n">
        <v>87</v>
      </c>
      <c r="M595" s="15" t="n">
        <v>5</v>
      </c>
      <c r="N595" s="15" t="n">
        <v>0</v>
      </c>
      <c r="O595" s="15" t="n">
        <v>0</v>
      </c>
      <c r="P595" s="16" t="n">
        <v>0</v>
      </c>
      <c r="Q595" s="15" t="n">
        <v>0</v>
      </c>
      <c r="R595" s="15" t="n">
        <v>0</v>
      </c>
      <c r="S595" s="17" t="n">
        <v>137937</v>
      </c>
      <c r="T595" s="15" t="s">
        <v>137</v>
      </c>
      <c r="U595" s="15" t="n">
        <v>2026</v>
      </c>
      <c r="V595" s="15" t="s">
        <v>1946</v>
      </c>
      <c r="W595" s="18" t="s">
        <v>139</v>
      </c>
      <c r="X595" s="18" t="s">
        <v>189</v>
      </c>
      <c r="Y595" s="15" t="s">
        <v>600</v>
      </c>
      <c r="Z595" s="15" t="s">
        <v>600</v>
      </c>
      <c r="AA595" s="19" t="str">
        <f aca="false">HYPERLINK("https://www.transfermarkt.com/schnellsuche/ergebnis/schnellsuche?query="&amp;SUBSTITUTE(A595," ","+"),"Search Transfermarkt")</f>
        <v>Search Transfermarkt</v>
      </c>
    </row>
    <row r="596" customFormat="false" ht="23.85" hidden="false" customHeight="false" outlineLevel="0" collapsed="false">
      <c r="A596" s="15" t="s">
        <v>1947</v>
      </c>
      <c r="B596" s="15" t="s">
        <v>100</v>
      </c>
      <c r="C596" s="15" t="s">
        <v>1686</v>
      </c>
      <c r="D596" s="15" t="n">
        <v>4</v>
      </c>
      <c r="E596" s="15" t="s">
        <v>1586</v>
      </c>
      <c r="F596" s="15" t="s">
        <v>170</v>
      </c>
      <c r="G596" s="15" t="n">
        <v>25</v>
      </c>
      <c r="H596" s="15" t="n">
        <v>1556</v>
      </c>
      <c r="I596" s="15" t="n">
        <v>8</v>
      </c>
      <c r="J596" s="15" t="n">
        <v>4</v>
      </c>
      <c r="K596" s="15" t="n">
        <v>160</v>
      </c>
      <c r="L596" s="15" t="n">
        <v>69</v>
      </c>
      <c r="M596" s="15" t="n">
        <v>41</v>
      </c>
      <c r="N596" s="15" t="n">
        <v>0</v>
      </c>
      <c r="O596" s="15" t="n">
        <v>0</v>
      </c>
      <c r="P596" s="16" t="n">
        <v>0</v>
      </c>
      <c r="Q596" s="15" t="n">
        <v>0</v>
      </c>
      <c r="R596" s="15" t="n">
        <v>0</v>
      </c>
      <c r="S596" s="17" t="n">
        <v>63880</v>
      </c>
      <c r="T596" s="15" t="s">
        <v>137</v>
      </c>
      <c r="U596" s="15" t="n">
        <v>2029</v>
      </c>
      <c r="V596" s="15" t="s">
        <v>1587</v>
      </c>
      <c r="W596" s="18" t="s">
        <v>139</v>
      </c>
      <c r="X596" s="18" t="s">
        <v>221</v>
      </c>
      <c r="Y596" s="15" t="s">
        <v>600</v>
      </c>
      <c r="Z596" s="15" t="s">
        <v>600</v>
      </c>
      <c r="AA596" s="19" t="str">
        <f aca="false">HYPERLINK("https://www.transfermarkt.com/schnellsuche/ergebnis/schnellsuche?query="&amp;SUBSTITUTE(A596," ","+"),"Search Transfermarkt")</f>
        <v>Search Transfermarkt</v>
      </c>
    </row>
    <row r="597" customFormat="false" ht="23.85" hidden="false" customHeight="false" outlineLevel="0" collapsed="false">
      <c r="A597" s="15" t="s">
        <v>1948</v>
      </c>
      <c r="B597" s="15" t="s">
        <v>62</v>
      </c>
      <c r="C597" s="15" t="s">
        <v>393</v>
      </c>
      <c r="D597" s="15" t="n">
        <v>3</v>
      </c>
      <c r="E597" s="15" t="s">
        <v>1949</v>
      </c>
      <c r="F597" s="15" t="s">
        <v>163</v>
      </c>
      <c r="G597" s="15" t="n">
        <v>25</v>
      </c>
      <c r="H597" s="15" t="n">
        <v>1107</v>
      </c>
      <c r="I597" s="15" t="n">
        <v>13</v>
      </c>
      <c r="J597" s="15" t="n">
        <v>8</v>
      </c>
      <c r="K597" s="15" t="n">
        <v>46</v>
      </c>
      <c r="L597" s="15" t="n">
        <v>75</v>
      </c>
      <c r="M597" s="15" t="n">
        <v>6</v>
      </c>
      <c r="N597" s="15" t="n">
        <v>0</v>
      </c>
      <c r="O597" s="15" t="n">
        <v>0</v>
      </c>
      <c r="P597" s="16" t="n">
        <v>0</v>
      </c>
      <c r="Q597" s="15" t="n">
        <v>0</v>
      </c>
      <c r="R597" s="15" t="n">
        <v>0</v>
      </c>
      <c r="S597" s="17" t="n">
        <v>0</v>
      </c>
      <c r="T597" s="15" t="s">
        <v>137</v>
      </c>
      <c r="U597" s="15" t="n">
        <v>2027</v>
      </c>
      <c r="V597" s="15" t="s">
        <v>1950</v>
      </c>
      <c r="W597" s="18" t="s">
        <v>139</v>
      </c>
      <c r="X597" s="18" t="s">
        <v>211</v>
      </c>
      <c r="Y597" s="15" t="s">
        <v>600</v>
      </c>
      <c r="Z597" s="15" t="s">
        <v>600</v>
      </c>
      <c r="AA597" s="19" t="str">
        <f aca="false">HYPERLINK("https://www.transfermarkt.com/schnellsuche/ergebnis/schnellsuche?query="&amp;SUBSTITUTE(A597," ","+"),"Search Transfermarkt")</f>
        <v>Search Transfermarkt</v>
      </c>
    </row>
    <row r="598" customFormat="false" ht="23.85" hidden="false" customHeight="false" outlineLevel="0" collapsed="false">
      <c r="A598" s="15" t="s">
        <v>1951</v>
      </c>
      <c r="B598" s="15" t="s">
        <v>89</v>
      </c>
      <c r="C598" s="15" t="s">
        <v>969</v>
      </c>
      <c r="D598" s="15" t="n">
        <v>2</v>
      </c>
      <c r="E598" s="15" t="s">
        <v>1952</v>
      </c>
      <c r="F598" s="15" t="s">
        <v>163</v>
      </c>
      <c r="G598" s="15" t="n">
        <v>20</v>
      </c>
      <c r="H598" s="15" t="n">
        <v>2592</v>
      </c>
      <c r="I598" s="15" t="n">
        <v>8</v>
      </c>
      <c r="J598" s="15" t="n">
        <v>7</v>
      </c>
      <c r="K598" s="15" t="n">
        <v>40</v>
      </c>
      <c r="L598" s="15" t="n">
        <v>77</v>
      </c>
      <c r="M598" s="15" t="n">
        <v>11</v>
      </c>
      <c r="N598" s="15" t="n">
        <v>0</v>
      </c>
      <c r="O598" s="15" t="n">
        <v>0</v>
      </c>
      <c r="P598" s="16" t="n">
        <v>0</v>
      </c>
      <c r="Q598" s="15" t="n">
        <v>0</v>
      </c>
      <c r="R598" s="15" t="n">
        <v>0</v>
      </c>
      <c r="S598" s="17" t="n">
        <v>9892</v>
      </c>
      <c r="T598" s="15" t="s">
        <v>137</v>
      </c>
      <c r="U598" s="15" t="n">
        <v>2026</v>
      </c>
      <c r="V598" s="15" t="s">
        <v>1953</v>
      </c>
      <c r="W598" s="18" t="s">
        <v>139</v>
      </c>
      <c r="X598" s="18" t="s">
        <v>206</v>
      </c>
      <c r="Y598" s="15" t="s">
        <v>600</v>
      </c>
      <c r="Z598" s="15" t="s">
        <v>600</v>
      </c>
      <c r="AA598" s="19" t="str">
        <f aca="false">HYPERLINK("https://www.transfermarkt.com/schnellsuche/ergebnis/schnellsuche?query="&amp;SUBSTITUTE(A598," ","+"),"Search Transfermarkt")</f>
        <v>Search Transfermarkt</v>
      </c>
    </row>
    <row r="599" customFormat="false" ht="23.85" hidden="false" customHeight="false" outlineLevel="0" collapsed="false">
      <c r="A599" s="15" t="s">
        <v>1954</v>
      </c>
      <c r="B599" s="15" t="s">
        <v>94</v>
      </c>
      <c r="C599" s="15" t="s">
        <v>1085</v>
      </c>
      <c r="D599" s="15" t="n">
        <v>2</v>
      </c>
      <c r="E599" s="15" t="s">
        <v>1955</v>
      </c>
      <c r="F599" s="15" t="s">
        <v>163</v>
      </c>
      <c r="G599" s="15" t="n">
        <v>24</v>
      </c>
      <c r="H599" s="15" t="n">
        <v>2446</v>
      </c>
      <c r="I599" s="15" t="n">
        <v>16</v>
      </c>
      <c r="J599" s="15" t="n">
        <v>9</v>
      </c>
      <c r="K599" s="15" t="n">
        <v>28</v>
      </c>
      <c r="L599" s="15" t="n">
        <v>98</v>
      </c>
      <c r="M599" s="15" t="n">
        <v>6</v>
      </c>
      <c r="N599" s="15" t="n">
        <v>0</v>
      </c>
      <c r="O599" s="15" t="n">
        <v>0</v>
      </c>
      <c r="P599" s="16" t="n">
        <v>0</v>
      </c>
      <c r="Q599" s="15" t="n">
        <v>0</v>
      </c>
      <c r="R599" s="15" t="n">
        <v>0</v>
      </c>
      <c r="S599" s="17" t="n">
        <v>100301</v>
      </c>
      <c r="T599" s="15" t="s">
        <v>164</v>
      </c>
      <c r="U599" s="15" t="n">
        <v>2029</v>
      </c>
      <c r="V599" s="15" t="s">
        <v>1956</v>
      </c>
      <c r="W599" s="18" t="s">
        <v>139</v>
      </c>
      <c r="X599" s="18" t="s">
        <v>226</v>
      </c>
      <c r="Y599" s="15" t="s">
        <v>600</v>
      </c>
      <c r="Z599" s="15" t="s">
        <v>600</v>
      </c>
      <c r="AA599" s="19" t="str">
        <f aca="false">HYPERLINK("https://www.transfermarkt.com/schnellsuche/ergebnis/schnellsuche?query="&amp;SUBSTITUTE(A599," ","+"),"Search Transfermarkt")</f>
        <v>Search Transfermarkt</v>
      </c>
    </row>
    <row r="600" customFormat="false" ht="23.85" hidden="false" customHeight="false" outlineLevel="0" collapsed="false">
      <c r="A600" s="15" t="s">
        <v>1957</v>
      </c>
      <c r="B600" s="15" t="s">
        <v>89</v>
      </c>
      <c r="C600" s="15" t="s">
        <v>1523</v>
      </c>
      <c r="D600" s="15" t="n">
        <v>3</v>
      </c>
      <c r="E600" s="15" t="s">
        <v>549</v>
      </c>
      <c r="F600" s="15" t="s">
        <v>163</v>
      </c>
      <c r="G600" s="15" t="n">
        <v>23</v>
      </c>
      <c r="H600" s="15" t="n">
        <v>2191</v>
      </c>
      <c r="I600" s="15" t="n">
        <v>7</v>
      </c>
      <c r="J600" s="15" t="n">
        <v>6</v>
      </c>
      <c r="K600" s="15" t="n">
        <v>59</v>
      </c>
      <c r="L600" s="15" t="n">
        <v>73</v>
      </c>
      <c r="M600" s="15" t="n">
        <v>15</v>
      </c>
      <c r="N600" s="15" t="n">
        <v>0</v>
      </c>
      <c r="O600" s="15" t="n">
        <v>0</v>
      </c>
      <c r="P600" s="16" t="n">
        <v>0</v>
      </c>
      <c r="Q600" s="15" t="n">
        <v>0</v>
      </c>
      <c r="R600" s="15" t="n">
        <v>0</v>
      </c>
      <c r="S600" s="17" t="n">
        <v>57157</v>
      </c>
      <c r="T600" s="15" t="s">
        <v>137</v>
      </c>
      <c r="U600" s="15" t="n">
        <v>2029</v>
      </c>
      <c r="V600" s="15" t="s">
        <v>550</v>
      </c>
      <c r="W600" s="18" t="s">
        <v>139</v>
      </c>
      <c r="X600" s="18" t="s">
        <v>206</v>
      </c>
      <c r="Y600" s="15" t="s">
        <v>600</v>
      </c>
      <c r="Z600" s="15" t="s">
        <v>600</v>
      </c>
      <c r="AA600" s="19" t="str">
        <f aca="false">HYPERLINK("https://www.transfermarkt.com/schnellsuche/ergebnis/schnellsuche?query="&amp;SUBSTITUTE(A600," ","+"),"Search Transfermarkt")</f>
        <v>Search Transfermarkt</v>
      </c>
    </row>
    <row r="601" customFormat="false" ht="23.85" hidden="false" customHeight="false" outlineLevel="0" collapsed="false">
      <c r="A601" s="15" t="s">
        <v>1958</v>
      </c>
      <c r="B601" s="15" t="s">
        <v>82</v>
      </c>
      <c r="C601" s="15" t="s">
        <v>552</v>
      </c>
      <c r="D601" s="15" t="n">
        <v>3</v>
      </c>
      <c r="E601" s="15" t="s">
        <v>1858</v>
      </c>
      <c r="F601" s="15" t="s">
        <v>170</v>
      </c>
      <c r="G601" s="15" t="n">
        <v>17</v>
      </c>
      <c r="H601" s="15" t="n">
        <v>843</v>
      </c>
      <c r="I601" s="15" t="n">
        <v>4</v>
      </c>
      <c r="J601" s="15" t="n">
        <v>11</v>
      </c>
      <c r="K601" s="15" t="n">
        <v>172</v>
      </c>
      <c r="L601" s="15" t="n">
        <v>78</v>
      </c>
      <c r="M601" s="15" t="n">
        <v>40</v>
      </c>
      <c r="N601" s="15" t="n">
        <v>0</v>
      </c>
      <c r="O601" s="15" t="n">
        <v>0</v>
      </c>
      <c r="P601" s="16" t="n">
        <v>0</v>
      </c>
      <c r="Q601" s="15" t="n">
        <v>0</v>
      </c>
      <c r="R601" s="15" t="n">
        <v>0</v>
      </c>
      <c r="S601" s="17" t="n">
        <v>46858</v>
      </c>
      <c r="T601" s="15" t="s">
        <v>186</v>
      </c>
      <c r="U601" s="15" t="n">
        <v>2028</v>
      </c>
      <c r="V601" s="15" t="s">
        <v>1859</v>
      </c>
      <c r="W601" s="18" t="s">
        <v>147</v>
      </c>
      <c r="X601" s="18" t="s">
        <v>166</v>
      </c>
      <c r="Y601" s="15" t="s">
        <v>600</v>
      </c>
      <c r="Z601" s="15" t="s">
        <v>600</v>
      </c>
      <c r="AA601" s="19" t="str">
        <f aca="false">HYPERLINK("https://www.transfermarkt.com/schnellsuche/ergebnis/schnellsuche?query="&amp;SUBSTITUTE(A601," ","+"),"Search Transfermarkt")</f>
        <v>Search Transfermarkt</v>
      </c>
    </row>
    <row r="602" customFormat="false" ht="23.85" hidden="false" customHeight="false" outlineLevel="0" collapsed="false">
      <c r="A602" s="15" t="s">
        <v>1959</v>
      </c>
      <c r="B602" s="15" t="s">
        <v>77</v>
      </c>
      <c r="C602" s="15" t="s">
        <v>544</v>
      </c>
      <c r="D602" s="15" t="n">
        <v>2</v>
      </c>
      <c r="E602" s="15" t="s">
        <v>1960</v>
      </c>
      <c r="F602" s="15" t="s">
        <v>170</v>
      </c>
      <c r="G602" s="15" t="n">
        <v>26</v>
      </c>
      <c r="H602" s="15" t="n">
        <v>2017</v>
      </c>
      <c r="I602" s="15" t="n">
        <v>9</v>
      </c>
      <c r="J602" s="15" t="n">
        <v>14</v>
      </c>
      <c r="K602" s="15" t="n">
        <v>149</v>
      </c>
      <c r="L602" s="15" t="n">
        <v>56</v>
      </c>
      <c r="M602" s="15" t="n">
        <v>56</v>
      </c>
      <c r="N602" s="15" t="n">
        <v>0</v>
      </c>
      <c r="O602" s="15" t="n">
        <v>0</v>
      </c>
      <c r="P602" s="16" t="n">
        <v>0</v>
      </c>
      <c r="Q602" s="15" t="n">
        <v>0</v>
      </c>
      <c r="R602" s="15" t="n">
        <v>0</v>
      </c>
      <c r="S602" s="17" t="n">
        <v>137538</v>
      </c>
      <c r="T602" s="15" t="s">
        <v>137</v>
      </c>
      <c r="U602" s="15" t="n">
        <v>2028</v>
      </c>
      <c r="V602" s="15" t="s">
        <v>1961</v>
      </c>
      <c r="W602" s="18" t="s">
        <v>139</v>
      </c>
      <c r="X602" s="18" t="s">
        <v>358</v>
      </c>
      <c r="Y602" s="15" t="s">
        <v>600</v>
      </c>
      <c r="Z602" s="15" t="s">
        <v>600</v>
      </c>
      <c r="AA602" s="19" t="str">
        <f aca="false">HYPERLINK("https://www.transfermarkt.com/schnellsuche/ergebnis/schnellsuche?query="&amp;SUBSTITUTE(A602," ","+"),"Search Transfermarkt")</f>
        <v>Search Transfermarkt</v>
      </c>
    </row>
    <row r="603" customFormat="false" ht="23.85" hidden="false" customHeight="false" outlineLevel="0" collapsed="false">
      <c r="A603" s="15" t="s">
        <v>1962</v>
      </c>
      <c r="B603" s="15" t="s">
        <v>89</v>
      </c>
      <c r="C603" s="15" t="s">
        <v>1298</v>
      </c>
      <c r="D603" s="15" t="n">
        <v>3</v>
      </c>
      <c r="E603" s="15" t="s">
        <v>919</v>
      </c>
      <c r="F603" s="15" t="s">
        <v>157</v>
      </c>
      <c r="G603" s="15" t="n">
        <v>18</v>
      </c>
      <c r="H603" s="15" t="n">
        <v>2651</v>
      </c>
      <c r="I603" s="15" t="n">
        <v>0</v>
      </c>
      <c r="J603" s="15" t="n">
        <v>0</v>
      </c>
      <c r="K603" s="15" t="n">
        <v>16</v>
      </c>
      <c r="L603" s="15" t="n">
        <v>0</v>
      </c>
      <c r="M603" s="15" t="n">
        <v>3</v>
      </c>
      <c r="N603" s="15" t="n">
        <v>90</v>
      </c>
      <c r="O603" s="15" t="n">
        <v>63</v>
      </c>
      <c r="P603" s="16" t="n">
        <v>82.9</v>
      </c>
      <c r="Q603" s="15" t="n">
        <v>20.4</v>
      </c>
      <c r="R603" s="15" t="n">
        <v>8</v>
      </c>
      <c r="S603" s="17" t="n">
        <v>100854</v>
      </c>
      <c r="T603" s="15" t="s">
        <v>164</v>
      </c>
      <c r="U603" s="15" t="n">
        <v>2026</v>
      </c>
      <c r="V603" s="15" t="s">
        <v>920</v>
      </c>
      <c r="W603" s="18" t="s">
        <v>139</v>
      </c>
      <c r="X603" s="18" t="s">
        <v>206</v>
      </c>
      <c r="Y603" s="15" t="s">
        <v>600</v>
      </c>
      <c r="Z603" s="15" t="s">
        <v>600</v>
      </c>
      <c r="AA603" s="19" t="str">
        <f aca="false">HYPERLINK("https://www.transfermarkt.com/schnellsuche/ergebnis/schnellsuche?query="&amp;SUBSTITUTE(A603," ","+"),"Search Transfermarkt")</f>
        <v>Search Transfermarkt</v>
      </c>
    </row>
    <row r="604" customFormat="false" ht="23.85" hidden="false" customHeight="false" outlineLevel="0" collapsed="false">
      <c r="A604" s="15" t="s">
        <v>1963</v>
      </c>
      <c r="B604" s="15" t="s">
        <v>92</v>
      </c>
      <c r="C604" s="15" t="s">
        <v>155</v>
      </c>
      <c r="D604" s="15" t="n">
        <v>2</v>
      </c>
      <c r="E604" s="15" t="s">
        <v>1403</v>
      </c>
      <c r="F604" s="15" t="s">
        <v>163</v>
      </c>
      <c r="G604" s="15" t="n">
        <v>24</v>
      </c>
      <c r="H604" s="15" t="n">
        <v>1449</v>
      </c>
      <c r="I604" s="15" t="n">
        <v>9</v>
      </c>
      <c r="J604" s="15" t="n">
        <v>3</v>
      </c>
      <c r="K604" s="15" t="n">
        <v>67</v>
      </c>
      <c r="L604" s="15" t="n">
        <v>61</v>
      </c>
      <c r="M604" s="15" t="n">
        <v>13</v>
      </c>
      <c r="N604" s="15" t="n">
        <v>0</v>
      </c>
      <c r="O604" s="15" t="n">
        <v>0</v>
      </c>
      <c r="P604" s="16" t="n">
        <v>0</v>
      </c>
      <c r="Q604" s="15" t="n">
        <v>0</v>
      </c>
      <c r="R604" s="15" t="n">
        <v>0</v>
      </c>
      <c r="S604" s="17" t="n">
        <v>94225</v>
      </c>
      <c r="T604" s="15" t="s">
        <v>137</v>
      </c>
      <c r="U604" s="15" t="n">
        <v>2029</v>
      </c>
      <c r="V604" s="15" t="s">
        <v>1404</v>
      </c>
      <c r="W604" s="18" t="s">
        <v>139</v>
      </c>
      <c r="X604" s="18" t="s">
        <v>159</v>
      </c>
      <c r="Y604" s="15" t="s">
        <v>600</v>
      </c>
      <c r="Z604" s="15" t="s">
        <v>600</v>
      </c>
      <c r="AA604" s="19" t="str">
        <f aca="false">HYPERLINK("https://www.transfermarkt.com/schnellsuche/ergebnis/schnellsuche?query="&amp;SUBSTITUTE(A604," ","+"),"Search Transfermarkt")</f>
        <v>Search Transfermarkt</v>
      </c>
    </row>
    <row r="605" customFormat="false" ht="23.85" hidden="false" customHeight="false" outlineLevel="0" collapsed="false">
      <c r="A605" s="15" t="s">
        <v>1964</v>
      </c>
      <c r="B605" s="15" t="s">
        <v>88</v>
      </c>
      <c r="C605" s="15" t="s">
        <v>343</v>
      </c>
      <c r="D605" s="15" t="n">
        <v>2</v>
      </c>
      <c r="E605" s="15" t="s">
        <v>1531</v>
      </c>
      <c r="F605" s="15" t="s">
        <v>170</v>
      </c>
      <c r="G605" s="15" t="n">
        <v>24</v>
      </c>
      <c r="H605" s="15" t="n">
        <v>981</v>
      </c>
      <c r="I605" s="15" t="n">
        <v>9</v>
      </c>
      <c r="J605" s="15" t="n">
        <v>7</v>
      </c>
      <c r="K605" s="15" t="n">
        <v>120</v>
      </c>
      <c r="L605" s="15" t="n">
        <v>54</v>
      </c>
      <c r="M605" s="15" t="n">
        <v>57</v>
      </c>
      <c r="N605" s="15" t="n">
        <v>0</v>
      </c>
      <c r="O605" s="15" t="n">
        <v>0</v>
      </c>
      <c r="P605" s="16" t="n">
        <v>0</v>
      </c>
      <c r="Q605" s="15" t="n">
        <v>0</v>
      </c>
      <c r="R605" s="15" t="n">
        <v>0</v>
      </c>
      <c r="S605" s="17" t="n">
        <v>74187</v>
      </c>
      <c r="T605" s="15" t="s">
        <v>137</v>
      </c>
      <c r="U605" s="15" t="n">
        <v>2029</v>
      </c>
      <c r="V605" s="15" t="s">
        <v>1532</v>
      </c>
      <c r="W605" s="18" t="s">
        <v>139</v>
      </c>
      <c r="X605" s="18" t="s">
        <v>320</v>
      </c>
      <c r="Y605" s="15" t="s">
        <v>600</v>
      </c>
      <c r="Z605" s="15" t="s">
        <v>600</v>
      </c>
      <c r="AA605" s="19" t="str">
        <f aca="false">HYPERLINK("https://www.transfermarkt.com/schnellsuche/ergebnis/schnellsuche?query="&amp;SUBSTITUTE(A605," ","+"),"Search Transfermarkt")</f>
        <v>Search Transfermarkt</v>
      </c>
    </row>
    <row r="606" customFormat="false" ht="23.85" hidden="false" customHeight="false" outlineLevel="0" collapsed="false">
      <c r="A606" s="15" t="s">
        <v>1965</v>
      </c>
      <c r="B606" s="15" t="s">
        <v>86</v>
      </c>
      <c r="C606" s="15" t="s">
        <v>470</v>
      </c>
      <c r="D606" s="15" t="n">
        <v>4</v>
      </c>
      <c r="E606" s="15" t="s">
        <v>529</v>
      </c>
      <c r="F606" s="15" t="s">
        <v>163</v>
      </c>
      <c r="G606" s="15" t="n">
        <v>22</v>
      </c>
      <c r="H606" s="15" t="n">
        <v>1796</v>
      </c>
      <c r="I606" s="15" t="n">
        <v>7</v>
      </c>
      <c r="J606" s="15" t="n">
        <v>5</v>
      </c>
      <c r="K606" s="15" t="n">
        <v>44</v>
      </c>
      <c r="L606" s="15" t="n">
        <v>60</v>
      </c>
      <c r="M606" s="15" t="n">
        <v>13</v>
      </c>
      <c r="N606" s="15" t="n">
        <v>0</v>
      </c>
      <c r="O606" s="15" t="n">
        <v>0</v>
      </c>
      <c r="P606" s="16" t="n">
        <v>0</v>
      </c>
      <c r="Q606" s="15" t="n">
        <v>0</v>
      </c>
      <c r="R606" s="15" t="n">
        <v>0</v>
      </c>
      <c r="S606" s="17" t="n">
        <v>137016</v>
      </c>
      <c r="T606" s="15" t="s">
        <v>137</v>
      </c>
      <c r="U606" s="15" t="n">
        <v>2026</v>
      </c>
      <c r="V606" s="15" t="s">
        <v>530</v>
      </c>
      <c r="W606" s="18" t="s">
        <v>139</v>
      </c>
      <c r="X606" s="18" t="s">
        <v>473</v>
      </c>
      <c r="Y606" s="15" t="s">
        <v>600</v>
      </c>
      <c r="Z606" s="15" t="s">
        <v>600</v>
      </c>
      <c r="AA606" s="19" t="str">
        <f aca="false">HYPERLINK("https://www.transfermarkt.com/schnellsuche/ergebnis/schnellsuche?query="&amp;SUBSTITUTE(A606," ","+"),"Search Transfermarkt")</f>
        <v>Search Transfermarkt</v>
      </c>
    </row>
    <row r="607" customFormat="false" ht="23.85" hidden="false" customHeight="false" outlineLevel="0" collapsed="false">
      <c r="A607" s="15" t="s">
        <v>1966</v>
      </c>
      <c r="B607" s="15" t="s">
        <v>86</v>
      </c>
      <c r="C607" s="15" t="s">
        <v>1277</v>
      </c>
      <c r="D607" s="15" t="n">
        <v>2</v>
      </c>
      <c r="E607" s="15" t="s">
        <v>1967</v>
      </c>
      <c r="F607" s="15" t="s">
        <v>170</v>
      </c>
      <c r="G607" s="15" t="n">
        <v>22</v>
      </c>
      <c r="H607" s="15" t="n">
        <v>2157</v>
      </c>
      <c r="I607" s="15" t="n">
        <v>10</v>
      </c>
      <c r="J607" s="15" t="n">
        <v>8</v>
      </c>
      <c r="K607" s="15" t="n">
        <v>171</v>
      </c>
      <c r="L607" s="15" t="n">
        <v>75</v>
      </c>
      <c r="M607" s="15" t="n">
        <v>58</v>
      </c>
      <c r="N607" s="15" t="n">
        <v>0</v>
      </c>
      <c r="O607" s="15" t="n">
        <v>0</v>
      </c>
      <c r="P607" s="16" t="n">
        <v>0</v>
      </c>
      <c r="Q607" s="15" t="n">
        <v>0</v>
      </c>
      <c r="R607" s="15" t="n">
        <v>0</v>
      </c>
      <c r="S607" s="17" t="n">
        <v>0</v>
      </c>
      <c r="T607" s="15" t="s">
        <v>186</v>
      </c>
      <c r="U607" s="15" t="n">
        <v>2028</v>
      </c>
      <c r="V607" s="15" t="s">
        <v>1968</v>
      </c>
      <c r="W607" s="18" t="s">
        <v>188</v>
      </c>
      <c r="X607" s="18" t="s">
        <v>473</v>
      </c>
      <c r="Y607" s="15" t="s">
        <v>600</v>
      </c>
      <c r="Z607" s="15" t="s">
        <v>600</v>
      </c>
      <c r="AA607" s="19" t="str">
        <f aca="false">HYPERLINK("https://www.transfermarkt.com/schnellsuche/ergebnis/schnellsuche?query="&amp;SUBSTITUTE(A607," ","+"),"Search Transfermarkt")</f>
        <v>Search Transfermarkt</v>
      </c>
    </row>
    <row r="608" customFormat="false" ht="23.85" hidden="false" customHeight="false" outlineLevel="0" collapsed="false">
      <c r="A608" s="15" t="s">
        <v>1969</v>
      </c>
      <c r="B608" s="15" t="s">
        <v>64</v>
      </c>
      <c r="C608" s="15" t="s">
        <v>1970</v>
      </c>
      <c r="D608" s="15" t="n">
        <v>3</v>
      </c>
      <c r="E608" s="15" t="s">
        <v>1971</v>
      </c>
      <c r="F608" s="15" t="s">
        <v>163</v>
      </c>
      <c r="G608" s="15" t="n">
        <v>26</v>
      </c>
      <c r="H608" s="15" t="n">
        <v>2010</v>
      </c>
      <c r="I608" s="15" t="n">
        <v>16</v>
      </c>
      <c r="J608" s="15" t="n">
        <v>3</v>
      </c>
      <c r="K608" s="15" t="n">
        <v>29</v>
      </c>
      <c r="L608" s="15" t="n">
        <v>93</v>
      </c>
      <c r="M608" s="15" t="n">
        <v>7</v>
      </c>
      <c r="N608" s="15" t="n">
        <v>0</v>
      </c>
      <c r="O608" s="15" t="n">
        <v>0</v>
      </c>
      <c r="P608" s="16" t="n">
        <v>0</v>
      </c>
      <c r="Q608" s="15" t="n">
        <v>0</v>
      </c>
      <c r="R608" s="15" t="n">
        <v>0</v>
      </c>
      <c r="S608" s="17" t="n">
        <v>56304</v>
      </c>
      <c r="T608" s="15" t="s">
        <v>137</v>
      </c>
      <c r="U608" s="15" t="n">
        <v>2029</v>
      </c>
      <c r="V608" s="15" t="s">
        <v>1972</v>
      </c>
      <c r="W608" s="18" t="s">
        <v>139</v>
      </c>
      <c r="X608" s="18" t="s">
        <v>231</v>
      </c>
      <c r="Y608" s="15" t="s">
        <v>600</v>
      </c>
      <c r="Z608" s="15" t="s">
        <v>600</v>
      </c>
      <c r="AA608" s="19" t="str">
        <f aca="false">HYPERLINK("https://www.transfermarkt.com/schnellsuche/ergebnis/schnellsuche?query="&amp;SUBSTITUTE(A608," ","+"),"Search Transfermarkt")</f>
        <v>Search Transfermarkt</v>
      </c>
    </row>
    <row r="609" customFormat="false" ht="23.85" hidden="false" customHeight="false" outlineLevel="0" collapsed="false">
      <c r="A609" s="15" t="s">
        <v>1973</v>
      </c>
      <c r="B609" s="15" t="s">
        <v>85</v>
      </c>
      <c r="C609" s="15" t="s">
        <v>330</v>
      </c>
      <c r="D609" s="15" t="n">
        <v>2</v>
      </c>
      <c r="E609" s="15" t="s">
        <v>1974</v>
      </c>
      <c r="F609" s="15" t="s">
        <v>136</v>
      </c>
      <c r="G609" s="15" t="n">
        <v>21</v>
      </c>
      <c r="H609" s="15" t="n">
        <v>2221</v>
      </c>
      <c r="I609" s="15" t="n">
        <v>0</v>
      </c>
      <c r="J609" s="15" t="n">
        <v>0</v>
      </c>
      <c r="K609" s="15" t="n">
        <v>69</v>
      </c>
      <c r="L609" s="15" t="n">
        <v>36</v>
      </c>
      <c r="M609" s="15" t="n">
        <v>117</v>
      </c>
      <c r="N609" s="15" t="n">
        <v>0</v>
      </c>
      <c r="O609" s="15" t="n">
        <v>0</v>
      </c>
      <c r="P609" s="16" t="n">
        <v>0</v>
      </c>
      <c r="Q609" s="15" t="n">
        <v>0</v>
      </c>
      <c r="R609" s="15" t="n">
        <v>0</v>
      </c>
      <c r="S609" s="17" t="n">
        <v>10877</v>
      </c>
      <c r="T609" s="15" t="s">
        <v>137</v>
      </c>
      <c r="U609" s="15" t="n">
        <v>2027</v>
      </c>
      <c r="V609" s="15" t="s">
        <v>1975</v>
      </c>
      <c r="W609" s="18" t="s">
        <v>139</v>
      </c>
      <c r="X609" s="18" t="s">
        <v>265</v>
      </c>
      <c r="Y609" s="15" t="s">
        <v>600</v>
      </c>
      <c r="Z609" s="15" t="s">
        <v>600</v>
      </c>
      <c r="AA609" s="19" t="str">
        <f aca="false">HYPERLINK("https://www.transfermarkt.com/schnellsuche/ergebnis/schnellsuche?query="&amp;SUBSTITUTE(A609," ","+"),"Search Transfermarkt")</f>
        <v>Search Transfermarkt</v>
      </c>
    </row>
    <row r="610" customFormat="false" ht="23.85" hidden="false" customHeight="false" outlineLevel="0" collapsed="false">
      <c r="A610" s="15" t="s">
        <v>1976</v>
      </c>
      <c r="B610" s="15" t="s">
        <v>76</v>
      </c>
      <c r="C610" s="15" t="s">
        <v>1190</v>
      </c>
      <c r="D610" s="15" t="n">
        <v>2</v>
      </c>
      <c r="E610" s="15" t="s">
        <v>1977</v>
      </c>
      <c r="F610" s="15" t="s">
        <v>163</v>
      </c>
      <c r="G610" s="15" t="n">
        <v>21</v>
      </c>
      <c r="H610" s="15" t="n">
        <v>901</v>
      </c>
      <c r="I610" s="15" t="n">
        <v>20</v>
      </c>
      <c r="J610" s="15" t="n">
        <v>2</v>
      </c>
      <c r="K610" s="15" t="n">
        <v>47</v>
      </c>
      <c r="L610" s="15" t="n">
        <v>97</v>
      </c>
      <c r="M610" s="15" t="n">
        <v>14</v>
      </c>
      <c r="N610" s="15" t="n">
        <v>0</v>
      </c>
      <c r="O610" s="15" t="n">
        <v>0</v>
      </c>
      <c r="P610" s="16" t="n">
        <v>0</v>
      </c>
      <c r="Q610" s="15" t="n">
        <v>0</v>
      </c>
      <c r="R610" s="15" t="n">
        <v>0</v>
      </c>
      <c r="S610" s="17" t="n">
        <v>82412</v>
      </c>
      <c r="T610" s="15" t="s">
        <v>137</v>
      </c>
      <c r="U610" s="15" t="n">
        <v>2027</v>
      </c>
      <c r="V610" s="15" t="s">
        <v>1978</v>
      </c>
      <c r="W610" s="18" t="s">
        <v>139</v>
      </c>
      <c r="X610" s="18" t="s">
        <v>241</v>
      </c>
      <c r="Y610" s="15" t="s">
        <v>600</v>
      </c>
      <c r="Z610" s="15" t="s">
        <v>600</v>
      </c>
      <c r="AA610" s="19" t="str">
        <f aca="false">HYPERLINK("https://www.transfermarkt.com/schnellsuche/ergebnis/schnellsuche?query="&amp;SUBSTITUTE(A610," ","+"),"Search Transfermarkt")</f>
        <v>Search Transfermarkt</v>
      </c>
    </row>
    <row r="611" customFormat="false" ht="23.85" hidden="false" customHeight="false" outlineLevel="0" collapsed="false">
      <c r="A611" s="15" t="s">
        <v>1979</v>
      </c>
      <c r="B611" s="15" t="s">
        <v>94</v>
      </c>
      <c r="C611" s="15" t="s">
        <v>334</v>
      </c>
      <c r="D611" s="15" t="n">
        <v>2</v>
      </c>
      <c r="E611" s="15" t="s">
        <v>1980</v>
      </c>
      <c r="F611" s="15" t="s">
        <v>170</v>
      </c>
      <c r="G611" s="15" t="n">
        <v>25</v>
      </c>
      <c r="H611" s="15" t="n">
        <v>2542</v>
      </c>
      <c r="I611" s="15" t="n">
        <v>9</v>
      </c>
      <c r="J611" s="15" t="n">
        <v>9</v>
      </c>
      <c r="K611" s="15" t="n">
        <v>130</v>
      </c>
      <c r="L611" s="15" t="n">
        <v>88</v>
      </c>
      <c r="M611" s="15" t="n">
        <v>33</v>
      </c>
      <c r="N611" s="15" t="n">
        <v>0</v>
      </c>
      <c r="O611" s="15" t="n">
        <v>0</v>
      </c>
      <c r="P611" s="16" t="n">
        <v>0</v>
      </c>
      <c r="Q611" s="15" t="n">
        <v>0</v>
      </c>
      <c r="R611" s="15" t="n">
        <v>0</v>
      </c>
      <c r="S611" s="17" t="n">
        <v>66359</v>
      </c>
      <c r="T611" s="15" t="s">
        <v>186</v>
      </c>
      <c r="U611" s="15" t="n">
        <v>2026</v>
      </c>
      <c r="V611" s="15" t="s">
        <v>1981</v>
      </c>
      <c r="W611" s="18" t="s">
        <v>188</v>
      </c>
      <c r="X611" s="18" t="s">
        <v>226</v>
      </c>
      <c r="Y611" s="15" t="s">
        <v>600</v>
      </c>
      <c r="Z611" s="15" t="s">
        <v>600</v>
      </c>
      <c r="AA611" s="19" t="str">
        <f aca="false">HYPERLINK("https://www.transfermarkt.com/schnellsuche/ergebnis/schnellsuche?query="&amp;SUBSTITUTE(A611," ","+"),"Search Transfermarkt")</f>
        <v>Search Transfermarkt</v>
      </c>
    </row>
    <row r="612" customFormat="false" ht="23.85" hidden="false" customHeight="false" outlineLevel="0" collapsed="false">
      <c r="A612" s="15" t="s">
        <v>1982</v>
      </c>
      <c r="B612" s="15" t="s">
        <v>81</v>
      </c>
      <c r="C612" s="15" t="s">
        <v>455</v>
      </c>
      <c r="D612" s="15" t="n">
        <v>2</v>
      </c>
      <c r="E612" s="15" t="s">
        <v>1851</v>
      </c>
      <c r="F612" s="15" t="s">
        <v>136</v>
      </c>
      <c r="G612" s="15" t="n">
        <v>22</v>
      </c>
      <c r="H612" s="15" t="n">
        <v>962</v>
      </c>
      <c r="I612" s="15" t="n">
        <v>3</v>
      </c>
      <c r="J612" s="15" t="n">
        <v>4</v>
      </c>
      <c r="K612" s="15" t="n">
        <v>58</v>
      </c>
      <c r="L612" s="15" t="n">
        <v>23</v>
      </c>
      <c r="M612" s="15" t="n">
        <v>117</v>
      </c>
      <c r="N612" s="15" t="n">
        <v>0</v>
      </c>
      <c r="O612" s="15" t="n">
        <v>0</v>
      </c>
      <c r="P612" s="16" t="n">
        <v>0</v>
      </c>
      <c r="Q612" s="15" t="n">
        <v>0</v>
      </c>
      <c r="R612" s="15" t="n">
        <v>0</v>
      </c>
      <c r="S612" s="17" t="n">
        <v>0</v>
      </c>
      <c r="T612" s="15" t="s">
        <v>186</v>
      </c>
      <c r="U612" s="15" t="n">
        <v>2028</v>
      </c>
      <c r="V612" s="15" t="s">
        <v>1852</v>
      </c>
      <c r="W612" s="18" t="s">
        <v>188</v>
      </c>
      <c r="X612" s="18" t="s">
        <v>407</v>
      </c>
      <c r="Y612" s="15" t="s">
        <v>600</v>
      </c>
      <c r="Z612" s="15" t="s">
        <v>600</v>
      </c>
      <c r="AA612" s="19" t="str">
        <f aca="false">HYPERLINK("https://www.transfermarkt.com/schnellsuche/ergebnis/schnellsuche?query="&amp;SUBSTITUTE(A612," ","+"),"Search Transfermarkt")</f>
        <v>Search Transfermarkt</v>
      </c>
    </row>
    <row r="613" customFormat="false" ht="23.85" hidden="false" customHeight="false" outlineLevel="0" collapsed="false">
      <c r="A613" s="15" t="s">
        <v>1983</v>
      </c>
      <c r="B613" s="15" t="s">
        <v>79</v>
      </c>
      <c r="C613" s="15" t="s">
        <v>409</v>
      </c>
      <c r="D613" s="15" t="n">
        <v>3</v>
      </c>
      <c r="E613" s="15" t="s">
        <v>1984</v>
      </c>
      <c r="F613" s="15" t="s">
        <v>136</v>
      </c>
      <c r="G613" s="15" t="n">
        <v>25</v>
      </c>
      <c r="H613" s="15" t="n">
        <v>1823</v>
      </c>
      <c r="I613" s="15" t="n">
        <v>3</v>
      </c>
      <c r="J613" s="15" t="n">
        <v>2</v>
      </c>
      <c r="K613" s="15" t="n">
        <v>51</v>
      </c>
      <c r="L613" s="15" t="n">
        <v>32</v>
      </c>
      <c r="M613" s="15" t="n">
        <v>109</v>
      </c>
      <c r="N613" s="15" t="n">
        <v>0</v>
      </c>
      <c r="O613" s="15" t="n">
        <v>0</v>
      </c>
      <c r="P613" s="16" t="n">
        <v>0</v>
      </c>
      <c r="Q613" s="15" t="n">
        <v>0</v>
      </c>
      <c r="R613" s="15" t="n">
        <v>0</v>
      </c>
      <c r="S613" s="17" t="n">
        <v>0</v>
      </c>
      <c r="T613" s="15" t="s">
        <v>164</v>
      </c>
      <c r="U613" s="15" t="n">
        <v>2026</v>
      </c>
      <c r="V613" s="15" t="s">
        <v>1985</v>
      </c>
      <c r="W613" s="18" t="s">
        <v>139</v>
      </c>
      <c r="X613" s="18" t="s">
        <v>412</v>
      </c>
      <c r="Y613" s="15" t="s">
        <v>600</v>
      </c>
      <c r="Z613" s="15" t="s">
        <v>600</v>
      </c>
      <c r="AA613" s="19" t="str">
        <f aca="false">HYPERLINK("https://www.transfermarkt.com/schnellsuche/ergebnis/schnellsuche?query="&amp;SUBSTITUTE(A613," ","+"),"Search Transfermarkt")</f>
        <v>Search Transfermarkt</v>
      </c>
    </row>
    <row r="614" customFormat="false" ht="23.85" hidden="false" customHeight="false" outlineLevel="0" collapsed="false">
      <c r="A614" s="15" t="s">
        <v>1986</v>
      </c>
      <c r="B614" s="15" t="s">
        <v>88</v>
      </c>
      <c r="C614" s="15" t="s">
        <v>317</v>
      </c>
      <c r="D614" s="15" t="n">
        <v>2</v>
      </c>
      <c r="E614" s="15" t="s">
        <v>1987</v>
      </c>
      <c r="F614" s="15" t="s">
        <v>170</v>
      </c>
      <c r="G614" s="15" t="n">
        <v>20</v>
      </c>
      <c r="H614" s="15" t="n">
        <v>2507</v>
      </c>
      <c r="I614" s="15" t="n">
        <v>4</v>
      </c>
      <c r="J614" s="15" t="n">
        <v>4</v>
      </c>
      <c r="K614" s="15" t="n">
        <v>165</v>
      </c>
      <c r="L614" s="15" t="n">
        <v>90</v>
      </c>
      <c r="M614" s="15" t="n">
        <v>45</v>
      </c>
      <c r="N614" s="15" t="n">
        <v>0</v>
      </c>
      <c r="O614" s="15" t="n">
        <v>0</v>
      </c>
      <c r="P614" s="16" t="n">
        <v>0</v>
      </c>
      <c r="Q614" s="15" t="n">
        <v>0</v>
      </c>
      <c r="R614" s="15" t="n">
        <v>0</v>
      </c>
      <c r="S614" s="17" t="n">
        <v>39711</v>
      </c>
      <c r="T614" s="15" t="s">
        <v>137</v>
      </c>
      <c r="U614" s="15" t="n">
        <v>2027</v>
      </c>
      <c r="V614" s="15" t="s">
        <v>1988</v>
      </c>
      <c r="W614" s="18" t="s">
        <v>139</v>
      </c>
      <c r="X614" s="18" t="s">
        <v>320</v>
      </c>
      <c r="Y614" s="15" t="s">
        <v>600</v>
      </c>
      <c r="Z614" s="15" t="s">
        <v>600</v>
      </c>
      <c r="AA614" s="19" t="str">
        <f aca="false">HYPERLINK("https://www.transfermarkt.com/schnellsuche/ergebnis/schnellsuche?query="&amp;SUBSTITUTE(A614," ","+"),"Search Transfermarkt")</f>
        <v>Search Transfermarkt</v>
      </c>
    </row>
    <row r="615" customFormat="false" ht="23.85" hidden="false" customHeight="false" outlineLevel="0" collapsed="false">
      <c r="A615" s="15" t="s">
        <v>1989</v>
      </c>
      <c r="B615" s="15" t="s">
        <v>99</v>
      </c>
      <c r="C615" s="15" t="s">
        <v>676</v>
      </c>
      <c r="D615" s="15" t="n">
        <v>2</v>
      </c>
      <c r="E615" s="15" t="s">
        <v>1945</v>
      </c>
      <c r="F615" s="15" t="s">
        <v>163</v>
      </c>
      <c r="G615" s="15" t="n">
        <v>19</v>
      </c>
      <c r="H615" s="15" t="n">
        <v>924</v>
      </c>
      <c r="I615" s="15" t="n">
        <v>13</v>
      </c>
      <c r="J615" s="15" t="n">
        <v>9</v>
      </c>
      <c r="K615" s="15" t="n">
        <v>61</v>
      </c>
      <c r="L615" s="15" t="n">
        <v>71</v>
      </c>
      <c r="M615" s="15" t="n">
        <v>15</v>
      </c>
      <c r="N615" s="15" t="n">
        <v>0</v>
      </c>
      <c r="O615" s="15" t="n">
        <v>0</v>
      </c>
      <c r="P615" s="16" t="n">
        <v>0</v>
      </c>
      <c r="Q615" s="15" t="n">
        <v>0</v>
      </c>
      <c r="R615" s="15" t="n">
        <v>0</v>
      </c>
      <c r="S615" s="17" t="n">
        <v>0</v>
      </c>
      <c r="T615" s="15" t="s">
        <v>137</v>
      </c>
      <c r="U615" s="15" t="n">
        <v>2026</v>
      </c>
      <c r="V615" s="15" t="s">
        <v>1946</v>
      </c>
      <c r="W615" s="18" t="s">
        <v>139</v>
      </c>
      <c r="X615" s="18" t="s">
        <v>189</v>
      </c>
      <c r="Y615" s="15" t="s">
        <v>600</v>
      </c>
      <c r="Z615" s="15" t="s">
        <v>600</v>
      </c>
      <c r="AA615" s="19" t="str">
        <f aca="false">HYPERLINK("https://www.transfermarkt.com/schnellsuche/ergebnis/schnellsuche?query="&amp;SUBSTITUTE(A615," ","+"),"Search Transfermarkt")</f>
        <v>Search Transfermarkt</v>
      </c>
    </row>
    <row r="616" customFormat="false" ht="23.85" hidden="false" customHeight="false" outlineLevel="0" collapsed="false">
      <c r="A616" s="15" t="s">
        <v>1990</v>
      </c>
      <c r="B616" s="15" t="s">
        <v>73</v>
      </c>
      <c r="C616" s="15" t="s">
        <v>1991</v>
      </c>
      <c r="D616" s="15" t="n">
        <v>2</v>
      </c>
      <c r="E616" s="15" t="s">
        <v>1575</v>
      </c>
      <c r="F616" s="15" t="s">
        <v>136</v>
      </c>
      <c r="G616" s="15" t="n">
        <v>25</v>
      </c>
      <c r="H616" s="15" t="n">
        <v>2678</v>
      </c>
      <c r="I616" s="15" t="n">
        <v>0</v>
      </c>
      <c r="J616" s="15" t="n">
        <v>4</v>
      </c>
      <c r="K616" s="15" t="n">
        <v>59</v>
      </c>
      <c r="L616" s="15" t="n">
        <v>32</v>
      </c>
      <c r="M616" s="15" t="n">
        <v>76</v>
      </c>
      <c r="N616" s="15" t="n">
        <v>0</v>
      </c>
      <c r="O616" s="15" t="n">
        <v>0</v>
      </c>
      <c r="P616" s="16" t="n">
        <v>0</v>
      </c>
      <c r="Q616" s="15" t="n">
        <v>0</v>
      </c>
      <c r="R616" s="15" t="n">
        <v>0</v>
      </c>
      <c r="S616" s="17" t="n">
        <v>102649</v>
      </c>
      <c r="T616" s="15" t="s">
        <v>137</v>
      </c>
      <c r="U616" s="15" t="n">
        <v>2026</v>
      </c>
      <c r="V616" s="15" t="s">
        <v>1576</v>
      </c>
      <c r="W616" s="18" t="s">
        <v>139</v>
      </c>
      <c r="X616" s="18" t="s">
        <v>172</v>
      </c>
      <c r="Y616" s="15" t="s">
        <v>600</v>
      </c>
      <c r="Z616" s="15" t="s">
        <v>600</v>
      </c>
      <c r="AA616" s="19" t="str">
        <f aca="false">HYPERLINK("https://www.transfermarkt.com/schnellsuche/ergebnis/schnellsuche?query="&amp;SUBSTITUTE(A616," ","+"),"Search Transfermarkt")</f>
        <v>Search Transfermarkt</v>
      </c>
    </row>
    <row r="617" customFormat="false" ht="23.85" hidden="false" customHeight="false" outlineLevel="0" collapsed="false">
      <c r="A617" s="15" t="s">
        <v>1992</v>
      </c>
      <c r="B617" s="15" t="s">
        <v>66</v>
      </c>
      <c r="C617" s="15" t="s">
        <v>1039</v>
      </c>
      <c r="D617" s="15" t="n">
        <v>3</v>
      </c>
      <c r="E617" s="15" t="s">
        <v>1993</v>
      </c>
      <c r="F617" s="15" t="s">
        <v>136</v>
      </c>
      <c r="G617" s="15" t="n">
        <v>23</v>
      </c>
      <c r="H617" s="15" t="n">
        <v>1690</v>
      </c>
      <c r="I617" s="15" t="n">
        <v>1</v>
      </c>
      <c r="J617" s="15" t="n">
        <v>4</v>
      </c>
      <c r="K617" s="15" t="n">
        <v>62</v>
      </c>
      <c r="L617" s="15" t="n">
        <v>24</v>
      </c>
      <c r="M617" s="15" t="n">
        <v>111</v>
      </c>
      <c r="N617" s="15" t="n">
        <v>0</v>
      </c>
      <c r="O617" s="15" t="n">
        <v>0</v>
      </c>
      <c r="P617" s="16" t="n">
        <v>0</v>
      </c>
      <c r="Q617" s="15" t="n">
        <v>0</v>
      </c>
      <c r="R617" s="15" t="n">
        <v>0</v>
      </c>
      <c r="S617" s="17" t="n">
        <v>61423</v>
      </c>
      <c r="T617" s="15" t="s">
        <v>186</v>
      </c>
      <c r="U617" s="15" t="n">
        <v>2028</v>
      </c>
      <c r="V617" s="15" t="s">
        <v>1994</v>
      </c>
      <c r="W617" s="18" t="s">
        <v>188</v>
      </c>
      <c r="X617" s="18" t="s">
        <v>182</v>
      </c>
      <c r="Y617" s="15" t="s">
        <v>600</v>
      </c>
      <c r="Z617" s="15" t="s">
        <v>600</v>
      </c>
      <c r="AA617" s="19" t="str">
        <f aca="false">HYPERLINK("https://www.transfermarkt.com/schnellsuche/ergebnis/schnellsuche?query="&amp;SUBSTITUTE(A617," ","+"),"Search Transfermarkt")</f>
        <v>Search Transfermarkt</v>
      </c>
    </row>
    <row r="618" customFormat="false" ht="23.85" hidden="false" customHeight="false" outlineLevel="0" collapsed="false">
      <c r="A618" s="15" t="s">
        <v>1995</v>
      </c>
      <c r="B618" s="15" t="s">
        <v>96</v>
      </c>
      <c r="C618" s="15" t="s">
        <v>1089</v>
      </c>
      <c r="D618" s="15" t="n">
        <v>4</v>
      </c>
      <c r="E618" s="15" t="s">
        <v>1996</v>
      </c>
      <c r="F618" s="15" t="s">
        <v>170</v>
      </c>
      <c r="G618" s="15" t="n">
        <v>25</v>
      </c>
      <c r="H618" s="15" t="n">
        <v>2135</v>
      </c>
      <c r="I618" s="15" t="n">
        <v>8</v>
      </c>
      <c r="J618" s="15" t="n">
        <v>4</v>
      </c>
      <c r="K618" s="15" t="n">
        <v>107</v>
      </c>
      <c r="L618" s="15" t="n">
        <v>93</v>
      </c>
      <c r="M618" s="15" t="n">
        <v>51</v>
      </c>
      <c r="N618" s="15" t="n">
        <v>0</v>
      </c>
      <c r="O618" s="15" t="n">
        <v>0</v>
      </c>
      <c r="P618" s="16" t="n">
        <v>0</v>
      </c>
      <c r="Q618" s="15" t="n">
        <v>0</v>
      </c>
      <c r="R618" s="15" t="n">
        <v>0</v>
      </c>
      <c r="S618" s="17" t="n">
        <v>63257</v>
      </c>
      <c r="T618" s="15" t="s">
        <v>164</v>
      </c>
      <c r="U618" s="15" t="n">
        <v>2028</v>
      </c>
      <c r="V618" s="15" t="s">
        <v>1997</v>
      </c>
      <c r="W618" s="18" t="s">
        <v>139</v>
      </c>
      <c r="X618" s="18" t="s">
        <v>216</v>
      </c>
      <c r="Y618" s="15" t="s">
        <v>600</v>
      </c>
      <c r="Z618" s="15" t="s">
        <v>600</v>
      </c>
      <c r="AA618" s="19" t="str">
        <f aca="false">HYPERLINK("https://www.transfermarkt.com/schnellsuche/ergebnis/schnellsuche?query="&amp;SUBSTITUTE(A618," ","+"),"Search Transfermarkt")</f>
        <v>Search Transfermarkt</v>
      </c>
    </row>
    <row r="619" customFormat="false" ht="23.85" hidden="false" customHeight="false" outlineLevel="0" collapsed="false">
      <c r="A619" s="15" t="s">
        <v>1998</v>
      </c>
      <c r="B619" s="15" t="s">
        <v>102</v>
      </c>
      <c r="C619" s="15" t="s">
        <v>695</v>
      </c>
      <c r="D619" s="15" t="n">
        <v>2</v>
      </c>
      <c r="E619" s="15" t="s">
        <v>1999</v>
      </c>
      <c r="F619" s="15" t="s">
        <v>170</v>
      </c>
      <c r="G619" s="15" t="n">
        <v>21</v>
      </c>
      <c r="H619" s="15" t="n">
        <v>2629</v>
      </c>
      <c r="I619" s="15" t="n">
        <v>6</v>
      </c>
      <c r="J619" s="15" t="n">
        <v>12</v>
      </c>
      <c r="K619" s="15" t="n">
        <v>106</v>
      </c>
      <c r="L619" s="15" t="n">
        <v>82</v>
      </c>
      <c r="M619" s="15" t="n">
        <v>29</v>
      </c>
      <c r="N619" s="15" t="n">
        <v>0</v>
      </c>
      <c r="O619" s="15" t="n">
        <v>0</v>
      </c>
      <c r="P619" s="16" t="n">
        <v>0</v>
      </c>
      <c r="Q619" s="15" t="n">
        <v>0</v>
      </c>
      <c r="R619" s="15" t="n">
        <v>0</v>
      </c>
      <c r="S619" s="17" t="n">
        <v>120202</v>
      </c>
      <c r="T619" s="15" t="s">
        <v>137</v>
      </c>
      <c r="U619" s="15" t="n">
        <v>2026</v>
      </c>
      <c r="V619" s="15" t="s">
        <v>2000</v>
      </c>
      <c r="W619" s="18" t="s">
        <v>139</v>
      </c>
      <c r="X619" s="18" t="s">
        <v>453</v>
      </c>
      <c r="Y619" s="15" t="s">
        <v>600</v>
      </c>
      <c r="Z619" s="15" t="s">
        <v>600</v>
      </c>
      <c r="AA619" s="19" t="str">
        <f aca="false">HYPERLINK("https://www.transfermarkt.com/schnellsuche/ergebnis/schnellsuche?query="&amp;SUBSTITUTE(A619," ","+"),"Search Transfermarkt")</f>
        <v>Search Transfermarkt</v>
      </c>
    </row>
    <row r="620" customFormat="false" ht="23.85" hidden="false" customHeight="false" outlineLevel="0" collapsed="false">
      <c r="A620" s="15" t="s">
        <v>2001</v>
      </c>
      <c r="B620" s="15" t="s">
        <v>98</v>
      </c>
      <c r="C620" s="15" t="s">
        <v>2002</v>
      </c>
      <c r="D620" s="15" t="n">
        <v>4</v>
      </c>
      <c r="E620" s="15" t="s">
        <v>2003</v>
      </c>
      <c r="F620" s="15" t="s">
        <v>163</v>
      </c>
      <c r="G620" s="15" t="n">
        <v>21</v>
      </c>
      <c r="H620" s="15" t="n">
        <v>957</v>
      </c>
      <c r="I620" s="15" t="n">
        <v>20</v>
      </c>
      <c r="J620" s="15" t="n">
        <v>2</v>
      </c>
      <c r="K620" s="15" t="n">
        <v>58</v>
      </c>
      <c r="L620" s="15" t="n">
        <v>86</v>
      </c>
      <c r="M620" s="15" t="n">
        <v>15</v>
      </c>
      <c r="N620" s="15" t="n">
        <v>0</v>
      </c>
      <c r="O620" s="15" t="n">
        <v>0</v>
      </c>
      <c r="P620" s="16" t="n">
        <v>0</v>
      </c>
      <c r="Q620" s="15" t="n">
        <v>0</v>
      </c>
      <c r="R620" s="15" t="n">
        <v>0</v>
      </c>
      <c r="S620" s="17" t="n">
        <v>0</v>
      </c>
      <c r="T620" s="15" t="s">
        <v>137</v>
      </c>
      <c r="U620" s="15" t="n">
        <v>2029</v>
      </c>
      <c r="V620" s="15" t="s">
        <v>2004</v>
      </c>
      <c r="W620" s="18" t="s">
        <v>139</v>
      </c>
      <c r="X620" s="18" t="s">
        <v>148</v>
      </c>
      <c r="Y620" s="15" t="s">
        <v>600</v>
      </c>
      <c r="Z620" s="15" t="s">
        <v>600</v>
      </c>
      <c r="AA620" s="19" t="str">
        <f aca="false">HYPERLINK("https://www.transfermarkt.com/schnellsuche/ergebnis/schnellsuche?query="&amp;SUBSTITUTE(A620," ","+"),"Search Transfermarkt")</f>
        <v>Search Transfermarkt</v>
      </c>
    </row>
    <row r="621" customFormat="false" ht="23.85" hidden="false" customHeight="false" outlineLevel="0" collapsed="false">
      <c r="A621" s="15" t="s">
        <v>2005</v>
      </c>
      <c r="B621" s="15" t="s">
        <v>90</v>
      </c>
      <c r="C621" s="15" t="s">
        <v>1395</v>
      </c>
      <c r="D621" s="15" t="n">
        <v>4</v>
      </c>
      <c r="E621" s="15" t="s">
        <v>2006</v>
      </c>
      <c r="F621" s="15" t="s">
        <v>157</v>
      </c>
      <c r="G621" s="15" t="n">
        <v>26</v>
      </c>
      <c r="H621" s="15" t="n">
        <v>1722</v>
      </c>
      <c r="I621" s="15" t="n">
        <v>0</v>
      </c>
      <c r="J621" s="15" t="n">
        <v>0</v>
      </c>
      <c r="K621" s="15" t="n">
        <v>17</v>
      </c>
      <c r="L621" s="15" t="n">
        <v>0</v>
      </c>
      <c r="M621" s="15" t="n">
        <v>7</v>
      </c>
      <c r="N621" s="15" t="n">
        <v>80</v>
      </c>
      <c r="O621" s="15" t="n">
        <v>21</v>
      </c>
      <c r="P621" s="16" t="n">
        <v>87.2</v>
      </c>
      <c r="Q621" s="15" t="n">
        <v>18.4</v>
      </c>
      <c r="R621" s="15" t="n">
        <v>3</v>
      </c>
      <c r="S621" s="17" t="n">
        <v>84924</v>
      </c>
      <c r="T621" s="15" t="s">
        <v>186</v>
      </c>
      <c r="U621" s="15" t="n">
        <v>2027</v>
      </c>
      <c r="V621" s="15" t="s">
        <v>2007</v>
      </c>
      <c r="W621" s="18" t="s">
        <v>188</v>
      </c>
      <c r="X621" s="18" t="s">
        <v>288</v>
      </c>
      <c r="Y621" s="15" t="s">
        <v>600</v>
      </c>
      <c r="Z621" s="15" t="s">
        <v>600</v>
      </c>
      <c r="AA621" s="19" t="str">
        <f aca="false">HYPERLINK("https://www.transfermarkt.com/schnellsuche/ergebnis/schnellsuche?query="&amp;SUBSTITUTE(A621," ","+"),"Search Transfermarkt")</f>
        <v>Search Transfermarkt</v>
      </c>
    </row>
    <row r="622" customFormat="false" ht="23.85" hidden="false" customHeight="false" outlineLevel="0" collapsed="false">
      <c r="A622" s="15" t="s">
        <v>2008</v>
      </c>
      <c r="B622" s="15" t="s">
        <v>66</v>
      </c>
      <c r="C622" s="15" t="s">
        <v>540</v>
      </c>
      <c r="D622" s="15" t="n">
        <v>3</v>
      </c>
      <c r="E622" s="15" t="s">
        <v>2009</v>
      </c>
      <c r="F622" s="15" t="s">
        <v>170</v>
      </c>
      <c r="G622" s="15" t="n">
        <v>26</v>
      </c>
      <c r="H622" s="15" t="n">
        <v>936</v>
      </c>
      <c r="I622" s="15" t="n">
        <v>10</v>
      </c>
      <c r="J622" s="15" t="n">
        <v>12</v>
      </c>
      <c r="K622" s="15" t="n">
        <v>111</v>
      </c>
      <c r="L622" s="15" t="n">
        <v>81</v>
      </c>
      <c r="M622" s="15" t="n">
        <v>36</v>
      </c>
      <c r="N622" s="15" t="n">
        <v>0</v>
      </c>
      <c r="O622" s="15" t="n">
        <v>0</v>
      </c>
      <c r="P622" s="16" t="n">
        <v>0</v>
      </c>
      <c r="Q622" s="15" t="n">
        <v>0</v>
      </c>
      <c r="R622" s="15" t="n">
        <v>0</v>
      </c>
      <c r="S622" s="17" t="n">
        <v>112533</v>
      </c>
      <c r="T622" s="15" t="s">
        <v>137</v>
      </c>
      <c r="U622" s="15" t="n">
        <v>2028</v>
      </c>
      <c r="V622" s="15" t="s">
        <v>2010</v>
      </c>
      <c r="W622" s="18" t="s">
        <v>139</v>
      </c>
      <c r="X622" s="18" t="s">
        <v>182</v>
      </c>
      <c r="Y622" s="15" t="s">
        <v>600</v>
      </c>
      <c r="Z622" s="15" t="s">
        <v>600</v>
      </c>
      <c r="AA622" s="19" t="str">
        <f aca="false">HYPERLINK("https://www.transfermarkt.com/schnellsuche/ergebnis/schnellsuche?query="&amp;SUBSTITUTE(A622," ","+"),"Search Transfermarkt")</f>
        <v>Search Transfermarkt</v>
      </c>
    </row>
    <row r="623" customFormat="false" ht="23.85" hidden="false" customHeight="false" outlineLevel="0" collapsed="false">
      <c r="A623" s="15" t="s">
        <v>2011</v>
      </c>
      <c r="B623" s="15" t="s">
        <v>92</v>
      </c>
      <c r="C623" s="15" t="s">
        <v>2012</v>
      </c>
      <c r="D623" s="15" t="n">
        <v>4</v>
      </c>
      <c r="E623" s="15" t="s">
        <v>2013</v>
      </c>
      <c r="F623" s="15" t="s">
        <v>136</v>
      </c>
      <c r="G623" s="15" t="n">
        <v>21</v>
      </c>
      <c r="H623" s="15" t="n">
        <v>1268</v>
      </c>
      <c r="I623" s="15" t="n">
        <v>2</v>
      </c>
      <c r="J623" s="15" t="n">
        <v>2</v>
      </c>
      <c r="K623" s="15" t="n">
        <v>50</v>
      </c>
      <c r="L623" s="15" t="n">
        <v>44</v>
      </c>
      <c r="M623" s="15" t="n">
        <v>89</v>
      </c>
      <c r="N623" s="15" t="n">
        <v>0</v>
      </c>
      <c r="O623" s="15" t="n">
        <v>0</v>
      </c>
      <c r="P623" s="16" t="n">
        <v>0</v>
      </c>
      <c r="Q623" s="15" t="n">
        <v>0</v>
      </c>
      <c r="R623" s="15" t="n">
        <v>0</v>
      </c>
      <c r="S623" s="17" t="n">
        <v>25455</v>
      </c>
      <c r="T623" s="15" t="s">
        <v>137</v>
      </c>
      <c r="U623" s="15" t="n">
        <v>2027</v>
      </c>
      <c r="V623" s="15" t="s">
        <v>2014</v>
      </c>
      <c r="W623" s="18" t="s">
        <v>139</v>
      </c>
      <c r="X623" s="18" t="s">
        <v>159</v>
      </c>
      <c r="Y623" s="15" t="s">
        <v>600</v>
      </c>
      <c r="Z623" s="15" t="s">
        <v>600</v>
      </c>
      <c r="AA623" s="19" t="str">
        <f aca="false">HYPERLINK("https://www.transfermarkt.com/schnellsuche/ergebnis/schnellsuche?query="&amp;SUBSTITUTE(A623," ","+"),"Search Transfermarkt")</f>
        <v>Search Transfermarkt</v>
      </c>
    </row>
    <row r="624" customFormat="false" ht="23.85" hidden="false" customHeight="false" outlineLevel="0" collapsed="false">
      <c r="A624" s="15" t="s">
        <v>2015</v>
      </c>
      <c r="B624" s="15" t="s">
        <v>67</v>
      </c>
      <c r="C624" s="15" t="s">
        <v>255</v>
      </c>
      <c r="D624" s="15" t="n">
        <v>2</v>
      </c>
      <c r="E624" s="15" t="s">
        <v>506</v>
      </c>
      <c r="F624" s="15" t="s">
        <v>163</v>
      </c>
      <c r="G624" s="15" t="n">
        <v>20</v>
      </c>
      <c r="H624" s="15" t="n">
        <v>1320</v>
      </c>
      <c r="I624" s="15" t="n">
        <v>16</v>
      </c>
      <c r="J624" s="15" t="n">
        <v>8</v>
      </c>
      <c r="K624" s="15" t="n">
        <v>51</v>
      </c>
      <c r="L624" s="15" t="n">
        <v>91</v>
      </c>
      <c r="M624" s="15" t="n">
        <v>14</v>
      </c>
      <c r="N624" s="15" t="n">
        <v>0</v>
      </c>
      <c r="O624" s="15" t="n">
        <v>0</v>
      </c>
      <c r="P624" s="16" t="n">
        <v>0</v>
      </c>
      <c r="Q624" s="15" t="n">
        <v>0</v>
      </c>
      <c r="R624" s="15" t="n">
        <v>0</v>
      </c>
      <c r="S624" s="17" t="n">
        <v>56322</v>
      </c>
      <c r="T624" s="15" t="s">
        <v>164</v>
      </c>
      <c r="U624" s="15" t="n">
        <v>2028</v>
      </c>
      <c r="V624" s="15" t="s">
        <v>507</v>
      </c>
      <c r="W624" s="18" t="s">
        <v>139</v>
      </c>
      <c r="X624" s="18" t="s">
        <v>236</v>
      </c>
      <c r="Y624" s="15" t="s">
        <v>600</v>
      </c>
      <c r="Z624" s="15" t="s">
        <v>600</v>
      </c>
      <c r="AA624" s="19" t="str">
        <f aca="false">HYPERLINK("https://www.transfermarkt.com/schnellsuche/ergebnis/schnellsuche?query="&amp;SUBSTITUTE(A624," ","+"),"Search Transfermarkt")</f>
        <v>Search Transfermarkt</v>
      </c>
    </row>
    <row r="625" customFormat="false" ht="23.85" hidden="false" customHeight="false" outlineLevel="0" collapsed="false">
      <c r="A625" s="15" t="s">
        <v>2016</v>
      </c>
      <c r="B625" s="15" t="s">
        <v>100</v>
      </c>
      <c r="C625" s="15" t="s">
        <v>845</v>
      </c>
      <c r="D625" s="15" t="n">
        <v>4</v>
      </c>
      <c r="E625" s="15" t="s">
        <v>2017</v>
      </c>
      <c r="F625" s="15" t="s">
        <v>170</v>
      </c>
      <c r="G625" s="15" t="n">
        <v>23</v>
      </c>
      <c r="H625" s="15" t="n">
        <v>1129</v>
      </c>
      <c r="I625" s="15" t="n">
        <v>6</v>
      </c>
      <c r="J625" s="15" t="n">
        <v>4</v>
      </c>
      <c r="K625" s="15" t="n">
        <v>132</v>
      </c>
      <c r="L625" s="15" t="n">
        <v>89</v>
      </c>
      <c r="M625" s="15" t="n">
        <v>37</v>
      </c>
      <c r="N625" s="15" t="n">
        <v>0</v>
      </c>
      <c r="O625" s="15" t="n">
        <v>0</v>
      </c>
      <c r="P625" s="16" t="n">
        <v>0</v>
      </c>
      <c r="Q625" s="15" t="n">
        <v>0</v>
      </c>
      <c r="R625" s="15" t="n">
        <v>0</v>
      </c>
      <c r="S625" s="17" t="n">
        <v>69670</v>
      </c>
      <c r="T625" s="15" t="s">
        <v>164</v>
      </c>
      <c r="U625" s="15" t="n">
        <v>2026</v>
      </c>
      <c r="V625" s="15" t="s">
        <v>2018</v>
      </c>
      <c r="W625" s="18" t="s">
        <v>139</v>
      </c>
      <c r="X625" s="18" t="s">
        <v>221</v>
      </c>
      <c r="Y625" s="15" t="s">
        <v>600</v>
      </c>
      <c r="Z625" s="15" t="s">
        <v>600</v>
      </c>
      <c r="AA625" s="19" t="str">
        <f aca="false">HYPERLINK("https://www.transfermarkt.com/schnellsuche/ergebnis/schnellsuche?query="&amp;SUBSTITUTE(A625," ","+"),"Search Transfermarkt")</f>
        <v>Search Transfermarkt</v>
      </c>
    </row>
    <row r="626" customFormat="false" ht="23.85" hidden="false" customHeight="false" outlineLevel="0" collapsed="false">
      <c r="A626" s="15" t="s">
        <v>2019</v>
      </c>
      <c r="B626" s="15" t="s">
        <v>88</v>
      </c>
      <c r="C626" s="15" t="s">
        <v>613</v>
      </c>
      <c r="D626" s="15" t="n">
        <v>2</v>
      </c>
      <c r="E626" s="15" t="s">
        <v>775</v>
      </c>
      <c r="F626" s="15" t="s">
        <v>157</v>
      </c>
      <c r="G626" s="15" t="n">
        <v>26</v>
      </c>
      <c r="H626" s="15" t="n">
        <v>1437</v>
      </c>
      <c r="I626" s="15" t="n">
        <v>0</v>
      </c>
      <c r="J626" s="15" t="n">
        <v>0</v>
      </c>
      <c r="K626" s="15" t="n">
        <v>6</v>
      </c>
      <c r="L626" s="15" t="n">
        <v>6</v>
      </c>
      <c r="M626" s="15" t="n">
        <v>9</v>
      </c>
      <c r="N626" s="15" t="n">
        <v>67</v>
      </c>
      <c r="O626" s="15" t="n">
        <v>30</v>
      </c>
      <c r="P626" s="16" t="n">
        <v>57</v>
      </c>
      <c r="Q626" s="15" t="n">
        <v>17.2</v>
      </c>
      <c r="R626" s="15" t="n">
        <v>5</v>
      </c>
      <c r="S626" s="17" t="n">
        <v>69701</v>
      </c>
      <c r="T626" s="15" t="s">
        <v>164</v>
      </c>
      <c r="U626" s="15" t="n">
        <v>2029</v>
      </c>
      <c r="V626" s="15" t="s">
        <v>776</v>
      </c>
      <c r="W626" s="18" t="s">
        <v>139</v>
      </c>
      <c r="X626" s="18" t="s">
        <v>320</v>
      </c>
      <c r="Y626" s="15" t="s">
        <v>600</v>
      </c>
      <c r="Z626" s="15" t="s">
        <v>600</v>
      </c>
      <c r="AA626" s="19" t="str">
        <f aca="false">HYPERLINK("https://www.transfermarkt.com/schnellsuche/ergebnis/schnellsuche?query="&amp;SUBSTITUTE(A626," ","+"),"Search Transfermarkt")</f>
        <v>Search Transfermarkt</v>
      </c>
    </row>
    <row r="627" customFormat="false" ht="23.85" hidden="false" customHeight="false" outlineLevel="0" collapsed="false">
      <c r="A627" s="15" t="s">
        <v>2020</v>
      </c>
      <c r="B627" s="15" t="s">
        <v>82</v>
      </c>
      <c r="C627" s="15" t="s">
        <v>1172</v>
      </c>
      <c r="D627" s="15" t="n">
        <v>4</v>
      </c>
      <c r="E627" s="15" t="s">
        <v>2021</v>
      </c>
      <c r="F627" s="15" t="s">
        <v>170</v>
      </c>
      <c r="G627" s="15" t="n">
        <v>20</v>
      </c>
      <c r="H627" s="15" t="n">
        <v>1540</v>
      </c>
      <c r="I627" s="15" t="n">
        <v>8</v>
      </c>
      <c r="J627" s="15" t="n">
        <v>4</v>
      </c>
      <c r="K627" s="15" t="n">
        <v>178</v>
      </c>
      <c r="L627" s="15" t="n">
        <v>94</v>
      </c>
      <c r="M627" s="15" t="n">
        <v>34</v>
      </c>
      <c r="N627" s="15" t="n">
        <v>0</v>
      </c>
      <c r="O627" s="15" t="n">
        <v>0</v>
      </c>
      <c r="P627" s="16" t="n">
        <v>0</v>
      </c>
      <c r="Q627" s="15" t="n">
        <v>0</v>
      </c>
      <c r="R627" s="15" t="n">
        <v>0</v>
      </c>
      <c r="S627" s="17" t="n">
        <v>129885</v>
      </c>
      <c r="T627" s="15" t="s">
        <v>137</v>
      </c>
      <c r="U627" s="15" t="n">
        <v>2028</v>
      </c>
      <c r="V627" s="15" t="s">
        <v>2022</v>
      </c>
      <c r="W627" s="18" t="s">
        <v>139</v>
      </c>
      <c r="X627" s="18" t="s">
        <v>166</v>
      </c>
      <c r="Y627" s="15" t="s">
        <v>600</v>
      </c>
      <c r="Z627" s="15" t="s">
        <v>600</v>
      </c>
      <c r="AA627" s="19" t="str">
        <f aca="false">HYPERLINK("https://www.transfermarkt.com/schnellsuche/ergebnis/schnellsuche?query="&amp;SUBSTITUTE(A627," ","+"),"Search Transfermarkt")</f>
        <v>Search Transfermarkt</v>
      </c>
    </row>
    <row r="628" customFormat="false" ht="23.85" hidden="false" customHeight="false" outlineLevel="0" collapsed="false">
      <c r="A628" s="15" t="s">
        <v>2023</v>
      </c>
      <c r="B628" s="15" t="s">
        <v>90</v>
      </c>
      <c r="C628" s="15" t="s">
        <v>900</v>
      </c>
      <c r="D628" s="15" t="n">
        <v>3</v>
      </c>
      <c r="E628" s="15" t="s">
        <v>2024</v>
      </c>
      <c r="F628" s="15" t="s">
        <v>170</v>
      </c>
      <c r="G628" s="15" t="n">
        <v>23</v>
      </c>
      <c r="H628" s="15" t="n">
        <v>1693</v>
      </c>
      <c r="I628" s="15" t="n">
        <v>8</v>
      </c>
      <c r="J628" s="15" t="n">
        <v>8</v>
      </c>
      <c r="K628" s="15" t="n">
        <v>139</v>
      </c>
      <c r="L628" s="15" t="n">
        <v>70</v>
      </c>
      <c r="M628" s="15" t="n">
        <v>37</v>
      </c>
      <c r="N628" s="15" t="n">
        <v>0</v>
      </c>
      <c r="O628" s="15" t="n">
        <v>0</v>
      </c>
      <c r="P628" s="16" t="n">
        <v>0</v>
      </c>
      <c r="Q628" s="15" t="n">
        <v>0</v>
      </c>
      <c r="R628" s="15" t="n">
        <v>0</v>
      </c>
      <c r="S628" s="17" t="n">
        <v>0</v>
      </c>
      <c r="T628" s="15" t="s">
        <v>164</v>
      </c>
      <c r="U628" s="15" t="n">
        <v>2026</v>
      </c>
      <c r="V628" s="15" t="s">
        <v>2025</v>
      </c>
      <c r="W628" s="18" t="s">
        <v>139</v>
      </c>
      <c r="X628" s="18" t="s">
        <v>288</v>
      </c>
      <c r="Y628" s="15" t="s">
        <v>600</v>
      </c>
      <c r="Z628" s="15" t="s">
        <v>600</v>
      </c>
      <c r="AA628" s="19" t="str">
        <f aca="false">HYPERLINK("https://www.transfermarkt.com/schnellsuche/ergebnis/schnellsuche?query="&amp;SUBSTITUTE(A628," ","+"),"Search Transfermarkt")</f>
        <v>Search Transfermarkt</v>
      </c>
    </row>
    <row r="629" customFormat="false" ht="23.85" hidden="false" customHeight="false" outlineLevel="0" collapsed="false">
      <c r="A629" s="15" t="s">
        <v>2026</v>
      </c>
      <c r="B629" s="15" t="s">
        <v>75</v>
      </c>
      <c r="C629" s="15" t="s">
        <v>825</v>
      </c>
      <c r="D629" s="15" t="n">
        <v>4</v>
      </c>
      <c r="E629" s="15" t="s">
        <v>2027</v>
      </c>
      <c r="F629" s="15" t="s">
        <v>136</v>
      </c>
      <c r="G629" s="15" t="n">
        <v>25</v>
      </c>
      <c r="H629" s="15" t="n">
        <v>1344</v>
      </c>
      <c r="I629" s="15" t="n">
        <v>0</v>
      </c>
      <c r="J629" s="15" t="n">
        <v>1</v>
      </c>
      <c r="K629" s="15" t="n">
        <v>47</v>
      </c>
      <c r="L629" s="15" t="n">
        <v>21</v>
      </c>
      <c r="M629" s="15" t="n">
        <v>104</v>
      </c>
      <c r="N629" s="15" t="n">
        <v>0</v>
      </c>
      <c r="O629" s="15" t="n">
        <v>0</v>
      </c>
      <c r="P629" s="16" t="n">
        <v>0</v>
      </c>
      <c r="Q629" s="15" t="n">
        <v>0</v>
      </c>
      <c r="R629" s="15" t="n">
        <v>0</v>
      </c>
      <c r="S629" s="17" t="n">
        <v>0</v>
      </c>
      <c r="T629" s="15" t="s">
        <v>164</v>
      </c>
      <c r="U629" s="15" t="n">
        <v>2027</v>
      </c>
      <c r="V629" s="15" t="s">
        <v>2028</v>
      </c>
      <c r="W629" s="18" t="s">
        <v>139</v>
      </c>
      <c r="X629" s="18" t="s">
        <v>197</v>
      </c>
      <c r="Y629" s="15" t="s">
        <v>600</v>
      </c>
      <c r="Z629" s="15" t="s">
        <v>600</v>
      </c>
      <c r="AA629" s="19" t="str">
        <f aca="false">HYPERLINK("https://www.transfermarkt.com/schnellsuche/ergebnis/schnellsuche?query="&amp;SUBSTITUTE(A629," ","+"),"Search Transfermarkt")</f>
        <v>Search Transfermarkt</v>
      </c>
    </row>
    <row r="630" customFormat="false" ht="23.85" hidden="false" customHeight="false" outlineLevel="0" collapsed="false">
      <c r="A630" s="15" t="s">
        <v>2029</v>
      </c>
      <c r="B630" s="15" t="s">
        <v>76</v>
      </c>
      <c r="C630" s="15" t="s">
        <v>1498</v>
      </c>
      <c r="D630" s="15" t="n">
        <v>2</v>
      </c>
      <c r="E630" s="15" t="s">
        <v>2030</v>
      </c>
      <c r="F630" s="15" t="s">
        <v>157</v>
      </c>
      <c r="G630" s="15" t="n">
        <v>22</v>
      </c>
      <c r="H630" s="15" t="n">
        <v>1124</v>
      </c>
      <c r="I630" s="15" t="n">
        <v>0</v>
      </c>
      <c r="J630" s="15" t="n">
        <v>0</v>
      </c>
      <c r="K630" s="15" t="n">
        <v>6</v>
      </c>
      <c r="L630" s="15" t="n">
        <v>2</v>
      </c>
      <c r="M630" s="15" t="n">
        <v>3</v>
      </c>
      <c r="N630" s="15" t="n">
        <v>27</v>
      </c>
      <c r="O630" s="15" t="n">
        <v>23</v>
      </c>
      <c r="P630" s="16" t="n">
        <v>81.6</v>
      </c>
      <c r="Q630" s="15" t="n">
        <v>15.3</v>
      </c>
      <c r="R630" s="15" t="n">
        <v>2</v>
      </c>
      <c r="S630" s="17" t="n">
        <v>111954</v>
      </c>
      <c r="T630" s="15" t="s">
        <v>186</v>
      </c>
      <c r="U630" s="15" t="n">
        <v>2026</v>
      </c>
      <c r="V630" s="15" t="s">
        <v>2031</v>
      </c>
      <c r="W630" s="18" t="s">
        <v>188</v>
      </c>
      <c r="X630" s="18" t="s">
        <v>241</v>
      </c>
      <c r="Y630" s="15" t="s">
        <v>600</v>
      </c>
      <c r="Z630" s="15" t="s">
        <v>600</v>
      </c>
      <c r="AA630" s="19" t="str">
        <f aca="false">HYPERLINK("https://www.transfermarkt.com/schnellsuche/ergebnis/schnellsuche?query="&amp;SUBSTITUTE(A630," ","+"),"Search Transfermarkt")</f>
        <v>Search Transfermarkt</v>
      </c>
    </row>
    <row r="631" customFormat="false" ht="23.85" hidden="false" customHeight="false" outlineLevel="0" collapsed="false">
      <c r="A631" s="15" t="s">
        <v>2032</v>
      </c>
      <c r="B631" s="15" t="s">
        <v>83</v>
      </c>
      <c r="C631" s="15" t="s">
        <v>943</v>
      </c>
      <c r="D631" s="15" t="n">
        <v>4</v>
      </c>
      <c r="E631" s="15" t="s">
        <v>2033</v>
      </c>
      <c r="F631" s="15" t="s">
        <v>163</v>
      </c>
      <c r="G631" s="15" t="n">
        <v>20</v>
      </c>
      <c r="H631" s="15" t="n">
        <v>2397</v>
      </c>
      <c r="I631" s="15" t="n">
        <v>7</v>
      </c>
      <c r="J631" s="15" t="n">
        <v>7</v>
      </c>
      <c r="K631" s="15" t="n">
        <v>68</v>
      </c>
      <c r="L631" s="15" t="n">
        <v>101</v>
      </c>
      <c r="M631" s="15" t="n">
        <v>6</v>
      </c>
      <c r="N631" s="15" t="n">
        <v>0</v>
      </c>
      <c r="O631" s="15" t="n">
        <v>0</v>
      </c>
      <c r="P631" s="16" t="n">
        <v>0</v>
      </c>
      <c r="Q631" s="15" t="n">
        <v>0</v>
      </c>
      <c r="R631" s="15" t="n">
        <v>0</v>
      </c>
      <c r="S631" s="17" t="n">
        <v>25596</v>
      </c>
      <c r="T631" s="15" t="s">
        <v>137</v>
      </c>
      <c r="U631" s="15" t="n">
        <v>2029</v>
      </c>
      <c r="V631" s="15" t="s">
        <v>2034</v>
      </c>
      <c r="W631" s="18" t="s">
        <v>139</v>
      </c>
      <c r="X631" s="18" t="s">
        <v>379</v>
      </c>
      <c r="Y631" s="15" t="s">
        <v>600</v>
      </c>
      <c r="Z631" s="15" t="s">
        <v>600</v>
      </c>
      <c r="AA631" s="19" t="str">
        <f aca="false">HYPERLINK("https://www.transfermarkt.com/schnellsuche/ergebnis/schnellsuche?query="&amp;SUBSTITUTE(A631," ","+"),"Search Transfermarkt")</f>
        <v>Search Transfermarkt</v>
      </c>
    </row>
    <row r="632" customFormat="false" ht="23.85" hidden="false" customHeight="false" outlineLevel="0" collapsed="false">
      <c r="A632" s="15" t="s">
        <v>2035</v>
      </c>
      <c r="B632" s="15" t="s">
        <v>73</v>
      </c>
      <c r="C632" s="15" t="s">
        <v>1656</v>
      </c>
      <c r="D632" s="15" t="n">
        <v>3</v>
      </c>
      <c r="E632" s="15" t="s">
        <v>2036</v>
      </c>
      <c r="F632" s="15" t="s">
        <v>157</v>
      </c>
      <c r="G632" s="15" t="n">
        <v>25</v>
      </c>
      <c r="H632" s="15" t="n">
        <v>1482</v>
      </c>
      <c r="I632" s="15" t="n">
        <v>0</v>
      </c>
      <c r="J632" s="15" t="n">
        <v>0</v>
      </c>
      <c r="K632" s="15" t="n">
        <v>12</v>
      </c>
      <c r="L632" s="15" t="n">
        <v>2</v>
      </c>
      <c r="M632" s="15" t="n">
        <v>8</v>
      </c>
      <c r="N632" s="15" t="n">
        <v>64</v>
      </c>
      <c r="O632" s="15" t="n">
        <v>27</v>
      </c>
      <c r="P632" s="16" t="n">
        <v>84.3</v>
      </c>
      <c r="Q632" s="15" t="n">
        <v>20.5</v>
      </c>
      <c r="R632" s="15" t="n">
        <v>4</v>
      </c>
      <c r="S632" s="17" t="n">
        <v>0</v>
      </c>
      <c r="T632" s="15" t="s">
        <v>164</v>
      </c>
      <c r="U632" s="15" t="n">
        <v>2026</v>
      </c>
      <c r="V632" s="15" t="s">
        <v>2037</v>
      </c>
      <c r="W632" s="18" t="s">
        <v>139</v>
      </c>
      <c r="X632" s="18" t="s">
        <v>172</v>
      </c>
      <c r="Y632" s="15" t="s">
        <v>600</v>
      </c>
      <c r="Z632" s="15" t="s">
        <v>600</v>
      </c>
      <c r="AA632" s="19" t="str">
        <f aca="false">HYPERLINK("https://www.transfermarkt.com/schnellsuche/ergebnis/schnellsuche?query="&amp;SUBSTITUTE(A632," ","+"),"Search Transfermarkt")</f>
        <v>Search Transfermarkt</v>
      </c>
    </row>
    <row r="633" customFormat="false" ht="23.85" hidden="false" customHeight="false" outlineLevel="0" collapsed="false">
      <c r="A633" s="15" t="s">
        <v>2038</v>
      </c>
      <c r="B633" s="15" t="s">
        <v>83</v>
      </c>
      <c r="C633" s="15" t="s">
        <v>1822</v>
      </c>
      <c r="D633" s="15" t="n">
        <v>2</v>
      </c>
      <c r="E633" s="15" t="s">
        <v>2039</v>
      </c>
      <c r="F633" s="15" t="s">
        <v>157</v>
      </c>
      <c r="G633" s="15" t="n">
        <v>22</v>
      </c>
      <c r="H633" s="15" t="n">
        <v>1497</v>
      </c>
      <c r="I633" s="15" t="n">
        <v>0</v>
      </c>
      <c r="J633" s="15" t="n">
        <v>0</v>
      </c>
      <c r="K633" s="15" t="n">
        <v>12</v>
      </c>
      <c r="L633" s="15" t="n">
        <v>2</v>
      </c>
      <c r="M633" s="15" t="n">
        <v>3</v>
      </c>
      <c r="N633" s="15" t="n">
        <v>54</v>
      </c>
      <c r="O633" s="15" t="n">
        <v>25</v>
      </c>
      <c r="P633" s="16" t="n">
        <v>80.8</v>
      </c>
      <c r="Q633" s="15" t="n">
        <v>18.5</v>
      </c>
      <c r="R633" s="15" t="n">
        <v>7</v>
      </c>
      <c r="S633" s="17" t="n">
        <v>132061</v>
      </c>
      <c r="T633" s="15" t="s">
        <v>137</v>
      </c>
      <c r="U633" s="15" t="n">
        <v>2027</v>
      </c>
      <c r="V633" s="15" t="s">
        <v>2040</v>
      </c>
      <c r="W633" s="18" t="s">
        <v>139</v>
      </c>
      <c r="X633" s="18" t="s">
        <v>379</v>
      </c>
      <c r="Y633" s="15" t="s">
        <v>600</v>
      </c>
      <c r="Z633" s="15" t="s">
        <v>600</v>
      </c>
      <c r="AA633" s="19" t="str">
        <f aca="false">HYPERLINK("https://www.transfermarkt.com/schnellsuche/ergebnis/schnellsuche?query="&amp;SUBSTITUTE(A633," ","+"),"Search Transfermarkt")</f>
        <v>Search Transfermarkt</v>
      </c>
    </row>
    <row r="634" customFormat="false" ht="23.85" hidden="false" customHeight="false" outlineLevel="0" collapsed="false">
      <c r="A634" s="15" t="s">
        <v>2041</v>
      </c>
      <c r="B634" s="15" t="s">
        <v>73</v>
      </c>
      <c r="C634" s="15" t="s">
        <v>2042</v>
      </c>
      <c r="D634" s="15" t="n">
        <v>4</v>
      </c>
      <c r="E634" s="15" t="s">
        <v>2043</v>
      </c>
      <c r="F634" s="15" t="s">
        <v>163</v>
      </c>
      <c r="G634" s="15" t="n">
        <v>19</v>
      </c>
      <c r="H634" s="15" t="n">
        <v>1220</v>
      </c>
      <c r="I634" s="15" t="n">
        <v>10</v>
      </c>
      <c r="J634" s="15" t="n">
        <v>6</v>
      </c>
      <c r="K634" s="15" t="n">
        <v>44</v>
      </c>
      <c r="L634" s="15" t="n">
        <v>81</v>
      </c>
      <c r="M634" s="15" t="n">
        <v>4</v>
      </c>
      <c r="N634" s="15" t="n">
        <v>0</v>
      </c>
      <c r="O634" s="15" t="n">
        <v>0</v>
      </c>
      <c r="P634" s="16" t="n">
        <v>0</v>
      </c>
      <c r="Q634" s="15" t="n">
        <v>0</v>
      </c>
      <c r="R634" s="15" t="n">
        <v>0</v>
      </c>
      <c r="S634" s="17" t="n">
        <v>118237</v>
      </c>
      <c r="T634" s="15" t="s">
        <v>186</v>
      </c>
      <c r="U634" s="15" t="n">
        <v>2026</v>
      </c>
      <c r="V634" s="15" t="s">
        <v>2044</v>
      </c>
      <c r="W634" s="18" t="s">
        <v>188</v>
      </c>
      <c r="X634" s="18" t="s">
        <v>172</v>
      </c>
      <c r="Y634" s="15" t="s">
        <v>600</v>
      </c>
      <c r="Z634" s="15" t="s">
        <v>600</v>
      </c>
      <c r="AA634" s="19" t="str">
        <f aca="false">HYPERLINK("https://www.transfermarkt.com/schnellsuche/ergebnis/schnellsuche?query="&amp;SUBSTITUTE(A634," ","+"),"Search Transfermarkt")</f>
        <v>Search Transfermarkt</v>
      </c>
    </row>
    <row r="635" customFormat="false" ht="23.85" hidden="false" customHeight="false" outlineLevel="0" collapsed="false">
      <c r="A635" s="15" t="s">
        <v>2045</v>
      </c>
      <c r="B635" s="15" t="s">
        <v>90</v>
      </c>
      <c r="C635" s="15" t="s">
        <v>517</v>
      </c>
      <c r="D635" s="15" t="n">
        <v>2</v>
      </c>
      <c r="E635" s="15" t="s">
        <v>2046</v>
      </c>
      <c r="F635" s="15" t="s">
        <v>163</v>
      </c>
      <c r="G635" s="15" t="n">
        <v>17</v>
      </c>
      <c r="H635" s="15" t="n">
        <v>1178</v>
      </c>
      <c r="I635" s="15" t="n">
        <v>17</v>
      </c>
      <c r="J635" s="15" t="n">
        <v>2</v>
      </c>
      <c r="K635" s="15" t="n">
        <v>53</v>
      </c>
      <c r="L635" s="15" t="n">
        <v>83</v>
      </c>
      <c r="M635" s="15" t="n">
        <v>5</v>
      </c>
      <c r="N635" s="15" t="n">
        <v>0</v>
      </c>
      <c r="O635" s="15" t="n">
        <v>0</v>
      </c>
      <c r="P635" s="16" t="n">
        <v>0</v>
      </c>
      <c r="Q635" s="15" t="n">
        <v>0</v>
      </c>
      <c r="R635" s="15" t="n">
        <v>0</v>
      </c>
      <c r="S635" s="17" t="n">
        <v>0</v>
      </c>
      <c r="T635" s="15" t="s">
        <v>164</v>
      </c>
      <c r="U635" s="15" t="n">
        <v>2027</v>
      </c>
      <c r="V635" s="15" t="s">
        <v>2047</v>
      </c>
      <c r="W635" s="18" t="s">
        <v>147</v>
      </c>
      <c r="X635" s="18" t="s">
        <v>288</v>
      </c>
      <c r="Y635" s="15" t="s">
        <v>600</v>
      </c>
      <c r="Z635" s="15" t="s">
        <v>600</v>
      </c>
      <c r="AA635" s="19" t="str">
        <f aca="false">HYPERLINK("https://www.transfermarkt.com/schnellsuche/ergebnis/schnellsuche?query="&amp;SUBSTITUTE(A635," ","+"),"Search Transfermarkt")</f>
        <v>Search Transfermarkt</v>
      </c>
    </row>
    <row r="636" customFormat="false" ht="23.85" hidden="false" customHeight="false" outlineLevel="0" collapsed="false">
      <c r="A636" s="15" t="s">
        <v>2048</v>
      </c>
      <c r="B636" s="15" t="s">
        <v>90</v>
      </c>
      <c r="C636" s="15" t="s">
        <v>418</v>
      </c>
      <c r="D636" s="15" t="n">
        <v>2</v>
      </c>
      <c r="E636" s="15" t="s">
        <v>518</v>
      </c>
      <c r="F636" s="15" t="s">
        <v>170</v>
      </c>
      <c r="G636" s="15" t="n">
        <v>21</v>
      </c>
      <c r="H636" s="15" t="n">
        <v>1269</v>
      </c>
      <c r="I636" s="15" t="n">
        <v>10</v>
      </c>
      <c r="J636" s="15" t="n">
        <v>14</v>
      </c>
      <c r="K636" s="15" t="n">
        <v>132</v>
      </c>
      <c r="L636" s="15" t="n">
        <v>67</v>
      </c>
      <c r="M636" s="15" t="n">
        <v>48</v>
      </c>
      <c r="N636" s="15" t="n">
        <v>0</v>
      </c>
      <c r="O636" s="15" t="n">
        <v>0</v>
      </c>
      <c r="P636" s="16" t="n">
        <v>0</v>
      </c>
      <c r="Q636" s="15" t="n">
        <v>0</v>
      </c>
      <c r="R636" s="15" t="n">
        <v>0</v>
      </c>
      <c r="S636" s="17" t="n">
        <v>48854</v>
      </c>
      <c r="T636" s="15" t="s">
        <v>186</v>
      </c>
      <c r="U636" s="15" t="n">
        <v>2028</v>
      </c>
      <c r="V636" s="15" t="s">
        <v>519</v>
      </c>
      <c r="W636" s="18" t="s">
        <v>188</v>
      </c>
      <c r="X636" s="18" t="s">
        <v>288</v>
      </c>
      <c r="Y636" s="15" t="s">
        <v>600</v>
      </c>
      <c r="Z636" s="15" t="s">
        <v>600</v>
      </c>
      <c r="AA636" s="19" t="str">
        <f aca="false">HYPERLINK("https://www.transfermarkt.com/schnellsuche/ergebnis/schnellsuche?query="&amp;SUBSTITUTE(A636," ","+"),"Search Transfermarkt")</f>
        <v>Search Transfermarkt</v>
      </c>
    </row>
    <row r="637" customFormat="false" ht="23.85" hidden="false" customHeight="false" outlineLevel="0" collapsed="false">
      <c r="A637" s="15" t="s">
        <v>2049</v>
      </c>
      <c r="B637" s="15" t="s">
        <v>67</v>
      </c>
      <c r="C637" s="15" t="s">
        <v>584</v>
      </c>
      <c r="D637" s="15" t="n">
        <v>4</v>
      </c>
      <c r="E637" s="15" t="s">
        <v>2050</v>
      </c>
      <c r="F637" s="15" t="s">
        <v>170</v>
      </c>
      <c r="G637" s="15" t="n">
        <v>22</v>
      </c>
      <c r="H637" s="15" t="n">
        <v>1070</v>
      </c>
      <c r="I637" s="15" t="n">
        <v>5</v>
      </c>
      <c r="J637" s="15" t="n">
        <v>6</v>
      </c>
      <c r="K637" s="15" t="n">
        <v>158</v>
      </c>
      <c r="L637" s="15" t="n">
        <v>60</v>
      </c>
      <c r="M637" s="15" t="n">
        <v>34</v>
      </c>
      <c r="N637" s="15" t="n">
        <v>0</v>
      </c>
      <c r="O637" s="15" t="n">
        <v>0</v>
      </c>
      <c r="P637" s="16" t="n">
        <v>0</v>
      </c>
      <c r="Q637" s="15" t="n">
        <v>0</v>
      </c>
      <c r="R637" s="15" t="n">
        <v>0</v>
      </c>
      <c r="S637" s="17" t="n">
        <v>78787</v>
      </c>
      <c r="T637" s="15" t="s">
        <v>164</v>
      </c>
      <c r="U637" s="15" t="n">
        <v>2029</v>
      </c>
      <c r="V637" s="15" t="s">
        <v>2051</v>
      </c>
      <c r="W637" s="18" t="s">
        <v>139</v>
      </c>
      <c r="X637" s="18" t="s">
        <v>236</v>
      </c>
      <c r="Y637" s="15" t="s">
        <v>600</v>
      </c>
      <c r="Z637" s="15" t="s">
        <v>600</v>
      </c>
      <c r="AA637" s="19" t="str">
        <f aca="false">HYPERLINK("https://www.transfermarkt.com/schnellsuche/ergebnis/schnellsuche?query="&amp;SUBSTITUTE(A637," ","+"),"Search Transfermarkt")</f>
        <v>Search Transfermarkt</v>
      </c>
    </row>
    <row r="638" customFormat="false" ht="23.85" hidden="false" customHeight="false" outlineLevel="0" collapsed="false">
      <c r="A638" s="15" t="s">
        <v>2052</v>
      </c>
      <c r="B638" s="15" t="s">
        <v>81</v>
      </c>
      <c r="C638" s="15" t="s">
        <v>1351</v>
      </c>
      <c r="D638" s="15" t="n">
        <v>3</v>
      </c>
      <c r="E638" s="15" t="s">
        <v>2053</v>
      </c>
      <c r="F638" s="15" t="s">
        <v>136</v>
      </c>
      <c r="G638" s="15" t="n">
        <v>18</v>
      </c>
      <c r="H638" s="15" t="n">
        <v>1447</v>
      </c>
      <c r="I638" s="15" t="n">
        <v>3</v>
      </c>
      <c r="J638" s="15" t="n">
        <v>2</v>
      </c>
      <c r="K638" s="15" t="n">
        <v>54</v>
      </c>
      <c r="L638" s="15" t="n">
        <v>21</v>
      </c>
      <c r="M638" s="15" t="n">
        <v>94</v>
      </c>
      <c r="N638" s="15" t="n">
        <v>0</v>
      </c>
      <c r="O638" s="15" t="n">
        <v>0</v>
      </c>
      <c r="P638" s="16" t="n">
        <v>0</v>
      </c>
      <c r="Q638" s="15" t="n">
        <v>0</v>
      </c>
      <c r="R638" s="15" t="n">
        <v>0</v>
      </c>
      <c r="S638" s="17" t="n">
        <v>0</v>
      </c>
      <c r="T638" s="15" t="s">
        <v>137</v>
      </c>
      <c r="U638" s="15" t="n">
        <v>2028</v>
      </c>
      <c r="V638" s="15" t="s">
        <v>2054</v>
      </c>
      <c r="W638" s="18" t="s">
        <v>139</v>
      </c>
      <c r="X638" s="18" t="s">
        <v>407</v>
      </c>
      <c r="Y638" s="15" t="s">
        <v>600</v>
      </c>
      <c r="Z638" s="15" t="s">
        <v>600</v>
      </c>
      <c r="AA638" s="19" t="str">
        <f aca="false">HYPERLINK("https://www.transfermarkt.com/schnellsuche/ergebnis/schnellsuche?query="&amp;SUBSTITUTE(A638," ","+"),"Search Transfermarkt")</f>
        <v>Search Transfermarkt</v>
      </c>
    </row>
    <row r="639" customFormat="false" ht="23.85" hidden="false" customHeight="false" outlineLevel="0" collapsed="false">
      <c r="A639" s="15" t="s">
        <v>2055</v>
      </c>
      <c r="B639" s="15" t="s">
        <v>67</v>
      </c>
      <c r="C639" s="15" t="s">
        <v>636</v>
      </c>
      <c r="D639" s="15" t="n">
        <v>4</v>
      </c>
      <c r="E639" s="15" t="s">
        <v>2056</v>
      </c>
      <c r="F639" s="15" t="s">
        <v>136</v>
      </c>
      <c r="G639" s="15" t="n">
        <v>24</v>
      </c>
      <c r="H639" s="15" t="n">
        <v>1009</v>
      </c>
      <c r="I639" s="15" t="n">
        <v>0</v>
      </c>
      <c r="J639" s="15" t="n">
        <v>2</v>
      </c>
      <c r="K639" s="15" t="n">
        <v>55</v>
      </c>
      <c r="L639" s="15" t="n">
        <v>43</v>
      </c>
      <c r="M639" s="15" t="n">
        <v>107</v>
      </c>
      <c r="N639" s="15" t="n">
        <v>0</v>
      </c>
      <c r="O639" s="15" t="n">
        <v>0</v>
      </c>
      <c r="P639" s="16" t="n">
        <v>0</v>
      </c>
      <c r="Q639" s="15" t="n">
        <v>0</v>
      </c>
      <c r="R639" s="15" t="n">
        <v>0</v>
      </c>
      <c r="S639" s="17" t="n">
        <v>135074</v>
      </c>
      <c r="T639" s="15" t="s">
        <v>164</v>
      </c>
      <c r="U639" s="15" t="n">
        <v>2029</v>
      </c>
      <c r="V639" s="15" t="s">
        <v>2057</v>
      </c>
      <c r="W639" s="18" t="s">
        <v>139</v>
      </c>
      <c r="X639" s="18" t="s">
        <v>236</v>
      </c>
      <c r="Y639" s="15" t="s">
        <v>600</v>
      </c>
      <c r="Z639" s="15" t="s">
        <v>600</v>
      </c>
      <c r="AA639" s="19" t="str">
        <f aca="false">HYPERLINK("https://www.transfermarkt.com/schnellsuche/ergebnis/schnellsuche?query="&amp;SUBSTITUTE(A639," ","+"),"Search Transfermarkt")</f>
        <v>Search Transfermarkt</v>
      </c>
    </row>
    <row r="640" customFormat="false" ht="23.85" hidden="false" customHeight="false" outlineLevel="0" collapsed="false">
      <c r="A640" s="15" t="s">
        <v>2058</v>
      </c>
      <c r="B640" s="15" t="s">
        <v>106</v>
      </c>
      <c r="C640" s="15" t="s">
        <v>841</v>
      </c>
      <c r="D640" s="15" t="n">
        <v>4</v>
      </c>
      <c r="E640" s="15" t="s">
        <v>842</v>
      </c>
      <c r="F640" s="15" t="s">
        <v>136</v>
      </c>
      <c r="G640" s="15" t="n">
        <v>22</v>
      </c>
      <c r="H640" s="15" t="n">
        <v>2274</v>
      </c>
      <c r="I640" s="15" t="n">
        <v>0</v>
      </c>
      <c r="J640" s="15" t="n">
        <v>5</v>
      </c>
      <c r="K640" s="15" t="n">
        <v>60</v>
      </c>
      <c r="L640" s="15" t="n">
        <v>36</v>
      </c>
      <c r="M640" s="15" t="n">
        <v>121</v>
      </c>
      <c r="N640" s="15" t="n">
        <v>0</v>
      </c>
      <c r="O640" s="15" t="n">
        <v>0</v>
      </c>
      <c r="P640" s="16" t="n">
        <v>0</v>
      </c>
      <c r="Q640" s="15" t="n">
        <v>0</v>
      </c>
      <c r="R640" s="15" t="n">
        <v>0</v>
      </c>
      <c r="S640" s="17" t="n">
        <v>59460</v>
      </c>
      <c r="T640" s="15" t="s">
        <v>137</v>
      </c>
      <c r="U640" s="15" t="n">
        <v>2028</v>
      </c>
      <c r="V640" s="15" t="s">
        <v>843</v>
      </c>
      <c r="W640" s="18" t="s">
        <v>139</v>
      </c>
      <c r="X640" s="18" t="s">
        <v>283</v>
      </c>
      <c r="Y640" s="15" t="s">
        <v>600</v>
      </c>
      <c r="Z640" s="15" t="s">
        <v>600</v>
      </c>
      <c r="AA640" s="19" t="str">
        <f aca="false">HYPERLINK("https://www.transfermarkt.com/schnellsuche/ergebnis/schnellsuche?query="&amp;SUBSTITUTE(A640," ","+"),"Search Transfermarkt")</f>
        <v>Search Transfermarkt</v>
      </c>
    </row>
    <row r="641" customFormat="false" ht="23.85" hidden="false" customHeight="false" outlineLevel="0" collapsed="false">
      <c r="A641" s="15" t="s">
        <v>2059</v>
      </c>
      <c r="B641" s="15" t="s">
        <v>98</v>
      </c>
      <c r="C641" s="15" t="s">
        <v>144</v>
      </c>
      <c r="D641" s="15" t="n">
        <v>2</v>
      </c>
      <c r="E641" s="15" t="s">
        <v>2060</v>
      </c>
      <c r="F641" s="15" t="s">
        <v>136</v>
      </c>
      <c r="G641" s="15" t="n">
        <v>19</v>
      </c>
      <c r="H641" s="15" t="n">
        <v>1764</v>
      </c>
      <c r="I641" s="15" t="n">
        <v>0</v>
      </c>
      <c r="J641" s="15" t="n">
        <v>2</v>
      </c>
      <c r="K641" s="15" t="n">
        <v>44</v>
      </c>
      <c r="L641" s="15" t="n">
        <v>36</v>
      </c>
      <c r="M641" s="15" t="n">
        <v>111</v>
      </c>
      <c r="N641" s="15" t="n">
        <v>0</v>
      </c>
      <c r="O641" s="15" t="n">
        <v>0</v>
      </c>
      <c r="P641" s="16" t="n">
        <v>0</v>
      </c>
      <c r="Q641" s="15" t="n">
        <v>0</v>
      </c>
      <c r="R641" s="15" t="n">
        <v>0</v>
      </c>
      <c r="S641" s="17" t="n">
        <v>136371</v>
      </c>
      <c r="T641" s="15" t="s">
        <v>137</v>
      </c>
      <c r="U641" s="15" t="n">
        <v>2026</v>
      </c>
      <c r="V641" s="15" t="s">
        <v>2061</v>
      </c>
      <c r="W641" s="18" t="s">
        <v>139</v>
      </c>
      <c r="X641" s="18" t="s">
        <v>148</v>
      </c>
      <c r="Y641" s="15" t="s">
        <v>600</v>
      </c>
      <c r="Z641" s="15" t="s">
        <v>600</v>
      </c>
      <c r="AA641" s="19" t="str">
        <f aca="false">HYPERLINK("https://www.transfermarkt.com/schnellsuche/ergebnis/schnellsuche?query="&amp;SUBSTITUTE(A641," ","+"),"Search Transfermarkt")</f>
        <v>Search Transfermarkt</v>
      </c>
    </row>
    <row r="642" customFormat="false" ht="23.85" hidden="false" customHeight="false" outlineLevel="0" collapsed="false">
      <c r="A642" s="15" t="s">
        <v>2062</v>
      </c>
      <c r="B642" s="15" t="s">
        <v>90</v>
      </c>
      <c r="C642" s="15" t="s">
        <v>2063</v>
      </c>
      <c r="D642" s="15" t="n">
        <v>2</v>
      </c>
      <c r="E642" s="15" t="s">
        <v>2064</v>
      </c>
      <c r="F642" s="15" t="s">
        <v>136</v>
      </c>
      <c r="G642" s="15" t="n">
        <v>23</v>
      </c>
      <c r="H642" s="15" t="n">
        <v>1762</v>
      </c>
      <c r="I642" s="15" t="n">
        <v>2</v>
      </c>
      <c r="J642" s="15" t="n">
        <v>0</v>
      </c>
      <c r="K642" s="15" t="n">
        <v>68</v>
      </c>
      <c r="L642" s="15" t="n">
        <v>38</v>
      </c>
      <c r="M642" s="15" t="n">
        <v>90</v>
      </c>
      <c r="N642" s="15" t="n">
        <v>0</v>
      </c>
      <c r="O642" s="15" t="n">
        <v>0</v>
      </c>
      <c r="P642" s="16" t="n">
        <v>0</v>
      </c>
      <c r="Q642" s="15" t="n">
        <v>0</v>
      </c>
      <c r="R642" s="15" t="n">
        <v>0</v>
      </c>
      <c r="S642" s="17" t="n">
        <v>0</v>
      </c>
      <c r="T642" s="15" t="s">
        <v>164</v>
      </c>
      <c r="U642" s="15" t="n">
        <v>2028</v>
      </c>
      <c r="V642" s="15" t="s">
        <v>2065</v>
      </c>
      <c r="W642" s="18" t="s">
        <v>139</v>
      </c>
      <c r="X642" s="18" t="s">
        <v>288</v>
      </c>
      <c r="Y642" s="15" t="s">
        <v>600</v>
      </c>
      <c r="Z642" s="15" t="s">
        <v>600</v>
      </c>
      <c r="AA642" s="19" t="str">
        <f aca="false">HYPERLINK("https://www.transfermarkt.com/schnellsuche/ergebnis/schnellsuche?query="&amp;SUBSTITUTE(A642," ","+"),"Search Transfermarkt")</f>
        <v>Search Transfermarkt</v>
      </c>
    </row>
    <row r="643" customFormat="false" ht="23.85" hidden="false" customHeight="false" outlineLevel="0" collapsed="false">
      <c r="A643" s="15" t="s">
        <v>2066</v>
      </c>
      <c r="B643" s="15" t="s">
        <v>69</v>
      </c>
      <c r="C643" s="15" t="s">
        <v>426</v>
      </c>
      <c r="D643" s="15" t="n">
        <v>2</v>
      </c>
      <c r="E643" s="15" t="s">
        <v>2067</v>
      </c>
      <c r="F643" s="15" t="s">
        <v>170</v>
      </c>
      <c r="G643" s="15" t="n">
        <v>23</v>
      </c>
      <c r="H643" s="15" t="n">
        <v>2612</v>
      </c>
      <c r="I643" s="15" t="n">
        <v>4</v>
      </c>
      <c r="J643" s="15" t="n">
        <v>10</v>
      </c>
      <c r="K643" s="15" t="n">
        <v>167</v>
      </c>
      <c r="L643" s="15" t="n">
        <v>61</v>
      </c>
      <c r="M643" s="15" t="n">
        <v>29</v>
      </c>
      <c r="N643" s="15" t="n">
        <v>0</v>
      </c>
      <c r="O643" s="15" t="n">
        <v>0</v>
      </c>
      <c r="P643" s="16" t="n">
        <v>0</v>
      </c>
      <c r="Q643" s="15" t="n">
        <v>0</v>
      </c>
      <c r="R643" s="15" t="n">
        <v>0</v>
      </c>
      <c r="S643" s="17" t="n">
        <v>127308</v>
      </c>
      <c r="T643" s="15" t="s">
        <v>186</v>
      </c>
      <c r="U643" s="15" t="n">
        <v>2028</v>
      </c>
      <c r="V643" s="15" t="s">
        <v>2068</v>
      </c>
      <c r="W643" s="18" t="s">
        <v>188</v>
      </c>
      <c r="X643" s="18" t="s">
        <v>140</v>
      </c>
      <c r="Y643" s="15" t="s">
        <v>600</v>
      </c>
      <c r="Z643" s="15" t="s">
        <v>600</v>
      </c>
      <c r="AA643" s="19" t="str">
        <f aca="false">HYPERLINK("https://www.transfermarkt.com/schnellsuche/ergebnis/schnellsuche?query="&amp;SUBSTITUTE(A643," ","+"),"Search Transfermarkt")</f>
        <v>Search Transfermarkt</v>
      </c>
    </row>
    <row r="644" customFormat="false" ht="23.85" hidden="false" customHeight="false" outlineLevel="0" collapsed="false">
      <c r="A644" s="15" t="s">
        <v>2069</v>
      </c>
      <c r="B644" s="15" t="s">
        <v>62</v>
      </c>
      <c r="C644" s="15" t="s">
        <v>276</v>
      </c>
      <c r="D644" s="15" t="n">
        <v>2</v>
      </c>
      <c r="E644" s="15" t="s">
        <v>2070</v>
      </c>
      <c r="F644" s="15" t="s">
        <v>157</v>
      </c>
      <c r="G644" s="15" t="n">
        <v>20</v>
      </c>
      <c r="H644" s="15" t="n">
        <v>1412</v>
      </c>
      <c r="I644" s="15" t="n">
        <v>0</v>
      </c>
      <c r="J644" s="15" t="n">
        <v>0</v>
      </c>
      <c r="K644" s="15" t="n">
        <v>18</v>
      </c>
      <c r="L644" s="15" t="n">
        <v>2</v>
      </c>
      <c r="M644" s="15" t="n">
        <v>6</v>
      </c>
      <c r="N644" s="15" t="n">
        <v>36</v>
      </c>
      <c r="O644" s="15" t="n">
        <v>28</v>
      </c>
      <c r="P644" s="16" t="n">
        <v>62.4</v>
      </c>
      <c r="Q644" s="15" t="n">
        <v>1.8</v>
      </c>
      <c r="R644" s="15" t="n">
        <v>3</v>
      </c>
      <c r="S644" s="17" t="n">
        <v>0</v>
      </c>
      <c r="T644" s="15" t="s">
        <v>186</v>
      </c>
      <c r="U644" s="15" t="n">
        <v>2026</v>
      </c>
      <c r="V644" s="15" t="s">
        <v>2071</v>
      </c>
      <c r="W644" s="18" t="s">
        <v>188</v>
      </c>
      <c r="X644" s="18" t="s">
        <v>211</v>
      </c>
      <c r="Y644" s="15" t="s">
        <v>600</v>
      </c>
      <c r="Z644" s="15" t="s">
        <v>600</v>
      </c>
      <c r="AA644" s="19" t="str">
        <f aca="false">HYPERLINK("https://www.transfermarkt.com/schnellsuche/ergebnis/schnellsuche?query="&amp;SUBSTITUTE(A644," ","+"),"Search Transfermarkt")</f>
        <v>Search Transfermarkt</v>
      </c>
    </row>
    <row r="645" customFormat="false" ht="23.85" hidden="false" customHeight="false" outlineLevel="0" collapsed="false">
      <c r="A645" s="15" t="s">
        <v>2072</v>
      </c>
      <c r="B645" s="15" t="s">
        <v>75</v>
      </c>
      <c r="C645" s="15" t="s">
        <v>1581</v>
      </c>
      <c r="D645" s="15" t="n">
        <v>4</v>
      </c>
      <c r="E645" s="15" t="s">
        <v>195</v>
      </c>
      <c r="F645" s="15" t="s">
        <v>136</v>
      </c>
      <c r="G645" s="15" t="n">
        <v>22</v>
      </c>
      <c r="H645" s="15" t="n">
        <v>2429</v>
      </c>
      <c r="I645" s="15" t="n">
        <v>3</v>
      </c>
      <c r="J645" s="15" t="n">
        <v>2</v>
      </c>
      <c r="K645" s="15" t="n">
        <v>56</v>
      </c>
      <c r="L645" s="15" t="n">
        <v>47</v>
      </c>
      <c r="M645" s="15" t="n">
        <v>103</v>
      </c>
      <c r="N645" s="15" t="n">
        <v>0</v>
      </c>
      <c r="O645" s="15" t="n">
        <v>0</v>
      </c>
      <c r="P645" s="16" t="n">
        <v>0</v>
      </c>
      <c r="Q645" s="15" t="n">
        <v>0</v>
      </c>
      <c r="R645" s="15" t="n">
        <v>0</v>
      </c>
      <c r="S645" s="17" t="n">
        <v>140837</v>
      </c>
      <c r="T645" s="15" t="s">
        <v>164</v>
      </c>
      <c r="U645" s="15" t="n">
        <v>2029</v>
      </c>
      <c r="V645" s="15" t="s">
        <v>196</v>
      </c>
      <c r="W645" s="18" t="s">
        <v>139</v>
      </c>
      <c r="X645" s="18" t="s">
        <v>197</v>
      </c>
      <c r="Y645" s="15" t="s">
        <v>600</v>
      </c>
      <c r="Z645" s="15" t="s">
        <v>600</v>
      </c>
      <c r="AA645" s="19" t="str">
        <f aca="false">HYPERLINK("https://www.transfermarkt.com/schnellsuche/ergebnis/schnellsuche?query="&amp;SUBSTITUTE(A645," ","+"),"Search Transfermarkt")</f>
        <v>Search Transfermarkt</v>
      </c>
    </row>
    <row r="646" customFormat="false" ht="23.85" hidden="false" customHeight="false" outlineLevel="0" collapsed="false">
      <c r="A646" s="15" t="s">
        <v>2073</v>
      </c>
      <c r="B646" s="15" t="s">
        <v>71</v>
      </c>
      <c r="C646" s="15" t="s">
        <v>1107</v>
      </c>
      <c r="D646" s="15" t="n">
        <v>4</v>
      </c>
      <c r="E646" s="15" t="s">
        <v>175</v>
      </c>
      <c r="F646" s="15" t="s">
        <v>163</v>
      </c>
      <c r="G646" s="15" t="n">
        <v>18</v>
      </c>
      <c r="H646" s="15" t="n">
        <v>2532</v>
      </c>
      <c r="I646" s="15" t="n">
        <v>12</v>
      </c>
      <c r="J646" s="15" t="n">
        <v>4</v>
      </c>
      <c r="K646" s="15" t="n">
        <v>37</v>
      </c>
      <c r="L646" s="15" t="n">
        <v>79</v>
      </c>
      <c r="M646" s="15" t="n">
        <v>4</v>
      </c>
      <c r="N646" s="15" t="n">
        <v>0</v>
      </c>
      <c r="O646" s="15" t="n">
        <v>0</v>
      </c>
      <c r="P646" s="16" t="n">
        <v>0</v>
      </c>
      <c r="Q646" s="15" t="n">
        <v>0</v>
      </c>
      <c r="R646" s="15" t="n">
        <v>0</v>
      </c>
      <c r="S646" s="17" t="n">
        <v>91915</v>
      </c>
      <c r="T646" s="15" t="s">
        <v>137</v>
      </c>
      <c r="U646" s="15" t="n">
        <v>2028</v>
      </c>
      <c r="V646" s="15" t="s">
        <v>176</v>
      </c>
      <c r="W646" s="18" t="s">
        <v>139</v>
      </c>
      <c r="X646" s="18" t="s">
        <v>177</v>
      </c>
      <c r="Y646" s="15" t="s">
        <v>600</v>
      </c>
      <c r="Z646" s="15" t="s">
        <v>600</v>
      </c>
      <c r="AA646" s="19" t="str">
        <f aca="false">HYPERLINK("https://www.transfermarkt.com/schnellsuche/ergebnis/schnellsuche?query="&amp;SUBSTITUTE(A646," ","+"),"Search Transfermarkt")</f>
        <v>Search Transfermarkt</v>
      </c>
    </row>
    <row r="647" customFormat="false" ht="23.85" hidden="false" customHeight="false" outlineLevel="0" collapsed="false">
      <c r="A647" s="15" t="s">
        <v>2074</v>
      </c>
      <c r="B647" s="15" t="s">
        <v>69</v>
      </c>
      <c r="C647" s="15" t="s">
        <v>1105</v>
      </c>
      <c r="D647" s="15" t="n">
        <v>3</v>
      </c>
      <c r="E647" s="15" t="s">
        <v>2075</v>
      </c>
      <c r="F647" s="15" t="s">
        <v>136</v>
      </c>
      <c r="G647" s="15" t="n">
        <v>20</v>
      </c>
      <c r="H647" s="15" t="n">
        <v>1745</v>
      </c>
      <c r="I647" s="15" t="n">
        <v>0</v>
      </c>
      <c r="J647" s="15" t="n">
        <v>3</v>
      </c>
      <c r="K647" s="15" t="n">
        <v>64</v>
      </c>
      <c r="L647" s="15" t="n">
        <v>29</v>
      </c>
      <c r="M647" s="15" t="n">
        <v>87</v>
      </c>
      <c r="N647" s="15" t="n">
        <v>0</v>
      </c>
      <c r="O647" s="15" t="n">
        <v>0</v>
      </c>
      <c r="P647" s="16" t="n">
        <v>0</v>
      </c>
      <c r="Q647" s="15" t="n">
        <v>0</v>
      </c>
      <c r="R647" s="15" t="n">
        <v>0</v>
      </c>
      <c r="S647" s="17" t="n">
        <v>72202</v>
      </c>
      <c r="T647" s="15" t="s">
        <v>186</v>
      </c>
      <c r="U647" s="15" t="n">
        <v>2028</v>
      </c>
      <c r="V647" s="15" t="s">
        <v>2076</v>
      </c>
      <c r="W647" s="18" t="s">
        <v>188</v>
      </c>
      <c r="X647" s="18" t="s">
        <v>140</v>
      </c>
      <c r="Y647" s="15" t="s">
        <v>600</v>
      </c>
      <c r="Z647" s="15" t="s">
        <v>600</v>
      </c>
      <c r="AA647" s="19" t="str">
        <f aca="false">HYPERLINK("https://www.transfermarkt.com/schnellsuche/ergebnis/schnellsuche?query="&amp;SUBSTITUTE(A647," ","+"),"Search Transfermarkt")</f>
        <v>Search Transfermarkt</v>
      </c>
    </row>
    <row r="648" customFormat="false" ht="23.85" hidden="false" customHeight="false" outlineLevel="0" collapsed="false">
      <c r="A648" s="15" t="s">
        <v>2077</v>
      </c>
      <c r="B648" s="15" t="s">
        <v>85</v>
      </c>
      <c r="C648" s="15" t="s">
        <v>536</v>
      </c>
      <c r="D648" s="15" t="n">
        <v>2</v>
      </c>
      <c r="E648" s="15" t="s">
        <v>2078</v>
      </c>
      <c r="F648" s="15" t="s">
        <v>136</v>
      </c>
      <c r="G648" s="15" t="n">
        <v>26</v>
      </c>
      <c r="H648" s="15" t="n">
        <v>1898</v>
      </c>
      <c r="I648" s="15" t="n">
        <v>1</v>
      </c>
      <c r="J648" s="15" t="n">
        <v>5</v>
      </c>
      <c r="K648" s="15" t="n">
        <v>52</v>
      </c>
      <c r="L648" s="15" t="n">
        <v>26</v>
      </c>
      <c r="M648" s="15" t="n">
        <v>103</v>
      </c>
      <c r="N648" s="15" t="n">
        <v>0</v>
      </c>
      <c r="O648" s="15" t="n">
        <v>0</v>
      </c>
      <c r="P648" s="16" t="n">
        <v>0</v>
      </c>
      <c r="Q648" s="15" t="n">
        <v>0</v>
      </c>
      <c r="R648" s="15" t="n">
        <v>0</v>
      </c>
      <c r="S648" s="17" t="n">
        <v>21390</v>
      </c>
      <c r="T648" s="15" t="s">
        <v>164</v>
      </c>
      <c r="U648" s="15" t="n">
        <v>2027</v>
      </c>
      <c r="V648" s="15" t="s">
        <v>2079</v>
      </c>
      <c r="W648" s="18" t="s">
        <v>139</v>
      </c>
      <c r="X648" s="18" t="s">
        <v>265</v>
      </c>
      <c r="Y648" s="15" t="s">
        <v>600</v>
      </c>
      <c r="Z648" s="15" t="s">
        <v>600</v>
      </c>
      <c r="AA648" s="19" t="str">
        <f aca="false">HYPERLINK("https://www.transfermarkt.com/schnellsuche/ergebnis/schnellsuche?query="&amp;SUBSTITUTE(A648," ","+"),"Search Transfermarkt")</f>
        <v>Search Transfermarkt</v>
      </c>
    </row>
    <row r="649" customFormat="false" ht="23.85" hidden="false" customHeight="false" outlineLevel="0" collapsed="false">
      <c r="A649" s="15" t="s">
        <v>2080</v>
      </c>
      <c r="B649" s="15" t="s">
        <v>98</v>
      </c>
      <c r="C649" s="15" t="s">
        <v>1078</v>
      </c>
      <c r="D649" s="15" t="n">
        <v>2</v>
      </c>
      <c r="E649" s="15" t="s">
        <v>1079</v>
      </c>
      <c r="F649" s="15" t="s">
        <v>136</v>
      </c>
      <c r="G649" s="15" t="n">
        <v>17</v>
      </c>
      <c r="H649" s="15" t="n">
        <v>1160</v>
      </c>
      <c r="I649" s="15" t="n">
        <v>2</v>
      </c>
      <c r="J649" s="15" t="n">
        <v>5</v>
      </c>
      <c r="K649" s="15" t="n">
        <v>67</v>
      </c>
      <c r="L649" s="15" t="n">
        <v>26</v>
      </c>
      <c r="M649" s="15" t="n">
        <v>90</v>
      </c>
      <c r="N649" s="15" t="n">
        <v>0</v>
      </c>
      <c r="O649" s="15" t="n">
        <v>0</v>
      </c>
      <c r="P649" s="16" t="n">
        <v>0</v>
      </c>
      <c r="Q649" s="15" t="n">
        <v>0</v>
      </c>
      <c r="R649" s="15" t="n">
        <v>0</v>
      </c>
      <c r="S649" s="17" t="n">
        <v>0</v>
      </c>
      <c r="T649" s="15" t="s">
        <v>164</v>
      </c>
      <c r="U649" s="15" t="n">
        <v>2028</v>
      </c>
      <c r="V649" s="15" t="s">
        <v>1080</v>
      </c>
      <c r="W649" s="18" t="s">
        <v>147</v>
      </c>
      <c r="X649" s="18" t="s">
        <v>148</v>
      </c>
      <c r="Y649" s="15" t="s">
        <v>600</v>
      </c>
      <c r="Z649" s="15" t="s">
        <v>600</v>
      </c>
      <c r="AA649" s="19" t="str">
        <f aca="false">HYPERLINK("https://www.transfermarkt.com/schnellsuche/ergebnis/schnellsuche?query="&amp;SUBSTITUTE(A649," ","+"),"Search Transfermarkt")</f>
        <v>Search Transfermarkt</v>
      </c>
    </row>
    <row r="650" customFormat="false" ht="23.85" hidden="false" customHeight="false" outlineLevel="0" collapsed="false">
      <c r="A650" s="15" t="s">
        <v>2081</v>
      </c>
      <c r="B650" s="15" t="s">
        <v>103</v>
      </c>
      <c r="C650" s="15" t="s">
        <v>1071</v>
      </c>
      <c r="D650" s="15" t="n">
        <v>2</v>
      </c>
      <c r="E650" s="15" t="s">
        <v>1334</v>
      </c>
      <c r="F650" s="15" t="s">
        <v>170</v>
      </c>
      <c r="G650" s="15" t="n">
        <v>24</v>
      </c>
      <c r="H650" s="15" t="n">
        <v>1667</v>
      </c>
      <c r="I650" s="15" t="n">
        <v>3</v>
      </c>
      <c r="J650" s="15" t="n">
        <v>11</v>
      </c>
      <c r="K650" s="15" t="n">
        <v>168</v>
      </c>
      <c r="L650" s="15" t="n">
        <v>84</v>
      </c>
      <c r="M650" s="15" t="n">
        <v>34</v>
      </c>
      <c r="N650" s="15" t="n">
        <v>0</v>
      </c>
      <c r="O650" s="15" t="n">
        <v>0</v>
      </c>
      <c r="P650" s="16" t="n">
        <v>0</v>
      </c>
      <c r="Q650" s="15" t="n">
        <v>0</v>
      </c>
      <c r="R650" s="15" t="n">
        <v>0</v>
      </c>
      <c r="S650" s="17" t="n">
        <v>123064</v>
      </c>
      <c r="T650" s="15" t="s">
        <v>186</v>
      </c>
      <c r="U650" s="15" t="n">
        <v>2029</v>
      </c>
      <c r="V650" s="15" t="s">
        <v>1335</v>
      </c>
      <c r="W650" s="18" t="s">
        <v>188</v>
      </c>
      <c r="X650" s="18" t="s">
        <v>481</v>
      </c>
      <c r="Y650" s="15" t="s">
        <v>600</v>
      </c>
      <c r="Z650" s="15" t="s">
        <v>600</v>
      </c>
      <c r="AA650" s="19" t="str">
        <f aca="false">HYPERLINK("https://www.transfermarkt.com/schnellsuche/ergebnis/schnellsuche?query="&amp;SUBSTITUTE(A650," ","+"),"Search Transfermarkt")</f>
        <v>Search Transfermarkt</v>
      </c>
    </row>
    <row r="651" customFormat="false" ht="23.85" hidden="false" customHeight="false" outlineLevel="0" collapsed="false">
      <c r="A651" s="15" t="s">
        <v>2082</v>
      </c>
      <c r="B651" s="15" t="s">
        <v>103</v>
      </c>
      <c r="C651" s="15" t="s">
        <v>2083</v>
      </c>
      <c r="D651" s="15" t="n">
        <v>2</v>
      </c>
      <c r="E651" s="15" t="s">
        <v>1466</v>
      </c>
      <c r="F651" s="15" t="s">
        <v>157</v>
      </c>
      <c r="G651" s="15" t="n">
        <v>19</v>
      </c>
      <c r="H651" s="15" t="n">
        <v>1445</v>
      </c>
      <c r="I651" s="15" t="n">
        <v>0</v>
      </c>
      <c r="J651" s="15" t="n">
        <v>0</v>
      </c>
      <c r="K651" s="15" t="n">
        <v>13</v>
      </c>
      <c r="L651" s="15" t="n">
        <v>3</v>
      </c>
      <c r="M651" s="15" t="n">
        <v>8</v>
      </c>
      <c r="N651" s="15" t="n">
        <v>66</v>
      </c>
      <c r="O651" s="15" t="n">
        <v>18</v>
      </c>
      <c r="P651" s="16" t="n">
        <v>66.2</v>
      </c>
      <c r="Q651" s="15" t="n">
        <v>16.2</v>
      </c>
      <c r="R651" s="15" t="n">
        <v>7</v>
      </c>
      <c r="S651" s="17" t="n">
        <v>74944</v>
      </c>
      <c r="T651" s="15" t="s">
        <v>164</v>
      </c>
      <c r="U651" s="15" t="n">
        <v>2028</v>
      </c>
      <c r="V651" s="15" t="s">
        <v>1467</v>
      </c>
      <c r="W651" s="18" t="s">
        <v>139</v>
      </c>
      <c r="X651" s="18" t="s">
        <v>481</v>
      </c>
      <c r="Y651" s="15" t="s">
        <v>600</v>
      </c>
      <c r="Z651" s="15" t="s">
        <v>600</v>
      </c>
      <c r="AA651" s="19" t="str">
        <f aca="false">HYPERLINK("https://www.transfermarkt.com/schnellsuche/ergebnis/schnellsuche?query="&amp;SUBSTITUTE(A651," ","+"),"Search Transfermarkt")</f>
        <v>Search Transfermarkt</v>
      </c>
    </row>
    <row r="652" customFormat="false" ht="23.85" hidden="false" customHeight="false" outlineLevel="0" collapsed="false">
      <c r="A652" s="15" t="s">
        <v>2084</v>
      </c>
      <c r="B652" s="15" t="s">
        <v>106</v>
      </c>
      <c r="C652" s="15" t="s">
        <v>859</v>
      </c>
      <c r="D652" s="15" t="n">
        <v>4</v>
      </c>
      <c r="E652" s="15" t="s">
        <v>2085</v>
      </c>
      <c r="F652" s="15" t="s">
        <v>163</v>
      </c>
      <c r="G652" s="15" t="n">
        <v>24</v>
      </c>
      <c r="H652" s="15" t="n">
        <v>1058</v>
      </c>
      <c r="I652" s="15" t="n">
        <v>20</v>
      </c>
      <c r="J652" s="15" t="n">
        <v>1</v>
      </c>
      <c r="K652" s="15" t="n">
        <v>52</v>
      </c>
      <c r="L652" s="15" t="n">
        <v>101</v>
      </c>
      <c r="M652" s="15" t="n">
        <v>15</v>
      </c>
      <c r="N652" s="15" t="n">
        <v>0</v>
      </c>
      <c r="O652" s="15" t="n">
        <v>0</v>
      </c>
      <c r="P652" s="16" t="n">
        <v>0</v>
      </c>
      <c r="Q652" s="15" t="n">
        <v>0</v>
      </c>
      <c r="R652" s="15" t="n">
        <v>0</v>
      </c>
      <c r="S652" s="17" t="n">
        <v>12897</v>
      </c>
      <c r="T652" s="15" t="s">
        <v>164</v>
      </c>
      <c r="U652" s="15" t="n">
        <v>2029</v>
      </c>
      <c r="V652" s="15" t="s">
        <v>2086</v>
      </c>
      <c r="W652" s="18" t="s">
        <v>139</v>
      </c>
      <c r="X652" s="18" t="s">
        <v>283</v>
      </c>
      <c r="Y652" s="15" t="s">
        <v>600</v>
      </c>
      <c r="Z652" s="15" t="s">
        <v>600</v>
      </c>
      <c r="AA652" s="19" t="str">
        <f aca="false">HYPERLINK("https://www.transfermarkt.com/schnellsuche/ergebnis/schnellsuche?query="&amp;SUBSTITUTE(A652," ","+"),"Search Transfermarkt")</f>
        <v>Search Transfermarkt</v>
      </c>
    </row>
    <row r="653" customFormat="false" ht="23.85" hidden="false" customHeight="false" outlineLevel="0" collapsed="false">
      <c r="A653" s="15" t="s">
        <v>2087</v>
      </c>
      <c r="B653" s="15" t="s">
        <v>68</v>
      </c>
      <c r="C653" s="15" t="s">
        <v>1194</v>
      </c>
      <c r="D653" s="15" t="n">
        <v>2</v>
      </c>
      <c r="E653" s="15" t="s">
        <v>641</v>
      </c>
      <c r="F653" s="15" t="s">
        <v>157</v>
      </c>
      <c r="G653" s="15" t="n">
        <v>18</v>
      </c>
      <c r="H653" s="15" t="n">
        <v>2472</v>
      </c>
      <c r="I653" s="15" t="n">
        <v>0</v>
      </c>
      <c r="J653" s="15" t="n">
        <v>0</v>
      </c>
      <c r="K653" s="15" t="n">
        <v>14</v>
      </c>
      <c r="L653" s="15" t="n">
        <v>3</v>
      </c>
      <c r="M653" s="15" t="n">
        <v>6</v>
      </c>
      <c r="N653" s="15" t="n">
        <v>122</v>
      </c>
      <c r="O653" s="15" t="n">
        <v>47</v>
      </c>
      <c r="P653" s="16" t="n">
        <v>62.2</v>
      </c>
      <c r="Q653" s="15" t="n">
        <v>34.1</v>
      </c>
      <c r="R653" s="15" t="n">
        <v>7</v>
      </c>
      <c r="S653" s="17" t="n">
        <v>120026</v>
      </c>
      <c r="T653" s="15" t="s">
        <v>137</v>
      </c>
      <c r="U653" s="15" t="n">
        <v>2029</v>
      </c>
      <c r="V653" s="15" t="s">
        <v>642</v>
      </c>
      <c r="W653" s="18" t="s">
        <v>139</v>
      </c>
      <c r="X653" s="18" t="s">
        <v>153</v>
      </c>
      <c r="Y653" s="15" t="s">
        <v>600</v>
      </c>
      <c r="Z653" s="15" t="s">
        <v>600</v>
      </c>
      <c r="AA653" s="19" t="str">
        <f aca="false">HYPERLINK("https://www.transfermarkt.com/schnellsuche/ergebnis/schnellsuche?query="&amp;SUBSTITUTE(A653," ","+"),"Search Transfermarkt")</f>
        <v>Search Transfermarkt</v>
      </c>
    </row>
    <row r="654" customFormat="false" ht="23.85" hidden="false" customHeight="false" outlineLevel="0" collapsed="false">
      <c r="A654" s="15" t="s">
        <v>2088</v>
      </c>
      <c r="B654" s="15" t="s">
        <v>80</v>
      </c>
      <c r="C654" s="15" t="s">
        <v>1095</v>
      </c>
      <c r="D654" s="15" t="n">
        <v>2</v>
      </c>
      <c r="E654" s="15" t="s">
        <v>2089</v>
      </c>
      <c r="F654" s="15" t="s">
        <v>163</v>
      </c>
      <c r="G654" s="15" t="n">
        <v>25</v>
      </c>
      <c r="H654" s="15" t="n">
        <v>2235</v>
      </c>
      <c r="I654" s="15" t="n">
        <v>13</v>
      </c>
      <c r="J654" s="15" t="n">
        <v>5</v>
      </c>
      <c r="K654" s="15" t="n">
        <v>32</v>
      </c>
      <c r="L654" s="15" t="n">
        <v>64</v>
      </c>
      <c r="M654" s="15" t="n">
        <v>6</v>
      </c>
      <c r="N654" s="15" t="n">
        <v>0</v>
      </c>
      <c r="O654" s="15" t="n">
        <v>0</v>
      </c>
      <c r="P654" s="16" t="n">
        <v>0</v>
      </c>
      <c r="Q654" s="15" t="n">
        <v>0</v>
      </c>
      <c r="R654" s="15" t="n">
        <v>0</v>
      </c>
      <c r="S654" s="17" t="n">
        <v>0</v>
      </c>
      <c r="T654" s="15" t="s">
        <v>186</v>
      </c>
      <c r="U654" s="15" t="n">
        <v>2029</v>
      </c>
      <c r="V654" s="15" t="s">
        <v>2090</v>
      </c>
      <c r="W654" s="18" t="s">
        <v>188</v>
      </c>
      <c r="X654" s="18" t="s">
        <v>304</v>
      </c>
      <c r="Y654" s="15" t="s">
        <v>600</v>
      </c>
      <c r="Z654" s="15" t="s">
        <v>600</v>
      </c>
      <c r="AA654" s="19" t="str">
        <f aca="false">HYPERLINK("https://www.transfermarkt.com/schnellsuche/ergebnis/schnellsuche?query="&amp;SUBSTITUTE(A654," ","+"),"Search Transfermarkt")</f>
        <v>Search Transfermarkt</v>
      </c>
    </row>
    <row r="655" customFormat="false" ht="23.85" hidden="false" customHeight="false" outlineLevel="0" collapsed="false">
      <c r="A655" s="15" t="s">
        <v>2091</v>
      </c>
      <c r="B655" s="15" t="s">
        <v>64</v>
      </c>
      <c r="C655" s="15" t="s">
        <v>1970</v>
      </c>
      <c r="D655" s="15" t="n">
        <v>4</v>
      </c>
      <c r="E655" s="15" t="s">
        <v>2092</v>
      </c>
      <c r="F655" s="15" t="s">
        <v>136</v>
      </c>
      <c r="G655" s="15" t="n">
        <v>19</v>
      </c>
      <c r="H655" s="15" t="n">
        <v>1907</v>
      </c>
      <c r="I655" s="15" t="n">
        <v>1</v>
      </c>
      <c r="J655" s="15" t="n">
        <v>1</v>
      </c>
      <c r="K655" s="15" t="n">
        <v>50</v>
      </c>
      <c r="L655" s="15" t="n">
        <v>36</v>
      </c>
      <c r="M655" s="15" t="n">
        <v>89</v>
      </c>
      <c r="N655" s="15" t="n">
        <v>0</v>
      </c>
      <c r="O655" s="15" t="n">
        <v>0</v>
      </c>
      <c r="P655" s="16" t="n">
        <v>0</v>
      </c>
      <c r="Q655" s="15" t="n">
        <v>0</v>
      </c>
      <c r="R655" s="15" t="n">
        <v>0</v>
      </c>
      <c r="S655" s="17" t="n">
        <v>117390</v>
      </c>
      <c r="T655" s="15" t="s">
        <v>137</v>
      </c>
      <c r="U655" s="15" t="n">
        <v>2029</v>
      </c>
      <c r="V655" s="15" t="s">
        <v>2093</v>
      </c>
      <c r="W655" s="18" t="s">
        <v>139</v>
      </c>
      <c r="X655" s="18" t="s">
        <v>231</v>
      </c>
      <c r="Y655" s="15" t="s">
        <v>600</v>
      </c>
      <c r="Z655" s="15" t="s">
        <v>600</v>
      </c>
      <c r="AA655" s="19" t="str">
        <f aca="false">HYPERLINK("https://www.transfermarkt.com/schnellsuche/ergebnis/schnellsuche?query="&amp;SUBSTITUTE(A655," ","+"),"Search Transfermarkt")</f>
        <v>Search Transfermarkt</v>
      </c>
    </row>
    <row r="656" customFormat="false" ht="23.85" hidden="false" customHeight="false" outlineLevel="0" collapsed="false">
      <c r="A656" s="15" t="s">
        <v>2094</v>
      </c>
      <c r="B656" s="15" t="s">
        <v>104</v>
      </c>
      <c r="C656" s="15" t="s">
        <v>1063</v>
      </c>
      <c r="D656" s="15" t="n">
        <v>3</v>
      </c>
      <c r="E656" s="15" t="s">
        <v>1142</v>
      </c>
      <c r="F656" s="15" t="s">
        <v>157</v>
      </c>
      <c r="G656" s="15" t="n">
        <v>21</v>
      </c>
      <c r="H656" s="15" t="n">
        <v>2009</v>
      </c>
      <c r="I656" s="15" t="n">
        <v>0</v>
      </c>
      <c r="J656" s="15" t="n">
        <v>0</v>
      </c>
      <c r="K656" s="15" t="n">
        <v>7</v>
      </c>
      <c r="L656" s="15" t="n">
        <v>1</v>
      </c>
      <c r="M656" s="15" t="n">
        <v>9</v>
      </c>
      <c r="N656" s="15" t="n">
        <v>47</v>
      </c>
      <c r="O656" s="15" t="n">
        <v>42</v>
      </c>
      <c r="P656" s="16" t="n">
        <v>69.8</v>
      </c>
      <c r="Q656" s="15" t="n">
        <v>15.1</v>
      </c>
      <c r="R656" s="15" t="n">
        <v>4</v>
      </c>
      <c r="S656" s="17" t="n">
        <v>109281</v>
      </c>
      <c r="T656" s="15" t="s">
        <v>164</v>
      </c>
      <c r="U656" s="15" t="n">
        <v>2029</v>
      </c>
      <c r="V656" s="15" t="s">
        <v>1143</v>
      </c>
      <c r="W656" s="18" t="s">
        <v>139</v>
      </c>
      <c r="X656" s="18" t="s">
        <v>274</v>
      </c>
      <c r="Y656" s="15" t="s">
        <v>600</v>
      </c>
      <c r="Z656" s="15" t="s">
        <v>600</v>
      </c>
      <c r="AA656" s="19" t="str">
        <f aca="false">HYPERLINK("https://www.transfermarkt.com/schnellsuche/ergebnis/schnellsuche?query="&amp;SUBSTITUTE(A656," ","+"),"Search Transfermarkt")</f>
        <v>Search Transfermarkt</v>
      </c>
    </row>
    <row r="657" customFormat="false" ht="23.85" hidden="false" customHeight="false" outlineLevel="0" collapsed="false">
      <c r="A657" s="15" t="s">
        <v>2095</v>
      </c>
      <c r="B657" s="15" t="s">
        <v>102</v>
      </c>
      <c r="C657" s="15" t="s">
        <v>2096</v>
      </c>
      <c r="D657" s="15" t="n">
        <v>2</v>
      </c>
      <c r="E657" s="15" t="s">
        <v>560</v>
      </c>
      <c r="F657" s="15" t="s">
        <v>136</v>
      </c>
      <c r="G657" s="15" t="n">
        <v>24</v>
      </c>
      <c r="H657" s="15" t="n">
        <v>1944</v>
      </c>
      <c r="I657" s="15" t="n">
        <v>1</v>
      </c>
      <c r="J657" s="15" t="n">
        <v>4</v>
      </c>
      <c r="K657" s="15" t="n">
        <v>71</v>
      </c>
      <c r="L657" s="15" t="n">
        <v>27</v>
      </c>
      <c r="M657" s="15" t="n">
        <v>91</v>
      </c>
      <c r="N657" s="15" t="n">
        <v>0</v>
      </c>
      <c r="O657" s="15" t="n">
        <v>0</v>
      </c>
      <c r="P657" s="16" t="n">
        <v>0</v>
      </c>
      <c r="Q657" s="15" t="n">
        <v>0</v>
      </c>
      <c r="R657" s="15" t="n">
        <v>0</v>
      </c>
      <c r="S657" s="17" t="n">
        <v>97517</v>
      </c>
      <c r="T657" s="15" t="s">
        <v>137</v>
      </c>
      <c r="U657" s="15" t="n">
        <v>2026</v>
      </c>
      <c r="V657" s="15" t="s">
        <v>561</v>
      </c>
      <c r="W657" s="18" t="s">
        <v>139</v>
      </c>
      <c r="X657" s="18" t="s">
        <v>453</v>
      </c>
      <c r="Y657" s="15" t="s">
        <v>600</v>
      </c>
      <c r="Z657" s="15" t="s">
        <v>600</v>
      </c>
      <c r="AA657" s="19" t="str">
        <f aca="false">HYPERLINK("https://www.transfermarkt.com/schnellsuche/ergebnis/schnellsuche?query="&amp;SUBSTITUTE(A657," ","+"),"Search Transfermarkt")</f>
        <v>Search Transfermarkt</v>
      </c>
    </row>
    <row r="658" customFormat="false" ht="23.85" hidden="false" customHeight="false" outlineLevel="0" collapsed="false">
      <c r="A658" s="15" t="s">
        <v>2097</v>
      </c>
      <c r="B658" s="15" t="s">
        <v>82</v>
      </c>
      <c r="C658" s="15" t="s">
        <v>430</v>
      </c>
      <c r="D658" s="15" t="n">
        <v>2</v>
      </c>
      <c r="E658" s="15" t="s">
        <v>2098</v>
      </c>
      <c r="F658" s="15" t="s">
        <v>136</v>
      </c>
      <c r="G658" s="15" t="n">
        <v>21</v>
      </c>
      <c r="H658" s="15" t="n">
        <v>1556</v>
      </c>
      <c r="I658" s="15" t="n">
        <v>2</v>
      </c>
      <c r="J658" s="15" t="n">
        <v>4</v>
      </c>
      <c r="K658" s="15" t="n">
        <v>43</v>
      </c>
      <c r="L658" s="15" t="n">
        <v>38</v>
      </c>
      <c r="M658" s="15" t="n">
        <v>80</v>
      </c>
      <c r="N658" s="15" t="n">
        <v>0</v>
      </c>
      <c r="O658" s="15" t="n">
        <v>0</v>
      </c>
      <c r="P658" s="16" t="n">
        <v>0</v>
      </c>
      <c r="Q658" s="15" t="n">
        <v>0</v>
      </c>
      <c r="R658" s="15" t="n">
        <v>0</v>
      </c>
      <c r="S658" s="17" t="n">
        <v>18617</v>
      </c>
      <c r="T658" s="15" t="s">
        <v>164</v>
      </c>
      <c r="U658" s="15" t="n">
        <v>2027</v>
      </c>
      <c r="V658" s="15" t="s">
        <v>2099</v>
      </c>
      <c r="W658" s="18" t="s">
        <v>139</v>
      </c>
      <c r="X658" s="18" t="s">
        <v>166</v>
      </c>
      <c r="Y658" s="15" t="s">
        <v>600</v>
      </c>
      <c r="Z658" s="15" t="s">
        <v>600</v>
      </c>
      <c r="AA658" s="19" t="str">
        <f aca="false">HYPERLINK("https://www.transfermarkt.com/schnellsuche/ergebnis/schnellsuche?query="&amp;SUBSTITUTE(A658," ","+"),"Search Transfermarkt")</f>
        <v>Search Transfermarkt</v>
      </c>
    </row>
    <row r="659" customFormat="false" ht="23.85" hidden="false" customHeight="false" outlineLevel="0" collapsed="false">
      <c r="A659" s="15" t="s">
        <v>2100</v>
      </c>
      <c r="B659" s="15" t="s">
        <v>104</v>
      </c>
      <c r="C659" s="15" t="s">
        <v>271</v>
      </c>
      <c r="D659" s="15" t="n">
        <v>2</v>
      </c>
      <c r="E659" s="15" t="s">
        <v>2101</v>
      </c>
      <c r="F659" s="15" t="s">
        <v>163</v>
      </c>
      <c r="G659" s="15" t="n">
        <v>17</v>
      </c>
      <c r="H659" s="15" t="n">
        <v>1738</v>
      </c>
      <c r="I659" s="15" t="n">
        <v>9</v>
      </c>
      <c r="J659" s="15" t="n">
        <v>3</v>
      </c>
      <c r="K659" s="15" t="n">
        <v>63</v>
      </c>
      <c r="L659" s="15" t="n">
        <v>99</v>
      </c>
      <c r="M659" s="15" t="n">
        <v>12</v>
      </c>
      <c r="N659" s="15" t="n">
        <v>0</v>
      </c>
      <c r="O659" s="15" t="n">
        <v>0</v>
      </c>
      <c r="P659" s="16" t="n">
        <v>0</v>
      </c>
      <c r="Q659" s="15" t="n">
        <v>0</v>
      </c>
      <c r="R659" s="15" t="n">
        <v>0</v>
      </c>
      <c r="S659" s="17" t="n">
        <v>87069</v>
      </c>
      <c r="T659" s="15" t="s">
        <v>164</v>
      </c>
      <c r="U659" s="15" t="n">
        <v>2028</v>
      </c>
      <c r="V659" s="15" t="s">
        <v>2102</v>
      </c>
      <c r="W659" s="18" t="s">
        <v>147</v>
      </c>
      <c r="X659" s="18" t="s">
        <v>274</v>
      </c>
      <c r="Y659" s="15" t="s">
        <v>600</v>
      </c>
      <c r="Z659" s="15" t="s">
        <v>600</v>
      </c>
      <c r="AA659" s="19" t="str">
        <f aca="false">HYPERLINK("https://www.transfermarkt.com/schnellsuche/ergebnis/schnellsuche?query="&amp;SUBSTITUTE(A659," ","+"),"Search Transfermarkt")</f>
        <v>Search Transfermarkt</v>
      </c>
    </row>
    <row r="660" customFormat="false" ht="23.85" hidden="false" customHeight="false" outlineLevel="0" collapsed="false">
      <c r="A660" s="15" t="s">
        <v>2103</v>
      </c>
      <c r="B660" s="15" t="s">
        <v>92</v>
      </c>
      <c r="C660" s="15" t="s">
        <v>719</v>
      </c>
      <c r="D660" s="15" t="n">
        <v>3</v>
      </c>
      <c r="E660" s="15" t="s">
        <v>2104</v>
      </c>
      <c r="F660" s="15" t="s">
        <v>157</v>
      </c>
      <c r="G660" s="15" t="n">
        <v>19</v>
      </c>
      <c r="H660" s="15" t="n">
        <v>1610</v>
      </c>
      <c r="I660" s="15" t="n">
        <v>0</v>
      </c>
      <c r="J660" s="15" t="n">
        <v>0</v>
      </c>
      <c r="K660" s="15" t="n">
        <v>11</v>
      </c>
      <c r="L660" s="15" t="n">
        <v>0</v>
      </c>
      <c r="M660" s="15" t="n">
        <v>9</v>
      </c>
      <c r="N660" s="15" t="n">
        <v>53</v>
      </c>
      <c r="O660" s="15" t="n">
        <v>30</v>
      </c>
      <c r="P660" s="16" t="n">
        <v>71.2</v>
      </c>
      <c r="Q660" s="15" t="n">
        <v>4.2</v>
      </c>
      <c r="R660" s="15" t="n">
        <v>5</v>
      </c>
      <c r="S660" s="17" t="n">
        <v>96461</v>
      </c>
      <c r="T660" s="15" t="s">
        <v>164</v>
      </c>
      <c r="U660" s="15" t="n">
        <v>2026</v>
      </c>
      <c r="V660" s="15" t="s">
        <v>2105</v>
      </c>
      <c r="W660" s="18" t="s">
        <v>139</v>
      </c>
      <c r="X660" s="18" t="s">
        <v>159</v>
      </c>
      <c r="Y660" s="15" t="s">
        <v>600</v>
      </c>
      <c r="Z660" s="15" t="s">
        <v>600</v>
      </c>
      <c r="AA660" s="19" t="str">
        <f aca="false">HYPERLINK("https://www.transfermarkt.com/schnellsuche/ergebnis/schnellsuche?query="&amp;SUBSTITUTE(A660," ","+"),"Search Transfermarkt")</f>
        <v>Search Transfermarkt</v>
      </c>
    </row>
    <row r="661" customFormat="false" ht="23.85" hidden="false" customHeight="false" outlineLevel="0" collapsed="false">
      <c r="A661" s="15" t="s">
        <v>2106</v>
      </c>
      <c r="B661" s="15" t="s">
        <v>76</v>
      </c>
      <c r="C661" s="15" t="s">
        <v>617</v>
      </c>
      <c r="D661" s="15" t="n">
        <v>3</v>
      </c>
      <c r="E661" s="15" t="s">
        <v>1499</v>
      </c>
      <c r="F661" s="15" t="s">
        <v>136</v>
      </c>
      <c r="G661" s="15" t="n">
        <v>25</v>
      </c>
      <c r="H661" s="15" t="n">
        <v>1955</v>
      </c>
      <c r="I661" s="15" t="n">
        <v>0</v>
      </c>
      <c r="J661" s="15" t="n">
        <v>5</v>
      </c>
      <c r="K661" s="15" t="n">
        <v>51</v>
      </c>
      <c r="L661" s="15" t="n">
        <v>27</v>
      </c>
      <c r="M661" s="15" t="n">
        <v>125</v>
      </c>
      <c r="N661" s="15" t="n">
        <v>0</v>
      </c>
      <c r="O661" s="15" t="n">
        <v>0</v>
      </c>
      <c r="P661" s="16" t="n">
        <v>0</v>
      </c>
      <c r="Q661" s="15" t="n">
        <v>0</v>
      </c>
      <c r="R661" s="15" t="n">
        <v>0</v>
      </c>
      <c r="S661" s="17" t="n">
        <v>19861</v>
      </c>
      <c r="T661" s="15" t="s">
        <v>186</v>
      </c>
      <c r="U661" s="15" t="n">
        <v>2029</v>
      </c>
      <c r="V661" s="15" t="s">
        <v>1500</v>
      </c>
      <c r="W661" s="18" t="s">
        <v>188</v>
      </c>
      <c r="X661" s="18" t="s">
        <v>241</v>
      </c>
      <c r="Y661" s="15" t="s">
        <v>600</v>
      </c>
      <c r="Z661" s="15" t="s">
        <v>600</v>
      </c>
      <c r="AA661" s="19" t="str">
        <f aca="false">HYPERLINK("https://www.transfermarkt.com/schnellsuche/ergebnis/schnellsuche?query="&amp;SUBSTITUTE(A661," ","+"),"Search Transfermarkt")</f>
        <v>Search Transfermarkt</v>
      </c>
    </row>
    <row r="662" customFormat="false" ht="23.85" hidden="false" customHeight="false" outlineLevel="0" collapsed="false">
      <c r="A662" s="15" t="s">
        <v>2107</v>
      </c>
      <c r="B662" s="15" t="s">
        <v>82</v>
      </c>
      <c r="C662" s="15" t="s">
        <v>1172</v>
      </c>
      <c r="D662" s="15" t="n">
        <v>3</v>
      </c>
      <c r="E662" s="15" t="s">
        <v>2108</v>
      </c>
      <c r="F662" s="15" t="s">
        <v>163</v>
      </c>
      <c r="G662" s="15" t="n">
        <v>17</v>
      </c>
      <c r="H662" s="15" t="n">
        <v>2065</v>
      </c>
      <c r="I662" s="15" t="n">
        <v>16</v>
      </c>
      <c r="J662" s="15" t="n">
        <v>2</v>
      </c>
      <c r="K662" s="15" t="n">
        <v>64</v>
      </c>
      <c r="L662" s="15" t="n">
        <v>58</v>
      </c>
      <c r="M662" s="15" t="n">
        <v>13</v>
      </c>
      <c r="N662" s="15" t="n">
        <v>0</v>
      </c>
      <c r="O662" s="15" t="n">
        <v>0</v>
      </c>
      <c r="P662" s="16" t="n">
        <v>0</v>
      </c>
      <c r="Q662" s="15" t="n">
        <v>0</v>
      </c>
      <c r="R662" s="15" t="n">
        <v>0</v>
      </c>
      <c r="S662" s="17" t="n">
        <v>121241</v>
      </c>
      <c r="T662" s="15" t="s">
        <v>186</v>
      </c>
      <c r="U662" s="15" t="n">
        <v>2027</v>
      </c>
      <c r="V662" s="15" t="s">
        <v>2109</v>
      </c>
      <c r="W662" s="18" t="s">
        <v>147</v>
      </c>
      <c r="X662" s="18" t="s">
        <v>166</v>
      </c>
      <c r="Y662" s="15" t="s">
        <v>600</v>
      </c>
      <c r="Z662" s="15" t="s">
        <v>600</v>
      </c>
      <c r="AA662" s="19" t="str">
        <f aca="false">HYPERLINK("https://www.transfermarkt.com/schnellsuche/ergebnis/schnellsuche?query="&amp;SUBSTITUTE(A662," ","+"),"Search Transfermarkt")</f>
        <v>Search Transfermarkt</v>
      </c>
    </row>
    <row r="663" customFormat="false" ht="23.85" hidden="false" customHeight="false" outlineLevel="0" collapsed="false">
      <c r="A663" s="15" t="s">
        <v>2110</v>
      </c>
      <c r="B663" s="15" t="s">
        <v>66</v>
      </c>
      <c r="C663" s="15" t="s">
        <v>2111</v>
      </c>
      <c r="D663" s="15" t="n">
        <v>3</v>
      </c>
      <c r="E663" s="15" t="s">
        <v>180</v>
      </c>
      <c r="F663" s="15" t="s">
        <v>136</v>
      </c>
      <c r="G663" s="15" t="n">
        <v>17</v>
      </c>
      <c r="H663" s="15" t="n">
        <v>982</v>
      </c>
      <c r="I663" s="15" t="n">
        <v>1</v>
      </c>
      <c r="J663" s="15" t="n">
        <v>0</v>
      </c>
      <c r="K663" s="15" t="n">
        <v>57</v>
      </c>
      <c r="L663" s="15" t="n">
        <v>42</v>
      </c>
      <c r="M663" s="15" t="n">
        <v>101</v>
      </c>
      <c r="N663" s="15" t="n">
        <v>0</v>
      </c>
      <c r="O663" s="15" t="n">
        <v>0</v>
      </c>
      <c r="P663" s="16" t="n">
        <v>0</v>
      </c>
      <c r="Q663" s="15" t="n">
        <v>0</v>
      </c>
      <c r="R663" s="15" t="n">
        <v>0</v>
      </c>
      <c r="S663" s="17" t="n">
        <v>74991</v>
      </c>
      <c r="T663" s="15" t="s">
        <v>164</v>
      </c>
      <c r="U663" s="15" t="n">
        <v>2026</v>
      </c>
      <c r="V663" s="15" t="s">
        <v>181</v>
      </c>
      <c r="W663" s="18" t="s">
        <v>147</v>
      </c>
      <c r="X663" s="18" t="s">
        <v>182</v>
      </c>
      <c r="Y663" s="15" t="s">
        <v>600</v>
      </c>
      <c r="Z663" s="15" t="s">
        <v>600</v>
      </c>
      <c r="AA663" s="19" t="str">
        <f aca="false">HYPERLINK("https://www.transfermarkt.com/schnellsuche/ergebnis/schnellsuche?query="&amp;SUBSTITUTE(A663," ","+"),"Search Transfermarkt")</f>
        <v>Search Transfermarkt</v>
      </c>
    </row>
    <row r="664" customFormat="false" ht="23.85" hidden="false" customHeight="false" outlineLevel="0" collapsed="false">
      <c r="A664" s="15" t="s">
        <v>2112</v>
      </c>
      <c r="B664" s="15" t="s">
        <v>98</v>
      </c>
      <c r="C664" s="15" t="s">
        <v>462</v>
      </c>
      <c r="D664" s="15" t="n">
        <v>3</v>
      </c>
      <c r="E664" s="15" t="s">
        <v>2113</v>
      </c>
      <c r="F664" s="15" t="s">
        <v>157</v>
      </c>
      <c r="G664" s="15" t="n">
        <v>22</v>
      </c>
      <c r="H664" s="15" t="n">
        <v>2096</v>
      </c>
      <c r="I664" s="15" t="n">
        <v>0</v>
      </c>
      <c r="J664" s="15" t="n">
        <v>0</v>
      </c>
      <c r="K664" s="15" t="n">
        <v>15</v>
      </c>
      <c r="L664" s="15" t="n">
        <v>3</v>
      </c>
      <c r="M664" s="15" t="n">
        <v>8</v>
      </c>
      <c r="N664" s="15" t="n">
        <v>90</v>
      </c>
      <c r="O664" s="15" t="n">
        <v>29</v>
      </c>
      <c r="P664" s="16" t="n">
        <v>71</v>
      </c>
      <c r="Q664" s="15" t="n">
        <v>15.9</v>
      </c>
      <c r="R664" s="15" t="n">
        <v>6</v>
      </c>
      <c r="S664" s="17" t="n">
        <v>86027</v>
      </c>
      <c r="T664" s="15" t="s">
        <v>137</v>
      </c>
      <c r="U664" s="15" t="n">
        <v>2028</v>
      </c>
      <c r="V664" s="15" t="s">
        <v>2114</v>
      </c>
      <c r="W664" s="18" t="s">
        <v>139</v>
      </c>
      <c r="X664" s="18" t="s">
        <v>148</v>
      </c>
      <c r="Y664" s="15" t="s">
        <v>600</v>
      </c>
      <c r="Z664" s="15" t="s">
        <v>600</v>
      </c>
      <c r="AA664" s="19" t="str">
        <f aca="false">HYPERLINK("https://www.transfermarkt.com/schnellsuche/ergebnis/schnellsuche?query="&amp;SUBSTITUTE(A664," ","+"),"Search Transfermarkt")</f>
        <v>Search Transfermarkt</v>
      </c>
    </row>
    <row r="665" customFormat="false" ht="23.85" hidden="false" customHeight="false" outlineLevel="0" collapsed="false">
      <c r="A665" s="15" t="s">
        <v>2115</v>
      </c>
      <c r="B665" s="15" t="s">
        <v>86</v>
      </c>
      <c r="C665" s="15" t="s">
        <v>1423</v>
      </c>
      <c r="D665" s="15" t="n">
        <v>4</v>
      </c>
      <c r="E665" s="15" t="s">
        <v>1218</v>
      </c>
      <c r="F665" s="15" t="s">
        <v>170</v>
      </c>
      <c r="G665" s="15" t="n">
        <v>24</v>
      </c>
      <c r="H665" s="15" t="n">
        <v>1328</v>
      </c>
      <c r="I665" s="15" t="n">
        <v>1</v>
      </c>
      <c r="J665" s="15" t="n">
        <v>12</v>
      </c>
      <c r="K665" s="15" t="n">
        <v>128</v>
      </c>
      <c r="L665" s="15" t="n">
        <v>90</v>
      </c>
      <c r="M665" s="15" t="n">
        <v>47</v>
      </c>
      <c r="N665" s="15" t="n">
        <v>0</v>
      </c>
      <c r="O665" s="15" t="n">
        <v>0</v>
      </c>
      <c r="P665" s="16" t="n">
        <v>0</v>
      </c>
      <c r="Q665" s="15" t="n">
        <v>0</v>
      </c>
      <c r="R665" s="15" t="n">
        <v>0</v>
      </c>
      <c r="S665" s="17" t="n">
        <v>78679</v>
      </c>
      <c r="T665" s="15" t="s">
        <v>186</v>
      </c>
      <c r="U665" s="15" t="n">
        <v>2028</v>
      </c>
      <c r="V665" s="15" t="s">
        <v>1219</v>
      </c>
      <c r="W665" s="18" t="s">
        <v>188</v>
      </c>
      <c r="X665" s="18" t="s">
        <v>473</v>
      </c>
      <c r="Y665" s="15" t="s">
        <v>600</v>
      </c>
      <c r="Z665" s="15" t="s">
        <v>600</v>
      </c>
      <c r="AA665" s="19" t="str">
        <f aca="false">HYPERLINK("https://www.transfermarkt.com/schnellsuche/ergebnis/schnellsuche?query="&amp;SUBSTITUTE(A665," ","+"),"Search Transfermarkt")</f>
        <v>Search Transfermarkt</v>
      </c>
    </row>
    <row r="666" customFormat="false" ht="23.85" hidden="false" customHeight="false" outlineLevel="0" collapsed="false">
      <c r="A666" s="15" t="s">
        <v>2116</v>
      </c>
      <c r="B666" s="15" t="s">
        <v>89</v>
      </c>
      <c r="C666" s="15" t="s">
        <v>548</v>
      </c>
      <c r="D666" s="15" t="n">
        <v>2</v>
      </c>
      <c r="E666" s="15" t="s">
        <v>294</v>
      </c>
      <c r="F666" s="15" t="s">
        <v>163</v>
      </c>
      <c r="G666" s="15" t="n">
        <v>25</v>
      </c>
      <c r="H666" s="15" t="n">
        <v>1041</v>
      </c>
      <c r="I666" s="15" t="n">
        <v>20</v>
      </c>
      <c r="J666" s="15" t="n">
        <v>6</v>
      </c>
      <c r="K666" s="15" t="n">
        <v>67</v>
      </c>
      <c r="L666" s="15" t="n">
        <v>68</v>
      </c>
      <c r="M666" s="15" t="n">
        <v>16</v>
      </c>
      <c r="N666" s="15" t="n">
        <v>0</v>
      </c>
      <c r="O666" s="15" t="n">
        <v>0</v>
      </c>
      <c r="P666" s="16" t="n">
        <v>0</v>
      </c>
      <c r="Q666" s="15" t="n">
        <v>0</v>
      </c>
      <c r="R666" s="15" t="n">
        <v>0</v>
      </c>
      <c r="S666" s="17" t="n">
        <v>121847</v>
      </c>
      <c r="T666" s="15" t="s">
        <v>186</v>
      </c>
      <c r="U666" s="15" t="n">
        <v>2027</v>
      </c>
      <c r="V666" s="15" t="s">
        <v>295</v>
      </c>
      <c r="W666" s="18" t="s">
        <v>188</v>
      </c>
      <c r="X666" s="18" t="s">
        <v>206</v>
      </c>
      <c r="Y666" s="15" t="s">
        <v>600</v>
      </c>
      <c r="Z666" s="15" t="s">
        <v>600</v>
      </c>
      <c r="AA666" s="19" t="str">
        <f aca="false">HYPERLINK("https://www.transfermarkt.com/schnellsuche/ergebnis/schnellsuche?query="&amp;SUBSTITUTE(A666," ","+"),"Search Transfermarkt")</f>
        <v>Search Transfermarkt</v>
      </c>
    </row>
    <row r="667" customFormat="false" ht="23.85" hidden="false" customHeight="false" outlineLevel="0" collapsed="false">
      <c r="A667" s="15" t="s">
        <v>2117</v>
      </c>
      <c r="B667" s="15" t="s">
        <v>71</v>
      </c>
      <c r="C667" s="15" t="s">
        <v>1176</v>
      </c>
      <c r="D667" s="15" t="n">
        <v>2</v>
      </c>
      <c r="E667" s="15" t="s">
        <v>2118</v>
      </c>
      <c r="F667" s="15" t="s">
        <v>170</v>
      </c>
      <c r="G667" s="15" t="n">
        <v>20</v>
      </c>
      <c r="H667" s="15" t="n">
        <v>1199</v>
      </c>
      <c r="I667" s="15" t="n">
        <v>9</v>
      </c>
      <c r="J667" s="15" t="n">
        <v>4</v>
      </c>
      <c r="K667" s="15" t="n">
        <v>155</v>
      </c>
      <c r="L667" s="15" t="n">
        <v>84</v>
      </c>
      <c r="M667" s="15" t="n">
        <v>49</v>
      </c>
      <c r="N667" s="15" t="n">
        <v>0</v>
      </c>
      <c r="O667" s="15" t="n">
        <v>0</v>
      </c>
      <c r="P667" s="16" t="n">
        <v>0</v>
      </c>
      <c r="Q667" s="15" t="n">
        <v>0</v>
      </c>
      <c r="R667" s="15" t="n">
        <v>0</v>
      </c>
      <c r="S667" s="17" t="n">
        <v>81851</v>
      </c>
      <c r="T667" s="15" t="s">
        <v>137</v>
      </c>
      <c r="U667" s="15" t="n">
        <v>2027</v>
      </c>
      <c r="V667" s="15" t="s">
        <v>2119</v>
      </c>
      <c r="W667" s="18" t="s">
        <v>139</v>
      </c>
      <c r="X667" s="18" t="s">
        <v>177</v>
      </c>
      <c r="Y667" s="15" t="s">
        <v>600</v>
      </c>
      <c r="Z667" s="15" t="s">
        <v>600</v>
      </c>
      <c r="AA667" s="19" t="str">
        <f aca="false">HYPERLINK("https://www.transfermarkt.com/schnellsuche/ergebnis/schnellsuche?query="&amp;SUBSTITUTE(A667," ","+"),"Search Transfermarkt")</f>
        <v>Search Transfermarkt</v>
      </c>
    </row>
    <row r="668" customFormat="false" ht="23.85" hidden="false" customHeight="false" outlineLevel="0" collapsed="false">
      <c r="A668" s="15" t="s">
        <v>2120</v>
      </c>
      <c r="B668" s="15" t="s">
        <v>103</v>
      </c>
      <c r="C668" s="15" t="s">
        <v>2083</v>
      </c>
      <c r="D668" s="15" t="n">
        <v>3</v>
      </c>
      <c r="E668" s="15" t="s">
        <v>2121</v>
      </c>
      <c r="F668" s="15" t="s">
        <v>157</v>
      </c>
      <c r="G668" s="15" t="n">
        <v>25</v>
      </c>
      <c r="H668" s="15" t="n">
        <v>1068</v>
      </c>
      <c r="I668" s="15" t="n">
        <v>0</v>
      </c>
      <c r="J668" s="15" t="n">
        <v>0</v>
      </c>
      <c r="K668" s="15" t="n">
        <v>16</v>
      </c>
      <c r="L668" s="15" t="n">
        <v>5</v>
      </c>
      <c r="M668" s="15" t="n">
        <v>5</v>
      </c>
      <c r="N668" s="15" t="n">
        <v>47</v>
      </c>
      <c r="O668" s="15" t="n">
        <v>23</v>
      </c>
      <c r="P668" s="16" t="n">
        <v>87.7</v>
      </c>
      <c r="Q668" s="15" t="n">
        <v>13</v>
      </c>
      <c r="R668" s="15" t="n">
        <v>2</v>
      </c>
      <c r="S668" s="17" t="n">
        <v>0</v>
      </c>
      <c r="T668" s="15" t="s">
        <v>137</v>
      </c>
      <c r="U668" s="15" t="n">
        <v>2027</v>
      </c>
      <c r="V668" s="15" t="s">
        <v>2122</v>
      </c>
      <c r="W668" s="18" t="s">
        <v>139</v>
      </c>
      <c r="X668" s="18" t="s">
        <v>481</v>
      </c>
      <c r="Y668" s="15" t="s">
        <v>600</v>
      </c>
      <c r="Z668" s="15" t="s">
        <v>600</v>
      </c>
      <c r="AA668" s="19" t="str">
        <f aca="false">HYPERLINK("https://www.transfermarkt.com/schnellsuche/ergebnis/schnellsuche?query="&amp;SUBSTITUTE(A668," ","+"),"Search Transfermarkt")</f>
        <v>Search Transfermarkt</v>
      </c>
    </row>
    <row r="669" customFormat="false" ht="23.85" hidden="false" customHeight="false" outlineLevel="0" collapsed="false">
      <c r="A669" s="15" t="s">
        <v>2123</v>
      </c>
      <c r="B669" s="15" t="s">
        <v>85</v>
      </c>
      <c r="C669" s="15" t="s">
        <v>2124</v>
      </c>
      <c r="D669" s="15" t="n">
        <v>2</v>
      </c>
      <c r="E669" s="15" t="s">
        <v>2125</v>
      </c>
      <c r="F669" s="15" t="s">
        <v>163</v>
      </c>
      <c r="G669" s="15" t="n">
        <v>18</v>
      </c>
      <c r="H669" s="15" t="n">
        <v>2478</v>
      </c>
      <c r="I669" s="15" t="n">
        <v>17</v>
      </c>
      <c r="J669" s="15" t="n">
        <v>4</v>
      </c>
      <c r="K669" s="15" t="n">
        <v>68</v>
      </c>
      <c r="L669" s="15" t="n">
        <v>60</v>
      </c>
      <c r="M669" s="15" t="n">
        <v>12</v>
      </c>
      <c r="N669" s="15" t="n">
        <v>0</v>
      </c>
      <c r="O669" s="15" t="n">
        <v>0</v>
      </c>
      <c r="P669" s="16" t="n">
        <v>0</v>
      </c>
      <c r="Q669" s="15" t="n">
        <v>0</v>
      </c>
      <c r="R669" s="15" t="n">
        <v>0</v>
      </c>
      <c r="S669" s="17" t="n">
        <v>84685</v>
      </c>
      <c r="T669" s="15" t="s">
        <v>164</v>
      </c>
      <c r="U669" s="15" t="n">
        <v>2027</v>
      </c>
      <c r="V669" s="15" t="s">
        <v>2126</v>
      </c>
      <c r="W669" s="18" t="s">
        <v>139</v>
      </c>
      <c r="X669" s="18" t="s">
        <v>265</v>
      </c>
      <c r="Y669" s="15" t="s">
        <v>600</v>
      </c>
      <c r="Z669" s="15" t="s">
        <v>600</v>
      </c>
      <c r="AA669" s="19" t="str">
        <f aca="false">HYPERLINK("https://www.transfermarkt.com/schnellsuche/ergebnis/schnellsuche?query="&amp;SUBSTITUTE(A669," ","+"),"Search Transfermarkt")</f>
        <v>Search Transfermarkt</v>
      </c>
    </row>
    <row r="670" customFormat="false" ht="23.85" hidden="false" customHeight="false" outlineLevel="0" collapsed="false">
      <c r="A670" s="15" t="s">
        <v>2127</v>
      </c>
      <c r="B670" s="15" t="s">
        <v>75</v>
      </c>
      <c r="C670" s="15" t="s">
        <v>806</v>
      </c>
      <c r="D670" s="15" t="n">
        <v>4</v>
      </c>
      <c r="E670" s="15" t="s">
        <v>1774</v>
      </c>
      <c r="F670" s="15" t="s">
        <v>163</v>
      </c>
      <c r="G670" s="15" t="n">
        <v>20</v>
      </c>
      <c r="H670" s="15" t="n">
        <v>1132</v>
      </c>
      <c r="I670" s="15" t="n">
        <v>11</v>
      </c>
      <c r="J670" s="15" t="n">
        <v>5</v>
      </c>
      <c r="K670" s="15" t="n">
        <v>47</v>
      </c>
      <c r="L670" s="15" t="n">
        <v>73</v>
      </c>
      <c r="M670" s="15" t="n">
        <v>14</v>
      </c>
      <c r="N670" s="15" t="n">
        <v>0</v>
      </c>
      <c r="O670" s="15" t="n">
        <v>0</v>
      </c>
      <c r="P670" s="16" t="n">
        <v>0</v>
      </c>
      <c r="Q670" s="15" t="n">
        <v>0</v>
      </c>
      <c r="R670" s="15" t="n">
        <v>0</v>
      </c>
      <c r="S670" s="17" t="n">
        <v>0</v>
      </c>
      <c r="T670" s="15" t="s">
        <v>164</v>
      </c>
      <c r="U670" s="15" t="n">
        <v>2026</v>
      </c>
      <c r="V670" s="15" t="s">
        <v>1775</v>
      </c>
      <c r="W670" s="18" t="s">
        <v>139</v>
      </c>
      <c r="X670" s="18" t="s">
        <v>197</v>
      </c>
      <c r="Y670" s="15" t="s">
        <v>600</v>
      </c>
      <c r="Z670" s="15" t="s">
        <v>600</v>
      </c>
      <c r="AA670" s="19" t="str">
        <f aca="false">HYPERLINK("https://www.transfermarkt.com/schnellsuche/ergebnis/schnellsuche?query="&amp;SUBSTITUTE(A670," ","+"),"Search Transfermarkt")</f>
        <v>Search Transfermarkt</v>
      </c>
    </row>
    <row r="671" customFormat="false" ht="23.85" hidden="false" customHeight="false" outlineLevel="0" collapsed="false">
      <c r="A671" s="15" t="s">
        <v>2128</v>
      </c>
      <c r="B671" s="15" t="s">
        <v>89</v>
      </c>
      <c r="C671" s="15" t="s">
        <v>1298</v>
      </c>
      <c r="D671" s="15" t="n">
        <v>3</v>
      </c>
      <c r="E671" s="15" t="s">
        <v>2129</v>
      </c>
      <c r="F671" s="15" t="s">
        <v>170</v>
      </c>
      <c r="G671" s="15" t="n">
        <v>21</v>
      </c>
      <c r="H671" s="15" t="n">
        <v>1921</v>
      </c>
      <c r="I671" s="15" t="n">
        <v>1</v>
      </c>
      <c r="J671" s="15" t="n">
        <v>11</v>
      </c>
      <c r="K671" s="15" t="n">
        <v>145</v>
      </c>
      <c r="L671" s="15" t="n">
        <v>93</v>
      </c>
      <c r="M671" s="15" t="n">
        <v>51</v>
      </c>
      <c r="N671" s="15" t="n">
        <v>0</v>
      </c>
      <c r="O671" s="15" t="n">
        <v>0</v>
      </c>
      <c r="P671" s="16" t="n">
        <v>0</v>
      </c>
      <c r="Q671" s="15" t="n">
        <v>0</v>
      </c>
      <c r="R671" s="15" t="n">
        <v>0</v>
      </c>
      <c r="S671" s="17" t="n">
        <v>27591</v>
      </c>
      <c r="T671" s="15" t="s">
        <v>137</v>
      </c>
      <c r="U671" s="15" t="n">
        <v>2028</v>
      </c>
      <c r="V671" s="15" t="s">
        <v>2130</v>
      </c>
      <c r="W671" s="18" t="s">
        <v>139</v>
      </c>
      <c r="X671" s="18" t="s">
        <v>206</v>
      </c>
      <c r="Y671" s="15" t="s">
        <v>600</v>
      </c>
      <c r="Z671" s="15" t="s">
        <v>600</v>
      </c>
      <c r="AA671" s="19" t="str">
        <f aca="false">HYPERLINK("https://www.transfermarkt.com/schnellsuche/ergebnis/schnellsuche?query="&amp;SUBSTITUTE(A671," ","+"),"Search Transfermarkt")</f>
        <v>Search Transfermarkt</v>
      </c>
    </row>
    <row r="672" customFormat="false" ht="23.85" hidden="false" customHeight="false" outlineLevel="0" collapsed="false">
      <c r="A672" s="15" t="s">
        <v>2131</v>
      </c>
      <c r="B672" s="15" t="s">
        <v>67</v>
      </c>
      <c r="C672" s="15" t="s">
        <v>1302</v>
      </c>
      <c r="D672" s="15" t="n">
        <v>2</v>
      </c>
      <c r="E672" s="15" t="s">
        <v>234</v>
      </c>
      <c r="F672" s="15" t="s">
        <v>157</v>
      </c>
      <c r="G672" s="15" t="n">
        <v>22</v>
      </c>
      <c r="H672" s="15" t="n">
        <v>1589</v>
      </c>
      <c r="I672" s="15" t="n">
        <v>0</v>
      </c>
      <c r="J672" s="15" t="n">
        <v>0</v>
      </c>
      <c r="K672" s="15" t="n">
        <v>13</v>
      </c>
      <c r="L672" s="15" t="n">
        <v>4</v>
      </c>
      <c r="M672" s="15" t="n">
        <v>7</v>
      </c>
      <c r="N672" s="15" t="n">
        <v>51</v>
      </c>
      <c r="O672" s="15" t="n">
        <v>37</v>
      </c>
      <c r="P672" s="16" t="n">
        <v>66.2</v>
      </c>
      <c r="Q672" s="15" t="n">
        <v>22.9</v>
      </c>
      <c r="R672" s="15" t="n">
        <v>6</v>
      </c>
      <c r="S672" s="17" t="n">
        <v>144810</v>
      </c>
      <c r="T672" s="15" t="s">
        <v>137</v>
      </c>
      <c r="U672" s="15" t="n">
        <v>2029</v>
      </c>
      <c r="V672" s="15" t="s">
        <v>235</v>
      </c>
      <c r="W672" s="18" t="s">
        <v>139</v>
      </c>
      <c r="X672" s="18" t="s">
        <v>236</v>
      </c>
      <c r="Y672" s="15" t="s">
        <v>600</v>
      </c>
      <c r="Z672" s="15" t="s">
        <v>600</v>
      </c>
      <c r="AA672" s="19" t="str">
        <f aca="false">HYPERLINK("https://www.transfermarkt.com/schnellsuche/ergebnis/schnellsuche?query="&amp;SUBSTITUTE(A672," ","+"),"Search Transfermarkt")</f>
        <v>Search Transfermarkt</v>
      </c>
    </row>
    <row r="673" customFormat="false" ht="23.85" hidden="false" customHeight="false" outlineLevel="0" collapsed="false">
      <c r="A673" s="15" t="s">
        <v>2132</v>
      </c>
      <c r="B673" s="15" t="s">
        <v>77</v>
      </c>
      <c r="C673" s="15" t="s">
        <v>2133</v>
      </c>
      <c r="D673" s="15" t="n">
        <v>3</v>
      </c>
      <c r="E673" s="15" t="s">
        <v>2134</v>
      </c>
      <c r="F673" s="15" t="s">
        <v>170</v>
      </c>
      <c r="G673" s="15" t="n">
        <v>24</v>
      </c>
      <c r="H673" s="15" t="n">
        <v>1217</v>
      </c>
      <c r="I673" s="15" t="n">
        <v>8</v>
      </c>
      <c r="J673" s="15" t="n">
        <v>7</v>
      </c>
      <c r="K673" s="15" t="n">
        <v>156</v>
      </c>
      <c r="L673" s="15" t="n">
        <v>75</v>
      </c>
      <c r="M673" s="15" t="n">
        <v>48</v>
      </c>
      <c r="N673" s="15" t="n">
        <v>0</v>
      </c>
      <c r="O673" s="15" t="n">
        <v>0</v>
      </c>
      <c r="P673" s="16" t="n">
        <v>0</v>
      </c>
      <c r="Q673" s="15" t="n">
        <v>0</v>
      </c>
      <c r="R673" s="15" t="n">
        <v>0</v>
      </c>
      <c r="S673" s="17" t="n">
        <v>0</v>
      </c>
      <c r="T673" s="15" t="s">
        <v>186</v>
      </c>
      <c r="U673" s="15" t="n">
        <v>2027</v>
      </c>
      <c r="V673" s="15" t="s">
        <v>2135</v>
      </c>
      <c r="W673" s="18" t="s">
        <v>188</v>
      </c>
      <c r="X673" s="18" t="s">
        <v>358</v>
      </c>
      <c r="Y673" s="15" t="s">
        <v>600</v>
      </c>
      <c r="Z673" s="15" t="s">
        <v>600</v>
      </c>
      <c r="AA673" s="19" t="str">
        <f aca="false">HYPERLINK("https://www.transfermarkt.com/schnellsuche/ergebnis/schnellsuche?query="&amp;SUBSTITUTE(A673," ","+"),"Search Transfermarkt")</f>
        <v>Search Transfermarkt</v>
      </c>
    </row>
    <row r="674" customFormat="false" ht="23.85" hidden="false" customHeight="false" outlineLevel="0" collapsed="false">
      <c r="A674" s="15" t="s">
        <v>2136</v>
      </c>
      <c r="B674" s="15" t="s">
        <v>90</v>
      </c>
      <c r="C674" s="15" t="s">
        <v>2063</v>
      </c>
      <c r="D674" s="15" t="n">
        <v>4</v>
      </c>
      <c r="E674" s="15" t="s">
        <v>2137</v>
      </c>
      <c r="F674" s="15" t="s">
        <v>136</v>
      </c>
      <c r="G674" s="15" t="n">
        <v>17</v>
      </c>
      <c r="H674" s="15" t="n">
        <v>1970</v>
      </c>
      <c r="I674" s="15" t="n">
        <v>1</v>
      </c>
      <c r="J674" s="15" t="n">
        <v>3</v>
      </c>
      <c r="K674" s="15" t="n">
        <v>55</v>
      </c>
      <c r="L674" s="15" t="n">
        <v>31</v>
      </c>
      <c r="M674" s="15" t="n">
        <v>120</v>
      </c>
      <c r="N674" s="15" t="n">
        <v>0</v>
      </c>
      <c r="O674" s="15" t="n">
        <v>0</v>
      </c>
      <c r="P674" s="16" t="n">
        <v>0</v>
      </c>
      <c r="Q674" s="15" t="n">
        <v>0</v>
      </c>
      <c r="R674" s="15" t="n">
        <v>0</v>
      </c>
      <c r="S674" s="17" t="n">
        <v>98854</v>
      </c>
      <c r="T674" s="15" t="s">
        <v>164</v>
      </c>
      <c r="U674" s="15" t="n">
        <v>2028</v>
      </c>
      <c r="V674" s="15" t="s">
        <v>2138</v>
      </c>
      <c r="W674" s="18" t="s">
        <v>147</v>
      </c>
      <c r="X674" s="18" t="s">
        <v>288</v>
      </c>
      <c r="Y674" s="15" t="s">
        <v>600</v>
      </c>
      <c r="Z674" s="15" t="s">
        <v>600</v>
      </c>
      <c r="AA674" s="19" t="str">
        <f aca="false">HYPERLINK("https://www.transfermarkt.com/schnellsuche/ergebnis/schnellsuche?query="&amp;SUBSTITUTE(A674," ","+"),"Search Transfermarkt")</f>
        <v>Search Transfermarkt</v>
      </c>
    </row>
    <row r="675" customFormat="false" ht="23.85" hidden="false" customHeight="false" outlineLevel="0" collapsed="false">
      <c r="A675" s="15" t="s">
        <v>2139</v>
      </c>
      <c r="B675" s="15" t="s">
        <v>89</v>
      </c>
      <c r="C675" s="15" t="s">
        <v>1298</v>
      </c>
      <c r="D675" s="15" t="n">
        <v>2</v>
      </c>
      <c r="E675" s="15" t="s">
        <v>2140</v>
      </c>
      <c r="F675" s="15" t="s">
        <v>157</v>
      </c>
      <c r="G675" s="15" t="n">
        <v>26</v>
      </c>
      <c r="H675" s="15" t="n">
        <v>1980</v>
      </c>
      <c r="I675" s="15" t="n">
        <v>0</v>
      </c>
      <c r="J675" s="15" t="n">
        <v>0</v>
      </c>
      <c r="K675" s="15" t="n">
        <v>12</v>
      </c>
      <c r="L675" s="15" t="n">
        <v>6</v>
      </c>
      <c r="M675" s="15" t="n">
        <v>10</v>
      </c>
      <c r="N675" s="15" t="n">
        <v>55</v>
      </c>
      <c r="O675" s="15" t="n">
        <v>42</v>
      </c>
      <c r="P675" s="16" t="n">
        <v>82.6</v>
      </c>
      <c r="Q675" s="15" t="n">
        <v>16.7</v>
      </c>
      <c r="R675" s="15" t="n">
        <v>5</v>
      </c>
      <c r="S675" s="17" t="n">
        <v>61699</v>
      </c>
      <c r="T675" s="15" t="s">
        <v>137</v>
      </c>
      <c r="U675" s="15" t="n">
        <v>2026</v>
      </c>
      <c r="V675" s="15" t="s">
        <v>2141</v>
      </c>
      <c r="W675" s="18" t="s">
        <v>139</v>
      </c>
      <c r="X675" s="18" t="s">
        <v>206</v>
      </c>
      <c r="Y675" s="15" t="s">
        <v>600</v>
      </c>
      <c r="Z675" s="15" t="s">
        <v>600</v>
      </c>
      <c r="AA675" s="19" t="str">
        <f aca="false">HYPERLINK("https://www.transfermarkt.com/schnellsuche/ergebnis/schnellsuche?query="&amp;SUBSTITUTE(A675," ","+"),"Search Transfermarkt")</f>
        <v>Search Transfermarkt</v>
      </c>
    </row>
    <row r="676" customFormat="false" ht="23.85" hidden="false" customHeight="false" outlineLevel="0" collapsed="false">
      <c r="A676" s="15" t="s">
        <v>2142</v>
      </c>
      <c r="B676" s="15" t="s">
        <v>68</v>
      </c>
      <c r="C676" s="15" t="s">
        <v>687</v>
      </c>
      <c r="D676" s="15" t="n">
        <v>3</v>
      </c>
      <c r="E676" s="15" t="s">
        <v>2143</v>
      </c>
      <c r="F676" s="15" t="s">
        <v>170</v>
      </c>
      <c r="G676" s="15" t="n">
        <v>22</v>
      </c>
      <c r="H676" s="15" t="n">
        <v>1692</v>
      </c>
      <c r="I676" s="15" t="n">
        <v>4</v>
      </c>
      <c r="J676" s="15" t="n">
        <v>5</v>
      </c>
      <c r="K676" s="15" t="n">
        <v>144</v>
      </c>
      <c r="L676" s="15" t="n">
        <v>92</v>
      </c>
      <c r="M676" s="15" t="n">
        <v>32</v>
      </c>
      <c r="N676" s="15" t="n">
        <v>0</v>
      </c>
      <c r="O676" s="15" t="n">
        <v>0</v>
      </c>
      <c r="P676" s="16" t="n">
        <v>0</v>
      </c>
      <c r="Q676" s="15" t="n">
        <v>0</v>
      </c>
      <c r="R676" s="15" t="n">
        <v>0</v>
      </c>
      <c r="S676" s="17" t="n">
        <v>121568</v>
      </c>
      <c r="T676" s="15" t="s">
        <v>186</v>
      </c>
      <c r="U676" s="15" t="n">
        <v>2026</v>
      </c>
      <c r="V676" s="15" t="s">
        <v>2144</v>
      </c>
      <c r="W676" s="18" t="s">
        <v>188</v>
      </c>
      <c r="X676" s="18" t="s">
        <v>153</v>
      </c>
      <c r="Y676" s="15" t="s">
        <v>600</v>
      </c>
      <c r="Z676" s="15" t="s">
        <v>600</v>
      </c>
      <c r="AA676" s="19" t="str">
        <f aca="false">HYPERLINK("https://www.transfermarkt.com/schnellsuche/ergebnis/schnellsuche?query="&amp;SUBSTITUTE(A676," ","+"),"Search Transfermarkt")</f>
        <v>Search Transfermarkt</v>
      </c>
    </row>
    <row r="677" customFormat="false" ht="23.85" hidden="false" customHeight="false" outlineLevel="0" collapsed="false">
      <c r="A677" s="15" t="s">
        <v>2145</v>
      </c>
      <c r="B677" s="15" t="s">
        <v>64</v>
      </c>
      <c r="C677" s="15" t="s">
        <v>442</v>
      </c>
      <c r="D677" s="15" t="n">
        <v>4</v>
      </c>
      <c r="E677" s="15" t="s">
        <v>1971</v>
      </c>
      <c r="F677" s="15" t="s">
        <v>163</v>
      </c>
      <c r="G677" s="15" t="n">
        <v>17</v>
      </c>
      <c r="H677" s="15" t="n">
        <v>1358</v>
      </c>
      <c r="I677" s="15" t="n">
        <v>19</v>
      </c>
      <c r="J677" s="15" t="n">
        <v>4</v>
      </c>
      <c r="K677" s="15" t="n">
        <v>64</v>
      </c>
      <c r="L677" s="15" t="n">
        <v>100</v>
      </c>
      <c r="M677" s="15" t="n">
        <v>9</v>
      </c>
      <c r="N677" s="15" t="n">
        <v>0</v>
      </c>
      <c r="O677" s="15" t="n">
        <v>0</v>
      </c>
      <c r="P677" s="16" t="n">
        <v>0</v>
      </c>
      <c r="Q677" s="15" t="n">
        <v>0</v>
      </c>
      <c r="R677" s="15" t="n">
        <v>0</v>
      </c>
      <c r="S677" s="17" t="n">
        <v>113414</v>
      </c>
      <c r="T677" s="15" t="s">
        <v>137</v>
      </c>
      <c r="U677" s="15" t="n">
        <v>2027</v>
      </c>
      <c r="V677" s="15" t="s">
        <v>1972</v>
      </c>
      <c r="W677" s="18" t="s">
        <v>147</v>
      </c>
      <c r="X677" s="18" t="s">
        <v>231</v>
      </c>
      <c r="Y677" s="15" t="s">
        <v>600</v>
      </c>
      <c r="Z677" s="15" t="s">
        <v>600</v>
      </c>
      <c r="AA677" s="19" t="str">
        <f aca="false">HYPERLINK("https://www.transfermarkt.com/schnellsuche/ergebnis/schnellsuche?query="&amp;SUBSTITUTE(A677," ","+"),"Search Transfermarkt")</f>
        <v>Search Transfermarkt</v>
      </c>
    </row>
    <row r="678" customFormat="false" ht="23.85" hidden="false" customHeight="false" outlineLevel="0" collapsed="false">
      <c r="A678" s="15" t="s">
        <v>2146</v>
      </c>
      <c r="B678" s="15" t="s">
        <v>85</v>
      </c>
      <c r="C678" s="15" t="s">
        <v>705</v>
      </c>
      <c r="D678" s="15" t="n">
        <v>3</v>
      </c>
      <c r="E678" s="15" t="s">
        <v>1509</v>
      </c>
      <c r="F678" s="15" t="s">
        <v>136</v>
      </c>
      <c r="G678" s="15" t="n">
        <v>18</v>
      </c>
      <c r="H678" s="15" t="n">
        <v>1778</v>
      </c>
      <c r="I678" s="15" t="n">
        <v>1</v>
      </c>
      <c r="J678" s="15" t="n">
        <v>5</v>
      </c>
      <c r="K678" s="15" t="n">
        <v>45</v>
      </c>
      <c r="L678" s="15" t="n">
        <v>41</v>
      </c>
      <c r="M678" s="15" t="n">
        <v>106</v>
      </c>
      <c r="N678" s="15" t="n">
        <v>0</v>
      </c>
      <c r="O678" s="15" t="n">
        <v>0</v>
      </c>
      <c r="P678" s="16" t="n">
        <v>0</v>
      </c>
      <c r="Q678" s="15" t="n">
        <v>0</v>
      </c>
      <c r="R678" s="15" t="n">
        <v>0</v>
      </c>
      <c r="S678" s="17" t="n">
        <v>57994</v>
      </c>
      <c r="T678" s="15" t="s">
        <v>137</v>
      </c>
      <c r="U678" s="15" t="n">
        <v>2028</v>
      </c>
      <c r="V678" s="15" t="s">
        <v>1510</v>
      </c>
      <c r="W678" s="18" t="s">
        <v>139</v>
      </c>
      <c r="X678" s="18" t="s">
        <v>265</v>
      </c>
      <c r="Y678" s="15" t="s">
        <v>600</v>
      </c>
      <c r="Z678" s="15" t="s">
        <v>600</v>
      </c>
      <c r="AA678" s="19" t="str">
        <f aca="false">HYPERLINK("https://www.transfermarkt.com/schnellsuche/ergebnis/schnellsuche?query="&amp;SUBSTITUTE(A678," ","+"),"Search Transfermarkt")</f>
        <v>Search Transfermarkt</v>
      </c>
    </row>
    <row r="679" customFormat="false" ht="23.85" hidden="false" customHeight="false" outlineLevel="0" collapsed="false">
      <c r="A679" s="15" t="s">
        <v>2147</v>
      </c>
      <c r="B679" s="15" t="s">
        <v>98</v>
      </c>
      <c r="C679" s="15" t="s">
        <v>243</v>
      </c>
      <c r="D679" s="15" t="n">
        <v>2</v>
      </c>
      <c r="E679" s="15" t="s">
        <v>2148</v>
      </c>
      <c r="F679" s="15" t="s">
        <v>163</v>
      </c>
      <c r="G679" s="15" t="n">
        <v>24</v>
      </c>
      <c r="H679" s="15" t="n">
        <v>1200</v>
      </c>
      <c r="I679" s="15" t="n">
        <v>13</v>
      </c>
      <c r="J679" s="15" t="n">
        <v>3</v>
      </c>
      <c r="K679" s="15" t="n">
        <v>51</v>
      </c>
      <c r="L679" s="15" t="n">
        <v>63</v>
      </c>
      <c r="M679" s="15" t="n">
        <v>4</v>
      </c>
      <c r="N679" s="15" t="n">
        <v>0</v>
      </c>
      <c r="O679" s="15" t="n">
        <v>0</v>
      </c>
      <c r="P679" s="16" t="n">
        <v>0</v>
      </c>
      <c r="Q679" s="15" t="n">
        <v>0</v>
      </c>
      <c r="R679" s="15" t="n">
        <v>0</v>
      </c>
      <c r="S679" s="17" t="n">
        <v>17314</v>
      </c>
      <c r="T679" s="15" t="s">
        <v>164</v>
      </c>
      <c r="U679" s="15" t="n">
        <v>2027</v>
      </c>
      <c r="V679" s="15" t="s">
        <v>2149</v>
      </c>
      <c r="W679" s="18" t="s">
        <v>139</v>
      </c>
      <c r="X679" s="18" t="s">
        <v>148</v>
      </c>
      <c r="Y679" s="15" t="s">
        <v>600</v>
      </c>
      <c r="Z679" s="15" t="s">
        <v>600</v>
      </c>
      <c r="AA679" s="19" t="str">
        <f aca="false">HYPERLINK("https://www.transfermarkt.com/schnellsuche/ergebnis/schnellsuche?query="&amp;SUBSTITUTE(A679," ","+"),"Search Transfermarkt")</f>
        <v>Search Transfermarkt</v>
      </c>
    </row>
    <row r="680" customFormat="false" ht="23.85" hidden="false" customHeight="false" outlineLevel="0" collapsed="false">
      <c r="A680" s="15" t="s">
        <v>2150</v>
      </c>
      <c r="B680" s="15" t="s">
        <v>99</v>
      </c>
      <c r="C680" s="15" t="s">
        <v>199</v>
      </c>
      <c r="D680" s="15" t="n">
        <v>2</v>
      </c>
      <c r="E680" s="15" t="s">
        <v>1945</v>
      </c>
      <c r="F680" s="15" t="s">
        <v>163</v>
      </c>
      <c r="G680" s="15" t="n">
        <v>18</v>
      </c>
      <c r="H680" s="15" t="n">
        <v>1538</v>
      </c>
      <c r="I680" s="15" t="n">
        <v>16</v>
      </c>
      <c r="J680" s="15" t="n">
        <v>8</v>
      </c>
      <c r="K680" s="15" t="n">
        <v>40</v>
      </c>
      <c r="L680" s="15" t="n">
        <v>76</v>
      </c>
      <c r="M680" s="15" t="n">
        <v>12</v>
      </c>
      <c r="N680" s="15" t="n">
        <v>0</v>
      </c>
      <c r="O680" s="15" t="n">
        <v>0</v>
      </c>
      <c r="P680" s="16" t="n">
        <v>0</v>
      </c>
      <c r="Q680" s="15" t="n">
        <v>0</v>
      </c>
      <c r="R680" s="15" t="n">
        <v>0</v>
      </c>
      <c r="S680" s="17" t="n">
        <v>63765</v>
      </c>
      <c r="T680" s="15" t="s">
        <v>137</v>
      </c>
      <c r="U680" s="15" t="n">
        <v>2029</v>
      </c>
      <c r="V680" s="15" t="s">
        <v>1946</v>
      </c>
      <c r="W680" s="18" t="s">
        <v>139</v>
      </c>
      <c r="X680" s="18" t="s">
        <v>189</v>
      </c>
      <c r="Y680" s="15" t="s">
        <v>600</v>
      </c>
      <c r="Z680" s="15" t="s">
        <v>600</v>
      </c>
      <c r="AA680" s="19" t="str">
        <f aca="false">HYPERLINK("https://www.transfermarkt.com/schnellsuche/ergebnis/schnellsuche?query="&amp;SUBSTITUTE(A680," ","+"),"Search Transfermarkt")</f>
        <v>Search Transfermarkt</v>
      </c>
    </row>
    <row r="681" customFormat="false" ht="23.85" hidden="false" customHeight="false" outlineLevel="0" collapsed="false">
      <c r="A681" s="15" t="s">
        <v>2151</v>
      </c>
      <c r="B681" s="15" t="s">
        <v>86</v>
      </c>
      <c r="C681" s="15" t="s">
        <v>1423</v>
      </c>
      <c r="D681" s="15" t="n">
        <v>2</v>
      </c>
      <c r="E681" s="15" t="s">
        <v>2152</v>
      </c>
      <c r="F681" s="15" t="s">
        <v>136</v>
      </c>
      <c r="G681" s="15" t="n">
        <v>19</v>
      </c>
      <c r="H681" s="15" t="n">
        <v>2634</v>
      </c>
      <c r="I681" s="15" t="n">
        <v>3</v>
      </c>
      <c r="J681" s="15" t="n">
        <v>2</v>
      </c>
      <c r="K681" s="15" t="n">
        <v>61</v>
      </c>
      <c r="L681" s="15" t="n">
        <v>46</v>
      </c>
      <c r="M681" s="15" t="n">
        <v>117</v>
      </c>
      <c r="N681" s="15" t="n">
        <v>0</v>
      </c>
      <c r="O681" s="15" t="n">
        <v>0</v>
      </c>
      <c r="P681" s="16" t="n">
        <v>0</v>
      </c>
      <c r="Q681" s="15" t="n">
        <v>0</v>
      </c>
      <c r="R681" s="15" t="n">
        <v>0</v>
      </c>
      <c r="S681" s="17" t="n">
        <v>0</v>
      </c>
      <c r="T681" s="15" t="s">
        <v>137</v>
      </c>
      <c r="U681" s="15" t="n">
        <v>2028</v>
      </c>
      <c r="V681" s="15" t="s">
        <v>2153</v>
      </c>
      <c r="W681" s="18" t="s">
        <v>139</v>
      </c>
      <c r="X681" s="18" t="s">
        <v>473</v>
      </c>
      <c r="Y681" s="15" t="s">
        <v>600</v>
      </c>
      <c r="Z681" s="15" t="s">
        <v>600</v>
      </c>
      <c r="AA681" s="19" t="str">
        <f aca="false">HYPERLINK("https://www.transfermarkt.com/schnellsuche/ergebnis/schnellsuche?query="&amp;SUBSTITUTE(A681," ","+"),"Search Transfermarkt")</f>
        <v>Search Transfermarkt</v>
      </c>
    </row>
    <row r="682" customFormat="false" ht="23.85" hidden="false" customHeight="false" outlineLevel="0" collapsed="false">
      <c r="A682" s="15" t="s">
        <v>2154</v>
      </c>
      <c r="B682" s="15" t="s">
        <v>92</v>
      </c>
      <c r="C682" s="15" t="s">
        <v>719</v>
      </c>
      <c r="D682" s="15" t="n">
        <v>3</v>
      </c>
      <c r="E682" s="15" t="s">
        <v>268</v>
      </c>
      <c r="F682" s="15" t="s">
        <v>136</v>
      </c>
      <c r="G682" s="15" t="n">
        <v>24</v>
      </c>
      <c r="H682" s="15" t="n">
        <v>1775</v>
      </c>
      <c r="I682" s="15" t="n">
        <v>1</v>
      </c>
      <c r="J682" s="15" t="n">
        <v>5</v>
      </c>
      <c r="K682" s="15" t="n">
        <v>39</v>
      </c>
      <c r="L682" s="15" t="n">
        <v>44</v>
      </c>
      <c r="M682" s="15" t="n">
        <v>93</v>
      </c>
      <c r="N682" s="15" t="n">
        <v>0</v>
      </c>
      <c r="O682" s="15" t="n">
        <v>0</v>
      </c>
      <c r="P682" s="16" t="n">
        <v>0</v>
      </c>
      <c r="Q682" s="15" t="n">
        <v>0</v>
      </c>
      <c r="R682" s="15" t="n">
        <v>0</v>
      </c>
      <c r="S682" s="17" t="n">
        <v>104418</v>
      </c>
      <c r="T682" s="15" t="s">
        <v>137</v>
      </c>
      <c r="U682" s="15" t="n">
        <v>2027</v>
      </c>
      <c r="V682" s="15" t="s">
        <v>269</v>
      </c>
      <c r="W682" s="18" t="s">
        <v>139</v>
      </c>
      <c r="X682" s="18" t="s">
        <v>159</v>
      </c>
      <c r="Y682" s="15" t="s">
        <v>600</v>
      </c>
      <c r="Z682" s="15" t="s">
        <v>600</v>
      </c>
      <c r="AA682" s="19" t="str">
        <f aca="false">HYPERLINK("https://www.transfermarkt.com/schnellsuche/ergebnis/schnellsuche?query="&amp;SUBSTITUTE(A682," ","+"),"Search Transfermarkt")</f>
        <v>Search Transfermarkt</v>
      </c>
    </row>
    <row r="683" customFormat="false" ht="23.85" hidden="false" customHeight="false" outlineLevel="0" collapsed="false">
      <c r="A683" s="15" t="s">
        <v>2155</v>
      </c>
      <c r="B683" s="15" t="s">
        <v>67</v>
      </c>
      <c r="C683" s="15" t="s">
        <v>233</v>
      </c>
      <c r="D683" s="15" t="n">
        <v>2</v>
      </c>
      <c r="E683" s="15" t="s">
        <v>2156</v>
      </c>
      <c r="F683" s="15" t="s">
        <v>136</v>
      </c>
      <c r="G683" s="15" t="n">
        <v>24</v>
      </c>
      <c r="H683" s="15" t="n">
        <v>1352</v>
      </c>
      <c r="I683" s="15" t="n">
        <v>0</v>
      </c>
      <c r="J683" s="15" t="n">
        <v>3</v>
      </c>
      <c r="K683" s="15" t="n">
        <v>43</v>
      </c>
      <c r="L683" s="15" t="n">
        <v>37</v>
      </c>
      <c r="M683" s="15" t="n">
        <v>80</v>
      </c>
      <c r="N683" s="15" t="n">
        <v>0</v>
      </c>
      <c r="O683" s="15" t="n">
        <v>0</v>
      </c>
      <c r="P683" s="16" t="n">
        <v>0</v>
      </c>
      <c r="Q683" s="15" t="n">
        <v>0</v>
      </c>
      <c r="R683" s="15" t="n">
        <v>0</v>
      </c>
      <c r="S683" s="17" t="n">
        <v>26534</v>
      </c>
      <c r="T683" s="15" t="s">
        <v>186</v>
      </c>
      <c r="U683" s="15" t="n">
        <v>2026</v>
      </c>
      <c r="V683" s="15" t="s">
        <v>2157</v>
      </c>
      <c r="W683" s="18" t="s">
        <v>188</v>
      </c>
      <c r="X683" s="18" t="s">
        <v>236</v>
      </c>
      <c r="Y683" s="15" t="s">
        <v>600</v>
      </c>
      <c r="Z683" s="15" t="s">
        <v>600</v>
      </c>
      <c r="AA683" s="19" t="str">
        <f aca="false">HYPERLINK("https://www.transfermarkt.com/schnellsuche/ergebnis/schnellsuche?query="&amp;SUBSTITUTE(A683," ","+"),"Search Transfermarkt")</f>
        <v>Search Transfermarkt</v>
      </c>
    </row>
    <row r="684" customFormat="false" ht="23.85" hidden="false" customHeight="false" outlineLevel="0" collapsed="false">
      <c r="A684" s="15" t="s">
        <v>2158</v>
      </c>
      <c r="B684" s="15" t="s">
        <v>69</v>
      </c>
      <c r="C684" s="15" t="s">
        <v>995</v>
      </c>
      <c r="D684" s="15" t="n">
        <v>3</v>
      </c>
      <c r="E684" s="15" t="s">
        <v>1832</v>
      </c>
      <c r="F684" s="15" t="s">
        <v>170</v>
      </c>
      <c r="G684" s="15" t="n">
        <v>25</v>
      </c>
      <c r="H684" s="15" t="n">
        <v>933</v>
      </c>
      <c r="I684" s="15" t="n">
        <v>8</v>
      </c>
      <c r="J684" s="15" t="n">
        <v>11</v>
      </c>
      <c r="K684" s="15" t="n">
        <v>177</v>
      </c>
      <c r="L684" s="15" t="n">
        <v>61</v>
      </c>
      <c r="M684" s="15" t="n">
        <v>53</v>
      </c>
      <c r="N684" s="15" t="n">
        <v>0</v>
      </c>
      <c r="O684" s="15" t="n">
        <v>0</v>
      </c>
      <c r="P684" s="16" t="n">
        <v>0</v>
      </c>
      <c r="Q684" s="15" t="n">
        <v>0</v>
      </c>
      <c r="R684" s="15" t="n">
        <v>0</v>
      </c>
      <c r="S684" s="17" t="n">
        <v>112763</v>
      </c>
      <c r="T684" s="15" t="s">
        <v>186</v>
      </c>
      <c r="U684" s="15" t="n">
        <v>2027</v>
      </c>
      <c r="V684" s="15" t="s">
        <v>1833</v>
      </c>
      <c r="W684" s="18" t="s">
        <v>188</v>
      </c>
      <c r="X684" s="18" t="s">
        <v>140</v>
      </c>
      <c r="Y684" s="15" t="s">
        <v>600</v>
      </c>
      <c r="Z684" s="15" t="s">
        <v>600</v>
      </c>
      <c r="AA684" s="19" t="str">
        <f aca="false">HYPERLINK("https://www.transfermarkt.com/schnellsuche/ergebnis/schnellsuche?query="&amp;SUBSTITUTE(A684," ","+"),"Search Transfermarkt")</f>
        <v>Search Transfermarkt</v>
      </c>
    </row>
    <row r="685" customFormat="false" ht="23.85" hidden="false" customHeight="false" outlineLevel="0" collapsed="false">
      <c r="A685" s="15" t="s">
        <v>2159</v>
      </c>
      <c r="B685" s="15" t="s">
        <v>87</v>
      </c>
      <c r="C685" s="15" t="s">
        <v>347</v>
      </c>
      <c r="D685" s="15" t="n">
        <v>2</v>
      </c>
      <c r="E685" s="15" t="s">
        <v>2160</v>
      </c>
      <c r="F685" s="15" t="s">
        <v>170</v>
      </c>
      <c r="G685" s="15" t="n">
        <v>22</v>
      </c>
      <c r="H685" s="15" t="n">
        <v>2063</v>
      </c>
      <c r="I685" s="15" t="n">
        <v>2</v>
      </c>
      <c r="J685" s="15" t="n">
        <v>4</v>
      </c>
      <c r="K685" s="15" t="n">
        <v>161</v>
      </c>
      <c r="L685" s="15" t="n">
        <v>76</v>
      </c>
      <c r="M685" s="15" t="n">
        <v>57</v>
      </c>
      <c r="N685" s="15" t="n">
        <v>0</v>
      </c>
      <c r="O685" s="15" t="n">
        <v>0</v>
      </c>
      <c r="P685" s="16" t="n">
        <v>0</v>
      </c>
      <c r="Q685" s="15" t="n">
        <v>0</v>
      </c>
      <c r="R685" s="15" t="n">
        <v>0</v>
      </c>
      <c r="S685" s="17" t="n">
        <v>48384</v>
      </c>
      <c r="T685" s="15" t="s">
        <v>137</v>
      </c>
      <c r="U685" s="15" t="n">
        <v>2026</v>
      </c>
      <c r="V685" s="15" t="s">
        <v>2161</v>
      </c>
      <c r="W685" s="18" t="s">
        <v>139</v>
      </c>
      <c r="X685" s="18" t="s">
        <v>341</v>
      </c>
      <c r="Y685" s="15" t="s">
        <v>600</v>
      </c>
      <c r="Z685" s="15" t="s">
        <v>600</v>
      </c>
      <c r="AA685" s="19" t="str">
        <f aca="false">HYPERLINK("https://www.transfermarkt.com/schnellsuche/ergebnis/schnellsuche?query="&amp;SUBSTITUTE(A685," ","+"),"Search Transfermarkt")</f>
        <v>Search Transfermarkt</v>
      </c>
    </row>
    <row r="686" customFormat="false" ht="23.85" hidden="false" customHeight="false" outlineLevel="0" collapsed="false">
      <c r="A686" s="15" t="s">
        <v>2162</v>
      </c>
      <c r="B686" s="15" t="s">
        <v>92</v>
      </c>
      <c r="C686" s="15" t="s">
        <v>155</v>
      </c>
      <c r="D686" s="15" t="n">
        <v>4</v>
      </c>
      <c r="E686" s="15" t="s">
        <v>2163</v>
      </c>
      <c r="F686" s="15" t="s">
        <v>163</v>
      </c>
      <c r="G686" s="15" t="n">
        <v>25</v>
      </c>
      <c r="H686" s="15" t="n">
        <v>1678</v>
      </c>
      <c r="I686" s="15" t="n">
        <v>20</v>
      </c>
      <c r="J686" s="15" t="n">
        <v>9</v>
      </c>
      <c r="K686" s="15" t="n">
        <v>41</v>
      </c>
      <c r="L686" s="15" t="n">
        <v>71</v>
      </c>
      <c r="M686" s="15" t="n">
        <v>11</v>
      </c>
      <c r="N686" s="15" t="n">
        <v>0</v>
      </c>
      <c r="O686" s="15" t="n">
        <v>0</v>
      </c>
      <c r="P686" s="16" t="n">
        <v>0</v>
      </c>
      <c r="Q686" s="15" t="n">
        <v>0</v>
      </c>
      <c r="R686" s="15" t="n">
        <v>0</v>
      </c>
      <c r="S686" s="17" t="n">
        <v>56656</v>
      </c>
      <c r="T686" s="15" t="s">
        <v>164</v>
      </c>
      <c r="U686" s="15" t="n">
        <v>2026</v>
      </c>
      <c r="V686" s="15" t="s">
        <v>2164</v>
      </c>
      <c r="W686" s="18" t="s">
        <v>139</v>
      </c>
      <c r="X686" s="18" t="s">
        <v>159</v>
      </c>
      <c r="Y686" s="15" t="s">
        <v>600</v>
      </c>
      <c r="Z686" s="15" t="s">
        <v>600</v>
      </c>
      <c r="AA686" s="19" t="str">
        <f aca="false">HYPERLINK("https://www.transfermarkt.com/schnellsuche/ergebnis/schnellsuche?query="&amp;SUBSTITUTE(A686," ","+"),"Search Transfermarkt")</f>
        <v>Search Transfermarkt</v>
      </c>
    </row>
    <row r="687" customFormat="false" ht="23.85" hidden="false" customHeight="false" outlineLevel="0" collapsed="false">
      <c r="A687" s="15" t="s">
        <v>2165</v>
      </c>
      <c r="B687" s="15" t="s">
        <v>92</v>
      </c>
      <c r="C687" s="15" t="s">
        <v>1626</v>
      </c>
      <c r="D687" s="15" t="n">
        <v>2</v>
      </c>
      <c r="E687" s="15" t="s">
        <v>2166</v>
      </c>
      <c r="F687" s="15" t="s">
        <v>136</v>
      </c>
      <c r="G687" s="15" t="n">
        <v>21</v>
      </c>
      <c r="H687" s="15" t="n">
        <v>1460</v>
      </c>
      <c r="I687" s="15" t="n">
        <v>0</v>
      </c>
      <c r="J687" s="15" t="n">
        <v>2</v>
      </c>
      <c r="K687" s="15" t="n">
        <v>60</v>
      </c>
      <c r="L687" s="15" t="n">
        <v>40</v>
      </c>
      <c r="M687" s="15" t="n">
        <v>99</v>
      </c>
      <c r="N687" s="15" t="n">
        <v>0</v>
      </c>
      <c r="O687" s="15" t="n">
        <v>0</v>
      </c>
      <c r="P687" s="16" t="n">
        <v>0</v>
      </c>
      <c r="Q687" s="15" t="n">
        <v>0</v>
      </c>
      <c r="R687" s="15" t="n">
        <v>0</v>
      </c>
      <c r="S687" s="17" t="n">
        <v>30827</v>
      </c>
      <c r="T687" s="15" t="s">
        <v>164</v>
      </c>
      <c r="U687" s="15" t="n">
        <v>2029</v>
      </c>
      <c r="V687" s="15" t="s">
        <v>2167</v>
      </c>
      <c r="W687" s="18" t="s">
        <v>139</v>
      </c>
      <c r="X687" s="18" t="s">
        <v>159</v>
      </c>
      <c r="Y687" s="15" t="s">
        <v>600</v>
      </c>
      <c r="Z687" s="15" t="s">
        <v>600</v>
      </c>
      <c r="AA687" s="19" t="str">
        <f aca="false">HYPERLINK("https://www.transfermarkt.com/schnellsuche/ergebnis/schnellsuche?query="&amp;SUBSTITUTE(A687," ","+"),"Search Transfermarkt")</f>
        <v>Search Transfermarkt</v>
      </c>
    </row>
    <row r="688" customFormat="false" ht="23.85" hidden="false" customHeight="false" outlineLevel="0" collapsed="false">
      <c r="A688" s="15" t="s">
        <v>2168</v>
      </c>
      <c r="B688" s="15" t="s">
        <v>83</v>
      </c>
      <c r="C688" s="15" t="s">
        <v>1255</v>
      </c>
      <c r="D688" s="15" t="n">
        <v>3</v>
      </c>
      <c r="E688" s="15" t="s">
        <v>800</v>
      </c>
      <c r="F688" s="15" t="s">
        <v>136</v>
      </c>
      <c r="G688" s="15" t="n">
        <v>18</v>
      </c>
      <c r="H688" s="15" t="n">
        <v>2034</v>
      </c>
      <c r="I688" s="15" t="n">
        <v>2</v>
      </c>
      <c r="J688" s="15" t="n">
        <v>0</v>
      </c>
      <c r="K688" s="15" t="n">
        <v>53</v>
      </c>
      <c r="L688" s="15" t="n">
        <v>45</v>
      </c>
      <c r="M688" s="15" t="n">
        <v>82</v>
      </c>
      <c r="N688" s="15" t="n">
        <v>0</v>
      </c>
      <c r="O688" s="15" t="n">
        <v>0</v>
      </c>
      <c r="P688" s="16" t="n">
        <v>0</v>
      </c>
      <c r="Q688" s="15" t="n">
        <v>0</v>
      </c>
      <c r="R688" s="15" t="n">
        <v>0</v>
      </c>
      <c r="S688" s="17" t="n">
        <v>88635</v>
      </c>
      <c r="T688" s="15" t="s">
        <v>137</v>
      </c>
      <c r="U688" s="15" t="n">
        <v>2029</v>
      </c>
      <c r="V688" s="15" t="s">
        <v>801</v>
      </c>
      <c r="W688" s="18" t="s">
        <v>139</v>
      </c>
      <c r="X688" s="18" t="s">
        <v>379</v>
      </c>
      <c r="Y688" s="15" t="s">
        <v>600</v>
      </c>
      <c r="Z688" s="15" t="s">
        <v>600</v>
      </c>
      <c r="AA688" s="19" t="str">
        <f aca="false">HYPERLINK("https://www.transfermarkt.com/schnellsuche/ergebnis/schnellsuche?query="&amp;SUBSTITUTE(A688," ","+"),"Search Transfermarkt")</f>
        <v>Search Transfermarkt</v>
      </c>
    </row>
    <row r="689" customFormat="false" ht="23.85" hidden="false" customHeight="false" outlineLevel="0" collapsed="false">
      <c r="A689" s="15" t="s">
        <v>2169</v>
      </c>
      <c r="B689" s="15" t="s">
        <v>82</v>
      </c>
      <c r="C689" s="15" t="s">
        <v>430</v>
      </c>
      <c r="D689" s="15" t="n">
        <v>4</v>
      </c>
      <c r="E689" s="15" t="s">
        <v>1425</v>
      </c>
      <c r="F689" s="15" t="s">
        <v>170</v>
      </c>
      <c r="G689" s="15" t="n">
        <v>22</v>
      </c>
      <c r="H689" s="15" t="n">
        <v>849</v>
      </c>
      <c r="I689" s="15" t="n">
        <v>6</v>
      </c>
      <c r="J689" s="15" t="n">
        <v>4</v>
      </c>
      <c r="K689" s="15" t="n">
        <v>154</v>
      </c>
      <c r="L689" s="15" t="n">
        <v>67</v>
      </c>
      <c r="M689" s="15" t="n">
        <v>32</v>
      </c>
      <c r="N689" s="15" t="n">
        <v>0</v>
      </c>
      <c r="O689" s="15" t="n">
        <v>0</v>
      </c>
      <c r="P689" s="16" t="n">
        <v>0</v>
      </c>
      <c r="Q689" s="15" t="n">
        <v>0</v>
      </c>
      <c r="R689" s="15" t="n">
        <v>0</v>
      </c>
      <c r="S689" s="17" t="n">
        <v>0</v>
      </c>
      <c r="T689" s="15" t="s">
        <v>164</v>
      </c>
      <c r="U689" s="15" t="n">
        <v>2026</v>
      </c>
      <c r="V689" s="15" t="s">
        <v>1426</v>
      </c>
      <c r="W689" s="18" t="s">
        <v>139</v>
      </c>
      <c r="X689" s="18" t="s">
        <v>166</v>
      </c>
      <c r="Y689" s="15" t="s">
        <v>600</v>
      </c>
      <c r="Z689" s="15" t="s">
        <v>600</v>
      </c>
      <c r="AA689" s="19" t="str">
        <f aca="false">HYPERLINK("https://www.transfermarkt.com/schnellsuche/ergebnis/schnellsuche?query="&amp;SUBSTITUTE(A689," ","+"),"Search Transfermarkt")</f>
        <v>Search Transfermarkt</v>
      </c>
    </row>
    <row r="690" customFormat="false" ht="23.85" hidden="false" customHeight="false" outlineLevel="0" collapsed="false">
      <c r="A690" s="15" t="s">
        <v>2170</v>
      </c>
      <c r="B690" s="15" t="s">
        <v>75</v>
      </c>
      <c r="C690" s="15" t="s">
        <v>194</v>
      </c>
      <c r="D690" s="15" t="n">
        <v>4</v>
      </c>
      <c r="E690" s="15" t="s">
        <v>1203</v>
      </c>
      <c r="F690" s="15" t="s">
        <v>136</v>
      </c>
      <c r="G690" s="15" t="n">
        <v>19</v>
      </c>
      <c r="H690" s="15" t="n">
        <v>2651</v>
      </c>
      <c r="I690" s="15" t="n">
        <v>3</v>
      </c>
      <c r="J690" s="15" t="n">
        <v>0</v>
      </c>
      <c r="K690" s="15" t="n">
        <v>52</v>
      </c>
      <c r="L690" s="15" t="n">
        <v>23</v>
      </c>
      <c r="M690" s="15" t="n">
        <v>77</v>
      </c>
      <c r="N690" s="15" t="n">
        <v>0</v>
      </c>
      <c r="O690" s="15" t="n">
        <v>0</v>
      </c>
      <c r="P690" s="16" t="n">
        <v>0</v>
      </c>
      <c r="Q690" s="15" t="n">
        <v>0</v>
      </c>
      <c r="R690" s="15" t="n">
        <v>0</v>
      </c>
      <c r="S690" s="17" t="n">
        <v>0</v>
      </c>
      <c r="T690" s="15" t="s">
        <v>137</v>
      </c>
      <c r="U690" s="15" t="n">
        <v>2029</v>
      </c>
      <c r="V690" s="15" t="s">
        <v>1204</v>
      </c>
      <c r="W690" s="18" t="s">
        <v>139</v>
      </c>
      <c r="X690" s="18" t="s">
        <v>197</v>
      </c>
      <c r="Y690" s="15" t="s">
        <v>600</v>
      </c>
      <c r="Z690" s="15" t="s">
        <v>600</v>
      </c>
      <c r="AA690" s="19" t="str">
        <f aca="false">HYPERLINK("https://www.transfermarkt.com/schnellsuche/ergebnis/schnellsuche?query="&amp;SUBSTITUTE(A690," ","+"),"Search Transfermarkt")</f>
        <v>Search Transfermarkt</v>
      </c>
    </row>
    <row r="691" customFormat="false" ht="23.85" hidden="false" customHeight="false" outlineLevel="0" collapsed="false">
      <c r="A691" s="15" t="s">
        <v>2171</v>
      </c>
      <c r="B691" s="15" t="s">
        <v>66</v>
      </c>
      <c r="C691" s="15" t="s">
        <v>179</v>
      </c>
      <c r="D691" s="15" t="n">
        <v>4</v>
      </c>
      <c r="E691" s="15" t="s">
        <v>2172</v>
      </c>
      <c r="F691" s="15" t="s">
        <v>163</v>
      </c>
      <c r="G691" s="15" t="n">
        <v>17</v>
      </c>
      <c r="H691" s="15" t="n">
        <v>1347</v>
      </c>
      <c r="I691" s="15" t="n">
        <v>7</v>
      </c>
      <c r="J691" s="15" t="n">
        <v>8</v>
      </c>
      <c r="K691" s="15" t="n">
        <v>36</v>
      </c>
      <c r="L691" s="15" t="n">
        <v>69</v>
      </c>
      <c r="M691" s="15" t="n">
        <v>7</v>
      </c>
      <c r="N691" s="15" t="n">
        <v>0</v>
      </c>
      <c r="O691" s="15" t="n">
        <v>0</v>
      </c>
      <c r="P691" s="16" t="n">
        <v>0</v>
      </c>
      <c r="Q691" s="15" t="n">
        <v>0</v>
      </c>
      <c r="R691" s="15" t="n">
        <v>0</v>
      </c>
      <c r="S691" s="17" t="n">
        <v>91482</v>
      </c>
      <c r="T691" s="15" t="s">
        <v>137</v>
      </c>
      <c r="U691" s="15" t="n">
        <v>2028</v>
      </c>
      <c r="V691" s="15" t="s">
        <v>2173</v>
      </c>
      <c r="W691" s="18" t="s">
        <v>147</v>
      </c>
      <c r="X691" s="18" t="s">
        <v>182</v>
      </c>
      <c r="Y691" s="15" t="s">
        <v>600</v>
      </c>
      <c r="Z691" s="15" t="s">
        <v>600</v>
      </c>
      <c r="AA691" s="19" t="str">
        <f aca="false">HYPERLINK("https://www.transfermarkt.com/schnellsuche/ergebnis/schnellsuche?query="&amp;SUBSTITUTE(A691," ","+"),"Search Transfermarkt")</f>
        <v>Search Transfermarkt</v>
      </c>
    </row>
    <row r="692" customFormat="false" ht="23.85" hidden="false" customHeight="false" outlineLevel="0" collapsed="false">
      <c r="A692" s="15" t="s">
        <v>2174</v>
      </c>
      <c r="B692" s="15" t="s">
        <v>77</v>
      </c>
      <c r="C692" s="15" t="s">
        <v>2175</v>
      </c>
      <c r="D692" s="15" t="n">
        <v>2</v>
      </c>
      <c r="E692" s="15" t="s">
        <v>356</v>
      </c>
      <c r="F692" s="15" t="s">
        <v>170</v>
      </c>
      <c r="G692" s="15" t="n">
        <v>19</v>
      </c>
      <c r="H692" s="15" t="n">
        <v>1693</v>
      </c>
      <c r="I692" s="15" t="n">
        <v>1</v>
      </c>
      <c r="J692" s="15" t="n">
        <v>4</v>
      </c>
      <c r="K692" s="15" t="n">
        <v>121</v>
      </c>
      <c r="L692" s="15" t="n">
        <v>58</v>
      </c>
      <c r="M692" s="15" t="n">
        <v>47</v>
      </c>
      <c r="N692" s="15" t="n">
        <v>0</v>
      </c>
      <c r="O692" s="15" t="n">
        <v>0</v>
      </c>
      <c r="P692" s="16" t="n">
        <v>0</v>
      </c>
      <c r="Q692" s="15" t="n">
        <v>0</v>
      </c>
      <c r="R692" s="15" t="n">
        <v>0</v>
      </c>
      <c r="S692" s="17" t="n">
        <v>38077</v>
      </c>
      <c r="T692" s="15" t="s">
        <v>137</v>
      </c>
      <c r="U692" s="15" t="n">
        <v>2029</v>
      </c>
      <c r="V692" s="15" t="s">
        <v>357</v>
      </c>
      <c r="W692" s="18" t="s">
        <v>139</v>
      </c>
      <c r="X692" s="18" t="s">
        <v>358</v>
      </c>
      <c r="Y692" s="15" t="s">
        <v>600</v>
      </c>
      <c r="Z692" s="15" t="s">
        <v>600</v>
      </c>
      <c r="AA692" s="19" t="str">
        <f aca="false">HYPERLINK("https://www.transfermarkt.com/schnellsuche/ergebnis/schnellsuche?query="&amp;SUBSTITUTE(A692," ","+"),"Search Transfermarkt")</f>
        <v>Search Transfermarkt</v>
      </c>
    </row>
    <row r="693" customFormat="false" ht="23.85" hidden="false" customHeight="false" outlineLevel="0" collapsed="false">
      <c r="A693" s="15" t="s">
        <v>2176</v>
      </c>
      <c r="B693" s="15" t="s">
        <v>71</v>
      </c>
      <c r="C693" s="15" t="s">
        <v>1725</v>
      </c>
      <c r="D693" s="15" t="n">
        <v>2</v>
      </c>
      <c r="E693" s="15" t="s">
        <v>581</v>
      </c>
      <c r="F693" s="15" t="s">
        <v>170</v>
      </c>
      <c r="G693" s="15" t="n">
        <v>21</v>
      </c>
      <c r="H693" s="15" t="n">
        <v>1974</v>
      </c>
      <c r="I693" s="15" t="n">
        <v>6</v>
      </c>
      <c r="J693" s="15" t="n">
        <v>10</v>
      </c>
      <c r="K693" s="15" t="n">
        <v>136</v>
      </c>
      <c r="L693" s="15" t="n">
        <v>64</v>
      </c>
      <c r="M693" s="15" t="n">
        <v>50</v>
      </c>
      <c r="N693" s="15" t="n">
        <v>0</v>
      </c>
      <c r="O693" s="15" t="n">
        <v>0</v>
      </c>
      <c r="P693" s="16" t="n">
        <v>0</v>
      </c>
      <c r="Q693" s="15" t="n">
        <v>0</v>
      </c>
      <c r="R693" s="15" t="n">
        <v>0</v>
      </c>
      <c r="S693" s="17" t="n">
        <v>29191</v>
      </c>
      <c r="T693" s="15" t="s">
        <v>137</v>
      </c>
      <c r="U693" s="15" t="n">
        <v>2029</v>
      </c>
      <c r="V693" s="15" t="s">
        <v>582</v>
      </c>
      <c r="W693" s="18" t="s">
        <v>139</v>
      </c>
      <c r="X693" s="18" t="s">
        <v>177</v>
      </c>
      <c r="Y693" s="15" t="s">
        <v>600</v>
      </c>
      <c r="Z693" s="15" t="s">
        <v>600</v>
      </c>
      <c r="AA693" s="19" t="str">
        <f aca="false">HYPERLINK("https://www.transfermarkt.com/schnellsuche/ergebnis/schnellsuche?query="&amp;SUBSTITUTE(A693," ","+"),"Search Transfermarkt")</f>
        <v>Search Transfermarkt</v>
      </c>
    </row>
    <row r="694" customFormat="false" ht="23.85" hidden="false" customHeight="false" outlineLevel="0" collapsed="false">
      <c r="A694" s="15" t="s">
        <v>2177</v>
      </c>
      <c r="B694" s="15" t="s">
        <v>104</v>
      </c>
      <c r="C694" s="15" t="s">
        <v>590</v>
      </c>
      <c r="D694" s="15" t="n">
        <v>2</v>
      </c>
      <c r="E694" s="15" t="s">
        <v>2178</v>
      </c>
      <c r="F694" s="15" t="s">
        <v>136</v>
      </c>
      <c r="G694" s="15" t="n">
        <v>23</v>
      </c>
      <c r="H694" s="15" t="n">
        <v>2301</v>
      </c>
      <c r="I694" s="15" t="n">
        <v>1</v>
      </c>
      <c r="J694" s="15" t="n">
        <v>3</v>
      </c>
      <c r="K694" s="15" t="n">
        <v>63</v>
      </c>
      <c r="L694" s="15" t="n">
        <v>47</v>
      </c>
      <c r="M694" s="15" t="n">
        <v>89</v>
      </c>
      <c r="N694" s="15" t="n">
        <v>0</v>
      </c>
      <c r="O694" s="15" t="n">
        <v>0</v>
      </c>
      <c r="P694" s="16" t="n">
        <v>0</v>
      </c>
      <c r="Q694" s="15" t="n">
        <v>0</v>
      </c>
      <c r="R694" s="15" t="n">
        <v>0</v>
      </c>
      <c r="S694" s="17" t="n">
        <v>28732</v>
      </c>
      <c r="T694" s="15" t="s">
        <v>186</v>
      </c>
      <c r="U694" s="15" t="n">
        <v>2028</v>
      </c>
      <c r="V694" s="15" t="s">
        <v>2179</v>
      </c>
      <c r="W694" s="18" t="s">
        <v>188</v>
      </c>
      <c r="X694" s="18" t="s">
        <v>274</v>
      </c>
      <c r="Y694" s="15" t="s">
        <v>600</v>
      </c>
      <c r="Z694" s="15" t="s">
        <v>600</v>
      </c>
      <c r="AA694" s="19" t="str">
        <f aca="false">HYPERLINK("https://www.transfermarkt.com/schnellsuche/ergebnis/schnellsuche?query="&amp;SUBSTITUTE(A694," ","+"),"Search Transfermarkt")</f>
        <v>Search Transfermarkt</v>
      </c>
    </row>
    <row r="695" customFormat="false" ht="23.85" hidden="false" customHeight="false" outlineLevel="0" collapsed="false">
      <c r="A695" s="15" t="s">
        <v>2180</v>
      </c>
      <c r="B695" s="15" t="s">
        <v>82</v>
      </c>
      <c r="C695" s="15" t="s">
        <v>552</v>
      </c>
      <c r="D695" s="15" t="n">
        <v>3</v>
      </c>
      <c r="E695" s="15" t="s">
        <v>2181</v>
      </c>
      <c r="F695" s="15" t="s">
        <v>163</v>
      </c>
      <c r="G695" s="15" t="n">
        <v>25</v>
      </c>
      <c r="H695" s="15" t="n">
        <v>1895</v>
      </c>
      <c r="I695" s="15" t="n">
        <v>15</v>
      </c>
      <c r="J695" s="15" t="n">
        <v>5</v>
      </c>
      <c r="K695" s="15" t="n">
        <v>47</v>
      </c>
      <c r="L695" s="15" t="n">
        <v>100</v>
      </c>
      <c r="M695" s="15" t="n">
        <v>8</v>
      </c>
      <c r="N695" s="15" t="n">
        <v>0</v>
      </c>
      <c r="O695" s="15" t="n">
        <v>0</v>
      </c>
      <c r="P695" s="16" t="n">
        <v>0</v>
      </c>
      <c r="Q695" s="15" t="n">
        <v>0</v>
      </c>
      <c r="R695" s="15" t="n">
        <v>0</v>
      </c>
      <c r="S695" s="17" t="n">
        <v>48346</v>
      </c>
      <c r="T695" s="15" t="s">
        <v>137</v>
      </c>
      <c r="U695" s="15" t="n">
        <v>2027</v>
      </c>
      <c r="V695" s="15" t="s">
        <v>2182</v>
      </c>
      <c r="W695" s="18" t="s">
        <v>139</v>
      </c>
      <c r="X695" s="18" t="s">
        <v>166</v>
      </c>
      <c r="Y695" s="15" t="s">
        <v>600</v>
      </c>
      <c r="Z695" s="15" t="s">
        <v>600</v>
      </c>
      <c r="AA695" s="19" t="str">
        <f aca="false">HYPERLINK("https://www.transfermarkt.com/schnellsuche/ergebnis/schnellsuche?query="&amp;SUBSTITUTE(A695," ","+"),"Search Transfermarkt")</f>
        <v>Search Transfermarkt</v>
      </c>
    </row>
    <row r="696" customFormat="false" ht="23.85" hidden="false" customHeight="false" outlineLevel="0" collapsed="false">
      <c r="A696" s="15" t="s">
        <v>2183</v>
      </c>
      <c r="B696" s="15" t="s">
        <v>94</v>
      </c>
      <c r="C696" s="15" t="s">
        <v>594</v>
      </c>
      <c r="D696" s="15" t="n">
        <v>2</v>
      </c>
      <c r="E696" s="15" t="s">
        <v>1955</v>
      </c>
      <c r="F696" s="15" t="s">
        <v>136</v>
      </c>
      <c r="G696" s="15" t="n">
        <v>22</v>
      </c>
      <c r="H696" s="15" t="n">
        <v>1726</v>
      </c>
      <c r="I696" s="15" t="n">
        <v>2</v>
      </c>
      <c r="J696" s="15" t="n">
        <v>1</v>
      </c>
      <c r="K696" s="15" t="n">
        <v>46</v>
      </c>
      <c r="L696" s="15" t="n">
        <v>27</v>
      </c>
      <c r="M696" s="15" t="n">
        <v>126</v>
      </c>
      <c r="N696" s="15" t="n">
        <v>0</v>
      </c>
      <c r="O696" s="15" t="n">
        <v>0</v>
      </c>
      <c r="P696" s="16" t="n">
        <v>0</v>
      </c>
      <c r="Q696" s="15" t="n">
        <v>0</v>
      </c>
      <c r="R696" s="15" t="n">
        <v>0</v>
      </c>
      <c r="S696" s="17" t="n">
        <v>66260</v>
      </c>
      <c r="T696" s="15" t="s">
        <v>137</v>
      </c>
      <c r="U696" s="15" t="n">
        <v>2028</v>
      </c>
      <c r="V696" s="15" t="s">
        <v>1956</v>
      </c>
      <c r="W696" s="18" t="s">
        <v>139</v>
      </c>
      <c r="X696" s="18" t="s">
        <v>226</v>
      </c>
      <c r="Y696" s="15" t="s">
        <v>600</v>
      </c>
      <c r="Z696" s="15" t="s">
        <v>600</v>
      </c>
      <c r="AA696" s="19" t="str">
        <f aca="false">HYPERLINK("https://www.transfermarkt.com/schnellsuche/ergebnis/schnellsuche?query="&amp;SUBSTITUTE(A696," ","+"),"Search Transfermarkt")</f>
        <v>Search Transfermarkt</v>
      </c>
    </row>
    <row r="697" customFormat="false" ht="23.85" hidden="false" customHeight="false" outlineLevel="0" collapsed="false">
      <c r="A697" s="15" t="s">
        <v>2184</v>
      </c>
      <c r="B697" s="15" t="s">
        <v>94</v>
      </c>
      <c r="C697" s="15" t="s">
        <v>628</v>
      </c>
      <c r="D697" s="15" t="n">
        <v>2</v>
      </c>
      <c r="E697" s="15" t="s">
        <v>1980</v>
      </c>
      <c r="F697" s="15" t="s">
        <v>157</v>
      </c>
      <c r="G697" s="15" t="n">
        <v>17</v>
      </c>
      <c r="H697" s="15" t="n">
        <v>1593</v>
      </c>
      <c r="I697" s="15" t="n">
        <v>0</v>
      </c>
      <c r="J697" s="15" t="n">
        <v>0</v>
      </c>
      <c r="K697" s="15" t="n">
        <v>13</v>
      </c>
      <c r="L697" s="15" t="n">
        <v>4</v>
      </c>
      <c r="M697" s="15" t="n">
        <v>7</v>
      </c>
      <c r="N697" s="15" t="n">
        <v>67</v>
      </c>
      <c r="O697" s="15" t="n">
        <v>28</v>
      </c>
      <c r="P697" s="16" t="n">
        <v>62.9</v>
      </c>
      <c r="Q697" s="15" t="n">
        <v>19.2</v>
      </c>
      <c r="R697" s="15" t="n">
        <v>7</v>
      </c>
      <c r="S697" s="17" t="n">
        <v>0</v>
      </c>
      <c r="T697" s="15" t="s">
        <v>137</v>
      </c>
      <c r="U697" s="15" t="n">
        <v>2028</v>
      </c>
      <c r="V697" s="15" t="s">
        <v>1981</v>
      </c>
      <c r="W697" s="18" t="s">
        <v>147</v>
      </c>
      <c r="X697" s="18" t="s">
        <v>226</v>
      </c>
      <c r="Y697" s="15" t="s">
        <v>600</v>
      </c>
      <c r="Z697" s="15" t="s">
        <v>600</v>
      </c>
      <c r="AA697" s="19" t="str">
        <f aca="false">HYPERLINK("https://www.transfermarkt.com/schnellsuche/ergebnis/schnellsuche?query="&amp;SUBSTITUTE(A697," ","+"),"Search Transfermarkt")</f>
        <v>Search Transfermarkt</v>
      </c>
    </row>
    <row r="698" customFormat="false" ht="23.85" hidden="false" customHeight="false" outlineLevel="0" collapsed="false">
      <c r="A698" s="15" t="s">
        <v>2185</v>
      </c>
      <c r="B698" s="15" t="s">
        <v>88</v>
      </c>
      <c r="C698" s="15" t="s">
        <v>1025</v>
      </c>
      <c r="D698" s="15" t="n">
        <v>2</v>
      </c>
      <c r="E698" s="15" t="s">
        <v>1348</v>
      </c>
      <c r="F698" s="15" t="s">
        <v>136</v>
      </c>
      <c r="G698" s="15" t="n">
        <v>24</v>
      </c>
      <c r="H698" s="15" t="n">
        <v>911</v>
      </c>
      <c r="I698" s="15" t="n">
        <v>1</v>
      </c>
      <c r="J698" s="15" t="n">
        <v>1</v>
      </c>
      <c r="K698" s="15" t="n">
        <v>68</v>
      </c>
      <c r="L698" s="15" t="n">
        <v>31</v>
      </c>
      <c r="M698" s="15" t="n">
        <v>76</v>
      </c>
      <c r="N698" s="15" t="n">
        <v>0</v>
      </c>
      <c r="O698" s="15" t="n">
        <v>0</v>
      </c>
      <c r="P698" s="16" t="n">
        <v>0</v>
      </c>
      <c r="Q698" s="15" t="n">
        <v>0</v>
      </c>
      <c r="R698" s="15" t="n">
        <v>0</v>
      </c>
      <c r="S698" s="17" t="n">
        <v>29842</v>
      </c>
      <c r="T698" s="15" t="s">
        <v>137</v>
      </c>
      <c r="U698" s="15" t="n">
        <v>2027</v>
      </c>
      <c r="V698" s="15" t="s">
        <v>1349</v>
      </c>
      <c r="W698" s="18" t="s">
        <v>139</v>
      </c>
      <c r="X698" s="18" t="s">
        <v>320</v>
      </c>
      <c r="Y698" s="15" t="s">
        <v>600</v>
      </c>
      <c r="Z698" s="15" t="s">
        <v>600</v>
      </c>
      <c r="AA698" s="19" t="str">
        <f aca="false">HYPERLINK("https://www.transfermarkt.com/schnellsuche/ergebnis/schnellsuche?query="&amp;SUBSTITUTE(A698," ","+"),"Search Transfermarkt")</f>
        <v>Search Transfermarkt</v>
      </c>
    </row>
    <row r="699" customFormat="false" ht="23.85" hidden="false" customHeight="false" outlineLevel="0" collapsed="false">
      <c r="A699" s="15" t="s">
        <v>2186</v>
      </c>
      <c r="B699" s="15" t="s">
        <v>103</v>
      </c>
      <c r="C699" s="15" t="s">
        <v>1333</v>
      </c>
      <c r="D699" s="15" t="n">
        <v>2</v>
      </c>
      <c r="E699" s="15" t="s">
        <v>2187</v>
      </c>
      <c r="F699" s="15" t="s">
        <v>157</v>
      </c>
      <c r="G699" s="15" t="n">
        <v>25</v>
      </c>
      <c r="H699" s="15" t="n">
        <v>2405</v>
      </c>
      <c r="I699" s="15" t="n">
        <v>0</v>
      </c>
      <c r="J699" s="15" t="n">
        <v>0</v>
      </c>
      <c r="K699" s="15" t="n">
        <v>20</v>
      </c>
      <c r="L699" s="15" t="n">
        <v>6</v>
      </c>
      <c r="M699" s="15" t="n">
        <v>7</v>
      </c>
      <c r="N699" s="15" t="n">
        <v>89</v>
      </c>
      <c r="O699" s="15" t="n">
        <v>28</v>
      </c>
      <c r="P699" s="16" t="n">
        <v>69.4</v>
      </c>
      <c r="Q699" s="15" t="n">
        <v>21.6</v>
      </c>
      <c r="R699" s="15" t="n">
        <v>8</v>
      </c>
      <c r="S699" s="17" t="n">
        <v>84858</v>
      </c>
      <c r="T699" s="15" t="s">
        <v>137</v>
      </c>
      <c r="U699" s="15" t="n">
        <v>2029</v>
      </c>
      <c r="V699" s="15" t="s">
        <v>2188</v>
      </c>
      <c r="W699" s="18" t="s">
        <v>139</v>
      </c>
      <c r="X699" s="18" t="s">
        <v>481</v>
      </c>
      <c r="Y699" s="15" t="s">
        <v>600</v>
      </c>
      <c r="Z699" s="15" t="s">
        <v>600</v>
      </c>
      <c r="AA699" s="19" t="str">
        <f aca="false">HYPERLINK("https://www.transfermarkt.com/schnellsuche/ergebnis/schnellsuche?query="&amp;SUBSTITUTE(A699," ","+"),"Search Transfermarkt")</f>
        <v>Search Transfermarkt</v>
      </c>
    </row>
    <row r="700" customFormat="false" ht="23.85" hidden="false" customHeight="false" outlineLevel="0" collapsed="false">
      <c r="A700" s="15" t="s">
        <v>2189</v>
      </c>
      <c r="B700" s="15" t="s">
        <v>89</v>
      </c>
      <c r="C700" s="15" t="s">
        <v>1455</v>
      </c>
      <c r="D700" s="15" t="n">
        <v>3</v>
      </c>
      <c r="E700" s="15" t="s">
        <v>1565</v>
      </c>
      <c r="F700" s="15" t="s">
        <v>163</v>
      </c>
      <c r="G700" s="15" t="n">
        <v>18</v>
      </c>
      <c r="H700" s="15" t="n">
        <v>1798</v>
      </c>
      <c r="I700" s="15" t="n">
        <v>18</v>
      </c>
      <c r="J700" s="15" t="n">
        <v>4</v>
      </c>
      <c r="K700" s="15" t="n">
        <v>31</v>
      </c>
      <c r="L700" s="15" t="n">
        <v>92</v>
      </c>
      <c r="M700" s="15" t="n">
        <v>8</v>
      </c>
      <c r="N700" s="15" t="n">
        <v>0</v>
      </c>
      <c r="O700" s="15" t="n">
        <v>0</v>
      </c>
      <c r="P700" s="16" t="n">
        <v>0</v>
      </c>
      <c r="Q700" s="15" t="n">
        <v>0</v>
      </c>
      <c r="R700" s="15" t="n">
        <v>0</v>
      </c>
      <c r="S700" s="17" t="n">
        <v>32286</v>
      </c>
      <c r="T700" s="15" t="s">
        <v>164</v>
      </c>
      <c r="U700" s="15" t="n">
        <v>2028</v>
      </c>
      <c r="V700" s="15" t="s">
        <v>1566</v>
      </c>
      <c r="W700" s="18" t="s">
        <v>139</v>
      </c>
      <c r="X700" s="18" t="s">
        <v>206</v>
      </c>
      <c r="Y700" s="15" t="s">
        <v>600</v>
      </c>
      <c r="Z700" s="15" t="s">
        <v>600</v>
      </c>
      <c r="AA700" s="19" t="str">
        <f aca="false">HYPERLINK("https://www.transfermarkt.com/schnellsuche/ergebnis/schnellsuche?query="&amp;SUBSTITUTE(A700," ","+"),"Search Transfermarkt")</f>
        <v>Search Transfermarkt</v>
      </c>
    </row>
    <row r="701" customFormat="false" ht="23.85" hidden="false" customHeight="false" outlineLevel="0" collapsed="false">
      <c r="A701" s="15" t="s">
        <v>2190</v>
      </c>
      <c r="B701" s="15" t="s">
        <v>67</v>
      </c>
      <c r="C701" s="15" t="s">
        <v>1707</v>
      </c>
      <c r="D701" s="15" t="n">
        <v>2</v>
      </c>
      <c r="E701" s="15" t="s">
        <v>1139</v>
      </c>
      <c r="F701" s="15" t="s">
        <v>163</v>
      </c>
      <c r="G701" s="15" t="n">
        <v>19</v>
      </c>
      <c r="H701" s="15" t="n">
        <v>1103</v>
      </c>
      <c r="I701" s="15" t="n">
        <v>12</v>
      </c>
      <c r="J701" s="15" t="n">
        <v>6</v>
      </c>
      <c r="K701" s="15" t="n">
        <v>45</v>
      </c>
      <c r="L701" s="15" t="n">
        <v>93</v>
      </c>
      <c r="M701" s="15" t="n">
        <v>13</v>
      </c>
      <c r="N701" s="15" t="n">
        <v>0</v>
      </c>
      <c r="O701" s="15" t="n">
        <v>0</v>
      </c>
      <c r="P701" s="16" t="n">
        <v>0</v>
      </c>
      <c r="Q701" s="15" t="n">
        <v>0</v>
      </c>
      <c r="R701" s="15" t="n">
        <v>0</v>
      </c>
      <c r="S701" s="17" t="n">
        <v>0</v>
      </c>
      <c r="T701" s="15" t="s">
        <v>186</v>
      </c>
      <c r="U701" s="15" t="n">
        <v>2026</v>
      </c>
      <c r="V701" s="15" t="s">
        <v>1140</v>
      </c>
      <c r="W701" s="18" t="s">
        <v>188</v>
      </c>
      <c r="X701" s="18" t="s">
        <v>236</v>
      </c>
      <c r="Y701" s="15" t="s">
        <v>600</v>
      </c>
      <c r="Z701" s="15" t="s">
        <v>600</v>
      </c>
      <c r="AA701" s="19" t="str">
        <f aca="false">HYPERLINK("https://www.transfermarkt.com/schnellsuche/ergebnis/schnellsuche?query="&amp;SUBSTITUTE(A701," ","+"),"Search Transfermarkt")</f>
        <v>Search Transfermarkt</v>
      </c>
    </row>
    <row r="702" customFormat="false" ht="23.85" hidden="false" customHeight="false" outlineLevel="0" collapsed="false">
      <c r="A702" s="15" t="s">
        <v>2191</v>
      </c>
      <c r="B702" s="15" t="s">
        <v>106</v>
      </c>
      <c r="C702" s="15" t="s">
        <v>841</v>
      </c>
      <c r="D702" s="15" t="n">
        <v>2</v>
      </c>
      <c r="E702" s="15" t="s">
        <v>2192</v>
      </c>
      <c r="F702" s="15" t="s">
        <v>163</v>
      </c>
      <c r="G702" s="15" t="n">
        <v>17</v>
      </c>
      <c r="H702" s="15" t="n">
        <v>1755</v>
      </c>
      <c r="I702" s="15" t="n">
        <v>15</v>
      </c>
      <c r="J702" s="15" t="n">
        <v>3</v>
      </c>
      <c r="K702" s="15" t="n">
        <v>51</v>
      </c>
      <c r="L702" s="15" t="n">
        <v>61</v>
      </c>
      <c r="M702" s="15" t="n">
        <v>11</v>
      </c>
      <c r="N702" s="15" t="n">
        <v>0</v>
      </c>
      <c r="O702" s="15" t="n">
        <v>0</v>
      </c>
      <c r="P702" s="16" t="n">
        <v>0</v>
      </c>
      <c r="Q702" s="15" t="n">
        <v>0</v>
      </c>
      <c r="R702" s="15" t="n">
        <v>0</v>
      </c>
      <c r="S702" s="17" t="n">
        <v>37441</v>
      </c>
      <c r="T702" s="15" t="s">
        <v>186</v>
      </c>
      <c r="U702" s="15" t="n">
        <v>2028</v>
      </c>
      <c r="V702" s="15" t="s">
        <v>2193</v>
      </c>
      <c r="W702" s="18" t="s">
        <v>147</v>
      </c>
      <c r="X702" s="18" t="s">
        <v>283</v>
      </c>
      <c r="Y702" s="15" t="s">
        <v>600</v>
      </c>
      <c r="Z702" s="15" t="s">
        <v>600</v>
      </c>
      <c r="AA702" s="19" t="str">
        <f aca="false">HYPERLINK("https://www.transfermarkt.com/schnellsuche/ergebnis/schnellsuche?query="&amp;SUBSTITUTE(A702," ","+"),"Search Transfermarkt")</f>
        <v>Search Transfermarkt</v>
      </c>
    </row>
    <row r="703" customFormat="false" ht="23.85" hidden="false" customHeight="false" outlineLevel="0" collapsed="false">
      <c r="A703" s="15" t="s">
        <v>2194</v>
      </c>
      <c r="B703" s="15" t="s">
        <v>67</v>
      </c>
      <c r="C703" s="15" t="s">
        <v>505</v>
      </c>
      <c r="D703" s="15" t="n">
        <v>3</v>
      </c>
      <c r="E703" s="15" t="s">
        <v>2195</v>
      </c>
      <c r="F703" s="15" t="s">
        <v>136</v>
      </c>
      <c r="G703" s="15" t="n">
        <v>23</v>
      </c>
      <c r="H703" s="15" t="n">
        <v>1964</v>
      </c>
      <c r="I703" s="15" t="n">
        <v>2</v>
      </c>
      <c r="J703" s="15" t="n">
        <v>1</v>
      </c>
      <c r="K703" s="15" t="n">
        <v>66</v>
      </c>
      <c r="L703" s="15" t="n">
        <v>29</v>
      </c>
      <c r="M703" s="15" t="n">
        <v>130</v>
      </c>
      <c r="N703" s="15" t="n">
        <v>0</v>
      </c>
      <c r="O703" s="15" t="n">
        <v>0</v>
      </c>
      <c r="P703" s="16" t="n">
        <v>0</v>
      </c>
      <c r="Q703" s="15" t="n">
        <v>0</v>
      </c>
      <c r="R703" s="15" t="n">
        <v>0</v>
      </c>
      <c r="S703" s="17" t="n">
        <v>73082</v>
      </c>
      <c r="T703" s="15" t="s">
        <v>186</v>
      </c>
      <c r="U703" s="15" t="n">
        <v>2027</v>
      </c>
      <c r="V703" s="15" t="s">
        <v>2196</v>
      </c>
      <c r="W703" s="18" t="s">
        <v>188</v>
      </c>
      <c r="X703" s="18" t="s">
        <v>236</v>
      </c>
      <c r="Y703" s="15" t="s">
        <v>600</v>
      </c>
      <c r="Z703" s="15" t="s">
        <v>600</v>
      </c>
      <c r="AA703" s="19" t="str">
        <f aca="false">HYPERLINK("https://www.transfermarkt.com/schnellsuche/ergebnis/schnellsuche?query="&amp;SUBSTITUTE(A703," ","+"),"Search Transfermarkt")</f>
        <v>Search Transfermarkt</v>
      </c>
    </row>
    <row r="704" customFormat="false" ht="23.85" hidden="false" customHeight="false" outlineLevel="0" collapsed="false">
      <c r="A704" s="15" t="s">
        <v>2197</v>
      </c>
      <c r="B704" s="15" t="s">
        <v>106</v>
      </c>
      <c r="C704" s="15" t="s">
        <v>368</v>
      </c>
      <c r="D704" s="15" t="n">
        <v>4</v>
      </c>
      <c r="E704" s="15" t="s">
        <v>904</v>
      </c>
      <c r="F704" s="15" t="s">
        <v>157</v>
      </c>
      <c r="G704" s="15" t="n">
        <v>24</v>
      </c>
      <c r="H704" s="15" t="n">
        <v>1838</v>
      </c>
      <c r="I704" s="15" t="n">
        <v>0</v>
      </c>
      <c r="J704" s="15" t="n">
        <v>0</v>
      </c>
      <c r="K704" s="15" t="n">
        <v>17</v>
      </c>
      <c r="L704" s="15" t="n">
        <v>5</v>
      </c>
      <c r="M704" s="15" t="n">
        <v>4</v>
      </c>
      <c r="N704" s="15" t="n">
        <v>45</v>
      </c>
      <c r="O704" s="15" t="n">
        <v>22</v>
      </c>
      <c r="P704" s="16" t="n">
        <v>72.4</v>
      </c>
      <c r="Q704" s="15" t="n">
        <v>25.2</v>
      </c>
      <c r="R704" s="15" t="n">
        <v>4</v>
      </c>
      <c r="S704" s="17" t="n">
        <v>130270</v>
      </c>
      <c r="T704" s="15" t="s">
        <v>137</v>
      </c>
      <c r="U704" s="15" t="n">
        <v>2026</v>
      </c>
      <c r="V704" s="15" t="s">
        <v>905</v>
      </c>
      <c r="W704" s="18" t="s">
        <v>139</v>
      </c>
      <c r="X704" s="18" t="s">
        <v>283</v>
      </c>
      <c r="Y704" s="15" t="s">
        <v>600</v>
      </c>
      <c r="Z704" s="15" t="s">
        <v>600</v>
      </c>
      <c r="AA704" s="19" t="str">
        <f aca="false">HYPERLINK("https://www.transfermarkt.com/schnellsuche/ergebnis/schnellsuche?query="&amp;SUBSTITUTE(A704," ","+"),"Search Transfermarkt")</f>
        <v>Search Transfermarkt</v>
      </c>
    </row>
    <row r="705" customFormat="false" ht="23.85" hidden="false" customHeight="false" outlineLevel="0" collapsed="false">
      <c r="A705" s="15" t="s">
        <v>2198</v>
      </c>
      <c r="B705" s="15" t="s">
        <v>66</v>
      </c>
      <c r="C705" s="15" t="s">
        <v>2111</v>
      </c>
      <c r="D705" s="15" t="n">
        <v>2</v>
      </c>
      <c r="E705" s="15" t="s">
        <v>2199</v>
      </c>
      <c r="F705" s="15" t="s">
        <v>170</v>
      </c>
      <c r="G705" s="15" t="n">
        <v>21</v>
      </c>
      <c r="H705" s="15" t="n">
        <v>2615</v>
      </c>
      <c r="I705" s="15" t="n">
        <v>5</v>
      </c>
      <c r="J705" s="15" t="n">
        <v>7</v>
      </c>
      <c r="K705" s="15" t="n">
        <v>162</v>
      </c>
      <c r="L705" s="15" t="n">
        <v>57</v>
      </c>
      <c r="M705" s="15" t="n">
        <v>46</v>
      </c>
      <c r="N705" s="15" t="n">
        <v>0</v>
      </c>
      <c r="O705" s="15" t="n">
        <v>0</v>
      </c>
      <c r="P705" s="16" t="n">
        <v>0</v>
      </c>
      <c r="Q705" s="15" t="n">
        <v>0</v>
      </c>
      <c r="R705" s="15" t="n">
        <v>0</v>
      </c>
      <c r="S705" s="17" t="n">
        <v>101405</v>
      </c>
      <c r="T705" s="15" t="s">
        <v>164</v>
      </c>
      <c r="U705" s="15" t="n">
        <v>2028</v>
      </c>
      <c r="V705" s="15" t="s">
        <v>2200</v>
      </c>
      <c r="W705" s="18" t="s">
        <v>139</v>
      </c>
      <c r="X705" s="18" t="s">
        <v>182</v>
      </c>
      <c r="Y705" s="15" t="s">
        <v>600</v>
      </c>
      <c r="Z705" s="15" t="s">
        <v>600</v>
      </c>
      <c r="AA705" s="19" t="str">
        <f aca="false">HYPERLINK("https://www.transfermarkt.com/schnellsuche/ergebnis/schnellsuche?query="&amp;SUBSTITUTE(A705," ","+"),"Search Transfermarkt")</f>
        <v>Search Transfermarkt</v>
      </c>
    </row>
    <row r="706" customFormat="false" ht="23.85" hidden="false" customHeight="false" outlineLevel="0" collapsed="false">
      <c r="A706" s="15" t="s">
        <v>2201</v>
      </c>
      <c r="B706" s="15" t="s">
        <v>87</v>
      </c>
      <c r="C706" s="15" t="s">
        <v>2202</v>
      </c>
      <c r="D706" s="15" t="n">
        <v>2</v>
      </c>
      <c r="E706" s="15" t="s">
        <v>1520</v>
      </c>
      <c r="F706" s="15" t="s">
        <v>170</v>
      </c>
      <c r="G706" s="15" t="n">
        <v>23</v>
      </c>
      <c r="H706" s="15" t="n">
        <v>1628</v>
      </c>
      <c r="I706" s="15" t="n">
        <v>6</v>
      </c>
      <c r="J706" s="15" t="n">
        <v>8</v>
      </c>
      <c r="K706" s="15" t="n">
        <v>172</v>
      </c>
      <c r="L706" s="15" t="n">
        <v>80</v>
      </c>
      <c r="M706" s="15" t="n">
        <v>33</v>
      </c>
      <c r="N706" s="15" t="n">
        <v>0</v>
      </c>
      <c r="O706" s="15" t="n">
        <v>0</v>
      </c>
      <c r="P706" s="16" t="n">
        <v>0</v>
      </c>
      <c r="Q706" s="15" t="n">
        <v>0</v>
      </c>
      <c r="R706" s="15" t="n">
        <v>0</v>
      </c>
      <c r="S706" s="17" t="n">
        <v>57557</v>
      </c>
      <c r="T706" s="15" t="s">
        <v>137</v>
      </c>
      <c r="U706" s="15" t="n">
        <v>2028</v>
      </c>
      <c r="V706" s="15" t="s">
        <v>1521</v>
      </c>
      <c r="W706" s="18" t="s">
        <v>139</v>
      </c>
      <c r="X706" s="18" t="s">
        <v>341</v>
      </c>
      <c r="Y706" s="15" t="s">
        <v>600</v>
      </c>
      <c r="Z706" s="15" t="s">
        <v>600</v>
      </c>
      <c r="AA706" s="19" t="str">
        <f aca="false">HYPERLINK("https://www.transfermarkt.com/schnellsuche/ergebnis/schnellsuche?query="&amp;SUBSTITUTE(A706," ","+"),"Search Transfermarkt")</f>
        <v>Search Transfermarkt</v>
      </c>
    </row>
    <row r="707" customFormat="false" ht="23.85" hidden="false" customHeight="false" outlineLevel="0" collapsed="false">
      <c r="A707" s="15" t="s">
        <v>2203</v>
      </c>
      <c r="B707" s="15" t="s">
        <v>96</v>
      </c>
      <c r="C707" s="15" t="s">
        <v>1263</v>
      </c>
      <c r="D707" s="15" t="n">
        <v>3</v>
      </c>
      <c r="E707" s="15" t="s">
        <v>2204</v>
      </c>
      <c r="F707" s="15" t="s">
        <v>170</v>
      </c>
      <c r="G707" s="15" t="n">
        <v>24</v>
      </c>
      <c r="H707" s="15" t="n">
        <v>2459</v>
      </c>
      <c r="I707" s="15" t="n">
        <v>6</v>
      </c>
      <c r="J707" s="15" t="n">
        <v>13</v>
      </c>
      <c r="K707" s="15" t="n">
        <v>125</v>
      </c>
      <c r="L707" s="15" t="n">
        <v>65</v>
      </c>
      <c r="M707" s="15" t="n">
        <v>54</v>
      </c>
      <c r="N707" s="15" t="n">
        <v>0</v>
      </c>
      <c r="O707" s="15" t="n">
        <v>0</v>
      </c>
      <c r="P707" s="16" t="n">
        <v>0</v>
      </c>
      <c r="Q707" s="15" t="n">
        <v>0</v>
      </c>
      <c r="R707" s="15" t="n">
        <v>0</v>
      </c>
      <c r="S707" s="17" t="n">
        <v>134898</v>
      </c>
      <c r="T707" s="15" t="s">
        <v>186</v>
      </c>
      <c r="U707" s="15" t="n">
        <v>2028</v>
      </c>
      <c r="V707" s="15" t="s">
        <v>2205</v>
      </c>
      <c r="W707" s="18" t="s">
        <v>188</v>
      </c>
      <c r="X707" s="18" t="s">
        <v>216</v>
      </c>
      <c r="Y707" s="15" t="s">
        <v>600</v>
      </c>
      <c r="Z707" s="15" t="s">
        <v>600</v>
      </c>
      <c r="AA707" s="19" t="str">
        <f aca="false">HYPERLINK("https://www.transfermarkt.com/schnellsuche/ergebnis/schnellsuche?query="&amp;SUBSTITUTE(A707," ","+"),"Search Transfermarkt")</f>
        <v>Search Transfermarkt</v>
      </c>
    </row>
    <row r="708" customFormat="false" ht="23.85" hidden="false" customHeight="false" outlineLevel="0" collapsed="false">
      <c r="A708" s="15" t="s">
        <v>2206</v>
      </c>
      <c r="B708" s="15" t="s">
        <v>80</v>
      </c>
      <c r="C708" s="15" t="s">
        <v>1095</v>
      </c>
      <c r="D708" s="15" t="n">
        <v>2</v>
      </c>
      <c r="E708" s="15" t="s">
        <v>1721</v>
      </c>
      <c r="F708" s="15" t="s">
        <v>163</v>
      </c>
      <c r="G708" s="15" t="n">
        <v>20</v>
      </c>
      <c r="H708" s="15" t="n">
        <v>2558</v>
      </c>
      <c r="I708" s="15" t="n">
        <v>19</v>
      </c>
      <c r="J708" s="15" t="n">
        <v>9</v>
      </c>
      <c r="K708" s="15" t="n">
        <v>51</v>
      </c>
      <c r="L708" s="15" t="n">
        <v>60</v>
      </c>
      <c r="M708" s="15" t="n">
        <v>15</v>
      </c>
      <c r="N708" s="15" t="n">
        <v>0</v>
      </c>
      <c r="O708" s="15" t="n">
        <v>0</v>
      </c>
      <c r="P708" s="16" t="n">
        <v>0</v>
      </c>
      <c r="Q708" s="15" t="n">
        <v>0</v>
      </c>
      <c r="R708" s="15" t="n">
        <v>0</v>
      </c>
      <c r="S708" s="17" t="n">
        <v>134638</v>
      </c>
      <c r="T708" s="15" t="s">
        <v>137</v>
      </c>
      <c r="U708" s="15" t="n">
        <v>2029</v>
      </c>
      <c r="V708" s="15" t="s">
        <v>1722</v>
      </c>
      <c r="W708" s="18" t="s">
        <v>139</v>
      </c>
      <c r="X708" s="18" t="s">
        <v>304</v>
      </c>
      <c r="Y708" s="15" t="s">
        <v>600</v>
      </c>
      <c r="Z708" s="15" t="s">
        <v>600</v>
      </c>
      <c r="AA708" s="19" t="str">
        <f aca="false">HYPERLINK("https://www.transfermarkt.com/schnellsuche/ergebnis/schnellsuche?query="&amp;SUBSTITUTE(A708," ","+"),"Search Transfermarkt")</f>
        <v>Search Transfermarkt</v>
      </c>
    </row>
    <row r="709" customFormat="false" ht="23.85" hidden="false" customHeight="false" outlineLevel="0" collapsed="false">
      <c r="A709" s="15" t="s">
        <v>2207</v>
      </c>
      <c r="B709" s="15" t="s">
        <v>87</v>
      </c>
      <c r="C709" s="15" t="s">
        <v>364</v>
      </c>
      <c r="D709" s="15" t="n">
        <v>4</v>
      </c>
      <c r="E709" s="15" t="s">
        <v>2208</v>
      </c>
      <c r="F709" s="15" t="s">
        <v>170</v>
      </c>
      <c r="G709" s="15" t="n">
        <v>24</v>
      </c>
      <c r="H709" s="15" t="n">
        <v>1890</v>
      </c>
      <c r="I709" s="15" t="n">
        <v>7</v>
      </c>
      <c r="J709" s="15" t="n">
        <v>9</v>
      </c>
      <c r="K709" s="15" t="n">
        <v>146</v>
      </c>
      <c r="L709" s="15" t="n">
        <v>77</v>
      </c>
      <c r="M709" s="15" t="n">
        <v>52</v>
      </c>
      <c r="N709" s="15" t="n">
        <v>0</v>
      </c>
      <c r="O709" s="15" t="n">
        <v>0</v>
      </c>
      <c r="P709" s="16" t="n">
        <v>0</v>
      </c>
      <c r="Q709" s="15" t="n">
        <v>0</v>
      </c>
      <c r="R709" s="15" t="n">
        <v>0</v>
      </c>
      <c r="S709" s="17" t="n">
        <v>132261</v>
      </c>
      <c r="T709" s="15" t="s">
        <v>164</v>
      </c>
      <c r="U709" s="15" t="n">
        <v>2026</v>
      </c>
      <c r="V709" s="15" t="s">
        <v>2209</v>
      </c>
      <c r="W709" s="18" t="s">
        <v>139</v>
      </c>
      <c r="X709" s="18" t="s">
        <v>341</v>
      </c>
      <c r="Y709" s="15" t="s">
        <v>600</v>
      </c>
      <c r="Z709" s="15" t="s">
        <v>600</v>
      </c>
      <c r="AA709" s="19" t="str">
        <f aca="false">HYPERLINK("https://www.transfermarkt.com/schnellsuche/ergebnis/schnellsuche?query="&amp;SUBSTITUTE(A709," ","+"),"Search Transfermarkt")</f>
        <v>Search Transfermarkt</v>
      </c>
    </row>
    <row r="710" customFormat="false" ht="23.85" hidden="false" customHeight="false" outlineLevel="0" collapsed="false">
      <c r="A710" s="15" t="s">
        <v>2210</v>
      </c>
      <c r="B710" s="15" t="s">
        <v>104</v>
      </c>
      <c r="C710" s="15" t="s">
        <v>590</v>
      </c>
      <c r="D710" s="15" t="n">
        <v>3</v>
      </c>
      <c r="E710" s="15" t="s">
        <v>1291</v>
      </c>
      <c r="F710" s="15" t="s">
        <v>157</v>
      </c>
      <c r="G710" s="15" t="n">
        <v>19</v>
      </c>
      <c r="H710" s="15" t="n">
        <v>2381</v>
      </c>
      <c r="I710" s="15" t="n">
        <v>0</v>
      </c>
      <c r="J710" s="15" t="n">
        <v>0</v>
      </c>
      <c r="K710" s="15" t="n">
        <v>6</v>
      </c>
      <c r="L710" s="15" t="n">
        <v>4</v>
      </c>
      <c r="M710" s="15" t="n">
        <v>6</v>
      </c>
      <c r="N710" s="15" t="n">
        <v>64</v>
      </c>
      <c r="O710" s="15" t="n">
        <v>53</v>
      </c>
      <c r="P710" s="16" t="n">
        <v>62.1</v>
      </c>
      <c r="Q710" s="15" t="n">
        <v>15.3</v>
      </c>
      <c r="R710" s="15" t="n">
        <v>4</v>
      </c>
      <c r="S710" s="17" t="n">
        <v>40586</v>
      </c>
      <c r="T710" s="15" t="s">
        <v>137</v>
      </c>
      <c r="U710" s="15" t="n">
        <v>2028</v>
      </c>
      <c r="V710" s="15" t="s">
        <v>1292</v>
      </c>
      <c r="W710" s="18" t="s">
        <v>139</v>
      </c>
      <c r="X710" s="18" t="s">
        <v>274</v>
      </c>
      <c r="Y710" s="15" t="s">
        <v>600</v>
      </c>
      <c r="Z710" s="15" t="s">
        <v>600</v>
      </c>
      <c r="AA710" s="19" t="str">
        <f aca="false">HYPERLINK("https://www.transfermarkt.com/schnellsuche/ergebnis/schnellsuche?query="&amp;SUBSTITUTE(A710," ","+"),"Search Transfermarkt")</f>
        <v>Search Transfermarkt</v>
      </c>
    </row>
    <row r="711" customFormat="false" ht="23.85" hidden="false" customHeight="false" outlineLevel="0" collapsed="false">
      <c r="A711" s="15" t="s">
        <v>2211</v>
      </c>
      <c r="B711" s="15" t="s">
        <v>81</v>
      </c>
      <c r="C711" s="15" t="s">
        <v>567</v>
      </c>
      <c r="D711" s="15" t="n">
        <v>4</v>
      </c>
      <c r="E711" s="15" t="s">
        <v>2212</v>
      </c>
      <c r="F711" s="15" t="s">
        <v>136</v>
      </c>
      <c r="G711" s="15" t="n">
        <v>19</v>
      </c>
      <c r="H711" s="15" t="n">
        <v>2152</v>
      </c>
      <c r="I711" s="15" t="n">
        <v>1</v>
      </c>
      <c r="J711" s="15" t="n">
        <v>1</v>
      </c>
      <c r="K711" s="15" t="n">
        <v>58</v>
      </c>
      <c r="L711" s="15" t="n">
        <v>29</v>
      </c>
      <c r="M711" s="15" t="n">
        <v>95</v>
      </c>
      <c r="N711" s="15" t="n">
        <v>0</v>
      </c>
      <c r="O711" s="15" t="n">
        <v>0</v>
      </c>
      <c r="P711" s="16" t="n">
        <v>0</v>
      </c>
      <c r="Q711" s="15" t="n">
        <v>0</v>
      </c>
      <c r="R711" s="15" t="n">
        <v>0</v>
      </c>
      <c r="S711" s="17" t="n">
        <v>90870</v>
      </c>
      <c r="T711" s="15" t="s">
        <v>164</v>
      </c>
      <c r="U711" s="15" t="n">
        <v>2028</v>
      </c>
      <c r="V711" s="15" t="s">
        <v>2213</v>
      </c>
      <c r="W711" s="18" t="s">
        <v>139</v>
      </c>
      <c r="X711" s="18" t="s">
        <v>407</v>
      </c>
      <c r="Y711" s="15" t="s">
        <v>600</v>
      </c>
      <c r="Z711" s="15" t="s">
        <v>600</v>
      </c>
      <c r="AA711" s="19" t="str">
        <f aca="false">HYPERLINK("https://www.transfermarkt.com/schnellsuche/ergebnis/schnellsuche?query="&amp;SUBSTITUTE(A711," ","+"),"Search Transfermarkt")</f>
        <v>Search Transfermarkt</v>
      </c>
    </row>
    <row r="712" customFormat="false" ht="23.85" hidden="false" customHeight="false" outlineLevel="0" collapsed="false">
      <c r="A712" s="15" t="s">
        <v>2214</v>
      </c>
      <c r="B712" s="15" t="s">
        <v>79</v>
      </c>
      <c r="C712" s="15" t="s">
        <v>409</v>
      </c>
      <c r="D712" s="15" t="n">
        <v>3</v>
      </c>
      <c r="E712" s="15" t="s">
        <v>724</v>
      </c>
      <c r="F712" s="15" t="s">
        <v>136</v>
      </c>
      <c r="G712" s="15" t="n">
        <v>23</v>
      </c>
      <c r="H712" s="15" t="n">
        <v>2193</v>
      </c>
      <c r="I712" s="15" t="n">
        <v>0</v>
      </c>
      <c r="J712" s="15" t="n">
        <v>3</v>
      </c>
      <c r="K712" s="15" t="n">
        <v>72</v>
      </c>
      <c r="L712" s="15" t="n">
        <v>44</v>
      </c>
      <c r="M712" s="15" t="n">
        <v>100</v>
      </c>
      <c r="N712" s="15" t="n">
        <v>0</v>
      </c>
      <c r="O712" s="15" t="n">
        <v>0</v>
      </c>
      <c r="P712" s="16" t="n">
        <v>0</v>
      </c>
      <c r="Q712" s="15" t="n">
        <v>0</v>
      </c>
      <c r="R712" s="15" t="n">
        <v>0</v>
      </c>
      <c r="S712" s="17" t="n">
        <v>100050</v>
      </c>
      <c r="T712" s="15" t="s">
        <v>164</v>
      </c>
      <c r="U712" s="15" t="n">
        <v>2029</v>
      </c>
      <c r="V712" s="15" t="s">
        <v>725</v>
      </c>
      <c r="W712" s="18" t="s">
        <v>139</v>
      </c>
      <c r="X712" s="18" t="s">
        <v>412</v>
      </c>
      <c r="Y712" s="15" t="s">
        <v>600</v>
      </c>
      <c r="Z712" s="15" t="s">
        <v>600</v>
      </c>
      <c r="AA712" s="19" t="str">
        <f aca="false">HYPERLINK("https://www.transfermarkt.com/schnellsuche/ergebnis/schnellsuche?query="&amp;SUBSTITUTE(A712," ","+"),"Search Transfermarkt")</f>
        <v>Search Transfermarkt</v>
      </c>
    </row>
    <row r="713" customFormat="false" ht="23.85" hidden="false" customHeight="false" outlineLevel="0" collapsed="false">
      <c r="A713" s="15" t="s">
        <v>2215</v>
      </c>
      <c r="B713" s="15" t="s">
        <v>81</v>
      </c>
      <c r="C713" s="15" t="s">
        <v>455</v>
      </c>
      <c r="D713" s="15" t="n">
        <v>3</v>
      </c>
      <c r="E713" s="15" t="s">
        <v>467</v>
      </c>
      <c r="F713" s="15" t="s">
        <v>170</v>
      </c>
      <c r="G713" s="15" t="n">
        <v>26</v>
      </c>
      <c r="H713" s="15" t="n">
        <v>2000</v>
      </c>
      <c r="I713" s="15" t="n">
        <v>5</v>
      </c>
      <c r="J713" s="15" t="n">
        <v>6</v>
      </c>
      <c r="K713" s="15" t="n">
        <v>152</v>
      </c>
      <c r="L713" s="15" t="n">
        <v>57</v>
      </c>
      <c r="M713" s="15" t="n">
        <v>45</v>
      </c>
      <c r="N713" s="15" t="n">
        <v>0</v>
      </c>
      <c r="O713" s="15" t="n">
        <v>0</v>
      </c>
      <c r="P713" s="16" t="n">
        <v>0</v>
      </c>
      <c r="Q713" s="15" t="n">
        <v>0</v>
      </c>
      <c r="R713" s="15" t="n">
        <v>0</v>
      </c>
      <c r="S713" s="17" t="n">
        <v>133915</v>
      </c>
      <c r="T713" s="15" t="s">
        <v>137</v>
      </c>
      <c r="U713" s="15" t="n">
        <v>2028</v>
      </c>
      <c r="V713" s="15" t="s">
        <v>468</v>
      </c>
      <c r="W713" s="18" t="s">
        <v>139</v>
      </c>
      <c r="X713" s="18" t="s">
        <v>407</v>
      </c>
      <c r="Y713" s="15" t="s">
        <v>600</v>
      </c>
      <c r="Z713" s="15" t="s">
        <v>600</v>
      </c>
      <c r="AA713" s="19" t="str">
        <f aca="false">HYPERLINK("https://www.transfermarkt.com/schnellsuche/ergebnis/schnellsuche?query="&amp;SUBSTITUTE(A713," ","+"),"Search Transfermarkt")</f>
        <v>Search Transfermarkt</v>
      </c>
    </row>
    <row r="714" customFormat="false" ht="23.85" hidden="false" customHeight="false" outlineLevel="0" collapsed="false">
      <c r="A714" s="15" t="s">
        <v>2216</v>
      </c>
      <c r="B714" s="15" t="s">
        <v>75</v>
      </c>
      <c r="C714" s="15" t="s">
        <v>1221</v>
      </c>
      <c r="D714" s="15" t="n">
        <v>3</v>
      </c>
      <c r="E714" s="15" t="s">
        <v>2217</v>
      </c>
      <c r="F714" s="15" t="s">
        <v>136</v>
      </c>
      <c r="G714" s="15" t="n">
        <v>20</v>
      </c>
      <c r="H714" s="15" t="n">
        <v>882</v>
      </c>
      <c r="I714" s="15" t="n">
        <v>2</v>
      </c>
      <c r="J714" s="15" t="n">
        <v>4</v>
      </c>
      <c r="K714" s="15" t="n">
        <v>63</v>
      </c>
      <c r="L714" s="15" t="n">
        <v>20</v>
      </c>
      <c r="M714" s="15" t="n">
        <v>91</v>
      </c>
      <c r="N714" s="15" t="n">
        <v>0</v>
      </c>
      <c r="O714" s="15" t="n">
        <v>0</v>
      </c>
      <c r="P714" s="16" t="n">
        <v>0</v>
      </c>
      <c r="Q714" s="15" t="n">
        <v>0</v>
      </c>
      <c r="R714" s="15" t="n">
        <v>0</v>
      </c>
      <c r="S714" s="17" t="n">
        <v>123370</v>
      </c>
      <c r="T714" s="15" t="s">
        <v>137</v>
      </c>
      <c r="U714" s="15" t="n">
        <v>2029</v>
      </c>
      <c r="V714" s="15" t="s">
        <v>2218</v>
      </c>
      <c r="W714" s="18" t="s">
        <v>139</v>
      </c>
      <c r="X714" s="18" t="s">
        <v>197</v>
      </c>
      <c r="Y714" s="15" t="s">
        <v>600</v>
      </c>
      <c r="Z714" s="15" t="s">
        <v>600</v>
      </c>
      <c r="AA714" s="19" t="str">
        <f aca="false">HYPERLINK("https://www.transfermarkt.com/schnellsuche/ergebnis/schnellsuche?query="&amp;SUBSTITUTE(A714," ","+"),"Search Transfermarkt")</f>
        <v>Search Transfermarkt</v>
      </c>
    </row>
    <row r="715" customFormat="false" ht="23.85" hidden="false" customHeight="false" outlineLevel="0" collapsed="false">
      <c r="A715" s="15" t="s">
        <v>2219</v>
      </c>
      <c r="B715" s="15" t="s">
        <v>99</v>
      </c>
      <c r="C715" s="15" t="s">
        <v>676</v>
      </c>
      <c r="D715" s="15" t="n">
        <v>3</v>
      </c>
      <c r="E715" s="15" t="s">
        <v>2220</v>
      </c>
      <c r="F715" s="15" t="s">
        <v>163</v>
      </c>
      <c r="G715" s="15" t="n">
        <v>18</v>
      </c>
      <c r="H715" s="15" t="n">
        <v>961</v>
      </c>
      <c r="I715" s="15" t="n">
        <v>10</v>
      </c>
      <c r="J715" s="15" t="n">
        <v>3</v>
      </c>
      <c r="K715" s="15" t="n">
        <v>53</v>
      </c>
      <c r="L715" s="15" t="n">
        <v>68</v>
      </c>
      <c r="M715" s="15" t="n">
        <v>9</v>
      </c>
      <c r="N715" s="15" t="n">
        <v>0</v>
      </c>
      <c r="O715" s="15" t="n">
        <v>0</v>
      </c>
      <c r="P715" s="16" t="n">
        <v>0</v>
      </c>
      <c r="Q715" s="15" t="n">
        <v>0</v>
      </c>
      <c r="R715" s="15" t="n">
        <v>0</v>
      </c>
      <c r="S715" s="17" t="n">
        <v>0</v>
      </c>
      <c r="T715" s="15" t="s">
        <v>164</v>
      </c>
      <c r="U715" s="15" t="n">
        <v>2028</v>
      </c>
      <c r="V715" s="15" t="s">
        <v>2221</v>
      </c>
      <c r="W715" s="18" t="s">
        <v>139</v>
      </c>
      <c r="X715" s="18" t="s">
        <v>189</v>
      </c>
      <c r="Y715" s="15" t="s">
        <v>600</v>
      </c>
      <c r="Z715" s="15" t="s">
        <v>600</v>
      </c>
      <c r="AA715" s="19" t="str">
        <f aca="false">HYPERLINK("https://www.transfermarkt.com/schnellsuche/ergebnis/schnellsuche?query="&amp;SUBSTITUTE(A715," ","+"),"Search Transfermarkt")</f>
        <v>Search Transfermarkt</v>
      </c>
    </row>
    <row r="716" customFormat="false" ht="23.85" hidden="false" customHeight="false" outlineLevel="0" collapsed="false">
      <c r="A716" s="15" t="s">
        <v>2222</v>
      </c>
      <c r="B716" s="15" t="s">
        <v>82</v>
      </c>
      <c r="C716" s="15" t="s">
        <v>552</v>
      </c>
      <c r="D716" s="15" t="n">
        <v>3</v>
      </c>
      <c r="E716" s="15" t="s">
        <v>2223</v>
      </c>
      <c r="F716" s="15" t="s">
        <v>163</v>
      </c>
      <c r="G716" s="15" t="n">
        <v>25</v>
      </c>
      <c r="H716" s="15" t="n">
        <v>2271</v>
      </c>
      <c r="I716" s="15" t="n">
        <v>15</v>
      </c>
      <c r="J716" s="15" t="n">
        <v>6</v>
      </c>
      <c r="K716" s="15" t="n">
        <v>59</v>
      </c>
      <c r="L716" s="15" t="n">
        <v>92</v>
      </c>
      <c r="M716" s="15" t="n">
        <v>8</v>
      </c>
      <c r="N716" s="15" t="n">
        <v>0</v>
      </c>
      <c r="O716" s="15" t="n">
        <v>0</v>
      </c>
      <c r="P716" s="16" t="n">
        <v>0</v>
      </c>
      <c r="Q716" s="15" t="n">
        <v>0</v>
      </c>
      <c r="R716" s="15" t="n">
        <v>0</v>
      </c>
      <c r="S716" s="17" t="n">
        <v>137527</v>
      </c>
      <c r="T716" s="15" t="s">
        <v>186</v>
      </c>
      <c r="U716" s="15" t="n">
        <v>2026</v>
      </c>
      <c r="V716" s="15" t="s">
        <v>2224</v>
      </c>
      <c r="W716" s="18" t="s">
        <v>188</v>
      </c>
      <c r="X716" s="18" t="s">
        <v>166</v>
      </c>
      <c r="Y716" s="15" t="s">
        <v>600</v>
      </c>
      <c r="Z716" s="15" t="s">
        <v>600</v>
      </c>
      <c r="AA716" s="19" t="str">
        <f aca="false">HYPERLINK("https://www.transfermarkt.com/schnellsuche/ergebnis/schnellsuche?query="&amp;SUBSTITUTE(A716," ","+"),"Search Transfermarkt")</f>
        <v>Search Transfermarkt</v>
      </c>
    </row>
    <row r="717" customFormat="false" ht="23.85" hidden="false" customHeight="false" outlineLevel="0" collapsed="false">
      <c r="A717" s="15" t="s">
        <v>2225</v>
      </c>
      <c r="B717" s="15" t="s">
        <v>80</v>
      </c>
      <c r="C717" s="15" t="s">
        <v>1343</v>
      </c>
      <c r="D717" s="15" t="n">
        <v>2</v>
      </c>
      <c r="E717" s="15" t="s">
        <v>2226</v>
      </c>
      <c r="F717" s="15" t="s">
        <v>157</v>
      </c>
      <c r="G717" s="15" t="n">
        <v>19</v>
      </c>
      <c r="H717" s="15" t="n">
        <v>1403</v>
      </c>
      <c r="I717" s="15" t="n">
        <v>0</v>
      </c>
      <c r="J717" s="15" t="n">
        <v>0</v>
      </c>
      <c r="K717" s="15" t="n">
        <v>6</v>
      </c>
      <c r="L717" s="15" t="n">
        <v>3</v>
      </c>
      <c r="M717" s="15" t="n">
        <v>4</v>
      </c>
      <c r="N717" s="15" t="n">
        <v>70</v>
      </c>
      <c r="O717" s="15" t="n">
        <v>29</v>
      </c>
      <c r="P717" s="16" t="n">
        <v>76.5</v>
      </c>
      <c r="Q717" s="15" t="n">
        <v>7.2</v>
      </c>
      <c r="R717" s="15" t="n">
        <v>6</v>
      </c>
      <c r="S717" s="17" t="n">
        <v>125366</v>
      </c>
      <c r="T717" s="15" t="s">
        <v>164</v>
      </c>
      <c r="U717" s="15" t="n">
        <v>2027</v>
      </c>
      <c r="V717" s="15" t="s">
        <v>2227</v>
      </c>
      <c r="W717" s="18" t="s">
        <v>139</v>
      </c>
      <c r="X717" s="18" t="s">
        <v>304</v>
      </c>
      <c r="Y717" s="15" t="s">
        <v>600</v>
      </c>
      <c r="Z717" s="15" t="s">
        <v>600</v>
      </c>
      <c r="AA717" s="19" t="str">
        <f aca="false">HYPERLINK("https://www.transfermarkt.com/schnellsuche/ergebnis/schnellsuche?query="&amp;SUBSTITUTE(A717," ","+"),"Search Transfermarkt")</f>
        <v>Search Transfermarkt</v>
      </c>
    </row>
    <row r="718" customFormat="false" ht="23.85" hidden="false" customHeight="false" outlineLevel="0" collapsed="false">
      <c r="A718" s="15" t="s">
        <v>2228</v>
      </c>
      <c r="B718" s="15" t="s">
        <v>98</v>
      </c>
      <c r="C718" s="15" t="s">
        <v>2002</v>
      </c>
      <c r="D718" s="15" t="n">
        <v>3</v>
      </c>
      <c r="E718" s="15" t="s">
        <v>2229</v>
      </c>
      <c r="F718" s="15" t="s">
        <v>157</v>
      </c>
      <c r="G718" s="15" t="n">
        <v>23</v>
      </c>
      <c r="H718" s="15" t="n">
        <v>1908</v>
      </c>
      <c r="I718" s="15" t="n">
        <v>0</v>
      </c>
      <c r="J718" s="15" t="n">
        <v>0</v>
      </c>
      <c r="K718" s="15" t="n">
        <v>15</v>
      </c>
      <c r="L718" s="15" t="n">
        <v>0</v>
      </c>
      <c r="M718" s="15" t="n">
        <v>5</v>
      </c>
      <c r="N718" s="15" t="n">
        <v>75</v>
      </c>
      <c r="O718" s="15" t="n">
        <v>23</v>
      </c>
      <c r="P718" s="16" t="n">
        <v>55.9</v>
      </c>
      <c r="Q718" s="15" t="n">
        <v>30.1</v>
      </c>
      <c r="R718" s="15" t="n">
        <v>4</v>
      </c>
      <c r="S718" s="17" t="n">
        <v>21700</v>
      </c>
      <c r="T718" s="15" t="s">
        <v>137</v>
      </c>
      <c r="U718" s="15" t="n">
        <v>2029</v>
      </c>
      <c r="V718" s="15" t="s">
        <v>2230</v>
      </c>
      <c r="W718" s="18" t="s">
        <v>139</v>
      </c>
      <c r="X718" s="18" t="s">
        <v>148</v>
      </c>
      <c r="Y718" s="15" t="s">
        <v>600</v>
      </c>
      <c r="Z718" s="15" t="s">
        <v>600</v>
      </c>
      <c r="AA718" s="19" t="str">
        <f aca="false">HYPERLINK("https://www.transfermarkt.com/schnellsuche/ergebnis/schnellsuche?query="&amp;SUBSTITUTE(A718," ","+"),"Search Transfermarkt")</f>
        <v>Search Transfermarkt</v>
      </c>
    </row>
    <row r="719" customFormat="false" ht="23.85" hidden="false" customHeight="false" outlineLevel="0" collapsed="false">
      <c r="A719" s="15" t="s">
        <v>2231</v>
      </c>
      <c r="B719" s="15" t="s">
        <v>87</v>
      </c>
      <c r="C719" s="15" t="s">
        <v>338</v>
      </c>
      <c r="D719" s="15" t="n">
        <v>4</v>
      </c>
      <c r="E719" s="15" t="s">
        <v>985</v>
      </c>
      <c r="F719" s="15" t="s">
        <v>163</v>
      </c>
      <c r="G719" s="15" t="n">
        <v>23</v>
      </c>
      <c r="H719" s="15" t="n">
        <v>1390</v>
      </c>
      <c r="I719" s="15" t="n">
        <v>8</v>
      </c>
      <c r="J719" s="15" t="n">
        <v>8</v>
      </c>
      <c r="K719" s="15" t="n">
        <v>35</v>
      </c>
      <c r="L719" s="15" t="n">
        <v>93</v>
      </c>
      <c r="M719" s="15" t="n">
        <v>10</v>
      </c>
      <c r="N719" s="15" t="n">
        <v>0</v>
      </c>
      <c r="O719" s="15" t="n">
        <v>0</v>
      </c>
      <c r="P719" s="16" t="n">
        <v>0</v>
      </c>
      <c r="Q719" s="15" t="n">
        <v>0</v>
      </c>
      <c r="R719" s="15" t="n">
        <v>0</v>
      </c>
      <c r="S719" s="17" t="n">
        <v>108591</v>
      </c>
      <c r="T719" s="15" t="s">
        <v>164</v>
      </c>
      <c r="U719" s="15" t="n">
        <v>2029</v>
      </c>
      <c r="V719" s="15" t="s">
        <v>986</v>
      </c>
      <c r="W719" s="18" t="s">
        <v>139</v>
      </c>
      <c r="X719" s="18" t="s">
        <v>341</v>
      </c>
      <c r="Y719" s="15" t="s">
        <v>600</v>
      </c>
      <c r="Z719" s="15" t="s">
        <v>600</v>
      </c>
      <c r="AA719" s="19" t="str">
        <f aca="false">HYPERLINK("https://www.transfermarkt.com/schnellsuche/ergebnis/schnellsuche?query="&amp;SUBSTITUTE(A719," ","+"),"Search Transfermarkt")</f>
        <v>Search Transfermarkt</v>
      </c>
    </row>
    <row r="720" customFormat="false" ht="23.85" hidden="false" customHeight="false" outlineLevel="0" collapsed="false">
      <c r="A720" s="15" t="s">
        <v>2232</v>
      </c>
      <c r="B720" s="15" t="s">
        <v>96</v>
      </c>
      <c r="C720" s="15" t="s">
        <v>665</v>
      </c>
      <c r="D720" s="15" t="n">
        <v>3</v>
      </c>
      <c r="E720" s="15" t="s">
        <v>1865</v>
      </c>
      <c r="F720" s="15" t="s">
        <v>163</v>
      </c>
      <c r="G720" s="15" t="n">
        <v>25</v>
      </c>
      <c r="H720" s="15" t="n">
        <v>2118</v>
      </c>
      <c r="I720" s="15" t="n">
        <v>14</v>
      </c>
      <c r="J720" s="15" t="n">
        <v>7</v>
      </c>
      <c r="K720" s="15" t="n">
        <v>68</v>
      </c>
      <c r="L720" s="15" t="n">
        <v>62</v>
      </c>
      <c r="M720" s="15" t="n">
        <v>4</v>
      </c>
      <c r="N720" s="15" t="n">
        <v>0</v>
      </c>
      <c r="O720" s="15" t="n">
        <v>0</v>
      </c>
      <c r="P720" s="16" t="n">
        <v>0</v>
      </c>
      <c r="Q720" s="15" t="n">
        <v>0</v>
      </c>
      <c r="R720" s="15" t="n">
        <v>0</v>
      </c>
      <c r="S720" s="17" t="n">
        <v>143853</v>
      </c>
      <c r="T720" s="15" t="s">
        <v>164</v>
      </c>
      <c r="U720" s="15" t="n">
        <v>2029</v>
      </c>
      <c r="V720" s="15" t="s">
        <v>1866</v>
      </c>
      <c r="W720" s="18" t="s">
        <v>139</v>
      </c>
      <c r="X720" s="18" t="s">
        <v>216</v>
      </c>
      <c r="Y720" s="15" t="s">
        <v>600</v>
      </c>
      <c r="Z720" s="15" t="s">
        <v>600</v>
      </c>
      <c r="AA720" s="19" t="str">
        <f aca="false">HYPERLINK("https://www.transfermarkt.com/schnellsuche/ergebnis/schnellsuche?query="&amp;SUBSTITUTE(A720," ","+"),"Search Transfermarkt")</f>
        <v>Search Transfermarkt</v>
      </c>
    </row>
    <row r="721" customFormat="false" ht="23.85" hidden="false" customHeight="false" outlineLevel="0" collapsed="false">
      <c r="A721" s="15" t="s">
        <v>2233</v>
      </c>
      <c r="B721" s="15" t="s">
        <v>103</v>
      </c>
      <c r="C721" s="15" t="s">
        <v>2234</v>
      </c>
      <c r="D721" s="15" t="n">
        <v>3</v>
      </c>
      <c r="E721" s="15" t="s">
        <v>2235</v>
      </c>
      <c r="F721" s="15" t="s">
        <v>136</v>
      </c>
      <c r="G721" s="15" t="n">
        <v>21</v>
      </c>
      <c r="H721" s="15" t="n">
        <v>2653</v>
      </c>
      <c r="I721" s="15" t="n">
        <v>3</v>
      </c>
      <c r="J721" s="15" t="n">
        <v>4</v>
      </c>
      <c r="K721" s="15" t="n">
        <v>45</v>
      </c>
      <c r="L721" s="15" t="n">
        <v>48</v>
      </c>
      <c r="M721" s="15" t="n">
        <v>96</v>
      </c>
      <c r="N721" s="15" t="n">
        <v>0</v>
      </c>
      <c r="O721" s="15" t="n">
        <v>0</v>
      </c>
      <c r="P721" s="16" t="n">
        <v>0</v>
      </c>
      <c r="Q721" s="15" t="n">
        <v>0</v>
      </c>
      <c r="R721" s="15" t="n">
        <v>0</v>
      </c>
      <c r="S721" s="17" t="n">
        <v>0</v>
      </c>
      <c r="T721" s="15" t="s">
        <v>137</v>
      </c>
      <c r="U721" s="15" t="n">
        <v>2029</v>
      </c>
      <c r="V721" s="15" t="s">
        <v>2236</v>
      </c>
      <c r="W721" s="18" t="s">
        <v>139</v>
      </c>
      <c r="X721" s="18" t="s">
        <v>481</v>
      </c>
      <c r="Y721" s="15" t="s">
        <v>600</v>
      </c>
      <c r="Z721" s="15" t="s">
        <v>600</v>
      </c>
      <c r="AA721" s="19" t="str">
        <f aca="false">HYPERLINK("https://www.transfermarkt.com/schnellsuche/ergebnis/schnellsuche?query="&amp;SUBSTITUTE(A721," ","+"),"Search Transfermarkt")</f>
        <v>Search Transfermarkt</v>
      </c>
    </row>
    <row r="722" customFormat="false" ht="23.85" hidden="false" customHeight="false" outlineLevel="0" collapsed="false">
      <c r="A722" s="15" t="s">
        <v>2237</v>
      </c>
      <c r="B722" s="15" t="s">
        <v>62</v>
      </c>
      <c r="C722" s="15" t="s">
        <v>939</v>
      </c>
      <c r="D722" s="15" t="n">
        <v>2</v>
      </c>
      <c r="E722" s="15" t="s">
        <v>2238</v>
      </c>
      <c r="F722" s="15" t="s">
        <v>163</v>
      </c>
      <c r="G722" s="15" t="n">
        <v>23</v>
      </c>
      <c r="H722" s="15" t="n">
        <v>1689</v>
      </c>
      <c r="I722" s="15" t="n">
        <v>14</v>
      </c>
      <c r="J722" s="15" t="n">
        <v>7</v>
      </c>
      <c r="K722" s="15" t="n">
        <v>34</v>
      </c>
      <c r="L722" s="15" t="n">
        <v>75</v>
      </c>
      <c r="M722" s="15" t="n">
        <v>15</v>
      </c>
      <c r="N722" s="15" t="n">
        <v>0</v>
      </c>
      <c r="O722" s="15" t="n">
        <v>0</v>
      </c>
      <c r="P722" s="16" t="n">
        <v>0</v>
      </c>
      <c r="Q722" s="15" t="n">
        <v>0</v>
      </c>
      <c r="R722" s="15" t="n">
        <v>0</v>
      </c>
      <c r="S722" s="17" t="n">
        <v>0</v>
      </c>
      <c r="T722" s="15" t="s">
        <v>186</v>
      </c>
      <c r="U722" s="15" t="n">
        <v>2026</v>
      </c>
      <c r="V722" s="15" t="s">
        <v>2239</v>
      </c>
      <c r="W722" s="18" t="s">
        <v>188</v>
      </c>
      <c r="X722" s="18" t="s">
        <v>211</v>
      </c>
      <c r="Y722" s="15" t="s">
        <v>600</v>
      </c>
      <c r="Z722" s="15" t="s">
        <v>600</v>
      </c>
      <c r="AA722" s="19" t="str">
        <f aca="false">HYPERLINK("https://www.transfermarkt.com/schnellsuche/ergebnis/schnellsuche?query="&amp;SUBSTITUTE(A722," ","+"),"Search Transfermarkt")</f>
        <v>Search Transfermarkt</v>
      </c>
    </row>
    <row r="723" customFormat="false" ht="23.85" hidden="false" customHeight="false" outlineLevel="0" collapsed="false">
      <c r="A723" s="15" t="s">
        <v>2240</v>
      </c>
      <c r="B723" s="15" t="s">
        <v>67</v>
      </c>
      <c r="C723" s="15" t="s">
        <v>505</v>
      </c>
      <c r="D723" s="15" t="n">
        <v>3</v>
      </c>
      <c r="E723" s="15" t="s">
        <v>2241</v>
      </c>
      <c r="F723" s="15" t="s">
        <v>170</v>
      </c>
      <c r="G723" s="15" t="n">
        <v>24</v>
      </c>
      <c r="H723" s="15" t="n">
        <v>2047</v>
      </c>
      <c r="I723" s="15" t="n">
        <v>6</v>
      </c>
      <c r="J723" s="15" t="n">
        <v>11</v>
      </c>
      <c r="K723" s="15" t="n">
        <v>121</v>
      </c>
      <c r="L723" s="15" t="n">
        <v>95</v>
      </c>
      <c r="M723" s="15" t="n">
        <v>38</v>
      </c>
      <c r="N723" s="15" t="n">
        <v>0</v>
      </c>
      <c r="O723" s="15" t="n">
        <v>0</v>
      </c>
      <c r="P723" s="16" t="n">
        <v>0</v>
      </c>
      <c r="Q723" s="15" t="n">
        <v>0</v>
      </c>
      <c r="R723" s="15" t="n">
        <v>0</v>
      </c>
      <c r="S723" s="17" t="n">
        <v>0</v>
      </c>
      <c r="T723" s="15" t="s">
        <v>186</v>
      </c>
      <c r="U723" s="15" t="n">
        <v>2029</v>
      </c>
      <c r="V723" s="15" t="s">
        <v>2242</v>
      </c>
      <c r="W723" s="18" t="s">
        <v>188</v>
      </c>
      <c r="X723" s="18" t="s">
        <v>236</v>
      </c>
      <c r="Y723" s="15" t="s">
        <v>600</v>
      </c>
      <c r="Z723" s="15" t="s">
        <v>600</v>
      </c>
      <c r="AA723" s="19" t="str">
        <f aca="false">HYPERLINK("https://www.transfermarkt.com/schnellsuche/ergebnis/schnellsuche?query="&amp;SUBSTITUTE(A723," ","+"),"Search Transfermarkt")</f>
        <v>Search Transfermarkt</v>
      </c>
    </row>
    <row r="724" customFormat="false" ht="23.85" hidden="false" customHeight="false" outlineLevel="0" collapsed="false">
      <c r="A724" s="15" t="s">
        <v>2243</v>
      </c>
      <c r="B724" s="15" t="s">
        <v>64</v>
      </c>
      <c r="C724" s="15" t="s">
        <v>588</v>
      </c>
      <c r="D724" s="15" t="n">
        <v>4</v>
      </c>
      <c r="E724" s="15" t="s">
        <v>2244</v>
      </c>
      <c r="F724" s="15" t="s">
        <v>163</v>
      </c>
      <c r="G724" s="15" t="n">
        <v>21</v>
      </c>
      <c r="H724" s="15" t="n">
        <v>1067</v>
      </c>
      <c r="I724" s="15" t="n">
        <v>8</v>
      </c>
      <c r="J724" s="15" t="n">
        <v>2</v>
      </c>
      <c r="K724" s="15" t="n">
        <v>37</v>
      </c>
      <c r="L724" s="15" t="n">
        <v>91</v>
      </c>
      <c r="M724" s="15" t="n">
        <v>15</v>
      </c>
      <c r="N724" s="15" t="n">
        <v>0</v>
      </c>
      <c r="O724" s="15" t="n">
        <v>0</v>
      </c>
      <c r="P724" s="16" t="n">
        <v>0</v>
      </c>
      <c r="Q724" s="15" t="n">
        <v>0</v>
      </c>
      <c r="R724" s="15" t="n">
        <v>0</v>
      </c>
      <c r="S724" s="17" t="n">
        <v>115998</v>
      </c>
      <c r="T724" s="15" t="s">
        <v>137</v>
      </c>
      <c r="U724" s="15" t="n">
        <v>2027</v>
      </c>
      <c r="V724" s="15" t="s">
        <v>2245</v>
      </c>
      <c r="W724" s="18" t="s">
        <v>139</v>
      </c>
      <c r="X724" s="18" t="s">
        <v>231</v>
      </c>
      <c r="Y724" s="15" t="s">
        <v>600</v>
      </c>
      <c r="Z724" s="15" t="s">
        <v>600</v>
      </c>
      <c r="AA724" s="19" t="str">
        <f aca="false">HYPERLINK("https://www.transfermarkt.com/schnellsuche/ergebnis/schnellsuche?query="&amp;SUBSTITUTE(A724," ","+"),"Search Transfermarkt")</f>
        <v>Search Transfermarkt</v>
      </c>
    </row>
    <row r="725" customFormat="false" ht="23.85" hidden="false" customHeight="false" outlineLevel="0" collapsed="false">
      <c r="A725" s="15" t="s">
        <v>2246</v>
      </c>
      <c r="B725" s="15" t="s">
        <v>77</v>
      </c>
      <c r="C725" s="15" t="s">
        <v>1326</v>
      </c>
      <c r="D725" s="15" t="n">
        <v>4</v>
      </c>
      <c r="E725" s="15" t="s">
        <v>1704</v>
      </c>
      <c r="F725" s="15" t="s">
        <v>163</v>
      </c>
      <c r="G725" s="15" t="n">
        <v>22</v>
      </c>
      <c r="H725" s="15" t="n">
        <v>1634</v>
      </c>
      <c r="I725" s="15" t="n">
        <v>8</v>
      </c>
      <c r="J725" s="15" t="n">
        <v>1</v>
      </c>
      <c r="K725" s="15" t="n">
        <v>59</v>
      </c>
      <c r="L725" s="15" t="n">
        <v>61</v>
      </c>
      <c r="M725" s="15" t="n">
        <v>8</v>
      </c>
      <c r="N725" s="15" t="n">
        <v>0</v>
      </c>
      <c r="O725" s="15" t="n">
        <v>0</v>
      </c>
      <c r="P725" s="16" t="n">
        <v>0</v>
      </c>
      <c r="Q725" s="15" t="n">
        <v>0</v>
      </c>
      <c r="R725" s="15" t="n">
        <v>0</v>
      </c>
      <c r="S725" s="17" t="n">
        <v>112927</v>
      </c>
      <c r="T725" s="15" t="s">
        <v>186</v>
      </c>
      <c r="U725" s="15" t="n">
        <v>2028</v>
      </c>
      <c r="V725" s="15" t="s">
        <v>1705</v>
      </c>
      <c r="W725" s="18" t="s">
        <v>188</v>
      </c>
      <c r="X725" s="18" t="s">
        <v>358</v>
      </c>
      <c r="Y725" s="15" t="s">
        <v>600</v>
      </c>
      <c r="Z725" s="15" t="s">
        <v>600</v>
      </c>
      <c r="AA725" s="19" t="str">
        <f aca="false">HYPERLINK("https://www.transfermarkt.com/schnellsuche/ergebnis/schnellsuche?query="&amp;SUBSTITUTE(A725," ","+"),"Search Transfermarkt")</f>
        <v>Search Transfermarkt</v>
      </c>
    </row>
    <row r="726" customFormat="false" ht="23.85" hidden="false" customHeight="false" outlineLevel="0" collapsed="false">
      <c r="A726" s="15" t="s">
        <v>2247</v>
      </c>
      <c r="B726" s="15" t="s">
        <v>85</v>
      </c>
      <c r="C726" s="15" t="s">
        <v>330</v>
      </c>
      <c r="D726" s="15" t="n">
        <v>3</v>
      </c>
      <c r="E726" s="15" t="s">
        <v>2248</v>
      </c>
      <c r="F726" s="15" t="s">
        <v>136</v>
      </c>
      <c r="G726" s="15" t="n">
        <v>17</v>
      </c>
      <c r="H726" s="15" t="n">
        <v>2133</v>
      </c>
      <c r="I726" s="15" t="n">
        <v>0</v>
      </c>
      <c r="J726" s="15" t="n">
        <v>2</v>
      </c>
      <c r="K726" s="15" t="n">
        <v>70</v>
      </c>
      <c r="L726" s="15" t="n">
        <v>23</v>
      </c>
      <c r="M726" s="15" t="n">
        <v>93</v>
      </c>
      <c r="N726" s="15" t="n">
        <v>0</v>
      </c>
      <c r="O726" s="15" t="n">
        <v>0</v>
      </c>
      <c r="P726" s="16" t="n">
        <v>0</v>
      </c>
      <c r="Q726" s="15" t="n">
        <v>0</v>
      </c>
      <c r="R726" s="15" t="n">
        <v>0</v>
      </c>
      <c r="S726" s="17" t="n">
        <v>70644</v>
      </c>
      <c r="T726" s="15" t="s">
        <v>164</v>
      </c>
      <c r="U726" s="15" t="n">
        <v>2026</v>
      </c>
      <c r="V726" s="15" t="s">
        <v>2249</v>
      </c>
      <c r="W726" s="18" t="s">
        <v>147</v>
      </c>
      <c r="X726" s="18" t="s">
        <v>265</v>
      </c>
      <c r="Y726" s="15" t="s">
        <v>600</v>
      </c>
      <c r="Z726" s="15" t="s">
        <v>600</v>
      </c>
      <c r="AA726" s="19" t="str">
        <f aca="false">HYPERLINK("https://www.transfermarkt.com/schnellsuche/ergebnis/schnellsuche?query="&amp;SUBSTITUTE(A726," ","+"),"Search Transfermarkt")</f>
        <v>Search Transfermarkt</v>
      </c>
    </row>
    <row r="727" customFormat="false" ht="23.85" hidden="false" customHeight="false" outlineLevel="0" collapsed="false">
      <c r="A727" s="15" t="s">
        <v>2250</v>
      </c>
      <c r="B727" s="15" t="s">
        <v>64</v>
      </c>
      <c r="C727" s="15" t="s">
        <v>588</v>
      </c>
      <c r="D727" s="15" t="n">
        <v>3</v>
      </c>
      <c r="E727" s="15" t="s">
        <v>2251</v>
      </c>
      <c r="F727" s="15" t="s">
        <v>163</v>
      </c>
      <c r="G727" s="15" t="n">
        <v>21</v>
      </c>
      <c r="H727" s="15" t="n">
        <v>2017</v>
      </c>
      <c r="I727" s="15" t="n">
        <v>19</v>
      </c>
      <c r="J727" s="15" t="n">
        <v>3</v>
      </c>
      <c r="K727" s="15" t="n">
        <v>35</v>
      </c>
      <c r="L727" s="15" t="n">
        <v>85</v>
      </c>
      <c r="M727" s="15" t="n">
        <v>15</v>
      </c>
      <c r="N727" s="15" t="n">
        <v>0</v>
      </c>
      <c r="O727" s="15" t="n">
        <v>0</v>
      </c>
      <c r="P727" s="16" t="n">
        <v>0</v>
      </c>
      <c r="Q727" s="15" t="n">
        <v>0</v>
      </c>
      <c r="R727" s="15" t="n">
        <v>0</v>
      </c>
      <c r="S727" s="17" t="n">
        <v>106630</v>
      </c>
      <c r="T727" s="15" t="s">
        <v>137</v>
      </c>
      <c r="U727" s="15" t="n">
        <v>2028</v>
      </c>
      <c r="V727" s="15" t="s">
        <v>2252</v>
      </c>
      <c r="W727" s="18" t="s">
        <v>139</v>
      </c>
      <c r="X727" s="18" t="s">
        <v>231</v>
      </c>
      <c r="Y727" s="15" t="s">
        <v>600</v>
      </c>
      <c r="Z727" s="15" t="s">
        <v>600</v>
      </c>
      <c r="AA727" s="19" t="str">
        <f aca="false">HYPERLINK("https://www.transfermarkt.com/schnellsuche/ergebnis/schnellsuche?query="&amp;SUBSTITUTE(A727," ","+"),"Search Transfermarkt")</f>
        <v>Search Transfermarkt</v>
      </c>
    </row>
    <row r="728" customFormat="false" ht="23.85" hidden="false" customHeight="false" outlineLevel="0" collapsed="false">
      <c r="A728" s="15" t="s">
        <v>2253</v>
      </c>
      <c r="B728" s="15" t="s">
        <v>64</v>
      </c>
      <c r="C728" s="15" t="s">
        <v>385</v>
      </c>
      <c r="D728" s="15" t="n">
        <v>4</v>
      </c>
      <c r="E728" s="15" t="s">
        <v>2254</v>
      </c>
      <c r="F728" s="15" t="s">
        <v>157</v>
      </c>
      <c r="G728" s="15" t="n">
        <v>19</v>
      </c>
      <c r="H728" s="15" t="n">
        <v>1504</v>
      </c>
      <c r="I728" s="15" t="n">
        <v>0</v>
      </c>
      <c r="J728" s="15" t="n">
        <v>0</v>
      </c>
      <c r="K728" s="15" t="n">
        <v>8</v>
      </c>
      <c r="L728" s="15" t="n">
        <v>1</v>
      </c>
      <c r="M728" s="15" t="n">
        <v>6</v>
      </c>
      <c r="N728" s="15" t="n">
        <v>34</v>
      </c>
      <c r="O728" s="15" t="n">
        <v>18</v>
      </c>
      <c r="P728" s="16" t="n">
        <v>57.1</v>
      </c>
      <c r="Q728" s="15" t="n">
        <v>14.7</v>
      </c>
      <c r="R728" s="15" t="n">
        <v>3</v>
      </c>
      <c r="S728" s="17" t="n">
        <v>0</v>
      </c>
      <c r="T728" s="15" t="s">
        <v>137</v>
      </c>
      <c r="U728" s="15" t="n">
        <v>2027</v>
      </c>
      <c r="V728" s="15" t="s">
        <v>2255</v>
      </c>
      <c r="W728" s="18" t="s">
        <v>139</v>
      </c>
      <c r="X728" s="18" t="s">
        <v>231</v>
      </c>
      <c r="Y728" s="15" t="s">
        <v>600</v>
      </c>
      <c r="Z728" s="15" t="s">
        <v>600</v>
      </c>
      <c r="AA728" s="19" t="str">
        <f aca="false">HYPERLINK("https://www.transfermarkt.com/schnellsuche/ergebnis/schnellsuche?query="&amp;SUBSTITUTE(A728," ","+"),"Search Transfermarkt")</f>
        <v>Search Transfermarkt</v>
      </c>
    </row>
    <row r="729" customFormat="false" ht="23.85" hidden="false" customHeight="false" outlineLevel="0" collapsed="false">
      <c r="A729" s="15" t="s">
        <v>2256</v>
      </c>
      <c r="B729" s="15" t="s">
        <v>106</v>
      </c>
      <c r="C729" s="15" t="s">
        <v>859</v>
      </c>
      <c r="D729" s="15" t="n">
        <v>4</v>
      </c>
      <c r="E729" s="15" t="s">
        <v>1355</v>
      </c>
      <c r="F729" s="15" t="s">
        <v>163</v>
      </c>
      <c r="G729" s="15" t="n">
        <v>24</v>
      </c>
      <c r="H729" s="15" t="n">
        <v>1723</v>
      </c>
      <c r="I729" s="15" t="n">
        <v>15</v>
      </c>
      <c r="J729" s="15" t="n">
        <v>1</v>
      </c>
      <c r="K729" s="15" t="n">
        <v>67</v>
      </c>
      <c r="L729" s="15" t="n">
        <v>68</v>
      </c>
      <c r="M729" s="15" t="n">
        <v>16</v>
      </c>
      <c r="N729" s="15" t="n">
        <v>0</v>
      </c>
      <c r="O729" s="15" t="n">
        <v>0</v>
      </c>
      <c r="P729" s="16" t="n">
        <v>0</v>
      </c>
      <c r="Q729" s="15" t="n">
        <v>0</v>
      </c>
      <c r="R729" s="15" t="n">
        <v>0</v>
      </c>
      <c r="S729" s="17" t="n">
        <v>121228</v>
      </c>
      <c r="T729" s="15" t="s">
        <v>137</v>
      </c>
      <c r="U729" s="15" t="n">
        <v>2027</v>
      </c>
      <c r="V729" s="15" t="s">
        <v>1356</v>
      </c>
      <c r="W729" s="18" t="s">
        <v>139</v>
      </c>
      <c r="X729" s="18" t="s">
        <v>283</v>
      </c>
      <c r="Y729" s="15" t="s">
        <v>600</v>
      </c>
      <c r="Z729" s="15" t="s">
        <v>600</v>
      </c>
      <c r="AA729" s="19" t="str">
        <f aca="false">HYPERLINK("https://www.transfermarkt.com/schnellsuche/ergebnis/schnellsuche?query="&amp;SUBSTITUTE(A729," ","+"),"Search Transfermarkt")</f>
        <v>Search Transfermarkt</v>
      </c>
    </row>
    <row r="730" customFormat="false" ht="23.85" hidden="false" customHeight="false" outlineLevel="0" collapsed="false">
      <c r="A730" s="15" t="s">
        <v>2257</v>
      </c>
      <c r="B730" s="15" t="s">
        <v>82</v>
      </c>
      <c r="C730" s="15" t="s">
        <v>1172</v>
      </c>
      <c r="D730" s="15" t="n">
        <v>3</v>
      </c>
      <c r="E730" s="15" t="s">
        <v>1425</v>
      </c>
      <c r="F730" s="15" t="s">
        <v>170</v>
      </c>
      <c r="G730" s="15" t="n">
        <v>18</v>
      </c>
      <c r="H730" s="15" t="n">
        <v>2226</v>
      </c>
      <c r="I730" s="15" t="n">
        <v>4</v>
      </c>
      <c r="J730" s="15" t="n">
        <v>12</v>
      </c>
      <c r="K730" s="15" t="n">
        <v>144</v>
      </c>
      <c r="L730" s="15" t="n">
        <v>85</v>
      </c>
      <c r="M730" s="15" t="n">
        <v>44</v>
      </c>
      <c r="N730" s="15" t="n">
        <v>0</v>
      </c>
      <c r="O730" s="15" t="n">
        <v>0</v>
      </c>
      <c r="P730" s="16" t="n">
        <v>0</v>
      </c>
      <c r="Q730" s="15" t="n">
        <v>0</v>
      </c>
      <c r="R730" s="15" t="n">
        <v>0</v>
      </c>
      <c r="S730" s="17" t="n">
        <v>39073</v>
      </c>
      <c r="T730" s="15" t="s">
        <v>186</v>
      </c>
      <c r="U730" s="15" t="n">
        <v>2028</v>
      </c>
      <c r="V730" s="15" t="s">
        <v>1426</v>
      </c>
      <c r="W730" s="18" t="s">
        <v>188</v>
      </c>
      <c r="X730" s="18" t="s">
        <v>166</v>
      </c>
      <c r="Y730" s="15" t="s">
        <v>600</v>
      </c>
      <c r="Z730" s="15" t="s">
        <v>600</v>
      </c>
      <c r="AA730" s="19" t="str">
        <f aca="false">HYPERLINK("https://www.transfermarkt.com/schnellsuche/ergebnis/schnellsuche?query="&amp;SUBSTITUTE(A730," ","+"),"Search Transfermarkt")</f>
        <v>Search Transfermarkt</v>
      </c>
    </row>
    <row r="731" customFormat="false" ht="23.85" hidden="false" customHeight="false" outlineLevel="0" collapsed="false">
      <c r="A731" s="15" t="s">
        <v>2258</v>
      </c>
      <c r="B731" s="15" t="s">
        <v>92</v>
      </c>
      <c r="C731" s="15" t="s">
        <v>1382</v>
      </c>
      <c r="D731" s="15" t="n">
        <v>2</v>
      </c>
      <c r="E731" s="15" t="s">
        <v>2259</v>
      </c>
      <c r="F731" s="15" t="s">
        <v>157</v>
      </c>
      <c r="G731" s="15" t="n">
        <v>19</v>
      </c>
      <c r="H731" s="15" t="n">
        <v>1462</v>
      </c>
      <c r="I731" s="15" t="n">
        <v>0</v>
      </c>
      <c r="J731" s="15" t="n">
        <v>0</v>
      </c>
      <c r="K731" s="15" t="n">
        <v>11</v>
      </c>
      <c r="L731" s="15" t="n">
        <v>4</v>
      </c>
      <c r="M731" s="15" t="n">
        <v>9</v>
      </c>
      <c r="N731" s="15" t="n">
        <v>69</v>
      </c>
      <c r="O731" s="15" t="n">
        <v>19</v>
      </c>
      <c r="P731" s="16" t="n">
        <v>73.9</v>
      </c>
      <c r="Q731" s="15" t="n">
        <v>17.4</v>
      </c>
      <c r="R731" s="15" t="n">
        <v>4</v>
      </c>
      <c r="S731" s="17" t="n">
        <v>96491</v>
      </c>
      <c r="T731" s="15" t="s">
        <v>164</v>
      </c>
      <c r="U731" s="15" t="n">
        <v>2027</v>
      </c>
      <c r="V731" s="15" t="s">
        <v>2260</v>
      </c>
      <c r="W731" s="18" t="s">
        <v>139</v>
      </c>
      <c r="X731" s="18" t="s">
        <v>159</v>
      </c>
      <c r="Y731" s="15" t="s">
        <v>600</v>
      </c>
      <c r="Z731" s="15" t="s">
        <v>600</v>
      </c>
      <c r="AA731" s="19" t="str">
        <f aca="false">HYPERLINK("https://www.transfermarkt.com/schnellsuche/ergebnis/schnellsuche?query="&amp;SUBSTITUTE(A731," ","+"),"Search Transfermarkt")</f>
        <v>Search Transfermarkt</v>
      </c>
    </row>
    <row r="732" customFormat="false" ht="23.85" hidden="false" customHeight="false" outlineLevel="0" collapsed="false">
      <c r="A732" s="15" t="s">
        <v>2261</v>
      </c>
      <c r="B732" s="15" t="s">
        <v>106</v>
      </c>
      <c r="C732" s="15" t="s">
        <v>841</v>
      </c>
      <c r="D732" s="15" t="n">
        <v>2</v>
      </c>
      <c r="E732" s="15" t="s">
        <v>2262</v>
      </c>
      <c r="F732" s="15" t="s">
        <v>157</v>
      </c>
      <c r="G732" s="15" t="n">
        <v>22</v>
      </c>
      <c r="H732" s="15" t="n">
        <v>2618</v>
      </c>
      <c r="I732" s="15" t="n">
        <v>0</v>
      </c>
      <c r="J732" s="15" t="n">
        <v>0</v>
      </c>
      <c r="K732" s="15" t="n">
        <v>9</v>
      </c>
      <c r="L732" s="15" t="n">
        <v>2</v>
      </c>
      <c r="M732" s="15" t="n">
        <v>8</v>
      </c>
      <c r="N732" s="15" t="n">
        <v>111</v>
      </c>
      <c r="O732" s="15" t="n">
        <v>43</v>
      </c>
      <c r="P732" s="16" t="n">
        <v>83.1</v>
      </c>
      <c r="Q732" s="15" t="n">
        <v>30.6</v>
      </c>
      <c r="R732" s="15" t="n">
        <v>5</v>
      </c>
      <c r="S732" s="17" t="n">
        <v>0</v>
      </c>
      <c r="T732" s="15" t="s">
        <v>137</v>
      </c>
      <c r="U732" s="15" t="n">
        <v>2029</v>
      </c>
      <c r="V732" s="15" t="s">
        <v>2263</v>
      </c>
      <c r="W732" s="18" t="s">
        <v>139</v>
      </c>
      <c r="X732" s="18" t="s">
        <v>283</v>
      </c>
      <c r="Y732" s="15" t="s">
        <v>600</v>
      </c>
      <c r="Z732" s="15" t="s">
        <v>600</v>
      </c>
      <c r="AA732" s="19" t="str">
        <f aca="false">HYPERLINK("https://www.transfermarkt.com/schnellsuche/ergebnis/schnellsuche?query="&amp;SUBSTITUTE(A732," ","+"),"Search Transfermarkt")</f>
        <v>Search Transfermarkt</v>
      </c>
    </row>
    <row r="733" customFormat="false" ht="23.85" hidden="false" customHeight="false" outlineLevel="0" collapsed="false">
      <c r="A733" s="15" t="s">
        <v>2264</v>
      </c>
      <c r="B733" s="15" t="s">
        <v>67</v>
      </c>
      <c r="C733" s="15" t="s">
        <v>505</v>
      </c>
      <c r="D733" s="15" t="n">
        <v>3</v>
      </c>
      <c r="E733" s="15" t="s">
        <v>2265</v>
      </c>
      <c r="F733" s="15" t="s">
        <v>157</v>
      </c>
      <c r="G733" s="15" t="n">
        <v>21</v>
      </c>
      <c r="H733" s="15" t="n">
        <v>1353</v>
      </c>
      <c r="I733" s="15" t="n">
        <v>0</v>
      </c>
      <c r="J733" s="15" t="n">
        <v>0</v>
      </c>
      <c r="K733" s="15" t="n">
        <v>13</v>
      </c>
      <c r="L733" s="15" t="n">
        <v>4</v>
      </c>
      <c r="M733" s="15" t="n">
        <v>8</v>
      </c>
      <c r="N733" s="15" t="n">
        <v>30</v>
      </c>
      <c r="O733" s="15" t="n">
        <v>16</v>
      </c>
      <c r="P733" s="16" t="n">
        <v>59.6</v>
      </c>
      <c r="Q733" s="15" t="n">
        <v>12.7</v>
      </c>
      <c r="R733" s="15" t="n">
        <v>3</v>
      </c>
      <c r="S733" s="17" t="n">
        <v>67056</v>
      </c>
      <c r="T733" s="15" t="s">
        <v>137</v>
      </c>
      <c r="U733" s="15" t="n">
        <v>2027</v>
      </c>
      <c r="V733" s="15" t="s">
        <v>2266</v>
      </c>
      <c r="W733" s="18" t="s">
        <v>139</v>
      </c>
      <c r="X733" s="18" t="s">
        <v>236</v>
      </c>
      <c r="Y733" s="15" t="s">
        <v>600</v>
      </c>
      <c r="Z733" s="15" t="s">
        <v>600</v>
      </c>
      <c r="AA733" s="19" t="str">
        <f aca="false">HYPERLINK("https://www.transfermarkt.com/schnellsuche/ergebnis/schnellsuche?query="&amp;SUBSTITUTE(A733," ","+"),"Search Transfermarkt")</f>
        <v>Search Transfermarkt</v>
      </c>
    </row>
    <row r="734" customFormat="false" ht="23.85" hidden="false" customHeight="false" outlineLevel="0" collapsed="false">
      <c r="A734" s="15" t="s">
        <v>2267</v>
      </c>
      <c r="B734" s="15" t="s">
        <v>73</v>
      </c>
      <c r="C734" s="15" t="s">
        <v>1656</v>
      </c>
      <c r="D734" s="15" t="n">
        <v>2</v>
      </c>
      <c r="E734" s="15" t="s">
        <v>1657</v>
      </c>
      <c r="F734" s="15" t="s">
        <v>157</v>
      </c>
      <c r="G734" s="15" t="n">
        <v>26</v>
      </c>
      <c r="H734" s="15" t="n">
        <v>2256</v>
      </c>
      <c r="I734" s="15" t="n">
        <v>0</v>
      </c>
      <c r="J734" s="15" t="n">
        <v>0</v>
      </c>
      <c r="K734" s="15" t="n">
        <v>16</v>
      </c>
      <c r="L734" s="15" t="n">
        <v>4</v>
      </c>
      <c r="M734" s="15" t="n">
        <v>8</v>
      </c>
      <c r="N734" s="15" t="n">
        <v>65</v>
      </c>
      <c r="O734" s="15" t="n">
        <v>49</v>
      </c>
      <c r="P734" s="16" t="n">
        <v>90</v>
      </c>
      <c r="Q734" s="15" t="n">
        <v>31.6</v>
      </c>
      <c r="R734" s="15" t="n">
        <v>4</v>
      </c>
      <c r="S734" s="17" t="n">
        <v>69027</v>
      </c>
      <c r="T734" s="15" t="s">
        <v>137</v>
      </c>
      <c r="U734" s="15" t="n">
        <v>2029</v>
      </c>
      <c r="V734" s="15" t="s">
        <v>1658</v>
      </c>
      <c r="W734" s="18" t="s">
        <v>139</v>
      </c>
      <c r="X734" s="18" t="s">
        <v>172</v>
      </c>
      <c r="Y734" s="15" t="s">
        <v>600</v>
      </c>
      <c r="Z734" s="15" t="s">
        <v>600</v>
      </c>
      <c r="AA734" s="19" t="str">
        <f aca="false">HYPERLINK("https://www.transfermarkt.com/schnellsuche/ergebnis/schnellsuche?query="&amp;SUBSTITUTE(A734," ","+"),"Search Transfermarkt")</f>
        <v>Search Transfermarkt</v>
      </c>
    </row>
    <row r="735" customFormat="false" ht="23.85" hidden="false" customHeight="false" outlineLevel="0" collapsed="false">
      <c r="A735" s="15" t="s">
        <v>2268</v>
      </c>
      <c r="B735" s="15" t="s">
        <v>79</v>
      </c>
      <c r="C735" s="15" t="s">
        <v>1770</v>
      </c>
      <c r="D735" s="15" t="n">
        <v>2</v>
      </c>
      <c r="E735" s="15" t="s">
        <v>577</v>
      </c>
      <c r="F735" s="15" t="s">
        <v>136</v>
      </c>
      <c r="G735" s="15" t="n">
        <v>26</v>
      </c>
      <c r="H735" s="15" t="n">
        <v>2318</v>
      </c>
      <c r="I735" s="15" t="n">
        <v>2</v>
      </c>
      <c r="J735" s="15" t="n">
        <v>4</v>
      </c>
      <c r="K735" s="15" t="n">
        <v>52</v>
      </c>
      <c r="L735" s="15" t="n">
        <v>44</v>
      </c>
      <c r="M735" s="15" t="n">
        <v>105</v>
      </c>
      <c r="N735" s="15" t="n">
        <v>0</v>
      </c>
      <c r="O735" s="15" t="n">
        <v>0</v>
      </c>
      <c r="P735" s="16" t="n">
        <v>0</v>
      </c>
      <c r="Q735" s="15" t="n">
        <v>0</v>
      </c>
      <c r="R735" s="15" t="n">
        <v>0</v>
      </c>
      <c r="S735" s="17" t="n">
        <v>89027</v>
      </c>
      <c r="T735" s="15" t="s">
        <v>164</v>
      </c>
      <c r="U735" s="15" t="n">
        <v>2027</v>
      </c>
      <c r="V735" s="15" t="s">
        <v>578</v>
      </c>
      <c r="W735" s="18" t="s">
        <v>139</v>
      </c>
      <c r="X735" s="18" t="s">
        <v>412</v>
      </c>
      <c r="Y735" s="15" t="s">
        <v>600</v>
      </c>
      <c r="Z735" s="15" t="s">
        <v>600</v>
      </c>
      <c r="AA735" s="19" t="str">
        <f aca="false">HYPERLINK("https://www.transfermarkt.com/schnellsuche/ergebnis/schnellsuche?query="&amp;SUBSTITUTE(A735," ","+"),"Search Transfermarkt")</f>
        <v>Search Transfermarkt</v>
      </c>
    </row>
    <row r="736" customFormat="false" ht="23.85" hidden="false" customHeight="false" outlineLevel="0" collapsed="false">
      <c r="A736" s="15" t="s">
        <v>2269</v>
      </c>
      <c r="B736" s="15" t="s">
        <v>68</v>
      </c>
      <c r="C736" s="15" t="s">
        <v>1337</v>
      </c>
      <c r="D736" s="15" t="n">
        <v>3</v>
      </c>
      <c r="E736" s="15" t="s">
        <v>2270</v>
      </c>
      <c r="F736" s="15" t="s">
        <v>136</v>
      </c>
      <c r="G736" s="15" t="n">
        <v>20</v>
      </c>
      <c r="H736" s="15" t="n">
        <v>983</v>
      </c>
      <c r="I736" s="15" t="n">
        <v>3</v>
      </c>
      <c r="J736" s="15" t="n">
        <v>1</v>
      </c>
      <c r="K736" s="15" t="n">
        <v>46</v>
      </c>
      <c r="L736" s="15" t="n">
        <v>31</v>
      </c>
      <c r="M736" s="15" t="n">
        <v>80</v>
      </c>
      <c r="N736" s="15" t="n">
        <v>0</v>
      </c>
      <c r="O736" s="15" t="n">
        <v>0</v>
      </c>
      <c r="P736" s="16" t="n">
        <v>0</v>
      </c>
      <c r="Q736" s="15" t="n">
        <v>0</v>
      </c>
      <c r="R736" s="15" t="n">
        <v>0</v>
      </c>
      <c r="S736" s="17" t="n">
        <v>0</v>
      </c>
      <c r="T736" s="15" t="s">
        <v>164</v>
      </c>
      <c r="U736" s="15" t="n">
        <v>2026</v>
      </c>
      <c r="V736" s="15" t="s">
        <v>2271</v>
      </c>
      <c r="W736" s="18" t="s">
        <v>139</v>
      </c>
      <c r="X736" s="18" t="s">
        <v>153</v>
      </c>
      <c r="Y736" s="15" t="s">
        <v>600</v>
      </c>
      <c r="Z736" s="15" t="s">
        <v>600</v>
      </c>
      <c r="AA736" s="19" t="str">
        <f aca="false">HYPERLINK("https://www.transfermarkt.com/schnellsuche/ergebnis/schnellsuche?query="&amp;SUBSTITUTE(A736," ","+"),"Search Transfermarkt")</f>
        <v>Search Transfermarkt</v>
      </c>
    </row>
    <row r="737" customFormat="false" ht="23.85" hidden="false" customHeight="false" outlineLevel="0" collapsed="false">
      <c r="A737" s="15" t="s">
        <v>2272</v>
      </c>
      <c r="B737" s="15" t="s">
        <v>76</v>
      </c>
      <c r="C737" s="15" t="s">
        <v>1190</v>
      </c>
      <c r="D737" s="15" t="n">
        <v>4</v>
      </c>
      <c r="E737" s="15" t="s">
        <v>1516</v>
      </c>
      <c r="F737" s="15" t="s">
        <v>170</v>
      </c>
      <c r="G737" s="15" t="n">
        <v>19</v>
      </c>
      <c r="H737" s="15" t="n">
        <v>1726</v>
      </c>
      <c r="I737" s="15" t="n">
        <v>9</v>
      </c>
      <c r="J737" s="15" t="n">
        <v>11</v>
      </c>
      <c r="K737" s="15" t="n">
        <v>161</v>
      </c>
      <c r="L737" s="15" t="n">
        <v>63</v>
      </c>
      <c r="M737" s="15" t="n">
        <v>53</v>
      </c>
      <c r="N737" s="15" t="n">
        <v>0</v>
      </c>
      <c r="O737" s="15" t="n">
        <v>0</v>
      </c>
      <c r="P737" s="16" t="n">
        <v>0</v>
      </c>
      <c r="Q737" s="15" t="n">
        <v>0</v>
      </c>
      <c r="R737" s="15" t="n">
        <v>0</v>
      </c>
      <c r="S737" s="17" t="n">
        <v>101137</v>
      </c>
      <c r="T737" s="15" t="s">
        <v>137</v>
      </c>
      <c r="U737" s="15" t="n">
        <v>2029</v>
      </c>
      <c r="V737" s="15" t="s">
        <v>1517</v>
      </c>
      <c r="W737" s="18" t="s">
        <v>139</v>
      </c>
      <c r="X737" s="18" t="s">
        <v>241</v>
      </c>
      <c r="Y737" s="15" t="s">
        <v>600</v>
      </c>
      <c r="Z737" s="15" t="s">
        <v>600</v>
      </c>
      <c r="AA737" s="19" t="str">
        <f aca="false">HYPERLINK("https://www.transfermarkt.com/schnellsuche/ergebnis/schnellsuche?query="&amp;SUBSTITUTE(A737," ","+"),"Search Transfermarkt")</f>
        <v>Search Transfermarkt</v>
      </c>
    </row>
    <row r="738" customFormat="false" ht="23.85" hidden="false" customHeight="false" outlineLevel="0" collapsed="false">
      <c r="A738" s="15" t="s">
        <v>2273</v>
      </c>
      <c r="B738" s="15" t="s">
        <v>88</v>
      </c>
      <c r="C738" s="15" t="s">
        <v>563</v>
      </c>
      <c r="D738" s="15" t="n">
        <v>2</v>
      </c>
      <c r="E738" s="15" t="s">
        <v>2274</v>
      </c>
      <c r="F738" s="15" t="s">
        <v>163</v>
      </c>
      <c r="G738" s="15" t="n">
        <v>21</v>
      </c>
      <c r="H738" s="15" t="n">
        <v>1791</v>
      </c>
      <c r="I738" s="15" t="n">
        <v>7</v>
      </c>
      <c r="J738" s="15" t="n">
        <v>8</v>
      </c>
      <c r="K738" s="15" t="n">
        <v>39</v>
      </c>
      <c r="L738" s="15" t="n">
        <v>95</v>
      </c>
      <c r="M738" s="15" t="n">
        <v>9</v>
      </c>
      <c r="N738" s="15" t="n">
        <v>0</v>
      </c>
      <c r="O738" s="15" t="n">
        <v>0</v>
      </c>
      <c r="P738" s="16" t="n">
        <v>0</v>
      </c>
      <c r="Q738" s="15" t="n">
        <v>0</v>
      </c>
      <c r="R738" s="15" t="n">
        <v>0</v>
      </c>
      <c r="S738" s="17" t="n">
        <v>131479</v>
      </c>
      <c r="T738" s="15" t="s">
        <v>164</v>
      </c>
      <c r="U738" s="15" t="n">
        <v>2028</v>
      </c>
      <c r="V738" s="15" t="s">
        <v>2275</v>
      </c>
      <c r="W738" s="18" t="s">
        <v>139</v>
      </c>
      <c r="X738" s="18" t="s">
        <v>320</v>
      </c>
      <c r="Y738" s="15" t="s">
        <v>600</v>
      </c>
      <c r="Z738" s="15" t="s">
        <v>600</v>
      </c>
      <c r="AA738" s="19" t="str">
        <f aca="false">HYPERLINK("https://www.transfermarkt.com/schnellsuche/ergebnis/schnellsuche?query="&amp;SUBSTITUTE(A738," ","+"),"Search Transfermarkt")</f>
        <v>Search Transfermarkt</v>
      </c>
    </row>
    <row r="739" customFormat="false" ht="23.85" hidden="false" customHeight="false" outlineLevel="0" collapsed="false">
      <c r="A739" s="15" t="s">
        <v>2276</v>
      </c>
      <c r="B739" s="15" t="s">
        <v>80</v>
      </c>
      <c r="C739" s="15" t="s">
        <v>1095</v>
      </c>
      <c r="D739" s="15" t="n">
        <v>4</v>
      </c>
      <c r="E739" s="15" t="s">
        <v>2277</v>
      </c>
      <c r="F739" s="15" t="s">
        <v>170</v>
      </c>
      <c r="G739" s="15" t="n">
        <v>22</v>
      </c>
      <c r="H739" s="15" t="n">
        <v>2618</v>
      </c>
      <c r="I739" s="15" t="n">
        <v>7</v>
      </c>
      <c r="J739" s="15" t="n">
        <v>5</v>
      </c>
      <c r="K739" s="15" t="n">
        <v>134</v>
      </c>
      <c r="L739" s="15" t="n">
        <v>90</v>
      </c>
      <c r="M739" s="15" t="n">
        <v>28</v>
      </c>
      <c r="N739" s="15" t="n">
        <v>0</v>
      </c>
      <c r="O739" s="15" t="n">
        <v>0</v>
      </c>
      <c r="P739" s="16" t="n">
        <v>0</v>
      </c>
      <c r="Q739" s="15" t="n">
        <v>0</v>
      </c>
      <c r="R739" s="15" t="n">
        <v>0</v>
      </c>
      <c r="S739" s="17" t="n">
        <v>142135</v>
      </c>
      <c r="T739" s="15" t="s">
        <v>186</v>
      </c>
      <c r="U739" s="15" t="n">
        <v>2027</v>
      </c>
      <c r="V739" s="15" t="s">
        <v>2278</v>
      </c>
      <c r="W739" s="18" t="s">
        <v>188</v>
      </c>
      <c r="X739" s="18" t="s">
        <v>304</v>
      </c>
      <c r="Y739" s="15" t="s">
        <v>600</v>
      </c>
      <c r="Z739" s="15" t="s">
        <v>600</v>
      </c>
      <c r="AA739" s="19" t="str">
        <f aca="false">HYPERLINK("https://www.transfermarkt.com/schnellsuche/ergebnis/schnellsuche?query="&amp;SUBSTITUTE(A739," ","+"),"Search Transfermarkt")</f>
        <v>Search Transfermarkt</v>
      </c>
    </row>
    <row r="740" customFormat="false" ht="23.85" hidden="false" customHeight="false" outlineLevel="0" collapsed="false">
      <c r="A740" s="15" t="s">
        <v>2279</v>
      </c>
      <c r="B740" s="15" t="s">
        <v>87</v>
      </c>
      <c r="C740" s="15" t="s">
        <v>338</v>
      </c>
      <c r="D740" s="15" t="n">
        <v>3</v>
      </c>
      <c r="E740" s="15" t="s">
        <v>2280</v>
      </c>
      <c r="F740" s="15" t="s">
        <v>157</v>
      </c>
      <c r="G740" s="15" t="n">
        <v>20</v>
      </c>
      <c r="H740" s="15" t="n">
        <v>1889</v>
      </c>
      <c r="I740" s="15" t="n">
        <v>0</v>
      </c>
      <c r="J740" s="15" t="n">
        <v>0</v>
      </c>
      <c r="K740" s="15" t="n">
        <v>16</v>
      </c>
      <c r="L740" s="15" t="n">
        <v>6</v>
      </c>
      <c r="M740" s="15" t="n">
        <v>3</v>
      </c>
      <c r="N740" s="15" t="n">
        <v>94</v>
      </c>
      <c r="O740" s="15" t="n">
        <v>42</v>
      </c>
      <c r="P740" s="16" t="n">
        <v>83.1</v>
      </c>
      <c r="Q740" s="15" t="n">
        <v>15.8</v>
      </c>
      <c r="R740" s="15" t="n">
        <v>5</v>
      </c>
      <c r="S740" s="17" t="n">
        <v>91483</v>
      </c>
      <c r="T740" s="15" t="s">
        <v>186</v>
      </c>
      <c r="U740" s="15" t="n">
        <v>2026</v>
      </c>
      <c r="V740" s="15" t="s">
        <v>2281</v>
      </c>
      <c r="W740" s="18" t="s">
        <v>188</v>
      </c>
      <c r="X740" s="18" t="s">
        <v>341</v>
      </c>
      <c r="Y740" s="15" t="s">
        <v>600</v>
      </c>
      <c r="Z740" s="15" t="s">
        <v>600</v>
      </c>
      <c r="AA740" s="19" t="str">
        <f aca="false">HYPERLINK("https://www.transfermarkt.com/schnellsuche/ergebnis/schnellsuche?query="&amp;SUBSTITUTE(A740," ","+"),"Search Transfermarkt")</f>
        <v>Search Transfermarkt</v>
      </c>
    </row>
    <row r="741" customFormat="false" ht="23.85" hidden="false" customHeight="false" outlineLevel="0" collapsed="false">
      <c r="A741" s="15" t="s">
        <v>2282</v>
      </c>
      <c r="B741" s="15" t="s">
        <v>64</v>
      </c>
      <c r="C741" s="15" t="s">
        <v>1620</v>
      </c>
      <c r="D741" s="15" t="n">
        <v>2</v>
      </c>
      <c r="E741" s="15" t="s">
        <v>1804</v>
      </c>
      <c r="F741" s="15" t="s">
        <v>163</v>
      </c>
      <c r="G741" s="15" t="n">
        <v>26</v>
      </c>
      <c r="H741" s="15" t="n">
        <v>2648</v>
      </c>
      <c r="I741" s="15" t="n">
        <v>11</v>
      </c>
      <c r="J741" s="15" t="n">
        <v>3</v>
      </c>
      <c r="K741" s="15" t="n">
        <v>56</v>
      </c>
      <c r="L741" s="15" t="n">
        <v>89</v>
      </c>
      <c r="M741" s="15" t="n">
        <v>10</v>
      </c>
      <c r="N741" s="15" t="n">
        <v>0</v>
      </c>
      <c r="O741" s="15" t="n">
        <v>0</v>
      </c>
      <c r="P741" s="16" t="n">
        <v>0</v>
      </c>
      <c r="Q741" s="15" t="n">
        <v>0</v>
      </c>
      <c r="R741" s="15" t="n">
        <v>0</v>
      </c>
      <c r="S741" s="17" t="n">
        <v>99340</v>
      </c>
      <c r="T741" s="15" t="s">
        <v>164</v>
      </c>
      <c r="U741" s="15" t="n">
        <v>2027</v>
      </c>
      <c r="V741" s="15" t="s">
        <v>1805</v>
      </c>
      <c r="W741" s="18" t="s">
        <v>139</v>
      </c>
      <c r="X741" s="18" t="s">
        <v>231</v>
      </c>
      <c r="Y741" s="15" t="s">
        <v>600</v>
      </c>
      <c r="Z741" s="15" t="s">
        <v>600</v>
      </c>
      <c r="AA741" s="19" t="str">
        <f aca="false">HYPERLINK("https://www.transfermarkt.com/schnellsuche/ergebnis/schnellsuche?query="&amp;SUBSTITUTE(A741," ","+"),"Search Transfermarkt")</f>
        <v>Search Transfermarkt</v>
      </c>
    </row>
    <row r="742" customFormat="false" ht="23.85" hidden="false" customHeight="false" outlineLevel="0" collapsed="false">
      <c r="A742" s="15" t="s">
        <v>2283</v>
      </c>
      <c r="B742" s="15" t="s">
        <v>94</v>
      </c>
      <c r="C742" s="15" t="s">
        <v>1689</v>
      </c>
      <c r="D742" s="15" t="n">
        <v>3</v>
      </c>
      <c r="E742" s="15" t="s">
        <v>335</v>
      </c>
      <c r="F742" s="15" t="s">
        <v>136</v>
      </c>
      <c r="G742" s="15" t="n">
        <v>17</v>
      </c>
      <c r="H742" s="15" t="n">
        <v>1668</v>
      </c>
      <c r="I742" s="15" t="n">
        <v>3</v>
      </c>
      <c r="J742" s="15" t="n">
        <v>0</v>
      </c>
      <c r="K742" s="15" t="n">
        <v>64</v>
      </c>
      <c r="L742" s="15" t="n">
        <v>43</v>
      </c>
      <c r="M742" s="15" t="n">
        <v>96</v>
      </c>
      <c r="N742" s="15" t="n">
        <v>0</v>
      </c>
      <c r="O742" s="15" t="n">
        <v>0</v>
      </c>
      <c r="P742" s="16" t="n">
        <v>0</v>
      </c>
      <c r="Q742" s="15" t="n">
        <v>0</v>
      </c>
      <c r="R742" s="15" t="n">
        <v>0</v>
      </c>
      <c r="S742" s="17" t="n">
        <v>96695</v>
      </c>
      <c r="T742" s="15" t="s">
        <v>137</v>
      </c>
      <c r="U742" s="15" t="n">
        <v>2028</v>
      </c>
      <c r="V742" s="15" t="s">
        <v>336</v>
      </c>
      <c r="W742" s="18" t="s">
        <v>147</v>
      </c>
      <c r="X742" s="18" t="s">
        <v>226</v>
      </c>
      <c r="Y742" s="15" t="s">
        <v>600</v>
      </c>
      <c r="Z742" s="15" t="s">
        <v>600</v>
      </c>
      <c r="AA742" s="19" t="str">
        <f aca="false">HYPERLINK("https://www.transfermarkt.com/schnellsuche/ergebnis/schnellsuche?query="&amp;SUBSTITUTE(A742," ","+"),"Search Transfermarkt")</f>
        <v>Search Transfermarkt</v>
      </c>
    </row>
    <row r="743" customFormat="false" ht="23.85" hidden="false" customHeight="false" outlineLevel="0" collapsed="false">
      <c r="A743" s="15" t="s">
        <v>2284</v>
      </c>
      <c r="B743" s="15" t="s">
        <v>77</v>
      </c>
      <c r="C743" s="15" t="s">
        <v>1100</v>
      </c>
      <c r="D743" s="15" t="n">
        <v>4</v>
      </c>
      <c r="E743" s="15" t="s">
        <v>2285</v>
      </c>
      <c r="F743" s="15" t="s">
        <v>163</v>
      </c>
      <c r="G743" s="15" t="n">
        <v>20</v>
      </c>
      <c r="H743" s="15" t="n">
        <v>1154</v>
      </c>
      <c r="I743" s="15" t="n">
        <v>11</v>
      </c>
      <c r="J743" s="15" t="n">
        <v>2</v>
      </c>
      <c r="K743" s="15" t="n">
        <v>66</v>
      </c>
      <c r="L743" s="15" t="n">
        <v>75</v>
      </c>
      <c r="M743" s="15" t="n">
        <v>11</v>
      </c>
      <c r="N743" s="15" t="n">
        <v>0</v>
      </c>
      <c r="O743" s="15" t="n">
        <v>0</v>
      </c>
      <c r="P743" s="16" t="n">
        <v>0</v>
      </c>
      <c r="Q743" s="15" t="n">
        <v>0</v>
      </c>
      <c r="R743" s="15" t="n">
        <v>0</v>
      </c>
      <c r="S743" s="17" t="n">
        <v>83927</v>
      </c>
      <c r="T743" s="15" t="s">
        <v>186</v>
      </c>
      <c r="U743" s="15" t="n">
        <v>2026</v>
      </c>
      <c r="V743" s="15" t="s">
        <v>2286</v>
      </c>
      <c r="W743" s="18" t="s">
        <v>188</v>
      </c>
      <c r="X743" s="18" t="s">
        <v>358</v>
      </c>
      <c r="Y743" s="15" t="s">
        <v>600</v>
      </c>
      <c r="Z743" s="15" t="s">
        <v>600</v>
      </c>
      <c r="AA743" s="19" t="str">
        <f aca="false">HYPERLINK("https://www.transfermarkt.com/schnellsuche/ergebnis/schnellsuche?query="&amp;SUBSTITUTE(A743," ","+"),"Search Transfermarkt")</f>
        <v>Search Transfermarkt</v>
      </c>
    </row>
    <row r="744" customFormat="false" ht="23.85" hidden="false" customHeight="false" outlineLevel="0" collapsed="false">
      <c r="A744" s="15" t="s">
        <v>2287</v>
      </c>
      <c r="B744" s="15" t="s">
        <v>87</v>
      </c>
      <c r="C744" s="15" t="s">
        <v>947</v>
      </c>
      <c r="D744" s="15" t="n">
        <v>2</v>
      </c>
      <c r="E744" s="15" t="s">
        <v>1011</v>
      </c>
      <c r="F744" s="15" t="s">
        <v>157</v>
      </c>
      <c r="G744" s="15" t="n">
        <v>20</v>
      </c>
      <c r="H744" s="15" t="n">
        <v>2111</v>
      </c>
      <c r="I744" s="15" t="n">
        <v>0</v>
      </c>
      <c r="J744" s="15" t="n">
        <v>0</v>
      </c>
      <c r="K744" s="15" t="n">
        <v>19</v>
      </c>
      <c r="L744" s="15" t="n">
        <v>4</v>
      </c>
      <c r="M744" s="15" t="n">
        <v>6</v>
      </c>
      <c r="N744" s="15" t="n">
        <v>103</v>
      </c>
      <c r="O744" s="15" t="n">
        <v>52</v>
      </c>
      <c r="P744" s="16" t="n">
        <v>62.8</v>
      </c>
      <c r="Q744" s="15" t="n">
        <v>16.9</v>
      </c>
      <c r="R744" s="15" t="n">
        <v>9</v>
      </c>
      <c r="S744" s="17" t="n">
        <v>149641</v>
      </c>
      <c r="T744" s="15" t="s">
        <v>164</v>
      </c>
      <c r="U744" s="15" t="n">
        <v>2026</v>
      </c>
      <c r="V744" s="15" t="s">
        <v>1012</v>
      </c>
      <c r="W744" s="18" t="s">
        <v>139</v>
      </c>
      <c r="X744" s="18" t="s">
        <v>341</v>
      </c>
      <c r="Y744" s="15" t="s">
        <v>600</v>
      </c>
      <c r="Z744" s="15" t="s">
        <v>600</v>
      </c>
      <c r="AA744" s="19" t="str">
        <f aca="false">HYPERLINK("https://www.transfermarkt.com/schnellsuche/ergebnis/schnellsuche?query="&amp;SUBSTITUTE(A744," ","+"),"Search Transfermarkt")</f>
        <v>Search Transfermarkt</v>
      </c>
    </row>
    <row r="745" customFormat="false" ht="23.85" hidden="false" customHeight="false" outlineLevel="0" collapsed="false">
      <c r="A745" s="15" t="s">
        <v>2288</v>
      </c>
      <c r="B745" s="15" t="s">
        <v>75</v>
      </c>
      <c r="C745" s="15" t="s">
        <v>1180</v>
      </c>
      <c r="D745" s="15" t="n">
        <v>3</v>
      </c>
      <c r="E745" s="15" t="s">
        <v>2289</v>
      </c>
      <c r="F745" s="15" t="s">
        <v>157</v>
      </c>
      <c r="G745" s="15" t="n">
        <v>23</v>
      </c>
      <c r="H745" s="15" t="n">
        <v>1318</v>
      </c>
      <c r="I745" s="15" t="n">
        <v>0</v>
      </c>
      <c r="J745" s="15" t="n">
        <v>0</v>
      </c>
      <c r="K745" s="15" t="n">
        <v>8</v>
      </c>
      <c r="L745" s="15" t="n">
        <v>0</v>
      </c>
      <c r="M745" s="15" t="n">
        <v>4</v>
      </c>
      <c r="N745" s="15" t="n">
        <v>41</v>
      </c>
      <c r="O745" s="15" t="n">
        <v>19</v>
      </c>
      <c r="P745" s="16" t="n">
        <v>62.7</v>
      </c>
      <c r="Q745" s="15" t="n">
        <v>4.7</v>
      </c>
      <c r="R745" s="15" t="n">
        <v>6</v>
      </c>
      <c r="S745" s="17" t="n">
        <v>64855</v>
      </c>
      <c r="T745" s="15" t="s">
        <v>137</v>
      </c>
      <c r="U745" s="15" t="n">
        <v>2029</v>
      </c>
      <c r="V745" s="15" t="s">
        <v>2290</v>
      </c>
      <c r="W745" s="18" t="s">
        <v>139</v>
      </c>
      <c r="X745" s="18" t="s">
        <v>197</v>
      </c>
      <c r="Y745" s="15" t="s">
        <v>600</v>
      </c>
      <c r="Z745" s="15" t="s">
        <v>600</v>
      </c>
      <c r="AA745" s="19" t="str">
        <f aca="false">HYPERLINK("https://www.transfermarkt.com/schnellsuche/ergebnis/schnellsuche?query="&amp;SUBSTITUTE(A745," ","+"),"Search Transfermarkt")</f>
        <v>Search Transfermarkt</v>
      </c>
    </row>
    <row r="746" customFormat="false" ht="23.85" hidden="false" customHeight="false" outlineLevel="0" collapsed="false">
      <c r="A746" s="15" t="s">
        <v>2291</v>
      </c>
      <c r="B746" s="15" t="s">
        <v>94</v>
      </c>
      <c r="C746" s="15" t="s">
        <v>1259</v>
      </c>
      <c r="D746" s="15" t="n">
        <v>2</v>
      </c>
      <c r="E746" s="15" t="s">
        <v>1549</v>
      </c>
      <c r="F746" s="15" t="s">
        <v>170</v>
      </c>
      <c r="G746" s="15" t="n">
        <v>24</v>
      </c>
      <c r="H746" s="15" t="n">
        <v>1910</v>
      </c>
      <c r="I746" s="15" t="n">
        <v>3</v>
      </c>
      <c r="J746" s="15" t="n">
        <v>14</v>
      </c>
      <c r="K746" s="15" t="n">
        <v>166</v>
      </c>
      <c r="L746" s="15" t="n">
        <v>68</v>
      </c>
      <c r="M746" s="15" t="n">
        <v>54</v>
      </c>
      <c r="N746" s="15" t="n">
        <v>0</v>
      </c>
      <c r="O746" s="15" t="n">
        <v>0</v>
      </c>
      <c r="P746" s="16" t="n">
        <v>0</v>
      </c>
      <c r="Q746" s="15" t="n">
        <v>0</v>
      </c>
      <c r="R746" s="15" t="n">
        <v>0</v>
      </c>
      <c r="S746" s="17" t="n">
        <v>0</v>
      </c>
      <c r="T746" s="15" t="s">
        <v>137</v>
      </c>
      <c r="U746" s="15" t="n">
        <v>2029</v>
      </c>
      <c r="V746" s="15" t="s">
        <v>1550</v>
      </c>
      <c r="W746" s="18" t="s">
        <v>139</v>
      </c>
      <c r="X746" s="18" t="s">
        <v>226</v>
      </c>
      <c r="Y746" s="15" t="s">
        <v>600</v>
      </c>
      <c r="Z746" s="15" t="s">
        <v>600</v>
      </c>
      <c r="AA746" s="19" t="str">
        <f aca="false">HYPERLINK("https://www.transfermarkt.com/schnellsuche/ergebnis/schnellsuche?query="&amp;SUBSTITUTE(A746," ","+"),"Search Transfermarkt")</f>
        <v>Search Transfermarkt</v>
      </c>
    </row>
    <row r="747" customFormat="false" ht="23.85" hidden="false" customHeight="false" outlineLevel="0" collapsed="false">
      <c r="A747" s="15" t="s">
        <v>2292</v>
      </c>
      <c r="B747" s="15" t="s">
        <v>80</v>
      </c>
      <c r="C747" s="15" t="s">
        <v>1777</v>
      </c>
      <c r="D747" s="15" t="n">
        <v>4</v>
      </c>
      <c r="E747" s="15" t="s">
        <v>2293</v>
      </c>
      <c r="F747" s="15" t="s">
        <v>163</v>
      </c>
      <c r="G747" s="15" t="n">
        <v>22</v>
      </c>
      <c r="H747" s="15" t="n">
        <v>2642</v>
      </c>
      <c r="I747" s="15" t="n">
        <v>12</v>
      </c>
      <c r="J747" s="15" t="n">
        <v>7</v>
      </c>
      <c r="K747" s="15" t="n">
        <v>65</v>
      </c>
      <c r="L747" s="15" t="n">
        <v>94</v>
      </c>
      <c r="M747" s="15" t="n">
        <v>15</v>
      </c>
      <c r="N747" s="15" t="n">
        <v>0</v>
      </c>
      <c r="O747" s="15" t="n">
        <v>0</v>
      </c>
      <c r="P747" s="16" t="n">
        <v>0</v>
      </c>
      <c r="Q747" s="15" t="n">
        <v>0</v>
      </c>
      <c r="R747" s="15" t="n">
        <v>0</v>
      </c>
      <c r="S747" s="17" t="n">
        <v>0</v>
      </c>
      <c r="T747" s="15" t="s">
        <v>186</v>
      </c>
      <c r="U747" s="15" t="n">
        <v>2029</v>
      </c>
      <c r="V747" s="15" t="s">
        <v>2294</v>
      </c>
      <c r="W747" s="18" t="s">
        <v>188</v>
      </c>
      <c r="X747" s="18" t="s">
        <v>304</v>
      </c>
      <c r="Y747" s="15" t="s">
        <v>600</v>
      </c>
      <c r="Z747" s="15" t="s">
        <v>600</v>
      </c>
      <c r="AA747" s="19" t="str">
        <f aca="false">HYPERLINK("https://www.transfermarkt.com/schnellsuche/ergebnis/schnellsuche?query="&amp;SUBSTITUTE(A747," ","+"),"Search Transfermarkt")</f>
        <v>Search Transfermarkt</v>
      </c>
    </row>
    <row r="748" customFormat="false" ht="23.85" hidden="false" customHeight="false" outlineLevel="0" collapsed="false">
      <c r="A748" s="15" t="s">
        <v>2295</v>
      </c>
      <c r="B748" s="15" t="s">
        <v>73</v>
      </c>
      <c r="C748" s="15" t="s">
        <v>1991</v>
      </c>
      <c r="D748" s="15" t="n">
        <v>2</v>
      </c>
      <c r="E748" s="15" t="s">
        <v>2296</v>
      </c>
      <c r="F748" s="15" t="s">
        <v>157</v>
      </c>
      <c r="G748" s="15" t="n">
        <v>23</v>
      </c>
      <c r="H748" s="15" t="n">
        <v>2549</v>
      </c>
      <c r="I748" s="15" t="n">
        <v>0</v>
      </c>
      <c r="J748" s="15" t="n">
        <v>0</v>
      </c>
      <c r="K748" s="15" t="n">
        <v>14</v>
      </c>
      <c r="L748" s="15" t="n">
        <v>0</v>
      </c>
      <c r="M748" s="15" t="n">
        <v>5</v>
      </c>
      <c r="N748" s="15" t="n">
        <v>63</v>
      </c>
      <c r="O748" s="15" t="n">
        <v>52</v>
      </c>
      <c r="P748" s="16" t="n">
        <v>81.2</v>
      </c>
      <c r="Q748" s="15" t="n">
        <v>15.4</v>
      </c>
      <c r="R748" s="15" t="n">
        <v>6</v>
      </c>
      <c r="S748" s="17" t="n">
        <v>31163</v>
      </c>
      <c r="T748" s="15" t="s">
        <v>164</v>
      </c>
      <c r="U748" s="15" t="n">
        <v>2026</v>
      </c>
      <c r="V748" s="15" t="s">
        <v>2297</v>
      </c>
      <c r="W748" s="18" t="s">
        <v>139</v>
      </c>
      <c r="X748" s="18" t="s">
        <v>172</v>
      </c>
      <c r="Y748" s="15" t="s">
        <v>600</v>
      </c>
      <c r="Z748" s="15" t="s">
        <v>600</v>
      </c>
      <c r="AA748" s="19" t="str">
        <f aca="false">HYPERLINK("https://www.transfermarkt.com/schnellsuche/ergebnis/schnellsuche?query="&amp;SUBSTITUTE(A748," ","+"),"Search Transfermarkt")</f>
        <v>Search Transfermarkt</v>
      </c>
    </row>
    <row r="749" customFormat="false" ht="23.85" hidden="false" customHeight="false" outlineLevel="0" collapsed="false">
      <c r="A749" s="15" t="s">
        <v>2298</v>
      </c>
      <c r="B749" s="15" t="s">
        <v>96</v>
      </c>
      <c r="C749" s="15" t="s">
        <v>1366</v>
      </c>
      <c r="D749" s="15" t="n">
        <v>3</v>
      </c>
      <c r="E749" s="15" t="s">
        <v>2299</v>
      </c>
      <c r="F749" s="15" t="s">
        <v>157</v>
      </c>
      <c r="G749" s="15" t="n">
        <v>22</v>
      </c>
      <c r="H749" s="15" t="n">
        <v>2075</v>
      </c>
      <c r="I749" s="15" t="n">
        <v>0</v>
      </c>
      <c r="J749" s="15" t="n">
        <v>0</v>
      </c>
      <c r="K749" s="15" t="n">
        <v>13</v>
      </c>
      <c r="L749" s="15" t="n">
        <v>6</v>
      </c>
      <c r="M749" s="15" t="n">
        <v>10</v>
      </c>
      <c r="N749" s="15" t="n">
        <v>80</v>
      </c>
      <c r="O749" s="15" t="n">
        <v>32</v>
      </c>
      <c r="P749" s="16" t="n">
        <v>71.6</v>
      </c>
      <c r="Q749" s="15" t="n">
        <v>4.9</v>
      </c>
      <c r="R749" s="15" t="n">
        <v>4</v>
      </c>
      <c r="S749" s="17" t="n">
        <v>95441</v>
      </c>
      <c r="T749" s="15" t="s">
        <v>137</v>
      </c>
      <c r="U749" s="15" t="n">
        <v>2027</v>
      </c>
      <c r="V749" s="15" t="s">
        <v>2300</v>
      </c>
      <c r="W749" s="18" t="s">
        <v>139</v>
      </c>
      <c r="X749" s="18" t="s">
        <v>216</v>
      </c>
      <c r="Y749" s="15" t="s">
        <v>600</v>
      </c>
      <c r="Z749" s="15" t="s">
        <v>600</v>
      </c>
      <c r="AA749" s="19" t="str">
        <f aca="false">HYPERLINK("https://www.transfermarkt.com/schnellsuche/ergebnis/schnellsuche?query="&amp;SUBSTITUTE(A749," ","+"),"Search Transfermarkt")</f>
        <v>Search Transfermarkt</v>
      </c>
    </row>
    <row r="750" customFormat="false" ht="23.85" hidden="false" customHeight="false" outlineLevel="0" collapsed="false">
      <c r="A750" s="15" t="s">
        <v>2301</v>
      </c>
      <c r="B750" s="15" t="s">
        <v>71</v>
      </c>
      <c r="C750" s="15" t="s">
        <v>1725</v>
      </c>
      <c r="D750" s="15" t="n">
        <v>4</v>
      </c>
      <c r="E750" s="15" t="s">
        <v>361</v>
      </c>
      <c r="F750" s="15" t="s">
        <v>170</v>
      </c>
      <c r="G750" s="15" t="n">
        <v>21</v>
      </c>
      <c r="H750" s="15" t="n">
        <v>1216</v>
      </c>
      <c r="I750" s="15" t="n">
        <v>7</v>
      </c>
      <c r="J750" s="15" t="n">
        <v>4</v>
      </c>
      <c r="K750" s="15" t="n">
        <v>152</v>
      </c>
      <c r="L750" s="15" t="n">
        <v>64</v>
      </c>
      <c r="M750" s="15" t="n">
        <v>54</v>
      </c>
      <c r="N750" s="15" t="n">
        <v>0</v>
      </c>
      <c r="O750" s="15" t="n">
        <v>0</v>
      </c>
      <c r="P750" s="16" t="n">
        <v>0</v>
      </c>
      <c r="Q750" s="15" t="n">
        <v>0</v>
      </c>
      <c r="R750" s="15" t="n">
        <v>0</v>
      </c>
      <c r="S750" s="17" t="n">
        <v>85314</v>
      </c>
      <c r="T750" s="15" t="s">
        <v>137</v>
      </c>
      <c r="U750" s="15" t="n">
        <v>2029</v>
      </c>
      <c r="V750" s="15" t="s">
        <v>362</v>
      </c>
      <c r="W750" s="18" t="s">
        <v>139</v>
      </c>
      <c r="X750" s="18" t="s">
        <v>177</v>
      </c>
      <c r="Y750" s="15" t="s">
        <v>600</v>
      </c>
      <c r="Z750" s="15" t="s">
        <v>600</v>
      </c>
      <c r="AA750" s="19" t="str">
        <f aca="false">HYPERLINK("https://www.transfermarkt.com/schnellsuche/ergebnis/schnellsuche?query="&amp;SUBSTITUTE(A750," ","+"),"Search Transfermarkt")</f>
        <v>Search Transfermarkt</v>
      </c>
    </row>
    <row r="751" customFormat="false" ht="23.85" hidden="false" customHeight="false" outlineLevel="0" collapsed="false">
      <c r="A751" s="15" t="s">
        <v>2302</v>
      </c>
      <c r="B751" s="15" t="s">
        <v>85</v>
      </c>
      <c r="C751" s="15" t="s">
        <v>2124</v>
      </c>
      <c r="D751" s="15" t="n">
        <v>2</v>
      </c>
      <c r="E751" s="15" t="s">
        <v>2303</v>
      </c>
      <c r="F751" s="15" t="s">
        <v>163</v>
      </c>
      <c r="G751" s="15" t="n">
        <v>22</v>
      </c>
      <c r="H751" s="15" t="n">
        <v>977</v>
      </c>
      <c r="I751" s="15" t="n">
        <v>8</v>
      </c>
      <c r="J751" s="15" t="n">
        <v>3</v>
      </c>
      <c r="K751" s="15" t="n">
        <v>61</v>
      </c>
      <c r="L751" s="15" t="n">
        <v>98</v>
      </c>
      <c r="M751" s="15" t="n">
        <v>5</v>
      </c>
      <c r="N751" s="15" t="n">
        <v>0</v>
      </c>
      <c r="O751" s="15" t="n">
        <v>0</v>
      </c>
      <c r="P751" s="16" t="n">
        <v>0</v>
      </c>
      <c r="Q751" s="15" t="n">
        <v>0</v>
      </c>
      <c r="R751" s="15" t="n">
        <v>0</v>
      </c>
      <c r="S751" s="17" t="n">
        <v>0</v>
      </c>
      <c r="T751" s="15" t="s">
        <v>137</v>
      </c>
      <c r="U751" s="15" t="n">
        <v>2029</v>
      </c>
      <c r="V751" s="15" t="s">
        <v>2304</v>
      </c>
      <c r="W751" s="18" t="s">
        <v>139</v>
      </c>
      <c r="X751" s="18" t="s">
        <v>265</v>
      </c>
      <c r="Y751" s="15" t="s">
        <v>600</v>
      </c>
      <c r="Z751" s="15" t="s">
        <v>600</v>
      </c>
      <c r="AA751" s="19" t="str">
        <f aca="false">HYPERLINK("https://www.transfermarkt.com/schnellsuche/ergebnis/schnellsuche?query="&amp;SUBSTITUTE(A751," ","+"),"Search Transfermarkt")</f>
        <v>Search Transfermarkt</v>
      </c>
    </row>
    <row r="752" customFormat="false" ht="23.85" hidden="false" customHeight="false" outlineLevel="0" collapsed="false">
      <c r="A752" s="15" t="s">
        <v>2305</v>
      </c>
      <c r="B752" s="15" t="s">
        <v>89</v>
      </c>
      <c r="C752" s="15" t="s">
        <v>1523</v>
      </c>
      <c r="D752" s="15" t="n">
        <v>4</v>
      </c>
      <c r="E752" s="15" t="s">
        <v>549</v>
      </c>
      <c r="F752" s="15" t="s">
        <v>136</v>
      </c>
      <c r="G752" s="15" t="n">
        <v>19</v>
      </c>
      <c r="H752" s="15" t="n">
        <v>1439</v>
      </c>
      <c r="I752" s="15" t="n">
        <v>1</v>
      </c>
      <c r="J752" s="15" t="n">
        <v>4</v>
      </c>
      <c r="K752" s="15" t="n">
        <v>48</v>
      </c>
      <c r="L752" s="15" t="n">
        <v>36</v>
      </c>
      <c r="M752" s="15" t="n">
        <v>84</v>
      </c>
      <c r="N752" s="15" t="n">
        <v>0</v>
      </c>
      <c r="O752" s="15" t="n">
        <v>0</v>
      </c>
      <c r="P752" s="16" t="n">
        <v>0</v>
      </c>
      <c r="Q752" s="15" t="n">
        <v>0</v>
      </c>
      <c r="R752" s="15" t="n">
        <v>0</v>
      </c>
      <c r="S752" s="17" t="n">
        <v>0</v>
      </c>
      <c r="T752" s="15" t="s">
        <v>186</v>
      </c>
      <c r="U752" s="15" t="n">
        <v>2027</v>
      </c>
      <c r="V752" s="15" t="s">
        <v>550</v>
      </c>
      <c r="W752" s="18" t="s">
        <v>188</v>
      </c>
      <c r="X752" s="18" t="s">
        <v>206</v>
      </c>
      <c r="Y752" s="15" t="s">
        <v>600</v>
      </c>
      <c r="Z752" s="15" t="s">
        <v>600</v>
      </c>
      <c r="AA752" s="19" t="str">
        <f aca="false">HYPERLINK("https://www.transfermarkt.com/schnellsuche/ergebnis/schnellsuche?query="&amp;SUBSTITUTE(A752," ","+"),"Search Transfermarkt")</f>
        <v>Search Transfermarkt</v>
      </c>
    </row>
    <row r="753" customFormat="false" ht="23.85" hidden="false" customHeight="false" outlineLevel="0" collapsed="false">
      <c r="A753" s="15" t="s">
        <v>2306</v>
      </c>
      <c r="B753" s="15" t="s">
        <v>76</v>
      </c>
      <c r="C753" s="15" t="s">
        <v>238</v>
      </c>
      <c r="D753" s="15" t="n">
        <v>3</v>
      </c>
      <c r="E753" s="15" t="s">
        <v>2307</v>
      </c>
      <c r="F753" s="15" t="s">
        <v>170</v>
      </c>
      <c r="G753" s="15" t="n">
        <v>17</v>
      </c>
      <c r="H753" s="15" t="n">
        <v>1387</v>
      </c>
      <c r="I753" s="15" t="n">
        <v>10</v>
      </c>
      <c r="J753" s="15" t="n">
        <v>5</v>
      </c>
      <c r="K753" s="15" t="n">
        <v>147</v>
      </c>
      <c r="L753" s="15" t="n">
        <v>81</v>
      </c>
      <c r="M753" s="15" t="n">
        <v>53</v>
      </c>
      <c r="N753" s="15" t="n">
        <v>0</v>
      </c>
      <c r="O753" s="15" t="n">
        <v>0</v>
      </c>
      <c r="P753" s="16" t="n">
        <v>0</v>
      </c>
      <c r="Q753" s="15" t="n">
        <v>0</v>
      </c>
      <c r="R753" s="15" t="n">
        <v>0</v>
      </c>
      <c r="S753" s="17" t="n">
        <v>112847</v>
      </c>
      <c r="T753" s="15" t="s">
        <v>164</v>
      </c>
      <c r="U753" s="15" t="n">
        <v>2028</v>
      </c>
      <c r="V753" s="15" t="s">
        <v>2308</v>
      </c>
      <c r="W753" s="18" t="s">
        <v>147</v>
      </c>
      <c r="X753" s="18" t="s">
        <v>241</v>
      </c>
      <c r="Y753" s="15" t="s">
        <v>600</v>
      </c>
      <c r="Z753" s="15" t="s">
        <v>600</v>
      </c>
      <c r="AA753" s="19" t="str">
        <f aca="false">HYPERLINK("https://www.transfermarkt.com/schnellsuche/ergebnis/schnellsuche?query="&amp;SUBSTITUTE(A753," ","+"),"Search Transfermarkt")</f>
        <v>Search Transfermarkt</v>
      </c>
    </row>
    <row r="754" customFormat="false" ht="23.85" hidden="false" customHeight="false" outlineLevel="0" collapsed="false">
      <c r="A754" s="15" t="s">
        <v>2309</v>
      </c>
      <c r="B754" s="15" t="s">
        <v>76</v>
      </c>
      <c r="C754" s="15" t="s">
        <v>1498</v>
      </c>
      <c r="D754" s="15" t="n">
        <v>3</v>
      </c>
      <c r="E754" s="15" t="s">
        <v>2310</v>
      </c>
      <c r="F754" s="15" t="s">
        <v>157</v>
      </c>
      <c r="G754" s="15" t="n">
        <v>19</v>
      </c>
      <c r="H754" s="15" t="n">
        <v>1874</v>
      </c>
      <c r="I754" s="15" t="n">
        <v>0</v>
      </c>
      <c r="J754" s="15" t="n">
        <v>0</v>
      </c>
      <c r="K754" s="15" t="n">
        <v>18</v>
      </c>
      <c r="L754" s="15" t="n">
        <v>3</v>
      </c>
      <c r="M754" s="15" t="n">
        <v>5</v>
      </c>
      <c r="N754" s="15" t="n">
        <v>50</v>
      </c>
      <c r="O754" s="15" t="n">
        <v>21</v>
      </c>
      <c r="P754" s="16" t="n">
        <v>90.3</v>
      </c>
      <c r="Q754" s="15" t="n">
        <v>18.1</v>
      </c>
      <c r="R754" s="15" t="n">
        <v>6</v>
      </c>
      <c r="S754" s="17" t="n">
        <v>56733</v>
      </c>
      <c r="T754" s="15" t="s">
        <v>186</v>
      </c>
      <c r="U754" s="15" t="n">
        <v>2029</v>
      </c>
      <c r="V754" s="15" t="s">
        <v>2311</v>
      </c>
      <c r="W754" s="18" t="s">
        <v>188</v>
      </c>
      <c r="X754" s="18" t="s">
        <v>241</v>
      </c>
      <c r="Y754" s="15" t="s">
        <v>600</v>
      </c>
      <c r="Z754" s="15" t="s">
        <v>600</v>
      </c>
      <c r="AA754" s="19" t="str">
        <f aca="false">HYPERLINK("https://www.transfermarkt.com/schnellsuche/ergebnis/schnellsuche?query="&amp;SUBSTITUTE(A754," ","+"),"Search Transfermarkt")</f>
        <v>Search Transfermarkt</v>
      </c>
    </row>
    <row r="755" customFormat="false" ht="23.85" hidden="false" customHeight="false" outlineLevel="0" collapsed="false">
      <c r="A755" s="15" t="s">
        <v>2312</v>
      </c>
      <c r="B755" s="15" t="s">
        <v>77</v>
      </c>
      <c r="C755" s="15" t="s">
        <v>1029</v>
      </c>
      <c r="D755" s="15" t="n">
        <v>3</v>
      </c>
      <c r="E755" s="15" t="s">
        <v>2313</v>
      </c>
      <c r="F755" s="15" t="s">
        <v>157</v>
      </c>
      <c r="G755" s="15" t="n">
        <v>21</v>
      </c>
      <c r="H755" s="15" t="n">
        <v>1145</v>
      </c>
      <c r="I755" s="15" t="n">
        <v>0</v>
      </c>
      <c r="J755" s="15" t="n">
        <v>0</v>
      </c>
      <c r="K755" s="15" t="n">
        <v>6</v>
      </c>
      <c r="L755" s="15" t="n">
        <v>2</v>
      </c>
      <c r="M755" s="15" t="n">
        <v>8</v>
      </c>
      <c r="N755" s="15" t="n">
        <v>51</v>
      </c>
      <c r="O755" s="15" t="n">
        <v>18</v>
      </c>
      <c r="P755" s="16" t="n">
        <v>80.5</v>
      </c>
      <c r="Q755" s="15" t="n">
        <v>16.5</v>
      </c>
      <c r="R755" s="15" t="n">
        <v>5</v>
      </c>
      <c r="S755" s="17" t="n">
        <v>78860</v>
      </c>
      <c r="T755" s="15" t="s">
        <v>164</v>
      </c>
      <c r="U755" s="15" t="n">
        <v>2026</v>
      </c>
      <c r="V755" s="15" t="s">
        <v>2314</v>
      </c>
      <c r="W755" s="18" t="s">
        <v>139</v>
      </c>
      <c r="X755" s="18" t="s">
        <v>358</v>
      </c>
      <c r="Y755" s="15" t="s">
        <v>600</v>
      </c>
      <c r="Z755" s="15" t="s">
        <v>600</v>
      </c>
      <c r="AA755" s="19" t="str">
        <f aca="false">HYPERLINK("https://www.transfermarkt.com/schnellsuche/ergebnis/schnellsuche?query="&amp;SUBSTITUTE(A755," ","+"),"Search Transfermarkt")</f>
        <v>Search Transfermarkt</v>
      </c>
    </row>
    <row r="756" customFormat="false" ht="23.85" hidden="false" customHeight="false" outlineLevel="0" collapsed="false">
      <c r="A756" s="15" t="s">
        <v>2315</v>
      </c>
      <c r="B756" s="15" t="s">
        <v>82</v>
      </c>
      <c r="C756" s="15" t="s">
        <v>161</v>
      </c>
      <c r="D756" s="15" t="n">
        <v>2</v>
      </c>
      <c r="E756" s="15" t="s">
        <v>2181</v>
      </c>
      <c r="F756" s="15" t="s">
        <v>170</v>
      </c>
      <c r="G756" s="15" t="n">
        <v>20</v>
      </c>
      <c r="H756" s="15" t="n">
        <v>1685</v>
      </c>
      <c r="I756" s="15" t="n">
        <v>9</v>
      </c>
      <c r="J756" s="15" t="n">
        <v>5</v>
      </c>
      <c r="K756" s="15" t="n">
        <v>177</v>
      </c>
      <c r="L756" s="15" t="n">
        <v>65</v>
      </c>
      <c r="M756" s="15" t="n">
        <v>48</v>
      </c>
      <c r="N756" s="15" t="n">
        <v>0</v>
      </c>
      <c r="O756" s="15" t="n">
        <v>0</v>
      </c>
      <c r="P756" s="16" t="n">
        <v>0</v>
      </c>
      <c r="Q756" s="15" t="n">
        <v>0</v>
      </c>
      <c r="R756" s="15" t="n">
        <v>0</v>
      </c>
      <c r="S756" s="17" t="n">
        <v>0</v>
      </c>
      <c r="T756" s="15" t="s">
        <v>186</v>
      </c>
      <c r="U756" s="15" t="n">
        <v>2026</v>
      </c>
      <c r="V756" s="15" t="s">
        <v>2182</v>
      </c>
      <c r="W756" s="18" t="s">
        <v>188</v>
      </c>
      <c r="X756" s="18" t="s">
        <v>166</v>
      </c>
      <c r="Y756" s="15" t="s">
        <v>600</v>
      </c>
      <c r="Z756" s="15" t="s">
        <v>600</v>
      </c>
      <c r="AA756" s="19" t="str">
        <f aca="false">HYPERLINK("https://www.transfermarkt.com/schnellsuche/ergebnis/schnellsuche?query="&amp;SUBSTITUTE(A756," ","+"),"Search Transfermarkt")</f>
        <v>Search Transfermarkt</v>
      </c>
    </row>
    <row r="757" customFormat="false" ht="23.85" hidden="false" customHeight="false" outlineLevel="0" collapsed="false">
      <c r="A757" s="15" t="s">
        <v>2316</v>
      </c>
      <c r="B757" s="15" t="s">
        <v>94</v>
      </c>
      <c r="C757" s="15" t="s">
        <v>1689</v>
      </c>
      <c r="D757" s="15" t="n">
        <v>4</v>
      </c>
      <c r="E757" s="15" t="s">
        <v>2317</v>
      </c>
      <c r="F757" s="15" t="s">
        <v>170</v>
      </c>
      <c r="G757" s="15" t="n">
        <v>22</v>
      </c>
      <c r="H757" s="15" t="n">
        <v>2110</v>
      </c>
      <c r="I757" s="15" t="n">
        <v>8</v>
      </c>
      <c r="J757" s="15" t="n">
        <v>11</v>
      </c>
      <c r="K757" s="15" t="n">
        <v>149</v>
      </c>
      <c r="L757" s="15" t="n">
        <v>86</v>
      </c>
      <c r="M757" s="15" t="n">
        <v>41</v>
      </c>
      <c r="N757" s="15" t="n">
        <v>0</v>
      </c>
      <c r="O757" s="15" t="n">
        <v>0</v>
      </c>
      <c r="P757" s="16" t="n">
        <v>0</v>
      </c>
      <c r="Q757" s="15" t="n">
        <v>0</v>
      </c>
      <c r="R757" s="15" t="n">
        <v>0</v>
      </c>
      <c r="S757" s="17" t="n">
        <v>0</v>
      </c>
      <c r="T757" s="15" t="s">
        <v>137</v>
      </c>
      <c r="U757" s="15" t="n">
        <v>2027</v>
      </c>
      <c r="V757" s="15" t="s">
        <v>2318</v>
      </c>
      <c r="W757" s="18" t="s">
        <v>139</v>
      </c>
      <c r="X757" s="18" t="s">
        <v>226</v>
      </c>
      <c r="Y757" s="15" t="s">
        <v>600</v>
      </c>
      <c r="Z757" s="15" t="s">
        <v>600</v>
      </c>
      <c r="AA757" s="19" t="str">
        <f aca="false">HYPERLINK("https://www.transfermarkt.com/schnellsuche/ergebnis/schnellsuche?query="&amp;SUBSTITUTE(A757," ","+"),"Search Transfermarkt")</f>
        <v>Search Transfermarkt</v>
      </c>
    </row>
    <row r="758" customFormat="false" ht="23.85" hidden="false" customHeight="false" outlineLevel="0" collapsed="false">
      <c r="A758" s="15" t="s">
        <v>2319</v>
      </c>
      <c r="B758" s="15" t="s">
        <v>88</v>
      </c>
      <c r="C758" s="15" t="s">
        <v>1347</v>
      </c>
      <c r="D758" s="15" t="n">
        <v>2</v>
      </c>
      <c r="E758" s="15" t="s">
        <v>979</v>
      </c>
      <c r="F758" s="15" t="s">
        <v>157</v>
      </c>
      <c r="G758" s="15" t="n">
        <v>22</v>
      </c>
      <c r="H758" s="15" t="n">
        <v>2328</v>
      </c>
      <c r="I758" s="15" t="n">
        <v>0</v>
      </c>
      <c r="J758" s="15" t="n">
        <v>0</v>
      </c>
      <c r="K758" s="15" t="n">
        <v>8</v>
      </c>
      <c r="L758" s="15" t="n">
        <v>1</v>
      </c>
      <c r="M758" s="15" t="n">
        <v>4</v>
      </c>
      <c r="N758" s="15" t="n">
        <v>54</v>
      </c>
      <c r="O758" s="15" t="n">
        <v>47</v>
      </c>
      <c r="P758" s="16" t="n">
        <v>83.7</v>
      </c>
      <c r="Q758" s="15" t="n">
        <v>12.6</v>
      </c>
      <c r="R758" s="15" t="n">
        <v>7</v>
      </c>
      <c r="S758" s="17" t="n">
        <v>0</v>
      </c>
      <c r="T758" s="15" t="s">
        <v>137</v>
      </c>
      <c r="U758" s="15" t="n">
        <v>2026</v>
      </c>
      <c r="V758" s="15" t="s">
        <v>980</v>
      </c>
      <c r="W758" s="18" t="s">
        <v>139</v>
      </c>
      <c r="X758" s="18" t="s">
        <v>320</v>
      </c>
      <c r="Y758" s="15" t="s">
        <v>600</v>
      </c>
      <c r="Z758" s="15" t="s">
        <v>600</v>
      </c>
      <c r="AA758" s="19" t="str">
        <f aca="false">HYPERLINK("https://www.transfermarkt.com/schnellsuche/ergebnis/schnellsuche?query="&amp;SUBSTITUTE(A758," ","+"),"Search Transfermarkt")</f>
        <v>Search Transfermarkt</v>
      </c>
    </row>
    <row r="759" customFormat="false" ht="23.85" hidden="false" customHeight="false" outlineLevel="0" collapsed="false">
      <c r="A759" s="15" t="s">
        <v>2320</v>
      </c>
      <c r="B759" s="15" t="s">
        <v>85</v>
      </c>
      <c r="C759" s="15" t="s">
        <v>705</v>
      </c>
      <c r="D759" s="15" t="n">
        <v>2</v>
      </c>
      <c r="E759" s="15" t="s">
        <v>2321</v>
      </c>
      <c r="F759" s="15" t="s">
        <v>136</v>
      </c>
      <c r="G759" s="15" t="n">
        <v>23</v>
      </c>
      <c r="H759" s="15" t="n">
        <v>1989</v>
      </c>
      <c r="I759" s="15" t="n">
        <v>1</v>
      </c>
      <c r="J759" s="15" t="n">
        <v>0</v>
      </c>
      <c r="K759" s="15" t="n">
        <v>48</v>
      </c>
      <c r="L759" s="15" t="n">
        <v>34</v>
      </c>
      <c r="M759" s="15" t="n">
        <v>124</v>
      </c>
      <c r="N759" s="15" t="n">
        <v>0</v>
      </c>
      <c r="O759" s="15" t="n">
        <v>0</v>
      </c>
      <c r="P759" s="16" t="n">
        <v>0</v>
      </c>
      <c r="Q759" s="15" t="n">
        <v>0</v>
      </c>
      <c r="R759" s="15" t="n">
        <v>0</v>
      </c>
      <c r="S759" s="17" t="n">
        <v>100830</v>
      </c>
      <c r="T759" s="15" t="s">
        <v>137</v>
      </c>
      <c r="U759" s="15" t="n">
        <v>2029</v>
      </c>
      <c r="V759" s="15" t="s">
        <v>2322</v>
      </c>
      <c r="W759" s="18" t="s">
        <v>139</v>
      </c>
      <c r="X759" s="18" t="s">
        <v>265</v>
      </c>
      <c r="Y759" s="15" t="s">
        <v>600</v>
      </c>
      <c r="Z759" s="15" t="s">
        <v>600</v>
      </c>
      <c r="AA759" s="19" t="str">
        <f aca="false">HYPERLINK("https://www.transfermarkt.com/schnellsuche/ergebnis/schnellsuche?query="&amp;SUBSTITUTE(A759," ","+"),"Search Transfermarkt")</f>
        <v>Search Transfermarkt</v>
      </c>
    </row>
    <row r="760" customFormat="false" ht="23.85" hidden="false" customHeight="false" outlineLevel="0" collapsed="false">
      <c r="A760" s="15" t="s">
        <v>2323</v>
      </c>
      <c r="B760" s="15" t="s">
        <v>73</v>
      </c>
      <c r="C760" s="15" t="s">
        <v>297</v>
      </c>
      <c r="D760" s="15" t="n">
        <v>2</v>
      </c>
      <c r="E760" s="15" t="s">
        <v>2324</v>
      </c>
      <c r="F760" s="15" t="s">
        <v>170</v>
      </c>
      <c r="G760" s="15" t="n">
        <v>21</v>
      </c>
      <c r="H760" s="15" t="n">
        <v>1149</v>
      </c>
      <c r="I760" s="15" t="n">
        <v>9</v>
      </c>
      <c r="J760" s="15" t="n">
        <v>14</v>
      </c>
      <c r="K760" s="15" t="n">
        <v>139</v>
      </c>
      <c r="L760" s="15" t="n">
        <v>82</v>
      </c>
      <c r="M760" s="15" t="n">
        <v>29</v>
      </c>
      <c r="N760" s="15" t="n">
        <v>0</v>
      </c>
      <c r="O760" s="15" t="n">
        <v>0</v>
      </c>
      <c r="P760" s="16" t="n">
        <v>0</v>
      </c>
      <c r="Q760" s="15" t="n">
        <v>0</v>
      </c>
      <c r="R760" s="15" t="n">
        <v>0</v>
      </c>
      <c r="S760" s="17" t="n">
        <v>149159</v>
      </c>
      <c r="T760" s="15" t="s">
        <v>164</v>
      </c>
      <c r="U760" s="15" t="n">
        <v>2026</v>
      </c>
      <c r="V760" s="15" t="s">
        <v>2325</v>
      </c>
      <c r="W760" s="18" t="s">
        <v>139</v>
      </c>
      <c r="X760" s="18" t="s">
        <v>172</v>
      </c>
      <c r="Y760" s="15" t="s">
        <v>600</v>
      </c>
      <c r="Z760" s="15" t="s">
        <v>600</v>
      </c>
      <c r="AA760" s="19" t="str">
        <f aca="false">HYPERLINK("https://www.transfermarkt.com/schnellsuche/ergebnis/schnellsuche?query="&amp;SUBSTITUTE(A760," ","+"),"Search Transfermarkt")</f>
        <v>Search Transfermarkt</v>
      </c>
    </row>
    <row r="761" customFormat="false" ht="23.85" hidden="false" customHeight="false" outlineLevel="0" collapsed="false">
      <c r="A761" s="15" t="s">
        <v>2326</v>
      </c>
      <c r="B761" s="15" t="s">
        <v>92</v>
      </c>
      <c r="C761" s="15" t="s">
        <v>309</v>
      </c>
      <c r="D761" s="15" t="n">
        <v>4</v>
      </c>
      <c r="E761" s="15" t="s">
        <v>1416</v>
      </c>
      <c r="F761" s="15" t="s">
        <v>170</v>
      </c>
      <c r="G761" s="15" t="n">
        <v>25</v>
      </c>
      <c r="H761" s="15" t="n">
        <v>1043</v>
      </c>
      <c r="I761" s="15" t="n">
        <v>6</v>
      </c>
      <c r="J761" s="15" t="n">
        <v>7</v>
      </c>
      <c r="K761" s="15" t="n">
        <v>162</v>
      </c>
      <c r="L761" s="15" t="n">
        <v>53</v>
      </c>
      <c r="M761" s="15" t="n">
        <v>40</v>
      </c>
      <c r="N761" s="15" t="n">
        <v>0</v>
      </c>
      <c r="O761" s="15" t="n">
        <v>0</v>
      </c>
      <c r="P761" s="16" t="n">
        <v>0</v>
      </c>
      <c r="Q761" s="15" t="n">
        <v>0</v>
      </c>
      <c r="R761" s="15" t="n">
        <v>0</v>
      </c>
      <c r="S761" s="17" t="n">
        <v>0</v>
      </c>
      <c r="T761" s="15" t="s">
        <v>186</v>
      </c>
      <c r="U761" s="15" t="n">
        <v>2027</v>
      </c>
      <c r="V761" s="15" t="s">
        <v>1417</v>
      </c>
      <c r="W761" s="18" t="s">
        <v>188</v>
      </c>
      <c r="X761" s="18" t="s">
        <v>159</v>
      </c>
      <c r="Y761" s="15" t="s">
        <v>600</v>
      </c>
      <c r="Z761" s="15" t="s">
        <v>600</v>
      </c>
      <c r="AA761" s="19" t="str">
        <f aca="false">HYPERLINK("https://www.transfermarkt.com/schnellsuche/ergebnis/schnellsuche?query="&amp;SUBSTITUTE(A761," ","+"),"Search Transfermarkt")</f>
        <v>Search Transfermarkt</v>
      </c>
    </row>
    <row r="762" customFormat="false" ht="23.85" hidden="false" customHeight="false" outlineLevel="0" collapsed="false">
      <c r="A762" s="15" t="s">
        <v>2327</v>
      </c>
      <c r="B762" s="15" t="s">
        <v>67</v>
      </c>
      <c r="C762" s="15" t="s">
        <v>255</v>
      </c>
      <c r="D762" s="15" t="n">
        <v>3</v>
      </c>
      <c r="E762" s="15" t="s">
        <v>2056</v>
      </c>
      <c r="F762" s="15" t="s">
        <v>136</v>
      </c>
      <c r="G762" s="15" t="n">
        <v>20</v>
      </c>
      <c r="H762" s="15" t="n">
        <v>2204</v>
      </c>
      <c r="I762" s="15" t="n">
        <v>0</v>
      </c>
      <c r="J762" s="15" t="n">
        <v>4</v>
      </c>
      <c r="K762" s="15" t="n">
        <v>66</v>
      </c>
      <c r="L762" s="15" t="n">
        <v>48</v>
      </c>
      <c r="M762" s="15" t="n">
        <v>96</v>
      </c>
      <c r="N762" s="15" t="n">
        <v>0</v>
      </c>
      <c r="O762" s="15" t="n">
        <v>0</v>
      </c>
      <c r="P762" s="16" t="n">
        <v>0</v>
      </c>
      <c r="Q762" s="15" t="n">
        <v>0</v>
      </c>
      <c r="R762" s="15" t="n">
        <v>0</v>
      </c>
      <c r="S762" s="17" t="n">
        <v>94833</v>
      </c>
      <c r="T762" s="15" t="s">
        <v>164</v>
      </c>
      <c r="U762" s="15" t="n">
        <v>2026</v>
      </c>
      <c r="V762" s="15" t="s">
        <v>2057</v>
      </c>
      <c r="W762" s="18" t="s">
        <v>139</v>
      </c>
      <c r="X762" s="18" t="s">
        <v>236</v>
      </c>
      <c r="Y762" s="15" t="s">
        <v>600</v>
      </c>
      <c r="Z762" s="15" t="s">
        <v>600</v>
      </c>
      <c r="AA762" s="19" t="str">
        <f aca="false">HYPERLINK("https://www.transfermarkt.com/schnellsuche/ergebnis/schnellsuche?query="&amp;SUBSTITUTE(A762," ","+"),"Search Transfermarkt")</f>
        <v>Search Transfermarkt</v>
      </c>
    </row>
    <row r="763" customFormat="false" ht="23.85" hidden="false" customHeight="false" outlineLevel="0" collapsed="false">
      <c r="A763" s="15" t="s">
        <v>2328</v>
      </c>
      <c r="B763" s="15" t="s">
        <v>69</v>
      </c>
      <c r="C763" s="15" t="s">
        <v>1729</v>
      </c>
      <c r="D763" s="15" t="n">
        <v>2</v>
      </c>
      <c r="E763" s="15" t="s">
        <v>2329</v>
      </c>
      <c r="F763" s="15" t="s">
        <v>170</v>
      </c>
      <c r="G763" s="15" t="n">
        <v>25</v>
      </c>
      <c r="H763" s="15" t="n">
        <v>2376</v>
      </c>
      <c r="I763" s="15" t="n">
        <v>1</v>
      </c>
      <c r="J763" s="15" t="n">
        <v>10</v>
      </c>
      <c r="K763" s="15" t="n">
        <v>167</v>
      </c>
      <c r="L763" s="15" t="n">
        <v>62</v>
      </c>
      <c r="M763" s="15" t="n">
        <v>37</v>
      </c>
      <c r="N763" s="15" t="n">
        <v>0</v>
      </c>
      <c r="O763" s="15" t="n">
        <v>0</v>
      </c>
      <c r="P763" s="16" t="n">
        <v>0</v>
      </c>
      <c r="Q763" s="15" t="n">
        <v>0</v>
      </c>
      <c r="R763" s="15" t="n">
        <v>0</v>
      </c>
      <c r="S763" s="17" t="n">
        <v>111366</v>
      </c>
      <c r="T763" s="15" t="s">
        <v>164</v>
      </c>
      <c r="U763" s="15" t="n">
        <v>2026</v>
      </c>
      <c r="V763" s="15" t="s">
        <v>2330</v>
      </c>
      <c r="W763" s="18" t="s">
        <v>139</v>
      </c>
      <c r="X763" s="18" t="s">
        <v>140</v>
      </c>
      <c r="Y763" s="15" t="s">
        <v>600</v>
      </c>
      <c r="Z763" s="15" t="s">
        <v>600</v>
      </c>
      <c r="AA763" s="19" t="str">
        <f aca="false">HYPERLINK("https://www.transfermarkt.com/schnellsuche/ergebnis/schnellsuche?query="&amp;SUBSTITUTE(A763," ","+"),"Search Transfermarkt")</f>
        <v>Search Transfermarkt</v>
      </c>
    </row>
    <row r="764" customFormat="false" ht="23.85" hidden="false" customHeight="false" outlineLevel="0" collapsed="false">
      <c r="A764" s="15" t="s">
        <v>2331</v>
      </c>
      <c r="B764" s="15" t="s">
        <v>87</v>
      </c>
      <c r="C764" s="15" t="s">
        <v>1157</v>
      </c>
      <c r="D764" s="15" t="n">
        <v>2</v>
      </c>
      <c r="E764" s="15" t="s">
        <v>1506</v>
      </c>
      <c r="F764" s="15" t="s">
        <v>170</v>
      </c>
      <c r="G764" s="15" t="n">
        <v>21</v>
      </c>
      <c r="H764" s="15" t="n">
        <v>2147</v>
      </c>
      <c r="I764" s="15" t="n">
        <v>4</v>
      </c>
      <c r="J764" s="15" t="n">
        <v>12</v>
      </c>
      <c r="K764" s="15" t="n">
        <v>129</v>
      </c>
      <c r="L764" s="15" t="n">
        <v>96</v>
      </c>
      <c r="M764" s="15" t="n">
        <v>32</v>
      </c>
      <c r="N764" s="15" t="n">
        <v>0</v>
      </c>
      <c r="O764" s="15" t="n">
        <v>0</v>
      </c>
      <c r="P764" s="16" t="n">
        <v>0</v>
      </c>
      <c r="Q764" s="15" t="n">
        <v>0</v>
      </c>
      <c r="R764" s="15" t="n">
        <v>0</v>
      </c>
      <c r="S764" s="17" t="n">
        <v>77969</v>
      </c>
      <c r="T764" s="15" t="s">
        <v>164</v>
      </c>
      <c r="U764" s="15" t="n">
        <v>2027</v>
      </c>
      <c r="V764" s="15" t="s">
        <v>1507</v>
      </c>
      <c r="W764" s="18" t="s">
        <v>139</v>
      </c>
      <c r="X764" s="18" t="s">
        <v>341</v>
      </c>
      <c r="Y764" s="15" t="s">
        <v>600</v>
      </c>
      <c r="Z764" s="15" t="s">
        <v>600</v>
      </c>
      <c r="AA764" s="19" t="str">
        <f aca="false">HYPERLINK("https://www.transfermarkt.com/schnellsuche/ergebnis/schnellsuche?query="&amp;SUBSTITUTE(A764," ","+"),"Search Transfermarkt")</f>
        <v>Search Transfermarkt</v>
      </c>
    </row>
    <row r="765" customFormat="false" ht="23.85" hidden="false" customHeight="false" outlineLevel="0" collapsed="false">
      <c r="A765" s="15" t="s">
        <v>2332</v>
      </c>
      <c r="B765" s="15" t="s">
        <v>64</v>
      </c>
      <c r="C765" s="15" t="s">
        <v>1615</v>
      </c>
      <c r="D765" s="15" t="n">
        <v>3</v>
      </c>
      <c r="E765" s="15" t="s">
        <v>2333</v>
      </c>
      <c r="F765" s="15" t="s">
        <v>157</v>
      </c>
      <c r="G765" s="15" t="n">
        <v>17</v>
      </c>
      <c r="H765" s="15" t="n">
        <v>1353</v>
      </c>
      <c r="I765" s="15" t="n">
        <v>0</v>
      </c>
      <c r="J765" s="15" t="n">
        <v>0</v>
      </c>
      <c r="K765" s="15" t="n">
        <v>14</v>
      </c>
      <c r="L765" s="15" t="n">
        <v>4</v>
      </c>
      <c r="M765" s="15" t="n">
        <v>7</v>
      </c>
      <c r="N765" s="15" t="n">
        <v>34</v>
      </c>
      <c r="O765" s="15" t="n">
        <v>23</v>
      </c>
      <c r="P765" s="16" t="n">
        <v>57.7</v>
      </c>
      <c r="Q765" s="15" t="n">
        <v>11.2</v>
      </c>
      <c r="R765" s="15" t="n">
        <v>5</v>
      </c>
      <c r="S765" s="17" t="n">
        <v>0</v>
      </c>
      <c r="T765" s="15" t="s">
        <v>137</v>
      </c>
      <c r="U765" s="15" t="n">
        <v>2029</v>
      </c>
      <c r="V765" s="15" t="s">
        <v>2334</v>
      </c>
      <c r="W765" s="18" t="s">
        <v>147</v>
      </c>
      <c r="X765" s="18" t="s">
        <v>231</v>
      </c>
      <c r="Y765" s="15" t="s">
        <v>600</v>
      </c>
      <c r="Z765" s="15" t="s">
        <v>600</v>
      </c>
      <c r="AA765" s="19" t="str">
        <f aca="false">HYPERLINK("https://www.transfermarkt.com/schnellsuche/ergebnis/schnellsuche?query="&amp;SUBSTITUTE(A765," ","+"),"Search Transfermarkt")</f>
        <v>Search Transfermarkt</v>
      </c>
    </row>
    <row r="766" customFormat="false" ht="23.85" hidden="false" customHeight="false" outlineLevel="0" collapsed="false">
      <c r="A766" s="15" t="s">
        <v>2335</v>
      </c>
      <c r="B766" s="15" t="s">
        <v>90</v>
      </c>
      <c r="C766" s="15" t="s">
        <v>2063</v>
      </c>
      <c r="D766" s="15" t="n">
        <v>2</v>
      </c>
      <c r="E766" s="15" t="s">
        <v>2336</v>
      </c>
      <c r="F766" s="15" t="s">
        <v>136</v>
      </c>
      <c r="G766" s="15" t="n">
        <v>17</v>
      </c>
      <c r="H766" s="15" t="n">
        <v>962</v>
      </c>
      <c r="I766" s="15" t="n">
        <v>2</v>
      </c>
      <c r="J766" s="15" t="n">
        <v>1</v>
      </c>
      <c r="K766" s="15" t="n">
        <v>63</v>
      </c>
      <c r="L766" s="15" t="n">
        <v>40</v>
      </c>
      <c r="M766" s="15" t="n">
        <v>130</v>
      </c>
      <c r="N766" s="15" t="n">
        <v>0</v>
      </c>
      <c r="O766" s="15" t="n">
        <v>0</v>
      </c>
      <c r="P766" s="16" t="n">
        <v>0</v>
      </c>
      <c r="Q766" s="15" t="n">
        <v>0</v>
      </c>
      <c r="R766" s="15" t="n">
        <v>0</v>
      </c>
      <c r="S766" s="17" t="n">
        <v>129212</v>
      </c>
      <c r="T766" s="15" t="s">
        <v>164</v>
      </c>
      <c r="U766" s="15" t="n">
        <v>2026</v>
      </c>
      <c r="V766" s="15" t="s">
        <v>2337</v>
      </c>
      <c r="W766" s="18" t="s">
        <v>147</v>
      </c>
      <c r="X766" s="18" t="s">
        <v>288</v>
      </c>
      <c r="Y766" s="15" t="s">
        <v>600</v>
      </c>
      <c r="Z766" s="15" t="s">
        <v>600</v>
      </c>
      <c r="AA766" s="19" t="str">
        <f aca="false">HYPERLINK("https://www.transfermarkt.com/schnellsuche/ergebnis/schnellsuche?query="&amp;SUBSTITUTE(A766," ","+"),"Search Transfermarkt")</f>
        <v>Search Transfermarkt</v>
      </c>
    </row>
    <row r="767" customFormat="false" ht="23.85" hidden="false" customHeight="false" outlineLevel="0" collapsed="false">
      <c r="A767" s="15" t="s">
        <v>2338</v>
      </c>
      <c r="B767" s="15" t="s">
        <v>66</v>
      </c>
      <c r="C767" s="15" t="s">
        <v>438</v>
      </c>
      <c r="D767" s="15" t="n">
        <v>4</v>
      </c>
      <c r="E767" s="15" t="s">
        <v>891</v>
      </c>
      <c r="F767" s="15" t="s">
        <v>170</v>
      </c>
      <c r="G767" s="15" t="n">
        <v>19</v>
      </c>
      <c r="H767" s="15" t="n">
        <v>2599</v>
      </c>
      <c r="I767" s="15" t="n">
        <v>1</v>
      </c>
      <c r="J767" s="15" t="n">
        <v>12</v>
      </c>
      <c r="K767" s="15" t="n">
        <v>119</v>
      </c>
      <c r="L767" s="15" t="n">
        <v>53</v>
      </c>
      <c r="M767" s="15" t="n">
        <v>54</v>
      </c>
      <c r="N767" s="15" t="n">
        <v>0</v>
      </c>
      <c r="O767" s="15" t="n">
        <v>0</v>
      </c>
      <c r="P767" s="16" t="n">
        <v>0</v>
      </c>
      <c r="Q767" s="15" t="n">
        <v>0</v>
      </c>
      <c r="R767" s="15" t="n">
        <v>0</v>
      </c>
      <c r="S767" s="17" t="n">
        <v>92305</v>
      </c>
      <c r="T767" s="15" t="s">
        <v>137</v>
      </c>
      <c r="U767" s="15" t="n">
        <v>2029</v>
      </c>
      <c r="V767" s="15" t="s">
        <v>892</v>
      </c>
      <c r="W767" s="18" t="s">
        <v>139</v>
      </c>
      <c r="X767" s="18" t="s">
        <v>182</v>
      </c>
      <c r="Y767" s="15" t="s">
        <v>600</v>
      </c>
      <c r="Z767" s="15" t="s">
        <v>600</v>
      </c>
      <c r="AA767" s="19" t="str">
        <f aca="false">HYPERLINK("https://www.transfermarkt.com/schnellsuche/ergebnis/schnellsuche?query="&amp;SUBSTITUTE(A767," ","+"),"Search Transfermarkt")</f>
        <v>Search Transfermarkt</v>
      </c>
    </row>
    <row r="768" customFormat="false" ht="23.85" hidden="false" customHeight="false" outlineLevel="0" collapsed="false">
      <c r="A768" s="15" t="s">
        <v>2339</v>
      </c>
      <c r="B768" s="15" t="s">
        <v>77</v>
      </c>
      <c r="C768" s="15" t="s">
        <v>1326</v>
      </c>
      <c r="D768" s="15" t="n">
        <v>4</v>
      </c>
      <c r="E768" s="15" t="s">
        <v>2134</v>
      </c>
      <c r="F768" s="15" t="s">
        <v>170</v>
      </c>
      <c r="G768" s="15" t="n">
        <v>20</v>
      </c>
      <c r="H768" s="15" t="n">
        <v>2360</v>
      </c>
      <c r="I768" s="15" t="n">
        <v>4</v>
      </c>
      <c r="J768" s="15" t="n">
        <v>14</v>
      </c>
      <c r="K768" s="15" t="n">
        <v>113</v>
      </c>
      <c r="L768" s="15" t="n">
        <v>81</v>
      </c>
      <c r="M768" s="15" t="n">
        <v>58</v>
      </c>
      <c r="N768" s="15" t="n">
        <v>0</v>
      </c>
      <c r="O768" s="15" t="n">
        <v>0</v>
      </c>
      <c r="P768" s="16" t="n">
        <v>0</v>
      </c>
      <c r="Q768" s="15" t="n">
        <v>0</v>
      </c>
      <c r="R768" s="15" t="n">
        <v>0</v>
      </c>
      <c r="S768" s="17" t="n">
        <v>8747</v>
      </c>
      <c r="T768" s="15" t="s">
        <v>186</v>
      </c>
      <c r="U768" s="15" t="n">
        <v>2028</v>
      </c>
      <c r="V768" s="15" t="s">
        <v>2135</v>
      </c>
      <c r="W768" s="18" t="s">
        <v>188</v>
      </c>
      <c r="X768" s="18" t="s">
        <v>358</v>
      </c>
      <c r="Y768" s="15" t="s">
        <v>600</v>
      </c>
      <c r="Z768" s="15" t="s">
        <v>600</v>
      </c>
      <c r="AA768" s="19" t="str">
        <f aca="false">HYPERLINK("https://www.transfermarkt.com/schnellsuche/ergebnis/schnellsuche?query="&amp;SUBSTITUTE(A768," ","+"),"Search Transfermarkt")</f>
        <v>Search Transfermarkt</v>
      </c>
    </row>
    <row r="769" customFormat="false" ht="23.85" hidden="false" customHeight="false" outlineLevel="0" collapsed="false">
      <c r="A769" s="15" t="s">
        <v>2340</v>
      </c>
      <c r="B769" s="15" t="s">
        <v>75</v>
      </c>
      <c r="C769" s="15" t="s">
        <v>914</v>
      </c>
      <c r="D769" s="15" t="n">
        <v>3</v>
      </c>
      <c r="E769" s="15" t="s">
        <v>807</v>
      </c>
      <c r="F769" s="15" t="s">
        <v>157</v>
      </c>
      <c r="G769" s="15" t="n">
        <v>19</v>
      </c>
      <c r="H769" s="15" t="n">
        <v>899</v>
      </c>
      <c r="I769" s="15" t="n">
        <v>0</v>
      </c>
      <c r="J769" s="15" t="n">
        <v>0</v>
      </c>
      <c r="K769" s="15" t="n">
        <v>9</v>
      </c>
      <c r="L769" s="15" t="n">
        <v>2</v>
      </c>
      <c r="M769" s="15" t="n">
        <v>7</v>
      </c>
      <c r="N769" s="15" t="n">
        <v>22</v>
      </c>
      <c r="O769" s="15" t="n">
        <v>21</v>
      </c>
      <c r="P769" s="16" t="n">
        <v>81.2</v>
      </c>
      <c r="Q769" s="15" t="n">
        <v>14</v>
      </c>
      <c r="R769" s="15" t="n">
        <v>3</v>
      </c>
      <c r="S769" s="17" t="n">
        <v>0</v>
      </c>
      <c r="T769" s="15" t="s">
        <v>137</v>
      </c>
      <c r="U769" s="15" t="n">
        <v>2029</v>
      </c>
      <c r="V769" s="15" t="s">
        <v>808</v>
      </c>
      <c r="W769" s="18" t="s">
        <v>139</v>
      </c>
      <c r="X769" s="18" t="s">
        <v>197</v>
      </c>
      <c r="Y769" s="15" t="s">
        <v>600</v>
      </c>
      <c r="Z769" s="15" t="s">
        <v>600</v>
      </c>
      <c r="AA769" s="19" t="str">
        <f aca="false">HYPERLINK("https://www.transfermarkt.com/schnellsuche/ergebnis/schnellsuche?query="&amp;SUBSTITUTE(A769," ","+"),"Search Transfermarkt")</f>
        <v>Search Transfermarkt</v>
      </c>
    </row>
    <row r="770" customFormat="false" ht="23.85" hidden="false" customHeight="false" outlineLevel="0" collapsed="false">
      <c r="A770" s="15" t="s">
        <v>2341</v>
      </c>
      <c r="B770" s="15" t="s">
        <v>102</v>
      </c>
      <c r="C770" s="15" t="s">
        <v>1005</v>
      </c>
      <c r="D770" s="15" t="n">
        <v>3</v>
      </c>
      <c r="E770" s="15" t="s">
        <v>560</v>
      </c>
      <c r="F770" s="15" t="s">
        <v>136</v>
      </c>
      <c r="G770" s="15" t="n">
        <v>20</v>
      </c>
      <c r="H770" s="15" t="n">
        <v>2520</v>
      </c>
      <c r="I770" s="15" t="n">
        <v>2</v>
      </c>
      <c r="J770" s="15" t="n">
        <v>0</v>
      </c>
      <c r="K770" s="15" t="n">
        <v>71</v>
      </c>
      <c r="L770" s="15" t="n">
        <v>29</v>
      </c>
      <c r="M770" s="15" t="n">
        <v>116</v>
      </c>
      <c r="N770" s="15" t="n">
        <v>0</v>
      </c>
      <c r="O770" s="15" t="n">
        <v>0</v>
      </c>
      <c r="P770" s="16" t="n">
        <v>0</v>
      </c>
      <c r="Q770" s="15" t="n">
        <v>0</v>
      </c>
      <c r="R770" s="15" t="n">
        <v>0</v>
      </c>
      <c r="S770" s="17" t="n">
        <v>119137</v>
      </c>
      <c r="T770" s="15" t="s">
        <v>164</v>
      </c>
      <c r="U770" s="15" t="n">
        <v>2027</v>
      </c>
      <c r="V770" s="15" t="s">
        <v>561</v>
      </c>
      <c r="W770" s="18" t="s">
        <v>139</v>
      </c>
      <c r="X770" s="18" t="s">
        <v>453</v>
      </c>
      <c r="Y770" s="15" t="s">
        <v>600</v>
      </c>
      <c r="Z770" s="15" t="s">
        <v>600</v>
      </c>
      <c r="AA770" s="19" t="str">
        <f aca="false">HYPERLINK("https://www.transfermarkt.com/schnellsuche/ergebnis/schnellsuche?query="&amp;SUBSTITUTE(A770," ","+"),"Search Transfermarkt")</f>
        <v>Search Transfermarkt</v>
      </c>
    </row>
    <row r="771" customFormat="false" ht="23.85" hidden="false" customHeight="false" outlineLevel="0" collapsed="false">
      <c r="A771" s="15" t="s">
        <v>2342</v>
      </c>
      <c r="B771" s="15" t="s">
        <v>99</v>
      </c>
      <c r="C771" s="15" t="s">
        <v>676</v>
      </c>
      <c r="D771" s="15" t="n">
        <v>2</v>
      </c>
      <c r="E771" s="15" t="s">
        <v>2343</v>
      </c>
      <c r="F771" s="15" t="s">
        <v>170</v>
      </c>
      <c r="G771" s="15" t="n">
        <v>22</v>
      </c>
      <c r="H771" s="15" t="n">
        <v>1282</v>
      </c>
      <c r="I771" s="15" t="n">
        <v>3</v>
      </c>
      <c r="J771" s="15" t="n">
        <v>13</v>
      </c>
      <c r="K771" s="15" t="n">
        <v>116</v>
      </c>
      <c r="L771" s="15" t="n">
        <v>62</v>
      </c>
      <c r="M771" s="15" t="n">
        <v>37</v>
      </c>
      <c r="N771" s="15" t="n">
        <v>0</v>
      </c>
      <c r="O771" s="15" t="n">
        <v>0</v>
      </c>
      <c r="P771" s="16" t="n">
        <v>0</v>
      </c>
      <c r="Q771" s="15" t="n">
        <v>0</v>
      </c>
      <c r="R771" s="15" t="n">
        <v>0</v>
      </c>
      <c r="S771" s="17" t="n">
        <v>0</v>
      </c>
      <c r="T771" s="15" t="s">
        <v>186</v>
      </c>
      <c r="U771" s="15" t="n">
        <v>2026</v>
      </c>
      <c r="V771" s="15" t="s">
        <v>2344</v>
      </c>
      <c r="W771" s="18" t="s">
        <v>188</v>
      </c>
      <c r="X771" s="18" t="s">
        <v>189</v>
      </c>
      <c r="Y771" s="15" t="s">
        <v>600</v>
      </c>
      <c r="Z771" s="15" t="s">
        <v>600</v>
      </c>
      <c r="AA771" s="19" t="str">
        <f aca="false">HYPERLINK("https://www.transfermarkt.com/schnellsuche/ergebnis/schnellsuche?query="&amp;SUBSTITUTE(A771," ","+"),"Search Transfermarkt")</f>
        <v>Search Transfermarkt</v>
      </c>
    </row>
    <row r="772" customFormat="false" ht="23.85" hidden="false" customHeight="false" outlineLevel="0" collapsed="false">
      <c r="A772" s="15" t="s">
        <v>2345</v>
      </c>
      <c r="B772" s="15" t="s">
        <v>86</v>
      </c>
      <c r="C772" s="15" t="s">
        <v>470</v>
      </c>
      <c r="D772" s="15" t="n">
        <v>4</v>
      </c>
      <c r="E772" s="15" t="s">
        <v>2346</v>
      </c>
      <c r="F772" s="15" t="s">
        <v>170</v>
      </c>
      <c r="G772" s="15" t="n">
        <v>24</v>
      </c>
      <c r="H772" s="15" t="n">
        <v>2600</v>
      </c>
      <c r="I772" s="15" t="n">
        <v>6</v>
      </c>
      <c r="J772" s="15" t="n">
        <v>14</v>
      </c>
      <c r="K772" s="15" t="n">
        <v>128</v>
      </c>
      <c r="L772" s="15" t="n">
        <v>73</v>
      </c>
      <c r="M772" s="15" t="n">
        <v>47</v>
      </c>
      <c r="N772" s="15" t="n">
        <v>0</v>
      </c>
      <c r="O772" s="15" t="n">
        <v>0</v>
      </c>
      <c r="P772" s="16" t="n">
        <v>0</v>
      </c>
      <c r="Q772" s="15" t="n">
        <v>0</v>
      </c>
      <c r="R772" s="15" t="n">
        <v>0</v>
      </c>
      <c r="S772" s="17" t="n">
        <v>123242</v>
      </c>
      <c r="T772" s="15" t="s">
        <v>186</v>
      </c>
      <c r="U772" s="15" t="n">
        <v>2029</v>
      </c>
      <c r="V772" s="15" t="s">
        <v>2347</v>
      </c>
      <c r="W772" s="18" t="s">
        <v>188</v>
      </c>
      <c r="X772" s="18" t="s">
        <v>473</v>
      </c>
      <c r="Y772" s="15" t="s">
        <v>600</v>
      </c>
      <c r="Z772" s="15" t="s">
        <v>600</v>
      </c>
      <c r="AA772" s="19" t="str">
        <f aca="false">HYPERLINK("https://www.transfermarkt.com/schnellsuche/ergebnis/schnellsuche?query="&amp;SUBSTITUTE(A772," ","+"),"Search Transfermarkt")</f>
        <v>Search Transfermarkt</v>
      </c>
    </row>
    <row r="773" customFormat="false" ht="23.85" hidden="false" customHeight="false" outlineLevel="0" collapsed="false">
      <c r="A773" s="15" t="s">
        <v>2348</v>
      </c>
      <c r="B773" s="15" t="s">
        <v>87</v>
      </c>
      <c r="C773" s="15" t="s">
        <v>2349</v>
      </c>
      <c r="D773" s="15" t="n">
        <v>4</v>
      </c>
      <c r="E773" s="15" t="s">
        <v>339</v>
      </c>
      <c r="F773" s="15" t="s">
        <v>163</v>
      </c>
      <c r="G773" s="15" t="n">
        <v>23</v>
      </c>
      <c r="H773" s="15" t="n">
        <v>1743</v>
      </c>
      <c r="I773" s="15" t="n">
        <v>15</v>
      </c>
      <c r="J773" s="15" t="n">
        <v>8</v>
      </c>
      <c r="K773" s="15" t="n">
        <v>41</v>
      </c>
      <c r="L773" s="15" t="n">
        <v>69</v>
      </c>
      <c r="M773" s="15" t="n">
        <v>16</v>
      </c>
      <c r="N773" s="15" t="n">
        <v>0</v>
      </c>
      <c r="O773" s="15" t="n">
        <v>0</v>
      </c>
      <c r="P773" s="16" t="n">
        <v>0</v>
      </c>
      <c r="Q773" s="15" t="n">
        <v>0</v>
      </c>
      <c r="R773" s="15" t="n">
        <v>0</v>
      </c>
      <c r="S773" s="17" t="n">
        <v>0</v>
      </c>
      <c r="T773" s="15" t="s">
        <v>137</v>
      </c>
      <c r="U773" s="15" t="n">
        <v>2027</v>
      </c>
      <c r="V773" s="15" t="s">
        <v>340</v>
      </c>
      <c r="W773" s="18" t="s">
        <v>139</v>
      </c>
      <c r="X773" s="18" t="s">
        <v>341</v>
      </c>
      <c r="Y773" s="15" t="s">
        <v>600</v>
      </c>
      <c r="Z773" s="15" t="s">
        <v>600</v>
      </c>
      <c r="AA773" s="19" t="str">
        <f aca="false">HYPERLINK("https://www.transfermarkt.com/schnellsuche/ergebnis/schnellsuche?query="&amp;SUBSTITUTE(A773," ","+"),"Search Transfermarkt")</f>
        <v>Search Transfermarkt</v>
      </c>
    </row>
    <row r="774" customFormat="false" ht="23.85" hidden="false" customHeight="false" outlineLevel="0" collapsed="false">
      <c r="A774" s="15" t="s">
        <v>2350</v>
      </c>
      <c r="B774" s="15" t="s">
        <v>106</v>
      </c>
      <c r="C774" s="15" t="s">
        <v>867</v>
      </c>
      <c r="D774" s="15" t="n">
        <v>3</v>
      </c>
      <c r="E774" s="15" t="s">
        <v>2351</v>
      </c>
      <c r="F774" s="15" t="s">
        <v>170</v>
      </c>
      <c r="G774" s="15" t="n">
        <v>25</v>
      </c>
      <c r="H774" s="15" t="n">
        <v>1978</v>
      </c>
      <c r="I774" s="15" t="n">
        <v>8</v>
      </c>
      <c r="J774" s="15" t="n">
        <v>4</v>
      </c>
      <c r="K774" s="15" t="n">
        <v>148</v>
      </c>
      <c r="L774" s="15" t="n">
        <v>98</v>
      </c>
      <c r="M774" s="15" t="n">
        <v>44</v>
      </c>
      <c r="N774" s="15" t="n">
        <v>0</v>
      </c>
      <c r="O774" s="15" t="n">
        <v>0</v>
      </c>
      <c r="P774" s="16" t="n">
        <v>0</v>
      </c>
      <c r="Q774" s="15" t="n">
        <v>0</v>
      </c>
      <c r="R774" s="15" t="n">
        <v>0</v>
      </c>
      <c r="S774" s="17" t="n">
        <v>0</v>
      </c>
      <c r="T774" s="15" t="s">
        <v>164</v>
      </c>
      <c r="U774" s="15" t="n">
        <v>2027</v>
      </c>
      <c r="V774" s="15" t="s">
        <v>2352</v>
      </c>
      <c r="W774" s="18" t="s">
        <v>139</v>
      </c>
      <c r="X774" s="18" t="s">
        <v>283</v>
      </c>
      <c r="Y774" s="15" t="s">
        <v>600</v>
      </c>
      <c r="Z774" s="15" t="s">
        <v>600</v>
      </c>
      <c r="AA774" s="19" t="str">
        <f aca="false">HYPERLINK("https://www.transfermarkt.com/schnellsuche/ergebnis/schnellsuche?query="&amp;SUBSTITUTE(A774," ","+"),"Search Transfermarkt")</f>
        <v>Search Transfermarkt</v>
      </c>
    </row>
    <row r="775" customFormat="false" ht="23.85" hidden="false" customHeight="false" outlineLevel="0" collapsed="false">
      <c r="A775" s="15" t="s">
        <v>2353</v>
      </c>
      <c r="B775" s="15" t="s">
        <v>106</v>
      </c>
      <c r="C775" s="15" t="s">
        <v>556</v>
      </c>
      <c r="D775" s="15" t="n">
        <v>2</v>
      </c>
      <c r="E775" s="15" t="s">
        <v>2354</v>
      </c>
      <c r="F775" s="15" t="s">
        <v>163</v>
      </c>
      <c r="G775" s="15" t="n">
        <v>24</v>
      </c>
      <c r="H775" s="15" t="n">
        <v>2612</v>
      </c>
      <c r="I775" s="15" t="n">
        <v>7</v>
      </c>
      <c r="J775" s="15" t="n">
        <v>8</v>
      </c>
      <c r="K775" s="15" t="n">
        <v>63</v>
      </c>
      <c r="L775" s="15" t="n">
        <v>97</v>
      </c>
      <c r="M775" s="15" t="n">
        <v>5</v>
      </c>
      <c r="N775" s="15" t="n">
        <v>0</v>
      </c>
      <c r="O775" s="15" t="n">
        <v>0</v>
      </c>
      <c r="P775" s="16" t="n">
        <v>0</v>
      </c>
      <c r="Q775" s="15" t="n">
        <v>0</v>
      </c>
      <c r="R775" s="15" t="n">
        <v>0</v>
      </c>
      <c r="S775" s="17" t="n">
        <v>59009</v>
      </c>
      <c r="T775" s="15" t="s">
        <v>137</v>
      </c>
      <c r="U775" s="15" t="n">
        <v>2026</v>
      </c>
      <c r="V775" s="15" t="s">
        <v>2355</v>
      </c>
      <c r="W775" s="18" t="s">
        <v>139</v>
      </c>
      <c r="X775" s="18" t="s">
        <v>283</v>
      </c>
      <c r="Y775" s="15" t="s">
        <v>600</v>
      </c>
      <c r="Z775" s="15" t="s">
        <v>600</v>
      </c>
      <c r="AA775" s="19" t="str">
        <f aca="false">HYPERLINK("https://www.transfermarkt.com/schnellsuche/ergebnis/schnellsuche?query="&amp;SUBSTITUTE(A775," ","+"),"Search Transfermarkt")</f>
        <v>Search Transfermarkt</v>
      </c>
    </row>
    <row r="776" customFormat="false" ht="23.85" hidden="false" customHeight="false" outlineLevel="0" collapsed="false">
      <c r="A776" s="15" t="s">
        <v>2356</v>
      </c>
      <c r="B776" s="15" t="s">
        <v>104</v>
      </c>
      <c r="C776" s="15" t="s">
        <v>1063</v>
      </c>
      <c r="D776" s="15" t="n">
        <v>3</v>
      </c>
      <c r="E776" s="15" t="s">
        <v>327</v>
      </c>
      <c r="F776" s="15" t="s">
        <v>170</v>
      </c>
      <c r="G776" s="15" t="n">
        <v>19</v>
      </c>
      <c r="H776" s="15" t="n">
        <v>2394</v>
      </c>
      <c r="I776" s="15" t="n">
        <v>10</v>
      </c>
      <c r="J776" s="15" t="n">
        <v>12</v>
      </c>
      <c r="K776" s="15" t="n">
        <v>175</v>
      </c>
      <c r="L776" s="15" t="n">
        <v>66</v>
      </c>
      <c r="M776" s="15" t="n">
        <v>42</v>
      </c>
      <c r="N776" s="15" t="n">
        <v>0</v>
      </c>
      <c r="O776" s="15" t="n">
        <v>0</v>
      </c>
      <c r="P776" s="16" t="n">
        <v>0</v>
      </c>
      <c r="Q776" s="15" t="n">
        <v>0</v>
      </c>
      <c r="R776" s="15" t="n">
        <v>0</v>
      </c>
      <c r="S776" s="17" t="n">
        <v>112185</v>
      </c>
      <c r="T776" s="15" t="s">
        <v>164</v>
      </c>
      <c r="U776" s="15" t="n">
        <v>2028</v>
      </c>
      <c r="V776" s="15" t="s">
        <v>328</v>
      </c>
      <c r="W776" s="18" t="s">
        <v>139</v>
      </c>
      <c r="X776" s="18" t="s">
        <v>274</v>
      </c>
      <c r="Y776" s="15" t="s">
        <v>600</v>
      </c>
      <c r="Z776" s="15" t="s">
        <v>600</v>
      </c>
      <c r="AA776" s="19" t="str">
        <f aca="false">HYPERLINK("https://www.transfermarkt.com/schnellsuche/ergebnis/schnellsuche?query="&amp;SUBSTITUTE(A776," ","+"),"Search Transfermarkt")</f>
        <v>Search Transfermarkt</v>
      </c>
    </row>
    <row r="777" customFormat="false" ht="23.85" hidden="false" customHeight="false" outlineLevel="0" collapsed="false">
      <c r="A777" s="15" t="s">
        <v>2357</v>
      </c>
      <c r="B777" s="15" t="s">
        <v>103</v>
      </c>
      <c r="C777" s="15" t="s">
        <v>1071</v>
      </c>
      <c r="D777" s="15" t="n">
        <v>3</v>
      </c>
      <c r="E777" s="15" t="s">
        <v>2358</v>
      </c>
      <c r="F777" s="15" t="s">
        <v>136</v>
      </c>
      <c r="G777" s="15" t="n">
        <v>18</v>
      </c>
      <c r="H777" s="15" t="n">
        <v>2420</v>
      </c>
      <c r="I777" s="15" t="n">
        <v>1</v>
      </c>
      <c r="J777" s="15" t="n">
        <v>2</v>
      </c>
      <c r="K777" s="15" t="n">
        <v>71</v>
      </c>
      <c r="L777" s="15" t="n">
        <v>28</v>
      </c>
      <c r="M777" s="15" t="n">
        <v>99</v>
      </c>
      <c r="N777" s="15" t="n">
        <v>0</v>
      </c>
      <c r="O777" s="15" t="n">
        <v>0</v>
      </c>
      <c r="P777" s="16" t="n">
        <v>0</v>
      </c>
      <c r="Q777" s="15" t="n">
        <v>0</v>
      </c>
      <c r="R777" s="15" t="n">
        <v>0</v>
      </c>
      <c r="S777" s="17" t="n">
        <v>89013</v>
      </c>
      <c r="T777" s="15" t="s">
        <v>186</v>
      </c>
      <c r="U777" s="15" t="n">
        <v>2029</v>
      </c>
      <c r="V777" s="15" t="s">
        <v>2359</v>
      </c>
      <c r="W777" s="18" t="s">
        <v>188</v>
      </c>
      <c r="X777" s="18" t="s">
        <v>481</v>
      </c>
      <c r="Y777" s="15" t="s">
        <v>600</v>
      </c>
      <c r="Z777" s="15" t="s">
        <v>600</v>
      </c>
      <c r="AA777" s="19" t="str">
        <f aca="false">HYPERLINK("https://www.transfermarkt.com/schnellsuche/ergebnis/schnellsuche?query="&amp;SUBSTITUTE(A777," ","+"),"Search Transfermarkt")</f>
        <v>Search Transfermarkt</v>
      </c>
    </row>
    <row r="778" customFormat="false" ht="23.85" hidden="false" customHeight="false" outlineLevel="0" collapsed="false">
      <c r="A778" s="15" t="s">
        <v>2360</v>
      </c>
      <c r="B778" s="15" t="s">
        <v>87</v>
      </c>
      <c r="C778" s="15" t="s">
        <v>2202</v>
      </c>
      <c r="D778" s="15" t="n">
        <v>2</v>
      </c>
      <c r="E778" s="15" t="s">
        <v>2160</v>
      </c>
      <c r="F778" s="15" t="s">
        <v>163</v>
      </c>
      <c r="G778" s="15" t="n">
        <v>22</v>
      </c>
      <c r="H778" s="15" t="n">
        <v>952</v>
      </c>
      <c r="I778" s="15" t="n">
        <v>14</v>
      </c>
      <c r="J778" s="15" t="n">
        <v>1</v>
      </c>
      <c r="K778" s="15" t="n">
        <v>43</v>
      </c>
      <c r="L778" s="15" t="n">
        <v>72</v>
      </c>
      <c r="M778" s="15" t="n">
        <v>4</v>
      </c>
      <c r="N778" s="15" t="n">
        <v>0</v>
      </c>
      <c r="O778" s="15" t="n">
        <v>0</v>
      </c>
      <c r="P778" s="16" t="n">
        <v>0</v>
      </c>
      <c r="Q778" s="15" t="n">
        <v>0</v>
      </c>
      <c r="R778" s="15" t="n">
        <v>0</v>
      </c>
      <c r="S778" s="17" t="n">
        <v>0</v>
      </c>
      <c r="T778" s="15" t="s">
        <v>137</v>
      </c>
      <c r="U778" s="15" t="n">
        <v>2026</v>
      </c>
      <c r="V778" s="15" t="s">
        <v>2161</v>
      </c>
      <c r="W778" s="18" t="s">
        <v>139</v>
      </c>
      <c r="X778" s="18" t="s">
        <v>341</v>
      </c>
      <c r="Y778" s="15" t="s">
        <v>600</v>
      </c>
      <c r="Z778" s="15" t="s">
        <v>600</v>
      </c>
      <c r="AA778" s="19" t="str">
        <f aca="false">HYPERLINK("https://www.transfermarkt.com/schnellsuche/ergebnis/schnellsuche?query="&amp;SUBSTITUTE(A778," ","+"),"Search Transfermarkt")</f>
        <v>Search Transfermarkt</v>
      </c>
    </row>
    <row r="779" customFormat="false" ht="23.85" hidden="false" customHeight="false" outlineLevel="0" collapsed="false">
      <c r="A779" s="15" t="s">
        <v>2361</v>
      </c>
      <c r="B779" s="15" t="s">
        <v>77</v>
      </c>
      <c r="C779" s="15" t="s">
        <v>770</v>
      </c>
      <c r="D779" s="15" t="n">
        <v>3</v>
      </c>
      <c r="E779" s="15" t="s">
        <v>2362</v>
      </c>
      <c r="F779" s="15" t="s">
        <v>163</v>
      </c>
      <c r="G779" s="15" t="n">
        <v>25</v>
      </c>
      <c r="H779" s="15" t="n">
        <v>940</v>
      </c>
      <c r="I779" s="15" t="n">
        <v>10</v>
      </c>
      <c r="J779" s="15" t="n">
        <v>6</v>
      </c>
      <c r="K779" s="15" t="n">
        <v>34</v>
      </c>
      <c r="L779" s="15" t="n">
        <v>71</v>
      </c>
      <c r="M779" s="15" t="n">
        <v>8</v>
      </c>
      <c r="N779" s="15" t="n">
        <v>0</v>
      </c>
      <c r="O779" s="15" t="n">
        <v>0</v>
      </c>
      <c r="P779" s="16" t="n">
        <v>0</v>
      </c>
      <c r="Q779" s="15" t="n">
        <v>0</v>
      </c>
      <c r="R779" s="15" t="n">
        <v>0</v>
      </c>
      <c r="S779" s="17" t="n">
        <v>9553</v>
      </c>
      <c r="T779" s="15" t="s">
        <v>164</v>
      </c>
      <c r="U779" s="15" t="n">
        <v>2027</v>
      </c>
      <c r="V779" s="15" t="s">
        <v>2363</v>
      </c>
      <c r="W779" s="18" t="s">
        <v>139</v>
      </c>
      <c r="X779" s="18" t="s">
        <v>358</v>
      </c>
      <c r="Y779" s="15" t="s">
        <v>600</v>
      </c>
      <c r="Z779" s="15" t="s">
        <v>600</v>
      </c>
      <c r="AA779" s="19" t="str">
        <f aca="false">HYPERLINK("https://www.transfermarkt.com/schnellsuche/ergebnis/schnellsuche?query="&amp;SUBSTITUTE(A779," ","+"),"Search Transfermarkt")</f>
        <v>Search Transfermarkt</v>
      </c>
    </row>
    <row r="780" customFormat="false" ht="23.85" hidden="false" customHeight="false" outlineLevel="0" collapsed="false">
      <c r="A780" s="15" t="s">
        <v>2364</v>
      </c>
      <c r="B780" s="15" t="s">
        <v>67</v>
      </c>
      <c r="C780" s="15" t="s">
        <v>636</v>
      </c>
      <c r="D780" s="15" t="n">
        <v>3</v>
      </c>
      <c r="E780" s="15" t="s">
        <v>598</v>
      </c>
      <c r="F780" s="15" t="s">
        <v>170</v>
      </c>
      <c r="G780" s="15" t="n">
        <v>24</v>
      </c>
      <c r="H780" s="15" t="n">
        <v>1296</v>
      </c>
      <c r="I780" s="15" t="n">
        <v>5</v>
      </c>
      <c r="J780" s="15" t="n">
        <v>14</v>
      </c>
      <c r="K780" s="15" t="n">
        <v>119</v>
      </c>
      <c r="L780" s="15" t="n">
        <v>56</v>
      </c>
      <c r="M780" s="15" t="n">
        <v>37</v>
      </c>
      <c r="N780" s="15" t="n">
        <v>0</v>
      </c>
      <c r="O780" s="15" t="n">
        <v>0</v>
      </c>
      <c r="P780" s="16" t="n">
        <v>0</v>
      </c>
      <c r="Q780" s="15" t="n">
        <v>0</v>
      </c>
      <c r="R780" s="15" t="n">
        <v>0</v>
      </c>
      <c r="S780" s="17" t="n">
        <v>131545</v>
      </c>
      <c r="T780" s="15" t="s">
        <v>137</v>
      </c>
      <c r="U780" s="15" t="n">
        <v>2029</v>
      </c>
      <c r="V780" s="15" t="s">
        <v>599</v>
      </c>
      <c r="W780" s="18" t="s">
        <v>139</v>
      </c>
      <c r="X780" s="18" t="s">
        <v>236</v>
      </c>
      <c r="Y780" s="15" t="s">
        <v>600</v>
      </c>
      <c r="Z780" s="15" t="s">
        <v>600</v>
      </c>
      <c r="AA780" s="19" t="str">
        <f aca="false">HYPERLINK("https://www.transfermarkt.com/schnellsuche/ergebnis/schnellsuche?query="&amp;SUBSTITUTE(A780," ","+"),"Search Transfermarkt")</f>
        <v>Search Transfermarkt</v>
      </c>
    </row>
    <row r="781" customFormat="false" ht="23.85" hidden="false" customHeight="false" outlineLevel="0" collapsed="false">
      <c r="A781" s="15" t="s">
        <v>2365</v>
      </c>
      <c r="B781" s="15" t="s">
        <v>96</v>
      </c>
      <c r="C781" s="15" t="s">
        <v>1263</v>
      </c>
      <c r="D781" s="15" t="n">
        <v>4</v>
      </c>
      <c r="E781" s="15" t="s">
        <v>2366</v>
      </c>
      <c r="F781" s="15" t="s">
        <v>163</v>
      </c>
      <c r="G781" s="15" t="n">
        <v>23</v>
      </c>
      <c r="H781" s="15" t="n">
        <v>2548</v>
      </c>
      <c r="I781" s="15" t="n">
        <v>13</v>
      </c>
      <c r="J781" s="15" t="n">
        <v>5</v>
      </c>
      <c r="K781" s="15" t="n">
        <v>35</v>
      </c>
      <c r="L781" s="15" t="n">
        <v>88</v>
      </c>
      <c r="M781" s="15" t="n">
        <v>13</v>
      </c>
      <c r="N781" s="15" t="n">
        <v>0</v>
      </c>
      <c r="O781" s="15" t="n">
        <v>0</v>
      </c>
      <c r="P781" s="16" t="n">
        <v>0</v>
      </c>
      <c r="Q781" s="15" t="n">
        <v>0</v>
      </c>
      <c r="R781" s="15" t="n">
        <v>0</v>
      </c>
      <c r="S781" s="17" t="n">
        <v>0</v>
      </c>
      <c r="T781" s="15" t="s">
        <v>164</v>
      </c>
      <c r="U781" s="15" t="n">
        <v>2029</v>
      </c>
      <c r="V781" s="15" t="s">
        <v>2367</v>
      </c>
      <c r="W781" s="18" t="s">
        <v>139</v>
      </c>
      <c r="X781" s="18" t="s">
        <v>216</v>
      </c>
      <c r="Y781" s="15" t="s">
        <v>600</v>
      </c>
      <c r="Z781" s="15" t="s">
        <v>600</v>
      </c>
      <c r="AA781" s="19" t="str">
        <f aca="false">HYPERLINK("https://www.transfermarkt.com/schnellsuche/ergebnis/schnellsuche?query="&amp;SUBSTITUTE(A781," ","+"),"Search Transfermarkt")</f>
        <v>Search Transfermarkt</v>
      </c>
    </row>
    <row r="782" customFormat="false" ht="23.85" hidden="false" customHeight="false" outlineLevel="0" collapsed="false">
      <c r="A782" s="15" t="s">
        <v>2368</v>
      </c>
      <c r="B782" s="15" t="s">
        <v>85</v>
      </c>
      <c r="C782" s="15" t="s">
        <v>1464</v>
      </c>
      <c r="D782" s="15" t="n">
        <v>4</v>
      </c>
      <c r="E782" s="15" t="s">
        <v>1974</v>
      </c>
      <c r="F782" s="15" t="s">
        <v>136</v>
      </c>
      <c r="G782" s="15" t="n">
        <v>24</v>
      </c>
      <c r="H782" s="15" t="n">
        <v>1851</v>
      </c>
      <c r="I782" s="15" t="n">
        <v>1</v>
      </c>
      <c r="J782" s="15" t="n">
        <v>4</v>
      </c>
      <c r="K782" s="15" t="n">
        <v>72</v>
      </c>
      <c r="L782" s="15" t="n">
        <v>35</v>
      </c>
      <c r="M782" s="15" t="n">
        <v>86</v>
      </c>
      <c r="N782" s="15" t="n">
        <v>0</v>
      </c>
      <c r="O782" s="15" t="n">
        <v>0</v>
      </c>
      <c r="P782" s="16" t="n">
        <v>0</v>
      </c>
      <c r="Q782" s="15" t="n">
        <v>0</v>
      </c>
      <c r="R782" s="15" t="n">
        <v>0</v>
      </c>
      <c r="S782" s="17" t="n">
        <v>144168</v>
      </c>
      <c r="T782" s="15" t="s">
        <v>137</v>
      </c>
      <c r="U782" s="15" t="n">
        <v>2029</v>
      </c>
      <c r="V782" s="15" t="s">
        <v>1975</v>
      </c>
      <c r="W782" s="18" t="s">
        <v>139</v>
      </c>
      <c r="X782" s="18" t="s">
        <v>265</v>
      </c>
      <c r="Y782" s="15" t="s">
        <v>600</v>
      </c>
      <c r="Z782" s="15" t="s">
        <v>600</v>
      </c>
      <c r="AA782" s="19" t="str">
        <f aca="false">HYPERLINK("https://www.transfermarkt.com/schnellsuche/ergebnis/schnellsuche?query="&amp;SUBSTITUTE(A782," ","+"),"Search Transfermarkt")</f>
        <v>Search Transfermarkt</v>
      </c>
    </row>
    <row r="783" customFormat="false" ht="23.85" hidden="false" customHeight="false" outlineLevel="0" collapsed="false">
      <c r="A783" s="15" t="s">
        <v>2369</v>
      </c>
      <c r="B783" s="15" t="s">
        <v>76</v>
      </c>
      <c r="C783" s="15" t="s">
        <v>251</v>
      </c>
      <c r="D783" s="15" t="n">
        <v>4</v>
      </c>
      <c r="E783" s="15" t="s">
        <v>2030</v>
      </c>
      <c r="F783" s="15" t="s">
        <v>163</v>
      </c>
      <c r="G783" s="15" t="n">
        <v>21</v>
      </c>
      <c r="H783" s="15" t="n">
        <v>1852</v>
      </c>
      <c r="I783" s="15" t="n">
        <v>16</v>
      </c>
      <c r="J783" s="15" t="n">
        <v>8</v>
      </c>
      <c r="K783" s="15" t="n">
        <v>44</v>
      </c>
      <c r="L783" s="15" t="n">
        <v>66</v>
      </c>
      <c r="M783" s="15" t="n">
        <v>15</v>
      </c>
      <c r="N783" s="15" t="n">
        <v>0</v>
      </c>
      <c r="O783" s="15" t="n">
        <v>0</v>
      </c>
      <c r="P783" s="16" t="n">
        <v>0</v>
      </c>
      <c r="Q783" s="15" t="n">
        <v>0</v>
      </c>
      <c r="R783" s="15" t="n">
        <v>0</v>
      </c>
      <c r="S783" s="17" t="n">
        <v>38215</v>
      </c>
      <c r="T783" s="15" t="s">
        <v>164</v>
      </c>
      <c r="U783" s="15" t="n">
        <v>2026</v>
      </c>
      <c r="V783" s="15" t="s">
        <v>2031</v>
      </c>
      <c r="W783" s="18" t="s">
        <v>139</v>
      </c>
      <c r="X783" s="18" t="s">
        <v>241</v>
      </c>
      <c r="Y783" s="15" t="s">
        <v>600</v>
      </c>
      <c r="Z783" s="15" t="s">
        <v>600</v>
      </c>
      <c r="AA783" s="19" t="str">
        <f aca="false">HYPERLINK("https://www.transfermarkt.com/schnellsuche/ergebnis/schnellsuche?query="&amp;SUBSTITUTE(A783," ","+"),"Search Transfermarkt")</f>
        <v>Search Transfermarkt</v>
      </c>
    </row>
    <row r="784" customFormat="false" ht="23.85" hidden="false" customHeight="false" outlineLevel="0" collapsed="false">
      <c r="A784" s="15" t="s">
        <v>2370</v>
      </c>
      <c r="B784" s="15" t="s">
        <v>88</v>
      </c>
      <c r="C784" s="15" t="s">
        <v>343</v>
      </c>
      <c r="D784" s="15" t="n">
        <v>3</v>
      </c>
      <c r="E784" s="15" t="s">
        <v>1057</v>
      </c>
      <c r="F784" s="15" t="s">
        <v>170</v>
      </c>
      <c r="G784" s="15" t="n">
        <v>24</v>
      </c>
      <c r="H784" s="15" t="n">
        <v>974</v>
      </c>
      <c r="I784" s="15" t="n">
        <v>8</v>
      </c>
      <c r="J784" s="15" t="n">
        <v>8</v>
      </c>
      <c r="K784" s="15" t="n">
        <v>120</v>
      </c>
      <c r="L784" s="15" t="n">
        <v>78</v>
      </c>
      <c r="M784" s="15" t="n">
        <v>30</v>
      </c>
      <c r="N784" s="15" t="n">
        <v>0</v>
      </c>
      <c r="O784" s="15" t="n">
        <v>0</v>
      </c>
      <c r="P784" s="16" t="n">
        <v>0</v>
      </c>
      <c r="Q784" s="15" t="n">
        <v>0</v>
      </c>
      <c r="R784" s="15" t="n">
        <v>0</v>
      </c>
      <c r="S784" s="17" t="n">
        <v>0</v>
      </c>
      <c r="T784" s="15" t="s">
        <v>164</v>
      </c>
      <c r="U784" s="15" t="n">
        <v>2028</v>
      </c>
      <c r="V784" s="15" t="s">
        <v>1058</v>
      </c>
      <c r="W784" s="18" t="s">
        <v>139</v>
      </c>
      <c r="X784" s="18" t="s">
        <v>320</v>
      </c>
      <c r="Y784" s="15" t="s">
        <v>600</v>
      </c>
      <c r="Z784" s="15" t="s">
        <v>600</v>
      </c>
      <c r="AA784" s="19" t="str">
        <f aca="false">HYPERLINK("https://www.transfermarkt.com/schnellsuche/ergebnis/schnellsuche?query="&amp;SUBSTITUTE(A784," ","+"),"Search Transfermarkt")</f>
        <v>Search Transfermarkt</v>
      </c>
    </row>
    <row r="785" customFormat="false" ht="23.85" hidden="false" customHeight="false" outlineLevel="0" collapsed="false">
      <c r="A785" s="15" t="s">
        <v>2371</v>
      </c>
      <c r="B785" s="15" t="s">
        <v>99</v>
      </c>
      <c r="C785" s="15" t="s">
        <v>1539</v>
      </c>
      <c r="D785" s="15" t="n">
        <v>2</v>
      </c>
      <c r="E785" s="15" t="s">
        <v>1018</v>
      </c>
      <c r="F785" s="15" t="s">
        <v>163</v>
      </c>
      <c r="G785" s="15" t="n">
        <v>22</v>
      </c>
      <c r="H785" s="15" t="n">
        <v>814</v>
      </c>
      <c r="I785" s="15" t="n">
        <v>9</v>
      </c>
      <c r="J785" s="15" t="n">
        <v>7</v>
      </c>
      <c r="K785" s="15" t="n">
        <v>52</v>
      </c>
      <c r="L785" s="15" t="n">
        <v>83</v>
      </c>
      <c r="M785" s="15" t="n">
        <v>14</v>
      </c>
      <c r="N785" s="15" t="n">
        <v>0</v>
      </c>
      <c r="O785" s="15" t="n">
        <v>0</v>
      </c>
      <c r="P785" s="16" t="n">
        <v>0</v>
      </c>
      <c r="Q785" s="15" t="n">
        <v>0</v>
      </c>
      <c r="R785" s="15" t="n">
        <v>0</v>
      </c>
      <c r="S785" s="17" t="n">
        <v>57891</v>
      </c>
      <c r="T785" s="15" t="s">
        <v>137</v>
      </c>
      <c r="U785" s="15" t="n">
        <v>2026</v>
      </c>
      <c r="V785" s="15" t="s">
        <v>1019</v>
      </c>
      <c r="W785" s="18" t="s">
        <v>139</v>
      </c>
      <c r="X785" s="18" t="s">
        <v>189</v>
      </c>
      <c r="Y785" s="15" t="s">
        <v>600</v>
      </c>
      <c r="Z785" s="15" t="s">
        <v>600</v>
      </c>
      <c r="AA785" s="19" t="str">
        <f aca="false">HYPERLINK("https://www.transfermarkt.com/schnellsuche/ergebnis/schnellsuche?query="&amp;SUBSTITUTE(A785," ","+"),"Search Transfermarkt")</f>
        <v>Search Transfermarkt</v>
      </c>
    </row>
    <row r="786" customFormat="false" ht="23.85" hidden="false" customHeight="false" outlineLevel="0" collapsed="false">
      <c r="A786" s="15" t="s">
        <v>2372</v>
      </c>
      <c r="B786" s="15" t="s">
        <v>64</v>
      </c>
      <c r="C786" s="15" t="s">
        <v>1620</v>
      </c>
      <c r="D786" s="15" t="n">
        <v>2</v>
      </c>
      <c r="E786" s="15" t="s">
        <v>2373</v>
      </c>
      <c r="F786" s="15" t="s">
        <v>170</v>
      </c>
      <c r="G786" s="15" t="n">
        <v>26</v>
      </c>
      <c r="H786" s="15" t="n">
        <v>2402</v>
      </c>
      <c r="I786" s="15" t="n">
        <v>5</v>
      </c>
      <c r="J786" s="15" t="n">
        <v>4</v>
      </c>
      <c r="K786" s="15" t="n">
        <v>161</v>
      </c>
      <c r="L786" s="15" t="n">
        <v>57</v>
      </c>
      <c r="M786" s="15" t="n">
        <v>47</v>
      </c>
      <c r="N786" s="15" t="n">
        <v>0</v>
      </c>
      <c r="O786" s="15" t="n">
        <v>0</v>
      </c>
      <c r="P786" s="16" t="n">
        <v>0</v>
      </c>
      <c r="Q786" s="15" t="n">
        <v>0</v>
      </c>
      <c r="R786" s="15" t="n">
        <v>0</v>
      </c>
      <c r="S786" s="17" t="n">
        <v>0</v>
      </c>
      <c r="T786" s="15" t="s">
        <v>137</v>
      </c>
      <c r="U786" s="15" t="n">
        <v>2026</v>
      </c>
      <c r="V786" s="15" t="s">
        <v>2374</v>
      </c>
      <c r="W786" s="18" t="s">
        <v>139</v>
      </c>
      <c r="X786" s="18" t="s">
        <v>231</v>
      </c>
      <c r="Y786" s="15" t="s">
        <v>600</v>
      </c>
      <c r="Z786" s="15" t="s">
        <v>600</v>
      </c>
      <c r="AA786" s="19" t="str">
        <f aca="false">HYPERLINK("https://www.transfermarkt.com/schnellsuche/ergebnis/schnellsuche?query="&amp;SUBSTITUTE(A786," ","+"),"Search Transfermarkt")</f>
        <v>Search Transfermarkt</v>
      </c>
    </row>
    <row r="787" customFormat="false" ht="23.85" hidden="false" customHeight="false" outlineLevel="0" collapsed="false">
      <c r="A787" s="15" t="s">
        <v>2375</v>
      </c>
      <c r="B787" s="15" t="s">
        <v>89</v>
      </c>
      <c r="C787" s="15" t="s">
        <v>969</v>
      </c>
      <c r="D787" s="15" t="n">
        <v>4</v>
      </c>
      <c r="E787" s="15" t="s">
        <v>2376</v>
      </c>
      <c r="F787" s="15" t="s">
        <v>163</v>
      </c>
      <c r="G787" s="15" t="n">
        <v>19</v>
      </c>
      <c r="H787" s="15" t="n">
        <v>1784</v>
      </c>
      <c r="I787" s="15" t="n">
        <v>16</v>
      </c>
      <c r="J787" s="15" t="n">
        <v>7</v>
      </c>
      <c r="K787" s="15" t="n">
        <v>65</v>
      </c>
      <c r="L787" s="15" t="n">
        <v>102</v>
      </c>
      <c r="M787" s="15" t="n">
        <v>8</v>
      </c>
      <c r="N787" s="15" t="n">
        <v>0</v>
      </c>
      <c r="O787" s="15" t="n">
        <v>0</v>
      </c>
      <c r="P787" s="16" t="n">
        <v>0</v>
      </c>
      <c r="Q787" s="15" t="n">
        <v>0</v>
      </c>
      <c r="R787" s="15" t="n">
        <v>0</v>
      </c>
      <c r="S787" s="17" t="n">
        <v>107714</v>
      </c>
      <c r="T787" s="15" t="s">
        <v>186</v>
      </c>
      <c r="U787" s="15" t="n">
        <v>2029</v>
      </c>
      <c r="V787" s="15" t="s">
        <v>2377</v>
      </c>
      <c r="W787" s="18" t="s">
        <v>188</v>
      </c>
      <c r="X787" s="18" t="s">
        <v>206</v>
      </c>
      <c r="Y787" s="15" t="s">
        <v>600</v>
      </c>
      <c r="Z787" s="15" t="s">
        <v>600</v>
      </c>
      <c r="AA787" s="19" t="str">
        <f aca="false">HYPERLINK("https://www.transfermarkt.com/schnellsuche/ergebnis/schnellsuche?query="&amp;SUBSTITUTE(A787," ","+"),"Search Transfermarkt")</f>
        <v>Search Transfermarkt</v>
      </c>
    </row>
    <row r="788" customFormat="false" ht="23.85" hidden="false" customHeight="false" outlineLevel="0" collapsed="false">
      <c r="A788" s="15" t="s">
        <v>2378</v>
      </c>
      <c r="B788" s="15" t="s">
        <v>96</v>
      </c>
      <c r="C788" s="15" t="s">
        <v>1089</v>
      </c>
      <c r="D788" s="15" t="n">
        <v>2</v>
      </c>
      <c r="E788" s="15" t="s">
        <v>2379</v>
      </c>
      <c r="F788" s="15" t="s">
        <v>157</v>
      </c>
      <c r="G788" s="15" t="n">
        <v>18</v>
      </c>
      <c r="H788" s="15" t="n">
        <v>2408</v>
      </c>
      <c r="I788" s="15" t="n">
        <v>0</v>
      </c>
      <c r="J788" s="15" t="n">
        <v>0</v>
      </c>
      <c r="K788" s="15" t="n">
        <v>9</v>
      </c>
      <c r="L788" s="15" t="n">
        <v>1</v>
      </c>
      <c r="M788" s="15" t="n">
        <v>7</v>
      </c>
      <c r="N788" s="15" t="n">
        <v>87</v>
      </c>
      <c r="O788" s="15" t="n">
        <v>32</v>
      </c>
      <c r="P788" s="16" t="n">
        <v>78.7</v>
      </c>
      <c r="Q788" s="15" t="n">
        <v>5.5</v>
      </c>
      <c r="R788" s="15" t="n">
        <v>7</v>
      </c>
      <c r="S788" s="17" t="n">
        <v>99073</v>
      </c>
      <c r="T788" s="15" t="s">
        <v>164</v>
      </c>
      <c r="U788" s="15" t="n">
        <v>2028</v>
      </c>
      <c r="V788" s="15" t="s">
        <v>2380</v>
      </c>
      <c r="W788" s="18" t="s">
        <v>139</v>
      </c>
      <c r="X788" s="18" t="s">
        <v>216</v>
      </c>
      <c r="Y788" s="15" t="s">
        <v>600</v>
      </c>
      <c r="Z788" s="15" t="s">
        <v>600</v>
      </c>
      <c r="AA788" s="19" t="str">
        <f aca="false">HYPERLINK("https://www.transfermarkt.com/schnellsuche/ergebnis/schnellsuche?query="&amp;SUBSTITUTE(A788," ","+"),"Search Transfermarkt")</f>
        <v>Search Transfermarkt</v>
      </c>
    </row>
    <row r="789" customFormat="false" ht="23.85" hidden="false" customHeight="false" outlineLevel="0" collapsed="false">
      <c r="A789" s="15" t="s">
        <v>2381</v>
      </c>
      <c r="B789" s="15" t="s">
        <v>104</v>
      </c>
      <c r="C789" s="15" t="s">
        <v>1063</v>
      </c>
      <c r="D789" s="15" t="n">
        <v>2</v>
      </c>
      <c r="E789" s="15" t="s">
        <v>1571</v>
      </c>
      <c r="F789" s="15" t="s">
        <v>163</v>
      </c>
      <c r="G789" s="15" t="n">
        <v>17</v>
      </c>
      <c r="H789" s="15" t="n">
        <v>2081</v>
      </c>
      <c r="I789" s="15" t="n">
        <v>7</v>
      </c>
      <c r="J789" s="15" t="n">
        <v>9</v>
      </c>
      <c r="K789" s="15" t="n">
        <v>31</v>
      </c>
      <c r="L789" s="15" t="n">
        <v>70</v>
      </c>
      <c r="M789" s="15" t="n">
        <v>16</v>
      </c>
      <c r="N789" s="15" t="n">
        <v>0</v>
      </c>
      <c r="O789" s="15" t="n">
        <v>0</v>
      </c>
      <c r="P789" s="16" t="n">
        <v>0</v>
      </c>
      <c r="Q789" s="15" t="n">
        <v>0</v>
      </c>
      <c r="R789" s="15" t="n">
        <v>0</v>
      </c>
      <c r="S789" s="17" t="n">
        <v>125986</v>
      </c>
      <c r="T789" s="15" t="s">
        <v>164</v>
      </c>
      <c r="U789" s="15" t="n">
        <v>2026</v>
      </c>
      <c r="V789" s="15" t="s">
        <v>1572</v>
      </c>
      <c r="W789" s="18" t="s">
        <v>147</v>
      </c>
      <c r="X789" s="18" t="s">
        <v>274</v>
      </c>
      <c r="Y789" s="15" t="s">
        <v>600</v>
      </c>
      <c r="Z789" s="15" t="s">
        <v>600</v>
      </c>
      <c r="AA789" s="19" t="str">
        <f aca="false">HYPERLINK("https://www.transfermarkt.com/schnellsuche/ergebnis/schnellsuche?query="&amp;SUBSTITUTE(A789," ","+"),"Search Transfermarkt")</f>
        <v>Search Transfermarkt</v>
      </c>
    </row>
    <row r="790" customFormat="false" ht="23.85" hidden="false" customHeight="false" outlineLevel="0" collapsed="false">
      <c r="A790" s="15" t="s">
        <v>2382</v>
      </c>
      <c r="B790" s="15" t="s">
        <v>88</v>
      </c>
      <c r="C790" s="15" t="s">
        <v>1347</v>
      </c>
      <c r="D790" s="15" t="n">
        <v>3</v>
      </c>
      <c r="E790" s="15" t="s">
        <v>1761</v>
      </c>
      <c r="F790" s="15" t="s">
        <v>136</v>
      </c>
      <c r="G790" s="15" t="n">
        <v>17</v>
      </c>
      <c r="H790" s="15" t="n">
        <v>1159</v>
      </c>
      <c r="I790" s="15" t="n">
        <v>1</v>
      </c>
      <c r="J790" s="15" t="n">
        <v>5</v>
      </c>
      <c r="K790" s="15" t="n">
        <v>70</v>
      </c>
      <c r="L790" s="15" t="n">
        <v>45</v>
      </c>
      <c r="M790" s="15" t="n">
        <v>90</v>
      </c>
      <c r="N790" s="15" t="n">
        <v>0</v>
      </c>
      <c r="O790" s="15" t="n">
        <v>0</v>
      </c>
      <c r="P790" s="16" t="n">
        <v>0</v>
      </c>
      <c r="Q790" s="15" t="n">
        <v>0</v>
      </c>
      <c r="R790" s="15" t="n">
        <v>0</v>
      </c>
      <c r="S790" s="17" t="n">
        <v>23519</v>
      </c>
      <c r="T790" s="15" t="s">
        <v>137</v>
      </c>
      <c r="U790" s="15" t="n">
        <v>2028</v>
      </c>
      <c r="V790" s="15" t="s">
        <v>1762</v>
      </c>
      <c r="W790" s="18" t="s">
        <v>147</v>
      </c>
      <c r="X790" s="18" t="s">
        <v>320</v>
      </c>
      <c r="Y790" s="15" t="s">
        <v>600</v>
      </c>
      <c r="Z790" s="15" t="s">
        <v>600</v>
      </c>
      <c r="AA790" s="19" t="str">
        <f aca="false">HYPERLINK("https://www.transfermarkt.com/schnellsuche/ergebnis/schnellsuche?query="&amp;SUBSTITUTE(A790," ","+"),"Search Transfermarkt")</f>
        <v>Search Transfermarkt</v>
      </c>
    </row>
    <row r="791" customFormat="false" ht="23.85" hidden="false" customHeight="false" outlineLevel="0" collapsed="false">
      <c r="A791" s="15" t="s">
        <v>2383</v>
      </c>
      <c r="B791" s="15" t="s">
        <v>87</v>
      </c>
      <c r="C791" s="15" t="s">
        <v>959</v>
      </c>
      <c r="D791" s="15" t="n">
        <v>2</v>
      </c>
      <c r="E791" s="15" t="s">
        <v>2384</v>
      </c>
      <c r="F791" s="15" t="s">
        <v>136</v>
      </c>
      <c r="G791" s="15" t="n">
        <v>17</v>
      </c>
      <c r="H791" s="15" t="n">
        <v>1862</v>
      </c>
      <c r="I791" s="15" t="n">
        <v>3</v>
      </c>
      <c r="J791" s="15" t="n">
        <v>0</v>
      </c>
      <c r="K791" s="15" t="n">
        <v>53</v>
      </c>
      <c r="L791" s="15" t="n">
        <v>27</v>
      </c>
      <c r="M791" s="15" t="n">
        <v>93</v>
      </c>
      <c r="N791" s="15" t="n">
        <v>0</v>
      </c>
      <c r="O791" s="15" t="n">
        <v>0</v>
      </c>
      <c r="P791" s="16" t="n">
        <v>0</v>
      </c>
      <c r="Q791" s="15" t="n">
        <v>0</v>
      </c>
      <c r="R791" s="15" t="n">
        <v>0</v>
      </c>
      <c r="S791" s="17" t="n">
        <v>103308</v>
      </c>
      <c r="T791" s="15" t="s">
        <v>137</v>
      </c>
      <c r="U791" s="15" t="n">
        <v>2028</v>
      </c>
      <c r="V791" s="15" t="s">
        <v>2385</v>
      </c>
      <c r="W791" s="18" t="s">
        <v>147</v>
      </c>
      <c r="X791" s="18" t="s">
        <v>341</v>
      </c>
      <c r="Y791" s="15" t="s">
        <v>600</v>
      </c>
      <c r="Z791" s="15" t="s">
        <v>600</v>
      </c>
      <c r="AA791" s="19" t="str">
        <f aca="false">HYPERLINK("https://www.transfermarkt.com/schnellsuche/ergebnis/schnellsuche?query="&amp;SUBSTITUTE(A791," ","+"),"Search Transfermarkt")</f>
        <v>Search Transfermarkt</v>
      </c>
    </row>
    <row r="792" customFormat="false" ht="23.85" hidden="false" customHeight="false" outlineLevel="0" collapsed="false">
      <c r="A792" s="15" t="s">
        <v>2386</v>
      </c>
      <c r="B792" s="15" t="s">
        <v>89</v>
      </c>
      <c r="C792" s="15" t="s">
        <v>548</v>
      </c>
      <c r="D792" s="15" t="n">
        <v>3</v>
      </c>
      <c r="E792" s="15" t="s">
        <v>2387</v>
      </c>
      <c r="F792" s="15" t="s">
        <v>163</v>
      </c>
      <c r="G792" s="15" t="n">
        <v>19</v>
      </c>
      <c r="H792" s="15" t="n">
        <v>2298</v>
      </c>
      <c r="I792" s="15" t="n">
        <v>14</v>
      </c>
      <c r="J792" s="15" t="n">
        <v>8</v>
      </c>
      <c r="K792" s="15" t="n">
        <v>46</v>
      </c>
      <c r="L792" s="15" t="n">
        <v>82</v>
      </c>
      <c r="M792" s="15" t="n">
        <v>7</v>
      </c>
      <c r="N792" s="15" t="n">
        <v>0</v>
      </c>
      <c r="O792" s="15" t="n">
        <v>0</v>
      </c>
      <c r="P792" s="16" t="n">
        <v>0</v>
      </c>
      <c r="Q792" s="15" t="n">
        <v>0</v>
      </c>
      <c r="R792" s="15" t="n">
        <v>0</v>
      </c>
      <c r="S792" s="17" t="n">
        <v>132724</v>
      </c>
      <c r="T792" s="15" t="s">
        <v>164</v>
      </c>
      <c r="U792" s="15" t="n">
        <v>2029</v>
      </c>
      <c r="V792" s="15" t="s">
        <v>2388</v>
      </c>
      <c r="W792" s="18" t="s">
        <v>139</v>
      </c>
      <c r="X792" s="18" t="s">
        <v>206</v>
      </c>
      <c r="Y792" s="15" t="s">
        <v>600</v>
      </c>
      <c r="Z792" s="15" t="s">
        <v>600</v>
      </c>
      <c r="AA792" s="19" t="str">
        <f aca="false">HYPERLINK("https://www.transfermarkt.com/schnellsuche/ergebnis/schnellsuche?query="&amp;SUBSTITUTE(A792," ","+"),"Search Transfermarkt")</f>
        <v>Search Transfermarkt</v>
      </c>
    </row>
    <row r="793" customFormat="false" ht="23.85" hidden="false" customHeight="false" outlineLevel="0" collapsed="false">
      <c r="A793" s="15" t="s">
        <v>2389</v>
      </c>
      <c r="B793" s="15" t="s">
        <v>103</v>
      </c>
      <c r="C793" s="15" t="s">
        <v>501</v>
      </c>
      <c r="D793" s="15" t="n">
        <v>3</v>
      </c>
      <c r="E793" s="15" t="s">
        <v>2187</v>
      </c>
      <c r="F793" s="15" t="s">
        <v>157</v>
      </c>
      <c r="G793" s="15" t="n">
        <v>23</v>
      </c>
      <c r="H793" s="15" t="n">
        <v>1877</v>
      </c>
      <c r="I793" s="15" t="n">
        <v>0</v>
      </c>
      <c r="J793" s="15" t="n">
        <v>0</v>
      </c>
      <c r="K793" s="15" t="n">
        <v>18</v>
      </c>
      <c r="L793" s="15" t="n">
        <v>6</v>
      </c>
      <c r="M793" s="15" t="n">
        <v>3</v>
      </c>
      <c r="N793" s="15" t="n">
        <v>69</v>
      </c>
      <c r="O793" s="15" t="n">
        <v>22</v>
      </c>
      <c r="P793" s="16" t="n">
        <v>69.6</v>
      </c>
      <c r="Q793" s="15" t="n">
        <v>8.2</v>
      </c>
      <c r="R793" s="15" t="n">
        <v>7</v>
      </c>
      <c r="S793" s="17" t="n">
        <v>83434</v>
      </c>
      <c r="T793" s="15" t="s">
        <v>137</v>
      </c>
      <c r="U793" s="15" t="n">
        <v>2028</v>
      </c>
      <c r="V793" s="15" t="s">
        <v>2188</v>
      </c>
      <c r="W793" s="18" t="s">
        <v>139</v>
      </c>
      <c r="X793" s="18" t="s">
        <v>481</v>
      </c>
      <c r="Y793" s="15" t="s">
        <v>600</v>
      </c>
      <c r="Z793" s="15" t="s">
        <v>600</v>
      </c>
      <c r="AA793" s="19" t="str">
        <f aca="false">HYPERLINK("https://www.transfermarkt.com/schnellsuche/ergebnis/schnellsuche?query="&amp;SUBSTITUTE(A793," ","+"),"Search Transfermarkt")</f>
        <v>Search Transfermarkt</v>
      </c>
    </row>
    <row r="794" customFormat="false" ht="23.85" hidden="false" customHeight="false" outlineLevel="0" collapsed="false">
      <c r="A794" s="15" t="s">
        <v>2390</v>
      </c>
      <c r="B794" s="15" t="s">
        <v>94</v>
      </c>
      <c r="C794" s="15" t="s">
        <v>594</v>
      </c>
      <c r="D794" s="15" t="n">
        <v>4</v>
      </c>
      <c r="E794" s="15" t="s">
        <v>629</v>
      </c>
      <c r="F794" s="15" t="s">
        <v>136</v>
      </c>
      <c r="G794" s="15" t="n">
        <v>22</v>
      </c>
      <c r="H794" s="15" t="n">
        <v>2422</v>
      </c>
      <c r="I794" s="15" t="n">
        <v>0</v>
      </c>
      <c r="J794" s="15" t="n">
        <v>1</v>
      </c>
      <c r="K794" s="15" t="n">
        <v>44</v>
      </c>
      <c r="L794" s="15" t="n">
        <v>44</v>
      </c>
      <c r="M794" s="15" t="n">
        <v>97</v>
      </c>
      <c r="N794" s="15" t="n">
        <v>0</v>
      </c>
      <c r="O794" s="15" t="n">
        <v>0</v>
      </c>
      <c r="P794" s="16" t="n">
        <v>0</v>
      </c>
      <c r="Q794" s="15" t="n">
        <v>0</v>
      </c>
      <c r="R794" s="15" t="n">
        <v>0</v>
      </c>
      <c r="S794" s="17" t="n">
        <v>124098</v>
      </c>
      <c r="T794" s="15" t="s">
        <v>137</v>
      </c>
      <c r="U794" s="15" t="n">
        <v>2027</v>
      </c>
      <c r="V794" s="15" t="s">
        <v>630</v>
      </c>
      <c r="W794" s="18" t="s">
        <v>139</v>
      </c>
      <c r="X794" s="18" t="s">
        <v>226</v>
      </c>
      <c r="Y794" s="15" t="s">
        <v>600</v>
      </c>
      <c r="Z794" s="15" t="s">
        <v>600</v>
      </c>
      <c r="AA794" s="19" t="str">
        <f aca="false">HYPERLINK("https://www.transfermarkt.com/schnellsuche/ergebnis/schnellsuche?query="&amp;SUBSTITUTE(A794," ","+"),"Search Transfermarkt")</f>
        <v>Search Transfermarkt</v>
      </c>
    </row>
    <row r="795" customFormat="false" ht="23.85" hidden="false" customHeight="false" outlineLevel="0" collapsed="false">
      <c r="A795" s="15" t="s">
        <v>2391</v>
      </c>
      <c r="B795" s="15" t="s">
        <v>96</v>
      </c>
      <c r="C795" s="15" t="s">
        <v>414</v>
      </c>
      <c r="D795" s="15" t="n">
        <v>2</v>
      </c>
      <c r="E795" s="15" t="s">
        <v>673</v>
      </c>
      <c r="F795" s="15" t="s">
        <v>163</v>
      </c>
      <c r="G795" s="15" t="n">
        <v>26</v>
      </c>
      <c r="H795" s="15" t="n">
        <v>1607</v>
      </c>
      <c r="I795" s="15" t="n">
        <v>16</v>
      </c>
      <c r="J795" s="15" t="n">
        <v>2</v>
      </c>
      <c r="K795" s="15" t="n">
        <v>68</v>
      </c>
      <c r="L795" s="15" t="n">
        <v>79</v>
      </c>
      <c r="M795" s="15" t="n">
        <v>8</v>
      </c>
      <c r="N795" s="15" t="n">
        <v>0</v>
      </c>
      <c r="O795" s="15" t="n">
        <v>0</v>
      </c>
      <c r="P795" s="16" t="n">
        <v>0</v>
      </c>
      <c r="Q795" s="15" t="n">
        <v>0</v>
      </c>
      <c r="R795" s="15" t="n">
        <v>0</v>
      </c>
      <c r="S795" s="17" t="n">
        <v>78843</v>
      </c>
      <c r="T795" s="15" t="s">
        <v>186</v>
      </c>
      <c r="U795" s="15" t="n">
        <v>2026</v>
      </c>
      <c r="V795" s="15" t="s">
        <v>674</v>
      </c>
      <c r="W795" s="18" t="s">
        <v>188</v>
      </c>
      <c r="X795" s="18" t="s">
        <v>216</v>
      </c>
      <c r="Y795" s="15" t="s">
        <v>600</v>
      </c>
      <c r="Z795" s="15" t="s">
        <v>600</v>
      </c>
      <c r="AA795" s="19" t="str">
        <f aca="false">HYPERLINK("https://www.transfermarkt.com/schnellsuche/ergebnis/schnellsuche?query="&amp;SUBSTITUTE(A795," ","+"),"Search Transfermarkt")</f>
        <v>Search Transfermarkt</v>
      </c>
    </row>
    <row r="796" customFormat="false" ht="23.85" hidden="false" customHeight="false" outlineLevel="0" collapsed="false">
      <c r="A796" s="15" t="s">
        <v>2392</v>
      </c>
      <c r="B796" s="15" t="s">
        <v>69</v>
      </c>
      <c r="C796" s="15" t="s">
        <v>134</v>
      </c>
      <c r="D796" s="15" t="n">
        <v>3</v>
      </c>
      <c r="E796" s="15" t="s">
        <v>135</v>
      </c>
      <c r="F796" s="15" t="s">
        <v>163</v>
      </c>
      <c r="G796" s="15" t="n">
        <v>20</v>
      </c>
      <c r="H796" s="15" t="n">
        <v>1222</v>
      </c>
      <c r="I796" s="15" t="n">
        <v>7</v>
      </c>
      <c r="J796" s="15" t="n">
        <v>6</v>
      </c>
      <c r="K796" s="15" t="n">
        <v>30</v>
      </c>
      <c r="L796" s="15" t="n">
        <v>59</v>
      </c>
      <c r="M796" s="15" t="n">
        <v>12</v>
      </c>
      <c r="N796" s="15" t="n">
        <v>0</v>
      </c>
      <c r="O796" s="15" t="n">
        <v>0</v>
      </c>
      <c r="P796" s="16" t="n">
        <v>0</v>
      </c>
      <c r="Q796" s="15" t="n">
        <v>0</v>
      </c>
      <c r="R796" s="15" t="n">
        <v>0</v>
      </c>
      <c r="S796" s="17" t="n">
        <v>0</v>
      </c>
      <c r="T796" s="15" t="s">
        <v>137</v>
      </c>
      <c r="U796" s="15" t="n">
        <v>2026</v>
      </c>
      <c r="V796" s="15" t="s">
        <v>138</v>
      </c>
      <c r="W796" s="18" t="s">
        <v>139</v>
      </c>
      <c r="X796" s="18" t="s">
        <v>140</v>
      </c>
      <c r="Y796" s="15" t="s">
        <v>600</v>
      </c>
      <c r="Z796" s="15" t="s">
        <v>600</v>
      </c>
      <c r="AA796" s="19" t="str">
        <f aca="false">HYPERLINK("https://www.transfermarkt.com/schnellsuche/ergebnis/schnellsuche?query="&amp;SUBSTITUTE(A796," ","+"),"Search Transfermarkt")</f>
        <v>Search Transfermarkt</v>
      </c>
    </row>
    <row r="797" customFormat="false" ht="23.85" hidden="false" customHeight="false" outlineLevel="0" collapsed="false">
      <c r="A797" s="15" t="s">
        <v>2393</v>
      </c>
      <c r="B797" s="15" t="s">
        <v>83</v>
      </c>
      <c r="C797" s="15" t="s">
        <v>400</v>
      </c>
      <c r="D797" s="15" t="n">
        <v>2</v>
      </c>
      <c r="E797" s="15" t="s">
        <v>2033</v>
      </c>
      <c r="F797" s="15" t="s">
        <v>170</v>
      </c>
      <c r="G797" s="15" t="n">
        <v>22</v>
      </c>
      <c r="H797" s="15" t="n">
        <v>1447</v>
      </c>
      <c r="I797" s="15" t="n">
        <v>7</v>
      </c>
      <c r="J797" s="15" t="n">
        <v>4</v>
      </c>
      <c r="K797" s="15" t="n">
        <v>126</v>
      </c>
      <c r="L797" s="15" t="n">
        <v>71</v>
      </c>
      <c r="M797" s="15" t="n">
        <v>53</v>
      </c>
      <c r="N797" s="15" t="n">
        <v>0</v>
      </c>
      <c r="O797" s="15" t="n">
        <v>0</v>
      </c>
      <c r="P797" s="16" t="n">
        <v>0</v>
      </c>
      <c r="Q797" s="15" t="n">
        <v>0</v>
      </c>
      <c r="R797" s="15" t="n">
        <v>0</v>
      </c>
      <c r="S797" s="17" t="n">
        <v>45329</v>
      </c>
      <c r="T797" s="15" t="s">
        <v>186</v>
      </c>
      <c r="U797" s="15" t="n">
        <v>2026</v>
      </c>
      <c r="V797" s="15" t="s">
        <v>2034</v>
      </c>
      <c r="W797" s="18" t="s">
        <v>188</v>
      </c>
      <c r="X797" s="18" t="s">
        <v>379</v>
      </c>
      <c r="Y797" s="15" t="s">
        <v>600</v>
      </c>
      <c r="Z797" s="15" t="s">
        <v>600</v>
      </c>
      <c r="AA797" s="19" t="str">
        <f aca="false">HYPERLINK("https://www.transfermarkt.com/schnellsuche/ergebnis/schnellsuche?query="&amp;SUBSTITUTE(A797," ","+"),"Search Transfermarkt")</f>
        <v>Search Transfermarkt</v>
      </c>
    </row>
    <row r="798" customFormat="false" ht="23.85" hidden="false" customHeight="false" outlineLevel="0" collapsed="false">
      <c r="A798" s="15" t="s">
        <v>2394</v>
      </c>
      <c r="B798" s="15" t="s">
        <v>82</v>
      </c>
      <c r="C798" s="15" t="s">
        <v>2395</v>
      </c>
      <c r="D798" s="15" t="n">
        <v>4</v>
      </c>
      <c r="E798" s="15" t="s">
        <v>2396</v>
      </c>
      <c r="F798" s="15" t="s">
        <v>157</v>
      </c>
      <c r="G798" s="15" t="n">
        <v>22</v>
      </c>
      <c r="H798" s="15" t="n">
        <v>2577</v>
      </c>
      <c r="I798" s="15" t="n">
        <v>0</v>
      </c>
      <c r="J798" s="15" t="n">
        <v>0</v>
      </c>
      <c r="K798" s="15" t="n">
        <v>13</v>
      </c>
      <c r="L798" s="15" t="n">
        <v>5</v>
      </c>
      <c r="M798" s="15" t="n">
        <v>4</v>
      </c>
      <c r="N798" s="15" t="n">
        <v>107</v>
      </c>
      <c r="O798" s="15" t="n">
        <v>45</v>
      </c>
      <c r="P798" s="16" t="n">
        <v>67.7</v>
      </c>
      <c r="Q798" s="15" t="n">
        <v>21.2</v>
      </c>
      <c r="R798" s="15" t="n">
        <v>8</v>
      </c>
      <c r="S798" s="17" t="n">
        <v>141183</v>
      </c>
      <c r="T798" s="15" t="s">
        <v>164</v>
      </c>
      <c r="U798" s="15" t="n">
        <v>2028</v>
      </c>
      <c r="V798" s="15" t="s">
        <v>2397</v>
      </c>
      <c r="W798" s="18" t="s">
        <v>139</v>
      </c>
      <c r="X798" s="18" t="s">
        <v>166</v>
      </c>
      <c r="Y798" s="15" t="s">
        <v>600</v>
      </c>
      <c r="Z798" s="15" t="s">
        <v>600</v>
      </c>
      <c r="AA798" s="19" t="str">
        <f aca="false">HYPERLINK("https://www.transfermarkt.com/schnellsuche/ergebnis/schnellsuche?query="&amp;SUBSTITUTE(A798," ","+"),"Search Transfermarkt")</f>
        <v>Search Transfermarkt</v>
      </c>
    </row>
    <row r="799" customFormat="false" ht="23.85" hidden="false" customHeight="false" outlineLevel="0" collapsed="false">
      <c r="A799" s="15" t="s">
        <v>2398</v>
      </c>
      <c r="B799" s="15" t="s">
        <v>64</v>
      </c>
      <c r="C799" s="15" t="s">
        <v>1620</v>
      </c>
      <c r="D799" s="15" t="n">
        <v>2</v>
      </c>
      <c r="E799" s="15" t="s">
        <v>2399</v>
      </c>
      <c r="F799" s="15" t="s">
        <v>170</v>
      </c>
      <c r="G799" s="15" t="n">
        <v>19</v>
      </c>
      <c r="H799" s="15" t="n">
        <v>1651</v>
      </c>
      <c r="I799" s="15" t="n">
        <v>2</v>
      </c>
      <c r="J799" s="15" t="n">
        <v>6</v>
      </c>
      <c r="K799" s="15" t="n">
        <v>144</v>
      </c>
      <c r="L799" s="15" t="n">
        <v>66</v>
      </c>
      <c r="M799" s="15" t="n">
        <v>42</v>
      </c>
      <c r="N799" s="15" t="n">
        <v>0</v>
      </c>
      <c r="O799" s="15" t="n">
        <v>0</v>
      </c>
      <c r="P799" s="16" t="n">
        <v>0</v>
      </c>
      <c r="Q799" s="15" t="n">
        <v>0</v>
      </c>
      <c r="R799" s="15" t="n">
        <v>0</v>
      </c>
      <c r="S799" s="17" t="n">
        <v>135378</v>
      </c>
      <c r="T799" s="15" t="s">
        <v>137</v>
      </c>
      <c r="U799" s="15" t="n">
        <v>2028</v>
      </c>
      <c r="V799" s="15" t="s">
        <v>2400</v>
      </c>
      <c r="W799" s="18" t="s">
        <v>139</v>
      </c>
      <c r="X799" s="18" t="s">
        <v>231</v>
      </c>
      <c r="Y799" s="15" t="s">
        <v>600</v>
      </c>
      <c r="Z799" s="15" t="s">
        <v>600</v>
      </c>
      <c r="AA799" s="19" t="str">
        <f aca="false">HYPERLINK("https://www.transfermarkt.com/schnellsuche/ergebnis/schnellsuche?query="&amp;SUBSTITUTE(A799," ","+"),"Search Transfermarkt")</f>
        <v>Search Transfermarkt</v>
      </c>
    </row>
    <row r="800" customFormat="false" ht="23.85" hidden="false" customHeight="false" outlineLevel="0" collapsed="false">
      <c r="A800" s="15" t="s">
        <v>2401</v>
      </c>
      <c r="B800" s="15" t="s">
        <v>96</v>
      </c>
      <c r="C800" s="15" t="s">
        <v>665</v>
      </c>
      <c r="D800" s="15" t="n">
        <v>4</v>
      </c>
      <c r="E800" s="15" t="s">
        <v>2402</v>
      </c>
      <c r="F800" s="15" t="s">
        <v>157</v>
      </c>
      <c r="G800" s="15" t="n">
        <v>17</v>
      </c>
      <c r="H800" s="15" t="n">
        <v>1046</v>
      </c>
      <c r="I800" s="15" t="n">
        <v>0</v>
      </c>
      <c r="J800" s="15" t="n">
        <v>0</v>
      </c>
      <c r="K800" s="15" t="n">
        <v>11</v>
      </c>
      <c r="L800" s="15" t="n">
        <v>5</v>
      </c>
      <c r="M800" s="15" t="n">
        <v>7</v>
      </c>
      <c r="N800" s="15" t="n">
        <v>50</v>
      </c>
      <c r="O800" s="15" t="n">
        <v>21</v>
      </c>
      <c r="P800" s="16" t="n">
        <v>85.8</v>
      </c>
      <c r="Q800" s="15" t="n">
        <v>10.7</v>
      </c>
      <c r="R800" s="15" t="n">
        <v>2</v>
      </c>
      <c r="S800" s="17" t="n">
        <v>54788</v>
      </c>
      <c r="T800" s="15" t="s">
        <v>137</v>
      </c>
      <c r="U800" s="15" t="n">
        <v>2029</v>
      </c>
      <c r="V800" s="15" t="s">
        <v>2403</v>
      </c>
      <c r="W800" s="18" t="s">
        <v>147</v>
      </c>
      <c r="X800" s="18" t="s">
        <v>216</v>
      </c>
      <c r="Y800" s="15" t="s">
        <v>600</v>
      </c>
      <c r="Z800" s="15" t="s">
        <v>600</v>
      </c>
      <c r="AA800" s="19" t="str">
        <f aca="false">HYPERLINK("https://www.transfermarkt.com/schnellsuche/ergebnis/schnellsuche?query="&amp;SUBSTITUTE(A800," ","+"),"Search Transfermarkt")</f>
        <v>Search Transfermarkt</v>
      </c>
    </row>
    <row r="801" customFormat="false" ht="23.85" hidden="false" customHeight="false" outlineLevel="0" collapsed="false">
      <c r="A801" s="15" t="s">
        <v>2404</v>
      </c>
      <c r="B801" s="15" t="s">
        <v>85</v>
      </c>
      <c r="C801" s="15" t="s">
        <v>330</v>
      </c>
      <c r="D801" s="15" t="n">
        <v>2</v>
      </c>
      <c r="E801" s="15" t="s">
        <v>2405</v>
      </c>
      <c r="F801" s="15" t="s">
        <v>170</v>
      </c>
      <c r="G801" s="15" t="n">
        <v>26</v>
      </c>
      <c r="H801" s="15" t="n">
        <v>1917</v>
      </c>
      <c r="I801" s="15" t="n">
        <v>7</v>
      </c>
      <c r="J801" s="15" t="n">
        <v>10</v>
      </c>
      <c r="K801" s="15" t="n">
        <v>150</v>
      </c>
      <c r="L801" s="15" t="n">
        <v>67</v>
      </c>
      <c r="M801" s="15" t="n">
        <v>34</v>
      </c>
      <c r="N801" s="15" t="n">
        <v>0</v>
      </c>
      <c r="O801" s="15" t="n">
        <v>0</v>
      </c>
      <c r="P801" s="16" t="n">
        <v>0</v>
      </c>
      <c r="Q801" s="15" t="n">
        <v>0</v>
      </c>
      <c r="R801" s="15" t="n">
        <v>0</v>
      </c>
      <c r="S801" s="17" t="n">
        <v>52416</v>
      </c>
      <c r="T801" s="15" t="s">
        <v>164</v>
      </c>
      <c r="U801" s="15" t="n">
        <v>2027</v>
      </c>
      <c r="V801" s="15" t="s">
        <v>2406</v>
      </c>
      <c r="W801" s="18" t="s">
        <v>139</v>
      </c>
      <c r="X801" s="18" t="s">
        <v>265</v>
      </c>
      <c r="Y801" s="15" t="s">
        <v>600</v>
      </c>
      <c r="Z801" s="15" t="s">
        <v>600</v>
      </c>
      <c r="AA801" s="19" t="str">
        <f aca="false">HYPERLINK("https://www.transfermarkt.com/schnellsuche/ergebnis/schnellsuche?query="&amp;SUBSTITUTE(A801," ","+"),"Search Transfermarkt")</f>
        <v>Search Transfermarkt</v>
      </c>
    </row>
    <row r="802" customFormat="false" ht="23.85" hidden="false" customHeight="false" outlineLevel="0" collapsed="false">
      <c r="A802" s="15" t="s">
        <v>2407</v>
      </c>
      <c r="B802" s="15" t="s">
        <v>106</v>
      </c>
      <c r="C802" s="15" t="s">
        <v>859</v>
      </c>
      <c r="D802" s="15" t="n">
        <v>3</v>
      </c>
      <c r="E802" s="15" t="s">
        <v>2085</v>
      </c>
      <c r="F802" s="15" t="s">
        <v>170</v>
      </c>
      <c r="G802" s="15" t="n">
        <v>21</v>
      </c>
      <c r="H802" s="15" t="n">
        <v>1455</v>
      </c>
      <c r="I802" s="15" t="n">
        <v>5</v>
      </c>
      <c r="J802" s="15" t="n">
        <v>4</v>
      </c>
      <c r="K802" s="15" t="n">
        <v>141</v>
      </c>
      <c r="L802" s="15" t="n">
        <v>62</v>
      </c>
      <c r="M802" s="15" t="n">
        <v>43</v>
      </c>
      <c r="N802" s="15" t="n">
        <v>0</v>
      </c>
      <c r="O802" s="15" t="n">
        <v>0</v>
      </c>
      <c r="P802" s="16" t="n">
        <v>0</v>
      </c>
      <c r="Q802" s="15" t="n">
        <v>0</v>
      </c>
      <c r="R802" s="15" t="n">
        <v>0</v>
      </c>
      <c r="S802" s="17" t="n">
        <v>12846</v>
      </c>
      <c r="T802" s="15" t="s">
        <v>137</v>
      </c>
      <c r="U802" s="15" t="n">
        <v>2028</v>
      </c>
      <c r="V802" s="15" t="s">
        <v>2086</v>
      </c>
      <c r="W802" s="18" t="s">
        <v>139</v>
      </c>
      <c r="X802" s="18" t="s">
        <v>283</v>
      </c>
      <c r="Y802" s="15" t="s">
        <v>600</v>
      </c>
      <c r="Z802" s="15" t="s">
        <v>600</v>
      </c>
      <c r="AA802" s="19" t="str">
        <f aca="false">HYPERLINK("https://www.transfermarkt.com/schnellsuche/ergebnis/schnellsuche?query="&amp;SUBSTITUTE(A802," ","+"),"Search Transfermarkt")</f>
        <v>Search Transfermarkt</v>
      </c>
    </row>
    <row r="803" customFormat="false" ht="23.85" hidden="false" customHeight="false" outlineLevel="0" collapsed="false">
      <c r="A803" s="15" t="s">
        <v>2408</v>
      </c>
      <c r="B803" s="15" t="s">
        <v>88</v>
      </c>
      <c r="C803" s="15" t="s">
        <v>563</v>
      </c>
      <c r="D803" s="15" t="n">
        <v>3</v>
      </c>
      <c r="E803" s="15" t="s">
        <v>2409</v>
      </c>
      <c r="F803" s="15" t="s">
        <v>163</v>
      </c>
      <c r="G803" s="15" t="n">
        <v>19</v>
      </c>
      <c r="H803" s="15" t="n">
        <v>1692</v>
      </c>
      <c r="I803" s="15" t="n">
        <v>8</v>
      </c>
      <c r="J803" s="15" t="n">
        <v>9</v>
      </c>
      <c r="K803" s="15" t="n">
        <v>67</v>
      </c>
      <c r="L803" s="15" t="n">
        <v>84</v>
      </c>
      <c r="M803" s="15" t="n">
        <v>6</v>
      </c>
      <c r="N803" s="15" t="n">
        <v>0</v>
      </c>
      <c r="O803" s="15" t="n">
        <v>0</v>
      </c>
      <c r="P803" s="16" t="n">
        <v>0</v>
      </c>
      <c r="Q803" s="15" t="n">
        <v>0</v>
      </c>
      <c r="R803" s="15" t="n">
        <v>0</v>
      </c>
      <c r="S803" s="17" t="n">
        <v>17573</v>
      </c>
      <c r="T803" s="15" t="s">
        <v>137</v>
      </c>
      <c r="U803" s="15" t="n">
        <v>2028</v>
      </c>
      <c r="V803" s="15" t="s">
        <v>2410</v>
      </c>
      <c r="W803" s="18" t="s">
        <v>139</v>
      </c>
      <c r="X803" s="18" t="s">
        <v>320</v>
      </c>
      <c r="Y803" s="15" t="s">
        <v>600</v>
      </c>
      <c r="Z803" s="15" t="s">
        <v>600</v>
      </c>
      <c r="AA803" s="19" t="str">
        <f aca="false">HYPERLINK("https://www.transfermarkt.com/schnellsuche/ergebnis/schnellsuche?query="&amp;SUBSTITUTE(A803," ","+"),"Search Transfermarkt")</f>
        <v>Search Transfermarkt</v>
      </c>
    </row>
    <row r="804" customFormat="false" ht="23.85" hidden="false" customHeight="false" outlineLevel="0" collapsed="false">
      <c r="A804" s="15" t="s">
        <v>2411</v>
      </c>
      <c r="B804" s="15" t="s">
        <v>76</v>
      </c>
      <c r="C804" s="15" t="s">
        <v>1498</v>
      </c>
      <c r="D804" s="15" t="n">
        <v>4</v>
      </c>
      <c r="E804" s="15" t="s">
        <v>2412</v>
      </c>
      <c r="F804" s="15" t="s">
        <v>170</v>
      </c>
      <c r="G804" s="15" t="n">
        <v>26</v>
      </c>
      <c r="H804" s="15" t="n">
        <v>2552</v>
      </c>
      <c r="I804" s="15" t="n">
        <v>3</v>
      </c>
      <c r="J804" s="15" t="n">
        <v>10</v>
      </c>
      <c r="K804" s="15" t="n">
        <v>124</v>
      </c>
      <c r="L804" s="15" t="n">
        <v>97</v>
      </c>
      <c r="M804" s="15" t="n">
        <v>42</v>
      </c>
      <c r="N804" s="15" t="n">
        <v>0</v>
      </c>
      <c r="O804" s="15" t="n">
        <v>0</v>
      </c>
      <c r="P804" s="16" t="n">
        <v>0</v>
      </c>
      <c r="Q804" s="15" t="n">
        <v>0</v>
      </c>
      <c r="R804" s="15" t="n">
        <v>0</v>
      </c>
      <c r="S804" s="17" t="n">
        <v>51342</v>
      </c>
      <c r="T804" s="15" t="s">
        <v>164</v>
      </c>
      <c r="U804" s="15" t="n">
        <v>2028</v>
      </c>
      <c r="V804" s="15" t="s">
        <v>2413</v>
      </c>
      <c r="W804" s="18" t="s">
        <v>139</v>
      </c>
      <c r="X804" s="18" t="s">
        <v>241</v>
      </c>
      <c r="Y804" s="15" t="s">
        <v>600</v>
      </c>
      <c r="Z804" s="15" t="s">
        <v>600</v>
      </c>
      <c r="AA804" s="19" t="str">
        <f aca="false">HYPERLINK("https://www.transfermarkt.com/schnellsuche/ergebnis/schnellsuche?query="&amp;SUBSTITUTE(A804," ","+"),"Search Transfermarkt")</f>
        <v>Search Transfermarkt</v>
      </c>
    </row>
    <row r="805" customFormat="false" ht="23.85" hidden="false" customHeight="false" outlineLevel="0" collapsed="false">
      <c r="A805" s="15" t="s">
        <v>2414</v>
      </c>
      <c r="B805" s="15" t="s">
        <v>83</v>
      </c>
      <c r="C805" s="15" t="s">
        <v>434</v>
      </c>
      <c r="D805" s="15" t="n">
        <v>3</v>
      </c>
      <c r="E805" s="15" t="s">
        <v>2415</v>
      </c>
      <c r="F805" s="15" t="s">
        <v>157</v>
      </c>
      <c r="G805" s="15" t="n">
        <v>25</v>
      </c>
      <c r="H805" s="15" t="n">
        <v>1944</v>
      </c>
      <c r="I805" s="15" t="n">
        <v>0</v>
      </c>
      <c r="J805" s="15" t="n">
        <v>0</v>
      </c>
      <c r="K805" s="15" t="n">
        <v>12</v>
      </c>
      <c r="L805" s="15" t="n">
        <v>1</v>
      </c>
      <c r="M805" s="15" t="n">
        <v>6</v>
      </c>
      <c r="N805" s="15" t="n">
        <v>47</v>
      </c>
      <c r="O805" s="15" t="n">
        <v>29</v>
      </c>
      <c r="P805" s="16" t="n">
        <v>80.9</v>
      </c>
      <c r="Q805" s="15" t="n">
        <v>9.5</v>
      </c>
      <c r="R805" s="15" t="n">
        <v>3</v>
      </c>
      <c r="S805" s="17" t="n">
        <v>14646</v>
      </c>
      <c r="T805" s="15" t="s">
        <v>186</v>
      </c>
      <c r="U805" s="15" t="n">
        <v>2026</v>
      </c>
      <c r="V805" s="15" t="s">
        <v>2416</v>
      </c>
      <c r="W805" s="18" t="s">
        <v>188</v>
      </c>
      <c r="X805" s="18" t="s">
        <v>379</v>
      </c>
      <c r="Y805" s="15" t="s">
        <v>600</v>
      </c>
      <c r="Z805" s="15" t="s">
        <v>600</v>
      </c>
      <c r="AA805" s="19" t="str">
        <f aca="false">HYPERLINK("https://www.transfermarkt.com/schnellsuche/ergebnis/schnellsuche?query="&amp;SUBSTITUTE(A805," ","+"),"Search Transfermarkt")</f>
        <v>Search Transfermarkt</v>
      </c>
    </row>
    <row r="806" customFormat="false" ht="23.85" hidden="false" customHeight="false" outlineLevel="0" collapsed="false">
      <c r="A806" s="15" t="s">
        <v>2417</v>
      </c>
      <c r="B806" s="15" t="s">
        <v>86</v>
      </c>
      <c r="C806" s="15" t="s">
        <v>1168</v>
      </c>
      <c r="D806" s="15" t="n">
        <v>2</v>
      </c>
      <c r="E806" s="15" t="s">
        <v>2418</v>
      </c>
      <c r="F806" s="15" t="s">
        <v>170</v>
      </c>
      <c r="G806" s="15" t="n">
        <v>19</v>
      </c>
      <c r="H806" s="15" t="n">
        <v>2581</v>
      </c>
      <c r="I806" s="15" t="n">
        <v>8</v>
      </c>
      <c r="J806" s="15" t="n">
        <v>7</v>
      </c>
      <c r="K806" s="15" t="n">
        <v>168</v>
      </c>
      <c r="L806" s="15" t="n">
        <v>98</v>
      </c>
      <c r="M806" s="15" t="n">
        <v>55</v>
      </c>
      <c r="N806" s="15" t="n">
        <v>0</v>
      </c>
      <c r="O806" s="15" t="n">
        <v>0</v>
      </c>
      <c r="P806" s="16" t="n">
        <v>0</v>
      </c>
      <c r="Q806" s="15" t="n">
        <v>0</v>
      </c>
      <c r="R806" s="15" t="n">
        <v>0</v>
      </c>
      <c r="S806" s="17" t="n">
        <v>69491</v>
      </c>
      <c r="T806" s="15" t="s">
        <v>164</v>
      </c>
      <c r="U806" s="15" t="n">
        <v>2026</v>
      </c>
      <c r="V806" s="15" t="s">
        <v>2419</v>
      </c>
      <c r="W806" s="18" t="s">
        <v>139</v>
      </c>
      <c r="X806" s="18" t="s">
        <v>473</v>
      </c>
      <c r="Y806" s="15" t="s">
        <v>600</v>
      </c>
      <c r="Z806" s="15" t="s">
        <v>600</v>
      </c>
      <c r="AA806" s="19" t="str">
        <f aca="false">HYPERLINK("https://www.transfermarkt.com/schnellsuche/ergebnis/schnellsuche?query="&amp;SUBSTITUTE(A806," ","+"),"Search Transfermarkt")</f>
        <v>Search Transfermarkt</v>
      </c>
    </row>
    <row r="807" customFormat="false" ht="23.85" hidden="false" customHeight="false" outlineLevel="0" collapsed="false">
      <c r="A807" s="15" t="s">
        <v>2420</v>
      </c>
      <c r="B807" s="15" t="s">
        <v>96</v>
      </c>
      <c r="C807" s="15" t="s">
        <v>213</v>
      </c>
      <c r="D807" s="15" t="n">
        <v>2</v>
      </c>
      <c r="E807" s="15" t="s">
        <v>2421</v>
      </c>
      <c r="F807" s="15" t="s">
        <v>170</v>
      </c>
      <c r="G807" s="15" t="n">
        <v>19</v>
      </c>
      <c r="H807" s="15" t="n">
        <v>1188</v>
      </c>
      <c r="I807" s="15" t="n">
        <v>6</v>
      </c>
      <c r="J807" s="15" t="n">
        <v>11</v>
      </c>
      <c r="K807" s="15" t="n">
        <v>164</v>
      </c>
      <c r="L807" s="15" t="n">
        <v>53</v>
      </c>
      <c r="M807" s="15" t="n">
        <v>44</v>
      </c>
      <c r="N807" s="15" t="n">
        <v>0</v>
      </c>
      <c r="O807" s="15" t="n">
        <v>0</v>
      </c>
      <c r="P807" s="16" t="n">
        <v>0</v>
      </c>
      <c r="Q807" s="15" t="n">
        <v>0</v>
      </c>
      <c r="R807" s="15" t="n">
        <v>0</v>
      </c>
      <c r="S807" s="17" t="n">
        <v>65982</v>
      </c>
      <c r="T807" s="15" t="s">
        <v>186</v>
      </c>
      <c r="U807" s="15" t="n">
        <v>2027</v>
      </c>
      <c r="V807" s="15" t="s">
        <v>2422</v>
      </c>
      <c r="W807" s="18" t="s">
        <v>188</v>
      </c>
      <c r="X807" s="18" t="s">
        <v>216</v>
      </c>
      <c r="Y807" s="15" t="s">
        <v>600</v>
      </c>
      <c r="Z807" s="15" t="s">
        <v>600</v>
      </c>
      <c r="AA807" s="19" t="str">
        <f aca="false">HYPERLINK("https://www.transfermarkt.com/schnellsuche/ergebnis/schnellsuche?query="&amp;SUBSTITUTE(A807," ","+"),"Search Transfermarkt")</f>
        <v>Search Transfermarkt</v>
      </c>
    </row>
    <row r="808" customFormat="false" ht="23.85" hidden="false" customHeight="false" outlineLevel="0" collapsed="false">
      <c r="A808" s="15" t="s">
        <v>2423</v>
      </c>
      <c r="B808" s="15" t="s">
        <v>69</v>
      </c>
      <c r="C808" s="15" t="s">
        <v>426</v>
      </c>
      <c r="D808" s="15" t="n">
        <v>2</v>
      </c>
      <c r="E808" s="15" t="s">
        <v>2424</v>
      </c>
      <c r="F808" s="15" t="s">
        <v>136</v>
      </c>
      <c r="G808" s="15" t="n">
        <v>18</v>
      </c>
      <c r="H808" s="15" t="n">
        <v>2199</v>
      </c>
      <c r="I808" s="15" t="n">
        <v>3</v>
      </c>
      <c r="J808" s="15" t="n">
        <v>4</v>
      </c>
      <c r="K808" s="15" t="n">
        <v>43</v>
      </c>
      <c r="L808" s="15" t="n">
        <v>42</v>
      </c>
      <c r="M808" s="15" t="n">
        <v>102</v>
      </c>
      <c r="N808" s="15" t="n">
        <v>0</v>
      </c>
      <c r="O808" s="15" t="n">
        <v>0</v>
      </c>
      <c r="P808" s="16" t="n">
        <v>0</v>
      </c>
      <c r="Q808" s="15" t="n">
        <v>0</v>
      </c>
      <c r="R808" s="15" t="n">
        <v>0</v>
      </c>
      <c r="S808" s="17" t="n">
        <v>144182</v>
      </c>
      <c r="T808" s="15" t="s">
        <v>164</v>
      </c>
      <c r="U808" s="15" t="n">
        <v>2026</v>
      </c>
      <c r="V808" s="15" t="s">
        <v>2425</v>
      </c>
      <c r="W808" s="18" t="s">
        <v>139</v>
      </c>
      <c r="X808" s="18" t="s">
        <v>140</v>
      </c>
      <c r="Y808" s="15" t="s">
        <v>600</v>
      </c>
      <c r="Z808" s="15" t="s">
        <v>600</v>
      </c>
      <c r="AA808" s="19" t="str">
        <f aca="false">HYPERLINK("https://www.transfermarkt.com/schnellsuche/ergebnis/schnellsuche?query="&amp;SUBSTITUTE(A808," ","+"),"Search Transfermarkt")</f>
        <v>Search Transfermarkt</v>
      </c>
    </row>
    <row r="809" customFormat="false" ht="23.85" hidden="false" customHeight="false" outlineLevel="0" collapsed="false">
      <c r="A809" s="15" t="s">
        <v>2426</v>
      </c>
      <c r="B809" s="15" t="s">
        <v>77</v>
      </c>
      <c r="C809" s="15" t="s">
        <v>355</v>
      </c>
      <c r="D809" s="15" t="n">
        <v>2</v>
      </c>
      <c r="E809" s="15" t="s">
        <v>2427</v>
      </c>
      <c r="F809" s="15" t="s">
        <v>163</v>
      </c>
      <c r="G809" s="15" t="n">
        <v>21</v>
      </c>
      <c r="H809" s="15" t="n">
        <v>1392</v>
      </c>
      <c r="I809" s="15" t="n">
        <v>13</v>
      </c>
      <c r="J809" s="15" t="n">
        <v>8</v>
      </c>
      <c r="K809" s="15" t="n">
        <v>65</v>
      </c>
      <c r="L809" s="15" t="n">
        <v>67</v>
      </c>
      <c r="M809" s="15" t="n">
        <v>13</v>
      </c>
      <c r="N809" s="15" t="n">
        <v>0</v>
      </c>
      <c r="O809" s="15" t="n">
        <v>0</v>
      </c>
      <c r="P809" s="16" t="n">
        <v>0</v>
      </c>
      <c r="Q809" s="15" t="n">
        <v>0</v>
      </c>
      <c r="R809" s="15" t="n">
        <v>0</v>
      </c>
      <c r="S809" s="17" t="n">
        <v>105031</v>
      </c>
      <c r="T809" s="15" t="s">
        <v>186</v>
      </c>
      <c r="U809" s="15" t="n">
        <v>2027</v>
      </c>
      <c r="V809" s="15" t="s">
        <v>2428</v>
      </c>
      <c r="W809" s="18" t="s">
        <v>188</v>
      </c>
      <c r="X809" s="18" t="s">
        <v>358</v>
      </c>
      <c r="Y809" s="15" t="s">
        <v>600</v>
      </c>
      <c r="Z809" s="15" t="s">
        <v>600</v>
      </c>
      <c r="AA809" s="19" t="str">
        <f aca="false">HYPERLINK("https://www.transfermarkt.com/schnellsuche/ergebnis/schnellsuche?query="&amp;SUBSTITUTE(A809," ","+"),"Search Transfermarkt")</f>
        <v>Search Transfermarkt</v>
      </c>
    </row>
    <row r="810" customFormat="false" ht="23.85" hidden="false" customHeight="false" outlineLevel="0" collapsed="false">
      <c r="A810" s="15" t="s">
        <v>2429</v>
      </c>
      <c r="B810" s="15" t="s">
        <v>104</v>
      </c>
      <c r="C810" s="15" t="s">
        <v>313</v>
      </c>
      <c r="D810" s="15" t="n">
        <v>4</v>
      </c>
      <c r="E810" s="15" t="s">
        <v>1142</v>
      </c>
      <c r="F810" s="15" t="s">
        <v>163</v>
      </c>
      <c r="G810" s="15" t="n">
        <v>18</v>
      </c>
      <c r="H810" s="15" t="n">
        <v>2315</v>
      </c>
      <c r="I810" s="15" t="n">
        <v>18</v>
      </c>
      <c r="J810" s="15" t="n">
        <v>2</v>
      </c>
      <c r="K810" s="15" t="n">
        <v>62</v>
      </c>
      <c r="L810" s="15" t="n">
        <v>63</v>
      </c>
      <c r="M810" s="15" t="n">
        <v>12</v>
      </c>
      <c r="N810" s="15" t="n">
        <v>0</v>
      </c>
      <c r="O810" s="15" t="n">
        <v>0</v>
      </c>
      <c r="P810" s="16" t="n">
        <v>0</v>
      </c>
      <c r="Q810" s="15" t="n">
        <v>0</v>
      </c>
      <c r="R810" s="15" t="n">
        <v>0</v>
      </c>
      <c r="S810" s="17" t="n">
        <v>127735</v>
      </c>
      <c r="T810" s="15" t="s">
        <v>186</v>
      </c>
      <c r="U810" s="15" t="n">
        <v>2026</v>
      </c>
      <c r="V810" s="15" t="s">
        <v>1143</v>
      </c>
      <c r="W810" s="18" t="s">
        <v>188</v>
      </c>
      <c r="X810" s="18" t="s">
        <v>274</v>
      </c>
      <c r="Y810" s="15" t="s">
        <v>600</v>
      </c>
      <c r="Z810" s="15" t="s">
        <v>600</v>
      </c>
      <c r="AA810" s="19" t="str">
        <f aca="false">HYPERLINK("https://www.transfermarkt.com/schnellsuche/ergebnis/schnellsuche?query="&amp;SUBSTITUTE(A810," ","+"),"Search Transfermarkt")</f>
        <v>Search Transfermarkt</v>
      </c>
    </row>
    <row r="811" customFormat="false" ht="23.85" hidden="false" customHeight="false" outlineLevel="0" collapsed="false">
      <c r="A811" s="15" t="s">
        <v>2430</v>
      </c>
      <c r="B811" s="15" t="s">
        <v>67</v>
      </c>
      <c r="C811" s="15" t="s">
        <v>636</v>
      </c>
      <c r="D811" s="15" t="n">
        <v>4</v>
      </c>
      <c r="E811" s="15" t="s">
        <v>2241</v>
      </c>
      <c r="F811" s="15" t="s">
        <v>136</v>
      </c>
      <c r="G811" s="15" t="n">
        <v>24</v>
      </c>
      <c r="H811" s="15" t="n">
        <v>2002</v>
      </c>
      <c r="I811" s="15" t="n">
        <v>1</v>
      </c>
      <c r="J811" s="15" t="n">
        <v>5</v>
      </c>
      <c r="K811" s="15" t="n">
        <v>41</v>
      </c>
      <c r="L811" s="15" t="n">
        <v>21</v>
      </c>
      <c r="M811" s="15" t="n">
        <v>128</v>
      </c>
      <c r="N811" s="15" t="n">
        <v>0</v>
      </c>
      <c r="O811" s="15" t="n">
        <v>0</v>
      </c>
      <c r="P811" s="16" t="n">
        <v>0</v>
      </c>
      <c r="Q811" s="15" t="n">
        <v>0</v>
      </c>
      <c r="R811" s="15" t="n">
        <v>0</v>
      </c>
      <c r="S811" s="17" t="n">
        <v>67745</v>
      </c>
      <c r="T811" s="15" t="s">
        <v>164</v>
      </c>
      <c r="U811" s="15" t="n">
        <v>2028</v>
      </c>
      <c r="V811" s="15" t="s">
        <v>2242</v>
      </c>
      <c r="W811" s="18" t="s">
        <v>139</v>
      </c>
      <c r="X811" s="18" t="s">
        <v>236</v>
      </c>
      <c r="Y811" s="15" t="s">
        <v>600</v>
      </c>
      <c r="Z811" s="15" t="s">
        <v>600</v>
      </c>
      <c r="AA811" s="19" t="str">
        <f aca="false">HYPERLINK("https://www.transfermarkt.com/schnellsuche/ergebnis/schnellsuche?query="&amp;SUBSTITUTE(A811," ","+"),"Search Transfermarkt")</f>
        <v>Search Transfermarkt</v>
      </c>
    </row>
    <row r="812" customFormat="false" ht="23.85" hidden="false" customHeight="false" outlineLevel="0" collapsed="false">
      <c r="A812" s="15" t="s">
        <v>2431</v>
      </c>
      <c r="B812" s="15" t="s">
        <v>82</v>
      </c>
      <c r="C812" s="15" t="s">
        <v>161</v>
      </c>
      <c r="D812" s="15" t="n">
        <v>4</v>
      </c>
      <c r="E812" s="15" t="s">
        <v>1477</v>
      </c>
      <c r="F812" s="15" t="s">
        <v>136</v>
      </c>
      <c r="G812" s="15" t="n">
        <v>26</v>
      </c>
      <c r="H812" s="15" t="n">
        <v>2065</v>
      </c>
      <c r="I812" s="15" t="n">
        <v>1</v>
      </c>
      <c r="J812" s="15" t="n">
        <v>2</v>
      </c>
      <c r="K812" s="15" t="n">
        <v>55</v>
      </c>
      <c r="L812" s="15" t="n">
        <v>28</v>
      </c>
      <c r="M812" s="15" t="n">
        <v>86</v>
      </c>
      <c r="N812" s="15" t="n">
        <v>0</v>
      </c>
      <c r="O812" s="15" t="n">
        <v>0</v>
      </c>
      <c r="P812" s="16" t="n">
        <v>0</v>
      </c>
      <c r="Q812" s="15" t="n">
        <v>0</v>
      </c>
      <c r="R812" s="15" t="n">
        <v>0</v>
      </c>
      <c r="S812" s="17" t="n">
        <v>133705</v>
      </c>
      <c r="T812" s="15" t="s">
        <v>137</v>
      </c>
      <c r="U812" s="15" t="n">
        <v>2028</v>
      </c>
      <c r="V812" s="15" t="s">
        <v>1478</v>
      </c>
      <c r="W812" s="18" t="s">
        <v>139</v>
      </c>
      <c r="X812" s="18" t="s">
        <v>166</v>
      </c>
      <c r="Y812" s="15" t="s">
        <v>600</v>
      </c>
      <c r="Z812" s="15" t="s">
        <v>600</v>
      </c>
      <c r="AA812" s="19" t="str">
        <f aca="false">HYPERLINK("https://www.transfermarkt.com/schnellsuche/ergebnis/schnellsuche?query="&amp;SUBSTITUTE(A812," ","+"),"Search Transfermarkt")</f>
        <v>Search Transfermarkt</v>
      </c>
    </row>
    <row r="813" customFormat="false" ht="23.85" hidden="false" customHeight="false" outlineLevel="0" collapsed="false">
      <c r="A813" s="15" t="s">
        <v>2432</v>
      </c>
      <c r="B813" s="15" t="s">
        <v>85</v>
      </c>
      <c r="C813" s="15" t="s">
        <v>2124</v>
      </c>
      <c r="D813" s="15" t="n">
        <v>3</v>
      </c>
      <c r="E813" s="15" t="s">
        <v>2405</v>
      </c>
      <c r="F813" s="15" t="s">
        <v>136</v>
      </c>
      <c r="G813" s="15" t="n">
        <v>25</v>
      </c>
      <c r="H813" s="15" t="n">
        <v>2563</v>
      </c>
      <c r="I813" s="15" t="n">
        <v>3</v>
      </c>
      <c r="J813" s="15" t="n">
        <v>4</v>
      </c>
      <c r="K813" s="15" t="n">
        <v>54</v>
      </c>
      <c r="L813" s="15" t="n">
        <v>45</v>
      </c>
      <c r="M813" s="15" t="n">
        <v>102</v>
      </c>
      <c r="N813" s="15" t="n">
        <v>0</v>
      </c>
      <c r="O813" s="15" t="n">
        <v>0</v>
      </c>
      <c r="P813" s="16" t="n">
        <v>0</v>
      </c>
      <c r="Q813" s="15" t="n">
        <v>0</v>
      </c>
      <c r="R813" s="15" t="n">
        <v>0</v>
      </c>
      <c r="S813" s="17" t="n">
        <v>116235</v>
      </c>
      <c r="T813" s="15" t="s">
        <v>186</v>
      </c>
      <c r="U813" s="15" t="n">
        <v>2029</v>
      </c>
      <c r="V813" s="15" t="s">
        <v>2406</v>
      </c>
      <c r="W813" s="18" t="s">
        <v>188</v>
      </c>
      <c r="X813" s="18" t="s">
        <v>265</v>
      </c>
      <c r="Y813" s="15" t="s">
        <v>600</v>
      </c>
      <c r="Z813" s="15" t="s">
        <v>600</v>
      </c>
      <c r="AA813" s="19" t="str">
        <f aca="false">HYPERLINK("https://www.transfermarkt.com/schnellsuche/ergebnis/schnellsuche?query="&amp;SUBSTITUTE(A813," ","+"),"Search Transfermarkt")</f>
        <v>Search Transfermarkt</v>
      </c>
    </row>
    <row r="814" customFormat="false" ht="23.85" hidden="false" customHeight="false" outlineLevel="0" collapsed="false">
      <c r="A814" s="15" t="s">
        <v>2433</v>
      </c>
      <c r="B814" s="15" t="s">
        <v>80</v>
      </c>
      <c r="C814" s="15" t="s">
        <v>1777</v>
      </c>
      <c r="D814" s="15" t="n">
        <v>3</v>
      </c>
      <c r="E814" s="15" t="s">
        <v>2293</v>
      </c>
      <c r="F814" s="15" t="s">
        <v>136</v>
      </c>
      <c r="G814" s="15" t="n">
        <v>26</v>
      </c>
      <c r="H814" s="15" t="n">
        <v>1210</v>
      </c>
      <c r="I814" s="15" t="n">
        <v>0</v>
      </c>
      <c r="J814" s="15" t="n">
        <v>4</v>
      </c>
      <c r="K814" s="15" t="n">
        <v>47</v>
      </c>
      <c r="L814" s="15" t="n">
        <v>47</v>
      </c>
      <c r="M814" s="15" t="n">
        <v>92</v>
      </c>
      <c r="N814" s="15" t="n">
        <v>0</v>
      </c>
      <c r="O814" s="15" t="n">
        <v>0</v>
      </c>
      <c r="P814" s="16" t="n">
        <v>0</v>
      </c>
      <c r="Q814" s="15" t="n">
        <v>0</v>
      </c>
      <c r="R814" s="15" t="n">
        <v>0</v>
      </c>
      <c r="S814" s="17" t="n">
        <v>145859</v>
      </c>
      <c r="T814" s="15" t="s">
        <v>164</v>
      </c>
      <c r="U814" s="15" t="n">
        <v>2026</v>
      </c>
      <c r="V814" s="15" t="s">
        <v>2294</v>
      </c>
      <c r="W814" s="18" t="s">
        <v>139</v>
      </c>
      <c r="X814" s="18" t="s">
        <v>304</v>
      </c>
      <c r="Y814" s="15" t="s">
        <v>600</v>
      </c>
      <c r="Z814" s="15" t="s">
        <v>600</v>
      </c>
      <c r="AA814" s="19" t="str">
        <f aca="false">HYPERLINK("https://www.transfermarkt.com/schnellsuche/ergebnis/schnellsuche?query="&amp;SUBSTITUTE(A814," ","+"),"Search Transfermarkt")</f>
        <v>Search Transfermarkt</v>
      </c>
    </row>
    <row r="815" customFormat="false" ht="23.85" hidden="false" customHeight="false" outlineLevel="0" collapsed="false">
      <c r="A815" s="15" t="s">
        <v>2434</v>
      </c>
      <c r="B815" s="15" t="s">
        <v>81</v>
      </c>
      <c r="C815" s="15" t="s">
        <v>1145</v>
      </c>
      <c r="D815" s="15" t="n">
        <v>4</v>
      </c>
      <c r="E815" s="15" t="s">
        <v>782</v>
      </c>
      <c r="F815" s="15" t="s">
        <v>163</v>
      </c>
      <c r="G815" s="15" t="n">
        <v>26</v>
      </c>
      <c r="H815" s="15" t="n">
        <v>2032</v>
      </c>
      <c r="I815" s="15" t="n">
        <v>16</v>
      </c>
      <c r="J815" s="15" t="n">
        <v>6</v>
      </c>
      <c r="K815" s="15" t="n">
        <v>61</v>
      </c>
      <c r="L815" s="15" t="n">
        <v>79</v>
      </c>
      <c r="M815" s="15" t="n">
        <v>4</v>
      </c>
      <c r="N815" s="15" t="n">
        <v>0</v>
      </c>
      <c r="O815" s="15" t="n">
        <v>0</v>
      </c>
      <c r="P815" s="16" t="n">
        <v>0</v>
      </c>
      <c r="Q815" s="15" t="n">
        <v>0</v>
      </c>
      <c r="R815" s="15" t="n">
        <v>0</v>
      </c>
      <c r="S815" s="17" t="n">
        <v>73947</v>
      </c>
      <c r="T815" s="15" t="s">
        <v>186</v>
      </c>
      <c r="U815" s="15" t="n">
        <v>2028</v>
      </c>
      <c r="V815" s="15" t="s">
        <v>783</v>
      </c>
      <c r="W815" s="18" t="s">
        <v>188</v>
      </c>
      <c r="X815" s="18" t="s">
        <v>407</v>
      </c>
      <c r="Y815" s="15" t="s">
        <v>600</v>
      </c>
      <c r="Z815" s="15" t="s">
        <v>600</v>
      </c>
      <c r="AA815" s="19" t="str">
        <f aca="false">HYPERLINK("https://www.transfermarkt.com/schnellsuche/ergebnis/schnellsuche?query="&amp;SUBSTITUTE(A815," ","+"),"Search Transfermarkt")</f>
        <v>Search Transfermarkt</v>
      </c>
    </row>
    <row r="816" customFormat="false" ht="23.85" hidden="false" customHeight="false" outlineLevel="0" collapsed="false">
      <c r="A816" s="15" t="s">
        <v>2435</v>
      </c>
      <c r="B816" s="15" t="s">
        <v>80</v>
      </c>
      <c r="C816" s="15" t="s">
        <v>509</v>
      </c>
      <c r="D816" s="15" t="n">
        <v>4</v>
      </c>
      <c r="E816" s="15" t="s">
        <v>2436</v>
      </c>
      <c r="F816" s="15" t="s">
        <v>163</v>
      </c>
      <c r="G816" s="15" t="n">
        <v>25</v>
      </c>
      <c r="H816" s="15" t="n">
        <v>2275</v>
      </c>
      <c r="I816" s="15" t="n">
        <v>11</v>
      </c>
      <c r="J816" s="15" t="n">
        <v>1</v>
      </c>
      <c r="K816" s="15" t="n">
        <v>39</v>
      </c>
      <c r="L816" s="15" t="n">
        <v>66</v>
      </c>
      <c r="M816" s="15" t="n">
        <v>11</v>
      </c>
      <c r="N816" s="15" t="n">
        <v>0</v>
      </c>
      <c r="O816" s="15" t="n">
        <v>0</v>
      </c>
      <c r="P816" s="16" t="n">
        <v>0</v>
      </c>
      <c r="Q816" s="15" t="n">
        <v>0</v>
      </c>
      <c r="R816" s="15" t="n">
        <v>0</v>
      </c>
      <c r="S816" s="17" t="n">
        <v>124453</v>
      </c>
      <c r="T816" s="15" t="s">
        <v>137</v>
      </c>
      <c r="U816" s="15" t="n">
        <v>2027</v>
      </c>
      <c r="V816" s="15" t="s">
        <v>2437</v>
      </c>
      <c r="W816" s="18" t="s">
        <v>139</v>
      </c>
      <c r="X816" s="18" t="s">
        <v>304</v>
      </c>
      <c r="Y816" s="15" t="s">
        <v>600</v>
      </c>
      <c r="Z816" s="15" t="s">
        <v>600</v>
      </c>
      <c r="AA816" s="19" t="str">
        <f aca="false">HYPERLINK("https://www.transfermarkt.com/schnellsuche/ergebnis/schnellsuche?query="&amp;SUBSTITUTE(A816," ","+"),"Search Transfermarkt")</f>
        <v>Search Transfermarkt</v>
      </c>
    </row>
    <row r="817" customFormat="false" ht="23.85" hidden="false" customHeight="false" outlineLevel="0" collapsed="false">
      <c r="A817" s="15" t="s">
        <v>2438</v>
      </c>
      <c r="B817" s="15" t="s">
        <v>89</v>
      </c>
      <c r="C817" s="15" t="s">
        <v>1014</v>
      </c>
      <c r="D817" s="15" t="n">
        <v>4</v>
      </c>
      <c r="E817" s="15" t="s">
        <v>2439</v>
      </c>
      <c r="F817" s="15" t="s">
        <v>163</v>
      </c>
      <c r="G817" s="15" t="n">
        <v>20</v>
      </c>
      <c r="H817" s="15" t="n">
        <v>863</v>
      </c>
      <c r="I817" s="15" t="n">
        <v>15</v>
      </c>
      <c r="J817" s="15" t="n">
        <v>6</v>
      </c>
      <c r="K817" s="15" t="n">
        <v>50</v>
      </c>
      <c r="L817" s="15" t="n">
        <v>61</v>
      </c>
      <c r="M817" s="15" t="n">
        <v>9</v>
      </c>
      <c r="N817" s="15" t="n">
        <v>0</v>
      </c>
      <c r="O817" s="15" t="n">
        <v>0</v>
      </c>
      <c r="P817" s="16" t="n">
        <v>0</v>
      </c>
      <c r="Q817" s="15" t="n">
        <v>0</v>
      </c>
      <c r="R817" s="15" t="n">
        <v>0</v>
      </c>
      <c r="S817" s="17" t="n">
        <v>103736</v>
      </c>
      <c r="T817" s="15" t="s">
        <v>186</v>
      </c>
      <c r="U817" s="15" t="n">
        <v>2029</v>
      </c>
      <c r="V817" s="15" t="s">
        <v>2440</v>
      </c>
      <c r="W817" s="18" t="s">
        <v>188</v>
      </c>
      <c r="X817" s="18" t="s">
        <v>206</v>
      </c>
      <c r="Y817" s="15" t="s">
        <v>600</v>
      </c>
      <c r="Z817" s="15" t="s">
        <v>600</v>
      </c>
      <c r="AA817" s="19" t="str">
        <f aca="false">HYPERLINK("https://www.transfermarkt.com/schnellsuche/ergebnis/schnellsuche?query="&amp;SUBSTITUTE(A817," ","+"),"Search Transfermarkt")</f>
        <v>Search Transfermarkt</v>
      </c>
    </row>
    <row r="818" customFormat="false" ht="23.85" hidden="false" customHeight="false" outlineLevel="0" collapsed="false">
      <c r="A818" s="15" t="s">
        <v>2441</v>
      </c>
      <c r="B818" s="15" t="s">
        <v>87</v>
      </c>
      <c r="C818" s="15" t="s">
        <v>959</v>
      </c>
      <c r="D818" s="15" t="n">
        <v>2</v>
      </c>
      <c r="E818" s="15" t="s">
        <v>1386</v>
      </c>
      <c r="F818" s="15" t="s">
        <v>136</v>
      </c>
      <c r="G818" s="15" t="n">
        <v>17</v>
      </c>
      <c r="H818" s="15" t="n">
        <v>1420</v>
      </c>
      <c r="I818" s="15" t="n">
        <v>2</v>
      </c>
      <c r="J818" s="15" t="n">
        <v>4</v>
      </c>
      <c r="K818" s="15" t="n">
        <v>60</v>
      </c>
      <c r="L818" s="15" t="n">
        <v>23</v>
      </c>
      <c r="M818" s="15" t="n">
        <v>120</v>
      </c>
      <c r="N818" s="15" t="n">
        <v>0</v>
      </c>
      <c r="O818" s="15" t="n">
        <v>0</v>
      </c>
      <c r="P818" s="16" t="n">
        <v>0</v>
      </c>
      <c r="Q818" s="15" t="n">
        <v>0</v>
      </c>
      <c r="R818" s="15" t="n">
        <v>0</v>
      </c>
      <c r="S818" s="17" t="n">
        <v>41630</v>
      </c>
      <c r="T818" s="15" t="s">
        <v>186</v>
      </c>
      <c r="U818" s="15" t="n">
        <v>2028</v>
      </c>
      <c r="V818" s="15" t="s">
        <v>1387</v>
      </c>
      <c r="W818" s="18" t="s">
        <v>147</v>
      </c>
      <c r="X818" s="18" t="s">
        <v>341</v>
      </c>
      <c r="Y818" s="15" t="s">
        <v>600</v>
      </c>
      <c r="Z818" s="15" t="s">
        <v>600</v>
      </c>
      <c r="AA818" s="19" t="str">
        <f aca="false">HYPERLINK("https://www.transfermarkt.com/schnellsuche/ergebnis/schnellsuche?query="&amp;SUBSTITUTE(A818," ","+"),"Search Transfermarkt")</f>
        <v>Search Transfermarkt</v>
      </c>
    </row>
    <row r="819" customFormat="false" ht="23.85" hidden="false" customHeight="false" outlineLevel="0" collapsed="false">
      <c r="A819" s="15" t="s">
        <v>2442</v>
      </c>
      <c r="B819" s="15" t="s">
        <v>75</v>
      </c>
      <c r="C819" s="15" t="s">
        <v>1581</v>
      </c>
      <c r="D819" s="15" t="n">
        <v>3</v>
      </c>
      <c r="E819" s="15" t="s">
        <v>2443</v>
      </c>
      <c r="F819" s="15" t="s">
        <v>157</v>
      </c>
      <c r="G819" s="15" t="n">
        <v>26</v>
      </c>
      <c r="H819" s="15" t="n">
        <v>2644</v>
      </c>
      <c r="I819" s="15" t="n">
        <v>0</v>
      </c>
      <c r="J819" s="15" t="n">
        <v>0</v>
      </c>
      <c r="K819" s="15" t="n">
        <v>19</v>
      </c>
      <c r="L819" s="15" t="n">
        <v>3</v>
      </c>
      <c r="M819" s="15" t="n">
        <v>7</v>
      </c>
      <c r="N819" s="15" t="n">
        <v>70</v>
      </c>
      <c r="O819" s="15" t="n">
        <v>43</v>
      </c>
      <c r="P819" s="16" t="n">
        <v>65.1</v>
      </c>
      <c r="Q819" s="15" t="n">
        <v>39.8</v>
      </c>
      <c r="R819" s="15" t="n">
        <v>6</v>
      </c>
      <c r="S819" s="17" t="n">
        <v>130195</v>
      </c>
      <c r="T819" s="15" t="s">
        <v>186</v>
      </c>
      <c r="U819" s="15" t="n">
        <v>2027</v>
      </c>
      <c r="V819" s="15" t="s">
        <v>2444</v>
      </c>
      <c r="W819" s="18" t="s">
        <v>188</v>
      </c>
      <c r="X819" s="18" t="s">
        <v>197</v>
      </c>
      <c r="Y819" s="15" t="s">
        <v>600</v>
      </c>
      <c r="Z819" s="15" t="s">
        <v>600</v>
      </c>
      <c r="AA819" s="19" t="str">
        <f aca="false">HYPERLINK("https://www.transfermarkt.com/schnellsuche/ergebnis/schnellsuche?query="&amp;SUBSTITUTE(A819," ","+"),"Search Transfermarkt")</f>
        <v>Search Transfermarkt</v>
      </c>
    </row>
    <row r="820" customFormat="false" ht="23.85" hidden="false" customHeight="false" outlineLevel="0" collapsed="false">
      <c r="A820" s="15" t="s">
        <v>2445</v>
      </c>
      <c r="B820" s="15" t="s">
        <v>98</v>
      </c>
      <c r="C820" s="15" t="s">
        <v>1078</v>
      </c>
      <c r="D820" s="15" t="n">
        <v>4</v>
      </c>
      <c r="E820" s="15" t="s">
        <v>2446</v>
      </c>
      <c r="F820" s="15" t="s">
        <v>136</v>
      </c>
      <c r="G820" s="15" t="n">
        <v>19</v>
      </c>
      <c r="H820" s="15" t="n">
        <v>1508</v>
      </c>
      <c r="I820" s="15" t="n">
        <v>3</v>
      </c>
      <c r="J820" s="15" t="n">
        <v>0</v>
      </c>
      <c r="K820" s="15" t="n">
        <v>45</v>
      </c>
      <c r="L820" s="15" t="n">
        <v>27</v>
      </c>
      <c r="M820" s="15" t="n">
        <v>112</v>
      </c>
      <c r="N820" s="15" t="n">
        <v>0</v>
      </c>
      <c r="O820" s="15" t="n">
        <v>0</v>
      </c>
      <c r="P820" s="16" t="n">
        <v>0</v>
      </c>
      <c r="Q820" s="15" t="n">
        <v>0</v>
      </c>
      <c r="R820" s="15" t="n">
        <v>0</v>
      </c>
      <c r="S820" s="17" t="n">
        <v>45553</v>
      </c>
      <c r="T820" s="15" t="s">
        <v>137</v>
      </c>
      <c r="U820" s="15" t="n">
        <v>2027</v>
      </c>
      <c r="V820" s="15" t="s">
        <v>2447</v>
      </c>
      <c r="W820" s="18" t="s">
        <v>139</v>
      </c>
      <c r="X820" s="18" t="s">
        <v>148</v>
      </c>
      <c r="Y820" s="15" t="s">
        <v>600</v>
      </c>
      <c r="Z820" s="15" t="s">
        <v>600</v>
      </c>
      <c r="AA820" s="19" t="str">
        <f aca="false">HYPERLINK("https://www.transfermarkt.com/schnellsuche/ergebnis/schnellsuche?query="&amp;SUBSTITUTE(A820," ","+"),"Search Transfermarkt")</f>
        <v>Search Transfermarkt</v>
      </c>
    </row>
    <row r="821" customFormat="false" ht="23.85" hidden="false" customHeight="false" outlineLevel="0" collapsed="false">
      <c r="A821" s="15" t="s">
        <v>2448</v>
      </c>
      <c r="B821" s="15" t="s">
        <v>100</v>
      </c>
      <c r="C821" s="15" t="s">
        <v>1210</v>
      </c>
      <c r="D821" s="15" t="n">
        <v>2</v>
      </c>
      <c r="E821" s="15" t="s">
        <v>2449</v>
      </c>
      <c r="F821" s="15" t="s">
        <v>163</v>
      </c>
      <c r="G821" s="15" t="n">
        <v>20</v>
      </c>
      <c r="H821" s="15" t="n">
        <v>1893</v>
      </c>
      <c r="I821" s="15" t="n">
        <v>19</v>
      </c>
      <c r="J821" s="15" t="n">
        <v>6</v>
      </c>
      <c r="K821" s="15" t="n">
        <v>57</v>
      </c>
      <c r="L821" s="15" t="n">
        <v>61</v>
      </c>
      <c r="M821" s="15" t="n">
        <v>13</v>
      </c>
      <c r="N821" s="15" t="n">
        <v>0</v>
      </c>
      <c r="O821" s="15" t="n">
        <v>0</v>
      </c>
      <c r="P821" s="16" t="n">
        <v>0</v>
      </c>
      <c r="Q821" s="15" t="n">
        <v>0</v>
      </c>
      <c r="R821" s="15" t="n">
        <v>0</v>
      </c>
      <c r="S821" s="17" t="n">
        <v>88088</v>
      </c>
      <c r="T821" s="15" t="s">
        <v>186</v>
      </c>
      <c r="U821" s="15" t="n">
        <v>2028</v>
      </c>
      <c r="V821" s="15" t="s">
        <v>2450</v>
      </c>
      <c r="W821" s="18" t="s">
        <v>188</v>
      </c>
      <c r="X821" s="18" t="s">
        <v>221</v>
      </c>
      <c r="Y821" s="15" t="s">
        <v>600</v>
      </c>
      <c r="Z821" s="15" t="s">
        <v>600</v>
      </c>
      <c r="AA821" s="19" t="str">
        <f aca="false">HYPERLINK("https://www.transfermarkt.com/schnellsuche/ergebnis/schnellsuche?query="&amp;SUBSTITUTE(A821," ","+"),"Search Transfermarkt")</f>
        <v>Search Transfermarkt</v>
      </c>
    </row>
    <row r="822" customFormat="false" ht="23.85" hidden="false" customHeight="false" outlineLevel="0" collapsed="false">
      <c r="A822" s="15" t="s">
        <v>2451</v>
      </c>
      <c r="B822" s="15" t="s">
        <v>69</v>
      </c>
      <c r="C822" s="15" t="s">
        <v>1729</v>
      </c>
      <c r="D822" s="15" t="n">
        <v>3</v>
      </c>
      <c r="E822" s="15" t="s">
        <v>2452</v>
      </c>
      <c r="F822" s="15" t="s">
        <v>163</v>
      </c>
      <c r="G822" s="15" t="n">
        <v>20</v>
      </c>
      <c r="H822" s="15" t="n">
        <v>2071</v>
      </c>
      <c r="I822" s="15" t="n">
        <v>12</v>
      </c>
      <c r="J822" s="15" t="n">
        <v>3</v>
      </c>
      <c r="K822" s="15" t="n">
        <v>48</v>
      </c>
      <c r="L822" s="15" t="n">
        <v>83</v>
      </c>
      <c r="M822" s="15" t="n">
        <v>15</v>
      </c>
      <c r="N822" s="15" t="n">
        <v>0</v>
      </c>
      <c r="O822" s="15" t="n">
        <v>0</v>
      </c>
      <c r="P822" s="16" t="n">
        <v>0</v>
      </c>
      <c r="Q822" s="15" t="n">
        <v>0</v>
      </c>
      <c r="R822" s="15" t="n">
        <v>0</v>
      </c>
      <c r="S822" s="17" t="n">
        <v>0</v>
      </c>
      <c r="T822" s="15" t="s">
        <v>137</v>
      </c>
      <c r="U822" s="15" t="n">
        <v>2027</v>
      </c>
      <c r="V822" s="15" t="s">
        <v>2453</v>
      </c>
      <c r="W822" s="18" t="s">
        <v>139</v>
      </c>
      <c r="X822" s="18" t="s">
        <v>140</v>
      </c>
      <c r="Y822" s="15" t="s">
        <v>600</v>
      </c>
      <c r="Z822" s="15" t="s">
        <v>600</v>
      </c>
      <c r="AA822" s="19" t="str">
        <f aca="false">HYPERLINK("https://www.transfermarkt.com/schnellsuche/ergebnis/schnellsuche?query="&amp;SUBSTITUTE(A822," ","+"),"Search Transfermarkt")</f>
        <v>Search Transfermarkt</v>
      </c>
    </row>
    <row r="823" customFormat="false" ht="23.85" hidden="false" customHeight="false" outlineLevel="0" collapsed="false">
      <c r="A823" s="15" t="s">
        <v>2454</v>
      </c>
      <c r="B823" s="15" t="s">
        <v>106</v>
      </c>
      <c r="C823" s="15" t="s">
        <v>859</v>
      </c>
      <c r="D823" s="15" t="n">
        <v>4</v>
      </c>
      <c r="E823" s="15" t="s">
        <v>2455</v>
      </c>
      <c r="F823" s="15" t="s">
        <v>136</v>
      </c>
      <c r="G823" s="15" t="n">
        <v>25</v>
      </c>
      <c r="H823" s="15" t="n">
        <v>2438</v>
      </c>
      <c r="I823" s="15" t="n">
        <v>0</v>
      </c>
      <c r="J823" s="15" t="n">
        <v>2</v>
      </c>
      <c r="K823" s="15" t="n">
        <v>38</v>
      </c>
      <c r="L823" s="15" t="n">
        <v>45</v>
      </c>
      <c r="M823" s="15" t="n">
        <v>93</v>
      </c>
      <c r="N823" s="15" t="n">
        <v>0</v>
      </c>
      <c r="O823" s="15" t="n">
        <v>0</v>
      </c>
      <c r="P823" s="16" t="n">
        <v>0</v>
      </c>
      <c r="Q823" s="15" t="n">
        <v>0</v>
      </c>
      <c r="R823" s="15" t="n">
        <v>0</v>
      </c>
      <c r="S823" s="17" t="n">
        <v>111023</v>
      </c>
      <c r="T823" s="15" t="s">
        <v>137</v>
      </c>
      <c r="U823" s="15" t="n">
        <v>2029</v>
      </c>
      <c r="V823" s="15" t="s">
        <v>2456</v>
      </c>
      <c r="W823" s="18" t="s">
        <v>139</v>
      </c>
      <c r="X823" s="18" t="s">
        <v>283</v>
      </c>
      <c r="Y823" s="15" t="s">
        <v>600</v>
      </c>
      <c r="Z823" s="15" t="s">
        <v>600</v>
      </c>
      <c r="AA823" s="19" t="str">
        <f aca="false">HYPERLINK("https://www.transfermarkt.com/schnellsuche/ergebnis/schnellsuche?query="&amp;SUBSTITUTE(A823," ","+"),"Search Transfermarkt")</f>
        <v>Search Transfermarkt</v>
      </c>
    </row>
    <row r="824" customFormat="false" ht="23.85" hidden="false" customHeight="false" outlineLevel="0" collapsed="false">
      <c r="A824" s="15" t="s">
        <v>2457</v>
      </c>
      <c r="B824" s="15" t="s">
        <v>87</v>
      </c>
      <c r="C824" s="15" t="s">
        <v>2349</v>
      </c>
      <c r="D824" s="15" t="n">
        <v>4</v>
      </c>
      <c r="E824" s="15" t="s">
        <v>2458</v>
      </c>
      <c r="F824" s="15" t="s">
        <v>136</v>
      </c>
      <c r="G824" s="15" t="n">
        <v>17</v>
      </c>
      <c r="H824" s="15" t="n">
        <v>1439</v>
      </c>
      <c r="I824" s="15" t="n">
        <v>2</v>
      </c>
      <c r="J824" s="15" t="n">
        <v>5</v>
      </c>
      <c r="K824" s="15" t="n">
        <v>54</v>
      </c>
      <c r="L824" s="15" t="n">
        <v>48</v>
      </c>
      <c r="M824" s="15" t="n">
        <v>91</v>
      </c>
      <c r="N824" s="15" t="n">
        <v>0</v>
      </c>
      <c r="O824" s="15" t="n">
        <v>0</v>
      </c>
      <c r="P824" s="16" t="n">
        <v>0</v>
      </c>
      <c r="Q824" s="15" t="n">
        <v>0</v>
      </c>
      <c r="R824" s="15" t="n">
        <v>0</v>
      </c>
      <c r="S824" s="17" t="n">
        <v>121381</v>
      </c>
      <c r="T824" s="15" t="s">
        <v>137</v>
      </c>
      <c r="U824" s="15" t="n">
        <v>2028</v>
      </c>
      <c r="V824" s="15" t="s">
        <v>2459</v>
      </c>
      <c r="W824" s="18" t="s">
        <v>147</v>
      </c>
      <c r="X824" s="18" t="s">
        <v>341</v>
      </c>
      <c r="Y824" s="15" t="s">
        <v>600</v>
      </c>
      <c r="Z824" s="15" t="s">
        <v>600</v>
      </c>
      <c r="AA824" s="19" t="str">
        <f aca="false">HYPERLINK("https://www.transfermarkt.com/schnellsuche/ergebnis/schnellsuche?query="&amp;SUBSTITUTE(A824," ","+"),"Search Transfermarkt")</f>
        <v>Search Transfermarkt</v>
      </c>
    </row>
    <row r="825" customFormat="false" ht="23.85" hidden="false" customHeight="false" outlineLevel="0" collapsed="false">
      <c r="A825" s="15" t="s">
        <v>2460</v>
      </c>
      <c r="B825" s="15" t="s">
        <v>99</v>
      </c>
      <c r="C825" s="15" t="s">
        <v>184</v>
      </c>
      <c r="D825" s="15" t="n">
        <v>3</v>
      </c>
      <c r="E825" s="15" t="s">
        <v>373</v>
      </c>
      <c r="F825" s="15" t="s">
        <v>136</v>
      </c>
      <c r="G825" s="15" t="n">
        <v>17</v>
      </c>
      <c r="H825" s="15" t="n">
        <v>1758</v>
      </c>
      <c r="I825" s="15" t="n">
        <v>2</v>
      </c>
      <c r="J825" s="15" t="n">
        <v>0</v>
      </c>
      <c r="K825" s="15" t="n">
        <v>57</v>
      </c>
      <c r="L825" s="15" t="n">
        <v>20</v>
      </c>
      <c r="M825" s="15" t="n">
        <v>115</v>
      </c>
      <c r="N825" s="15" t="n">
        <v>0</v>
      </c>
      <c r="O825" s="15" t="n">
        <v>0</v>
      </c>
      <c r="P825" s="16" t="n">
        <v>0</v>
      </c>
      <c r="Q825" s="15" t="n">
        <v>0</v>
      </c>
      <c r="R825" s="15" t="n">
        <v>0</v>
      </c>
      <c r="S825" s="17" t="n">
        <v>0</v>
      </c>
      <c r="T825" s="15" t="s">
        <v>186</v>
      </c>
      <c r="U825" s="15" t="n">
        <v>2029</v>
      </c>
      <c r="V825" s="15" t="s">
        <v>374</v>
      </c>
      <c r="W825" s="18" t="s">
        <v>147</v>
      </c>
      <c r="X825" s="18" t="s">
        <v>189</v>
      </c>
      <c r="Y825" s="15" t="s">
        <v>600</v>
      </c>
      <c r="Z825" s="15" t="s">
        <v>600</v>
      </c>
      <c r="AA825" s="19" t="str">
        <f aca="false">HYPERLINK("https://www.transfermarkt.com/schnellsuche/ergebnis/schnellsuche?query="&amp;SUBSTITUTE(A825," ","+"),"Search Transfermarkt")</f>
        <v>Search Transfermarkt</v>
      </c>
    </row>
    <row r="826" customFormat="false" ht="23.85" hidden="false" customHeight="false" outlineLevel="0" collapsed="false">
      <c r="A826" s="15" t="s">
        <v>2461</v>
      </c>
      <c r="B826" s="15" t="s">
        <v>94</v>
      </c>
      <c r="C826" s="15" t="s">
        <v>223</v>
      </c>
      <c r="D826" s="15" t="n">
        <v>4</v>
      </c>
      <c r="E826" s="15" t="s">
        <v>2462</v>
      </c>
      <c r="F826" s="15" t="s">
        <v>170</v>
      </c>
      <c r="G826" s="15" t="n">
        <v>26</v>
      </c>
      <c r="H826" s="15" t="n">
        <v>1425</v>
      </c>
      <c r="I826" s="15" t="n">
        <v>5</v>
      </c>
      <c r="J826" s="15" t="n">
        <v>11</v>
      </c>
      <c r="K826" s="15" t="n">
        <v>140</v>
      </c>
      <c r="L826" s="15" t="n">
        <v>82</v>
      </c>
      <c r="M826" s="15" t="n">
        <v>30</v>
      </c>
      <c r="N826" s="15" t="n">
        <v>0</v>
      </c>
      <c r="O826" s="15" t="n">
        <v>0</v>
      </c>
      <c r="P826" s="16" t="n">
        <v>0</v>
      </c>
      <c r="Q826" s="15" t="n">
        <v>0</v>
      </c>
      <c r="R826" s="15" t="n">
        <v>0</v>
      </c>
      <c r="S826" s="17" t="n">
        <v>64227</v>
      </c>
      <c r="T826" s="15" t="s">
        <v>137</v>
      </c>
      <c r="U826" s="15" t="n">
        <v>2029</v>
      </c>
      <c r="V826" s="15" t="s">
        <v>2463</v>
      </c>
      <c r="W826" s="18" t="s">
        <v>139</v>
      </c>
      <c r="X826" s="18" t="s">
        <v>226</v>
      </c>
      <c r="Y826" s="15" t="s">
        <v>600</v>
      </c>
      <c r="Z826" s="15" t="s">
        <v>600</v>
      </c>
      <c r="AA826" s="19" t="str">
        <f aca="false">HYPERLINK("https://www.transfermarkt.com/schnellsuche/ergebnis/schnellsuche?query="&amp;SUBSTITUTE(A826," ","+"),"Search Transfermarkt")</f>
        <v>Search Transfermarkt</v>
      </c>
    </row>
    <row r="827" customFormat="false" ht="23.85" hidden="false" customHeight="false" outlineLevel="0" collapsed="false">
      <c r="A827" s="15" t="s">
        <v>2464</v>
      </c>
      <c r="B827" s="15" t="s">
        <v>62</v>
      </c>
      <c r="C827" s="15" t="s">
        <v>910</v>
      </c>
      <c r="D827" s="15" t="n">
        <v>3</v>
      </c>
      <c r="E827" s="15" t="s">
        <v>2465</v>
      </c>
      <c r="F827" s="15" t="s">
        <v>157</v>
      </c>
      <c r="G827" s="15" t="n">
        <v>25</v>
      </c>
      <c r="H827" s="15" t="n">
        <v>2053</v>
      </c>
      <c r="I827" s="15" t="n">
        <v>0</v>
      </c>
      <c r="J827" s="15" t="n">
        <v>0</v>
      </c>
      <c r="K827" s="15" t="n">
        <v>20</v>
      </c>
      <c r="L827" s="15" t="n">
        <v>4</v>
      </c>
      <c r="M827" s="15" t="n">
        <v>8</v>
      </c>
      <c r="N827" s="15" t="n">
        <v>50</v>
      </c>
      <c r="O827" s="15" t="n">
        <v>48</v>
      </c>
      <c r="P827" s="16" t="n">
        <v>89.7</v>
      </c>
      <c r="Q827" s="15" t="n">
        <v>32.6</v>
      </c>
      <c r="R827" s="15" t="n">
        <v>6</v>
      </c>
      <c r="S827" s="17" t="n">
        <v>17388</v>
      </c>
      <c r="T827" s="15" t="s">
        <v>164</v>
      </c>
      <c r="U827" s="15" t="n">
        <v>2029</v>
      </c>
      <c r="V827" s="15" t="s">
        <v>2466</v>
      </c>
      <c r="W827" s="18" t="s">
        <v>139</v>
      </c>
      <c r="X827" s="18" t="s">
        <v>211</v>
      </c>
      <c r="Y827" s="15" t="s">
        <v>600</v>
      </c>
      <c r="Z827" s="15" t="s">
        <v>600</v>
      </c>
      <c r="AA827" s="19" t="str">
        <f aca="false">HYPERLINK("https://www.transfermarkt.com/schnellsuche/ergebnis/schnellsuche?query="&amp;SUBSTITUTE(A827," ","+"),"Search Transfermarkt")</f>
        <v>Search Transfermarkt</v>
      </c>
    </row>
    <row r="828" customFormat="false" ht="23.85" hidden="false" customHeight="false" outlineLevel="0" collapsed="false">
      <c r="A828" s="15" t="s">
        <v>2467</v>
      </c>
      <c r="B828" s="15" t="s">
        <v>77</v>
      </c>
      <c r="C828" s="15" t="s">
        <v>770</v>
      </c>
      <c r="D828" s="15" t="n">
        <v>4</v>
      </c>
      <c r="E828" s="15" t="s">
        <v>2468</v>
      </c>
      <c r="F828" s="15" t="s">
        <v>170</v>
      </c>
      <c r="G828" s="15" t="n">
        <v>23</v>
      </c>
      <c r="H828" s="15" t="n">
        <v>2143</v>
      </c>
      <c r="I828" s="15" t="n">
        <v>3</v>
      </c>
      <c r="J828" s="15" t="n">
        <v>7</v>
      </c>
      <c r="K828" s="15" t="n">
        <v>141</v>
      </c>
      <c r="L828" s="15" t="n">
        <v>92</v>
      </c>
      <c r="M828" s="15" t="n">
        <v>39</v>
      </c>
      <c r="N828" s="15" t="n">
        <v>0</v>
      </c>
      <c r="O828" s="15" t="n">
        <v>0</v>
      </c>
      <c r="P828" s="16" t="n">
        <v>0</v>
      </c>
      <c r="Q828" s="15" t="n">
        <v>0</v>
      </c>
      <c r="R828" s="15" t="n">
        <v>0</v>
      </c>
      <c r="S828" s="17" t="n">
        <v>98692</v>
      </c>
      <c r="T828" s="15" t="s">
        <v>164</v>
      </c>
      <c r="U828" s="15" t="n">
        <v>2027</v>
      </c>
      <c r="V828" s="15" t="s">
        <v>2469</v>
      </c>
      <c r="W828" s="18" t="s">
        <v>139</v>
      </c>
      <c r="X828" s="18" t="s">
        <v>358</v>
      </c>
      <c r="Y828" s="15" t="s">
        <v>600</v>
      </c>
      <c r="Z828" s="15" t="s">
        <v>600</v>
      </c>
      <c r="AA828" s="19" t="str">
        <f aca="false">HYPERLINK("https://www.transfermarkt.com/schnellsuche/ergebnis/schnellsuche?query="&amp;SUBSTITUTE(A828," ","+"),"Search Transfermarkt")</f>
        <v>Search Transfermarkt</v>
      </c>
    </row>
    <row r="829" customFormat="false" ht="23.85" hidden="false" customHeight="false" outlineLevel="0" collapsed="false">
      <c r="A829" s="15" t="s">
        <v>2470</v>
      </c>
      <c r="B829" s="15" t="s">
        <v>92</v>
      </c>
      <c r="C829" s="15" t="s">
        <v>1225</v>
      </c>
      <c r="D829" s="15" t="n">
        <v>4</v>
      </c>
      <c r="E829" s="15" t="s">
        <v>1403</v>
      </c>
      <c r="F829" s="15" t="s">
        <v>136</v>
      </c>
      <c r="G829" s="15" t="n">
        <v>18</v>
      </c>
      <c r="H829" s="15" t="n">
        <v>1927</v>
      </c>
      <c r="I829" s="15" t="n">
        <v>2</v>
      </c>
      <c r="J829" s="15" t="n">
        <v>3</v>
      </c>
      <c r="K829" s="15" t="n">
        <v>46</v>
      </c>
      <c r="L829" s="15" t="n">
        <v>40</v>
      </c>
      <c r="M829" s="15" t="n">
        <v>129</v>
      </c>
      <c r="N829" s="15" t="n">
        <v>0</v>
      </c>
      <c r="O829" s="15" t="n">
        <v>0</v>
      </c>
      <c r="P829" s="16" t="n">
        <v>0</v>
      </c>
      <c r="Q829" s="15" t="n">
        <v>0</v>
      </c>
      <c r="R829" s="15" t="n">
        <v>0</v>
      </c>
      <c r="S829" s="17" t="n">
        <v>121945</v>
      </c>
      <c r="T829" s="15" t="s">
        <v>164</v>
      </c>
      <c r="U829" s="15" t="n">
        <v>2029</v>
      </c>
      <c r="V829" s="15" t="s">
        <v>1404</v>
      </c>
      <c r="W829" s="18" t="s">
        <v>139</v>
      </c>
      <c r="X829" s="18" t="s">
        <v>159</v>
      </c>
      <c r="Y829" s="15" t="s">
        <v>600</v>
      </c>
      <c r="Z829" s="15" t="s">
        <v>600</v>
      </c>
      <c r="AA829" s="19" t="str">
        <f aca="false">HYPERLINK("https://www.transfermarkt.com/schnellsuche/ergebnis/schnellsuche?query="&amp;SUBSTITUTE(A829," ","+"),"Search Transfermarkt")</f>
        <v>Search Transfermarkt</v>
      </c>
    </row>
    <row r="830" customFormat="false" ht="23.85" hidden="false" customHeight="false" outlineLevel="0" collapsed="false">
      <c r="A830" s="15" t="s">
        <v>2471</v>
      </c>
      <c r="B830" s="15" t="s">
        <v>73</v>
      </c>
      <c r="C830" s="15" t="s">
        <v>1574</v>
      </c>
      <c r="D830" s="15" t="n">
        <v>3</v>
      </c>
      <c r="E830" s="15" t="s">
        <v>2472</v>
      </c>
      <c r="F830" s="15" t="s">
        <v>136</v>
      </c>
      <c r="G830" s="15" t="n">
        <v>22</v>
      </c>
      <c r="H830" s="15" t="n">
        <v>828</v>
      </c>
      <c r="I830" s="15" t="n">
        <v>1</v>
      </c>
      <c r="J830" s="15" t="n">
        <v>5</v>
      </c>
      <c r="K830" s="15" t="n">
        <v>65</v>
      </c>
      <c r="L830" s="15" t="n">
        <v>21</v>
      </c>
      <c r="M830" s="15" t="n">
        <v>124</v>
      </c>
      <c r="N830" s="15" t="n">
        <v>0</v>
      </c>
      <c r="O830" s="15" t="n">
        <v>0</v>
      </c>
      <c r="P830" s="16" t="n">
        <v>0</v>
      </c>
      <c r="Q830" s="15" t="n">
        <v>0</v>
      </c>
      <c r="R830" s="15" t="n">
        <v>0</v>
      </c>
      <c r="S830" s="17" t="n">
        <v>40644</v>
      </c>
      <c r="T830" s="15" t="s">
        <v>164</v>
      </c>
      <c r="U830" s="15" t="n">
        <v>2028</v>
      </c>
      <c r="V830" s="15" t="s">
        <v>2473</v>
      </c>
      <c r="W830" s="18" t="s">
        <v>139</v>
      </c>
      <c r="X830" s="18" t="s">
        <v>172</v>
      </c>
      <c r="Y830" s="15" t="s">
        <v>600</v>
      </c>
      <c r="Z830" s="15" t="s">
        <v>600</v>
      </c>
      <c r="AA830" s="19" t="str">
        <f aca="false">HYPERLINK("https://www.transfermarkt.com/schnellsuche/ergebnis/schnellsuche?query="&amp;SUBSTITUTE(A830," ","+"),"Search Transfermarkt")</f>
        <v>Search Transfermarkt</v>
      </c>
    </row>
    <row r="831" customFormat="false" ht="23.85" hidden="false" customHeight="false" outlineLevel="0" collapsed="false">
      <c r="A831" s="15" t="s">
        <v>2474</v>
      </c>
      <c r="B831" s="15" t="s">
        <v>66</v>
      </c>
      <c r="C831" s="15" t="s">
        <v>1358</v>
      </c>
      <c r="D831" s="15" t="n">
        <v>4</v>
      </c>
      <c r="E831" s="15" t="s">
        <v>2475</v>
      </c>
      <c r="F831" s="15" t="s">
        <v>136</v>
      </c>
      <c r="G831" s="15" t="n">
        <v>26</v>
      </c>
      <c r="H831" s="15" t="n">
        <v>1562</v>
      </c>
      <c r="I831" s="15" t="n">
        <v>0</v>
      </c>
      <c r="J831" s="15" t="n">
        <v>2</v>
      </c>
      <c r="K831" s="15" t="n">
        <v>54</v>
      </c>
      <c r="L831" s="15" t="n">
        <v>31</v>
      </c>
      <c r="M831" s="15" t="n">
        <v>115</v>
      </c>
      <c r="N831" s="15" t="n">
        <v>0</v>
      </c>
      <c r="O831" s="15" t="n">
        <v>0</v>
      </c>
      <c r="P831" s="16" t="n">
        <v>0</v>
      </c>
      <c r="Q831" s="15" t="n">
        <v>0</v>
      </c>
      <c r="R831" s="15" t="n">
        <v>0</v>
      </c>
      <c r="S831" s="17" t="n">
        <v>145082</v>
      </c>
      <c r="T831" s="15" t="s">
        <v>186</v>
      </c>
      <c r="U831" s="15" t="n">
        <v>2026</v>
      </c>
      <c r="V831" s="15" t="s">
        <v>2476</v>
      </c>
      <c r="W831" s="18" t="s">
        <v>188</v>
      </c>
      <c r="X831" s="18" t="s">
        <v>182</v>
      </c>
      <c r="Y831" s="15" t="s">
        <v>600</v>
      </c>
      <c r="Z831" s="15" t="s">
        <v>600</v>
      </c>
      <c r="AA831" s="19" t="str">
        <f aca="false">HYPERLINK("https://www.transfermarkt.com/schnellsuche/ergebnis/schnellsuche?query="&amp;SUBSTITUTE(A831," ","+"),"Search Transfermarkt")</f>
        <v>Search Transfermarkt</v>
      </c>
    </row>
    <row r="832" customFormat="false" ht="23.85" hidden="false" customHeight="false" outlineLevel="0" collapsed="false">
      <c r="A832" s="15" t="s">
        <v>2477</v>
      </c>
      <c r="B832" s="15" t="s">
        <v>100</v>
      </c>
      <c r="C832" s="15" t="s">
        <v>845</v>
      </c>
      <c r="D832" s="15" t="n">
        <v>2</v>
      </c>
      <c r="E832" s="15" t="s">
        <v>2478</v>
      </c>
      <c r="F832" s="15" t="s">
        <v>170</v>
      </c>
      <c r="G832" s="15" t="n">
        <v>22</v>
      </c>
      <c r="H832" s="15" t="n">
        <v>2425</v>
      </c>
      <c r="I832" s="15" t="n">
        <v>2</v>
      </c>
      <c r="J832" s="15" t="n">
        <v>10</v>
      </c>
      <c r="K832" s="15" t="n">
        <v>128</v>
      </c>
      <c r="L832" s="15" t="n">
        <v>64</v>
      </c>
      <c r="M832" s="15" t="n">
        <v>40</v>
      </c>
      <c r="N832" s="15" t="n">
        <v>0</v>
      </c>
      <c r="O832" s="15" t="n">
        <v>0</v>
      </c>
      <c r="P832" s="16" t="n">
        <v>0</v>
      </c>
      <c r="Q832" s="15" t="n">
        <v>0</v>
      </c>
      <c r="R832" s="15" t="n">
        <v>0</v>
      </c>
      <c r="S832" s="17" t="n">
        <v>109776</v>
      </c>
      <c r="T832" s="15" t="s">
        <v>137</v>
      </c>
      <c r="U832" s="15" t="n">
        <v>2029</v>
      </c>
      <c r="V832" s="15" t="s">
        <v>2479</v>
      </c>
      <c r="W832" s="18" t="s">
        <v>139</v>
      </c>
      <c r="X832" s="18" t="s">
        <v>221</v>
      </c>
      <c r="Y832" s="15" t="s">
        <v>600</v>
      </c>
      <c r="Z832" s="15" t="s">
        <v>600</v>
      </c>
      <c r="AA832" s="19" t="str">
        <f aca="false">HYPERLINK("https://www.transfermarkt.com/schnellsuche/ergebnis/schnellsuche?query="&amp;SUBSTITUTE(A832," ","+"),"Search Transfermarkt")</f>
        <v>Search Transfermarkt</v>
      </c>
    </row>
    <row r="833" customFormat="false" ht="23.85" hidden="false" customHeight="false" outlineLevel="0" collapsed="false">
      <c r="A833" s="15" t="s">
        <v>2480</v>
      </c>
      <c r="B833" s="15" t="s">
        <v>94</v>
      </c>
      <c r="C833" s="15" t="s">
        <v>594</v>
      </c>
      <c r="D833" s="15" t="n">
        <v>3</v>
      </c>
      <c r="E833" s="15" t="s">
        <v>335</v>
      </c>
      <c r="F833" s="15" t="s">
        <v>170</v>
      </c>
      <c r="G833" s="15" t="n">
        <v>22</v>
      </c>
      <c r="H833" s="15" t="n">
        <v>1753</v>
      </c>
      <c r="I833" s="15" t="n">
        <v>7</v>
      </c>
      <c r="J833" s="15" t="n">
        <v>8</v>
      </c>
      <c r="K833" s="15" t="n">
        <v>108</v>
      </c>
      <c r="L833" s="15" t="n">
        <v>93</v>
      </c>
      <c r="M833" s="15" t="n">
        <v>39</v>
      </c>
      <c r="N833" s="15" t="n">
        <v>0</v>
      </c>
      <c r="O833" s="15" t="n">
        <v>0</v>
      </c>
      <c r="P833" s="16" t="n">
        <v>0</v>
      </c>
      <c r="Q833" s="15" t="n">
        <v>0</v>
      </c>
      <c r="R833" s="15" t="n">
        <v>0</v>
      </c>
      <c r="S833" s="17" t="n">
        <v>0</v>
      </c>
      <c r="T833" s="15" t="s">
        <v>186</v>
      </c>
      <c r="U833" s="15" t="n">
        <v>2026</v>
      </c>
      <c r="V833" s="15" t="s">
        <v>336</v>
      </c>
      <c r="W833" s="18" t="s">
        <v>188</v>
      </c>
      <c r="X833" s="18" t="s">
        <v>226</v>
      </c>
      <c r="Y833" s="15" t="s">
        <v>600</v>
      </c>
      <c r="Z833" s="15" t="s">
        <v>600</v>
      </c>
      <c r="AA833" s="19" t="str">
        <f aca="false">HYPERLINK("https://www.transfermarkt.com/schnellsuche/ergebnis/schnellsuche?query="&amp;SUBSTITUTE(A833," ","+"),"Search Transfermarkt")</f>
        <v>Search Transfermarkt</v>
      </c>
    </row>
    <row r="834" customFormat="false" ht="23.85" hidden="false" customHeight="false" outlineLevel="0" collapsed="false">
      <c r="A834" s="15" t="s">
        <v>2481</v>
      </c>
      <c r="B834" s="15" t="s">
        <v>85</v>
      </c>
      <c r="C834" s="15" t="s">
        <v>330</v>
      </c>
      <c r="D834" s="15" t="n">
        <v>2</v>
      </c>
      <c r="E834" s="15" t="s">
        <v>263</v>
      </c>
      <c r="F834" s="15" t="s">
        <v>170</v>
      </c>
      <c r="G834" s="15" t="n">
        <v>25</v>
      </c>
      <c r="H834" s="15" t="n">
        <v>1330</v>
      </c>
      <c r="I834" s="15" t="n">
        <v>3</v>
      </c>
      <c r="J834" s="15" t="n">
        <v>11</v>
      </c>
      <c r="K834" s="15" t="n">
        <v>146</v>
      </c>
      <c r="L834" s="15" t="n">
        <v>72</v>
      </c>
      <c r="M834" s="15" t="n">
        <v>49</v>
      </c>
      <c r="N834" s="15" t="n">
        <v>0</v>
      </c>
      <c r="O834" s="15" t="n">
        <v>0</v>
      </c>
      <c r="P834" s="16" t="n">
        <v>0</v>
      </c>
      <c r="Q834" s="15" t="n">
        <v>0</v>
      </c>
      <c r="R834" s="15" t="n">
        <v>0</v>
      </c>
      <c r="S834" s="17" t="n">
        <v>82195</v>
      </c>
      <c r="T834" s="15" t="s">
        <v>164</v>
      </c>
      <c r="U834" s="15" t="n">
        <v>2026</v>
      </c>
      <c r="V834" s="15" t="s">
        <v>264</v>
      </c>
      <c r="W834" s="18" t="s">
        <v>139</v>
      </c>
      <c r="X834" s="18" t="s">
        <v>265</v>
      </c>
      <c r="Y834" s="15" t="s">
        <v>600</v>
      </c>
      <c r="Z834" s="15" t="s">
        <v>600</v>
      </c>
      <c r="AA834" s="19" t="str">
        <f aca="false">HYPERLINK("https://www.transfermarkt.com/schnellsuche/ergebnis/schnellsuche?query="&amp;SUBSTITUTE(A834," ","+"),"Search Transfermarkt")</f>
        <v>Search Transfermarkt</v>
      </c>
    </row>
    <row r="835" customFormat="false" ht="23.85" hidden="false" customHeight="false" outlineLevel="0" collapsed="false">
      <c r="A835" s="15" t="s">
        <v>2482</v>
      </c>
      <c r="B835" s="15" t="s">
        <v>64</v>
      </c>
      <c r="C835" s="15" t="s">
        <v>1615</v>
      </c>
      <c r="D835" s="15" t="n">
        <v>2</v>
      </c>
      <c r="E835" s="15" t="s">
        <v>2483</v>
      </c>
      <c r="F835" s="15" t="s">
        <v>170</v>
      </c>
      <c r="G835" s="15" t="n">
        <v>24</v>
      </c>
      <c r="H835" s="15" t="n">
        <v>1731</v>
      </c>
      <c r="I835" s="15" t="n">
        <v>5</v>
      </c>
      <c r="J835" s="15" t="n">
        <v>4</v>
      </c>
      <c r="K835" s="15" t="n">
        <v>124</v>
      </c>
      <c r="L835" s="15" t="n">
        <v>82</v>
      </c>
      <c r="M835" s="15" t="n">
        <v>50</v>
      </c>
      <c r="N835" s="15" t="n">
        <v>0</v>
      </c>
      <c r="O835" s="15" t="n">
        <v>0</v>
      </c>
      <c r="P835" s="16" t="n">
        <v>0</v>
      </c>
      <c r="Q835" s="15" t="n">
        <v>0</v>
      </c>
      <c r="R835" s="15" t="n">
        <v>0</v>
      </c>
      <c r="S835" s="17" t="n">
        <v>54341</v>
      </c>
      <c r="T835" s="15" t="s">
        <v>137</v>
      </c>
      <c r="U835" s="15" t="n">
        <v>2027</v>
      </c>
      <c r="V835" s="15" t="s">
        <v>2484</v>
      </c>
      <c r="W835" s="18" t="s">
        <v>139</v>
      </c>
      <c r="X835" s="18" t="s">
        <v>231</v>
      </c>
      <c r="Y835" s="15" t="s">
        <v>600</v>
      </c>
      <c r="Z835" s="15" t="s">
        <v>600</v>
      </c>
      <c r="AA835" s="19" t="str">
        <f aca="false">HYPERLINK("https://www.transfermarkt.com/schnellsuche/ergebnis/schnellsuche?query="&amp;SUBSTITUTE(A835," ","+"),"Search Transfermarkt")</f>
        <v>Search Transfermarkt</v>
      </c>
    </row>
    <row r="836" customFormat="false" ht="23.85" hidden="false" customHeight="false" outlineLevel="0" collapsed="false">
      <c r="A836" s="15" t="s">
        <v>2485</v>
      </c>
      <c r="B836" s="15" t="s">
        <v>83</v>
      </c>
      <c r="C836" s="15" t="s">
        <v>400</v>
      </c>
      <c r="D836" s="15" t="n">
        <v>4</v>
      </c>
      <c r="E836" s="15" t="s">
        <v>1936</v>
      </c>
      <c r="F836" s="15" t="s">
        <v>136</v>
      </c>
      <c r="G836" s="15" t="n">
        <v>17</v>
      </c>
      <c r="H836" s="15" t="n">
        <v>1208</v>
      </c>
      <c r="I836" s="15" t="n">
        <v>0</v>
      </c>
      <c r="J836" s="15" t="n">
        <v>5</v>
      </c>
      <c r="K836" s="15" t="n">
        <v>69</v>
      </c>
      <c r="L836" s="15" t="n">
        <v>48</v>
      </c>
      <c r="M836" s="15" t="n">
        <v>91</v>
      </c>
      <c r="N836" s="15" t="n">
        <v>0</v>
      </c>
      <c r="O836" s="15" t="n">
        <v>0</v>
      </c>
      <c r="P836" s="16" t="n">
        <v>0</v>
      </c>
      <c r="Q836" s="15" t="n">
        <v>0</v>
      </c>
      <c r="R836" s="15" t="n">
        <v>0</v>
      </c>
      <c r="S836" s="17" t="n">
        <v>0</v>
      </c>
      <c r="T836" s="15" t="s">
        <v>137</v>
      </c>
      <c r="U836" s="15" t="n">
        <v>2029</v>
      </c>
      <c r="V836" s="15" t="s">
        <v>1937</v>
      </c>
      <c r="W836" s="18" t="s">
        <v>147</v>
      </c>
      <c r="X836" s="18" t="s">
        <v>379</v>
      </c>
      <c r="Y836" s="15" t="s">
        <v>600</v>
      </c>
      <c r="Z836" s="15" t="s">
        <v>600</v>
      </c>
      <c r="AA836" s="19" t="str">
        <f aca="false">HYPERLINK("https://www.transfermarkt.com/schnellsuche/ergebnis/schnellsuche?query="&amp;SUBSTITUTE(A836," ","+"),"Search Transfermarkt")</f>
        <v>Search Transfermarkt</v>
      </c>
    </row>
    <row r="837" customFormat="false" ht="23.85" hidden="false" customHeight="false" outlineLevel="0" collapsed="false">
      <c r="A837" s="15" t="s">
        <v>2486</v>
      </c>
      <c r="B837" s="15" t="s">
        <v>92</v>
      </c>
      <c r="C837" s="15" t="s">
        <v>2487</v>
      </c>
      <c r="D837" s="15" t="n">
        <v>4</v>
      </c>
      <c r="E837" s="15" t="s">
        <v>720</v>
      </c>
      <c r="F837" s="15" t="s">
        <v>163</v>
      </c>
      <c r="G837" s="15" t="n">
        <v>22</v>
      </c>
      <c r="H837" s="15" t="n">
        <v>1785</v>
      </c>
      <c r="I837" s="15" t="n">
        <v>18</v>
      </c>
      <c r="J837" s="15" t="n">
        <v>3</v>
      </c>
      <c r="K837" s="15" t="n">
        <v>58</v>
      </c>
      <c r="L837" s="15" t="n">
        <v>79</v>
      </c>
      <c r="M837" s="15" t="n">
        <v>5</v>
      </c>
      <c r="N837" s="15" t="n">
        <v>0</v>
      </c>
      <c r="O837" s="15" t="n">
        <v>0</v>
      </c>
      <c r="P837" s="16" t="n">
        <v>0</v>
      </c>
      <c r="Q837" s="15" t="n">
        <v>0</v>
      </c>
      <c r="R837" s="15" t="n">
        <v>0</v>
      </c>
      <c r="S837" s="17" t="n">
        <v>127422</v>
      </c>
      <c r="T837" s="15" t="s">
        <v>186</v>
      </c>
      <c r="U837" s="15" t="n">
        <v>2027</v>
      </c>
      <c r="V837" s="15" t="s">
        <v>721</v>
      </c>
      <c r="W837" s="18" t="s">
        <v>188</v>
      </c>
      <c r="X837" s="18" t="s">
        <v>159</v>
      </c>
      <c r="Y837" s="15" t="s">
        <v>600</v>
      </c>
      <c r="Z837" s="15" t="s">
        <v>600</v>
      </c>
      <c r="AA837" s="19" t="str">
        <f aca="false">HYPERLINK("https://www.transfermarkt.com/schnellsuche/ergebnis/schnellsuche?query="&amp;SUBSTITUTE(A837," ","+"),"Search Transfermarkt")</f>
        <v>Search Transfermarkt</v>
      </c>
    </row>
    <row r="838" customFormat="false" ht="23.85" hidden="false" customHeight="false" outlineLevel="0" collapsed="false">
      <c r="A838" s="15" t="s">
        <v>2488</v>
      </c>
      <c r="B838" s="15" t="s">
        <v>87</v>
      </c>
      <c r="C838" s="15" t="s">
        <v>959</v>
      </c>
      <c r="D838" s="15" t="n">
        <v>3</v>
      </c>
      <c r="E838" s="15" t="s">
        <v>2489</v>
      </c>
      <c r="F838" s="15" t="s">
        <v>136</v>
      </c>
      <c r="G838" s="15" t="n">
        <v>23</v>
      </c>
      <c r="H838" s="15" t="n">
        <v>1574</v>
      </c>
      <c r="I838" s="15" t="n">
        <v>0</v>
      </c>
      <c r="J838" s="15" t="n">
        <v>4</v>
      </c>
      <c r="K838" s="15" t="n">
        <v>57</v>
      </c>
      <c r="L838" s="15" t="n">
        <v>38</v>
      </c>
      <c r="M838" s="15" t="n">
        <v>120</v>
      </c>
      <c r="N838" s="15" t="n">
        <v>0</v>
      </c>
      <c r="O838" s="15" t="n">
        <v>0</v>
      </c>
      <c r="P838" s="16" t="n">
        <v>0</v>
      </c>
      <c r="Q838" s="15" t="n">
        <v>0</v>
      </c>
      <c r="R838" s="15" t="n">
        <v>0</v>
      </c>
      <c r="S838" s="17" t="n">
        <v>108480</v>
      </c>
      <c r="T838" s="15" t="s">
        <v>137</v>
      </c>
      <c r="U838" s="15" t="n">
        <v>2028</v>
      </c>
      <c r="V838" s="15" t="s">
        <v>2490</v>
      </c>
      <c r="W838" s="18" t="s">
        <v>139</v>
      </c>
      <c r="X838" s="18" t="s">
        <v>341</v>
      </c>
      <c r="Y838" s="15" t="s">
        <v>600</v>
      </c>
      <c r="Z838" s="15" t="s">
        <v>600</v>
      </c>
      <c r="AA838" s="19" t="str">
        <f aca="false">HYPERLINK("https://www.transfermarkt.com/schnellsuche/ergebnis/schnellsuche?query="&amp;SUBSTITUTE(A838," ","+"),"Search Transfermarkt")</f>
        <v>Search Transfermarkt</v>
      </c>
    </row>
    <row r="839" customFormat="false" ht="23.85" hidden="false" customHeight="false" outlineLevel="0" collapsed="false">
      <c r="A839" s="15" t="s">
        <v>2491</v>
      </c>
      <c r="B839" s="15" t="s">
        <v>103</v>
      </c>
      <c r="C839" s="15" t="s">
        <v>501</v>
      </c>
      <c r="D839" s="15" t="n">
        <v>3</v>
      </c>
      <c r="E839" s="15" t="s">
        <v>2492</v>
      </c>
      <c r="F839" s="15" t="s">
        <v>157</v>
      </c>
      <c r="G839" s="15" t="n">
        <v>23</v>
      </c>
      <c r="H839" s="15" t="n">
        <v>1737</v>
      </c>
      <c r="I839" s="15" t="n">
        <v>0</v>
      </c>
      <c r="J839" s="15" t="n">
        <v>0</v>
      </c>
      <c r="K839" s="15" t="n">
        <v>9</v>
      </c>
      <c r="L839" s="15" t="n">
        <v>3</v>
      </c>
      <c r="M839" s="15" t="n">
        <v>3</v>
      </c>
      <c r="N839" s="15" t="n">
        <v>46</v>
      </c>
      <c r="O839" s="15" t="n">
        <v>32</v>
      </c>
      <c r="P839" s="16" t="n">
        <v>75.7</v>
      </c>
      <c r="Q839" s="15" t="n">
        <v>16.7</v>
      </c>
      <c r="R839" s="15" t="n">
        <v>6</v>
      </c>
      <c r="S839" s="17" t="n">
        <v>0</v>
      </c>
      <c r="T839" s="15" t="s">
        <v>137</v>
      </c>
      <c r="U839" s="15" t="n">
        <v>2028</v>
      </c>
      <c r="V839" s="15" t="s">
        <v>2493</v>
      </c>
      <c r="W839" s="18" t="s">
        <v>139</v>
      </c>
      <c r="X839" s="18" t="s">
        <v>481</v>
      </c>
      <c r="Y839" s="15" t="s">
        <v>600</v>
      </c>
      <c r="Z839" s="15" t="s">
        <v>600</v>
      </c>
      <c r="AA839" s="19" t="str">
        <f aca="false">HYPERLINK("https://www.transfermarkt.com/schnellsuche/ergebnis/schnellsuche?query="&amp;SUBSTITUTE(A839," ","+"),"Search Transfermarkt")</f>
        <v>Search Transfermarkt</v>
      </c>
    </row>
    <row r="840" customFormat="false" ht="23.85" hidden="false" customHeight="false" outlineLevel="0" collapsed="false">
      <c r="A840" s="15" t="s">
        <v>2494</v>
      </c>
      <c r="B840" s="15" t="s">
        <v>69</v>
      </c>
      <c r="C840" s="15" t="s">
        <v>691</v>
      </c>
      <c r="D840" s="15" t="n">
        <v>2</v>
      </c>
      <c r="E840" s="15" t="s">
        <v>1435</v>
      </c>
      <c r="F840" s="15" t="s">
        <v>136</v>
      </c>
      <c r="G840" s="15" t="n">
        <v>19</v>
      </c>
      <c r="H840" s="15" t="n">
        <v>2687</v>
      </c>
      <c r="I840" s="15" t="n">
        <v>3</v>
      </c>
      <c r="J840" s="15" t="n">
        <v>4</v>
      </c>
      <c r="K840" s="15" t="n">
        <v>59</v>
      </c>
      <c r="L840" s="15" t="n">
        <v>34</v>
      </c>
      <c r="M840" s="15" t="n">
        <v>91</v>
      </c>
      <c r="N840" s="15" t="n">
        <v>0</v>
      </c>
      <c r="O840" s="15" t="n">
        <v>0</v>
      </c>
      <c r="P840" s="16" t="n">
        <v>0</v>
      </c>
      <c r="Q840" s="15" t="n">
        <v>0</v>
      </c>
      <c r="R840" s="15" t="n">
        <v>0</v>
      </c>
      <c r="S840" s="17" t="n">
        <v>83190</v>
      </c>
      <c r="T840" s="15" t="s">
        <v>137</v>
      </c>
      <c r="U840" s="15" t="n">
        <v>2027</v>
      </c>
      <c r="V840" s="15" t="s">
        <v>1436</v>
      </c>
      <c r="W840" s="18" t="s">
        <v>139</v>
      </c>
      <c r="X840" s="18" t="s">
        <v>140</v>
      </c>
      <c r="Y840" s="15" t="s">
        <v>600</v>
      </c>
      <c r="Z840" s="15" t="s">
        <v>600</v>
      </c>
      <c r="AA840" s="19" t="str">
        <f aca="false">HYPERLINK("https://www.transfermarkt.com/schnellsuche/ergebnis/schnellsuche?query="&amp;SUBSTITUTE(A840," ","+"),"Search Transfermarkt")</f>
        <v>Search Transfermarkt</v>
      </c>
    </row>
    <row r="841" customFormat="false" ht="23.85" hidden="false" customHeight="false" outlineLevel="0" collapsed="false">
      <c r="A841" s="15" t="s">
        <v>2495</v>
      </c>
      <c r="B841" s="15" t="s">
        <v>69</v>
      </c>
      <c r="C841" s="15" t="s">
        <v>134</v>
      </c>
      <c r="D841" s="15" t="n">
        <v>3</v>
      </c>
      <c r="E841" s="15" t="s">
        <v>2496</v>
      </c>
      <c r="F841" s="15" t="s">
        <v>170</v>
      </c>
      <c r="G841" s="15" t="n">
        <v>23</v>
      </c>
      <c r="H841" s="15" t="n">
        <v>1011</v>
      </c>
      <c r="I841" s="15" t="n">
        <v>1</v>
      </c>
      <c r="J841" s="15" t="n">
        <v>14</v>
      </c>
      <c r="K841" s="15" t="n">
        <v>120</v>
      </c>
      <c r="L841" s="15" t="n">
        <v>62</v>
      </c>
      <c r="M841" s="15" t="n">
        <v>39</v>
      </c>
      <c r="N841" s="15" t="n">
        <v>0</v>
      </c>
      <c r="O841" s="15" t="n">
        <v>0</v>
      </c>
      <c r="P841" s="16" t="n">
        <v>0</v>
      </c>
      <c r="Q841" s="15" t="n">
        <v>0</v>
      </c>
      <c r="R841" s="15" t="n">
        <v>0</v>
      </c>
      <c r="S841" s="17" t="n">
        <v>44342</v>
      </c>
      <c r="T841" s="15" t="s">
        <v>164</v>
      </c>
      <c r="U841" s="15" t="n">
        <v>2029</v>
      </c>
      <c r="V841" s="15" t="s">
        <v>2497</v>
      </c>
      <c r="W841" s="18" t="s">
        <v>139</v>
      </c>
      <c r="X841" s="18" t="s">
        <v>140</v>
      </c>
      <c r="Y841" s="15" t="s">
        <v>600</v>
      </c>
      <c r="Z841" s="15" t="s">
        <v>600</v>
      </c>
      <c r="AA841" s="19" t="str">
        <f aca="false">HYPERLINK("https://www.transfermarkt.com/schnellsuche/ergebnis/schnellsuche?query="&amp;SUBSTITUTE(A841," ","+"),"Search Transfermarkt")</f>
        <v>Search Transfermarkt</v>
      </c>
    </row>
    <row r="842" customFormat="false" ht="23.85" hidden="false" customHeight="false" outlineLevel="0" collapsed="false">
      <c r="A842" s="15" t="s">
        <v>2498</v>
      </c>
      <c r="B842" s="15" t="s">
        <v>64</v>
      </c>
      <c r="C842" s="15" t="s">
        <v>1970</v>
      </c>
      <c r="D842" s="15" t="n">
        <v>4</v>
      </c>
      <c r="E842" s="15" t="s">
        <v>1669</v>
      </c>
      <c r="F842" s="15" t="s">
        <v>170</v>
      </c>
      <c r="G842" s="15" t="n">
        <v>21</v>
      </c>
      <c r="H842" s="15" t="n">
        <v>1361</v>
      </c>
      <c r="I842" s="15" t="n">
        <v>1</v>
      </c>
      <c r="J842" s="15" t="n">
        <v>13</v>
      </c>
      <c r="K842" s="15" t="n">
        <v>129</v>
      </c>
      <c r="L842" s="15" t="n">
        <v>65</v>
      </c>
      <c r="M842" s="15" t="n">
        <v>35</v>
      </c>
      <c r="N842" s="15" t="n">
        <v>0</v>
      </c>
      <c r="O842" s="15" t="n">
        <v>0</v>
      </c>
      <c r="P842" s="16" t="n">
        <v>0</v>
      </c>
      <c r="Q842" s="15" t="n">
        <v>0</v>
      </c>
      <c r="R842" s="15" t="n">
        <v>0</v>
      </c>
      <c r="S842" s="17" t="n">
        <v>78394</v>
      </c>
      <c r="T842" s="15" t="s">
        <v>137</v>
      </c>
      <c r="U842" s="15" t="n">
        <v>2026</v>
      </c>
      <c r="V842" s="15" t="s">
        <v>1670</v>
      </c>
      <c r="W842" s="18" t="s">
        <v>139</v>
      </c>
      <c r="X842" s="18" t="s">
        <v>231</v>
      </c>
      <c r="Y842" s="15" t="s">
        <v>600</v>
      </c>
      <c r="Z842" s="15" t="s">
        <v>600</v>
      </c>
      <c r="AA842" s="19" t="str">
        <f aca="false">HYPERLINK("https://www.transfermarkt.com/schnellsuche/ergebnis/schnellsuche?query="&amp;SUBSTITUTE(A842," ","+"),"Search Transfermarkt")</f>
        <v>Search Transfermarkt</v>
      </c>
    </row>
    <row r="843" customFormat="false" ht="23.85" hidden="false" customHeight="false" outlineLevel="0" collapsed="false">
      <c r="A843" s="15" t="s">
        <v>2499</v>
      </c>
      <c r="B843" s="15" t="s">
        <v>90</v>
      </c>
      <c r="C843" s="15" t="s">
        <v>1830</v>
      </c>
      <c r="D843" s="15" t="n">
        <v>2</v>
      </c>
      <c r="E843" s="15" t="s">
        <v>2500</v>
      </c>
      <c r="F843" s="15" t="s">
        <v>157</v>
      </c>
      <c r="G843" s="15" t="n">
        <v>26</v>
      </c>
      <c r="H843" s="15" t="n">
        <v>1404</v>
      </c>
      <c r="I843" s="15" t="n">
        <v>0</v>
      </c>
      <c r="J843" s="15" t="n">
        <v>0</v>
      </c>
      <c r="K843" s="15" t="n">
        <v>7</v>
      </c>
      <c r="L843" s="15" t="n">
        <v>0</v>
      </c>
      <c r="M843" s="15" t="n">
        <v>5</v>
      </c>
      <c r="N843" s="15" t="n">
        <v>69</v>
      </c>
      <c r="O843" s="15" t="n">
        <v>34</v>
      </c>
      <c r="P843" s="16" t="n">
        <v>70.8</v>
      </c>
      <c r="Q843" s="15" t="n">
        <v>22.8</v>
      </c>
      <c r="R843" s="15" t="n">
        <v>5</v>
      </c>
      <c r="S843" s="17" t="n">
        <v>58220</v>
      </c>
      <c r="T843" s="15" t="s">
        <v>137</v>
      </c>
      <c r="U843" s="15" t="n">
        <v>2026</v>
      </c>
      <c r="V843" s="15" t="s">
        <v>2501</v>
      </c>
      <c r="W843" s="18" t="s">
        <v>139</v>
      </c>
      <c r="X843" s="18" t="s">
        <v>288</v>
      </c>
      <c r="Y843" s="15" t="s">
        <v>600</v>
      </c>
      <c r="Z843" s="15" t="s">
        <v>600</v>
      </c>
      <c r="AA843" s="19" t="str">
        <f aca="false">HYPERLINK("https://www.transfermarkt.com/schnellsuche/ergebnis/schnellsuche?query="&amp;SUBSTITUTE(A843," ","+"),"Search Transfermarkt")</f>
        <v>Search Transfermarkt</v>
      </c>
    </row>
    <row r="844" customFormat="false" ht="23.85" hidden="false" customHeight="false" outlineLevel="0" collapsed="false">
      <c r="A844" s="15" t="s">
        <v>2502</v>
      </c>
      <c r="B844" s="15" t="s">
        <v>104</v>
      </c>
      <c r="C844" s="15" t="s">
        <v>313</v>
      </c>
      <c r="D844" s="15" t="n">
        <v>2</v>
      </c>
      <c r="E844" s="15" t="s">
        <v>2503</v>
      </c>
      <c r="F844" s="15" t="s">
        <v>136</v>
      </c>
      <c r="G844" s="15" t="n">
        <v>23</v>
      </c>
      <c r="H844" s="15" t="n">
        <v>2162</v>
      </c>
      <c r="I844" s="15" t="n">
        <v>0</v>
      </c>
      <c r="J844" s="15" t="n">
        <v>4</v>
      </c>
      <c r="K844" s="15" t="n">
        <v>65</v>
      </c>
      <c r="L844" s="15" t="n">
        <v>24</v>
      </c>
      <c r="M844" s="15" t="n">
        <v>87</v>
      </c>
      <c r="N844" s="15" t="n">
        <v>0</v>
      </c>
      <c r="O844" s="15" t="n">
        <v>0</v>
      </c>
      <c r="P844" s="16" t="n">
        <v>0</v>
      </c>
      <c r="Q844" s="15" t="n">
        <v>0</v>
      </c>
      <c r="R844" s="15" t="n">
        <v>0</v>
      </c>
      <c r="S844" s="17" t="n">
        <v>82976</v>
      </c>
      <c r="T844" s="15" t="s">
        <v>137</v>
      </c>
      <c r="U844" s="15" t="n">
        <v>2028</v>
      </c>
      <c r="V844" s="15" t="s">
        <v>2504</v>
      </c>
      <c r="W844" s="18" t="s">
        <v>139</v>
      </c>
      <c r="X844" s="18" t="s">
        <v>274</v>
      </c>
      <c r="Y844" s="15" t="s">
        <v>600</v>
      </c>
      <c r="Z844" s="15" t="s">
        <v>600</v>
      </c>
      <c r="AA844" s="19" t="str">
        <f aca="false">HYPERLINK("https://www.transfermarkt.com/schnellsuche/ergebnis/schnellsuche?query="&amp;SUBSTITUTE(A844," ","+"),"Search Transfermarkt")</f>
        <v>Search Transfermarkt</v>
      </c>
    </row>
    <row r="845" customFormat="false" ht="23.85" hidden="false" customHeight="false" outlineLevel="0" collapsed="false">
      <c r="A845" s="15" t="s">
        <v>2505</v>
      </c>
      <c r="B845" s="15" t="s">
        <v>81</v>
      </c>
      <c r="C845" s="15" t="s">
        <v>1035</v>
      </c>
      <c r="D845" s="15" t="n">
        <v>4</v>
      </c>
      <c r="E845" s="15" t="s">
        <v>2506</v>
      </c>
      <c r="F845" s="15" t="s">
        <v>163</v>
      </c>
      <c r="G845" s="15" t="n">
        <v>19</v>
      </c>
      <c r="H845" s="15" t="n">
        <v>2597</v>
      </c>
      <c r="I845" s="15" t="n">
        <v>8</v>
      </c>
      <c r="J845" s="15" t="n">
        <v>2</v>
      </c>
      <c r="K845" s="15" t="n">
        <v>29</v>
      </c>
      <c r="L845" s="15" t="n">
        <v>81</v>
      </c>
      <c r="M845" s="15" t="n">
        <v>11</v>
      </c>
      <c r="N845" s="15" t="n">
        <v>0</v>
      </c>
      <c r="O845" s="15" t="n">
        <v>0</v>
      </c>
      <c r="P845" s="16" t="n">
        <v>0</v>
      </c>
      <c r="Q845" s="15" t="n">
        <v>0</v>
      </c>
      <c r="R845" s="15" t="n">
        <v>0</v>
      </c>
      <c r="S845" s="17" t="n">
        <v>0</v>
      </c>
      <c r="T845" s="15" t="s">
        <v>164</v>
      </c>
      <c r="U845" s="15" t="n">
        <v>2028</v>
      </c>
      <c r="V845" s="15" t="s">
        <v>2507</v>
      </c>
      <c r="W845" s="18" t="s">
        <v>139</v>
      </c>
      <c r="X845" s="18" t="s">
        <v>407</v>
      </c>
      <c r="Y845" s="15" t="s">
        <v>600</v>
      </c>
      <c r="Z845" s="15" t="s">
        <v>600</v>
      </c>
      <c r="AA845" s="19" t="str">
        <f aca="false">HYPERLINK("https://www.transfermarkt.com/schnellsuche/ergebnis/schnellsuche?query="&amp;SUBSTITUTE(A845," ","+"),"Search Transfermarkt")</f>
        <v>Search Transfermarkt</v>
      </c>
    </row>
    <row r="846" customFormat="false" ht="23.85" hidden="false" customHeight="false" outlineLevel="0" collapsed="false">
      <c r="A846" s="15" t="s">
        <v>2508</v>
      </c>
      <c r="B846" s="15" t="s">
        <v>67</v>
      </c>
      <c r="C846" s="15" t="s">
        <v>1302</v>
      </c>
      <c r="D846" s="15" t="n">
        <v>4</v>
      </c>
      <c r="E846" s="15" t="s">
        <v>1139</v>
      </c>
      <c r="F846" s="15" t="s">
        <v>136</v>
      </c>
      <c r="G846" s="15" t="n">
        <v>21</v>
      </c>
      <c r="H846" s="15" t="n">
        <v>2604</v>
      </c>
      <c r="I846" s="15" t="n">
        <v>0</v>
      </c>
      <c r="J846" s="15" t="n">
        <v>4</v>
      </c>
      <c r="K846" s="15" t="n">
        <v>40</v>
      </c>
      <c r="L846" s="15" t="n">
        <v>36</v>
      </c>
      <c r="M846" s="15" t="n">
        <v>103</v>
      </c>
      <c r="N846" s="15" t="n">
        <v>0</v>
      </c>
      <c r="O846" s="15" t="n">
        <v>0</v>
      </c>
      <c r="P846" s="16" t="n">
        <v>0</v>
      </c>
      <c r="Q846" s="15" t="n">
        <v>0</v>
      </c>
      <c r="R846" s="15" t="n">
        <v>0</v>
      </c>
      <c r="S846" s="17" t="n">
        <v>83334</v>
      </c>
      <c r="T846" s="15" t="s">
        <v>137</v>
      </c>
      <c r="U846" s="15" t="n">
        <v>2029</v>
      </c>
      <c r="V846" s="15" t="s">
        <v>1140</v>
      </c>
      <c r="W846" s="18" t="s">
        <v>139</v>
      </c>
      <c r="X846" s="18" t="s">
        <v>236</v>
      </c>
      <c r="Y846" s="15" t="s">
        <v>600</v>
      </c>
      <c r="Z846" s="15" t="s">
        <v>600</v>
      </c>
      <c r="AA846" s="19" t="str">
        <f aca="false">HYPERLINK("https://www.transfermarkt.com/schnellsuche/ergebnis/schnellsuche?query="&amp;SUBSTITUTE(A846," ","+"),"Search Transfermarkt")</f>
        <v>Search Transfermarkt</v>
      </c>
    </row>
    <row r="847" customFormat="false" ht="23.85" hidden="false" customHeight="false" outlineLevel="0" collapsed="false">
      <c r="A847" s="15" t="s">
        <v>2509</v>
      </c>
      <c r="B847" s="15" t="s">
        <v>71</v>
      </c>
      <c r="C847" s="15" t="s">
        <v>1107</v>
      </c>
      <c r="D847" s="15" t="n">
        <v>3</v>
      </c>
      <c r="E847" s="15" t="s">
        <v>1184</v>
      </c>
      <c r="F847" s="15" t="s">
        <v>170</v>
      </c>
      <c r="G847" s="15" t="n">
        <v>18</v>
      </c>
      <c r="H847" s="15" t="n">
        <v>1550</v>
      </c>
      <c r="I847" s="15" t="n">
        <v>3</v>
      </c>
      <c r="J847" s="15" t="n">
        <v>13</v>
      </c>
      <c r="K847" s="15" t="n">
        <v>129</v>
      </c>
      <c r="L847" s="15" t="n">
        <v>95</v>
      </c>
      <c r="M847" s="15" t="n">
        <v>48</v>
      </c>
      <c r="N847" s="15" t="n">
        <v>0</v>
      </c>
      <c r="O847" s="15" t="n">
        <v>0</v>
      </c>
      <c r="P847" s="16" t="n">
        <v>0</v>
      </c>
      <c r="Q847" s="15" t="n">
        <v>0</v>
      </c>
      <c r="R847" s="15" t="n">
        <v>0</v>
      </c>
      <c r="S847" s="17" t="n">
        <v>120359</v>
      </c>
      <c r="T847" s="15" t="s">
        <v>137</v>
      </c>
      <c r="U847" s="15" t="n">
        <v>2028</v>
      </c>
      <c r="V847" s="15" t="s">
        <v>1185</v>
      </c>
      <c r="W847" s="18" t="s">
        <v>139</v>
      </c>
      <c r="X847" s="18" t="s">
        <v>177</v>
      </c>
      <c r="Y847" s="15" t="s">
        <v>600</v>
      </c>
      <c r="Z847" s="15" t="s">
        <v>600</v>
      </c>
      <c r="AA847" s="19" t="str">
        <f aca="false">HYPERLINK("https://www.transfermarkt.com/schnellsuche/ergebnis/schnellsuche?query="&amp;SUBSTITUTE(A847," ","+"),"Search Transfermarkt")</f>
        <v>Search Transfermarkt</v>
      </c>
    </row>
    <row r="848" customFormat="false" ht="23.85" hidden="false" customHeight="false" outlineLevel="0" collapsed="false">
      <c r="A848" s="15" t="s">
        <v>2510</v>
      </c>
      <c r="B848" s="15" t="s">
        <v>76</v>
      </c>
      <c r="C848" s="15" t="s">
        <v>1498</v>
      </c>
      <c r="D848" s="15" t="n">
        <v>2</v>
      </c>
      <c r="E848" s="15" t="s">
        <v>2310</v>
      </c>
      <c r="F848" s="15" t="s">
        <v>136</v>
      </c>
      <c r="G848" s="15" t="n">
        <v>18</v>
      </c>
      <c r="H848" s="15" t="n">
        <v>851</v>
      </c>
      <c r="I848" s="15" t="n">
        <v>1</v>
      </c>
      <c r="J848" s="15" t="n">
        <v>0</v>
      </c>
      <c r="K848" s="15" t="n">
        <v>38</v>
      </c>
      <c r="L848" s="15" t="n">
        <v>40</v>
      </c>
      <c r="M848" s="15" t="n">
        <v>93</v>
      </c>
      <c r="N848" s="15" t="n">
        <v>0</v>
      </c>
      <c r="O848" s="15" t="n">
        <v>0</v>
      </c>
      <c r="P848" s="16" t="n">
        <v>0</v>
      </c>
      <c r="Q848" s="15" t="n">
        <v>0</v>
      </c>
      <c r="R848" s="15" t="n">
        <v>0</v>
      </c>
      <c r="S848" s="17" t="n">
        <v>73505</v>
      </c>
      <c r="T848" s="15" t="s">
        <v>164</v>
      </c>
      <c r="U848" s="15" t="n">
        <v>2027</v>
      </c>
      <c r="V848" s="15" t="s">
        <v>2311</v>
      </c>
      <c r="W848" s="18" t="s">
        <v>139</v>
      </c>
      <c r="X848" s="18" t="s">
        <v>241</v>
      </c>
      <c r="Y848" s="15" t="s">
        <v>600</v>
      </c>
      <c r="Z848" s="15" t="s">
        <v>600</v>
      </c>
      <c r="AA848" s="19" t="str">
        <f aca="false">HYPERLINK("https://www.transfermarkt.com/schnellsuche/ergebnis/schnellsuche?query="&amp;SUBSTITUTE(A848," ","+"),"Search Transfermarkt")</f>
        <v>Search Transfermarkt</v>
      </c>
    </row>
    <row r="849" customFormat="false" ht="23.85" hidden="false" customHeight="false" outlineLevel="0" collapsed="false">
      <c r="A849" s="15" t="s">
        <v>2511</v>
      </c>
      <c r="B849" s="15" t="s">
        <v>85</v>
      </c>
      <c r="C849" s="15" t="s">
        <v>330</v>
      </c>
      <c r="D849" s="15" t="n">
        <v>2</v>
      </c>
      <c r="E849" s="15" t="s">
        <v>2512</v>
      </c>
      <c r="F849" s="15" t="s">
        <v>136</v>
      </c>
      <c r="G849" s="15" t="n">
        <v>20</v>
      </c>
      <c r="H849" s="15" t="n">
        <v>872</v>
      </c>
      <c r="I849" s="15" t="n">
        <v>0</v>
      </c>
      <c r="J849" s="15" t="n">
        <v>5</v>
      </c>
      <c r="K849" s="15" t="n">
        <v>66</v>
      </c>
      <c r="L849" s="15" t="n">
        <v>26</v>
      </c>
      <c r="M849" s="15" t="n">
        <v>129</v>
      </c>
      <c r="N849" s="15" t="n">
        <v>0</v>
      </c>
      <c r="O849" s="15" t="n">
        <v>0</v>
      </c>
      <c r="P849" s="16" t="n">
        <v>0</v>
      </c>
      <c r="Q849" s="15" t="n">
        <v>0</v>
      </c>
      <c r="R849" s="15" t="n">
        <v>0</v>
      </c>
      <c r="S849" s="17" t="n">
        <v>141336</v>
      </c>
      <c r="T849" s="15" t="s">
        <v>186</v>
      </c>
      <c r="U849" s="15" t="n">
        <v>2027</v>
      </c>
      <c r="V849" s="15" t="s">
        <v>2513</v>
      </c>
      <c r="W849" s="18" t="s">
        <v>188</v>
      </c>
      <c r="X849" s="18" t="s">
        <v>265</v>
      </c>
      <c r="Y849" s="15" t="s">
        <v>600</v>
      </c>
      <c r="Z849" s="15" t="s">
        <v>600</v>
      </c>
      <c r="AA849" s="19" t="str">
        <f aca="false">HYPERLINK("https://www.transfermarkt.com/schnellsuche/ergebnis/schnellsuche?query="&amp;SUBSTITUTE(A849," ","+"),"Search Transfermarkt")</f>
        <v>Search Transfermarkt</v>
      </c>
    </row>
    <row r="850" customFormat="false" ht="23.85" hidden="false" customHeight="false" outlineLevel="0" collapsed="false">
      <c r="A850" s="15" t="s">
        <v>2514</v>
      </c>
      <c r="B850" s="15" t="s">
        <v>80</v>
      </c>
      <c r="C850" s="15" t="s">
        <v>1931</v>
      </c>
      <c r="D850" s="15" t="n">
        <v>3</v>
      </c>
      <c r="E850" s="15" t="s">
        <v>2277</v>
      </c>
      <c r="F850" s="15" t="s">
        <v>157</v>
      </c>
      <c r="G850" s="15" t="n">
        <v>26</v>
      </c>
      <c r="H850" s="15" t="n">
        <v>2314</v>
      </c>
      <c r="I850" s="15" t="n">
        <v>0</v>
      </c>
      <c r="J850" s="15" t="n">
        <v>0</v>
      </c>
      <c r="K850" s="15" t="n">
        <v>11</v>
      </c>
      <c r="L850" s="15" t="n">
        <v>3</v>
      </c>
      <c r="M850" s="15" t="n">
        <v>9</v>
      </c>
      <c r="N850" s="15" t="n">
        <v>91</v>
      </c>
      <c r="O850" s="15" t="n">
        <v>37</v>
      </c>
      <c r="P850" s="16" t="n">
        <v>83.4</v>
      </c>
      <c r="Q850" s="15" t="n">
        <v>28.2</v>
      </c>
      <c r="R850" s="15" t="n">
        <v>7</v>
      </c>
      <c r="S850" s="17" t="n">
        <v>127816</v>
      </c>
      <c r="T850" s="15" t="s">
        <v>137</v>
      </c>
      <c r="U850" s="15" t="n">
        <v>2026</v>
      </c>
      <c r="V850" s="15" t="s">
        <v>2278</v>
      </c>
      <c r="W850" s="18" t="s">
        <v>139</v>
      </c>
      <c r="X850" s="18" t="s">
        <v>304</v>
      </c>
      <c r="Y850" s="15" t="s">
        <v>600</v>
      </c>
      <c r="Z850" s="15" t="s">
        <v>600</v>
      </c>
      <c r="AA850" s="19" t="str">
        <f aca="false">HYPERLINK("https://www.transfermarkt.com/schnellsuche/ergebnis/schnellsuche?query="&amp;SUBSTITUTE(A850," ","+"),"Search Transfermarkt")</f>
        <v>Search Transfermarkt</v>
      </c>
    </row>
    <row r="851" customFormat="false" ht="23.85" hidden="false" customHeight="false" outlineLevel="0" collapsed="false">
      <c r="A851" s="15" t="s">
        <v>2515</v>
      </c>
      <c r="B851" s="15" t="s">
        <v>106</v>
      </c>
      <c r="C851" s="15" t="s">
        <v>859</v>
      </c>
      <c r="D851" s="15" t="n">
        <v>2</v>
      </c>
      <c r="E851" s="15" t="s">
        <v>2351</v>
      </c>
      <c r="F851" s="15" t="s">
        <v>170</v>
      </c>
      <c r="G851" s="15" t="n">
        <v>20</v>
      </c>
      <c r="H851" s="15" t="n">
        <v>1038</v>
      </c>
      <c r="I851" s="15" t="n">
        <v>1</v>
      </c>
      <c r="J851" s="15" t="n">
        <v>6</v>
      </c>
      <c r="K851" s="15" t="n">
        <v>178</v>
      </c>
      <c r="L851" s="15" t="n">
        <v>64</v>
      </c>
      <c r="M851" s="15" t="n">
        <v>57</v>
      </c>
      <c r="N851" s="15" t="n">
        <v>0</v>
      </c>
      <c r="O851" s="15" t="n">
        <v>0</v>
      </c>
      <c r="P851" s="16" t="n">
        <v>0</v>
      </c>
      <c r="Q851" s="15" t="n">
        <v>0</v>
      </c>
      <c r="R851" s="15" t="n">
        <v>0</v>
      </c>
      <c r="S851" s="17" t="n">
        <v>0</v>
      </c>
      <c r="T851" s="15" t="s">
        <v>137</v>
      </c>
      <c r="U851" s="15" t="n">
        <v>2029</v>
      </c>
      <c r="V851" s="15" t="s">
        <v>2352</v>
      </c>
      <c r="W851" s="18" t="s">
        <v>139</v>
      </c>
      <c r="X851" s="18" t="s">
        <v>283</v>
      </c>
      <c r="Y851" s="15" t="s">
        <v>600</v>
      </c>
      <c r="Z851" s="15" t="s">
        <v>600</v>
      </c>
      <c r="AA851" s="19" t="str">
        <f aca="false">HYPERLINK("https://www.transfermarkt.com/schnellsuche/ergebnis/schnellsuche?query="&amp;SUBSTITUTE(A851," ","+"),"Search Transfermarkt")</f>
        <v>Search Transfermarkt</v>
      </c>
    </row>
    <row r="852" customFormat="false" ht="23.85" hidden="false" customHeight="false" outlineLevel="0" collapsed="false">
      <c r="A852" s="15" t="s">
        <v>2516</v>
      </c>
      <c r="B852" s="15" t="s">
        <v>96</v>
      </c>
      <c r="C852" s="15" t="s">
        <v>1665</v>
      </c>
      <c r="D852" s="15" t="n">
        <v>2</v>
      </c>
      <c r="E852" s="15" t="s">
        <v>1148</v>
      </c>
      <c r="F852" s="15" t="s">
        <v>136</v>
      </c>
      <c r="G852" s="15" t="n">
        <v>18</v>
      </c>
      <c r="H852" s="15" t="n">
        <v>1010</v>
      </c>
      <c r="I852" s="15" t="n">
        <v>2</v>
      </c>
      <c r="J852" s="15" t="n">
        <v>4</v>
      </c>
      <c r="K852" s="15" t="n">
        <v>62</v>
      </c>
      <c r="L852" s="15" t="n">
        <v>41</v>
      </c>
      <c r="M852" s="15" t="n">
        <v>125</v>
      </c>
      <c r="N852" s="15" t="n">
        <v>0</v>
      </c>
      <c r="O852" s="15" t="n">
        <v>0</v>
      </c>
      <c r="P852" s="16" t="n">
        <v>0</v>
      </c>
      <c r="Q852" s="15" t="n">
        <v>0</v>
      </c>
      <c r="R852" s="15" t="n">
        <v>0</v>
      </c>
      <c r="S852" s="17" t="n">
        <v>147284</v>
      </c>
      <c r="T852" s="15" t="s">
        <v>186</v>
      </c>
      <c r="U852" s="15" t="n">
        <v>2027</v>
      </c>
      <c r="V852" s="15" t="s">
        <v>1149</v>
      </c>
      <c r="W852" s="18" t="s">
        <v>188</v>
      </c>
      <c r="X852" s="18" t="s">
        <v>216</v>
      </c>
      <c r="Y852" s="15" t="s">
        <v>600</v>
      </c>
      <c r="Z852" s="15" t="s">
        <v>600</v>
      </c>
      <c r="AA852" s="19" t="str">
        <f aca="false">HYPERLINK("https://www.transfermarkt.com/schnellsuche/ergebnis/schnellsuche?query="&amp;SUBSTITUTE(A852," ","+"),"Search Transfermarkt")</f>
        <v>Search Transfermarkt</v>
      </c>
    </row>
    <row r="853" customFormat="false" ht="23.85" hidden="false" customHeight="false" outlineLevel="0" collapsed="false">
      <c r="A853" s="15" t="s">
        <v>2517</v>
      </c>
      <c r="B853" s="15" t="s">
        <v>62</v>
      </c>
      <c r="C853" s="15" t="s">
        <v>422</v>
      </c>
      <c r="D853" s="15" t="n">
        <v>2</v>
      </c>
      <c r="E853" s="15" t="s">
        <v>2518</v>
      </c>
      <c r="F853" s="15" t="s">
        <v>157</v>
      </c>
      <c r="G853" s="15" t="n">
        <v>25</v>
      </c>
      <c r="H853" s="15" t="n">
        <v>943</v>
      </c>
      <c r="I853" s="15" t="n">
        <v>0</v>
      </c>
      <c r="J853" s="15" t="n">
        <v>0</v>
      </c>
      <c r="K853" s="15" t="n">
        <v>18</v>
      </c>
      <c r="L853" s="15" t="n">
        <v>2</v>
      </c>
      <c r="M853" s="15" t="n">
        <v>8</v>
      </c>
      <c r="N853" s="15" t="n">
        <v>42</v>
      </c>
      <c r="O853" s="15" t="n">
        <v>16</v>
      </c>
      <c r="P853" s="16" t="n">
        <v>72.4</v>
      </c>
      <c r="Q853" s="15" t="n">
        <v>11.6</v>
      </c>
      <c r="R853" s="15" t="n">
        <v>2</v>
      </c>
      <c r="S853" s="17" t="n">
        <v>145180</v>
      </c>
      <c r="T853" s="15" t="s">
        <v>164</v>
      </c>
      <c r="U853" s="15" t="n">
        <v>2027</v>
      </c>
      <c r="V853" s="15" t="s">
        <v>2519</v>
      </c>
      <c r="W853" s="18" t="s">
        <v>139</v>
      </c>
      <c r="X853" s="18" t="s">
        <v>211</v>
      </c>
      <c r="Y853" s="15" t="s">
        <v>600</v>
      </c>
      <c r="Z853" s="15" t="s">
        <v>600</v>
      </c>
      <c r="AA853" s="19" t="str">
        <f aca="false">HYPERLINK("https://www.transfermarkt.com/schnellsuche/ergebnis/schnellsuche?query="&amp;SUBSTITUTE(A853," ","+"),"Search Transfermarkt")</f>
        <v>Search Transfermarkt</v>
      </c>
    </row>
    <row r="854" customFormat="false" ht="23.85" hidden="false" customHeight="false" outlineLevel="0" collapsed="false">
      <c r="A854" s="15" t="s">
        <v>2520</v>
      </c>
      <c r="B854" s="15" t="s">
        <v>102</v>
      </c>
      <c r="C854" s="15" t="s">
        <v>759</v>
      </c>
      <c r="D854" s="15" t="n">
        <v>4</v>
      </c>
      <c r="E854" s="15" t="s">
        <v>973</v>
      </c>
      <c r="F854" s="15" t="s">
        <v>136</v>
      </c>
      <c r="G854" s="15" t="n">
        <v>22</v>
      </c>
      <c r="H854" s="15" t="n">
        <v>938</v>
      </c>
      <c r="I854" s="15" t="n">
        <v>2</v>
      </c>
      <c r="J854" s="15" t="n">
        <v>0</v>
      </c>
      <c r="K854" s="15" t="n">
        <v>38</v>
      </c>
      <c r="L854" s="15" t="n">
        <v>30</v>
      </c>
      <c r="M854" s="15" t="n">
        <v>77</v>
      </c>
      <c r="N854" s="15" t="n">
        <v>0</v>
      </c>
      <c r="O854" s="15" t="n">
        <v>0</v>
      </c>
      <c r="P854" s="16" t="n">
        <v>0</v>
      </c>
      <c r="Q854" s="15" t="n">
        <v>0</v>
      </c>
      <c r="R854" s="15" t="n">
        <v>0</v>
      </c>
      <c r="S854" s="17" t="n">
        <v>14241</v>
      </c>
      <c r="T854" s="15" t="s">
        <v>186</v>
      </c>
      <c r="U854" s="15" t="n">
        <v>2027</v>
      </c>
      <c r="V854" s="15" t="s">
        <v>974</v>
      </c>
      <c r="W854" s="18" t="s">
        <v>188</v>
      </c>
      <c r="X854" s="18" t="s">
        <v>453</v>
      </c>
      <c r="Y854" s="15" t="s">
        <v>600</v>
      </c>
      <c r="Z854" s="15" t="s">
        <v>600</v>
      </c>
      <c r="AA854" s="19" t="str">
        <f aca="false">HYPERLINK("https://www.transfermarkt.com/schnellsuche/ergebnis/schnellsuche?query="&amp;SUBSTITUTE(A854," ","+"),"Search Transfermarkt")</f>
        <v>Search Transfermarkt</v>
      </c>
    </row>
    <row r="855" customFormat="false" ht="23.85" hidden="false" customHeight="false" outlineLevel="0" collapsed="false">
      <c r="A855" s="15" t="s">
        <v>2521</v>
      </c>
      <c r="B855" s="15" t="s">
        <v>87</v>
      </c>
      <c r="C855" s="15" t="s">
        <v>2349</v>
      </c>
      <c r="D855" s="15" t="n">
        <v>2</v>
      </c>
      <c r="E855" s="15" t="s">
        <v>2522</v>
      </c>
      <c r="F855" s="15" t="s">
        <v>163</v>
      </c>
      <c r="G855" s="15" t="n">
        <v>22</v>
      </c>
      <c r="H855" s="15" t="n">
        <v>2657</v>
      </c>
      <c r="I855" s="15" t="n">
        <v>7</v>
      </c>
      <c r="J855" s="15" t="n">
        <v>3</v>
      </c>
      <c r="K855" s="15" t="n">
        <v>49</v>
      </c>
      <c r="L855" s="15" t="n">
        <v>91</v>
      </c>
      <c r="M855" s="15" t="n">
        <v>13</v>
      </c>
      <c r="N855" s="15" t="n">
        <v>0</v>
      </c>
      <c r="O855" s="15" t="n">
        <v>0</v>
      </c>
      <c r="P855" s="16" t="n">
        <v>0</v>
      </c>
      <c r="Q855" s="15" t="n">
        <v>0</v>
      </c>
      <c r="R855" s="15" t="n">
        <v>0</v>
      </c>
      <c r="S855" s="17" t="n">
        <v>0</v>
      </c>
      <c r="T855" s="15" t="s">
        <v>137</v>
      </c>
      <c r="U855" s="15" t="n">
        <v>2026</v>
      </c>
      <c r="V855" s="15" t="s">
        <v>2523</v>
      </c>
      <c r="W855" s="18" t="s">
        <v>139</v>
      </c>
      <c r="X855" s="18" t="s">
        <v>341</v>
      </c>
      <c r="Y855" s="15" t="s">
        <v>600</v>
      </c>
      <c r="Z855" s="15" t="s">
        <v>600</v>
      </c>
      <c r="AA855" s="19" t="str">
        <f aca="false">HYPERLINK("https://www.transfermarkt.com/schnellsuche/ergebnis/schnellsuche?query="&amp;SUBSTITUTE(A855," ","+"),"Search Transfermarkt")</f>
        <v>Search Transfermarkt</v>
      </c>
    </row>
    <row r="856" customFormat="false" ht="23.85" hidden="false" customHeight="false" outlineLevel="0" collapsed="false">
      <c r="A856" s="15" t="s">
        <v>2524</v>
      </c>
      <c r="B856" s="15" t="s">
        <v>106</v>
      </c>
      <c r="C856" s="15" t="s">
        <v>867</v>
      </c>
      <c r="D856" s="15" t="n">
        <v>3</v>
      </c>
      <c r="E856" s="15" t="s">
        <v>1355</v>
      </c>
      <c r="F856" s="15" t="s">
        <v>170</v>
      </c>
      <c r="G856" s="15" t="n">
        <v>19</v>
      </c>
      <c r="H856" s="15" t="n">
        <v>2005</v>
      </c>
      <c r="I856" s="15" t="n">
        <v>9</v>
      </c>
      <c r="J856" s="15" t="n">
        <v>12</v>
      </c>
      <c r="K856" s="15" t="n">
        <v>124</v>
      </c>
      <c r="L856" s="15" t="n">
        <v>70</v>
      </c>
      <c r="M856" s="15" t="n">
        <v>51</v>
      </c>
      <c r="N856" s="15" t="n">
        <v>0</v>
      </c>
      <c r="O856" s="15" t="n">
        <v>0</v>
      </c>
      <c r="P856" s="16" t="n">
        <v>0</v>
      </c>
      <c r="Q856" s="15" t="n">
        <v>0</v>
      </c>
      <c r="R856" s="15" t="n">
        <v>0</v>
      </c>
      <c r="S856" s="17" t="n">
        <v>85121</v>
      </c>
      <c r="T856" s="15" t="s">
        <v>164</v>
      </c>
      <c r="U856" s="15" t="n">
        <v>2026</v>
      </c>
      <c r="V856" s="15" t="s">
        <v>1356</v>
      </c>
      <c r="W856" s="18" t="s">
        <v>139</v>
      </c>
      <c r="X856" s="18" t="s">
        <v>283</v>
      </c>
      <c r="Y856" s="15" t="s">
        <v>600</v>
      </c>
      <c r="Z856" s="15" t="s">
        <v>600</v>
      </c>
      <c r="AA856" s="19" t="str">
        <f aca="false">HYPERLINK("https://www.transfermarkt.com/schnellsuche/ergebnis/schnellsuche?query="&amp;SUBSTITUTE(A856," ","+"),"Search Transfermarkt")</f>
        <v>Search Transfermarkt</v>
      </c>
    </row>
    <row r="857" customFormat="false" ht="23.85" hidden="false" customHeight="false" outlineLevel="0" collapsed="false">
      <c r="A857" s="15" t="s">
        <v>2525</v>
      </c>
      <c r="B857" s="15" t="s">
        <v>94</v>
      </c>
      <c r="C857" s="15" t="s">
        <v>334</v>
      </c>
      <c r="D857" s="15" t="n">
        <v>2</v>
      </c>
      <c r="E857" s="15" t="s">
        <v>1782</v>
      </c>
      <c r="F857" s="15" t="s">
        <v>157</v>
      </c>
      <c r="G857" s="15" t="n">
        <v>18</v>
      </c>
      <c r="H857" s="15" t="n">
        <v>984</v>
      </c>
      <c r="I857" s="15" t="n">
        <v>0</v>
      </c>
      <c r="J857" s="15" t="n">
        <v>0</v>
      </c>
      <c r="K857" s="15" t="n">
        <v>20</v>
      </c>
      <c r="L857" s="15" t="n">
        <v>2</v>
      </c>
      <c r="M857" s="15" t="n">
        <v>7</v>
      </c>
      <c r="N857" s="15" t="n">
        <v>30</v>
      </c>
      <c r="O857" s="15" t="n">
        <v>21</v>
      </c>
      <c r="P857" s="16" t="n">
        <v>71.7</v>
      </c>
      <c r="Q857" s="15" t="n">
        <v>9</v>
      </c>
      <c r="R857" s="15" t="n">
        <v>3</v>
      </c>
      <c r="S857" s="17" t="n">
        <v>71747</v>
      </c>
      <c r="T857" s="15" t="s">
        <v>137</v>
      </c>
      <c r="U857" s="15" t="n">
        <v>2027</v>
      </c>
      <c r="V857" s="15" t="s">
        <v>1783</v>
      </c>
      <c r="W857" s="18" t="s">
        <v>139</v>
      </c>
      <c r="X857" s="18" t="s">
        <v>226</v>
      </c>
      <c r="Y857" s="15" t="s">
        <v>600</v>
      </c>
      <c r="Z857" s="15" t="s">
        <v>600</v>
      </c>
      <c r="AA857" s="19" t="str">
        <f aca="false">HYPERLINK("https://www.transfermarkt.com/schnellsuche/ergebnis/schnellsuche?query="&amp;SUBSTITUTE(A857," ","+"),"Search Transfermarkt")</f>
        <v>Search Transfermarkt</v>
      </c>
    </row>
    <row r="858" customFormat="false" ht="23.85" hidden="false" customHeight="false" outlineLevel="0" collapsed="false">
      <c r="A858" s="15" t="s">
        <v>2526</v>
      </c>
      <c r="B858" s="15" t="s">
        <v>86</v>
      </c>
      <c r="C858" s="15" t="s">
        <v>1168</v>
      </c>
      <c r="D858" s="15" t="n">
        <v>2</v>
      </c>
      <c r="E858" s="15" t="s">
        <v>2527</v>
      </c>
      <c r="F858" s="15" t="s">
        <v>163</v>
      </c>
      <c r="G858" s="15" t="n">
        <v>20</v>
      </c>
      <c r="H858" s="15" t="n">
        <v>2270</v>
      </c>
      <c r="I858" s="15" t="n">
        <v>9</v>
      </c>
      <c r="J858" s="15" t="n">
        <v>3</v>
      </c>
      <c r="K858" s="15" t="n">
        <v>47</v>
      </c>
      <c r="L858" s="15" t="n">
        <v>76</v>
      </c>
      <c r="M858" s="15" t="n">
        <v>7</v>
      </c>
      <c r="N858" s="15" t="n">
        <v>0</v>
      </c>
      <c r="O858" s="15" t="n">
        <v>0</v>
      </c>
      <c r="P858" s="16" t="n">
        <v>0</v>
      </c>
      <c r="Q858" s="15" t="n">
        <v>0</v>
      </c>
      <c r="R858" s="15" t="n">
        <v>0</v>
      </c>
      <c r="S858" s="17" t="n">
        <v>12413</v>
      </c>
      <c r="T858" s="15" t="s">
        <v>137</v>
      </c>
      <c r="U858" s="15" t="n">
        <v>2029</v>
      </c>
      <c r="V858" s="15" t="s">
        <v>2528</v>
      </c>
      <c r="W858" s="18" t="s">
        <v>139</v>
      </c>
      <c r="X858" s="18" t="s">
        <v>473</v>
      </c>
      <c r="Y858" s="15" t="s">
        <v>600</v>
      </c>
      <c r="Z858" s="15" t="s">
        <v>600</v>
      </c>
      <c r="AA858" s="19" t="str">
        <f aca="false">HYPERLINK("https://www.transfermarkt.com/schnellsuche/ergebnis/schnellsuche?query="&amp;SUBSTITUTE(A858," ","+"),"Search Transfermarkt")</f>
        <v>Search Transfermarkt</v>
      </c>
    </row>
    <row r="859" customFormat="false" ht="23.85" hidden="false" customHeight="false" outlineLevel="0" collapsed="false">
      <c r="A859" s="15" t="s">
        <v>2529</v>
      </c>
      <c r="B859" s="15" t="s">
        <v>87</v>
      </c>
      <c r="C859" s="15" t="s">
        <v>338</v>
      </c>
      <c r="D859" s="15" t="n">
        <v>3</v>
      </c>
      <c r="E859" s="15" t="s">
        <v>2530</v>
      </c>
      <c r="F859" s="15" t="s">
        <v>157</v>
      </c>
      <c r="G859" s="15" t="n">
        <v>18</v>
      </c>
      <c r="H859" s="15" t="n">
        <v>2645</v>
      </c>
      <c r="I859" s="15" t="n">
        <v>0</v>
      </c>
      <c r="J859" s="15" t="n">
        <v>0</v>
      </c>
      <c r="K859" s="15" t="n">
        <v>10</v>
      </c>
      <c r="L859" s="15" t="n">
        <v>4</v>
      </c>
      <c r="M859" s="15" t="n">
        <v>9</v>
      </c>
      <c r="N859" s="15" t="n">
        <v>92</v>
      </c>
      <c r="O859" s="15" t="n">
        <v>38</v>
      </c>
      <c r="P859" s="16" t="n">
        <v>80.1</v>
      </c>
      <c r="Q859" s="15" t="n">
        <v>7.4</v>
      </c>
      <c r="R859" s="15" t="n">
        <v>7</v>
      </c>
      <c r="S859" s="17" t="n">
        <v>0</v>
      </c>
      <c r="T859" s="15" t="s">
        <v>164</v>
      </c>
      <c r="U859" s="15" t="n">
        <v>2027</v>
      </c>
      <c r="V859" s="15" t="s">
        <v>2531</v>
      </c>
      <c r="W859" s="18" t="s">
        <v>139</v>
      </c>
      <c r="X859" s="18" t="s">
        <v>341</v>
      </c>
      <c r="Y859" s="15" t="s">
        <v>600</v>
      </c>
      <c r="Z859" s="15" t="s">
        <v>600</v>
      </c>
      <c r="AA859" s="19" t="str">
        <f aca="false">HYPERLINK("https://www.transfermarkt.com/schnellsuche/ergebnis/schnellsuche?query="&amp;SUBSTITUTE(A859," ","+"),"Search Transfermarkt")</f>
        <v>Search Transfermarkt</v>
      </c>
    </row>
    <row r="860" customFormat="false" ht="23.85" hidden="false" customHeight="false" outlineLevel="0" collapsed="false">
      <c r="A860" s="15" t="s">
        <v>2532</v>
      </c>
      <c r="B860" s="15" t="s">
        <v>66</v>
      </c>
      <c r="C860" s="15" t="s">
        <v>1039</v>
      </c>
      <c r="D860" s="15" t="n">
        <v>3</v>
      </c>
      <c r="E860" s="15" t="s">
        <v>180</v>
      </c>
      <c r="F860" s="15" t="s">
        <v>136</v>
      </c>
      <c r="G860" s="15" t="n">
        <v>24</v>
      </c>
      <c r="H860" s="15" t="n">
        <v>1705</v>
      </c>
      <c r="I860" s="15" t="n">
        <v>2</v>
      </c>
      <c r="J860" s="15" t="n">
        <v>0</v>
      </c>
      <c r="K860" s="15" t="n">
        <v>40</v>
      </c>
      <c r="L860" s="15" t="n">
        <v>26</v>
      </c>
      <c r="M860" s="15" t="n">
        <v>90</v>
      </c>
      <c r="N860" s="15" t="n">
        <v>0</v>
      </c>
      <c r="O860" s="15" t="n">
        <v>0</v>
      </c>
      <c r="P860" s="16" t="n">
        <v>0</v>
      </c>
      <c r="Q860" s="15" t="n">
        <v>0</v>
      </c>
      <c r="R860" s="15" t="n">
        <v>0</v>
      </c>
      <c r="S860" s="17" t="n">
        <v>0</v>
      </c>
      <c r="T860" s="15" t="s">
        <v>137</v>
      </c>
      <c r="U860" s="15" t="n">
        <v>2026</v>
      </c>
      <c r="V860" s="15" t="s">
        <v>181</v>
      </c>
      <c r="W860" s="18" t="s">
        <v>139</v>
      </c>
      <c r="X860" s="18" t="s">
        <v>182</v>
      </c>
      <c r="Y860" s="15" t="s">
        <v>600</v>
      </c>
      <c r="Z860" s="15" t="s">
        <v>600</v>
      </c>
      <c r="AA860" s="19" t="str">
        <f aca="false">HYPERLINK("https://www.transfermarkt.com/schnellsuche/ergebnis/schnellsuche?query="&amp;SUBSTITUTE(A860," ","+"),"Search Transfermarkt")</f>
        <v>Search Transfermarkt</v>
      </c>
    </row>
    <row r="861" customFormat="false" ht="23.85" hidden="false" customHeight="false" outlineLevel="0" collapsed="false">
      <c r="A861" s="15" t="s">
        <v>2533</v>
      </c>
      <c r="B861" s="15" t="s">
        <v>103</v>
      </c>
      <c r="C861" s="15" t="s">
        <v>1333</v>
      </c>
      <c r="D861" s="15" t="n">
        <v>3</v>
      </c>
      <c r="E861" s="15" t="s">
        <v>2187</v>
      </c>
      <c r="F861" s="15" t="s">
        <v>157</v>
      </c>
      <c r="G861" s="15" t="n">
        <v>19</v>
      </c>
      <c r="H861" s="15" t="n">
        <v>2519</v>
      </c>
      <c r="I861" s="15" t="n">
        <v>0</v>
      </c>
      <c r="J861" s="15" t="n">
        <v>0</v>
      </c>
      <c r="K861" s="15" t="n">
        <v>16</v>
      </c>
      <c r="L861" s="15" t="n">
        <v>4</v>
      </c>
      <c r="M861" s="15" t="n">
        <v>6</v>
      </c>
      <c r="N861" s="15" t="n">
        <v>102</v>
      </c>
      <c r="O861" s="15" t="n">
        <v>33</v>
      </c>
      <c r="P861" s="16" t="n">
        <v>56.8</v>
      </c>
      <c r="Q861" s="15" t="n">
        <v>4.6</v>
      </c>
      <c r="R861" s="15" t="n">
        <v>9</v>
      </c>
      <c r="S861" s="17" t="n">
        <v>139996</v>
      </c>
      <c r="T861" s="15" t="s">
        <v>137</v>
      </c>
      <c r="U861" s="15" t="n">
        <v>2028</v>
      </c>
      <c r="V861" s="15" t="s">
        <v>2188</v>
      </c>
      <c r="W861" s="18" t="s">
        <v>139</v>
      </c>
      <c r="X861" s="18" t="s">
        <v>481</v>
      </c>
      <c r="Y861" s="15" t="s">
        <v>600</v>
      </c>
      <c r="Z861" s="15" t="s">
        <v>600</v>
      </c>
      <c r="AA861" s="19" t="str">
        <f aca="false">HYPERLINK("https://www.transfermarkt.com/schnellsuche/ergebnis/schnellsuche?query="&amp;SUBSTITUTE(A861," ","+"),"Search Transfermarkt")</f>
        <v>Search Transfermarkt</v>
      </c>
    </row>
    <row r="862" customFormat="false" ht="23.85" hidden="false" customHeight="false" outlineLevel="0" collapsed="false">
      <c r="A862" s="15" t="s">
        <v>2534</v>
      </c>
      <c r="B862" s="15" t="s">
        <v>90</v>
      </c>
      <c r="C862" s="15" t="s">
        <v>900</v>
      </c>
      <c r="D862" s="15" t="n">
        <v>3</v>
      </c>
      <c r="E862" s="15" t="s">
        <v>2535</v>
      </c>
      <c r="F862" s="15" t="s">
        <v>136</v>
      </c>
      <c r="G862" s="15" t="n">
        <v>22</v>
      </c>
      <c r="H862" s="15" t="n">
        <v>1357</v>
      </c>
      <c r="I862" s="15" t="n">
        <v>3</v>
      </c>
      <c r="J862" s="15" t="n">
        <v>0</v>
      </c>
      <c r="K862" s="15" t="n">
        <v>59</v>
      </c>
      <c r="L862" s="15" t="n">
        <v>28</v>
      </c>
      <c r="M862" s="15" t="n">
        <v>109</v>
      </c>
      <c r="N862" s="15" t="n">
        <v>0</v>
      </c>
      <c r="O862" s="15" t="n">
        <v>0</v>
      </c>
      <c r="P862" s="16" t="n">
        <v>0</v>
      </c>
      <c r="Q862" s="15" t="n">
        <v>0</v>
      </c>
      <c r="R862" s="15" t="n">
        <v>0</v>
      </c>
      <c r="S862" s="17" t="n">
        <v>98653</v>
      </c>
      <c r="T862" s="15" t="s">
        <v>186</v>
      </c>
      <c r="U862" s="15" t="n">
        <v>2027</v>
      </c>
      <c r="V862" s="15" t="s">
        <v>2536</v>
      </c>
      <c r="W862" s="18" t="s">
        <v>188</v>
      </c>
      <c r="X862" s="18" t="s">
        <v>288</v>
      </c>
      <c r="Y862" s="15" t="s">
        <v>600</v>
      </c>
      <c r="Z862" s="15" t="s">
        <v>600</v>
      </c>
      <c r="AA862" s="19" t="str">
        <f aca="false">HYPERLINK("https://www.transfermarkt.com/schnellsuche/ergebnis/schnellsuche?query="&amp;SUBSTITUTE(A862," ","+"),"Search Transfermarkt")</f>
        <v>Search Transfermarkt</v>
      </c>
    </row>
    <row r="863" customFormat="false" ht="23.85" hidden="false" customHeight="false" outlineLevel="0" collapsed="false">
      <c r="A863" s="15" t="s">
        <v>2537</v>
      </c>
      <c r="B863" s="15" t="s">
        <v>103</v>
      </c>
      <c r="C863" s="15" t="s">
        <v>501</v>
      </c>
      <c r="D863" s="15" t="n">
        <v>2</v>
      </c>
      <c r="E863" s="15" t="s">
        <v>479</v>
      </c>
      <c r="F863" s="15" t="s">
        <v>170</v>
      </c>
      <c r="G863" s="15" t="n">
        <v>17</v>
      </c>
      <c r="H863" s="15" t="n">
        <v>2697</v>
      </c>
      <c r="I863" s="15" t="n">
        <v>1</v>
      </c>
      <c r="J863" s="15" t="n">
        <v>5</v>
      </c>
      <c r="K863" s="15" t="n">
        <v>148</v>
      </c>
      <c r="L863" s="15" t="n">
        <v>68</v>
      </c>
      <c r="M863" s="15" t="n">
        <v>40</v>
      </c>
      <c r="N863" s="15" t="n">
        <v>0</v>
      </c>
      <c r="O863" s="15" t="n">
        <v>0</v>
      </c>
      <c r="P863" s="16" t="n">
        <v>0</v>
      </c>
      <c r="Q863" s="15" t="n">
        <v>0</v>
      </c>
      <c r="R863" s="15" t="n">
        <v>0</v>
      </c>
      <c r="S863" s="17" t="n">
        <v>0</v>
      </c>
      <c r="T863" s="15" t="s">
        <v>164</v>
      </c>
      <c r="U863" s="15" t="n">
        <v>2028</v>
      </c>
      <c r="V863" s="15" t="s">
        <v>480</v>
      </c>
      <c r="W863" s="18" t="s">
        <v>147</v>
      </c>
      <c r="X863" s="18" t="s">
        <v>481</v>
      </c>
      <c r="Y863" s="15" t="s">
        <v>600</v>
      </c>
      <c r="Z863" s="15" t="s">
        <v>600</v>
      </c>
      <c r="AA863" s="19" t="str">
        <f aca="false">HYPERLINK("https://www.transfermarkt.com/schnellsuche/ergebnis/schnellsuche?query="&amp;SUBSTITUTE(A863," ","+"),"Search Transfermarkt")</f>
        <v>Search Transfermarkt</v>
      </c>
    </row>
    <row r="864" customFormat="false" ht="23.85" hidden="false" customHeight="false" outlineLevel="0" collapsed="false">
      <c r="A864" s="15" t="s">
        <v>2538</v>
      </c>
      <c r="B864" s="15" t="s">
        <v>75</v>
      </c>
      <c r="C864" s="15" t="s">
        <v>1221</v>
      </c>
      <c r="D864" s="15" t="n">
        <v>3</v>
      </c>
      <c r="E864" s="15" t="s">
        <v>988</v>
      </c>
      <c r="F864" s="15" t="s">
        <v>136</v>
      </c>
      <c r="G864" s="15" t="n">
        <v>21</v>
      </c>
      <c r="H864" s="15" t="n">
        <v>2521</v>
      </c>
      <c r="I864" s="15" t="n">
        <v>0</v>
      </c>
      <c r="J864" s="15" t="n">
        <v>4</v>
      </c>
      <c r="K864" s="15" t="n">
        <v>63</v>
      </c>
      <c r="L864" s="15" t="n">
        <v>20</v>
      </c>
      <c r="M864" s="15" t="n">
        <v>75</v>
      </c>
      <c r="N864" s="15" t="n">
        <v>0</v>
      </c>
      <c r="O864" s="15" t="n">
        <v>0</v>
      </c>
      <c r="P864" s="16" t="n">
        <v>0</v>
      </c>
      <c r="Q864" s="15" t="n">
        <v>0</v>
      </c>
      <c r="R864" s="15" t="n">
        <v>0</v>
      </c>
      <c r="S864" s="17" t="n">
        <v>112660</v>
      </c>
      <c r="T864" s="15" t="s">
        <v>137</v>
      </c>
      <c r="U864" s="15" t="n">
        <v>2026</v>
      </c>
      <c r="V864" s="15" t="s">
        <v>989</v>
      </c>
      <c r="W864" s="18" t="s">
        <v>139</v>
      </c>
      <c r="X864" s="18" t="s">
        <v>197</v>
      </c>
      <c r="Y864" s="15" t="s">
        <v>600</v>
      </c>
      <c r="Z864" s="15" t="s">
        <v>600</v>
      </c>
      <c r="AA864" s="19" t="str">
        <f aca="false">HYPERLINK("https://www.transfermarkt.com/schnellsuche/ergebnis/schnellsuche?query="&amp;SUBSTITUTE(A864," ","+"),"Search Transfermarkt")</f>
        <v>Search Transfermarkt</v>
      </c>
    </row>
    <row r="865" customFormat="false" ht="23.85" hidden="false" customHeight="false" outlineLevel="0" collapsed="false">
      <c r="A865" s="15" t="s">
        <v>2539</v>
      </c>
      <c r="B865" s="15" t="s">
        <v>92</v>
      </c>
      <c r="C865" s="15" t="s">
        <v>1626</v>
      </c>
      <c r="D865" s="15" t="n">
        <v>4</v>
      </c>
      <c r="E865" s="15" t="s">
        <v>2540</v>
      </c>
      <c r="F865" s="15" t="s">
        <v>157</v>
      </c>
      <c r="G865" s="15" t="n">
        <v>18</v>
      </c>
      <c r="H865" s="15" t="n">
        <v>2320</v>
      </c>
      <c r="I865" s="15" t="n">
        <v>0</v>
      </c>
      <c r="J865" s="15" t="n">
        <v>0</v>
      </c>
      <c r="K865" s="15" t="n">
        <v>19</v>
      </c>
      <c r="L865" s="15" t="n">
        <v>0</v>
      </c>
      <c r="M865" s="15" t="n">
        <v>5</v>
      </c>
      <c r="N865" s="15" t="n">
        <v>93</v>
      </c>
      <c r="O865" s="15" t="n">
        <v>36</v>
      </c>
      <c r="P865" s="16" t="n">
        <v>74.7</v>
      </c>
      <c r="Q865" s="15" t="n">
        <v>13.9</v>
      </c>
      <c r="R865" s="15" t="n">
        <v>8</v>
      </c>
      <c r="S865" s="17" t="n">
        <v>61625</v>
      </c>
      <c r="T865" s="15" t="s">
        <v>186</v>
      </c>
      <c r="U865" s="15" t="n">
        <v>2027</v>
      </c>
      <c r="V865" s="15" t="s">
        <v>2541</v>
      </c>
      <c r="W865" s="18" t="s">
        <v>188</v>
      </c>
      <c r="X865" s="18" t="s">
        <v>159</v>
      </c>
      <c r="Y865" s="15" t="s">
        <v>600</v>
      </c>
      <c r="Z865" s="15" t="s">
        <v>600</v>
      </c>
      <c r="AA865" s="19" t="str">
        <f aca="false">HYPERLINK("https://www.transfermarkt.com/schnellsuche/ergebnis/schnellsuche?query="&amp;SUBSTITUTE(A865," ","+"),"Search Transfermarkt")</f>
        <v>Search Transfermarkt</v>
      </c>
    </row>
    <row r="866" customFormat="false" ht="23.85" hidden="false" customHeight="false" outlineLevel="0" collapsed="false">
      <c r="A866" s="15" t="s">
        <v>2542</v>
      </c>
      <c r="B866" s="15" t="s">
        <v>102</v>
      </c>
      <c r="C866" s="15" t="s">
        <v>1749</v>
      </c>
      <c r="D866" s="15" t="n">
        <v>2</v>
      </c>
      <c r="E866" s="15" t="s">
        <v>1862</v>
      </c>
      <c r="F866" s="15" t="s">
        <v>163</v>
      </c>
      <c r="G866" s="15" t="n">
        <v>19</v>
      </c>
      <c r="H866" s="15" t="n">
        <v>917</v>
      </c>
      <c r="I866" s="15" t="n">
        <v>13</v>
      </c>
      <c r="J866" s="15" t="n">
        <v>2</v>
      </c>
      <c r="K866" s="15" t="n">
        <v>36</v>
      </c>
      <c r="L866" s="15" t="n">
        <v>96</v>
      </c>
      <c r="M866" s="15" t="n">
        <v>16</v>
      </c>
      <c r="N866" s="15" t="n">
        <v>0</v>
      </c>
      <c r="O866" s="15" t="n">
        <v>0</v>
      </c>
      <c r="P866" s="16" t="n">
        <v>0</v>
      </c>
      <c r="Q866" s="15" t="n">
        <v>0</v>
      </c>
      <c r="R866" s="15" t="n">
        <v>0</v>
      </c>
      <c r="S866" s="17" t="n">
        <v>19352</v>
      </c>
      <c r="T866" s="15" t="s">
        <v>186</v>
      </c>
      <c r="U866" s="15" t="n">
        <v>2027</v>
      </c>
      <c r="V866" s="15" t="s">
        <v>1863</v>
      </c>
      <c r="W866" s="18" t="s">
        <v>188</v>
      </c>
      <c r="X866" s="18" t="s">
        <v>453</v>
      </c>
      <c r="Y866" s="15" t="s">
        <v>600</v>
      </c>
      <c r="Z866" s="15" t="s">
        <v>600</v>
      </c>
      <c r="AA866" s="19" t="str">
        <f aca="false">HYPERLINK("https://www.transfermarkt.com/schnellsuche/ergebnis/schnellsuche?query="&amp;SUBSTITUTE(A866," ","+"),"Search Transfermarkt")</f>
        <v>Search Transfermarkt</v>
      </c>
    </row>
    <row r="867" customFormat="false" ht="23.85" hidden="false" customHeight="false" outlineLevel="0" collapsed="false">
      <c r="A867" s="15" t="s">
        <v>2543</v>
      </c>
      <c r="B867" s="15" t="s">
        <v>87</v>
      </c>
      <c r="C867" s="15" t="s">
        <v>364</v>
      </c>
      <c r="D867" s="15" t="n">
        <v>4</v>
      </c>
      <c r="E867" s="15" t="s">
        <v>2544</v>
      </c>
      <c r="F867" s="15" t="s">
        <v>136</v>
      </c>
      <c r="G867" s="15" t="n">
        <v>18</v>
      </c>
      <c r="H867" s="15" t="n">
        <v>2202</v>
      </c>
      <c r="I867" s="15" t="n">
        <v>1</v>
      </c>
      <c r="J867" s="15" t="n">
        <v>4</v>
      </c>
      <c r="K867" s="15" t="n">
        <v>39</v>
      </c>
      <c r="L867" s="15" t="n">
        <v>36</v>
      </c>
      <c r="M867" s="15" t="n">
        <v>104</v>
      </c>
      <c r="N867" s="15" t="n">
        <v>0</v>
      </c>
      <c r="O867" s="15" t="n">
        <v>0</v>
      </c>
      <c r="P867" s="16" t="n">
        <v>0</v>
      </c>
      <c r="Q867" s="15" t="n">
        <v>0</v>
      </c>
      <c r="R867" s="15" t="n">
        <v>0</v>
      </c>
      <c r="S867" s="17" t="n">
        <v>116351</v>
      </c>
      <c r="T867" s="15" t="s">
        <v>137</v>
      </c>
      <c r="U867" s="15" t="n">
        <v>2029</v>
      </c>
      <c r="V867" s="15" t="s">
        <v>2545</v>
      </c>
      <c r="W867" s="18" t="s">
        <v>139</v>
      </c>
      <c r="X867" s="18" t="s">
        <v>341</v>
      </c>
      <c r="Y867" s="15" t="s">
        <v>600</v>
      </c>
      <c r="Z867" s="15" t="s">
        <v>600</v>
      </c>
      <c r="AA867" s="19" t="str">
        <f aca="false">HYPERLINK("https://www.transfermarkt.com/schnellsuche/ergebnis/schnellsuche?query="&amp;SUBSTITUTE(A867," ","+"),"Search Transfermarkt")</f>
        <v>Search Transfermarkt</v>
      </c>
    </row>
    <row r="868" customFormat="false" ht="23.85" hidden="false" customHeight="false" outlineLevel="0" collapsed="false">
      <c r="A868" s="15" t="s">
        <v>2546</v>
      </c>
      <c r="B868" s="15" t="s">
        <v>94</v>
      </c>
      <c r="C868" s="15" t="s">
        <v>223</v>
      </c>
      <c r="D868" s="15" t="n">
        <v>2</v>
      </c>
      <c r="E868" s="15" t="s">
        <v>1678</v>
      </c>
      <c r="F868" s="15" t="s">
        <v>170</v>
      </c>
      <c r="G868" s="15" t="n">
        <v>17</v>
      </c>
      <c r="H868" s="15" t="n">
        <v>1816</v>
      </c>
      <c r="I868" s="15" t="n">
        <v>1</v>
      </c>
      <c r="J868" s="15" t="n">
        <v>9</v>
      </c>
      <c r="K868" s="15" t="n">
        <v>148</v>
      </c>
      <c r="L868" s="15" t="n">
        <v>82</v>
      </c>
      <c r="M868" s="15" t="n">
        <v>33</v>
      </c>
      <c r="N868" s="15" t="n">
        <v>0</v>
      </c>
      <c r="O868" s="15" t="n">
        <v>0</v>
      </c>
      <c r="P868" s="16" t="n">
        <v>0</v>
      </c>
      <c r="Q868" s="15" t="n">
        <v>0</v>
      </c>
      <c r="R868" s="15" t="n">
        <v>0</v>
      </c>
      <c r="S868" s="17" t="n">
        <v>0</v>
      </c>
      <c r="T868" s="15" t="s">
        <v>137</v>
      </c>
      <c r="U868" s="15" t="n">
        <v>2027</v>
      </c>
      <c r="V868" s="15" t="s">
        <v>1679</v>
      </c>
      <c r="W868" s="18" t="s">
        <v>147</v>
      </c>
      <c r="X868" s="18" t="s">
        <v>226</v>
      </c>
      <c r="Y868" s="15" t="s">
        <v>600</v>
      </c>
      <c r="Z868" s="15" t="s">
        <v>600</v>
      </c>
      <c r="AA868" s="19" t="str">
        <f aca="false">HYPERLINK("https://www.transfermarkt.com/schnellsuche/ergebnis/schnellsuche?query="&amp;SUBSTITUTE(A868," ","+"),"Search Transfermarkt")</f>
        <v>Search Transfermarkt</v>
      </c>
    </row>
    <row r="869" customFormat="false" ht="23.85" hidden="false" customHeight="false" outlineLevel="0" collapsed="false">
      <c r="A869" s="15" t="s">
        <v>2547</v>
      </c>
      <c r="B869" s="15" t="s">
        <v>77</v>
      </c>
      <c r="C869" s="15" t="s">
        <v>1100</v>
      </c>
      <c r="D869" s="15" t="n">
        <v>2</v>
      </c>
      <c r="E869" s="15" t="s">
        <v>747</v>
      </c>
      <c r="F869" s="15" t="s">
        <v>163</v>
      </c>
      <c r="G869" s="15" t="n">
        <v>25</v>
      </c>
      <c r="H869" s="15" t="n">
        <v>2193</v>
      </c>
      <c r="I869" s="15" t="n">
        <v>20</v>
      </c>
      <c r="J869" s="15" t="n">
        <v>4</v>
      </c>
      <c r="K869" s="15" t="n">
        <v>55</v>
      </c>
      <c r="L869" s="15" t="n">
        <v>95</v>
      </c>
      <c r="M869" s="15" t="n">
        <v>16</v>
      </c>
      <c r="N869" s="15" t="n">
        <v>0</v>
      </c>
      <c r="O869" s="15" t="n">
        <v>0</v>
      </c>
      <c r="P869" s="16" t="n">
        <v>0</v>
      </c>
      <c r="Q869" s="15" t="n">
        <v>0</v>
      </c>
      <c r="R869" s="15" t="n">
        <v>0</v>
      </c>
      <c r="S869" s="17" t="n">
        <v>145268</v>
      </c>
      <c r="T869" s="15" t="s">
        <v>186</v>
      </c>
      <c r="U869" s="15" t="n">
        <v>2026</v>
      </c>
      <c r="V869" s="15" t="s">
        <v>748</v>
      </c>
      <c r="W869" s="18" t="s">
        <v>188</v>
      </c>
      <c r="X869" s="18" t="s">
        <v>358</v>
      </c>
      <c r="Y869" s="15" t="s">
        <v>600</v>
      </c>
      <c r="Z869" s="15" t="s">
        <v>600</v>
      </c>
      <c r="AA869" s="19" t="str">
        <f aca="false">HYPERLINK("https://www.transfermarkt.com/schnellsuche/ergebnis/schnellsuche?query="&amp;SUBSTITUTE(A869," ","+"),"Search Transfermarkt")</f>
        <v>Search Transfermarkt</v>
      </c>
    </row>
    <row r="870" customFormat="false" ht="23.85" hidden="false" customHeight="false" outlineLevel="0" collapsed="false">
      <c r="A870" s="15" t="s">
        <v>2548</v>
      </c>
      <c r="B870" s="15" t="s">
        <v>99</v>
      </c>
      <c r="C870" s="15" t="s">
        <v>574</v>
      </c>
      <c r="D870" s="15" t="n">
        <v>2</v>
      </c>
      <c r="E870" s="15" t="s">
        <v>2549</v>
      </c>
      <c r="F870" s="15" t="s">
        <v>163</v>
      </c>
      <c r="G870" s="15" t="n">
        <v>17</v>
      </c>
      <c r="H870" s="15" t="n">
        <v>988</v>
      </c>
      <c r="I870" s="15" t="n">
        <v>16</v>
      </c>
      <c r="J870" s="15" t="n">
        <v>7</v>
      </c>
      <c r="K870" s="15" t="n">
        <v>65</v>
      </c>
      <c r="L870" s="15" t="n">
        <v>92</v>
      </c>
      <c r="M870" s="15" t="n">
        <v>9</v>
      </c>
      <c r="N870" s="15" t="n">
        <v>0</v>
      </c>
      <c r="O870" s="15" t="n">
        <v>0</v>
      </c>
      <c r="P870" s="16" t="n">
        <v>0</v>
      </c>
      <c r="Q870" s="15" t="n">
        <v>0</v>
      </c>
      <c r="R870" s="15" t="n">
        <v>0</v>
      </c>
      <c r="S870" s="17" t="n">
        <v>32931</v>
      </c>
      <c r="T870" s="15" t="s">
        <v>164</v>
      </c>
      <c r="U870" s="15" t="n">
        <v>2029</v>
      </c>
      <c r="V870" s="15" t="s">
        <v>2550</v>
      </c>
      <c r="W870" s="18" t="s">
        <v>147</v>
      </c>
      <c r="X870" s="18" t="s">
        <v>189</v>
      </c>
      <c r="Y870" s="15" t="s">
        <v>600</v>
      </c>
      <c r="Z870" s="15" t="s">
        <v>600</v>
      </c>
      <c r="AA870" s="19" t="str">
        <f aca="false">HYPERLINK("https://www.transfermarkt.com/schnellsuche/ergebnis/schnellsuche?query="&amp;SUBSTITUTE(A870," ","+"),"Search Transfermarkt")</f>
        <v>Search Transfermarkt</v>
      </c>
    </row>
    <row r="871" customFormat="false" ht="23.85" hidden="false" customHeight="false" outlineLevel="0" collapsed="false">
      <c r="A871" s="15" t="s">
        <v>2551</v>
      </c>
      <c r="B871" s="15" t="s">
        <v>90</v>
      </c>
      <c r="C871" s="15" t="s">
        <v>517</v>
      </c>
      <c r="D871" s="15" t="n">
        <v>3</v>
      </c>
      <c r="E871" s="15" t="s">
        <v>2552</v>
      </c>
      <c r="F871" s="15" t="s">
        <v>170</v>
      </c>
      <c r="G871" s="15" t="n">
        <v>19</v>
      </c>
      <c r="H871" s="15" t="n">
        <v>2239</v>
      </c>
      <c r="I871" s="15" t="n">
        <v>5</v>
      </c>
      <c r="J871" s="15" t="n">
        <v>10</v>
      </c>
      <c r="K871" s="15" t="n">
        <v>134</v>
      </c>
      <c r="L871" s="15" t="n">
        <v>85</v>
      </c>
      <c r="M871" s="15" t="n">
        <v>48</v>
      </c>
      <c r="N871" s="15" t="n">
        <v>0</v>
      </c>
      <c r="O871" s="15" t="n">
        <v>0</v>
      </c>
      <c r="P871" s="16" t="n">
        <v>0</v>
      </c>
      <c r="Q871" s="15" t="n">
        <v>0</v>
      </c>
      <c r="R871" s="15" t="n">
        <v>0</v>
      </c>
      <c r="S871" s="17" t="n">
        <v>108307</v>
      </c>
      <c r="T871" s="15" t="s">
        <v>164</v>
      </c>
      <c r="U871" s="15" t="n">
        <v>2026</v>
      </c>
      <c r="V871" s="15" t="s">
        <v>2553</v>
      </c>
      <c r="W871" s="18" t="s">
        <v>139</v>
      </c>
      <c r="X871" s="18" t="s">
        <v>288</v>
      </c>
      <c r="Y871" s="15" t="s">
        <v>600</v>
      </c>
      <c r="Z871" s="15" t="s">
        <v>600</v>
      </c>
      <c r="AA871" s="19" t="str">
        <f aca="false">HYPERLINK("https://www.transfermarkt.com/schnellsuche/ergebnis/schnellsuche?query="&amp;SUBSTITUTE(A871," ","+"),"Search Transfermarkt")</f>
        <v>Search Transfermarkt</v>
      </c>
    </row>
    <row r="872" customFormat="false" ht="23.85" hidden="false" customHeight="false" outlineLevel="0" collapsed="false">
      <c r="A872" s="15" t="s">
        <v>2554</v>
      </c>
      <c r="B872" s="15" t="s">
        <v>82</v>
      </c>
      <c r="C872" s="15" t="s">
        <v>2395</v>
      </c>
      <c r="D872" s="15" t="n">
        <v>2</v>
      </c>
      <c r="E872" s="15" t="s">
        <v>2555</v>
      </c>
      <c r="F872" s="15" t="s">
        <v>136</v>
      </c>
      <c r="G872" s="15" t="n">
        <v>17</v>
      </c>
      <c r="H872" s="15" t="n">
        <v>1278</v>
      </c>
      <c r="I872" s="15" t="n">
        <v>2</v>
      </c>
      <c r="J872" s="15" t="n">
        <v>5</v>
      </c>
      <c r="K872" s="15" t="n">
        <v>49</v>
      </c>
      <c r="L872" s="15" t="n">
        <v>26</v>
      </c>
      <c r="M872" s="15" t="n">
        <v>126</v>
      </c>
      <c r="N872" s="15" t="n">
        <v>0</v>
      </c>
      <c r="O872" s="15" t="n">
        <v>0</v>
      </c>
      <c r="P872" s="16" t="n">
        <v>0</v>
      </c>
      <c r="Q872" s="15" t="n">
        <v>0</v>
      </c>
      <c r="R872" s="15" t="n">
        <v>0</v>
      </c>
      <c r="S872" s="17" t="n">
        <v>122753</v>
      </c>
      <c r="T872" s="15" t="s">
        <v>186</v>
      </c>
      <c r="U872" s="15" t="n">
        <v>2026</v>
      </c>
      <c r="V872" s="15" t="s">
        <v>2556</v>
      </c>
      <c r="W872" s="18" t="s">
        <v>147</v>
      </c>
      <c r="X872" s="18" t="s">
        <v>166</v>
      </c>
      <c r="Y872" s="15" t="s">
        <v>600</v>
      </c>
      <c r="Z872" s="15" t="s">
        <v>600</v>
      </c>
      <c r="AA872" s="19" t="str">
        <f aca="false">HYPERLINK("https://www.transfermarkt.com/schnellsuche/ergebnis/schnellsuche?query="&amp;SUBSTITUTE(A872," ","+"),"Search Transfermarkt")</f>
        <v>Search Transfermarkt</v>
      </c>
    </row>
    <row r="873" customFormat="false" ht="23.85" hidden="false" customHeight="false" outlineLevel="0" collapsed="false">
      <c r="A873" s="15" t="s">
        <v>2557</v>
      </c>
      <c r="B873" s="15" t="s">
        <v>92</v>
      </c>
      <c r="C873" s="15" t="s">
        <v>155</v>
      </c>
      <c r="D873" s="15" t="n">
        <v>4</v>
      </c>
      <c r="E873" s="15" t="s">
        <v>310</v>
      </c>
      <c r="F873" s="15" t="s">
        <v>136</v>
      </c>
      <c r="G873" s="15" t="n">
        <v>17</v>
      </c>
      <c r="H873" s="15" t="n">
        <v>2003</v>
      </c>
      <c r="I873" s="15" t="n">
        <v>2</v>
      </c>
      <c r="J873" s="15" t="n">
        <v>0</v>
      </c>
      <c r="K873" s="15" t="n">
        <v>70</v>
      </c>
      <c r="L873" s="15" t="n">
        <v>38</v>
      </c>
      <c r="M873" s="15" t="n">
        <v>90</v>
      </c>
      <c r="N873" s="15" t="n">
        <v>0</v>
      </c>
      <c r="O873" s="15" t="n">
        <v>0</v>
      </c>
      <c r="P873" s="16" t="n">
        <v>0</v>
      </c>
      <c r="Q873" s="15" t="n">
        <v>0</v>
      </c>
      <c r="R873" s="15" t="n">
        <v>0</v>
      </c>
      <c r="S873" s="17" t="n">
        <v>0</v>
      </c>
      <c r="T873" s="15" t="s">
        <v>137</v>
      </c>
      <c r="U873" s="15" t="n">
        <v>2028</v>
      </c>
      <c r="V873" s="15" t="s">
        <v>311</v>
      </c>
      <c r="W873" s="18" t="s">
        <v>147</v>
      </c>
      <c r="X873" s="18" t="s">
        <v>159</v>
      </c>
      <c r="Y873" s="15" t="s">
        <v>600</v>
      </c>
      <c r="Z873" s="15" t="s">
        <v>600</v>
      </c>
      <c r="AA873" s="19" t="str">
        <f aca="false">HYPERLINK("https://www.transfermarkt.com/schnellsuche/ergebnis/schnellsuche?query="&amp;SUBSTITUTE(A873," ","+"),"Search Transfermarkt")</f>
        <v>Search Transfermarkt</v>
      </c>
    </row>
    <row r="874" customFormat="false" ht="23.85" hidden="false" customHeight="false" outlineLevel="0" collapsed="false">
      <c r="A874" s="15" t="s">
        <v>2558</v>
      </c>
      <c r="B874" s="15" t="s">
        <v>75</v>
      </c>
      <c r="C874" s="15" t="s">
        <v>1221</v>
      </c>
      <c r="D874" s="15" t="n">
        <v>3</v>
      </c>
      <c r="E874" s="15" t="s">
        <v>2559</v>
      </c>
      <c r="F874" s="15" t="s">
        <v>163</v>
      </c>
      <c r="G874" s="15" t="n">
        <v>26</v>
      </c>
      <c r="H874" s="15" t="n">
        <v>1364</v>
      </c>
      <c r="I874" s="15" t="n">
        <v>15</v>
      </c>
      <c r="J874" s="15" t="n">
        <v>4</v>
      </c>
      <c r="K874" s="15" t="n">
        <v>37</v>
      </c>
      <c r="L874" s="15" t="n">
        <v>93</v>
      </c>
      <c r="M874" s="15" t="n">
        <v>7</v>
      </c>
      <c r="N874" s="15" t="n">
        <v>0</v>
      </c>
      <c r="O874" s="15" t="n">
        <v>0</v>
      </c>
      <c r="P874" s="16" t="n">
        <v>0</v>
      </c>
      <c r="Q874" s="15" t="n">
        <v>0</v>
      </c>
      <c r="R874" s="15" t="n">
        <v>0</v>
      </c>
      <c r="S874" s="17" t="n">
        <v>0</v>
      </c>
      <c r="T874" s="15" t="s">
        <v>186</v>
      </c>
      <c r="U874" s="15" t="n">
        <v>2026</v>
      </c>
      <c r="V874" s="15" t="s">
        <v>2560</v>
      </c>
      <c r="W874" s="18" t="s">
        <v>188</v>
      </c>
      <c r="X874" s="18" t="s">
        <v>197</v>
      </c>
      <c r="Y874" s="15" t="s">
        <v>600</v>
      </c>
      <c r="Z874" s="15" t="s">
        <v>600</v>
      </c>
      <c r="AA874" s="19" t="str">
        <f aca="false">HYPERLINK("https://www.transfermarkt.com/schnellsuche/ergebnis/schnellsuche?query="&amp;SUBSTITUTE(A874," ","+"),"Search Transfermarkt")</f>
        <v>Search Transfermarkt</v>
      </c>
    </row>
    <row r="875" customFormat="false" ht="23.85" hidden="false" customHeight="false" outlineLevel="0" collapsed="false">
      <c r="A875" s="15" t="s">
        <v>2561</v>
      </c>
      <c r="B875" s="15" t="s">
        <v>86</v>
      </c>
      <c r="C875" s="15" t="s">
        <v>1232</v>
      </c>
      <c r="D875" s="15" t="n">
        <v>3</v>
      </c>
      <c r="E875" s="15" t="s">
        <v>2346</v>
      </c>
      <c r="F875" s="15" t="s">
        <v>170</v>
      </c>
      <c r="G875" s="15" t="n">
        <v>19</v>
      </c>
      <c r="H875" s="15" t="n">
        <v>1484</v>
      </c>
      <c r="I875" s="15" t="n">
        <v>5</v>
      </c>
      <c r="J875" s="15" t="n">
        <v>9</v>
      </c>
      <c r="K875" s="15" t="n">
        <v>128</v>
      </c>
      <c r="L875" s="15" t="n">
        <v>69</v>
      </c>
      <c r="M875" s="15" t="n">
        <v>30</v>
      </c>
      <c r="N875" s="15" t="n">
        <v>0</v>
      </c>
      <c r="O875" s="15" t="n">
        <v>0</v>
      </c>
      <c r="P875" s="16" t="n">
        <v>0</v>
      </c>
      <c r="Q875" s="15" t="n">
        <v>0</v>
      </c>
      <c r="R875" s="15" t="n">
        <v>0</v>
      </c>
      <c r="S875" s="17" t="n">
        <v>37162</v>
      </c>
      <c r="T875" s="15" t="s">
        <v>164</v>
      </c>
      <c r="U875" s="15" t="n">
        <v>2027</v>
      </c>
      <c r="V875" s="15" t="s">
        <v>2347</v>
      </c>
      <c r="W875" s="18" t="s">
        <v>139</v>
      </c>
      <c r="X875" s="18" t="s">
        <v>473</v>
      </c>
      <c r="Y875" s="15" t="s">
        <v>600</v>
      </c>
      <c r="Z875" s="15" t="s">
        <v>600</v>
      </c>
      <c r="AA875" s="19" t="str">
        <f aca="false">HYPERLINK("https://www.transfermarkt.com/schnellsuche/ergebnis/schnellsuche?query="&amp;SUBSTITUTE(A875," ","+"),"Search Transfermarkt")</f>
        <v>Search Transfermarkt</v>
      </c>
    </row>
    <row r="876" customFormat="false" ht="23.85" hidden="false" customHeight="false" outlineLevel="0" collapsed="false">
      <c r="A876" s="15" t="s">
        <v>2562</v>
      </c>
      <c r="B876" s="15" t="s">
        <v>88</v>
      </c>
      <c r="C876" s="15" t="s">
        <v>343</v>
      </c>
      <c r="D876" s="15" t="n">
        <v>4</v>
      </c>
      <c r="E876" s="15" t="s">
        <v>1531</v>
      </c>
      <c r="F876" s="15" t="s">
        <v>157</v>
      </c>
      <c r="G876" s="15" t="n">
        <v>20</v>
      </c>
      <c r="H876" s="15" t="n">
        <v>2577</v>
      </c>
      <c r="I876" s="15" t="n">
        <v>0</v>
      </c>
      <c r="J876" s="15" t="n">
        <v>0</v>
      </c>
      <c r="K876" s="15" t="n">
        <v>8</v>
      </c>
      <c r="L876" s="15" t="n">
        <v>1</v>
      </c>
      <c r="M876" s="15" t="n">
        <v>8</v>
      </c>
      <c r="N876" s="15" t="n">
        <v>85</v>
      </c>
      <c r="O876" s="15" t="n">
        <v>39</v>
      </c>
      <c r="P876" s="16" t="n">
        <v>59.2</v>
      </c>
      <c r="Q876" s="15" t="n">
        <v>31.4</v>
      </c>
      <c r="R876" s="15" t="n">
        <v>9</v>
      </c>
      <c r="S876" s="17" t="n">
        <v>114851</v>
      </c>
      <c r="T876" s="15" t="s">
        <v>186</v>
      </c>
      <c r="U876" s="15" t="n">
        <v>2027</v>
      </c>
      <c r="V876" s="15" t="s">
        <v>1532</v>
      </c>
      <c r="W876" s="18" t="s">
        <v>188</v>
      </c>
      <c r="X876" s="18" t="s">
        <v>320</v>
      </c>
      <c r="Y876" s="15" t="s">
        <v>600</v>
      </c>
      <c r="Z876" s="15" t="s">
        <v>600</v>
      </c>
      <c r="AA876" s="19" t="str">
        <f aca="false">HYPERLINK("https://www.transfermarkt.com/schnellsuche/ergebnis/schnellsuche?query="&amp;SUBSTITUTE(A876," ","+"),"Search Transfermarkt")</f>
        <v>Search Transfermarkt</v>
      </c>
    </row>
    <row r="877" customFormat="false" ht="23.85" hidden="false" customHeight="false" outlineLevel="0" collapsed="false">
      <c r="A877" s="15" t="s">
        <v>2563</v>
      </c>
      <c r="B877" s="15" t="s">
        <v>92</v>
      </c>
      <c r="C877" s="15" t="s">
        <v>2012</v>
      </c>
      <c r="D877" s="15" t="n">
        <v>3</v>
      </c>
      <c r="E877" s="15" t="s">
        <v>2564</v>
      </c>
      <c r="F877" s="15" t="s">
        <v>136</v>
      </c>
      <c r="G877" s="15" t="n">
        <v>23</v>
      </c>
      <c r="H877" s="15" t="n">
        <v>2466</v>
      </c>
      <c r="I877" s="15" t="n">
        <v>2</v>
      </c>
      <c r="J877" s="15" t="n">
        <v>4</v>
      </c>
      <c r="K877" s="15" t="n">
        <v>62</v>
      </c>
      <c r="L877" s="15" t="n">
        <v>34</v>
      </c>
      <c r="M877" s="15" t="n">
        <v>87</v>
      </c>
      <c r="N877" s="15" t="n">
        <v>0</v>
      </c>
      <c r="O877" s="15" t="n">
        <v>0</v>
      </c>
      <c r="P877" s="16" t="n">
        <v>0</v>
      </c>
      <c r="Q877" s="15" t="n">
        <v>0</v>
      </c>
      <c r="R877" s="15" t="n">
        <v>0</v>
      </c>
      <c r="S877" s="17" t="n">
        <v>0</v>
      </c>
      <c r="T877" s="15" t="s">
        <v>186</v>
      </c>
      <c r="U877" s="15" t="n">
        <v>2029</v>
      </c>
      <c r="V877" s="15" t="s">
        <v>2565</v>
      </c>
      <c r="W877" s="18" t="s">
        <v>188</v>
      </c>
      <c r="X877" s="18" t="s">
        <v>159</v>
      </c>
      <c r="Y877" s="15" t="s">
        <v>600</v>
      </c>
      <c r="Z877" s="15" t="s">
        <v>600</v>
      </c>
      <c r="AA877" s="19" t="str">
        <f aca="false">HYPERLINK("https://www.transfermarkt.com/schnellsuche/ergebnis/schnellsuche?query="&amp;SUBSTITUTE(A877," ","+"),"Search Transfermarkt")</f>
        <v>Search Transfermarkt</v>
      </c>
    </row>
    <row r="878" customFormat="false" ht="23.85" hidden="false" customHeight="false" outlineLevel="0" collapsed="false">
      <c r="A878" s="15" t="s">
        <v>2566</v>
      </c>
      <c r="B878" s="15" t="s">
        <v>71</v>
      </c>
      <c r="C878" s="15" t="s">
        <v>1107</v>
      </c>
      <c r="D878" s="15" t="n">
        <v>3</v>
      </c>
      <c r="E878" s="15" t="s">
        <v>175</v>
      </c>
      <c r="F878" s="15" t="s">
        <v>136</v>
      </c>
      <c r="G878" s="15" t="n">
        <v>26</v>
      </c>
      <c r="H878" s="15" t="n">
        <v>1134</v>
      </c>
      <c r="I878" s="15" t="n">
        <v>2</v>
      </c>
      <c r="J878" s="15" t="n">
        <v>1</v>
      </c>
      <c r="K878" s="15" t="n">
        <v>42</v>
      </c>
      <c r="L878" s="15" t="n">
        <v>37</v>
      </c>
      <c r="M878" s="15" t="n">
        <v>118</v>
      </c>
      <c r="N878" s="15" t="n">
        <v>0</v>
      </c>
      <c r="O878" s="15" t="n">
        <v>0</v>
      </c>
      <c r="P878" s="16" t="n">
        <v>0</v>
      </c>
      <c r="Q878" s="15" t="n">
        <v>0</v>
      </c>
      <c r="R878" s="15" t="n">
        <v>0</v>
      </c>
      <c r="S878" s="17" t="n">
        <v>0</v>
      </c>
      <c r="T878" s="15" t="s">
        <v>164</v>
      </c>
      <c r="U878" s="15" t="n">
        <v>2028</v>
      </c>
      <c r="V878" s="15" t="s">
        <v>176</v>
      </c>
      <c r="W878" s="18" t="s">
        <v>139</v>
      </c>
      <c r="X878" s="18" t="s">
        <v>177</v>
      </c>
      <c r="Y878" s="15" t="s">
        <v>600</v>
      </c>
      <c r="Z878" s="15" t="s">
        <v>600</v>
      </c>
      <c r="AA878" s="19" t="str">
        <f aca="false">HYPERLINK("https://www.transfermarkt.com/schnellsuche/ergebnis/schnellsuche?query="&amp;SUBSTITUTE(A878," ","+"),"Search Transfermarkt")</f>
        <v>Search Transfermarkt</v>
      </c>
    </row>
    <row r="879" customFormat="false" ht="23.85" hidden="false" customHeight="false" outlineLevel="0" collapsed="false">
      <c r="A879" s="15" t="s">
        <v>2567</v>
      </c>
      <c r="B879" s="15" t="s">
        <v>62</v>
      </c>
      <c r="C879" s="15" t="s">
        <v>1419</v>
      </c>
      <c r="D879" s="15" t="n">
        <v>2</v>
      </c>
      <c r="E879" s="15" t="s">
        <v>2568</v>
      </c>
      <c r="F879" s="15" t="s">
        <v>157</v>
      </c>
      <c r="G879" s="15" t="n">
        <v>26</v>
      </c>
      <c r="H879" s="15" t="n">
        <v>979</v>
      </c>
      <c r="I879" s="15" t="n">
        <v>0</v>
      </c>
      <c r="J879" s="15" t="n">
        <v>0</v>
      </c>
      <c r="K879" s="15" t="n">
        <v>11</v>
      </c>
      <c r="L879" s="15" t="n">
        <v>2</v>
      </c>
      <c r="M879" s="15" t="n">
        <v>3</v>
      </c>
      <c r="N879" s="15" t="n">
        <v>33</v>
      </c>
      <c r="O879" s="15" t="n">
        <v>14</v>
      </c>
      <c r="P879" s="16" t="n">
        <v>90.1</v>
      </c>
      <c r="Q879" s="15" t="n">
        <v>8.2</v>
      </c>
      <c r="R879" s="15" t="n">
        <v>3</v>
      </c>
      <c r="S879" s="17" t="n">
        <v>108382</v>
      </c>
      <c r="T879" s="15" t="s">
        <v>186</v>
      </c>
      <c r="U879" s="15" t="n">
        <v>2029</v>
      </c>
      <c r="V879" s="15" t="s">
        <v>2569</v>
      </c>
      <c r="W879" s="18" t="s">
        <v>188</v>
      </c>
      <c r="X879" s="18" t="s">
        <v>211</v>
      </c>
      <c r="Y879" s="15" t="s">
        <v>600</v>
      </c>
      <c r="Z879" s="15" t="s">
        <v>600</v>
      </c>
      <c r="AA879" s="19" t="str">
        <f aca="false">HYPERLINK("https://www.transfermarkt.com/schnellsuche/ergebnis/schnellsuche?query="&amp;SUBSTITUTE(A879," ","+"),"Search Transfermarkt")</f>
        <v>Search Transfermarkt</v>
      </c>
    </row>
    <row r="880" customFormat="false" ht="23.85" hidden="false" customHeight="false" outlineLevel="0" collapsed="false">
      <c r="A880" s="15" t="s">
        <v>2570</v>
      </c>
      <c r="B880" s="15" t="s">
        <v>68</v>
      </c>
      <c r="C880" s="15" t="s">
        <v>687</v>
      </c>
      <c r="D880" s="15" t="n">
        <v>2</v>
      </c>
      <c r="E880" s="15" t="s">
        <v>2571</v>
      </c>
      <c r="F880" s="15" t="s">
        <v>163</v>
      </c>
      <c r="G880" s="15" t="n">
        <v>26</v>
      </c>
      <c r="H880" s="15" t="n">
        <v>2068</v>
      </c>
      <c r="I880" s="15" t="n">
        <v>14</v>
      </c>
      <c r="J880" s="15" t="n">
        <v>7</v>
      </c>
      <c r="K880" s="15" t="n">
        <v>43</v>
      </c>
      <c r="L880" s="15" t="n">
        <v>65</v>
      </c>
      <c r="M880" s="15" t="n">
        <v>7</v>
      </c>
      <c r="N880" s="15" t="n">
        <v>0</v>
      </c>
      <c r="O880" s="15" t="n">
        <v>0</v>
      </c>
      <c r="P880" s="16" t="n">
        <v>0</v>
      </c>
      <c r="Q880" s="15" t="n">
        <v>0</v>
      </c>
      <c r="R880" s="15" t="n">
        <v>0</v>
      </c>
      <c r="S880" s="17" t="n">
        <v>124102</v>
      </c>
      <c r="T880" s="15" t="s">
        <v>186</v>
      </c>
      <c r="U880" s="15" t="n">
        <v>2026</v>
      </c>
      <c r="V880" s="15" t="s">
        <v>2572</v>
      </c>
      <c r="W880" s="18" t="s">
        <v>188</v>
      </c>
      <c r="X880" s="18" t="s">
        <v>153</v>
      </c>
      <c r="Y880" s="15" t="s">
        <v>600</v>
      </c>
      <c r="Z880" s="15" t="s">
        <v>600</v>
      </c>
      <c r="AA880" s="19" t="str">
        <f aca="false">HYPERLINK("https://www.transfermarkt.com/schnellsuche/ergebnis/schnellsuche?query="&amp;SUBSTITUTE(A880," ","+"),"Search Transfermarkt")</f>
        <v>Search Transfermarkt</v>
      </c>
    </row>
    <row r="881" customFormat="false" ht="23.85" hidden="false" customHeight="false" outlineLevel="0" collapsed="false">
      <c r="A881" s="15" t="s">
        <v>2573</v>
      </c>
      <c r="B881" s="15" t="s">
        <v>103</v>
      </c>
      <c r="C881" s="15" t="s">
        <v>501</v>
      </c>
      <c r="D881" s="15" t="n">
        <v>2</v>
      </c>
      <c r="E881" s="15" t="s">
        <v>2574</v>
      </c>
      <c r="F881" s="15" t="s">
        <v>136</v>
      </c>
      <c r="G881" s="15" t="n">
        <v>26</v>
      </c>
      <c r="H881" s="15" t="n">
        <v>1911</v>
      </c>
      <c r="I881" s="15" t="n">
        <v>1</v>
      </c>
      <c r="J881" s="15" t="n">
        <v>4</v>
      </c>
      <c r="K881" s="15" t="n">
        <v>66</v>
      </c>
      <c r="L881" s="15" t="n">
        <v>48</v>
      </c>
      <c r="M881" s="15" t="n">
        <v>77</v>
      </c>
      <c r="N881" s="15" t="n">
        <v>0</v>
      </c>
      <c r="O881" s="15" t="n">
        <v>0</v>
      </c>
      <c r="P881" s="16" t="n">
        <v>0</v>
      </c>
      <c r="Q881" s="15" t="n">
        <v>0</v>
      </c>
      <c r="R881" s="15" t="n">
        <v>0</v>
      </c>
      <c r="S881" s="17" t="n">
        <v>0</v>
      </c>
      <c r="T881" s="15" t="s">
        <v>164</v>
      </c>
      <c r="U881" s="15" t="n">
        <v>2028</v>
      </c>
      <c r="V881" s="15" t="s">
        <v>2575</v>
      </c>
      <c r="W881" s="18" t="s">
        <v>139</v>
      </c>
      <c r="X881" s="18" t="s">
        <v>481</v>
      </c>
      <c r="Y881" s="15" t="s">
        <v>600</v>
      </c>
      <c r="Z881" s="15" t="s">
        <v>600</v>
      </c>
      <c r="AA881" s="19" t="str">
        <f aca="false">HYPERLINK("https://www.transfermarkt.com/schnellsuche/ergebnis/schnellsuche?query="&amp;SUBSTITUTE(A881," ","+"),"Search Transfermarkt")</f>
        <v>Search Transfermarkt</v>
      </c>
    </row>
    <row r="882" customFormat="false" ht="23.85" hidden="false" customHeight="false" outlineLevel="0" collapsed="false">
      <c r="A882" s="15" t="s">
        <v>2576</v>
      </c>
      <c r="B882" s="15" t="s">
        <v>96</v>
      </c>
      <c r="C882" s="15" t="s">
        <v>790</v>
      </c>
      <c r="D882" s="15" t="n">
        <v>3</v>
      </c>
      <c r="E882" s="15" t="s">
        <v>2577</v>
      </c>
      <c r="F882" s="15" t="s">
        <v>170</v>
      </c>
      <c r="G882" s="15" t="n">
        <v>23</v>
      </c>
      <c r="H882" s="15" t="n">
        <v>1359</v>
      </c>
      <c r="I882" s="15" t="n">
        <v>7</v>
      </c>
      <c r="J882" s="15" t="n">
        <v>12</v>
      </c>
      <c r="K882" s="15" t="n">
        <v>144</v>
      </c>
      <c r="L882" s="15" t="n">
        <v>68</v>
      </c>
      <c r="M882" s="15" t="n">
        <v>55</v>
      </c>
      <c r="N882" s="15" t="n">
        <v>0</v>
      </c>
      <c r="O882" s="15" t="n">
        <v>0</v>
      </c>
      <c r="P882" s="16" t="n">
        <v>0</v>
      </c>
      <c r="Q882" s="15" t="n">
        <v>0</v>
      </c>
      <c r="R882" s="15" t="n">
        <v>0</v>
      </c>
      <c r="S882" s="17" t="n">
        <v>48981</v>
      </c>
      <c r="T882" s="15" t="s">
        <v>164</v>
      </c>
      <c r="U882" s="15" t="n">
        <v>2026</v>
      </c>
      <c r="V882" s="15" t="s">
        <v>2578</v>
      </c>
      <c r="W882" s="18" t="s">
        <v>139</v>
      </c>
      <c r="X882" s="18" t="s">
        <v>216</v>
      </c>
      <c r="Y882" s="15" t="s">
        <v>600</v>
      </c>
      <c r="Z882" s="15" t="s">
        <v>600</v>
      </c>
      <c r="AA882" s="19" t="str">
        <f aca="false">HYPERLINK("https://www.transfermarkt.com/schnellsuche/ergebnis/schnellsuche?query="&amp;SUBSTITUTE(A882," ","+"),"Search Transfermarkt")</f>
        <v>Search Transfermarkt</v>
      </c>
    </row>
    <row r="883" customFormat="false" ht="23.85" hidden="false" customHeight="false" outlineLevel="0" collapsed="false">
      <c r="A883" s="15" t="s">
        <v>2579</v>
      </c>
      <c r="B883" s="15" t="s">
        <v>66</v>
      </c>
      <c r="C883" s="15" t="s">
        <v>1039</v>
      </c>
      <c r="D883" s="15" t="n">
        <v>2</v>
      </c>
      <c r="E883" s="15" t="s">
        <v>2580</v>
      </c>
      <c r="F883" s="15" t="s">
        <v>157</v>
      </c>
      <c r="G883" s="15" t="n">
        <v>18</v>
      </c>
      <c r="H883" s="15" t="n">
        <v>1979</v>
      </c>
      <c r="I883" s="15" t="n">
        <v>0</v>
      </c>
      <c r="J883" s="15" t="n">
        <v>0</v>
      </c>
      <c r="K883" s="15" t="n">
        <v>9</v>
      </c>
      <c r="L883" s="15" t="n">
        <v>6</v>
      </c>
      <c r="M883" s="15" t="n">
        <v>3</v>
      </c>
      <c r="N883" s="15" t="n">
        <v>47</v>
      </c>
      <c r="O883" s="15" t="n">
        <v>31</v>
      </c>
      <c r="P883" s="16" t="n">
        <v>85.1</v>
      </c>
      <c r="Q883" s="15" t="n">
        <v>25.6</v>
      </c>
      <c r="R883" s="15" t="n">
        <v>9</v>
      </c>
      <c r="S883" s="17" t="n">
        <v>0</v>
      </c>
      <c r="T883" s="15" t="s">
        <v>137</v>
      </c>
      <c r="U883" s="15" t="n">
        <v>2026</v>
      </c>
      <c r="V883" s="15" t="s">
        <v>2581</v>
      </c>
      <c r="W883" s="18" t="s">
        <v>139</v>
      </c>
      <c r="X883" s="18" t="s">
        <v>182</v>
      </c>
      <c r="Y883" s="15" t="s">
        <v>600</v>
      </c>
      <c r="Z883" s="15" t="s">
        <v>600</v>
      </c>
      <c r="AA883" s="19" t="str">
        <f aca="false">HYPERLINK("https://www.transfermarkt.com/schnellsuche/ergebnis/schnellsuche?query="&amp;SUBSTITUTE(A883," ","+"),"Search Transfermarkt")</f>
        <v>Search Transfermarkt</v>
      </c>
    </row>
    <row r="884" customFormat="false" ht="23.85" hidden="false" customHeight="false" outlineLevel="0" collapsed="false">
      <c r="A884" s="15" t="s">
        <v>2582</v>
      </c>
      <c r="B884" s="15" t="s">
        <v>89</v>
      </c>
      <c r="C884" s="15" t="s">
        <v>293</v>
      </c>
      <c r="D884" s="15" t="n">
        <v>2</v>
      </c>
      <c r="E884" s="15" t="s">
        <v>2583</v>
      </c>
      <c r="F884" s="15" t="s">
        <v>170</v>
      </c>
      <c r="G884" s="15" t="n">
        <v>26</v>
      </c>
      <c r="H884" s="15" t="n">
        <v>1861</v>
      </c>
      <c r="I884" s="15" t="n">
        <v>4</v>
      </c>
      <c r="J884" s="15" t="n">
        <v>8</v>
      </c>
      <c r="K884" s="15" t="n">
        <v>118</v>
      </c>
      <c r="L884" s="15" t="n">
        <v>74</v>
      </c>
      <c r="M884" s="15" t="n">
        <v>45</v>
      </c>
      <c r="N884" s="15" t="n">
        <v>0</v>
      </c>
      <c r="O884" s="15" t="n">
        <v>0</v>
      </c>
      <c r="P884" s="16" t="n">
        <v>0</v>
      </c>
      <c r="Q884" s="15" t="n">
        <v>0</v>
      </c>
      <c r="R884" s="15" t="n">
        <v>0</v>
      </c>
      <c r="S884" s="17" t="n">
        <v>46648</v>
      </c>
      <c r="T884" s="15" t="s">
        <v>186</v>
      </c>
      <c r="U884" s="15" t="n">
        <v>2026</v>
      </c>
      <c r="V884" s="15" t="s">
        <v>2584</v>
      </c>
      <c r="W884" s="18" t="s">
        <v>188</v>
      </c>
      <c r="X884" s="18" t="s">
        <v>206</v>
      </c>
      <c r="Y884" s="15" t="s">
        <v>600</v>
      </c>
      <c r="Z884" s="15" t="s">
        <v>600</v>
      </c>
      <c r="AA884" s="19" t="str">
        <f aca="false">HYPERLINK("https://www.transfermarkt.com/schnellsuche/ergebnis/schnellsuche?query="&amp;SUBSTITUTE(A884," ","+"),"Search Transfermarkt")</f>
        <v>Search Transfermarkt</v>
      </c>
    </row>
    <row r="885" customFormat="false" ht="23.85" hidden="false" customHeight="false" outlineLevel="0" collapsed="false">
      <c r="A885" s="15" t="s">
        <v>2585</v>
      </c>
      <c r="B885" s="15" t="s">
        <v>85</v>
      </c>
      <c r="C885" s="15" t="s">
        <v>705</v>
      </c>
      <c r="D885" s="15" t="n">
        <v>2</v>
      </c>
      <c r="E885" s="15" t="s">
        <v>2586</v>
      </c>
      <c r="F885" s="15" t="s">
        <v>136</v>
      </c>
      <c r="G885" s="15" t="n">
        <v>24</v>
      </c>
      <c r="H885" s="15" t="n">
        <v>2666</v>
      </c>
      <c r="I885" s="15" t="n">
        <v>0</v>
      </c>
      <c r="J885" s="15" t="n">
        <v>0</v>
      </c>
      <c r="K885" s="15" t="n">
        <v>54</v>
      </c>
      <c r="L885" s="15" t="n">
        <v>22</v>
      </c>
      <c r="M885" s="15" t="n">
        <v>111</v>
      </c>
      <c r="N885" s="15" t="n">
        <v>0</v>
      </c>
      <c r="O885" s="15" t="n">
        <v>0</v>
      </c>
      <c r="P885" s="16" t="n">
        <v>0</v>
      </c>
      <c r="Q885" s="15" t="n">
        <v>0</v>
      </c>
      <c r="R885" s="15" t="n">
        <v>0</v>
      </c>
      <c r="S885" s="17" t="n">
        <v>25795</v>
      </c>
      <c r="T885" s="15" t="s">
        <v>186</v>
      </c>
      <c r="U885" s="15" t="n">
        <v>2026</v>
      </c>
      <c r="V885" s="15" t="s">
        <v>2587</v>
      </c>
      <c r="W885" s="18" t="s">
        <v>188</v>
      </c>
      <c r="X885" s="18" t="s">
        <v>265</v>
      </c>
      <c r="Y885" s="15" t="s">
        <v>600</v>
      </c>
      <c r="Z885" s="15" t="s">
        <v>600</v>
      </c>
      <c r="AA885" s="19" t="str">
        <f aca="false">HYPERLINK("https://www.transfermarkt.com/schnellsuche/ergebnis/schnellsuche?query="&amp;SUBSTITUTE(A885," ","+"),"Search Transfermarkt")</f>
        <v>Search Transfermarkt</v>
      </c>
    </row>
    <row r="886" customFormat="false" ht="23.85" hidden="false" customHeight="false" outlineLevel="0" collapsed="false">
      <c r="A886" s="15" t="s">
        <v>2588</v>
      </c>
      <c r="B886" s="15" t="s">
        <v>104</v>
      </c>
      <c r="C886" s="15" t="s">
        <v>1652</v>
      </c>
      <c r="D886" s="15" t="n">
        <v>2</v>
      </c>
      <c r="E886" s="15" t="s">
        <v>2589</v>
      </c>
      <c r="F886" s="15" t="s">
        <v>136</v>
      </c>
      <c r="G886" s="15" t="n">
        <v>18</v>
      </c>
      <c r="H886" s="15" t="n">
        <v>1495</v>
      </c>
      <c r="I886" s="15" t="n">
        <v>2</v>
      </c>
      <c r="J886" s="15" t="n">
        <v>1</v>
      </c>
      <c r="K886" s="15" t="n">
        <v>53</v>
      </c>
      <c r="L886" s="15" t="n">
        <v>39</v>
      </c>
      <c r="M886" s="15" t="n">
        <v>76</v>
      </c>
      <c r="N886" s="15" t="n">
        <v>0</v>
      </c>
      <c r="O886" s="15" t="n">
        <v>0</v>
      </c>
      <c r="P886" s="16" t="n">
        <v>0</v>
      </c>
      <c r="Q886" s="15" t="n">
        <v>0</v>
      </c>
      <c r="R886" s="15" t="n">
        <v>0</v>
      </c>
      <c r="S886" s="17" t="n">
        <v>96593</v>
      </c>
      <c r="T886" s="15" t="s">
        <v>164</v>
      </c>
      <c r="U886" s="15" t="n">
        <v>2027</v>
      </c>
      <c r="V886" s="15" t="s">
        <v>2590</v>
      </c>
      <c r="W886" s="18" t="s">
        <v>139</v>
      </c>
      <c r="X886" s="18" t="s">
        <v>274</v>
      </c>
      <c r="Y886" s="15" t="s">
        <v>600</v>
      </c>
      <c r="Z886" s="15" t="s">
        <v>600</v>
      </c>
      <c r="AA886" s="19" t="str">
        <f aca="false">HYPERLINK("https://www.transfermarkt.com/schnellsuche/ergebnis/schnellsuche?query="&amp;SUBSTITUTE(A886," ","+"),"Search Transfermarkt")</f>
        <v>Search Transfermarkt</v>
      </c>
    </row>
    <row r="887" customFormat="false" ht="23.85" hidden="false" customHeight="false" outlineLevel="0" collapsed="false">
      <c r="A887" s="15" t="s">
        <v>2591</v>
      </c>
      <c r="B887" s="15" t="s">
        <v>102</v>
      </c>
      <c r="C887" s="15" t="s">
        <v>450</v>
      </c>
      <c r="D887" s="15" t="n">
        <v>3</v>
      </c>
      <c r="E887" s="15" t="s">
        <v>2592</v>
      </c>
      <c r="F887" s="15" t="s">
        <v>170</v>
      </c>
      <c r="G887" s="15" t="n">
        <v>25</v>
      </c>
      <c r="H887" s="15" t="n">
        <v>1315</v>
      </c>
      <c r="I887" s="15" t="n">
        <v>8</v>
      </c>
      <c r="J887" s="15" t="n">
        <v>5</v>
      </c>
      <c r="K887" s="15" t="n">
        <v>144</v>
      </c>
      <c r="L887" s="15" t="n">
        <v>81</v>
      </c>
      <c r="M887" s="15" t="n">
        <v>35</v>
      </c>
      <c r="N887" s="15" t="n">
        <v>0</v>
      </c>
      <c r="O887" s="15" t="n">
        <v>0</v>
      </c>
      <c r="P887" s="16" t="n">
        <v>0</v>
      </c>
      <c r="Q887" s="15" t="n">
        <v>0</v>
      </c>
      <c r="R887" s="15" t="n">
        <v>0</v>
      </c>
      <c r="S887" s="17" t="n">
        <v>126772</v>
      </c>
      <c r="T887" s="15" t="s">
        <v>137</v>
      </c>
      <c r="U887" s="15" t="n">
        <v>2027</v>
      </c>
      <c r="V887" s="15" t="s">
        <v>2593</v>
      </c>
      <c r="W887" s="18" t="s">
        <v>139</v>
      </c>
      <c r="X887" s="18" t="s">
        <v>453</v>
      </c>
      <c r="Y887" s="15" t="s">
        <v>600</v>
      </c>
      <c r="Z887" s="15" t="s">
        <v>600</v>
      </c>
      <c r="AA887" s="19" t="str">
        <f aca="false">HYPERLINK("https://www.transfermarkt.com/schnellsuche/ergebnis/schnellsuche?query="&amp;SUBSTITUTE(A887," ","+"),"Search Transfermarkt")</f>
        <v>Search Transfermarkt</v>
      </c>
    </row>
    <row r="888" customFormat="false" ht="23.85" hidden="false" customHeight="false" outlineLevel="0" collapsed="false">
      <c r="A888" s="15" t="s">
        <v>2594</v>
      </c>
      <c r="B888" s="15" t="s">
        <v>98</v>
      </c>
      <c r="C888" s="15" t="s">
        <v>2595</v>
      </c>
      <c r="D888" s="15" t="n">
        <v>2</v>
      </c>
      <c r="E888" s="15" t="s">
        <v>2446</v>
      </c>
      <c r="F888" s="15" t="s">
        <v>163</v>
      </c>
      <c r="G888" s="15" t="n">
        <v>22</v>
      </c>
      <c r="H888" s="15" t="n">
        <v>1425</v>
      </c>
      <c r="I888" s="15" t="n">
        <v>18</v>
      </c>
      <c r="J888" s="15" t="n">
        <v>2</v>
      </c>
      <c r="K888" s="15" t="n">
        <v>65</v>
      </c>
      <c r="L888" s="15" t="n">
        <v>63</v>
      </c>
      <c r="M888" s="15" t="n">
        <v>8</v>
      </c>
      <c r="N888" s="15" t="n">
        <v>0</v>
      </c>
      <c r="O888" s="15" t="n">
        <v>0</v>
      </c>
      <c r="P888" s="16" t="n">
        <v>0</v>
      </c>
      <c r="Q888" s="15" t="n">
        <v>0</v>
      </c>
      <c r="R888" s="15" t="n">
        <v>0</v>
      </c>
      <c r="S888" s="17" t="n">
        <v>0</v>
      </c>
      <c r="T888" s="15" t="s">
        <v>164</v>
      </c>
      <c r="U888" s="15" t="n">
        <v>2029</v>
      </c>
      <c r="V888" s="15" t="s">
        <v>2447</v>
      </c>
      <c r="W888" s="18" t="s">
        <v>139</v>
      </c>
      <c r="X888" s="18" t="s">
        <v>148</v>
      </c>
      <c r="Y888" s="15" t="s">
        <v>600</v>
      </c>
      <c r="Z888" s="15" t="s">
        <v>600</v>
      </c>
      <c r="AA888" s="19" t="str">
        <f aca="false">HYPERLINK("https://www.transfermarkt.com/schnellsuche/ergebnis/schnellsuche?query="&amp;SUBSTITUTE(A888," ","+"),"Search Transfermarkt")</f>
        <v>Search Transfermarkt</v>
      </c>
    </row>
    <row r="889" customFormat="false" ht="23.85" hidden="false" customHeight="false" outlineLevel="0" collapsed="false">
      <c r="A889" s="15" t="s">
        <v>2596</v>
      </c>
      <c r="B889" s="15" t="s">
        <v>104</v>
      </c>
      <c r="C889" s="15" t="s">
        <v>1652</v>
      </c>
      <c r="D889" s="15" t="n">
        <v>3</v>
      </c>
      <c r="E889" s="15" t="s">
        <v>2597</v>
      </c>
      <c r="F889" s="15" t="s">
        <v>170</v>
      </c>
      <c r="G889" s="15" t="n">
        <v>21</v>
      </c>
      <c r="H889" s="15" t="n">
        <v>2276</v>
      </c>
      <c r="I889" s="15" t="n">
        <v>4</v>
      </c>
      <c r="J889" s="15" t="n">
        <v>12</v>
      </c>
      <c r="K889" s="15" t="n">
        <v>113</v>
      </c>
      <c r="L889" s="15" t="n">
        <v>92</v>
      </c>
      <c r="M889" s="15" t="n">
        <v>41</v>
      </c>
      <c r="N889" s="15" t="n">
        <v>0</v>
      </c>
      <c r="O889" s="15" t="n">
        <v>0</v>
      </c>
      <c r="P889" s="16" t="n">
        <v>0</v>
      </c>
      <c r="Q889" s="15" t="n">
        <v>0</v>
      </c>
      <c r="R889" s="15" t="n">
        <v>0</v>
      </c>
      <c r="S889" s="17" t="n">
        <v>61301</v>
      </c>
      <c r="T889" s="15" t="s">
        <v>137</v>
      </c>
      <c r="U889" s="15" t="n">
        <v>2026</v>
      </c>
      <c r="V889" s="15" t="s">
        <v>2598</v>
      </c>
      <c r="W889" s="18" t="s">
        <v>139</v>
      </c>
      <c r="X889" s="18" t="s">
        <v>274</v>
      </c>
      <c r="Y889" s="15" t="s">
        <v>600</v>
      </c>
      <c r="Z889" s="15" t="s">
        <v>600</v>
      </c>
      <c r="AA889" s="19" t="str">
        <f aca="false">HYPERLINK("https://www.transfermarkt.com/schnellsuche/ergebnis/schnellsuche?query="&amp;SUBSTITUTE(A889," ","+"),"Search Transfermarkt")</f>
        <v>Search Transfermarkt</v>
      </c>
    </row>
    <row r="890" customFormat="false" ht="23.85" hidden="false" customHeight="false" outlineLevel="0" collapsed="false">
      <c r="A890" s="15" t="s">
        <v>2599</v>
      </c>
      <c r="B890" s="15" t="s">
        <v>69</v>
      </c>
      <c r="C890" s="15" t="s">
        <v>134</v>
      </c>
      <c r="D890" s="15" t="n">
        <v>3</v>
      </c>
      <c r="E890" s="15" t="s">
        <v>2329</v>
      </c>
      <c r="F890" s="15" t="s">
        <v>170</v>
      </c>
      <c r="G890" s="15" t="n">
        <v>17</v>
      </c>
      <c r="H890" s="15" t="n">
        <v>1852</v>
      </c>
      <c r="I890" s="15" t="n">
        <v>9</v>
      </c>
      <c r="J890" s="15" t="n">
        <v>9</v>
      </c>
      <c r="K890" s="15" t="n">
        <v>142</v>
      </c>
      <c r="L890" s="15" t="n">
        <v>56</v>
      </c>
      <c r="M890" s="15" t="n">
        <v>55</v>
      </c>
      <c r="N890" s="15" t="n">
        <v>0</v>
      </c>
      <c r="O890" s="15" t="n">
        <v>0</v>
      </c>
      <c r="P890" s="16" t="n">
        <v>0</v>
      </c>
      <c r="Q890" s="15" t="n">
        <v>0</v>
      </c>
      <c r="R890" s="15" t="n">
        <v>0</v>
      </c>
      <c r="S890" s="17" t="n">
        <v>0</v>
      </c>
      <c r="T890" s="15" t="s">
        <v>137</v>
      </c>
      <c r="U890" s="15" t="n">
        <v>2029</v>
      </c>
      <c r="V890" s="15" t="s">
        <v>2330</v>
      </c>
      <c r="W890" s="18" t="s">
        <v>147</v>
      </c>
      <c r="X890" s="18" t="s">
        <v>140</v>
      </c>
      <c r="Y890" s="15" t="s">
        <v>600</v>
      </c>
      <c r="Z890" s="15" t="s">
        <v>600</v>
      </c>
      <c r="AA890" s="19" t="str">
        <f aca="false">HYPERLINK("https://www.transfermarkt.com/schnellsuche/ergebnis/schnellsuche?query="&amp;SUBSTITUTE(A890," ","+"),"Search Transfermarkt")</f>
        <v>Search Transfermarkt</v>
      </c>
    </row>
    <row r="891" customFormat="false" ht="23.85" hidden="false" customHeight="false" outlineLevel="0" collapsed="false">
      <c r="A891" s="15" t="s">
        <v>2600</v>
      </c>
      <c r="B891" s="15" t="s">
        <v>73</v>
      </c>
      <c r="C891" s="15" t="s">
        <v>1574</v>
      </c>
      <c r="D891" s="15" t="n">
        <v>2</v>
      </c>
      <c r="E891" s="15" t="s">
        <v>1813</v>
      </c>
      <c r="F891" s="15" t="s">
        <v>163</v>
      </c>
      <c r="G891" s="15" t="n">
        <v>18</v>
      </c>
      <c r="H891" s="15" t="n">
        <v>2311</v>
      </c>
      <c r="I891" s="15" t="n">
        <v>10</v>
      </c>
      <c r="J891" s="15" t="n">
        <v>3</v>
      </c>
      <c r="K891" s="15" t="n">
        <v>30</v>
      </c>
      <c r="L891" s="15" t="n">
        <v>74</v>
      </c>
      <c r="M891" s="15" t="n">
        <v>5</v>
      </c>
      <c r="N891" s="15" t="n">
        <v>0</v>
      </c>
      <c r="O891" s="15" t="n">
        <v>0</v>
      </c>
      <c r="P891" s="16" t="n">
        <v>0</v>
      </c>
      <c r="Q891" s="15" t="n">
        <v>0</v>
      </c>
      <c r="R891" s="15" t="n">
        <v>0</v>
      </c>
      <c r="S891" s="17" t="n">
        <v>101809</v>
      </c>
      <c r="T891" s="15" t="s">
        <v>137</v>
      </c>
      <c r="U891" s="15" t="n">
        <v>2027</v>
      </c>
      <c r="V891" s="15" t="s">
        <v>1814</v>
      </c>
      <c r="W891" s="18" t="s">
        <v>139</v>
      </c>
      <c r="X891" s="18" t="s">
        <v>172</v>
      </c>
      <c r="Y891" s="15" t="s">
        <v>600</v>
      </c>
      <c r="Z891" s="15" t="s">
        <v>600</v>
      </c>
      <c r="AA891" s="19" t="str">
        <f aca="false">HYPERLINK("https://www.transfermarkt.com/schnellsuche/ergebnis/schnellsuche?query="&amp;SUBSTITUTE(A891," ","+"),"Search Transfermarkt")</f>
        <v>Search Transfermarkt</v>
      </c>
    </row>
    <row r="892" customFormat="false" ht="23.85" hidden="false" customHeight="false" outlineLevel="0" collapsed="false">
      <c r="A892" s="15" t="s">
        <v>2601</v>
      </c>
      <c r="B892" s="15" t="s">
        <v>79</v>
      </c>
      <c r="C892" s="15" t="s">
        <v>820</v>
      </c>
      <c r="D892" s="15" t="n">
        <v>4</v>
      </c>
      <c r="E892" s="15" t="s">
        <v>2602</v>
      </c>
      <c r="F892" s="15" t="s">
        <v>170</v>
      </c>
      <c r="G892" s="15" t="n">
        <v>19</v>
      </c>
      <c r="H892" s="15" t="n">
        <v>2402</v>
      </c>
      <c r="I892" s="15" t="n">
        <v>10</v>
      </c>
      <c r="J892" s="15" t="n">
        <v>7</v>
      </c>
      <c r="K892" s="15" t="n">
        <v>114</v>
      </c>
      <c r="L892" s="15" t="n">
        <v>74</v>
      </c>
      <c r="M892" s="15" t="n">
        <v>40</v>
      </c>
      <c r="N892" s="15" t="n">
        <v>0</v>
      </c>
      <c r="O892" s="15" t="n">
        <v>0</v>
      </c>
      <c r="P892" s="16" t="n">
        <v>0</v>
      </c>
      <c r="Q892" s="15" t="n">
        <v>0</v>
      </c>
      <c r="R892" s="15" t="n">
        <v>0</v>
      </c>
      <c r="S892" s="17" t="n">
        <v>118125</v>
      </c>
      <c r="T892" s="15" t="s">
        <v>137</v>
      </c>
      <c r="U892" s="15" t="n">
        <v>2028</v>
      </c>
      <c r="V892" s="15" t="s">
        <v>2603</v>
      </c>
      <c r="W892" s="18" t="s">
        <v>139</v>
      </c>
      <c r="X892" s="18" t="s">
        <v>412</v>
      </c>
      <c r="Y892" s="15" t="s">
        <v>600</v>
      </c>
      <c r="Z892" s="15" t="s">
        <v>600</v>
      </c>
      <c r="AA892" s="19" t="str">
        <f aca="false">HYPERLINK("https://www.transfermarkt.com/schnellsuche/ergebnis/schnellsuche?query="&amp;SUBSTITUTE(A892," ","+"),"Search Transfermarkt")</f>
        <v>Search Transfermarkt</v>
      </c>
    </row>
    <row r="893" customFormat="false" ht="23.85" hidden="false" customHeight="false" outlineLevel="0" collapsed="false">
      <c r="A893" s="15" t="s">
        <v>2604</v>
      </c>
      <c r="B893" s="15" t="s">
        <v>94</v>
      </c>
      <c r="C893" s="15" t="s">
        <v>1244</v>
      </c>
      <c r="D893" s="15" t="n">
        <v>4</v>
      </c>
      <c r="E893" s="15" t="s">
        <v>1782</v>
      </c>
      <c r="F893" s="15" t="s">
        <v>163</v>
      </c>
      <c r="G893" s="15" t="n">
        <v>25</v>
      </c>
      <c r="H893" s="15" t="n">
        <v>2625</v>
      </c>
      <c r="I893" s="15" t="n">
        <v>9</v>
      </c>
      <c r="J893" s="15" t="n">
        <v>2</v>
      </c>
      <c r="K893" s="15" t="n">
        <v>41</v>
      </c>
      <c r="L893" s="15" t="n">
        <v>70</v>
      </c>
      <c r="M893" s="15" t="n">
        <v>12</v>
      </c>
      <c r="N893" s="15" t="n">
        <v>0</v>
      </c>
      <c r="O893" s="15" t="n">
        <v>0</v>
      </c>
      <c r="P893" s="16" t="n">
        <v>0</v>
      </c>
      <c r="Q893" s="15" t="n">
        <v>0</v>
      </c>
      <c r="R893" s="15" t="n">
        <v>0</v>
      </c>
      <c r="S893" s="17" t="n">
        <v>102590</v>
      </c>
      <c r="T893" s="15" t="s">
        <v>137</v>
      </c>
      <c r="U893" s="15" t="n">
        <v>2029</v>
      </c>
      <c r="V893" s="15" t="s">
        <v>1783</v>
      </c>
      <c r="W893" s="18" t="s">
        <v>139</v>
      </c>
      <c r="X893" s="18" t="s">
        <v>226</v>
      </c>
      <c r="Y893" s="15" t="s">
        <v>600</v>
      </c>
      <c r="Z893" s="15" t="s">
        <v>600</v>
      </c>
      <c r="AA893" s="19" t="str">
        <f aca="false">HYPERLINK("https://www.transfermarkt.com/schnellsuche/ergebnis/schnellsuche?query="&amp;SUBSTITUTE(A893," ","+"),"Search Transfermarkt")</f>
        <v>Search Transfermarkt</v>
      </c>
    </row>
    <row r="894" customFormat="false" ht="23.85" hidden="false" customHeight="false" outlineLevel="0" collapsed="false">
      <c r="A894" s="15" t="s">
        <v>2605</v>
      </c>
      <c r="B894" s="15" t="s">
        <v>90</v>
      </c>
      <c r="C894" s="15" t="s">
        <v>418</v>
      </c>
      <c r="D894" s="15" t="n">
        <v>3</v>
      </c>
      <c r="E894" s="15" t="s">
        <v>419</v>
      </c>
      <c r="F894" s="15" t="s">
        <v>136</v>
      </c>
      <c r="G894" s="15" t="n">
        <v>24</v>
      </c>
      <c r="H894" s="15" t="n">
        <v>1236</v>
      </c>
      <c r="I894" s="15" t="n">
        <v>0</v>
      </c>
      <c r="J894" s="15" t="n">
        <v>2</v>
      </c>
      <c r="K894" s="15" t="n">
        <v>72</v>
      </c>
      <c r="L894" s="15" t="n">
        <v>34</v>
      </c>
      <c r="M894" s="15" t="n">
        <v>101</v>
      </c>
      <c r="N894" s="15" t="n">
        <v>0</v>
      </c>
      <c r="O894" s="15" t="n">
        <v>0</v>
      </c>
      <c r="P894" s="16" t="n">
        <v>0</v>
      </c>
      <c r="Q894" s="15" t="n">
        <v>0</v>
      </c>
      <c r="R894" s="15" t="n">
        <v>0</v>
      </c>
      <c r="S894" s="17" t="n">
        <v>68918</v>
      </c>
      <c r="T894" s="15" t="s">
        <v>164</v>
      </c>
      <c r="U894" s="15" t="n">
        <v>2028</v>
      </c>
      <c r="V894" s="15" t="s">
        <v>420</v>
      </c>
      <c r="W894" s="18" t="s">
        <v>139</v>
      </c>
      <c r="X894" s="18" t="s">
        <v>288</v>
      </c>
      <c r="Y894" s="15" t="s">
        <v>600</v>
      </c>
      <c r="Z894" s="15" t="s">
        <v>600</v>
      </c>
      <c r="AA894" s="19" t="str">
        <f aca="false">HYPERLINK("https://www.transfermarkt.com/schnellsuche/ergebnis/schnellsuche?query="&amp;SUBSTITUTE(A894," ","+"),"Search Transfermarkt")</f>
        <v>Search Transfermarkt</v>
      </c>
    </row>
    <row r="895" customFormat="false" ht="23.85" hidden="false" customHeight="false" outlineLevel="0" collapsed="false">
      <c r="A895" s="15" t="s">
        <v>2606</v>
      </c>
      <c r="B895" s="15" t="s">
        <v>73</v>
      </c>
      <c r="C895" s="15" t="s">
        <v>168</v>
      </c>
      <c r="D895" s="15" t="n">
        <v>2</v>
      </c>
      <c r="E895" s="15" t="s">
        <v>662</v>
      </c>
      <c r="F895" s="15" t="s">
        <v>157</v>
      </c>
      <c r="G895" s="15" t="n">
        <v>23</v>
      </c>
      <c r="H895" s="15" t="n">
        <v>1062</v>
      </c>
      <c r="I895" s="15" t="n">
        <v>0</v>
      </c>
      <c r="J895" s="15" t="n">
        <v>0</v>
      </c>
      <c r="K895" s="15" t="n">
        <v>12</v>
      </c>
      <c r="L895" s="15" t="n">
        <v>0</v>
      </c>
      <c r="M895" s="15" t="n">
        <v>3</v>
      </c>
      <c r="N895" s="15" t="n">
        <v>37</v>
      </c>
      <c r="O895" s="15" t="n">
        <v>16</v>
      </c>
      <c r="P895" s="16" t="n">
        <v>87.8</v>
      </c>
      <c r="Q895" s="15" t="n">
        <v>5.3</v>
      </c>
      <c r="R895" s="15" t="n">
        <v>3</v>
      </c>
      <c r="S895" s="17" t="n">
        <v>44282</v>
      </c>
      <c r="T895" s="15" t="s">
        <v>137</v>
      </c>
      <c r="U895" s="15" t="n">
        <v>2029</v>
      </c>
      <c r="V895" s="15" t="s">
        <v>663</v>
      </c>
      <c r="W895" s="18" t="s">
        <v>139</v>
      </c>
      <c r="X895" s="18" t="s">
        <v>172</v>
      </c>
      <c r="Y895" s="15" t="s">
        <v>600</v>
      </c>
      <c r="Z895" s="15" t="s">
        <v>600</v>
      </c>
      <c r="AA895" s="19" t="str">
        <f aca="false">HYPERLINK("https://www.transfermarkt.com/schnellsuche/ergebnis/schnellsuche?query="&amp;SUBSTITUTE(A895," ","+"),"Search Transfermarkt")</f>
        <v>Search Transfermarkt</v>
      </c>
    </row>
    <row r="896" customFormat="false" ht="23.85" hidden="false" customHeight="false" outlineLevel="0" collapsed="false">
      <c r="A896" s="15" t="s">
        <v>2607</v>
      </c>
      <c r="B896" s="15" t="s">
        <v>71</v>
      </c>
      <c r="C896" s="15" t="s">
        <v>1313</v>
      </c>
      <c r="D896" s="15" t="n">
        <v>3</v>
      </c>
      <c r="E896" s="15" t="s">
        <v>2608</v>
      </c>
      <c r="F896" s="15" t="s">
        <v>157</v>
      </c>
      <c r="G896" s="15" t="n">
        <v>22</v>
      </c>
      <c r="H896" s="15" t="n">
        <v>2653</v>
      </c>
      <c r="I896" s="15" t="n">
        <v>0</v>
      </c>
      <c r="J896" s="15" t="n">
        <v>0</v>
      </c>
      <c r="K896" s="15" t="n">
        <v>16</v>
      </c>
      <c r="L896" s="15" t="n">
        <v>0</v>
      </c>
      <c r="M896" s="15" t="n">
        <v>6</v>
      </c>
      <c r="N896" s="15" t="n">
        <v>89</v>
      </c>
      <c r="O896" s="15" t="n">
        <v>50</v>
      </c>
      <c r="P896" s="16" t="n">
        <v>72.4</v>
      </c>
      <c r="Q896" s="15" t="n">
        <v>26.5</v>
      </c>
      <c r="R896" s="15" t="n">
        <v>11</v>
      </c>
      <c r="S896" s="17" t="n">
        <v>33209</v>
      </c>
      <c r="T896" s="15" t="s">
        <v>186</v>
      </c>
      <c r="U896" s="15" t="n">
        <v>2028</v>
      </c>
      <c r="V896" s="15" t="s">
        <v>2609</v>
      </c>
      <c r="W896" s="18" t="s">
        <v>188</v>
      </c>
      <c r="X896" s="18" t="s">
        <v>177</v>
      </c>
      <c r="Y896" s="15" t="s">
        <v>600</v>
      </c>
      <c r="Z896" s="15" t="s">
        <v>600</v>
      </c>
      <c r="AA896" s="19" t="str">
        <f aca="false">HYPERLINK("https://www.transfermarkt.com/schnellsuche/ergebnis/schnellsuche?query="&amp;SUBSTITUTE(A896," ","+"),"Search Transfermarkt")</f>
        <v>Search Transfermarkt</v>
      </c>
    </row>
    <row r="897" customFormat="false" ht="23.85" hidden="false" customHeight="false" outlineLevel="0" collapsed="false">
      <c r="A897" s="15" t="s">
        <v>2610</v>
      </c>
      <c r="B897" s="15" t="s">
        <v>71</v>
      </c>
      <c r="C897" s="15" t="s">
        <v>1313</v>
      </c>
      <c r="D897" s="15" t="n">
        <v>2</v>
      </c>
      <c r="E897" s="15" t="s">
        <v>2611</v>
      </c>
      <c r="F897" s="15" t="s">
        <v>136</v>
      </c>
      <c r="G897" s="15" t="n">
        <v>22</v>
      </c>
      <c r="H897" s="15" t="n">
        <v>1031</v>
      </c>
      <c r="I897" s="15" t="n">
        <v>2</v>
      </c>
      <c r="J897" s="15" t="n">
        <v>2</v>
      </c>
      <c r="K897" s="15" t="n">
        <v>65</v>
      </c>
      <c r="L897" s="15" t="n">
        <v>38</v>
      </c>
      <c r="M897" s="15" t="n">
        <v>85</v>
      </c>
      <c r="N897" s="15" t="n">
        <v>0</v>
      </c>
      <c r="O897" s="15" t="n">
        <v>0</v>
      </c>
      <c r="P897" s="16" t="n">
        <v>0</v>
      </c>
      <c r="Q897" s="15" t="n">
        <v>0</v>
      </c>
      <c r="R897" s="15" t="n">
        <v>0</v>
      </c>
      <c r="S897" s="17" t="n">
        <v>0</v>
      </c>
      <c r="T897" s="15" t="s">
        <v>137</v>
      </c>
      <c r="U897" s="15" t="n">
        <v>2026</v>
      </c>
      <c r="V897" s="15" t="s">
        <v>2612</v>
      </c>
      <c r="W897" s="18" t="s">
        <v>139</v>
      </c>
      <c r="X897" s="18" t="s">
        <v>177</v>
      </c>
      <c r="Y897" s="15" t="s">
        <v>600</v>
      </c>
      <c r="Z897" s="15" t="s">
        <v>600</v>
      </c>
      <c r="AA897" s="19" t="str">
        <f aca="false">HYPERLINK("https://www.transfermarkt.com/schnellsuche/ergebnis/schnellsuche?query="&amp;SUBSTITUTE(A897," ","+"),"Search Transfermarkt")</f>
        <v>Search Transfermarkt</v>
      </c>
    </row>
    <row r="898" customFormat="false" ht="23.85" hidden="false" customHeight="false" outlineLevel="0" collapsed="false">
      <c r="A898" s="15" t="s">
        <v>2613</v>
      </c>
      <c r="B898" s="15" t="s">
        <v>81</v>
      </c>
      <c r="C898" s="15" t="s">
        <v>404</v>
      </c>
      <c r="D898" s="15" t="n">
        <v>2</v>
      </c>
      <c r="E898" s="15" t="s">
        <v>2212</v>
      </c>
      <c r="F898" s="15" t="s">
        <v>136</v>
      </c>
      <c r="G898" s="15" t="n">
        <v>25</v>
      </c>
      <c r="H898" s="15" t="n">
        <v>810</v>
      </c>
      <c r="I898" s="15" t="n">
        <v>0</v>
      </c>
      <c r="J898" s="15" t="n">
        <v>4</v>
      </c>
      <c r="K898" s="15" t="n">
        <v>47</v>
      </c>
      <c r="L898" s="15" t="n">
        <v>25</v>
      </c>
      <c r="M898" s="15" t="n">
        <v>100</v>
      </c>
      <c r="N898" s="15" t="n">
        <v>0</v>
      </c>
      <c r="O898" s="15" t="n">
        <v>0</v>
      </c>
      <c r="P898" s="16" t="n">
        <v>0</v>
      </c>
      <c r="Q898" s="15" t="n">
        <v>0</v>
      </c>
      <c r="R898" s="15" t="n">
        <v>0</v>
      </c>
      <c r="S898" s="17" t="n">
        <v>0</v>
      </c>
      <c r="T898" s="15" t="s">
        <v>186</v>
      </c>
      <c r="U898" s="15" t="n">
        <v>2027</v>
      </c>
      <c r="V898" s="15" t="s">
        <v>2213</v>
      </c>
      <c r="W898" s="18" t="s">
        <v>188</v>
      </c>
      <c r="X898" s="18" t="s">
        <v>407</v>
      </c>
      <c r="Y898" s="15" t="s">
        <v>600</v>
      </c>
      <c r="Z898" s="15" t="s">
        <v>600</v>
      </c>
      <c r="AA898" s="19" t="str">
        <f aca="false">HYPERLINK("https://www.transfermarkt.com/schnellsuche/ergebnis/schnellsuche?query="&amp;SUBSTITUTE(A898," ","+"),"Search Transfermarkt")</f>
        <v>Search Transfermarkt</v>
      </c>
    </row>
    <row r="899" customFormat="false" ht="23.85" hidden="false" customHeight="false" outlineLevel="0" collapsed="false">
      <c r="A899" s="15" t="s">
        <v>2614</v>
      </c>
      <c r="B899" s="15" t="s">
        <v>67</v>
      </c>
      <c r="C899" s="15" t="s">
        <v>1281</v>
      </c>
      <c r="D899" s="15" t="n">
        <v>2</v>
      </c>
      <c r="E899" s="15" t="s">
        <v>1303</v>
      </c>
      <c r="F899" s="15" t="s">
        <v>136</v>
      </c>
      <c r="G899" s="15" t="n">
        <v>21</v>
      </c>
      <c r="H899" s="15" t="n">
        <v>1398</v>
      </c>
      <c r="I899" s="15" t="n">
        <v>3</v>
      </c>
      <c r="J899" s="15" t="n">
        <v>2</v>
      </c>
      <c r="K899" s="15" t="n">
        <v>43</v>
      </c>
      <c r="L899" s="15" t="n">
        <v>41</v>
      </c>
      <c r="M899" s="15" t="n">
        <v>88</v>
      </c>
      <c r="N899" s="15" t="n">
        <v>0</v>
      </c>
      <c r="O899" s="15" t="n">
        <v>0</v>
      </c>
      <c r="P899" s="16" t="n">
        <v>0</v>
      </c>
      <c r="Q899" s="15" t="n">
        <v>0</v>
      </c>
      <c r="R899" s="15" t="n">
        <v>0</v>
      </c>
      <c r="S899" s="17" t="n">
        <v>0</v>
      </c>
      <c r="T899" s="15" t="s">
        <v>164</v>
      </c>
      <c r="U899" s="15" t="n">
        <v>2029</v>
      </c>
      <c r="V899" s="15" t="s">
        <v>1304</v>
      </c>
      <c r="W899" s="18" t="s">
        <v>139</v>
      </c>
      <c r="X899" s="18" t="s">
        <v>236</v>
      </c>
      <c r="Y899" s="15" t="s">
        <v>600</v>
      </c>
      <c r="Z899" s="15" t="s">
        <v>600</v>
      </c>
      <c r="AA899" s="19" t="str">
        <f aca="false">HYPERLINK("https://www.transfermarkt.com/schnellsuche/ergebnis/schnellsuche?query="&amp;SUBSTITUTE(A899," ","+"),"Search Transfermarkt")</f>
        <v>Search Transfermarkt</v>
      </c>
    </row>
    <row r="900" customFormat="false" ht="23.85" hidden="false" customHeight="false" outlineLevel="0" collapsed="false">
      <c r="A900" s="15" t="s">
        <v>2615</v>
      </c>
      <c r="B900" s="15" t="s">
        <v>89</v>
      </c>
      <c r="C900" s="15" t="s">
        <v>1298</v>
      </c>
      <c r="D900" s="15" t="n">
        <v>2</v>
      </c>
      <c r="E900" s="15" t="s">
        <v>1565</v>
      </c>
      <c r="F900" s="15" t="s">
        <v>170</v>
      </c>
      <c r="G900" s="15" t="n">
        <v>24</v>
      </c>
      <c r="H900" s="15" t="n">
        <v>2219</v>
      </c>
      <c r="I900" s="15" t="n">
        <v>5</v>
      </c>
      <c r="J900" s="15" t="n">
        <v>13</v>
      </c>
      <c r="K900" s="15" t="n">
        <v>142</v>
      </c>
      <c r="L900" s="15" t="n">
        <v>92</v>
      </c>
      <c r="M900" s="15" t="n">
        <v>35</v>
      </c>
      <c r="N900" s="15" t="n">
        <v>0</v>
      </c>
      <c r="O900" s="15" t="n">
        <v>0</v>
      </c>
      <c r="P900" s="16" t="n">
        <v>0</v>
      </c>
      <c r="Q900" s="15" t="n">
        <v>0</v>
      </c>
      <c r="R900" s="15" t="n">
        <v>0</v>
      </c>
      <c r="S900" s="17" t="n">
        <v>0</v>
      </c>
      <c r="T900" s="15" t="s">
        <v>164</v>
      </c>
      <c r="U900" s="15" t="n">
        <v>2029</v>
      </c>
      <c r="V900" s="15" t="s">
        <v>1566</v>
      </c>
      <c r="W900" s="18" t="s">
        <v>139</v>
      </c>
      <c r="X900" s="18" t="s">
        <v>206</v>
      </c>
      <c r="Y900" s="15" t="s">
        <v>600</v>
      </c>
      <c r="Z900" s="15" t="s">
        <v>600</v>
      </c>
      <c r="AA900" s="19" t="str">
        <f aca="false">HYPERLINK("https://www.transfermarkt.com/schnellsuche/ergebnis/schnellsuche?query="&amp;SUBSTITUTE(A900," ","+"),"Search Transfermarkt")</f>
        <v>Search Transfermarkt</v>
      </c>
    </row>
    <row r="901" customFormat="false" ht="23.85" hidden="false" customHeight="false" outlineLevel="0" collapsed="false">
      <c r="A901" s="15" t="s">
        <v>2616</v>
      </c>
      <c r="B901" s="15" t="s">
        <v>66</v>
      </c>
      <c r="C901" s="15" t="s">
        <v>389</v>
      </c>
      <c r="D901" s="15" t="n">
        <v>2</v>
      </c>
      <c r="E901" s="15" t="s">
        <v>2617</v>
      </c>
      <c r="F901" s="15" t="s">
        <v>163</v>
      </c>
      <c r="G901" s="15" t="n">
        <v>17</v>
      </c>
      <c r="H901" s="15" t="n">
        <v>1607</v>
      </c>
      <c r="I901" s="15" t="n">
        <v>19</v>
      </c>
      <c r="J901" s="15" t="n">
        <v>9</v>
      </c>
      <c r="K901" s="15" t="n">
        <v>53</v>
      </c>
      <c r="L901" s="15" t="n">
        <v>65</v>
      </c>
      <c r="M901" s="15" t="n">
        <v>6</v>
      </c>
      <c r="N901" s="15" t="n">
        <v>0</v>
      </c>
      <c r="O901" s="15" t="n">
        <v>0</v>
      </c>
      <c r="P901" s="16" t="n">
        <v>0</v>
      </c>
      <c r="Q901" s="15" t="n">
        <v>0</v>
      </c>
      <c r="R901" s="15" t="n">
        <v>0</v>
      </c>
      <c r="S901" s="17" t="n">
        <v>19445</v>
      </c>
      <c r="T901" s="15" t="s">
        <v>137</v>
      </c>
      <c r="U901" s="15" t="n">
        <v>2026</v>
      </c>
      <c r="V901" s="15" t="s">
        <v>2618</v>
      </c>
      <c r="W901" s="18" t="s">
        <v>147</v>
      </c>
      <c r="X901" s="18" t="s">
        <v>182</v>
      </c>
      <c r="Y901" s="15" t="s">
        <v>600</v>
      </c>
      <c r="Z901" s="15" t="s">
        <v>600</v>
      </c>
      <c r="AA901" s="19" t="str">
        <f aca="false">HYPERLINK("https://www.transfermarkt.com/schnellsuche/ergebnis/schnellsuche?query="&amp;SUBSTITUTE(A901," ","+"),"Search Transfermarkt")</f>
        <v>Search Transfermarkt</v>
      </c>
    </row>
    <row r="902" customFormat="false" ht="23.85" hidden="false" customHeight="false" outlineLevel="0" collapsed="false">
      <c r="A902" s="15" t="s">
        <v>2619</v>
      </c>
      <c r="B902" s="15" t="s">
        <v>94</v>
      </c>
      <c r="C902" s="15" t="s">
        <v>628</v>
      </c>
      <c r="D902" s="15" t="n">
        <v>2</v>
      </c>
      <c r="E902" s="15" t="s">
        <v>2620</v>
      </c>
      <c r="F902" s="15" t="s">
        <v>157</v>
      </c>
      <c r="G902" s="15" t="n">
        <v>26</v>
      </c>
      <c r="H902" s="15" t="n">
        <v>880</v>
      </c>
      <c r="I902" s="15" t="n">
        <v>0</v>
      </c>
      <c r="J902" s="15" t="n">
        <v>0</v>
      </c>
      <c r="K902" s="15" t="n">
        <v>19</v>
      </c>
      <c r="L902" s="15" t="n">
        <v>1</v>
      </c>
      <c r="M902" s="15" t="n">
        <v>5</v>
      </c>
      <c r="N902" s="15" t="n">
        <v>37</v>
      </c>
      <c r="O902" s="15" t="n">
        <v>12</v>
      </c>
      <c r="P902" s="16" t="n">
        <v>85.1</v>
      </c>
      <c r="Q902" s="15" t="n">
        <v>4.7</v>
      </c>
      <c r="R902" s="15" t="n">
        <v>2</v>
      </c>
      <c r="S902" s="17" t="n">
        <v>13021</v>
      </c>
      <c r="T902" s="15" t="s">
        <v>186</v>
      </c>
      <c r="U902" s="15" t="n">
        <v>2027</v>
      </c>
      <c r="V902" s="15" t="s">
        <v>2621</v>
      </c>
      <c r="W902" s="18" t="s">
        <v>188</v>
      </c>
      <c r="X902" s="18" t="s">
        <v>226</v>
      </c>
      <c r="Y902" s="15" t="s">
        <v>600</v>
      </c>
      <c r="Z902" s="15" t="s">
        <v>600</v>
      </c>
      <c r="AA902" s="19" t="str">
        <f aca="false">HYPERLINK("https://www.transfermarkt.com/schnellsuche/ergebnis/schnellsuche?query="&amp;SUBSTITUTE(A902," ","+"),"Search Transfermarkt")</f>
        <v>Search Transfermarkt</v>
      </c>
    </row>
    <row r="903" customFormat="false" ht="23.85" hidden="false" customHeight="false" outlineLevel="0" collapsed="false">
      <c r="A903" s="15" t="s">
        <v>2622</v>
      </c>
      <c r="B903" s="15" t="s">
        <v>62</v>
      </c>
      <c r="C903" s="15" t="s">
        <v>2623</v>
      </c>
      <c r="D903" s="15" t="n">
        <v>2</v>
      </c>
      <c r="E903" s="15" t="s">
        <v>2624</v>
      </c>
      <c r="F903" s="15" t="s">
        <v>157</v>
      </c>
      <c r="G903" s="15" t="n">
        <v>22</v>
      </c>
      <c r="H903" s="15" t="n">
        <v>2660</v>
      </c>
      <c r="I903" s="15" t="n">
        <v>0</v>
      </c>
      <c r="J903" s="15" t="n">
        <v>0</v>
      </c>
      <c r="K903" s="15" t="n">
        <v>20</v>
      </c>
      <c r="L903" s="15" t="n">
        <v>2</v>
      </c>
      <c r="M903" s="15" t="n">
        <v>6</v>
      </c>
      <c r="N903" s="15" t="n">
        <v>93</v>
      </c>
      <c r="O903" s="15" t="n">
        <v>31</v>
      </c>
      <c r="P903" s="16" t="n">
        <v>66</v>
      </c>
      <c r="Q903" s="15" t="n">
        <v>42.2</v>
      </c>
      <c r="R903" s="15" t="n">
        <v>11</v>
      </c>
      <c r="S903" s="17" t="n">
        <v>119657</v>
      </c>
      <c r="T903" s="15" t="s">
        <v>186</v>
      </c>
      <c r="U903" s="15" t="n">
        <v>2029</v>
      </c>
      <c r="V903" s="15" t="s">
        <v>2625</v>
      </c>
      <c r="W903" s="18" t="s">
        <v>188</v>
      </c>
      <c r="X903" s="18" t="s">
        <v>211</v>
      </c>
      <c r="Y903" s="15" t="s">
        <v>600</v>
      </c>
      <c r="Z903" s="15" t="s">
        <v>600</v>
      </c>
      <c r="AA903" s="19" t="str">
        <f aca="false">HYPERLINK("https://www.transfermarkt.com/schnellsuche/ergebnis/schnellsuche?query="&amp;SUBSTITUTE(A903," ","+"),"Search Transfermarkt")</f>
        <v>Search Transfermarkt</v>
      </c>
    </row>
    <row r="904" customFormat="false" ht="23.85" hidden="false" customHeight="false" outlineLevel="0" collapsed="false">
      <c r="A904" s="15" t="s">
        <v>2626</v>
      </c>
      <c r="B904" s="15" t="s">
        <v>92</v>
      </c>
      <c r="C904" s="15" t="s">
        <v>1225</v>
      </c>
      <c r="D904" s="15" t="n">
        <v>2</v>
      </c>
      <c r="E904" s="15" t="s">
        <v>2627</v>
      </c>
      <c r="F904" s="15" t="s">
        <v>163</v>
      </c>
      <c r="G904" s="15" t="n">
        <v>22</v>
      </c>
      <c r="H904" s="15" t="n">
        <v>2680</v>
      </c>
      <c r="I904" s="15" t="n">
        <v>7</v>
      </c>
      <c r="J904" s="15" t="n">
        <v>6</v>
      </c>
      <c r="K904" s="15" t="n">
        <v>56</v>
      </c>
      <c r="L904" s="15" t="n">
        <v>90</v>
      </c>
      <c r="M904" s="15" t="n">
        <v>8</v>
      </c>
      <c r="N904" s="15" t="n">
        <v>0</v>
      </c>
      <c r="O904" s="15" t="n">
        <v>0</v>
      </c>
      <c r="P904" s="16" t="n">
        <v>0</v>
      </c>
      <c r="Q904" s="15" t="n">
        <v>0</v>
      </c>
      <c r="R904" s="15" t="n">
        <v>0</v>
      </c>
      <c r="S904" s="17" t="n">
        <v>108364</v>
      </c>
      <c r="T904" s="15" t="s">
        <v>137</v>
      </c>
      <c r="U904" s="15" t="n">
        <v>2029</v>
      </c>
      <c r="V904" s="15" t="s">
        <v>2628</v>
      </c>
      <c r="W904" s="18" t="s">
        <v>139</v>
      </c>
      <c r="X904" s="18" t="s">
        <v>159</v>
      </c>
      <c r="Y904" s="15" t="s">
        <v>600</v>
      </c>
      <c r="Z904" s="15" t="s">
        <v>600</v>
      </c>
      <c r="AA904" s="19" t="str">
        <f aca="false">HYPERLINK("https://www.transfermarkt.com/schnellsuche/ergebnis/schnellsuche?query="&amp;SUBSTITUTE(A904," ","+"),"Search Transfermarkt")</f>
        <v>Search Transfermarkt</v>
      </c>
    </row>
    <row r="905" customFormat="false" ht="23.85" hidden="false" customHeight="false" outlineLevel="0" collapsed="false">
      <c r="A905" s="15" t="s">
        <v>2629</v>
      </c>
      <c r="B905" s="15" t="s">
        <v>68</v>
      </c>
      <c r="C905" s="15" t="s">
        <v>150</v>
      </c>
      <c r="D905" s="15" t="n">
        <v>2</v>
      </c>
      <c r="E905" s="15" t="s">
        <v>1252</v>
      </c>
      <c r="F905" s="15" t="s">
        <v>136</v>
      </c>
      <c r="G905" s="15" t="n">
        <v>22</v>
      </c>
      <c r="H905" s="15" t="n">
        <v>1850</v>
      </c>
      <c r="I905" s="15" t="n">
        <v>1</v>
      </c>
      <c r="J905" s="15" t="n">
        <v>2</v>
      </c>
      <c r="K905" s="15" t="n">
        <v>57</v>
      </c>
      <c r="L905" s="15" t="n">
        <v>36</v>
      </c>
      <c r="M905" s="15" t="n">
        <v>98</v>
      </c>
      <c r="N905" s="15" t="n">
        <v>0</v>
      </c>
      <c r="O905" s="15" t="n">
        <v>0</v>
      </c>
      <c r="P905" s="16" t="n">
        <v>0</v>
      </c>
      <c r="Q905" s="15" t="n">
        <v>0</v>
      </c>
      <c r="R905" s="15" t="n">
        <v>0</v>
      </c>
      <c r="S905" s="17" t="n">
        <v>145633</v>
      </c>
      <c r="T905" s="15" t="s">
        <v>186</v>
      </c>
      <c r="U905" s="15" t="n">
        <v>2026</v>
      </c>
      <c r="V905" s="15" t="s">
        <v>1253</v>
      </c>
      <c r="W905" s="18" t="s">
        <v>188</v>
      </c>
      <c r="X905" s="18" t="s">
        <v>153</v>
      </c>
      <c r="Y905" s="15" t="s">
        <v>600</v>
      </c>
      <c r="Z905" s="15" t="s">
        <v>600</v>
      </c>
      <c r="AA905" s="19" t="str">
        <f aca="false">HYPERLINK("https://www.transfermarkt.com/schnellsuche/ergebnis/schnellsuche?query="&amp;SUBSTITUTE(A905," ","+"),"Search Transfermarkt")</f>
        <v>Search Transfermarkt</v>
      </c>
    </row>
    <row r="906" customFormat="false" ht="23.85" hidden="false" customHeight="false" outlineLevel="0" collapsed="false">
      <c r="A906" s="15" t="s">
        <v>2630</v>
      </c>
      <c r="B906" s="15" t="s">
        <v>79</v>
      </c>
      <c r="C906" s="15" t="s">
        <v>1273</v>
      </c>
      <c r="D906" s="15" t="n">
        <v>2</v>
      </c>
      <c r="E906" s="15" t="s">
        <v>2631</v>
      </c>
      <c r="F906" s="15" t="s">
        <v>163</v>
      </c>
      <c r="G906" s="15" t="n">
        <v>26</v>
      </c>
      <c r="H906" s="15" t="n">
        <v>2646</v>
      </c>
      <c r="I906" s="15" t="n">
        <v>14</v>
      </c>
      <c r="J906" s="15" t="n">
        <v>9</v>
      </c>
      <c r="K906" s="15" t="n">
        <v>32</v>
      </c>
      <c r="L906" s="15" t="n">
        <v>86</v>
      </c>
      <c r="M906" s="15" t="n">
        <v>14</v>
      </c>
      <c r="N906" s="15" t="n">
        <v>0</v>
      </c>
      <c r="O906" s="15" t="n">
        <v>0</v>
      </c>
      <c r="P906" s="16" t="n">
        <v>0</v>
      </c>
      <c r="Q906" s="15" t="n">
        <v>0</v>
      </c>
      <c r="R906" s="15" t="n">
        <v>0</v>
      </c>
      <c r="S906" s="17" t="n">
        <v>102616</v>
      </c>
      <c r="T906" s="15" t="s">
        <v>137</v>
      </c>
      <c r="U906" s="15" t="n">
        <v>2028</v>
      </c>
      <c r="V906" s="15" t="s">
        <v>2632</v>
      </c>
      <c r="W906" s="18" t="s">
        <v>139</v>
      </c>
      <c r="X906" s="18" t="s">
        <v>412</v>
      </c>
      <c r="Y906" s="15" t="s">
        <v>600</v>
      </c>
      <c r="Z906" s="15" t="s">
        <v>600</v>
      </c>
      <c r="AA906" s="19" t="str">
        <f aca="false">HYPERLINK("https://www.transfermarkt.com/schnellsuche/ergebnis/schnellsuche?query="&amp;SUBSTITUTE(A906," ","+"),"Search Transfermarkt")</f>
        <v>Search Transfermarkt</v>
      </c>
    </row>
    <row r="907" customFormat="false" ht="23.85" hidden="false" customHeight="false" outlineLevel="0" collapsed="false">
      <c r="A907" s="15" t="s">
        <v>2633</v>
      </c>
      <c r="B907" s="15" t="s">
        <v>102</v>
      </c>
      <c r="C907" s="15" t="s">
        <v>922</v>
      </c>
      <c r="D907" s="15" t="n">
        <v>2</v>
      </c>
      <c r="E907" s="15" t="s">
        <v>2634</v>
      </c>
      <c r="F907" s="15" t="s">
        <v>170</v>
      </c>
      <c r="G907" s="15" t="n">
        <v>18</v>
      </c>
      <c r="H907" s="15" t="n">
        <v>2690</v>
      </c>
      <c r="I907" s="15" t="n">
        <v>3</v>
      </c>
      <c r="J907" s="15" t="n">
        <v>11</v>
      </c>
      <c r="K907" s="15" t="n">
        <v>119</v>
      </c>
      <c r="L907" s="15" t="n">
        <v>80</v>
      </c>
      <c r="M907" s="15" t="n">
        <v>29</v>
      </c>
      <c r="N907" s="15" t="n">
        <v>0</v>
      </c>
      <c r="O907" s="15" t="n">
        <v>0</v>
      </c>
      <c r="P907" s="16" t="n">
        <v>0</v>
      </c>
      <c r="Q907" s="15" t="n">
        <v>0</v>
      </c>
      <c r="R907" s="15" t="n">
        <v>0</v>
      </c>
      <c r="S907" s="17" t="n">
        <v>78411</v>
      </c>
      <c r="T907" s="15" t="s">
        <v>164</v>
      </c>
      <c r="U907" s="15" t="n">
        <v>2027</v>
      </c>
      <c r="V907" s="15" t="s">
        <v>2635</v>
      </c>
      <c r="W907" s="18" t="s">
        <v>139</v>
      </c>
      <c r="X907" s="18" t="s">
        <v>453</v>
      </c>
      <c r="Y907" s="15" t="s">
        <v>600</v>
      </c>
      <c r="Z907" s="15" t="s">
        <v>600</v>
      </c>
      <c r="AA907" s="19" t="str">
        <f aca="false">HYPERLINK("https://www.transfermarkt.com/schnellsuche/ergebnis/schnellsuche?query="&amp;SUBSTITUTE(A907," ","+"),"Search Transfermarkt")</f>
        <v>Search Transfermarkt</v>
      </c>
    </row>
    <row r="908" customFormat="false" ht="23.85" hidden="false" customHeight="false" outlineLevel="0" collapsed="false">
      <c r="A908" s="15" t="s">
        <v>2636</v>
      </c>
      <c r="B908" s="15" t="s">
        <v>75</v>
      </c>
      <c r="C908" s="15" t="s">
        <v>247</v>
      </c>
      <c r="D908" s="15" t="n">
        <v>3</v>
      </c>
      <c r="E908" s="15" t="s">
        <v>915</v>
      </c>
      <c r="F908" s="15" t="s">
        <v>170</v>
      </c>
      <c r="G908" s="15" t="n">
        <v>17</v>
      </c>
      <c r="H908" s="15" t="n">
        <v>1948</v>
      </c>
      <c r="I908" s="15" t="n">
        <v>1</v>
      </c>
      <c r="J908" s="15" t="n">
        <v>13</v>
      </c>
      <c r="K908" s="15" t="n">
        <v>134</v>
      </c>
      <c r="L908" s="15" t="n">
        <v>61</v>
      </c>
      <c r="M908" s="15" t="n">
        <v>30</v>
      </c>
      <c r="N908" s="15" t="n">
        <v>0</v>
      </c>
      <c r="O908" s="15" t="n">
        <v>0</v>
      </c>
      <c r="P908" s="16" t="n">
        <v>0</v>
      </c>
      <c r="Q908" s="15" t="n">
        <v>0</v>
      </c>
      <c r="R908" s="15" t="n">
        <v>0</v>
      </c>
      <c r="S908" s="17" t="n">
        <v>0</v>
      </c>
      <c r="T908" s="15" t="s">
        <v>137</v>
      </c>
      <c r="U908" s="15" t="n">
        <v>2026</v>
      </c>
      <c r="V908" s="15" t="s">
        <v>916</v>
      </c>
      <c r="W908" s="18" t="s">
        <v>147</v>
      </c>
      <c r="X908" s="18" t="s">
        <v>197</v>
      </c>
      <c r="Y908" s="15" t="s">
        <v>600</v>
      </c>
      <c r="Z908" s="15" t="s">
        <v>600</v>
      </c>
      <c r="AA908" s="19" t="str">
        <f aca="false">HYPERLINK("https://www.transfermarkt.com/schnellsuche/ergebnis/schnellsuche?query="&amp;SUBSTITUTE(A908," ","+"),"Search Transfermarkt")</f>
        <v>Search Transfermarkt</v>
      </c>
    </row>
    <row r="909" customFormat="false" ht="23.85" hidden="false" customHeight="false" outlineLevel="0" collapsed="false">
      <c r="A909" s="15" t="s">
        <v>2637</v>
      </c>
      <c r="B909" s="15" t="s">
        <v>81</v>
      </c>
      <c r="C909" s="15" t="s">
        <v>455</v>
      </c>
      <c r="D909" s="15" t="n">
        <v>3</v>
      </c>
      <c r="E909" s="15" t="s">
        <v>1036</v>
      </c>
      <c r="F909" s="15" t="s">
        <v>170</v>
      </c>
      <c r="G909" s="15" t="n">
        <v>22</v>
      </c>
      <c r="H909" s="15" t="n">
        <v>1474</v>
      </c>
      <c r="I909" s="15" t="n">
        <v>2</v>
      </c>
      <c r="J909" s="15" t="n">
        <v>12</v>
      </c>
      <c r="K909" s="15" t="n">
        <v>148</v>
      </c>
      <c r="L909" s="15" t="n">
        <v>94</v>
      </c>
      <c r="M909" s="15" t="n">
        <v>30</v>
      </c>
      <c r="N909" s="15" t="n">
        <v>0</v>
      </c>
      <c r="O909" s="15" t="n">
        <v>0</v>
      </c>
      <c r="P909" s="16" t="n">
        <v>0</v>
      </c>
      <c r="Q909" s="15" t="n">
        <v>0</v>
      </c>
      <c r="R909" s="15" t="n">
        <v>0</v>
      </c>
      <c r="S909" s="17" t="n">
        <v>61636</v>
      </c>
      <c r="T909" s="15" t="s">
        <v>164</v>
      </c>
      <c r="U909" s="15" t="n">
        <v>2026</v>
      </c>
      <c r="V909" s="15" t="s">
        <v>1037</v>
      </c>
      <c r="W909" s="18" t="s">
        <v>139</v>
      </c>
      <c r="X909" s="18" t="s">
        <v>407</v>
      </c>
      <c r="Y909" s="15" t="s">
        <v>600</v>
      </c>
      <c r="Z909" s="15" t="s">
        <v>600</v>
      </c>
      <c r="AA909" s="19" t="str">
        <f aca="false">HYPERLINK("https://www.transfermarkt.com/schnellsuche/ergebnis/schnellsuche?query="&amp;SUBSTITUTE(A909," ","+"),"Search Transfermarkt")</f>
        <v>Search Transfermarkt</v>
      </c>
    </row>
    <row r="910" customFormat="false" ht="23.85" hidden="false" customHeight="false" outlineLevel="0" collapsed="false">
      <c r="A910" s="15" t="s">
        <v>2638</v>
      </c>
      <c r="B910" s="15" t="s">
        <v>94</v>
      </c>
      <c r="C910" s="15" t="s">
        <v>1244</v>
      </c>
      <c r="D910" s="15" t="n">
        <v>3</v>
      </c>
      <c r="E910" s="15" t="s">
        <v>2639</v>
      </c>
      <c r="F910" s="15" t="s">
        <v>163</v>
      </c>
      <c r="G910" s="15" t="n">
        <v>18</v>
      </c>
      <c r="H910" s="15" t="n">
        <v>1910</v>
      </c>
      <c r="I910" s="15" t="n">
        <v>9</v>
      </c>
      <c r="J910" s="15" t="n">
        <v>9</v>
      </c>
      <c r="K910" s="15" t="n">
        <v>53</v>
      </c>
      <c r="L910" s="15" t="n">
        <v>79</v>
      </c>
      <c r="M910" s="15" t="n">
        <v>11</v>
      </c>
      <c r="N910" s="15" t="n">
        <v>0</v>
      </c>
      <c r="O910" s="15" t="n">
        <v>0</v>
      </c>
      <c r="P910" s="16" t="n">
        <v>0</v>
      </c>
      <c r="Q910" s="15" t="n">
        <v>0</v>
      </c>
      <c r="R910" s="15" t="n">
        <v>0</v>
      </c>
      <c r="S910" s="17" t="n">
        <v>105359</v>
      </c>
      <c r="T910" s="15" t="s">
        <v>137</v>
      </c>
      <c r="U910" s="15" t="n">
        <v>2027</v>
      </c>
      <c r="V910" s="15" t="s">
        <v>2640</v>
      </c>
      <c r="W910" s="18" t="s">
        <v>139</v>
      </c>
      <c r="X910" s="18" t="s">
        <v>226</v>
      </c>
      <c r="Y910" s="15" t="s">
        <v>600</v>
      </c>
      <c r="Z910" s="15" t="s">
        <v>600</v>
      </c>
      <c r="AA910" s="19" t="str">
        <f aca="false">HYPERLINK("https://www.transfermarkt.com/schnellsuche/ergebnis/schnellsuche?query="&amp;SUBSTITUTE(A910," ","+"),"Search Transfermarkt")</f>
        <v>Search Transfermarkt</v>
      </c>
    </row>
    <row r="911" customFormat="false" ht="23.85" hidden="false" customHeight="false" outlineLevel="0" collapsed="false">
      <c r="A911" s="15" t="s">
        <v>2641</v>
      </c>
      <c r="B911" s="15" t="s">
        <v>102</v>
      </c>
      <c r="C911" s="15" t="s">
        <v>2096</v>
      </c>
      <c r="D911" s="15" t="n">
        <v>4</v>
      </c>
      <c r="E911" s="15" t="s">
        <v>2642</v>
      </c>
      <c r="F911" s="15" t="s">
        <v>170</v>
      </c>
      <c r="G911" s="15" t="n">
        <v>24</v>
      </c>
      <c r="H911" s="15" t="n">
        <v>915</v>
      </c>
      <c r="I911" s="15" t="n">
        <v>10</v>
      </c>
      <c r="J911" s="15" t="n">
        <v>5</v>
      </c>
      <c r="K911" s="15" t="n">
        <v>134</v>
      </c>
      <c r="L911" s="15" t="n">
        <v>91</v>
      </c>
      <c r="M911" s="15" t="n">
        <v>36</v>
      </c>
      <c r="N911" s="15" t="n">
        <v>0</v>
      </c>
      <c r="O911" s="15" t="n">
        <v>0</v>
      </c>
      <c r="P911" s="16" t="n">
        <v>0</v>
      </c>
      <c r="Q911" s="15" t="n">
        <v>0</v>
      </c>
      <c r="R911" s="15" t="n">
        <v>0</v>
      </c>
      <c r="S911" s="17" t="n">
        <v>14850</v>
      </c>
      <c r="T911" s="15" t="s">
        <v>137</v>
      </c>
      <c r="U911" s="15" t="n">
        <v>2027</v>
      </c>
      <c r="V911" s="15" t="s">
        <v>2643</v>
      </c>
      <c r="W911" s="18" t="s">
        <v>139</v>
      </c>
      <c r="X911" s="18" t="s">
        <v>453</v>
      </c>
      <c r="Y911" s="15" t="s">
        <v>600</v>
      </c>
      <c r="Z911" s="15" t="s">
        <v>600</v>
      </c>
      <c r="AA911" s="19" t="str">
        <f aca="false">HYPERLINK("https://www.transfermarkt.com/schnellsuche/ergebnis/schnellsuche?query="&amp;SUBSTITUTE(A911," ","+"),"Search Transfermarkt")</f>
        <v>Search Transfermarkt</v>
      </c>
    </row>
    <row r="912" customFormat="false" ht="23.85" hidden="false" customHeight="false" outlineLevel="0" collapsed="false">
      <c r="A912" s="15" t="s">
        <v>2644</v>
      </c>
      <c r="B912" s="15" t="s">
        <v>104</v>
      </c>
      <c r="C912" s="15" t="s">
        <v>313</v>
      </c>
      <c r="D912" s="15" t="n">
        <v>3</v>
      </c>
      <c r="E912" s="15" t="s">
        <v>2645</v>
      </c>
      <c r="F912" s="15" t="s">
        <v>170</v>
      </c>
      <c r="G912" s="15" t="n">
        <v>25</v>
      </c>
      <c r="H912" s="15" t="n">
        <v>1580</v>
      </c>
      <c r="I912" s="15" t="n">
        <v>2</v>
      </c>
      <c r="J912" s="15" t="n">
        <v>4</v>
      </c>
      <c r="K912" s="15" t="n">
        <v>130</v>
      </c>
      <c r="L912" s="15" t="n">
        <v>52</v>
      </c>
      <c r="M912" s="15" t="n">
        <v>47</v>
      </c>
      <c r="N912" s="15" t="n">
        <v>0</v>
      </c>
      <c r="O912" s="15" t="n">
        <v>0</v>
      </c>
      <c r="P912" s="16" t="n">
        <v>0</v>
      </c>
      <c r="Q912" s="15" t="n">
        <v>0</v>
      </c>
      <c r="R912" s="15" t="n">
        <v>0</v>
      </c>
      <c r="S912" s="17" t="n">
        <v>17849</v>
      </c>
      <c r="T912" s="15" t="s">
        <v>186</v>
      </c>
      <c r="U912" s="15" t="n">
        <v>2029</v>
      </c>
      <c r="V912" s="15" t="s">
        <v>2646</v>
      </c>
      <c r="W912" s="18" t="s">
        <v>188</v>
      </c>
      <c r="X912" s="18" t="s">
        <v>274</v>
      </c>
      <c r="Y912" s="15" t="s">
        <v>600</v>
      </c>
      <c r="Z912" s="15" t="s">
        <v>600</v>
      </c>
      <c r="AA912" s="19" t="str">
        <f aca="false">HYPERLINK("https://www.transfermarkt.com/schnellsuche/ergebnis/schnellsuche?query="&amp;SUBSTITUTE(A912," ","+"),"Search Transfermarkt")</f>
        <v>Search Transfermarkt</v>
      </c>
    </row>
    <row r="913" customFormat="false" ht="23.85" hidden="false" customHeight="false" outlineLevel="0" collapsed="false">
      <c r="A913" s="15" t="s">
        <v>2647</v>
      </c>
      <c r="B913" s="15" t="s">
        <v>69</v>
      </c>
      <c r="C913" s="15" t="s">
        <v>1105</v>
      </c>
      <c r="D913" s="15" t="n">
        <v>2</v>
      </c>
      <c r="E913" s="15" t="s">
        <v>2648</v>
      </c>
      <c r="F913" s="15" t="s">
        <v>170</v>
      </c>
      <c r="G913" s="15" t="n">
        <v>23</v>
      </c>
      <c r="H913" s="15" t="n">
        <v>1502</v>
      </c>
      <c r="I913" s="15" t="n">
        <v>2</v>
      </c>
      <c r="J913" s="15" t="n">
        <v>4</v>
      </c>
      <c r="K913" s="15" t="n">
        <v>164</v>
      </c>
      <c r="L913" s="15" t="n">
        <v>93</v>
      </c>
      <c r="M913" s="15" t="n">
        <v>47</v>
      </c>
      <c r="N913" s="15" t="n">
        <v>0</v>
      </c>
      <c r="O913" s="15" t="n">
        <v>0</v>
      </c>
      <c r="P913" s="16" t="n">
        <v>0</v>
      </c>
      <c r="Q913" s="15" t="n">
        <v>0</v>
      </c>
      <c r="R913" s="15" t="n">
        <v>0</v>
      </c>
      <c r="S913" s="17" t="n">
        <v>25422</v>
      </c>
      <c r="T913" s="15" t="s">
        <v>186</v>
      </c>
      <c r="U913" s="15" t="n">
        <v>2028</v>
      </c>
      <c r="V913" s="15" t="s">
        <v>2649</v>
      </c>
      <c r="W913" s="18" t="s">
        <v>188</v>
      </c>
      <c r="X913" s="18" t="s">
        <v>140</v>
      </c>
      <c r="Y913" s="15" t="s">
        <v>600</v>
      </c>
      <c r="Z913" s="15" t="s">
        <v>600</v>
      </c>
      <c r="AA913" s="19" t="str">
        <f aca="false">HYPERLINK("https://www.transfermarkt.com/schnellsuche/ergebnis/schnellsuche?query="&amp;SUBSTITUTE(A913," ","+"),"Search Transfermarkt")</f>
        <v>Search Transfermarkt</v>
      </c>
    </row>
    <row r="914" customFormat="false" ht="23.85" hidden="false" customHeight="false" outlineLevel="0" collapsed="false">
      <c r="A914" s="15" t="s">
        <v>2650</v>
      </c>
      <c r="B914" s="15" t="s">
        <v>103</v>
      </c>
      <c r="C914" s="15" t="s">
        <v>2234</v>
      </c>
      <c r="D914" s="15" t="n">
        <v>2</v>
      </c>
      <c r="E914" s="15" t="s">
        <v>2651</v>
      </c>
      <c r="F914" s="15" t="s">
        <v>170</v>
      </c>
      <c r="G914" s="15" t="n">
        <v>17</v>
      </c>
      <c r="H914" s="15" t="n">
        <v>2265</v>
      </c>
      <c r="I914" s="15" t="n">
        <v>7</v>
      </c>
      <c r="J914" s="15" t="n">
        <v>10</v>
      </c>
      <c r="K914" s="15" t="n">
        <v>157</v>
      </c>
      <c r="L914" s="15" t="n">
        <v>90</v>
      </c>
      <c r="M914" s="15" t="n">
        <v>37</v>
      </c>
      <c r="N914" s="15" t="n">
        <v>0</v>
      </c>
      <c r="O914" s="15" t="n">
        <v>0</v>
      </c>
      <c r="P914" s="16" t="n">
        <v>0</v>
      </c>
      <c r="Q914" s="15" t="n">
        <v>0</v>
      </c>
      <c r="R914" s="15" t="n">
        <v>0</v>
      </c>
      <c r="S914" s="17" t="n">
        <v>28873</v>
      </c>
      <c r="T914" s="15" t="s">
        <v>164</v>
      </c>
      <c r="U914" s="15" t="n">
        <v>2026</v>
      </c>
      <c r="V914" s="15" t="s">
        <v>2652</v>
      </c>
      <c r="W914" s="18" t="s">
        <v>147</v>
      </c>
      <c r="X914" s="18" t="s">
        <v>481</v>
      </c>
      <c r="Y914" s="15" t="s">
        <v>600</v>
      </c>
      <c r="Z914" s="15" t="s">
        <v>600</v>
      </c>
      <c r="AA914" s="19" t="str">
        <f aca="false">HYPERLINK("https://www.transfermarkt.com/schnellsuche/ergebnis/schnellsuche?query="&amp;SUBSTITUTE(A914," ","+"),"Search Transfermarkt")</f>
        <v>Search Transfermarkt</v>
      </c>
    </row>
    <row r="915" customFormat="false" ht="23.85" hidden="false" customHeight="false" outlineLevel="0" collapsed="false">
      <c r="A915" s="15" t="s">
        <v>2653</v>
      </c>
      <c r="B915" s="15" t="s">
        <v>80</v>
      </c>
      <c r="C915" s="15" t="s">
        <v>1931</v>
      </c>
      <c r="D915" s="15" t="n">
        <v>3</v>
      </c>
      <c r="E915" s="15" t="s">
        <v>2654</v>
      </c>
      <c r="F915" s="15" t="s">
        <v>170</v>
      </c>
      <c r="G915" s="15" t="n">
        <v>18</v>
      </c>
      <c r="H915" s="15" t="n">
        <v>2185</v>
      </c>
      <c r="I915" s="15" t="n">
        <v>2</v>
      </c>
      <c r="J915" s="15" t="n">
        <v>14</v>
      </c>
      <c r="K915" s="15" t="n">
        <v>110</v>
      </c>
      <c r="L915" s="15" t="n">
        <v>52</v>
      </c>
      <c r="M915" s="15" t="n">
        <v>33</v>
      </c>
      <c r="N915" s="15" t="n">
        <v>0</v>
      </c>
      <c r="O915" s="15" t="n">
        <v>0</v>
      </c>
      <c r="P915" s="16" t="n">
        <v>0</v>
      </c>
      <c r="Q915" s="15" t="n">
        <v>0</v>
      </c>
      <c r="R915" s="15" t="n">
        <v>0</v>
      </c>
      <c r="S915" s="17" t="n">
        <v>0</v>
      </c>
      <c r="T915" s="15" t="s">
        <v>186</v>
      </c>
      <c r="U915" s="15" t="n">
        <v>2028</v>
      </c>
      <c r="V915" s="15" t="s">
        <v>2655</v>
      </c>
      <c r="W915" s="18" t="s">
        <v>188</v>
      </c>
      <c r="X915" s="18" t="s">
        <v>304</v>
      </c>
      <c r="Y915" s="15" t="s">
        <v>600</v>
      </c>
      <c r="Z915" s="15" t="s">
        <v>600</v>
      </c>
      <c r="AA915" s="19" t="str">
        <f aca="false">HYPERLINK("https://www.transfermarkt.com/schnellsuche/ergebnis/schnellsuche?query="&amp;SUBSTITUTE(A915," ","+"),"Search Transfermarkt")</f>
        <v>Search Transfermarkt</v>
      </c>
    </row>
    <row r="916" customFormat="false" ht="23.85" hidden="false" customHeight="false" outlineLevel="0" collapsed="false">
      <c r="A916" s="15" t="s">
        <v>2656</v>
      </c>
      <c r="B916" s="15" t="s">
        <v>81</v>
      </c>
      <c r="C916" s="15" t="s">
        <v>567</v>
      </c>
      <c r="D916" s="15" t="n">
        <v>3</v>
      </c>
      <c r="E916" s="15" t="s">
        <v>2657</v>
      </c>
      <c r="F916" s="15" t="s">
        <v>136</v>
      </c>
      <c r="G916" s="15" t="n">
        <v>17</v>
      </c>
      <c r="H916" s="15" t="n">
        <v>1549</v>
      </c>
      <c r="I916" s="15" t="n">
        <v>3</v>
      </c>
      <c r="J916" s="15" t="n">
        <v>0</v>
      </c>
      <c r="K916" s="15" t="n">
        <v>70</v>
      </c>
      <c r="L916" s="15" t="n">
        <v>40</v>
      </c>
      <c r="M916" s="15" t="n">
        <v>110</v>
      </c>
      <c r="N916" s="15" t="n">
        <v>0</v>
      </c>
      <c r="O916" s="15" t="n">
        <v>0</v>
      </c>
      <c r="P916" s="16" t="n">
        <v>0</v>
      </c>
      <c r="Q916" s="15" t="n">
        <v>0</v>
      </c>
      <c r="R916" s="15" t="n">
        <v>0</v>
      </c>
      <c r="S916" s="17" t="n">
        <v>42711</v>
      </c>
      <c r="T916" s="15" t="s">
        <v>137</v>
      </c>
      <c r="U916" s="15" t="n">
        <v>2026</v>
      </c>
      <c r="V916" s="15" t="s">
        <v>2658</v>
      </c>
      <c r="W916" s="18" t="s">
        <v>147</v>
      </c>
      <c r="X916" s="18" t="s">
        <v>407</v>
      </c>
      <c r="Y916" s="15" t="s">
        <v>600</v>
      </c>
      <c r="Z916" s="15" t="s">
        <v>600</v>
      </c>
      <c r="AA916" s="19" t="str">
        <f aca="false">HYPERLINK("https://www.transfermarkt.com/schnellsuche/ergebnis/schnellsuche?query="&amp;SUBSTITUTE(A916," ","+"),"Search Transfermarkt")</f>
        <v>Search Transfermarkt</v>
      </c>
    </row>
    <row r="917" customFormat="false" ht="23.85" hidden="false" customHeight="false" outlineLevel="0" collapsed="false">
      <c r="A917" s="15" t="s">
        <v>2659</v>
      </c>
      <c r="B917" s="15" t="s">
        <v>94</v>
      </c>
      <c r="C917" s="15" t="s">
        <v>351</v>
      </c>
      <c r="D917" s="15" t="n">
        <v>2</v>
      </c>
      <c r="E917" s="15" t="s">
        <v>2660</v>
      </c>
      <c r="F917" s="15" t="s">
        <v>170</v>
      </c>
      <c r="G917" s="15" t="n">
        <v>21</v>
      </c>
      <c r="H917" s="15" t="n">
        <v>1911</v>
      </c>
      <c r="I917" s="15" t="n">
        <v>8</v>
      </c>
      <c r="J917" s="15" t="n">
        <v>6</v>
      </c>
      <c r="K917" s="15" t="n">
        <v>176</v>
      </c>
      <c r="L917" s="15" t="n">
        <v>76</v>
      </c>
      <c r="M917" s="15" t="n">
        <v>49</v>
      </c>
      <c r="N917" s="15" t="n">
        <v>0</v>
      </c>
      <c r="O917" s="15" t="n">
        <v>0</v>
      </c>
      <c r="P917" s="16" t="n">
        <v>0</v>
      </c>
      <c r="Q917" s="15" t="n">
        <v>0</v>
      </c>
      <c r="R917" s="15" t="n">
        <v>0</v>
      </c>
      <c r="S917" s="17" t="n">
        <v>23048</v>
      </c>
      <c r="T917" s="15" t="s">
        <v>164</v>
      </c>
      <c r="U917" s="15" t="n">
        <v>2029</v>
      </c>
      <c r="V917" s="15" t="s">
        <v>2661</v>
      </c>
      <c r="W917" s="18" t="s">
        <v>139</v>
      </c>
      <c r="X917" s="18" t="s">
        <v>226</v>
      </c>
      <c r="Y917" s="15" t="s">
        <v>600</v>
      </c>
      <c r="Z917" s="15" t="s">
        <v>600</v>
      </c>
      <c r="AA917" s="19" t="str">
        <f aca="false">HYPERLINK("https://www.transfermarkt.com/schnellsuche/ergebnis/schnellsuche?query="&amp;SUBSTITUTE(A917," ","+"),"Search Transfermarkt")</f>
        <v>Search Transfermarkt</v>
      </c>
    </row>
    <row r="918" customFormat="false" ht="23.85" hidden="false" customHeight="false" outlineLevel="0" collapsed="false">
      <c r="A918" s="15" t="s">
        <v>2662</v>
      </c>
      <c r="B918" s="15" t="s">
        <v>102</v>
      </c>
      <c r="C918" s="15" t="s">
        <v>2096</v>
      </c>
      <c r="D918" s="15" t="n">
        <v>3</v>
      </c>
      <c r="E918" s="15" t="s">
        <v>760</v>
      </c>
      <c r="F918" s="15" t="s">
        <v>163</v>
      </c>
      <c r="G918" s="15" t="n">
        <v>22</v>
      </c>
      <c r="H918" s="15" t="n">
        <v>2532</v>
      </c>
      <c r="I918" s="15" t="n">
        <v>14</v>
      </c>
      <c r="J918" s="15" t="n">
        <v>2</v>
      </c>
      <c r="K918" s="15" t="n">
        <v>45</v>
      </c>
      <c r="L918" s="15" t="n">
        <v>98</v>
      </c>
      <c r="M918" s="15" t="n">
        <v>15</v>
      </c>
      <c r="N918" s="15" t="n">
        <v>0</v>
      </c>
      <c r="O918" s="15" t="n">
        <v>0</v>
      </c>
      <c r="P918" s="16" t="n">
        <v>0</v>
      </c>
      <c r="Q918" s="15" t="n">
        <v>0</v>
      </c>
      <c r="R918" s="15" t="n">
        <v>0</v>
      </c>
      <c r="S918" s="17" t="n">
        <v>144508</v>
      </c>
      <c r="T918" s="15" t="s">
        <v>164</v>
      </c>
      <c r="U918" s="15" t="n">
        <v>2028</v>
      </c>
      <c r="V918" s="15" t="s">
        <v>761</v>
      </c>
      <c r="W918" s="18" t="s">
        <v>139</v>
      </c>
      <c r="X918" s="18" t="s">
        <v>453</v>
      </c>
      <c r="Y918" s="15" t="s">
        <v>600</v>
      </c>
      <c r="Z918" s="15" t="s">
        <v>600</v>
      </c>
      <c r="AA918" s="19" t="str">
        <f aca="false">HYPERLINK("https://www.transfermarkt.com/schnellsuche/ergebnis/schnellsuche?query="&amp;SUBSTITUTE(A918," ","+"),"Search Transfermarkt")</f>
        <v>Search Transfermarkt</v>
      </c>
    </row>
    <row r="919" customFormat="false" ht="23.85" hidden="false" customHeight="false" outlineLevel="0" collapsed="false">
      <c r="A919" s="15" t="s">
        <v>2663</v>
      </c>
      <c r="B919" s="15" t="s">
        <v>85</v>
      </c>
      <c r="C919" s="15" t="s">
        <v>330</v>
      </c>
      <c r="D919" s="15" t="n">
        <v>4</v>
      </c>
      <c r="E919" s="15" t="s">
        <v>2664</v>
      </c>
      <c r="F919" s="15" t="s">
        <v>170</v>
      </c>
      <c r="G919" s="15" t="n">
        <v>19</v>
      </c>
      <c r="H919" s="15" t="n">
        <v>2305</v>
      </c>
      <c r="I919" s="15" t="n">
        <v>5</v>
      </c>
      <c r="J919" s="15" t="n">
        <v>4</v>
      </c>
      <c r="K919" s="15" t="n">
        <v>117</v>
      </c>
      <c r="L919" s="15" t="n">
        <v>81</v>
      </c>
      <c r="M919" s="15" t="n">
        <v>42</v>
      </c>
      <c r="N919" s="15" t="n">
        <v>0</v>
      </c>
      <c r="O919" s="15" t="n">
        <v>0</v>
      </c>
      <c r="P919" s="16" t="n">
        <v>0</v>
      </c>
      <c r="Q919" s="15" t="n">
        <v>0</v>
      </c>
      <c r="R919" s="15" t="n">
        <v>0</v>
      </c>
      <c r="S919" s="17" t="n">
        <v>108218</v>
      </c>
      <c r="T919" s="15" t="s">
        <v>164</v>
      </c>
      <c r="U919" s="15" t="n">
        <v>2027</v>
      </c>
      <c r="V919" s="15" t="s">
        <v>2665</v>
      </c>
      <c r="W919" s="18" t="s">
        <v>139</v>
      </c>
      <c r="X919" s="18" t="s">
        <v>265</v>
      </c>
      <c r="Y919" s="15" t="s">
        <v>600</v>
      </c>
      <c r="Z919" s="15" t="s">
        <v>600</v>
      </c>
      <c r="AA919" s="19" t="str">
        <f aca="false">HYPERLINK("https://www.transfermarkt.com/schnellsuche/ergebnis/schnellsuche?query="&amp;SUBSTITUTE(A919," ","+"),"Search Transfermarkt")</f>
        <v>Search Transfermarkt</v>
      </c>
    </row>
    <row r="920" customFormat="false" ht="23.85" hidden="false" customHeight="false" outlineLevel="0" collapsed="false">
      <c r="A920" s="15" t="s">
        <v>2666</v>
      </c>
      <c r="B920" s="15" t="s">
        <v>94</v>
      </c>
      <c r="C920" s="15" t="s">
        <v>628</v>
      </c>
      <c r="D920" s="15" t="n">
        <v>3</v>
      </c>
      <c r="E920" s="15" t="s">
        <v>352</v>
      </c>
      <c r="F920" s="15" t="s">
        <v>157</v>
      </c>
      <c r="G920" s="15" t="n">
        <v>26</v>
      </c>
      <c r="H920" s="15" t="n">
        <v>1528</v>
      </c>
      <c r="I920" s="15" t="n">
        <v>0</v>
      </c>
      <c r="J920" s="15" t="n">
        <v>0</v>
      </c>
      <c r="K920" s="15" t="n">
        <v>16</v>
      </c>
      <c r="L920" s="15" t="n">
        <v>5</v>
      </c>
      <c r="M920" s="15" t="n">
        <v>3</v>
      </c>
      <c r="N920" s="15" t="n">
        <v>72</v>
      </c>
      <c r="O920" s="15" t="n">
        <v>22</v>
      </c>
      <c r="P920" s="16" t="n">
        <v>74.8</v>
      </c>
      <c r="Q920" s="15" t="n">
        <v>23.4</v>
      </c>
      <c r="R920" s="15" t="n">
        <v>4</v>
      </c>
      <c r="S920" s="17" t="n">
        <v>73279</v>
      </c>
      <c r="T920" s="15" t="s">
        <v>164</v>
      </c>
      <c r="U920" s="15" t="n">
        <v>2027</v>
      </c>
      <c r="V920" s="15" t="s">
        <v>353</v>
      </c>
      <c r="W920" s="18" t="s">
        <v>139</v>
      </c>
      <c r="X920" s="18" t="s">
        <v>226</v>
      </c>
      <c r="Y920" s="15" t="s">
        <v>600</v>
      </c>
      <c r="Z920" s="15" t="s">
        <v>600</v>
      </c>
      <c r="AA920" s="19" t="str">
        <f aca="false">HYPERLINK("https://www.transfermarkt.com/schnellsuche/ergebnis/schnellsuche?query="&amp;SUBSTITUTE(A920," ","+"),"Search Transfermarkt")</f>
        <v>Search Transfermarkt</v>
      </c>
    </row>
    <row r="921" customFormat="false" ht="23.85" hidden="false" customHeight="false" outlineLevel="0" collapsed="false">
      <c r="A921" s="15" t="s">
        <v>2667</v>
      </c>
      <c r="B921" s="15" t="s">
        <v>81</v>
      </c>
      <c r="C921" s="15" t="s">
        <v>567</v>
      </c>
      <c r="D921" s="15" t="n">
        <v>2</v>
      </c>
      <c r="E921" s="15" t="s">
        <v>1159</v>
      </c>
      <c r="F921" s="15" t="s">
        <v>170</v>
      </c>
      <c r="G921" s="15" t="n">
        <v>17</v>
      </c>
      <c r="H921" s="15" t="n">
        <v>2244</v>
      </c>
      <c r="I921" s="15" t="n">
        <v>3</v>
      </c>
      <c r="J921" s="15" t="n">
        <v>8</v>
      </c>
      <c r="K921" s="15" t="n">
        <v>168</v>
      </c>
      <c r="L921" s="15" t="n">
        <v>52</v>
      </c>
      <c r="M921" s="15" t="n">
        <v>39</v>
      </c>
      <c r="N921" s="15" t="n">
        <v>0</v>
      </c>
      <c r="O921" s="15" t="n">
        <v>0</v>
      </c>
      <c r="P921" s="16" t="n">
        <v>0</v>
      </c>
      <c r="Q921" s="15" t="n">
        <v>0</v>
      </c>
      <c r="R921" s="15" t="n">
        <v>0</v>
      </c>
      <c r="S921" s="17" t="n">
        <v>80239</v>
      </c>
      <c r="T921" s="15" t="s">
        <v>137</v>
      </c>
      <c r="U921" s="15" t="n">
        <v>2028</v>
      </c>
      <c r="V921" s="15" t="s">
        <v>1160</v>
      </c>
      <c r="W921" s="18" t="s">
        <v>147</v>
      </c>
      <c r="X921" s="18" t="s">
        <v>407</v>
      </c>
      <c r="Y921" s="15" t="s">
        <v>600</v>
      </c>
      <c r="Z921" s="15" t="s">
        <v>600</v>
      </c>
      <c r="AA921" s="19" t="str">
        <f aca="false">HYPERLINK("https://www.transfermarkt.com/schnellsuche/ergebnis/schnellsuche?query="&amp;SUBSTITUTE(A921," ","+"),"Search Transfermarkt")</f>
        <v>Search Transfermarkt</v>
      </c>
    </row>
    <row r="922" customFormat="false" ht="23.85" hidden="false" customHeight="false" outlineLevel="0" collapsed="false">
      <c r="A922" s="15" t="s">
        <v>2668</v>
      </c>
      <c r="B922" s="15" t="s">
        <v>85</v>
      </c>
      <c r="C922" s="15" t="s">
        <v>1464</v>
      </c>
      <c r="D922" s="15" t="n">
        <v>2</v>
      </c>
      <c r="E922" s="15" t="s">
        <v>2303</v>
      </c>
      <c r="F922" s="15" t="s">
        <v>170</v>
      </c>
      <c r="G922" s="15" t="n">
        <v>18</v>
      </c>
      <c r="H922" s="15" t="n">
        <v>1953</v>
      </c>
      <c r="I922" s="15" t="n">
        <v>6</v>
      </c>
      <c r="J922" s="15" t="n">
        <v>6</v>
      </c>
      <c r="K922" s="15" t="n">
        <v>118</v>
      </c>
      <c r="L922" s="15" t="n">
        <v>97</v>
      </c>
      <c r="M922" s="15" t="n">
        <v>33</v>
      </c>
      <c r="N922" s="15" t="n">
        <v>0</v>
      </c>
      <c r="O922" s="15" t="n">
        <v>0</v>
      </c>
      <c r="P922" s="16" t="n">
        <v>0</v>
      </c>
      <c r="Q922" s="15" t="n">
        <v>0</v>
      </c>
      <c r="R922" s="15" t="n">
        <v>0</v>
      </c>
      <c r="S922" s="17" t="n">
        <v>0</v>
      </c>
      <c r="T922" s="15" t="s">
        <v>164</v>
      </c>
      <c r="U922" s="15" t="n">
        <v>2029</v>
      </c>
      <c r="V922" s="15" t="s">
        <v>2304</v>
      </c>
      <c r="W922" s="18" t="s">
        <v>139</v>
      </c>
      <c r="X922" s="18" t="s">
        <v>265</v>
      </c>
      <c r="Y922" s="15" t="s">
        <v>600</v>
      </c>
      <c r="Z922" s="15" t="s">
        <v>600</v>
      </c>
      <c r="AA922" s="19" t="str">
        <f aca="false">HYPERLINK("https://www.transfermarkt.com/schnellsuche/ergebnis/schnellsuche?query="&amp;SUBSTITUTE(A922," ","+"),"Search Transfermarkt")</f>
        <v>Search Transfermarkt</v>
      </c>
    </row>
    <row r="923" customFormat="false" ht="23.85" hidden="false" customHeight="false" outlineLevel="0" collapsed="false">
      <c r="A923" s="15" t="s">
        <v>2669</v>
      </c>
      <c r="B923" s="15" t="s">
        <v>87</v>
      </c>
      <c r="C923" s="15" t="s">
        <v>1817</v>
      </c>
      <c r="D923" s="15" t="n">
        <v>2</v>
      </c>
      <c r="E923" s="15" t="s">
        <v>2208</v>
      </c>
      <c r="F923" s="15" t="s">
        <v>170</v>
      </c>
      <c r="G923" s="15" t="n">
        <v>22</v>
      </c>
      <c r="H923" s="15" t="n">
        <v>2490</v>
      </c>
      <c r="I923" s="15" t="n">
        <v>6</v>
      </c>
      <c r="J923" s="15" t="n">
        <v>6</v>
      </c>
      <c r="K923" s="15" t="n">
        <v>155</v>
      </c>
      <c r="L923" s="15" t="n">
        <v>71</v>
      </c>
      <c r="M923" s="15" t="n">
        <v>34</v>
      </c>
      <c r="N923" s="15" t="n">
        <v>0</v>
      </c>
      <c r="O923" s="15" t="n">
        <v>0</v>
      </c>
      <c r="P923" s="16" t="n">
        <v>0</v>
      </c>
      <c r="Q923" s="15" t="n">
        <v>0</v>
      </c>
      <c r="R923" s="15" t="n">
        <v>0</v>
      </c>
      <c r="S923" s="17" t="n">
        <v>117908</v>
      </c>
      <c r="T923" s="15" t="s">
        <v>137</v>
      </c>
      <c r="U923" s="15" t="n">
        <v>2027</v>
      </c>
      <c r="V923" s="15" t="s">
        <v>2209</v>
      </c>
      <c r="W923" s="18" t="s">
        <v>139</v>
      </c>
      <c r="X923" s="18" t="s">
        <v>341</v>
      </c>
      <c r="Y923" s="15" t="s">
        <v>600</v>
      </c>
      <c r="Z923" s="15" t="s">
        <v>600</v>
      </c>
      <c r="AA923" s="19" t="str">
        <f aca="false">HYPERLINK("https://www.transfermarkt.com/schnellsuche/ergebnis/schnellsuche?query="&amp;SUBSTITUTE(A923," ","+"),"Search Transfermarkt")</f>
        <v>Search Transfermarkt</v>
      </c>
    </row>
    <row r="924" customFormat="false" ht="23.85" hidden="false" customHeight="false" outlineLevel="0" collapsed="false">
      <c r="A924" s="15" t="s">
        <v>2670</v>
      </c>
      <c r="B924" s="15" t="s">
        <v>104</v>
      </c>
      <c r="C924" s="15" t="s">
        <v>1660</v>
      </c>
      <c r="D924" s="15" t="n">
        <v>3</v>
      </c>
      <c r="E924" s="15" t="s">
        <v>2671</v>
      </c>
      <c r="F924" s="15" t="s">
        <v>170</v>
      </c>
      <c r="G924" s="15" t="n">
        <v>17</v>
      </c>
      <c r="H924" s="15" t="n">
        <v>1245</v>
      </c>
      <c r="I924" s="15" t="n">
        <v>6</v>
      </c>
      <c r="J924" s="15" t="n">
        <v>7</v>
      </c>
      <c r="K924" s="15" t="n">
        <v>115</v>
      </c>
      <c r="L924" s="15" t="n">
        <v>93</v>
      </c>
      <c r="M924" s="15" t="n">
        <v>29</v>
      </c>
      <c r="N924" s="15" t="n">
        <v>0</v>
      </c>
      <c r="O924" s="15" t="n">
        <v>0</v>
      </c>
      <c r="P924" s="16" t="n">
        <v>0</v>
      </c>
      <c r="Q924" s="15" t="n">
        <v>0</v>
      </c>
      <c r="R924" s="15" t="n">
        <v>0</v>
      </c>
      <c r="S924" s="17" t="n">
        <v>109573</v>
      </c>
      <c r="T924" s="15" t="s">
        <v>137</v>
      </c>
      <c r="U924" s="15" t="n">
        <v>2027</v>
      </c>
      <c r="V924" s="15" t="s">
        <v>2672</v>
      </c>
      <c r="W924" s="18" t="s">
        <v>147</v>
      </c>
      <c r="X924" s="18" t="s">
        <v>274</v>
      </c>
      <c r="Y924" s="15" t="s">
        <v>600</v>
      </c>
      <c r="Z924" s="15" t="s">
        <v>600</v>
      </c>
      <c r="AA924" s="19" t="str">
        <f aca="false">HYPERLINK("https://www.transfermarkt.com/schnellsuche/ergebnis/schnellsuche?query="&amp;SUBSTITUTE(A924," ","+"),"Search Transfermarkt")</f>
        <v>Search Transfermarkt</v>
      </c>
    </row>
    <row r="925" customFormat="false" ht="23.85" hidden="false" customHeight="false" outlineLevel="0" collapsed="false">
      <c r="A925" s="15" t="s">
        <v>2673</v>
      </c>
      <c r="B925" s="15" t="s">
        <v>89</v>
      </c>
      <c r="C925" s="15" t="s">
        <v>203</v>
      </c>
      <c r="D925" s="15" t="n">
        <v>2</v>
      </c>
      <c r="E925" s="15" t="s">
        <v>2129</v>
      </c>
      <c r="F925" s="15" t="s">
        <v>170</v>
      </c>
      <c r="G925" s="15" t="n">
        <v>24</v>
      </c>
      <c r="H925" s="15" t="n">
        <v>2561</v>
      </c>
      <c r="I925" s="15" t="n">
        <v>8</v>
      </c>
      <c r="J925" s="15" t="n">
        <v>11</v>
      </c>
      <c r="K925" s="15" t="n">
        <v>109</v>
      </c>
      <c r="L925" s="15" t="n">
        <v>77</v>
      </c>
      <c r="M925" s="15" t="n">
        <v>44</v>
      </c>
      <c r="N925" s="15" t="n">
        <v>0</v>
      </c>
      <c r="O925" s="15" t="n">
        <v>0</v>
      </c>
      <c r="P925" s="16" t="n">
        <v>0</v>
      </c>
      <c r="Q925" s="15" t="n">
        <v>0</v>
      </c>
      <c r="R925" s="15" t="n">
        <v>0</v>
      </c>
      <c r="S925" s="17" t="n">
        <v>58745</v>
      </c>
      <c r="T925" s="15" t="s">
        <v>137</v>
      </c>
      <c r="U925" s="15" t="n">
        <v>2026</v>
      </c>
      <c r="V925" s="15" t="s">
        <v>2130</v>
      </c>
      <c r="W925" s="18" t="s">
        <v>139</v>
      </c>
      <c r="X925" s="18" t="s">
        <v>206</v>
      </c>
      <c r="Y925" s="15" t="s">
        <v>600</v>
      </c>
      <c r="Z925" s="15" t="s">
        <v>600</v>
      </c>
      <c r="AA925" s="19" t="str">
        <f aca="false">HYPERLINK("https://www.transfermarkt.com/schnellsuche/ergebnis/schnellsuche?query="&amp;SUBSTITUTE(A925," ","+"),"Search Transfermarkt")</f>
        <v>Search Transfermarkt</v>
      </c>
    </row>
    <row r="926" customFormat="false" ht="23.85" hidden="false" customHeight="false" outlineLevel="0" collapsed="false">
      <c r="A926" s="15" t="s">
        <v>2674</v>
      </c>
      <c r="B926" s="15" t="s">
        <v>94</v>
      </c>
      <c r="C926" s="15" t="s">
        <v>351</v>
      </c>
      <c r="D926" s="15" t="n">
        <v>3</v>
      </c>
      <c r="E926" s="15" t="s">
        <v>1955</v>
      </c>
      <c r="F926" s="15" t="s">
        <v>163</v>
      </c>
      <c r="G926" s="15" t="n">
        <v>22</v>
      </c>
      <c r="H926" s="15" t="n">
        <v>2108</v>
      </c>
      <c r="I926" s="15" t="n">
        <v>13</v>
      </c>
      <c r="J926" s="15" t="n">
        <v>9</v>
      </c>
      <c r="K926" s="15" t="n">
        <v>40</v>
      </c>
      <c r="L926" s="15" t="n">
        <v>93</v>
      </c>
      <c r="M926" s="15" t="n">
        <v>6</v>
      </c>
      <c r="N926" s="15" t="n">
        <v>0</v>
      </c>
      <c r="O926" s="15" t="n">
        <v>0</v>
      </c>
      <c r="P926" s="16" t="n">
        <v>0</v>
      </c>
      <c r="Q926" s="15" t="n">
        <v>0</v>
      </c>
      <c r="R926" s="15" t="n">
        <v>0</v>
      </c>
      <c r="S926" s="17" t="n">
        <v>134917</v>
      </c>
      <c r="T926" s="15" t="s">
        <v>137</v>
      </c>
      <c r="U926" s="15" t="n">
        <v>2029</v>
      </c>
      <c r="V926" s="15" t="s">
        <v>1956</v>
      </c>
      <c r="W926" s="18" t="s">
        <v>139</v>
      </c>
      <c r="X926" s="18" t="s">
        <v>226</v>
      </c>
      <c r="Y926" s="15" t="s">
        <v>600</v>
      </c>
      <c r="Z926" s="15" t="s">
        <v>600</v>
      </c>
      <c r="AA926" s="19" t="str">
        <f aca="false">HYPERLINK("https://www.transfermarkt.com/schnellsuche/ergebnis/schnellsuche?query="&amp;SUBSTITUTE(A926," ","+"),"Search Transfermarkt")</f>
        <v>Search Transfermarkt</v>
      </c>
    </row>
    <row r="927" customFormat="false" ht="23.85" hidden="false" customHeight="false" outlineLevel="0" collapsed="false">
      <c r="A927" s="15" t="s">
        <v>2675</v>
      </c>
      <c r="B927" s="15" t="s">
        <v>73</v>
      </c>
      <c r="C927" s="15" t="s">
        <v>2676</v>
      </c>
      <c r="D927" s="15" t="n">
        <v>2</v>
      </c>
      <c r="E927" s="15" t="s">
        <v>2677</v>
      </c>
      <c r="F927" s="15" t="s">
        <v>136</v>
      </c>
      <c r="G927" s="15" t="n">
        <v>20</v>
      </c>
      <c r="H927" s="15" t="n">
        <v>2153</v>
      </c>
      <c r="I927" s="15" t="n">
        <v>0</v>
      </c>
      <c r="J927" s="15" t="n">
        <v>4</v>
      </c>
      <c r="K927" s="15" t="n">
        <v>42</v>
      </c>
      <c r="L927" s="15" t="n">
        <v>37</v>
      </c>
      <c r="M927" s="15" t="n">
        <v>115</v>
      </c>
      <c r="N927" s="15" t="n">
        <v>0</v>
      </c>
      <c r="O927" s="15" t="n">
        <v>0</v>
      </c>
      <c r="P927" s="16" t="n">
        <v>0</v>
      </c>
      <c r="Q927" s="15" t="n">
        <v>0</v>
      </c>
      <c r="R927" s="15" t="n">
        <v>0</v>
      </c>
      <c r="S927" s="17" t="n">
        <v>53707</v>
      </c>
      <c r="T927" s="15" t="s">
        <v>164</v>
      </c>
      <c r="U927" s="15" t="n">
        <v>2029</v>
      </c>
      <c r="V927" s="15" t="s">
        <v>2678</v>
      </c>
      <c r="W927" s="18" t="s">
        <v>139</v>
      </c>
      <c r="X927" s="18" t="s">
        <v>172</v>
      </c>
      <c r="Y927" s="15" t="s">
        <v>600</v>
      </c>
      <c r="Z927" s="15" t="s">
        <v>600</v>
      </c>
      <c r="AA927" s="19" t="str">
        <f aca="false">HYPERLINK("https://www.transfermarkt.com/schnellsuche/ergebnis/schnellsuche?query="&amp;SUBSTITUTE(A927," ","+"),"Search Transfermarkt")</f>
        <v>Search Transfermarkt</v>
      </c>
    </row>
    <row r="928" customFormat="false" ht="23.85" hidden="false" customHeight="false" outlineLevel="0" collapsed="false">
      <c r="A928" s="15" t="s">
        <v>2679</v>
      </c>
      <c r="B928" s="15" t="s">
        <v>96</v>
      </c>
      <c r="C928" s="15" t="s">
        <v>665</v>
      </c>
      <c r="D928" s="15" t="n">
        <v>2</v>
      </c>
      <c r="E928" s="15" t="s">
        <v>2680</v>
      </c>
      <c r="F928" s="15" t="s">
        <v>136</v>
      </c>
      <c r="G928" s="15" t="n">
        <v>24</v>
      </c>
      <c r="H928" s="15" t="n">
        <v>2648</v>
      </c>
      <c r="I928" s="15" t="n">
        <v>0</v>
      </c>
      <c r="J928" s="15" t="n">
        <v>3</v>
      </c>
      <c r="K928" s="15" t="n">
        <v>61</v>
      </c>
      <c r="L928" s="15" t="n">
        <v>34</v>
      </c>
      <c r="M928" s="15" t="n">
        <v>99</v>
      </c>
      <c r="N928" s="15" t="n">
        <v>0</v>
      </c>
      <c r="O928" s="15" t="n">
        <v>0</v>
      </c>
      <c r="P928" s="16" t="n">
        <v>0</v>
      </c>
      <c r="Q928" s="15" t="n">
        <v>0</v>
      </c>
      <c r="R928" s="15" t="n">
        <v>0</v>
      </c>
      <c r="S928" s="17" t="n">
        <v>10559</v>
      </c>
      <c r="T928" s="15" t="s">
        <v>137</v>
      </c>
      <c r="U928" s="15" t="n">
        <v>2027</v>
      </c>
      <c r="V928" s="15" t="s">
        <v>2681</v>
      </c>
      <c r="W928" s="18" t="s">
        <v>139</v>
      </c>
      <c r="X928" s="18" t="s">
        <v>216</v>
      </c>
      <c r="Y928" s="15" t="s">
        <v>600</v>
      </c>
      <c r="Z928" s="15" t="s">
        <v>600</v>
      </c>
      <c r="AA928" s="19" t="str">
        <f aca="false">HYPERLINK("https://www.transfermarkt.com/schnellsuche/ergebnis/schnellsuche?query="&amp;SUBSTITUTE(A928," ","+"),"Search Transfermarkt")</f>
        <v>Search Transfermarkt</v>
      </c>
    </row>
    <row r="929" customFormat="false" ht="23.85" hidden="false" customHeight="false" outlineLevel="0" collapsed="false">
      <c r="A929" s="15" t="s">
        <v>2682</v>
      </c>
      <c r="B929" s="15" t="s">
        <v>76</v>
      </c>
      <c r="C929" s="15" t="s">
        <v>251</v>
      </c>
      <c r="D929" s="15" t="n">
        <v>2</v>
      </c>
      <c r="E929" s="15" t="s">
        <v>2683</v>
      </c>
      <c r="F929" s="15" t="s">
        <v>136</v>
      </c>
      <c r="G929" s="15" t="n">
        <v>18</v>
      </c>
      <c r="H929" s="15" t="n">
        <v>1089</v>
      </c>
      <c r="I929" s="15" t="n">
        <v>1</v>
      </c>
      <c r="J929" s="15" t="n">
        <v>1</v>
      </c>
      <c r="K929" s="15" t="n">
        <v>67</v>
      </c>
      <c r="L929" s="15" t="n">
        <v>44</v>
      </c>
      <c r="M929" s="15" t="n">
        <v>104</v>
      </c>
      <c r="N929" s="15" t="n">
        <v>0</v>
      </c>
      <c r="O929" s="15" t="n">
        <v>0</v>
      </c>
      <c r="P929" s="16" t="n">
        <v>0</v>
      </c>
      <c r="Q929" s="15" t="n">
        <v>0</v>
      </c>
      <c r="R929" s="15" t="n">
        <v>0</v>
      </c>
      <c r="S929" s="17" t="n">
        <v>149421</v>
      </c>
      <c r="T929" s="15" t="s">
        <v>137</v>
      </c>
      <c r="U929" s="15" t="n">
        <v>2026</v>
      </c>
      <c r="V929" s="15" t="s">
        <v>2684</v>
      </c>
      <c r="W929" s="18" t="s">
        <v>139</v>
      </c>
      <c r="X929" s="18" t="s">
        <v>241</v>
      </c>
      <c r="Y929" s="15" t="s">
        <v>600</v>
      </c>
      <c r="Z929" s="15" t="s">
        <v>600</v>
      </c>
      <c r="AA929" s="19" t="str">
        <f aca="false">HYPERLINK("https://www.transfermarkt.com/schnellsuche/ergebnis/schnellsuche?query="&amp;SUBSTITUTE(A929," ","+"),"Search Transfermarkt")</f>
        <v>Search Transfermarkt</v>
      </c>
    </row>
    <row r="930" customFormat="false" ht="23.85" hidden="false" customHeight="false" outlineLevel="0" collapsed="false">
      <c r="A930" s="15" t="s">
        <v>2685</v>
      </c>
      <c r="B930" s="15" t="s">
        <v>86</v>
      </c>
      <c r="C930" s="15" t="s">
        <v>1217</v>
      </c>
      <c r="D930" s="15" t="n">
        <v>2</v>
      </c>
      <c r="E930" s="15" t="s">
        <v>1320</v>
      </c>
      <c r="F930" s="15" t="s">
        <v>163</v>
      </c>
      <c r="G930" s="15" t="n">
        <v>19</v>
      </c>
      <c r="H930" s="15" t="n">
        <v>847</v>
      </c>
      <c r="I930" s="15" t="n">
        <v>20</v>
      </c>
      <c r="J930" s="15" t="n">
        <v>7</v>
      </c>
      <c r="K930" s="15" t="n">
        <v>61</v>
      </c>
      <c r="L930" s="15" t="n">
        <v>96</v>
      </c>
      <c r="M930" s="15" t="n">
        <v>6</v>
      </c>
      <c r="N930" s="15" t="n">
        <v>0</v>
      </c>
      <c r="O930" s="15" t="n">
        <v>0</v>
      </c>
      <c r="P930" s="16" t="n">
        <v>0</v>
      </c>
      <c r="Q930" s="15" t="n">
        <v>0</v>
      </c>
      <c r="R930" s="15" t="n">
        <v>0</v>
      </c>
      <c r="S930" s="17" t="n">
        <v>0</v>
      </c>
      <c r="T930" s="15" t="s">
        <v>137</v>
      </c>
      <c r="U930" s="15" t="n">
        <v>2027</v>
      </c>
      <c r="V930" s="15" t="s">
        <v>1321</v>
      </c>
      <c r="W930" s="18" t="s">
        <v>139</v>
      </c>
      <c r="X930" s="18" t="s">
        <v>473</v>
      </c>
      <c r="Y930" s="15" t="s">
        <v>600</v>
      </c>
      <c r="Z930" s="15" t="s">
        <v>600</v>
      </c>
      <c r="AA930" s="19" t="str">
        <f aca="false">HYPERLINK("https://www.transfermarkt.com/schnellsuche/ergebnis/schnellsuche?query="&amp;SUBSTITUTE(A930," ","+"),"Search Transfermarkt")</f>
        <v>Search Transfermarkt</v>
      </c>
    </row>
    <row r="931" customFormat="false" ht="23.85" hidden="false" customHeight="false" outlineLevel="0" collapsed="false">
      <c r="A931" s="15" t="s">
        <v>2686</v>
      </c>
      <c r="B931" s="15" t="s">
        <v>76</v>
      </c>
      <c r="C931" s="15" t="s">
        <v>238</v>
      </c>
      <c r="D931" s="15" t="n">
        <v>2</v>
      </c>
      <c r="E931" s="15" t="s">
        <v>239</v>
      </c>
      <c r="F931" s="15" t="s">
        <v>157</v>
      </c>
      <c r="G931" s="15" t="n">
        <v>26</v>
      </c>
      <c r="H931" s="15" t="n">
        <v>1810</v>
      </c>
      <c r="I931" s="15" t="n">
        <v>0</v>
      </c>
      <c r="J931" s="15" t="n">
        <v>0</v>
      </c>
      <c r="K931" s="15" t="n">
        <v>18</v>
      </c>
      <c r="L931" s="15" t="n">
        <v>6</v>
      </c>
      <c r="M931" s="15" t="n">
        <v>3</v>
      </c>
      <c r="N931" s="15" t="n">
        <v>88</v>
      </c>
      <c r="O931" s="15" t="n">
        <v>33</v>
      </c>
      <c r="P931" s="16" t="n">
        <v>91.5</v>
      </c>
      <c r="Q931" s="15" t="n">
        <v>6.4</v>
      </c>
      <c r="R931" s="15" t="n">
        <v>3</v>
      </c>
      <c r="S931" s="17" t="n">
        <v>15329</v>
      </c>
      <c r="T931" s="15" t="s">
        <v>164</v>
      </c>
      <c r="U931" s="15" t="n">
        <v>2027</v>
      </c>
      <c r="V931" s="15" t="s">
        <v>240</v>
      </c>
      <c r="W931" s="18" t="s">
        <v>139</v>
      </c>
      <c r="X931" s="18" t="s">
        <v>241</v>
      </c>
      <c r="Y931" s="15" t="s">
        <v>600</v>
      </c>
      <c r="Z931" s="15" t="s">
        <v>600</v>
      </c>
      <c r="AA931" s="19" t="str">
        <f aca="false">HYPERLINK("https://www.transfermarkt.com/schnellsuche/ergebnis/schnellsuche?query="&amp;SUBSTITUTE(A931," ","+"),"Search Transfermarkt")</f>
        <v>Search Transfermarkt</v>
      </c>
    </row>
    <row r="932" customFormat="false" ht="23.85" hidden="false" customHeight="false" outlineLevel="0" collapsed="false">
      <c r="A932" s="15" t="s">
        <v>2687</v>
      </c>
      <c r="B932" s="15" t="s">
        <v>99</v>
      </c>
      <c r="C932" s="15" t="s">
        <v>372</v>
      </c>
      <c r="D932" s="15" t="n">
        <v>2</v>
      </c>
      <c r="E932" s="15" t="s">
        <v>2688</v>
      </c>
      <c r="F932" s="15" t="s">
        <v>157</v>
      </c>
      <c r="G932" s="15" t="n">
        <v>25</v>
      </c>
      <c r="H932" s="15" t="n">
        <v>1065</v>
      </c>
      <c r="I932" s="15" t="n">
        <v>0</v>
      </c>
      <c r="J932" s="15" t="n">
        <v>0</v>
      </c>
      <c r="K932" s="15" t="n">
        <v>18</v>
      </c>
      <c r="L932" s="15" t="n">
        <v>4</v>
      </c>
      <c r="M932" s="15" t="n">
        <v>5</v>
      </c>
      <c r="N932" s="15" t="n">
        <v>40</v>
      </c>
      <c r="O932" s="15" t="n">
        <v>19</v>
      </c>
      <c r="P932" s="16" t="n">
        <v>73.9</v>
      </c>
      <c r="Q932" s="15" t="n">
        <v>17.7</v>
      </c>
      <c r="R932" s="15" t="n">
        <v>2</v>
      </c>
      <c r="S932" s="17" t="n">
        <v>63537</v>
      </c>
      <c r="T932" s="15" t="s">
        <v>137</v>
      </c>
      <c r="U932" s="15" t="n">
        <v>2026</v>
      </c>
      <c r="V932" s="15" t="s">
        <v>2689</v>
      </c>
      <c r="W932" s="18" t="s">
        <v>139</v>
      </c>
      <c r="X932" s="18" t="s">
        <v>189</v>
      </c>
      <c r="Y932" s="15" t="s">
        <v>600</v>
      </c>
      <c r="Z932" s="15" t="s">
        <v>600</v>
      </c>
      <c r="AA932" s="19" t="str">
        <f aca="false">HYPERLINK("https://www.transfermarkt.com/schnellsuche/ergebnis/schnellsuche?query="&amp;SUBSTITUTE(A932," ","+"),"Search Transfermarkt")</f>
        <v>Search Transfermarkt</v>
      </c>
    </row>
    <row r="933" customFormat="false" ht="23.85" hidden="false" customHeight="false" outlineLevel="0" collapsed="false">
      <c r="A933" s="15" t="s">
        <v>2690</v>
      </c>
      <c r="B933" s="15" t="s">
        <v>87</v>
      </c>
      <c r="C933" s="15" t="s">
        <v>2349</v>
      </c>
      <c r="D933" s="15" t="n">
        <v>4</v>
      </c>
      <c r="E933" s="15" t="s">
        <v>2489</v>
      </c>
      <c r="F933" s="15" t="s">
        <v>136</v>
      </c>
      <c r="G933" s="15" t="n">
        <v>19</v>
      </c>
      <c r="H933" s="15" t="n">
        <v>1653</v>
      </c>
      <c r="I933" s="15" t="n">
        <v>3</v>
      </c>
      <c r="J933" s="15" t="n">
        <v>3</v>
      </c>
      <c r="K933" s="15" t="n">
        <v>40</v>
      </c>
      <c r="L933" s="15" t="n">
        <v>29</v>
      </c>
      <c r="M933" s="15" t="n">
        <v>105</v>
      </c>
      <c r="N933" s="15" t="n">
        <v>0</v>
      </c>
      <c r="O933" s="15" t="n">
        <v>0</v>
      </c>
      <c r="P933" s="16" t="n">
        <v>0</v>
      </c>
      <c r="Q933" s="15" t="n">
        <v>0</v>
      </c>
      <c r="R933" s="15" t="n">
        <v>0</v>
      </c>
      <c r="S933" s="17" t="n">
        <v>23578</v>
      </c>
      <c r="T933" s="15" t="s">
        <v>164</v>
      </c>
      <c r="U933" s="15" t="n">
        <v>2026</v>
      </c>
      <c r="V933" s="15" t="s">
        <v>2490</v>
      </c>
      <c r="W933" s="18" t="s">
        <v>139</v>
      </c>
      <c r="X933" s="18" t="s">
        <v>341</v>
      </c>
      <c r="Y933" s="15" t="s">
        <v>600</v>
      </c>
      <c r="Z933" s="15" t="s">
        <v>600</v>
      </c>
      <c r="AA933" s="19" t="str">
        <f aca="false">HYPERLINK("https://www.transfermarkt.com/schnellsuche/ergebnis/schnellsuche?query="&amp;SUBSTITUTE(A933," ","+"),"Search Transfermarkt")</f>
        <v>Search Transfermarkt</v>
      </c>
    </row>
    <row r="934" customFormat="false" ht="23.85" hidden="false" customHeight="false" outlineLevel="0" collapsed="false">
      <c r="A934" s="15" t="s">
        <v>2691</v>
      </c>
      <c r="B934" s="15" t="s">
        <v>66</v>
      </c>
      <c r="C934" s="15" t="s">
        <v>2111</v>
      </c>
      <c r="D934" s="15" t="n">
        <v>3</v>
      </c>
      <c r="E934" s="15" t="s">
        <v>1340</v>
      </c>
      <c r="F934" s="15" t="s">
        <v>157</v>
      </c>
      <c r="G934" s="15" t="n">
        <v>22</v>
      </c>
      <c r="H934" s="15" t="n">
        <v>2290</v>
      </c>
      <c r="I934" s="15" t="n">
        <v>0</v>
      </c>
      <c r="J934" s="15" t="n">
        <v>0</v>
      </c>
      <c r="K934" s="15" t="n">
        <v>9</v>
      </c>
      <c r="L934" s="15" t="n">
        <v>6</v>
      </c>
      <c r="M934" s="15" t="n">
        <v>3</v>
      </c>
      <c r="N934" s="15" t="n">
        <v>75</v>
      </c>
      <c r="O934" s="15" t="n">
        <v>29</v>
      </c>
      <c r="P934" s="16" t="n">
        <v>76.5</v>
      </c>
      <c r="Q934" s="15" t="n">
        <v>5.7</v>
      </c>
      <c r="R934" s="15" t="n">
        <v>6</v>
      </c>
      <c r="S934" s="17" t="n">
        <v>0</v>
      </c>
      <c r="T934" s="15" t="s">
        <v>137</v>
      </c>
      <c r="U934" s="15" t="n">
        <v>2027</v>
      </c>
      <c r="V934" s="15" t="s">
        <v>1341</v>
      </c>
      <c r="W934" s="18" t="s">
        <v>139</v>
      </c>
      <c r="X934" s="18" t="s">
        <v>182</v>
      </c>
      <c r="Y934" s="15" t="s">
        <v>600</v>
      </c>
      <c r="Z934" s="15" t="s">
        <v>600</v>
      </c>
      <c r="AA934" s="19" t="str">
        <f aca="false">HYPERLINK("https://www.transfermarkt.com/schnellsuche/ergebnis/schnellsuche?query="&amp;SUBSTITUTE(A934," ","+"),"Search Transfermarkt")</f>
        <v>Search Transfermarkt</v>
      </c>
    </row>
    <row r="935" customFormat="false" ht="23.85" hidden="false" customHeight="false" outlineLevel="0" collapsed="false">
      <c r="A935" s="15" t="s">
        <v>2692</v>
      </c>
      <c r="B935" s="15" t="s">
        <v>102</v>
      </c>
      <c r="C935" s="15" t="s">
        <v>1749</v>
      </c>
      <c r="D935" s="15" t="n">
        <v>4</v>
      </c>
      <c r="E935" s="15" t="s">
        <v>2693</v>
      </c>
      <c r="F935" s="15" t="s">
        <v>170</v>
      </c>
      <c r="G935" s="15" t="n">
        <v>20</v>
      </c>
      <c r="H935" s="15" t="n">
        <v>2634</v>
      </c>
      <c r="I935" s="15" t="n">
        <v>9</v>
      </c>
      <c r="J935" s="15" t="n">
        <v>11</v>
      </c>
      <c r="K935" s="15" t="n">
        <v>151</v>
      </c>
      <c r="L935" s="15" t="n">
        <v>94</v>
      </c>
      <c r="M935" s="15" t="n">
        <v>39</v>
      </c>
      <c r="N935" s="15" t="n">
        <v>0</v>
      </c>
      <c r="O935" s="15" t="n">
        <v>0</v>
      </c>
      <c r="P935" s="16" t="n">
        <v>0</v>
      </c>
      <c r="Q935" s="15" t="n">
        <v>0</v>
      </c>
      <c r="R935" s="15" t="n">
        <v>0</v>
      </c>
      <c r="S935" s="17" t="n">
        <v>125440</v>
      </c>
      <c r="T935" s="15" t="s">
        <v>164</v>
      </c>
      <c r="U935" s="15" t="n">
        <v>2026</v>
      </c>
      <c r="V935" s="15" t="s">
        <v>2694</v>
      </c>
      <c r="W935" s="18" t="s">
        <v>139</v>
      </c>
      <c r="X935" s="18" t="s">
        <v>453</v>
      </c>
      <c r="Y935" s="15" t="s">
        <v>600</v>
      </c>
      <c r="Z935" s="15" t="s">
        <v>600</v>
      </c>
      <c r="AA935" s="19" t="str">
        <f aca="false">HYPERLINK("https://www.transfermarkt.com/schnellsuche/ergebnis/schnellsuche?query="&amp;SUBSTITUTE(A935," ","+"),"Search Transfermarkt")</f>
        <v>Search Transfermarkt</v>
      </c>
    </row>
    <row r="936" customFormat="false" ht="23.85" hidden="false" customHeight="false" outlineLevel="0" collapsed="false">
      <c r="A936" s="15" t="s">
        <v>2695</v>
      </c>
      <c r="B936" s="15" t="s">
        <v>106</v>
      </c>
      <c r="C936" s="15" t="s">
        <v>556</v>
      </c>
      <c r="D936" s="15" t="n">
        <v>4</v>
      </c>
      <c r="E936" s="15" t="s">
        <v>369</v>
      </c>
      <c r="F936" s="15" t="s">
        <v>170</v>
      </c>
      <c r="G936" s="15" t="n">
        <v>26</v>
      </c>
      <c r="H936" s="15" t="n">
        <v>1171</v>
      </c>
      <c r="I936" s="15" t="n">
        <v>4</v>
      </c>
      <c r="J936" s="15" t="n">
        <v>8</v>
      </c>
      <c r="K936" s="15" t="n">
        <v>118</v>
      </c>
      <c r="L936" s="15" t="n">
        <v>90</v>
      </c>
      <c r="M936" s="15" t="n">
        <v>44</v>
      </c>
      <c r="N936" s="15" t="n">
        <v>0</v>
      </c>
      <c r="O936" s="15" t="n">
        <v>0</v>
      </c>
      <c r="P936" s="16" t="n">
        <v>0</v>
      </c>
      <c r="Q936" s="15" t="n">
        <v>0</v>
      </c>
      <c r="R936" s="15" t="n">
        <v>0</v>
      </c>
      <c r="S936" s="17" t="n">
        <v>0</v>
      </c>
      <c r="T936" s="15" t="s">
        <v>186</v>
      </c>
      <c r="U936" s="15" t="n">
        <v>2028</v>
      </c>
      <c r="V936" s="15" t="s">
        <v>370</v>
      </c>
      <c r="W936" s="18" t="s">
        <v>188</v>
      </c>
      <c r="X936" s="18" t="s">
        <v>283</v>
      </c>
      <c r="Y936" s="15" t="s">
        <v>600</v>
      </c>
      <c r="Z936" s="15" t="s">
        <v>600</v>
      </c>
      <c r="AA936" s="19" t="str">
        <f aca="false">HYPERLINK("https://www.transfermarkt.com/schnellsuche/ergebnis/schnellsuche?query="&amp;SUBSTITUTE(A936," ","+"),"Search Transfermarkt")</f>
        <v>Search Transfermarkt</v>
      </c>
    </row>
    <row r="937" customFormat="false" ht="23.85" hidden="false" customHeight="false" outlineLevel="0" collapsed="false">
      <c r="A937" s="15" t="s">
        <v>2696</v>
      </c>
      <c r="B937" s="15" t="s">
        <v>89</v>
      </c>
      <c r="C937" s="15" t="s">
        <v>548</v>
      </c>
      <c r="D937" s="15" t="n">
        <v>2</v>
      </c>
      <c r="E937" s="15" t="s">
        <v>2697</v>
      </c>
      <c r="F937" s="15" t="s">
        <v>163</v>
      </c>
      <c r="G937" s="15" t="n">
        <v>18</v>
      </c>
      <c r="H937" s="15" t="n">
        <v>2217</v>
      </c>
      <c r="I937" s="15" t="n">
        <v>15</v>
      </c>
      <c r="J937" s="15" t="n">
        <v>9</v>
      </c>
      <c r="K937" s="15" t="n">
        <v>38</v>
      </c>
      <c r="L937" s="15" t="n">
        <v>91</v>
      </c>
      <c r="M937" s="15" t="n">
        <v>8</v>
      </c>
      <c r="N937" s="15" t="n">
        <v>0</v>
      </c>
      <c r="O937" s="15" t="n">
        <v>0</v>
      </c>
      <c r="P937" s="16" t="n">
        <v>0</v>
      </c>
      <c r="Q937" s="15" t="n">
        <v>0</v>
      </c>
      <c r="R937" s="15" t="n">
        <v>0</v>
      </c>
      <c r="S937" s="17" t="n">
        <v>48109</v>
      </c>
      <c r="T937" s="15" t="s">
        <v>137</v>
      </c>
      <c r="U937" s="15" t="n">
        <v>2029</v>
      </c>
      <c r="V937" s="15" t="s">
        <v>2698</v>
      </c>
      <c r="W937" s="18" t="s">
        <v>139</v>
      </c>
      <c r="X937" s="18" t="s">
        <v>206</v>
      </c>
      <c r="Y937" s="15" t="s">
        <v>600</v>
      </c>
      <c r="Z937" s="15" t="s">
        <v>600</v>
      </c>
      <c r="AA937" s="19" t="str">
        <f aca="false">HYPERLINK("https://www.transfermarkt.com/schnellsuche/ergebnis/schnellsuche?query="&amp;SUBSTITUTE(A937," ","+"),"Search Transfermarkt")</f>
        <v>Search Transfermarkt</v>
      </c>
    </row>
    <row r="938" customFormat="false" ht="23.85" hidden="false" customHeight="false" outlineLevel="0" collapsed="false">
      <c r="A938" s="15" t="s">
        <v>2699</v>
      </c>
      <c r="B938" s="15" t="s">
        <v>82</v>
      </c>
      <c r="C938" s="15" t="s">
        <v>552</v>
      </c>
      <c r="D938" s="15" t="n">
        <v>3</v>
      </c>
      <c r="E938" s="15" t="s">
        <v>2098</v>
      </c>
      <c r="F938" s="15" t="s">
        <v>136</v>
      </c>
      <c r="G938" s="15" t="n">
        <v>24</v>
      </c>
      <c r="H938" s="15" t="n">
        <v>1507</v>
      </c>
      <c r="I938" s="15" t="n">
        <v>2</v>
      </c>
      <c r="J938" s="15" t="n">
        <v>0</v>
      </c>
      <c r="K938" s="15" t="n">
        <v>40</v>
      </c>
      <c r="L938" s="15" t="n">
        <v>20</v>
      </c>
      <c r="M938" s="15" t="n">
        <v>102</v>
      </c>
      <c r="N938" s="15" t="n">
        <v>0</v>
      </c>
      <c r="O938" s="15" t="n">
        <v>0</v>
      </c>
      <c r="P938" s="16" t="n">
        <v>0</v>
      </c>
      <c r="Q938" s="15" t="n">
        <v>0</v>
      </c>
      <c r="R938" s="15" t="n">
        <v>0</v>
      </c>
      <c r="S938" s="17" t="n">
        <v>120246</v>
      </c>
      <c r="T938" s="15" t="s">
        <v>137</v>
      </c>
      <c r="U938" s="15" t="n">
        <v>2029</v>
      </c>
      <c r="V938" s="15" t="s">
        <v>2099</v>
      </c>
      <c r="W938" s="18" t="s">
        <v>139</v>
      </c>
      <c r="X938" s="18" t="s">
        <v>166</v>
      </c>
      <c r="Y938" s="15" t="s">
        <v>600</v>
      </c>
      <c r="Z938" s="15" t="s">
        <v>600</v>
      </c>
      <c r="AA938" s="19" t="str">
        <f aca="false">HYPERLINK("https://www.transfermarkt.com/schnellsuche/ergebnis/schnellsuche?query="&amp;SUBSTITUTE(A938," ","+"),"Search Transfermarkt")</f>
        <v>Search Transfermarkt</v>
      </c>
    </row>
    <row r="939" customFormat="false" ht="23.85" hidden="false" customHeight="false" outlineLevel="0" collapsed="false">
      <c r="A939" s="15" t="s">
        <v>2700</v>
      </c>
      <c r="B939" s="15" t="s">
        <v>75</v>
      </c>
      <c r="C939" s="15" t="s">
        <v>247</v>
      </c>
      <c r="D939" s="15" t="n">
        <v>4</v>
      </c>
      <c r="E939" s="15" t="s">
        <v>826</v>
      </c>
      <c r="F939" s="15" t="s">
        <v>136</v>
      </c>
      <c r="G939" s="15" t="n">
        <v>18</v>
      </c>
      <c r="H939" s="15" t="n">
        <v>1081</v>
      </c>
      <c r="I939" s="15" t="n">
        <v>2</v>
      </c>
      <c r="J939" s="15" t="n">
        <v>2</v>
      </c>
      <c r="K939" s="15" t="n">
        <v>65</v>
      </c>
      <c r="L939" s="15" t="n">
        <v>32</v>
      </c>
      <c r="M939" s="15" t="n">
        <v>100</v>
      </c>
      <c r="N939" s="15" t="n">
        <v>0</v>
      </c>
      <c r="O939" s="15" t="n">
        <v>0</v>
      </c>
      <c r="P939" s="16" t="n">
        <v>0</v>
      </c>
      <c r="Q939" s="15" t="n">
        <v>0</v>
      </c>
      <c r="R939" s="15" t="n">
        <v>0</v>
      </c>
      <c r="S939" s="17" t="n">
        <v>74538</v>
      </c>
      <c r="T939" s="15" t="s">
        <v>137</v>
      </c>
      <c r="U939" s="15" t="n">
        <v>2028</v>
      </c>
      <c r="V939" s="15" t="s">
        <v>827</v>
      </c>
      <c r="W939" s="18" t="s">
        <v>139</v>
      </c>
      <c r="X939" s="18" t="s">
        <v>197</v>
      </c>
      <c r="Y939" s="15" t="s">
        <v>600</v>
      </c>
      <c r="Z939" s="15" t="s">
        <v>600</v>
      </c>
      <c r="AA939" s="19" t="str">
        <f aca="false">HYPERLINK("https://www.transfermarkt.com/schnellsuche/ergebnis/schnellsuche?query="&amp;SUBSTITUTE(A939," ","+"),"Search Transfermarkt")</f>
        <v>Search Transfermarkt</v>
      </c>
    </row>
    <row r="940" customFormat="false" ht="23.85" hidden="false" customHeight="false" outlineLevel="0" collapsed="false">
      <c r="A940" s="15" t="s">
        <v>2701</v>
      </c>
      <c r="B940" s="15" t="s">
        <v>90</v>
      </c>
      <c r="C940" s="15" t="s">
        <v>1830</v>
      </c>
      <c r="D940" s="15" t="n">
        <v>2</v>
      </c>
      <c r="E940" s="15" t="s">
        <v>1396</v>
      </c>
      <c r="F940" s="15" t="s">
        <v>136</v>
      </c>
      <c r="G940" s="15" t="n">
        <v>17</v>
      </c>
      <c r="H940" s="15" t="n">
        <v>1086</v>
      </c>
      <c r="I940" s="15" t="n">
        <v>0</v>
      </c>
      <c r="J940" s="15" t="n">
        <v>5</v>
      </c>
      <c r="K940" s="15" t="n">
        <v>47</v>
      </c>
      <c r="L940" s="15" t="n">
        <v>41</v>
      </c>
      <c r="M940" s="15" t="n">
        <v>75</v>
      </c>
      <c r="N940" s="15" t="n">
        <v>0</v>
      </c>
      <c r="O940" s="15" t="n">
        <v>0</v>
      </c>
      <c r="P940" s="16" t="n">
        <v>0</v>
      </c>
      <c r="Q940" s="15" t="n">
        <v>0</v>
      </c>
      <c r="R940" s="15" t="n">
        <v>0</v>
      </c>
      <c r="S940" s="17" t="n">
        <v>0</v>
      </c>
      <c r="T940" s="15" t="s">
        <v>137</v>
      </c>
      <c r="U940" s="15" t="n">
        <v>2027</v>
      </c>
      <c r="V940" s="15" t="s">
        <v>1397</v>
      </c>
      <c r="W940" s="18" t="s">
        <v>147</v>
      </c>
      <c r="X940" s="18" t="s">
        <v>288</v>
      </c>
      <c r="Y940" s="15" t="s">
        <v>600</v>
      </c>
      <c r="Z940" s="15" t="s">
        <v>600</v>
      </c>
      <c r="AA940" s="19" t="str">
        <f aca="false">HYPERLINK("https://www.transfermarkt.com/schnellsuche/ergebnis/schnellsuche?query="&amp;SUBSTITUTE(A940," ","+"),"Search Transfermarkt")</f>
        <v>Search Transfermarkt</v>
      </c>
    </row>
    <row r="941" customFormat="false" ht="23.85" hidden="false" customHeight="false" outlineLevel="0" collapsed="false">
      <c r="A941" s="15" t="s">
        <v>2702</v>
      </c>
      <c r="B941" s="15" t="s">
        <v>92</v>
      </c>
      <c r="C941" s="15" t="s">
        <v>155</v>
      </c>
      <c r="D941" s="15" t="n">
        <v>3</v>
      </c>
      <c r="E941" s="15" t="s">
        <v>2104</v>
      </c>
      <c r="F941" s="15" t="s">
        <v>157</v>
      </c>
      <c r="G941" s="15" t="n">
        <v>20</v>
      </c>
      <c r="H941" s="15" t="n">
        <v>2593</v>
      </c>
      <c r="I941" s="15" t="n">
        <v>0</v>
      </c>
      <c r="J941" s="15" t="n">
        <v>0</v>
      </c>
      <c r="K941" s="15" t="n">
        <v>13</v>
      </c>
      <c r="L941" s="15" t="n">
        <v>0</v>
      </c>
      <c r="M941" s="15" t="n">
        <v>6</v>
      </c>
      <c r="N941" s="15" t="n">
        <v>108</v>
      </c>
      <c r="O941" s="15" t="n">
        <v>37</v>
      </c>
      <c r="P941" s="16" t="n">
        <v>84.3</v>
      </c>
      <c r="Q941" s="15" t="n">
        <v>9.1</v>
      </c>
      <c r="R941" s="15" t="n">
        <v>12</v>
      </c>
      <c r="S941" s="17" t="n">
        <v>45443</v>
      </c>
      <c r="T941" s="15" t="s">
        <v>164</v>
      </c>
      <c r="U941" s="15" t="n">
        <v>2027</v>
      </c>
      <c r="V941" s="15" t="s">
        <v>2105</v>
      </c>
      <c r="W941" s="18" t="s">
        <v>139</v>
      </c>
      <c r="X941" s="18" t="s">
        <v>159</v>
      </c>
      <c r="Y941" s="15" t="s">
        <v>600</v>
      </c>
      <c r="Z941" s="15" t="s">
        <v>600</v>
      </c>
      <c r="AA941" s="19" t="str">
        <f aca="false">HYPERLINK("https://www.transfermarkt.com/schnellsuche/ergebnis/schnellsuche?query="&amp;SUBSTITUTE(A941," ","+"),"Search Transfermarkt")</f>
        <v>Search Transfermarkt</v>
      </c>
    </row>
    <row r="942" customFormat="false" ht="23.85" hidden="false" customHeight="false" outlineLevel="0" collapsed="false">
      <c r="A942" s="15" t="s">
        <v>2703</v>
      </c>
      <c r="B942" s="15" t="s">
        <v>103</v>
      </c>
      <c r="C942" s="15" t="s">
        <v>2083</v>
      </c>
      <c r="D942" s="15" t="n">
        <v>3</v>
      </c>
      <c r="E942" s="15" t="s">
        <v>849</v>
      </c>
      <c r="F942" s="15" t="s">
        <v>136</v>
      </c>
      <c r="G942" s="15" t="n">
        <v>24</v>
      </c>
      <c r="H942" s="15" t="n">
        <v>1613</v>
      </c>
      <c r="I942" s="15" t="n">
        <v>0</v>
      </c>
      <c r="J942" s="15" t="n">
        <v>3</v>
      </c>
      <c r="K942" s="15" t="n">
        <v>43</v>
      </c>
      <c r="L942" s="15" t="n">
        <v>23</v>
      </c>
      <c r="M942" s="15" t="n">
        <v>119</v>
      </c>
      <c r="N942" s="15" t="n">
        <v>0</v>
      </c>
      <c r="O942" s="15" t="n">
        <v>0</v>
      </c>
      <c r="P942" s="16" t="n">
        <v>0</v>
      </c>
      <c r="Q942" s="15" t="n">
        <v>0</v>
      </c>
      <c r="R942" s="15" t="n">
        <v>0</v>
      </c>
      <c r="S942" s="17" t="n">
        <v>0</v>
      </c>
      <c r="T942" s="15" t="s">
        <v>164</v>
      </c>
      <c r="U942" s="15" t="n">
        <v>2029</v>
      </c>
      <c r="V942" s="15" t="s">
        <v>850</v>
      </c>
      <c r="W942" s="18" t="s">
        <v>139</v>
      </c>
      <c r="X942" s="18" t="s">
        <v>481</v>
      </c>
      <c r="Y942" s="15" t="s">
        <v>600</v>
      </c>
      <c r="Z942" s="15" t="s">
        <v>600</v>
      </c>
      <c r="AA942" s="19" t="str">
        <f aca="false">HYPERLINK("https://www.transfermarkt.com/schnellsuche/ergebnis/schnellsuche?query="&amp;SUBSTITUTE(A942," ","+"),"Search Transfermarkt")</f>
        <v>Search Transfermarkt</v>
      </c>
    </row>
    <row r="943" customFormat="false" ht="23.85" hidden="false" customHeight="false" outlineLevel="0" collapsed="false">
      <c r="A943" s="15" t="s">
        <v>2704</v>
      </c>
      <c r="B943" s="15" t="s">
        <v>81</v>
      </c>
      <c r="C943" s="15" t="s">
        <v>455</v>
      </c>
      <c r="D943" s="15" t="n">
        <v>3</v>
      </c>
      <c r="E943" s="15" t="s">
        <v>1503</v>
      </c>
      <c r="F943" s="15" t="s">
        <v>170</v>
      </c>
      <c r="G943" s="15" t="n">
        <v>24</v>
      </c>
      <c r="H943" s="15" t="n">
        <v>1092</v>
      </c>
      <c r="I943" s="15" t="n">
        <v>2</v>
      </c>
      <c r="J943" s="15" t="n">
        <v>10</v>
      </c>
      <c r="K943" s="15" t="n">
        <v>119</v>
      </c>
      <c r="L943" s="15" t="n">
        <v>58</v>
      </c>
      <c r="M943" s="15" t="n">
        <v>53</v>
      </c>
      <c r="N943" s="15" t="n">
        <v>0</v>
      </c>
      <c r="O943" s="15" t="n">
        <v>0</v>
      </c>
      <c r="P943" s="16" t="n">
        <v>0</v>
      </c>
      <c r="Q943" s="15" t="n">
        <v>0</v>
      </c>
      <c r="R943" s="15" t="n">
        <v>0</v>
      </c>
      <c r="S943" s="17" t="n">
        <v>62898</v>
      </c>
      <c r="T943" s="15" t="s">
        <v>137</v>
      </c>
      <c r="U943" s="15" t="n">
        <v>2028</v>
      </c>
      <c r="V943" s="15" t="s">
        <v>1504</v>
      </c>
      <c r="W943" s="18" t="s">
        <v>139</v>
      </c>
      <c r="X943" s="18" t="s">
        <v>407</v>
      </c>
      <c r="Y943" s="15" t="s">
        <v>600</v>
      </c>
      <c r="Z943" s="15" t="s">
        <v>600</v>
      </c>
      <c r="AA943" s="19" t="str">
        <f aca="false">HYPERLINK("https://www.transfermarkt.com/schnellsuche/ergebnis/schnellsuche?query="&amp;SUBSTITUTE(A943," ","+"),"Search Transfermarkt")</f>
        <v>Search Transfermarkt</v>
      </c>
    </row>
    <row r="944" customFormat="false" ht="23.85" hidden="false" customHeight="false" outlineLevel="0" collapsed="false">
      <c r="A944" s="15" t="s">
        <v>2705</v>
      </c>
      <c r="B944" s="15" t="s">
        <v>80</v>
      </c>
      <c r="C944" s="15" t="s">
        <v>301</v>
      </c>
      <c r="D944" s="15" t="n">
        <v>4</v>
      </c>
      <c r="E944" s="15" t="s">
        <v>2706</v>
      </c>
      <c r="F944" s="15" t="s">
        <v>157</v>
      </c>
      <c r="G944" s="15" t="n">
        <v>26</v>
      </c>
      <c r="H944" s="15" t="n">
        <v>2355</v>
      </c>
      <c r="I944" s="15" t="n">
        <v>0</v>
      </c>
      <c r="J944" s="15" t="n">
        <v>0</v>
      </c>
      <c r="K944" s="15" t="n">
        <v>14</v>
      </c>
      <c r="L944" s="15" t="n">
        <v>0</v>
      </c>
      <c r="M944" s="15" t="n">
        <v>8</v>
      </c>
      <c r="N944" s="15" t="n">
        <v>102</v>
      </c>
      <c r="O944" s="15" t="n">
        <v>46</v>
      </c>
      <c r="P944" s="16" t="n">
        <v>85.2</v>
      </c>
      <c r="Q944" s="15" t="n">
        <v>20.3</v>
      </c>
      <c r="R944" s="15" t="n">
        <v>11</v>
      </c>
      <c r="S944" s="17" t="n">
        <v>0</v>
      </c>
      <c r="T944" s="15" t="s">
        <v>186</v>
      </c>
      <c r="U944" s="15" t="n">
        <v>2028</v>
      </c>
      <c r="V944" s="15" t="s">
        <v>2707</v>
      </c>
      <c r="W944" s="18" t="s">
        <v>188</v>
      </c>
      <c r="X944" s="18" t="s">
        <v>304</v>
      </c>
      <c r="Y944" s="15" t="s">
        <v>600</v>
      </c>
      <c r="Z944" s="15" t="s">
        <v>600</v>
      </c>
      <c r="AA944" s="19" t="str">
        <f aca="false">HYPERLINK("https://www.transfermarkt.com/schnellsuche/ergebnis/schnellsuche?query="&amp;SUBSTITUTE(A944," ","+"),"Search Transfermarkt")</f>
        <v>Search Transfermarkt</v>
      </c>
    </row>
    <row r="945" customFormat="false" ht="23.85" hidden="false" customHeight="false" outlineLevel="0" collapsed="false">
      <c r="A945" s="15" t="s">
        <v>2708</v>
      </c>
      <c r="B945" s="15" t="s">
        <v>88</v>
      </c>
      <c r="C945" s="15" t="s">
        <v>1923</v>
      </c>
      <c r="D945" s="15" t="n">
        <v>2</v>
      </c>
      <c r="E945" s="15" t="s">
        <v>1761</v>
      </c>
      <c r="F945" s="15" t="s">
        <v>170</v>
      </c>
      <c r="G945" s="15" t="n">
        <v>21</v>
      </c>
      <c r="H945" s="15" t="n">
        <v>2172</v>
      </c>
      <c r="I945" s="15" t="n">
        <v>7</v>
      </c>
      <c r="J945" s="15" t="n">
        <v>5</v>
      </c>
      <c r="K945" s="15" t="n">
        <v>136</v>
      </c>
      <c r="L945" s="15" t="n">
        <v>74</v>
      </c>
      <c r="M945" s="15" t="n">
        <v>38</v>
      </c>
      <c r="N945" s="15" t="n">
        <v>0</v>
      </c>
      <c r="O945" s="15" t="n">
        <v>0</v>
      </c>
      <c r="P945" s="16" t="n">
        <v>0</v>
      </c>
      <c r="Q945" s="15" t="n">
        <v>0</v>
      </c>
      <c r="R945" s="15" t="n">
        <v>0</v>
      </c>
      <c r="S945" s="17" t="n">
        <v>0</v>
      </c>
      <c r="T945" s="15" t="s">
        <v>186</v>
      </c>
      <c r="U945" s="15" t="n">
        <v>2028</v>
      </c>
      <c r="V945" s="15" t="s">
        <v>1762</v>
      </c>
      <c r="W945" s="18" t="s">
        <v>188</v>
      </c>
      <c r="X945" s="18" t="s">
        <v>320</v>
      </c>
      <c r="Y945" s="15" t="s">
        <v>600</v>
      </c>
      <c r="Z945" s="15" t="s">
        <v>600</v>
      </c>
      <c r="AA945" s="19" t="str">
        <f aca="false">HYPERLINK("https://www.transfermarkt.com/schnellsuche/ergebnis/schnellsuche?query="&amp;SUBSTITUTE(A945," ","+"),"Search Transfermarkt")</f>
        <v>Search Transfermarkt</v>
      </c>
    </row>
    <row r="946" customFormat="false" ht="23.85" hidden="false" customHeight="false" outlineLevel="0" collapsed="false">
      <c r="A946" s="15" t="s">
        <v>2709</v>
      </c>
      <c r="B946" s="15" t="s">
        <v>66</v>
      </c>
      <c r="C946" s="15" t="s">
        <v>2111</v>
      </c>
      <c r="D946" s="15" t="n">
        <v>3</v>
      </c>
      <c r="E946" s="15" t="s">
        <v>2710</v>
      </c>
      <c r="F946" s="15" t="s">
        <v>170</v>
      </c>
      <c r="G946" s="15" t="n">
        <v>24</v>
      </c>
      <c r="H946" s="15" t="n">
        <v>1434</v>
      </c>
      <c r="I946" s="15" t="n">
        <v>7</v>
      </c>
      <c r="J946" s="15" t="n">
        <v>4</v>
      </c>
      <c r="K946" s="15" t="n">
        <v>156</v>
      </c>
      <c r="L946" s="15" t="n">
        <v>92</v>
      </c>
      <c r="M946" s="15" t="n">
        <v>46</v>
      </c>
      <c r="N946" s="15" t="n">
        <v>0</v>
      </c>
      <c r="O946" s="15" t="n">
        <v>0</v>
      </c>
      <c r="P946" s="16" t="n">
        <v>0</v>
      </c>
      <c r="Q946" s="15" t="n">
        <v>0</v>
      </c>
      <c r="R946" s="15" t="n">
        <v>0</v>
      </c>
      <c r="S946" s="17" t="n">
        <v>139638</v>
      </c>
      <c r="T946" s="15" t="s">
        <v>137</v>
      </c>
      <c r="U946" s="15" t="n">
        <v>2026</v>
      </c>
      <c r="V946" s="15" t="s">
        <v>2711</v>
      </c>
      <c r="W946" s="18" t="s">
        <v>139</v>
      </c>
      <c r="X946" s="18" t="s">
        <v>182</v>
      </c>
      <c r="Y946" s="15" t="s">
        <v>600</v>
      </c>
      <c r="Z946" s="15" t="s">
        <v>600</v>
      </c>
      <c r="AA946" s="19" t="str">
        <f aca="false">HYPERLINK("https://www.transfermarkt.com/schnellsuche/ergebnis/schnellsuche?query="&amp;SUBSTITUTE(A946," ","+"),"Search Transfermarkt")</f>
        <v>Search Transfermarkt</v>
      </c>
    </row>
    <row r="947" customFormat="false" ht="23.85" hidden="false" customHeight="false" outlineLevel="0" collapsed="false">
      <c r="A947" s="15" t="s">
        <v>2712</v>
      </c>
      <c r="B947" s="15" t="s">
        <v>64</v>
      </c>
      <c r="C947" s="15" t="s">
        <v>228</v>
      </c>
      <c r="D947" s="15" t="n">
        <v>3</v>
      </c>
      <c r="E947" s="15" t="s">
        <v>2713</v>
      </c>
      <c r="F947" s="15" t="s">
        <v>136</v>
      </c>
      <c r="G947" s="15" t="n">
        <v>21</v>
      </c>
      <c r="H947" s="15" t="n">
        <v>2263</v>
      </c>
      <c r="I947" s="15" t="n">
        <v>2</v>
      </c>
      <c r="J947" s="15" t="n">
        <v>2</v>
      </c>
      <c r="K947" s="15" t="n">
        <v>50</v>
      </c>
      <c r="L947" s="15" t="n">
        <v>23</v>
      </c>
      <c r="M947" s="15" t="n">
        <v>82</v>
      </c>
      <c r="N947" s="15" t="n">
        <v>0</v>
      </c>
      <c r="O947" s="15" t="n">
        <v>0</v>
      </c>
      <c r="P947" s="16" t="n">
        <v>0</v>
      </c>
      <c r="Q947" s="15" t="n">
        <v>0</v>
      </c>
      <c r="R947" s="15" t="n">
        <v>0</v>
      </c>
      <c r="S947" s="17" t="n">
        <v>98196</v>
      </c>
      <c r="T947" s="15" t="s">
        <v>164</v>
      </c>
      <c r="U947" s="15" t="n">
        <v>2027</v>
      </c>
      <c r="V947" s="15" t="s">
        <v>2714</v>
      </c>
      <c r="W947" s="18" t="s">
        <v>139</v>
      </c>
      <c r="X947" s="18" t="s">
        <v>231</v>
      </c>
      <c r="Y947" s="15" t="s">
        <v>600</v>
      </c>
      <c r="Z947" s="15" t="s">
        <v>600</v>
      </c>
      <c r="AA947" s="19" t="str">
        <f aca="false">HYPERLINK("https://www.transfermarkt.com/schnellsuche/ergebnis/schnellsuche?query="&amp;SUBSTITUTE(A947," ","+"),"Search Transfermarkt")</f>
        <v>Search Transfermarkt</v>
      </c>
    </row>
    <row r="948" customFormat="false" ht="23.85" hidden="false" customHeight="false" outlineLevel="0" collapsed="false">
      <c r="A948" s="15" t="s">
        <v>2715</v>
      </c>
      <c r="B948" s="15" t="s">
        <v>88</v>
      </c>
      <c r="C948" s="15" t="s">
        <v>317</v>
      </c>
      <c r="D948" s="15" t="n">
        <v>3</v>
      </c>
      <c r="E948" s="15" t="s">
        <v>614</v>
      </c>
      <c r="F948" s="15" t="s">
        <v>136</v>
      </c>
      <c r="G948" s="15" t="n">
        <v>20</v>
      </c>
      <c r="H948" s="15" t="n">
        <v>1615</v>
      </c>
      <c r="I948" s="15" t="n">
        <v>2</v>
      </c>
      <c r="J948" s="15" t="n">
        <v>3</v>
      </c>
      <c r="K948" s="15" t="n">
        <v>39</v>
      </c>
      <c r="L948" s="15" t="n">
        <v>30</v>
      </c>
      <c r="M948" s="15" t="n">
        <v>128</v>
      </c>
      <c r="N948" s="15" t="n">
        <v>0</v>
      </c>
      <c r="O948" s="15" t="n">
        <v>0</v>
      </c>
      <c r="P948" s="16" t="n">
        <v>0</v>
      </c>
      <c r="Q948" s="15" t="n">
        <v>0</v>
      </c>
      <c r="R948" s="15" t="n">
        <v>0</v>
      </c>
      <c r="S948" s="17" t="n">
        <v>53607</v>
      </c>
      <c r="T948" s="15" t="s">
        <v>164</v>
      </c>
      <c r="U948" s="15" t="n">
        <v>2027</v>
      </c>
      <c r="V948" s="15" t="s">
        <v>615</v>
      </c>
      <c r="W948" s="18" t="s">
        <v>139</v>
      </c>
      <c r="X948" s="18" t="s">
        <v>320</v>
      </c>
      <c r="Y948" s="15" t="s">
        <v>600</v>
      </c>
      <c r="Z948" s="15" t="s">
        <v>600</v>
      </c>
      <c r="AA948" s="19" t="str">
        <f aca="false">HYPERLINK("https://www.transfermarkt.com/schnellsuche/ergebnis/schnellsuche?query="&amp;SUBSTITUTE(A948," ","+"),"Search Transfermarkt")</f>
        <v>Search Transfermarkt</v>
      </c>
    </row>
    <row r="949" customFormat="false" ht="23.85" hidden="false" customHeight="false" outlineLevel="0" collapsed="false">
      <c r="A949" s="15" t="s">
        <v>2716</v>
      </c>
      <c r="B949" s="15" t="s">
        <v>69</v>
      </c>
      <c r="C949" s="15" t="s">
        <v>691</v>
      </c>
      <c r="D949" s="15" t="n">
        <v>4</v>
      </c>
      <c r="E949" s="15" t="s">
        <v>2717</v>
      </c>
      <c r="F949" s="15" t="s">
        <v>163</v>
      </c>
      <c r="G949" s="15" t="n">
        <v>20</v>
      </c>
      <c r="H949" s="15" t="n">
        <v>1671</v>
      </c>
      <c r="I949" s="15" t="n">
        <v>9</v>
      </c>
      <c r="J949" s="15" t="n">
        <v>3</v>
      </c>
      <c r="K949" s="15" t="n">
        <v>51</v>
      </c>
      <c r="L949" s="15" t="n">
        <v>69</v>
      </c>
      <c r="M949" s="15" t="n">
        <v>10</v>
      </c>
      <c r="N949" s="15" t="n">
        <v>0</v>
      </c>
      <c r="O949" s="15" t="n">
        <v>0</v>
      </c>
      <c r="P949" s="16" t="n">
        <v>0</v>
      </c>
      <c r="Q949" s="15" t="n">
        <v>0</v>
      </c>
      <c r="R949" s="15" t="n">
        <v>0</v>
      </c>
      <c r="S949" s="17" t="n">
        <v>95299</v>
      </c>
      <c r="T949" s="15" t="s">
        <v>137</v>
      </c>
      <c r="U949" s="15" t="n">
        <v>2029</v>
      </c>
      <c r="V949" s="15" t="s">
        <v>2718</v>
      </c>
      <c r="W949" s="18" t="s">
        <v>139</v>
      </c>
      <c r="X949" s="18" t="s">
        <v>140</v>
      </c>
      <c r="Y949" s="15" t="s">
        <v>600</v>
      </c>
      <c r="Z949" s="15" t="s">
        <v>600</v>
      </c>
      <c r="AA949" s="19" t="str">
        <f aca="false">HYPERLINK("https://www.transfermarkt.com/schnellsuche/ergebnis/schnellsuche?query="&amp;SUBSTITUTE(A949," ","+"),"Search Transfermarkt")</f>
        <v>Search Transfermarkt</v>
      </c>
    </row>
    <row r="950" customFormat="false" ht="23.85" hidden="false" customHeight="false" outlineLevel="0" collapsed="false">
      <c r="A950" s="15" t="s">
        <v>2719</v>
      </c>
      <c r="B950" s="15" t="s">
        <v>66</v>
      </c>
      <c r="C950" s="15" t="s">
        <v>389</v>
      </c>
      <c r="D950" s="15" t="n">
        <v>2</v>
      </c>
      <c r="E950" s="15" t="s">
        <v>2720</v>
      </c>
      <c r="F950" s="15" t="s">
        <v>136</v>
      </c>
      <c r="G950" s="15" t="n">
        <v>26</v>
      </c>
      <c r="H950" s="15" t="n">
        <v>1849</v>
      </c>
      <c r="I950" s="15" t="n">
        <v>1</v>
      </c>
      <c r="J950" s="15" t="n">
        <v>0</v>
      </c>
      <c r="K950" s="15" t="n">
        <v>68</v>
      </c>
      <c r="L950" s="15" t="n">
        <v>44</v>
      </c>
      <c r="M950" s="15" t="n">
        <v>122</v>
      </c>
      <c r="N950" s="15" t="n">
        <v>0</v>
      </c>
      <c r="O950" s="15" t="n">
        <v>0</v>
      </c>
      <c r="P950" s="16" t="n">
        <v>0</v>
      </c>
      <c r="Q950" s="15" t="n">
        <v>0</v>
      </c>
      <c r="R950" s="15" t="n">
        <v>0</v>
      </c>
      <c r="S950" s="17" t="n">
        <v>114209</v>
      </c>
      <c r="T950" s="15" t="s">
        <v>137</v>
      </c>
      <c r="U950" s="15" t="n">
        <v>2027</v>
      </c>
      <c r="V950" s="15" t="s">
        <v>2721</v>
      </c>
      <c r="W950" s="18" t="s">
        <v>139</v>
      </c>
      <c r="X950" s="18" t="s">
        <v>182</v>
      </c>
      <c r="Y950" s="15" t="s">
        <v>600</v>
      </c>
      <c r="Z950" s="15" t="s">
        <v>600</v>
      </c>
      <c r="AA950" s="19" t="str">
        <f aca="false">HYPERLINK("https://www.transfermarkt.com/schnellsuche/ergebnis/schnellsuche?query="&amp;SUBSTITUTE(A950," ","+"),"Search Transfermarkt")</f>
        <v>Search Transfermarkt</v>
      </c>
    </row>
    <row r="951" customFormat="false" ht="23.85" hidden="false" customHeight="false" outlineLevel="0" collapsed="false">
      <c r="A951" s="15" t="s">
        <v>2722</v>
      </c>
      <c r="B951" s="15" t="s">
        <v>86</v>
      </c>
      <c r="C951" s="15" t="s">
        <v>1232</v>
      </c>
      <c r="D951" s="15" t="n">
        <v>2</v>
      </c>
      <c r="E951" s="15" t="s">
        <v>2723</v>
      </c>
      <c r="F951" s="15" t="s">
        <v>136</v>
      </c>
      <c r="G951" s="15" t="n">
        <v>18</v>
      </c>
      <c r="H951" s="15" t="n">
        <v>2572</v>
      </c>
      <c r="I951" s="15" t="n">
        <v>1</v>
      </c>
      <c r="J951" s="15" t="n">
        <v>3</v>
      </c>
      <c r="K951" s="15" t="n">
        <v>60</v>
      </c>
      <c r="L951" s="15" t="n">
        <v>33</v>
      </c>
      <c r="M951" s="15" t="n">
        <v>128</v>
      </c>
      <c r="N951" s="15" t="n">
        <v>0</v>
      </c>
      <c r="O951" s="15" t="n">
        <v>0</v>
      </c>
      <c r="P951" s="16" t="n">
        <v>0</v>
      </c>
      <c r="Q951" s="15" t="n">
        <v>0</v>
      </c>
      <c r="R951" s="15" t="n">
        <v>0</v>
      </c>
      <c r="S951" s="17" t="n">
        <v>104933</v>
      </c>
      <c r="T951" s="15" t="s">
        <v>164</v>
      </c>
      <c r="U951" s="15" t="n">
        <v>2028</v>
      </c>
      <c r="V951" s="15" t="s">
        <v>2724</v>
      </c>
      <c r="W951" s="18" t="s">
        <v>139</v>
      </c>
      <c r="X951" s="18" t="s">
        <v>473</v>
      </c>
      <c r="Y951" s="15" t="s">
        <v>600</v>
      </c>
      <c r="Z951" s="15" t="s">
        <v>600</v>
      </c>
      <c r="AA951" s="19" t="str">
        <f aca="false">HYPERLINK("https://www.transfermarkt.com/schnellsuche/ergebnis/schnellsuche?query="&amp;SUBSTITUTE(A951," ","+"),"Search Transfermarkt")</f>
        <v>Search Transfermarkt</v>
      </c>
    </row>
    <row r="952" customFormat="false" ht="23.85" hidden="false" customHeight="false" outlineLevel="0" collapsed="false">
      <c r="A952" s="15" t="s">
        <v>2725</v>
      </c>
      <c r="B952" s="15" t="s">
        <v>80</v>
      </c>
      <c r="C952" s="15" t="s">
        <v>322</v>
      </c>
      <c r="D952" s="15" t="n">
        <v>2</v>
      </c>
      <c r="E952" s="15" t="s">
        <v>2726</v>
      </c>
      <c r="F952" s="15" t="s">
        <v>170</v>
      </c>
      <c r="G952" s="15" t="n">
        <v>22</v>
      </c>
      <c r="H952" s="15" t="n">
        <v>1051</v>
      </c>
      <c r="I952" s="15" t="n">
        <v>8</v>
      </c>
      <c r="J952" s="15" t="n">
        <v>9</v>
      </c>
      <c r="K952" s="15" t="n">
        <v>168</v>
      </c>
      <c r="L952" s="15" t="n">
        <v>74</v>
      </c>
      <c r="M952" s="15" t="n">
        <v>55</v>
      </c>
      <c r="N952" s="15" t="n">
        <v>0</v>
      </c>
      <c r="O952" s="15" t="n">
        <v>0</v>
      </c>
      <c r="P952" s="16" t="n">
        <v>0</v>
      </c>
      <c r="Q952" s="15" t="n">
        <v>0</v>
      </c>
      <c r="R952" s="15" t="n">
        <v>0</v>
      </c>
      <c r="S952" s="17" t="n">
        <v>0</v>
      </c>
      <c r="T952" s="15" t="s">
        <v>164</v>
      </c>
      <c r="U952" s="15" t="n">
        <v>2027</v>
      </c>
      <c r="V952" s="15" t="s">
        <v>2727</v>
      </c>
      <c r="W952" s="18" t="s">
        <v>139</v>
      </c>
      <c r="X952" s="18" t="s">
        <v>304</v>
      </c>
      <c r="Y952" s="15" t="s">
        <v>600</v>
      </c>
      <c r="Z952" s="15" t="s">
        <v>600</v>
      </c>
      <c r="AA952" s="19" t="str">
        <f aca="false">HYPERLINK("https://www.transfermarkt.com/schnellsuche/ergebnis/schnellsuche?query="&amp;SUBSTITUTE(A952," ","+"),"Search Transfermarkt")</f>
        <v>Search Transfermarkt</v>
      </c>
    </row>
    <row r="953" customFormat="false" ht="23.85" hidden="false" customHeight="false" outlineLevel="0" collapsed="false">
      <c r="A953" s="15" t="s">
        <v>2728</v>
      </c>
      <c r="B953" s="15" t="s">
        <v>98</v>
      </c>
      <c r="C953" s="15" t="s">
        <v>2595</v>
      </c>
      <c r="D953" s="15" t="n">
        <v>4</v>
      </c>
      <c r="E953" s="15" t="s">
        <v>2729</v>
      </c>
      <c r="F953" s="15" t="s">
        <v>170</v>
      </c>
      <c r="G953" s="15" t="n">
        <v>22</v>
      </c>
      <c r="H953" s="15" t="n">
        <v>2331</v>
      </c>
      <c r="I953" s="15" t="n">
        <v>8</v>
      </c>
      <c r="J953" s="15" t="n">
        <v>9</v>
      </c>
      <c r="K953" s="15" t="n">
        <v>131</v>
      </c>
      <c r="L953" s="15" t="n">
        <v>97</v>
      </c>
      <c r="M953" s="15" t="n">
        <v>33</v>
      </c>
      <c r="N953" s="15" t="n">
        <v>0</v>
      </c>
      <c r="O953" s="15" t="n">
        <v>0</v>
      </c>
      <c r="P953" s="16" t="n">
        <v>0</v>
      </c>
      <c r="Q953" s="15" t="n">
        <v>0</v>
      </c>
      <c r="R953" s="15" t="n">
        <v>0</v>
      </c>
      <c r="S953" s="17" t="n">
        <v>54276</v>
      </c>
      <c r="T953" s="15" t="s">
        <v>186</v>
      </c>
      <c r="U953" s="15" t="n">
        <v>2026</v>
      </c>
      <c r="V953" s="15" t="s">
        <v>2730</v>
      </c>
      <c r="W953" s="18" t="s">
        <v>188</v>
      </c>
      <c r="X953" s="18" t="s">
        <v>148</v>
      </c>
      <c r="Y953" s="15" t="s">
        <v>600</v>
      </c>
      <c r="Z953" s="15" t="s">
        <v>600</v>
      </c>
      <c r="AA953" s="19" t="str">
        <f aca="false">HYPERLINK("https://www.transfermarkt.com/schnellsuche/ergebnis/schnellsuche?query="&amp;SUBSTITUTE(A953," ","+"),"Search Transfermarkt")</f>
        <v>Search Transfermarkt</v>
      </c>
    </row>
    <row r="954" customFormat="false" ht="23.85" hidden="false" customHeight="false" outlineLevel="0" collapsed="false">
      <c r="A954" s="15" t="s">
        <v>2731</v>
      </c>
      <c r="B954" s="15" t="s">
        <v>98</v>
      </c>
      <c r="C954" s="15" t="s">
        <v>1078</v>
      </c>
      <c r="D954" s="15" t="n">
        <v>3</v>
      </c>
      <c r="E954" s="15" t="s">
        <v>2732</v>
      </c>
      <c r="F954" s="15" t="s">
        <v>170</v>
      </c>
      <c r="G954" s="15" t="n">
        <v>21</v>
      </c>
      <c r="H954" s="15" t="n">
        <v>2249</v>
      </c>
      <c r="I954" s="15" t="n">
        <v>10</v>
      </c>
      <c r="J954" s="15" t="n">
        <v>4</v>
      </c>
      <c r="K954" s="15" t="n">
        <v>136</v>
      </c>
      <c r="L954" s="15" t="n">
        <v>89</v>
      </c>
      <c r="M954" s="15" t="n">
        <v>28</v>
      </c>
      <c r="N954" s="15" t="n">
        <v>0</v>
      </c>
      <c r="O954" s="15" t="n">
        <v>0</v>
      </c>
      <c r="P954" s="16" t="n">
        <v>0</v>
      </c>
      <c r="Q954" s="15" t="n">
        <v>0</v>
      </c>
      <c r="R954" s="15" t="n">
        <v>0</v>
      </c>
      <c r="S954" s="17" t="n">
        <v>29579</v>
      </c>
      <c r="T954" s="15" t="s">
        <v>137</v>
      </c>
      <c r="U954" s="15" t="n">
        <v>2028</v>
      </c>
      <c r="V954" s="15" t="s">
        <v>2733</v>
      </c>
      <c r="W954" s="18" t="s">
        <v>139</v>
      </c>
      <c r="X954" s="18" t="s">
        <v>148</v>
      </c>
      <c r="Y954" s="15" t="s">
        <v>600</v>
      </c>
      <c r="Z954" s="15" t="s">
        <v>600</v>
      </c>
      <c r="AA954" s="19" t="str">
        <f aca="false">HYPERLINK("https://www.transfermarkt.com/schnellsuche/ergebnis/schnellsuche?query="&amp;SUBSTITUTE(A954," ","+"),"Search Transfermarkt")</f>
        <v>Search Transfermarkt</v>
      </c>
    </row>
    <row r="955" customFormat="false" ht="23.85" hidden="false" customHeight="false" outlineLevel="0" collapsed="false">
      <c r="A955" s="15" t="s">
        <v>2734</v>
      </c>
      <c r="B955" s="15" t="s">
        <v>89</v>
      </c>
      <c r="C955" s="15" t="s">
        <v>1298</v>
      </c>
      <c r="D955" s="15" t="n">
        <v>3</v>
      </c>
      <c r="E955" s="15" t="s">
        <v>1299</v>
      </c>
      <c r="F955" s="15" t="s">
        <v>136</v>
      </c>
      <c r="G955" s="15" t="n">
        <v>20</v>
      </c>
      <c r="H955" s="15" t="n">
        <v>1332</v>
      </c>
      <c r="I955" s="15" t="n">
        <v>2</v>
      </c>
      <c r="J955" s="15" t="n">
        <v>1</v>
      </c>
      <c r="K955" s="15" t="n">
        <v>60</v>
      </c>
      <c r="L955" s="15" t="n">
        <v>30</v>
      </c>
      <c r="M955" s="15" t="n">
        <v>127</v>
      </c>
      <c r="N955" s="15" t="n">
        <v>0</v>
      </c>
      <c r="O955" s="15" t="n">
        <v>0</v>
      </c>
      <c r="P955" s="16" t="n">
        <v>0</v>
      </c>
      <c r="Q955" s="15" t="n">
        <v>0</v>
      </c>
      <c r="R955" s="15" t="n">
        <v>0</v>
      </c>
      <c r="S955" s="17" t="n">
        <v>40683</v>
      </c>
      <c r="T955" s="15" t="s">
        <v>186</v>
      </c>
      <c r="U955" s="15" t="n">
        <v>2028</v>
      </c>
      <c r="V955" s="15" t="s">
        <v>1300</v>
      </c>
      <c r="W955" s="18" t="s">
        <v>188</v>
      </c>
      <c r="X955" s="18" t="s">
        <v>206</v>
      </c>
      <c r="Y955" s="15" t="s">
        <v>600</v>
      </c>
      <c r="Z955" s="15" t="s">
        <v>600</v>
      </c>
      <c r="AA955" s="19" t="str">
        <f aca="false">HYPERLINK("https://www.transfermarkt.com/schnellsuche/ergebnis/schnellsuche?query="&amp;SUBSTITUTE(A955," ","+"),"Search Transfermarkt")</f>
        <v>Search Transfermarkt</v>
      </c>
    </row>
    <row r="956" customFormat="false" ht="23.85" hidden="false" customHeight="false" outlineLevel="0" collapsed="false">
      <c r="A956" s="15" t="s">
        <v>2735</v>
      </c>
      <c r="B956" s="15" t="s">
        <v>96</v>
      </c>
      <c r="C956" s="15" t="s">
        <v>790</v>
      </c>
      <c r="D956" s="15" t="n">
        <v>2</v>
      </c>
      <c r="E956" s="15" t="s">
        <v>2736</v>
      </c>
      <c r="F956" s="15" t="s">
        <v>136</v>
      </c>
      <c r="G956" s="15" t="n">
        <v>22</v>
      </c>
      <c r="H956" s="15" t="n">
        <v>2087</v>
      </c>
      <c r="I956" s="15" t="n">
        <v>2</v>
      </c>
      <c r="J956" s="15" t="n">
        <v>4</v>
      </c>
      <c r="K956" s="15" t="n">
        <v>47</v>
      </c>
      <c r="L956" s="15" t="n">
        <v>38</v>
      </c>
      <c r="M956" s="15" t="n">
        <v>95</v>
      </c>
      <c r="N956" s="15" t="n">
        <v>0</v>
      </c>
      <c r="O956" s="15" t="n">
        <v>0</v>
      </c>
      <c r="P956" s="16" t="n">
        <v>0</v>
      </c>
      <c r="Q956" s="15" t="n">
        <v>0</v>
      </c>
      <c r="R956" s="15" t="n">
        <v>0</v>
      </c>
      <c r="S956" s="17" t="n">
        <v>67978</v>
      </c>
      <c r="T956" s="15" t="s">
        <v>137</v>
      </c>
      <c r="U956" s="15" t="n">
        <v>2026</v>
      </c>
      <c r="V956" s="15" t="s">
        <v>2737</v>
      </c>
      <c r="W956" s="18" t="s">
        <v>139</v>
      </c>
      <c r="X956" s="18" t="s">
        <v>216</v>
      </c>
      <c r="Y956" s="15" t="s">
        <v>600</v>
      </c>
      <c r="Z956" s="15" t="s">
        <v>600</v>
      </c>
      <c r="AA956" s="19" t="str">
        <f aca="false">HYPERLINK("https://www.transfermarkt.com/schnellsuche/ergebnis/schnellsuche?query="&amp;SUBSTITUTE(A956," ","+"),"Search Transfermarkt")</f>
        <v>Search Transfermarkt</v>
      </c>
    </row>
    <row r="957" customFormat="false" ht="23.85" hidden="false" customHeight="false" outlineLevel="0" collapsed="false">
      <c r="A957" s="15" t="s">
        <v>2738</v>
      </c>
      <c r="B957" s="15" t="s">
        <v>98</v>
      </c>
      <c r="C957" s="15" t="s">
        <v>2002</v>
      </c>
      <c r="D957" s="15" t="n">
        <v>3</v>
      </c>
      <c r="E957" s="15" t="s">
        <v>2739</v>
      </c>
      <c r="F957" s="15" t="s">
        <v>157</v>
      </c>
      <c r="G957" s="15" t="n">
        <v>17</v>
      </c>
      <c r="H957" s="15" t="n">
        <v>1713</v>
      </c>
      <c r="I957" s="15" t="n">
        <v>0</v>
      </c>
      <c r="J957" s="15" t="n">
        <v>0</v>
      </c>
      <c r="K957" s="15" t="n">
        <v>17</v>
      </c>
      <c r="L957" s="15" t="n">
        <v>6</v>
      </c>
      <c r="M957" s="15" t="n">
        <v>7</v>
      </c>
      <c r="N957" s="15" t="n">
        <v>65</v>
      </c>
      <c r="O957" s="15" t="n">
        <v>25</v>
      </c>
      <c r="P957" s="16" t="n">
        <v>86.3</v>
      </c>
      <c r="Q957" s="15" t="n">
        <v>15.7</v>
      </c>
      <c r="R957" s="15" t="n">
        <v>7</v>
      </c>
      <c r="S957" s="17" t="n">
        <v>50718</v>
      </c>
      <c r="T957" s="15" t="s">
        <v>164</v>
      </c>
      <c r="U957" s="15" t="n">
        <v>2027</v>
      </c>
      <c r="V957" s="15" t="s">
        <v>2740</v>
      </c>
      <c r="W957" s="18" t="s">
        <v>147</v>
      </c>
      <c r="X957" s="18" t="s">
        <v>148</v>
      </c>
      <c r="Y957" s="15" t="s">
        <v>600</v>
      </c>
      <c r="Z957" s="15" t="s">
        <v>600</v>
      </c>
      <c r="AA957" s="19" t="str">
        <f aca="false">HYPERLINK("https://www.transfermarkt.com/schnellsuche/ergebnis/schnellsuche?query="&amp;SUBSTITUTE(A957," ","+"),"Search Transfermarkt")</f>
        <v>Search Transfermarkt</v>
      </c>
    </row>
    <row r="958" customFormat="false" ht="23.85" hidden="false" customHeight="false" outlineLevel="0" collapsed="false">
      <c r="A958" s="15" t="s">
        <v>2741</v>
      </c>
      <c r="B958" s="15" t="s">
        <v>79</v>
      </c>
      <c r="C958" s="15" t="s">
        <v>513</v>
      </c>
      <c r="D958" s="15" t="n">
        <v>3</v>
      </c>
      <c r="E958" s="15" t="s">
        <v>2742</v>
      </c>
      <c r="F958" s="15" t="s">
        <v>170</v>
      </c>
      <c r="G958" s="15" t="n">
        <v>25</v>
      </c>
      <c r="H958" s="15" t="n">
        <v>2694</v>
      </c>
      <c r="I958" s="15" t="n">
        <v>7</v>
      </c>
      <c r="J958" s="15" t="n">
        <v>9</v>
      </c>
      <c r="K958" s="15" t="n">
        <v>110</v>
      </c>
      <c r="L958" s="15" t="n">
        <v>61</v>
      </c>
      <c r="M958" s="15" t="n">
        <v>37</v>
      </c>
      <c r="N958" s="15" t="n">
        <v>0</v>
      </c>
      <c r="O958" s="15" t="n">
        <v>0</v>
      </c>
      <c r="P958" s="16" t="n">
        <v>0</v>
      </c>
      <c r="Q958" s="15" t="n">
        <v>0</v>
      </c>
      <c r="R958" s="15" t="n">
        <v>0</v>
      </c>
      <c r="S958" s="17" t="n">
        <v>32213</v>
      </c>
      <c r="T958" s="15" t="s">
        <v>137</v>
      </c>
      <c r="U958" s="15" t="n">
        <v>2028</v>
      </c>
      <c r="V958" s="15" t="s">
        <v>2743</v>
      </c>
      <c r="W958" s="18" t="s">
        <v>139</v>
      </c>
      <c r="X958" s="18" t="s">
        <v>412</v>
      </c>
      <c r="Y958" s="15" t="s">
        <v>600</v>
      </c>
      <c r="Z958" s="15" t="s">
        <v>600</v>
      </c>
      <c r="AA958" s="19" t="str">
        <f aca="false">HYPERLINK("https://www.transfermarkt.com/schnellsuche/ergebnis/schnellsuche?query="&amp;SUBSTITUTE(A958," ","+"),"Search Transfermarkt")</f>
        <v>Search Transfermarkt</v>
      </c>
    </row>
    <row r="959" customFormat="false" ht="23.85" hidden="false" customHeight="false" outlineLevel="0" collapsed="false">
      <c r="A959" s="15" t="s">
        <v>2744</v>
      </c>
      <c r="B959" s="15" t="s">
        <v>71</v>
      </c>
      <c r="C959" s="15" t="s">
        <v>360</v>
      </c>
      <c r="D959" s="15" t="n">
        <v>2</v>
      </c>
      <c r="E959" s="15" t="s">
        <v>2745</v>
      </c>
      <c r="F959" s="15" t="s">
        <v>157</v>
      </c>
      <c r="G959" s="15" t="n">
        <v>25</v>
      </c>
      <c r="H959" s="15" t="n">
        <v>1113</v>
      </c>
      <c r="I959" s="15" t="n">
        <v>0</v>
      </c>
      <c r="J959" s="15" t="n">
        <v>0</v>
      </c>
      <c r="K959" s="15" t="n">
        <v>6</v>
      </c>
      <c r="L959" s="15" t="n">
        <v>5</v>
      </c>
      <c r="M959" s="15" t="n">
        <v>6</v>
      </c>
      <c r="N959" s="15" t="n">
        <v>51</v>
      </c>
      <c r="O959" s="15" t="n">
        <v>13</v>
      </c>
      <c r="P959" s="16" t="n">
        <v>58.4</v>
      </c>
      <c r="Q959" s="15" t="n">
        <v>17.4</v>
      </c>
      <c r="R959" s="15" t="n">
        <v>5</v>
      </c>
      <c r="S959" s="17" t="n">
        <v>56494</v>
      </c>
      <c r="T959" s="15" t="s">
        <v>186</v>
      </c>
      <c r="U959" s="15" t="n">
        <v>2027</v>
      </c>
      <c r="V959" s="15" t="s">
        <v>2746</v>
      </c>
      <c r="W959" s="18" t="s">
        <v>188</v>
      </c>
      <c r="X959" s="18" t="s">
        <v>177</v>
      </c>
      <c r="Y959" s="15" t="s">
        <v>600</v>
      </c>
      <c r="Z959" s="15" t="s">
        <v>600</v>
      </c>
      <c r="AA959" s="19" t="str">
        <f aca="false">HYPERLINK("https://www.transfermarkt.com/schnellsuche/ergebnis/schnellsuche?query="&amp;SUBSTITUTE(A959," ","+"),"Search Transfermarkt")</f>
        <v>Search Transfermarkt</v>
      </c>
    </row>
    <row r="960" customFormat="false" ht="23.85" hidden="false" customHeight="false" outlineLevel="0" collapsed="false">
      <c r="A960" s="15" t="s">
        <v>2747</v>
      </c>
      <c r="B960" s="15" t="s">
        <v>104</v>
      </c>
      <c r="C960" s="15" t="s">
        <v>313</v>
      </c>
      <c r="D960" s="15" t="n">
        <v>3</v>
      </c>
      <c r="E960" s="15" t="s">
        <v>1754</v>
      </c>
      <c r="F960" s="15" t="s">
        <v>163</v>
      </c>
      <c r="G960" s="15" t="n">
        <v>21</v>
      </c>
      <c r="H960" s="15" t="n">
        <v>1453</v>
      </c>
      <c r="I960" s="15" t="n">
        <v>16</v>
      </c>
      <c r="J960" s="15" t="n">
        <v>9</v>
      </c>
      <c r="K960" s="15" t="n">
        <v>44</v>
      </c>
      <c r="L960" s="15" t="n">
        <v>89</v>
      </c>
      <c r="M960" s="15" t="n">
        <v>8</v>
      </c>
      <c r="N960" s="15" t="n">
        <v>0</v>
      </c>
      <c r="O960" s="15" t="n">
        <v>0</v>
      </c>
      <c r="P960" s="16" t="n">
        <v>0</v>
      </c>
      <c r="Q960" s="15" t="n">
        <v>0</v>
      </c>
      <c r="R960" s="15" t="n">
        <v>0</v>
      </c>
      <c r="S960" s="17" t="n">
        <v>135052</v>
      </c>
      <c r="T960" s="15" t="s">
        <v>186</v>
      </c>
      <c r="U960" s="15" t="n">
        <v>2027</v>
      </c>
      <c r="V960" s="15" t="s">
        <v>1755</v>
      </c>
      <c r="W960" s="18" t="s">
        <v>188</v>
      </c>
      <c r="X960" s="18" t="s">
        <v>274</v>
      </c>
      <c r="Y960" s="15" t="s">
        <v>600</v>
      </c>
      <c r="Z960" s="15" t="s">
        <v>600</v>
      </c>
      <c r="AA960" s="19" t="str">
        <f aca="false">HYPERLINK("https://www.transfermarkt.com/schnellsuche/ergebnis/schnellsuche?query="&amp;SUBSTITUTE(A960," ","+"),"Search Transfermarkt")</f>
        <v>Search Transfermarkt</v>
      </c>
    </row>
    <row r="961" customFormat="false" ht="23.85" hidden="false" customHeight="false" outlineLevel="0" collapsed="false">
      <c r="A961" s="15" t="s">
        <v>2748</v>
      </c>
      <c r="B961" s="15" t="s">
        <v>67</v>
      </c>
      <c r="C961" s="15" t="s">
        <v>1281</v>
      </c>
      <c r="D961" s="15" t="n">
        <v>3</v>
      </c>
      <c r="E961" s="15" t="s">
        <v>2265</v>
      </c>
      <c r="F961" s="15" t="s">
        <v>170</v>
      </c>
      <c r="G961" s="15" t="n">
        <v>21</v>
      </c>
      <c r="H961" s="15" t="n">
        <v>1430</v>
      </c>
      <c r="I961" s="15" t="n">
        <v>1</v>
      </c>
      <c r="J961" s="15" t="n">
        <v>6</v>
      </c>
      <c r="K961" s="15" t="n">
        <v>122</v>
      </c>
      <c r="L961" s="15" t="n">
        <v>81</v>
      </c>
      <c r="M961" s="15" t="n">
        <v>57</v>
      </c>
      <c r="N961" s="15" t="n">
        <v>0</v>
      </c>
      <c r="O961" s="15" t="n">
        <v>0</v>
      </c>
      <c r="P961" s="16" t="n">
        <v>0</v>
      </c>
      <c r="Q961" s="15" t="n">
        <v>0</v>
      </c>
      <c r="R961" s="15" t="n">
        <v>0</v>
      </c>
      <c r="S961" s="17" t="n">
        <v>62327</v>
      </c>
      <c r="T961" s="15" t="s">
        <v>164</v>
      </c>
      <c r="U961" s="15" t="n">
        <v>2028</v>
      </c>
      <c r="V961" s="15" t="s">
        <v>2266</v>
      </c>
      <c r="W961" s="18" t="s">
        <v>139</v>
      </c>
      <c r="X961" s="18" t="s">
        <v>236</v>
      </c>
      <c r="Y961" s="15" t="s">
        <v>600</v>
      </c>
      <c r="Z961" s="15" t="s">
        <v>600</v>
      </c>
      <c r="AA961" s="19" t="str">
        <f aca="false">HYPERLINK("https://www.transfermarkt.com/schnellsuche/ergebnis/schnellsuche?query="&amp;SUBSTITUTE(A961," ","+"),"Search Transfermarkt")</f>
        <v>Search Transfermarkt</v>
      </c>
    </row>
    <row r="962" customFormat="false" ht="23.85" hidden="false" customHeight="false" outlineLevel="0" collapsed="false">
      <c r="A962" s="15" t="s">
        <v>2749</v>
      </c>
      <c r="B962" s="15" t="s">
        <v>83</v>
      </c>
      <c r="C962" s="15" t="s">
        <v>1255</v>
      </c>
      <c r="D962" s="15" t="n">
        <v>2</v>
      </c>
      <c r="E962" s="15" t="s">
        <v>435</v>
      </c>
      <c r="F962" s="15" t="s">
        <v>170</v>
      </c>
      <c r="G962" s="15" t="n">
        <v>26</v>
      </c>
      <c r="H962" s="15" t="n">
        <v>1957</v>
      </c>
      <c r="I962" s="15" t="n">
        <v>3</v>
      </c>
      <c r="J962" s="15" t="n">
        <v>14</v>
      </c>
      <c r="K962" s="15" t="n">
        <v>156</v>
      </c>
      <c r="L962" s="15" t="n">
        <v>81</v>
      </c>
      <c r="M962" s="15" t="n">
        <v>39</v>
      </c>
      <c r="N962" s="15" t="n">
        <v>0</v>
      </c>
      <c r="O962" s="15" t="n">
        <v>0</v>
      </c>
      <c r="P962" s="16" t="n">
        <v>0</v>
      </c>
      <c r="Q962" s="15" t="n">
        <v>0</v>
      </c>
      <c r="R962" s="15" t="n">
        <v>0</v>
      </c>
      <c r="S962" s="17" t="n">
        <v>61576</v>
      </c>
      <c r="T962" s="15" t="s">
        <v>164</v>
      </c>
      <c r="U962" s="15" t="n">
        <v>2028</v>
      </c>
      <c r="V962" s="15" t="s">
        <v>436</v>
      </c>
      <c r="W962" s="18" t="s">
        <v>139</v>
      </c>
      <c r="X962" s="18" t="s">
        <v>379</v>
      </c>
      <c r="Y962" s="15" t="s">
        <v>600</v>
      </c>
      <c r="Z962" s="15" t="s">
        <v>600</v>
      </c>
      <c r="AA962" s="19" t="str">
        <f aca="false">HYPERLINK("https://www.transfermarkt.com/schnellsuche/ergebnis/schnellsuche?query="&amp;SUBSTITUTE(A962," ","+"),"Search Transfermarkt")</f>
        <v>Search Transfermarkt</v>
      </c>
    </row>
    <row r="963" customFormat="false" ht="23.85" hidden="false" customHeight="false" outlineLevel="0" collapsed="false">
      <c r="A963" s="15" t="s">
        <v>2750</v>
      </c>
      <c r="B963" s="15" t="s">
        <v>76</v>
      </c>
      <c r="C963" s="15" t="s">
        <v>1498</v>
      </c>
      <c r="D963" s="15" t="n">
        <v>4</v>
      </c>
      <c r="E963" s="15" t="s">
        <v>2751</v>
      </c>
      <c r="F963" s="15" t="s">
        <v>170</v>
      </c>
      <c r="G963" s="15" t="n">
        <v>26</v>
      </c>
      <c r="H963" s="15" t="n">
        <v>1457</v>
      </c>
      <c r="I963" s="15" t="n">
        <v>6</v>
      </c>
      <c r="J963" s="15" t="n">
        <v>7</v>
      </c>
      <c r="K963" s="15" t="n">
        <v>139</v>
      </c>
      <c r="L963" s="15" t="n">
        <v>57</v>
      </c>
      <c r="M963" s="15" t="n">
        <v>37</v>
      </c>
      <c r="N963" s="15" t="n">
        <v>0</v>
      </c>
      <c r="O963" s="15" t="n">
        <v>0</v>
      </c>
      <c r="P963" s="16" t="n">
        <v>0</v>
      </c>
      <c r="Q963" s="15" t="n">
        <v>0</v>
      </c>
      <c r="R963" s="15" t="n">
        <v>0</v>
      </c>
      <c r="S963" s="17" t="n">
        <v>16032</v>
      </c>
      <c r="T963" s="15" t="s">
        <v>164</v>
      </c>
      <c r="U963" s="15" t="n">
        <v>2027</v>
      </c>
      <c r="V963" s="15" t="s">
        <v>2752</v>
      </c>
      <c r="W963" s="18" t="s">
        <v>139</v>
      </c>
      <c r="X963" s="18" t="s">
        <v>241</v>
      </c>
      <c r="Y963" s="15" t="s">
        <v>600</v>
      </c>
      <c r="Z963" s="15" t="s">
        <v>600</v>
      </c>
      <c r="AA963" s="19" t="str">
        <f aca="false">HYPERLINK("https://www.transfermarkt.com/schnellsuche/ergebnis/schnellsuche?query="&amp;SUBSTITUTE(A963," ","+"),"Search Transfermarkt")</f>
        <v>Search Transfermarkt</v>
      </c>
    </row>
    <row r="964" customFormat="false" ht="23.85" hidden="false" customHeight="false" outlineLevel="0" collapsed="false">
      <c r="A964" s="15" t="s">
        <v>2753</v>
      </c>
      <c r="B964" s="15" t="s">
        <v>92</v>
      </c>
      <c r="C964" s="15" t="s">
        <v>309</v>
      </c>
      <c r="D964" s="15" t="n">
        <v>2</v>
      </c>
      <c r="E964" s="15" t="s">
        <v>2754</v>
      </c>
      <c r="F964" s="15" t="s">
        <v>170</v>
      </c>
      <c r="G964" s="15" t="n">
        <v>20</v>
      </c>
      <c r="H964" s="15" t="n">
        <v>2307</v>
      </c>
      <c r="I964" s="15" t="n">
        <v>9</v>
      </c>
      <c r="J964" s="15" t="n">
        <v>14</v>
      </c>
      <c r="K964" s="15" t="n">
        <v>114</v>
      </c>
      <c r="L964" s="15" t="n">
        <v>60</v>
      </c>
      <c r="M964" s="15" t="n">
        <v>30</v>
      </c>
      <c r="N964" s="15" t="n">
        <v>0</v>
      </c>
      <c r="O964" s="15" t="n">
        <v>0</v>
      </c>
      <c r="P964" s="16" t="n">
        <v>0</v>
      </c>
      <c r="Q964" s="15" t="n">
        <v>0</v>
      </c>
      <c r="R964" s="15" t="n">
        <v>0</v>
      </c>
      <c r="S964" s="17" t="n">
        <v>23933</v>
      </c>
      <c r="T964" s="15" t="s">
        <v>164</v>
      </c>
      <c r="U964" s="15" t="n">
        <v>2028</v>
      </c>
      <c r="V964" s="15" t="s">
        <v>2755</v>
      </c>
      <c r="W964" s="18" t="s">
        <v>139</v>
      </c>
      <c r="X964" s="18" t="s">
        <v>159</v>
      </c>
      <c r="Y964" s="15" t="s">
        <v>600</v>
      </c>
      <c r="Z964" s="15" t="s">
        <v>600</v>
      </c>
      <c r="AA964" s="19" t="str">
        <f aca="false">HYPERLINK("https://www.transfermarkt.com/schnellsuche/ergebnis/schnellsuche?query="&amp;SUBSTITUTE(A964," ","+"),"Search Transfermarkt")</f>
        <v>Search Transfermarkt</v>
      </c>
    </row>
    <row r="965" customFormat="false" ht="23.85" hidden="false" customHeight="false" outlineLevel="0" collapsed="false">
      <c r="A965" s="15" t="s">
        <v>2756</v>
      </c>
      <c r="B965" s="15" t="s">
        <v>68</v>
      </c>
      <c r="C965" s="15" t="s">
        <v>687</v>
      </c>
      <c r="D965" s="15" t="n">
        <v>3</v>
      </c>
      <c r="E965" s="15" t="s">
        <v>1694</v>
      </c>
      <c r="F965" s="15" t="s">
        <v>170</v>
      </c>
      <c r="G965" s="15" t="n">
        <v>24</v>
      </c>
      <c r="H965" s="15" t="n">
        <v>2459</v>
      </c>
      <c r="I965" s="15" t="n">
        <v>5</v>
      </c>
      <c r="J965" s="15" t="n">
        <v>5</v>
      </c>
      <c r="K965" s="15" t="n">
        <v>142</v>
      </c>
      <c r="L965" s="15" t="n">
        <v>83</v>
      </c>
      <c r="M965" s="15" t="n">
        <v>55</v>
      </c>
      <c r="N965" s="15" t="n">
        <v>0</v>
      </c>
      <c r="O965" s="15" t="n">
        <v>0</v>
      </c>
      <c r="P965" s="16" t="n">
        <v>0</v>
      </c>
      <c r="Q965" s="15" t="n">
        <v>0</v>
      </c>
      <c r="R965" s="15" t="n">
        <v>0</v>
      </c>
      <c r="S965" s="17" t="n">
        <v>74806</v>
      </c>
      <c r="T965" s="15" t="s">
        <v>186</v>
      </c>
      <c r="U965" s="15" t="n">
        <v>2026</v>
      </c>
      <c r="V965" s="15" t="s">
        <v>1695</v>
      </c>
      <c r="W965" s="18" t="s">
        <v>188</v>
      </c>
      <c r="X965" s="18" t="s">
        <v>153</v>
      </c>
      <c r="Y965" s="15" t="s">
        <v>600</v>
      </c>
      <c r="Z965" s="15" t="s">
        <v>600</v>
      </c>
      <c r="AA965" s="19" t="str">
        <f aca="false">HYPERLINK("https://www.transfermarkt.com/schnellsuche/ergebnis/schnellsuche?query="&amp;SUBSTITUTE(A965," ","+"),"Search Transfermarkt")</f>
        <v>Search Transfermarkt</v>
      </c>
    </row>
    <row r="966" customFormat="false" ht="23.85" hidden="false" customHeight="false" outlineLevel="0" collapsed="false">
      <c r="A966" s="15" t="s">
        <v>2757</v>
      </c>
      <c r="B966" s="15" t="s">
        <v>90</v>
      </c>
      <c r="C966" s="15" t="s">
        <v>418</v>
      </c>
      <c r="D966" s="15" t="n">
        <v>3</v>
      </c>
      <c r="E966" s="15" t="s">
        <v>2758</v>
      </c>
      <c r="F966" s="15" t="s">
        <v>163</v>
      </c>
      <c r="G966" s="15" t="n">
        <v>20</v>
      </c>
      <c r="H966" s="15" t="n">
        <v>1210</v>
      </c>
      <c r="I966" s="15" t="n">
        <v>18</v>
      </c>
      <c r="J966" s="15" t="n">
        <v>6</v>
      </c>
      <c r="K966" s="15" t="n">
        <v>45</v>
      </c>
      <c r="L966" s="15" t="n">
        <v>64</v>
      </c>
      <c r="M966" s="15" t="n">
        <v>15</v>
      </c>
      <c r="N966" s="15" t="n">
        <v>0</v>
      </c>
      <c r="O966" s="15" t="n">
        <v>0</v>
      </c>
      <c r="P966" s="16" t="n">
        <v>0</v>
      </c>
      <c r="Q966" s="15" t="n">
        <v>0</v>
      </c>
      <c r="R966" s="15" t="n">
        <v>0</v>
      </c>
      <c r="S966" s="17" t="n">
        <v>117939</v>
      </c>
      <c r="T966" s="15" t="s">
        <v>137</v>
      </c>
      <c r="U966" s="15" t="n">
        <v>2028</v>
      </c>
      <c r="V966" s="15" t="s">
        <v>2759</v>
      </c>
      <c r="W966" s="18" t="s">
        <v>139</v>
      </c>
      <c r="X966" s="18" t="s">
        <v>288</v>
      </c>
      <c r="Y966" s="15" t="s">
        <v>600</v>
      </c>
      <c r="Z966" s="15" t="s">
        <v>600</v>
      </c>
      <c r="AA966" s="19" t="str">
        <f aca="false">HYPERLINK("https://www.transfermarkt.com/schnellsuche/ergebnis/schnellsuche?query="&amp;SUBSTITUTE(A966," ","+"),"Search Transfermarkt")</f>
        <v>Search Transfermarkt</v>
      </c>
    </row>
    <row r="967" customFormat="false" ht="23.85" hidden="false" customHeight="false" outlineLevel="0" collapsed="false">
      <c r="A967" s="15" t="s">
        <v>2760</v>
      </c>
      <c r="B967" s="15" t="s">
        <v>75</v>
      </c>
      <c r="C967" s="15" t="s">
        <v>1221</v>
      </c>
      <c r="D967" s="15" t="n">
        <v>4</v>
      </c>
      <c r="E967" s="15" t="s">
        <v>2289</v>
      </c>
      <c r="F967" s="15" t="s">
        <v>157</v>
      </c>
      <c r="G967" s="15" t="n">
        <v>24</v>
      </c>
      <c r="H967" s="15" t="n">
        <v>2613</v>
      </c>
      <c r="I967" s="15" t="n">
        <v>0</v>
      </c>
      <c r="J967" s="15" t="n">
        <v>0</v>
      </c>
      <c r="K967" s="15" t="n">
        <v>12</v>
      </c>
      <c r="L967" s="15" t="n">
        <v>1</v>
      </c>
      <c r="M967" s="15" t="n">
        <v>4</v>
      </c>
      <c r="N967" s="15" t="n">
        <v>81</v>
      </c>
      <c r="O967" s="15" t="n">
        <v>29</v>
      </c>
      <c r="P967" s="16" t="n">
        <v>72.9</v>
      </c>
      <c r="Q967" s="15" t="n">
        <v>8.1</v>
      </c>
      <c r="R967" s="15" t="n">
        <v>8</v>
      </c>
      <c r="S967" s="17" t="n">
        <v>62764</v>
      </c>
      <c r="T967" s="15" t="s">
        <v>137</v>
      </c>
      <c r="U967" s="15" t="n">
        <v>2028</v>
      </c>
      <c r="V967" s="15" t="s">
        <v>2290</v>
      </c>
      <c r="W967" s="18" t="s">
        <v>139</v>
      </c>
      <c r="X967" s="18" t="s">
        <v>197</v>
      </c>
      <c r="Y967" s="15" t="s">
        <v>600</v>
      </c>
      <c r="Z967" s="15" t="s">
        <v>600</v>
      </c>
      <c r="AA967" s="19" t="str">
        <f aca="false">HYPERLINK("https://www.transfermarkt.com/schnellsuche/ergebnis/schnellsuche?query="&amp;SUBSTITUTE(A967," ","+"),"Search Transfermarkt")</f>
        <v>Search Transfermarkt</v>
      </c>
    </row>
    <row r="968" customFormat="false" ht="23.85" hidden="false" customHeight="false" outlineLevel="0" collapsed="false">
      <c r="A968" s="15" t="s">
        <v>2761</v>
      </c>
      <c r="B968" s="15" t="s">
        <v>81</v>
      </c>
      <c r="C968" s="15" t="s">
        <v>466</v>
      </c>
      <c r="D968" s="15" t="n">
        <v>3</v>
      </c>
      <c r="E968" s="15" t="s">
        <v>2762</v>
      </c>
      <c r="F968" s="15" t="s">
        <v>136</v>
      </c>
      <c r="G968" s="15" t="n">
        <v>20</v>
      </c>
      <c r="H968" s="15" t="n">
        <v>2213</v>
      </c>
      <c r="I968" s="15" t="n">
        <v>0</v>
      </c>
      <c r="J968" s="15" t="n">
        <v>4</v>
      </c>
      <c r="K968" s="15" t="n">
        <v>71</v>
      </c>
      <c r="L968" s="15" t="n">
        <v>21</v>
      </c>
      <c r="M968" s="15" t="n">
        <v>91</v>
      </c>
      <c r="N968" s="15" t="n">
        <v>0</v>
      </c>
      <c r="O968" s="15" t="n">
        <v>0</v>
      </c>
      <c r="P968" s="16" t="n">
        <v>0</v>
      </c>
      <c r="Q968" s="15" t="n">
        <v>0</v>
      </c>
      <c r="R968" s="15" t="n">
        <v>0</v>
      </c>
      <c r="S968" s="17" t="n">
        <v>0</v>
      </c>
      <c r="T968" s="15" t="s">
        <v>137</v>
      </c>
      <c r="U968" s="15" t="n">
        <v>2027</v>
      </c>
      <c r="V968" s="15" t="s">
        <v>2763</v>
      </c>
      <c r="W968" s="18" t="s">
        <v>139</v>
      </c>
      <c r="X968" s="18" t="s">
        <v>407</v>
      </c>
      <c r="Y968" s="15" t="s">
        <v>600</v>
      </c>
      <c r="Z968" s="15" t="s">
        <v>600</v>
      </c>
      <c r="AA968" s="19" t="str">
        <f aca="false">HYPERLINK("https://www.transfermarkt.com/schnellsuche/ergebnis/schnellsuche?query="&amp;SUBSTITUTE(A968," ","+"),"Search Transfermarkt")</f>
        <v>Search Transfermarkt</v>
      </c>
    </row>
    <row r="969" customFormat="false" ht="23.85" hidden="false" customHeight="false" outlineLevel="0" collapsed="false">
      <c r="A969" s="15" t="s">
        <v>2764</v>
      </c>
      <c r="B969" s="15" t="s">
        <v>87</v>
      </c>
      <c r="C969" s="15" t="s">
        <v>2349</v>
      </c>
      <c r="D969" s="15" t="n">
        <v>2</v>
      </c>
      <c r="E969" s="15" t="s">
        <v>2280</v>
      </c>
      <c r="F969" s="15" t="s">
        <v>163</v>
      </c>
      <c r="G969" s="15" t="n">
        <v>24</v>
      </c>
      <c r="H969" s="15" t="n">
        <v>2543</v>
      </c>
      <c r="I969" s="15" t="n">
        <v>12</v>
      </c>
      <c r="J969" s="15" t="n">
        <v>2</v>
      </c>
      <c r="K969" s="15" t="n">
        <v>55</v>
      </c>
      <c r="L969" s="15" t="n">
        <v>95</v>
      </c>
      <c r="M969" s="15" t="n">
        <v>8</v>
      </c>
      <c r="N969" s="15" t="n">
        <v>0</v>
      </c>
      <c r="O969" s="15" t="n">
        <v>0</v>
      </c>
      <c r="P969" s="16" t="n">
        <v>0</v>
      </c>
      <c r="Q969" s="15" t="n">
        <v>0</v>
      </c>
      <c r="R969" s="15" t="n">
        <v>0</v>
      </c>
      <c r="S969" s="17" t="n">
        <v>88911</v>
      </c>
      <c r="T969" s="15" t="s">
        <v>137</v>
      </c>
      <c r="U969" s="15" t="n">
        <v>2029</v>
      </c>
      <c r="V969" s="15" t="s">
        <v>2281</v>
      </c>
      <c r="W969" s="18" t="s">
        <v>139</v>
      </c>
      <c r="X969" s="18" t="s">
        <v>341</v>
      </c>
      <c r="Y969" s="15" t="s">
        <v>600</v>
      </c>
      <c r="Z969" s="15" t="s">
        <v>600</v>
      </c>
      <c r="AA969" s="19" t="str">
        <f aca="false">HYPERLINK("https://www.transfermarkt.com/schnellsuche/ergebnis/schnellsuche?query="&amp;SUBSTITUTE(A969," ","+"),"Search Transfermarkt")</f>
        <v>Search Transfermarkt</v>
      </c>
    </row>
    <row r="970" customFormat="false" ht="23.85" hidden="false" customHeight="false" outlineLevel="0" collapsed="false">
      <c r="A970" s="15" t="s">
        <v>2765</v>
      </c>
      <c r="B970" s="15" t="s">
        <v>79</v>
      </c>
      <c r="C970" s="15" t="s">
        <v>1770</v>
      </c>
      <c r="D970" s="15" t="n">
        <v>2</v>
      </c>
      <c r="E970" s="15" t="s">
        <v>2766</v>
      </c>
      <c r="F970" s="15" t="s">
        <v>157</v>
      </c>
      <c r="G970" s="15" t="n">
        <v>26</v>
      </c>
      <c r="H970" s="15" t="n">
        <v>2543</v>
      </c>
      <c r="I970" s="15" t="n">
        <v>0</v>
      </c>
      <c r="J970" s="15" t="n">
        <v>0</v>
      </c>
      <c r="K970" s="15" t="n">
        <v>11</v>
      </c>
      <c r="L970" s="15" t="n">
        <v>0</v>
      </c>
      <c r="M970" s="15" t="n">
        <v>7</v>
      </c>
      <c r="N970" s="15" t="n">
        <v>110</v>
      </c>
      <c r="O970" s="15" t="n">
        <v>31</v>
      </c>
      <c r="P970" s="16" t="n">
        <v>71.5</v>
      </c>
      <c r="Q970" s="15" t="n">
        <v>14.8</v>
      </c>
      <c r="R970" s="15" t="n">
        <v>10</v>
      </c>
      <c r="S970" s="17" t="n">
        <v>69184</v>
      </c>
      <c r="T970" s="15" t="s">
        <v>137</v>
      </c>
      <c r="U970" s="15" t="n">
        <v>2026</v>
      </c>
      <c r="V970" s="15" t="s">
        <v>2767</v>
      </c>
      <c r="W970" s="18" t="s">
        <v>139</v>
      </c>
      <c r="X970" s="18" t="s">
        <v>412</v>
      </c>
      <c r="Y970" s="15" t="s">
        <v>600</v>
      </c>
      <c r="Z970" s="15" t="s">
        <v>600</v>
      </c>
      <c r="AA970" s="19" t="str">
        <f aca="false">HYPERLINK("https://www.transfermarkt.com/schnellsuche/ergebnis/schnellsuche?query="&amp;SUBSTITUTE(A970," ","+"),"Search Transfermarkt")</f>
        <v>Search Transfermarkt</v>
      </c>
    </row>
    <row r="971" customFormat="false" ht="23.85" hidden="false" customHeight="false" outlineLevel="0" collapsed="false">
      <c r="A971" s="15" t="s">
        <v>2768</v>
      </c>
      <c r="B971" s="15" t="s">
        <v>88</v>
      </c>
      <c r="C971" s="15" t="s">
        <v>317</v>
      </c>
      <c r="D971" s="15" t="n">
        <v>4</v>
      </c>
      <c r="E971" s="15" t="s">
        <v>2769</v>
      </c>
      <c r="F971" s="15" t="s">
        <v>163</v>
      </c>
      <c r="G971" s="15" t="n">
        <v>25</v>
      </c>
      <c r="H971" s="15" t="n">
        <v>1626</v>
      </c>
      <c r="I971" s="15" t="n">
        <v>15</v>
      </c>
      <c r="J971" s="15" t="n">
        <v>9</v>
      </c>
      <c r="K971" s="15" t="n">
        <v>51</v>
      </c>
      <c r="L971" s="15" t="n">
        <v>73</v>
      </c>
      <c r="M971" s="15" t="n">
        <v>6</v>
      </c>
      <c r="N971" s="15" t="n">
        <v>0</v>
      </c>
      <c r="O971" s="15" t="n">
        <v>0</v>
      </c>
      <c r="P971" s="16" t="n">
        <v>0</v>
      </c>
      <c r="Q971" s="15" t="n">
        <v>0</v>
      </c>
      <c r="R971" s="15" t="n">
        <v>0</v>
      </c>
      <c r="S971" s="17" t="n">
        <v>0</v>
      </c>
      <c r="T971" s="15" t="s">
        <v>137</v>
      </c>
      <c r="U971" s="15" t="n">
        <v>2028</v>
      </c>
      <c r="V971" s="15" t="s">
        <v>2770</v>
      </c>
      <c r="W971" s="18" t="s">
        <v>139</v>
      </c>
      <c r="X971" s="18" t="s">
        <v>320</v>
      </c>
      <c r="Y971" s="15" t="s">
        <v>600</v>
      </c>
      <c r="Z971" s="15" t="s">
        <v>600</v>
      </c>
      <c r="AA971" s="19" t="str">
        <f aca="false">HYPERLINK("https://www.transfermarkt.com/schnellsuche/ergebnis/schnellsuche?query="&amp;SUBSTITUTE(A971," ","+"),"Search Transfermarkt")</f>
        <v>Search Transfermarkt</v>
      </c>
    </row>
    <row r="972" customFormat="false" ht="23.85" hidden="false" customHeight="false" outlineLevel="0" collapsed="false">
      <c r="A972" s="15" t="s">
        <v>2771</v>
      </c>
      <c r="B972" s="15" t="s">
        <v>83</v>
      </c>
      <c r="C972" s="15" t="s">
        <v>376</v>
      </c>
      <c r="D972" s="15" t="n">
        <v>3</v>
      </c>
      <c r="E972" s="15" t="s">
        <v>377</v>
      </c>
      <c r="F972" s="15" t="s">
        <v>157</v>
      </c>
      <c r="G972" s="15" t="n">
        <v>24</v>
      </c>
      <c r="H972" s="15" t="n">
        <v>2467</v>
      </c>
      <c r="I972" s="15" t="n">
        <v>0</v>
      </c>
      <c r="J972" s="15" t="n">
        <v>0</v>
      </c>
      <c r="K972" s="15" t="n">
        <v>6</v>
      </c>
      <c r="L972" s="15" t="n">
        <v>2</v>
      </c>
      <c r="M972" s="15" t="n">
        <v>9</v>
      </c>
      <c r="N972" s="15" t="n">
        <v>82</v>
      </c>
      <c r="O972" s="15" t="n">
        <v>36</v>
      </c>
      <c r="P972" s="16" t="n">
        <v>59.8</v>
      </c>
      <c r="Q972" s="15" t="n">
        <v>39.4</v>
      </c>
      <c r="R972" s="15" t="n">
        <v>10</v>
      </c>
      <c r="S972" s="17" t="n">
        <v>100895</v>
      </c>
      <c r="T972" s="15" t="s">
        <v>137</v>
      </c>
      <c r="U972" s="15" t="n">
        <v>2027</v>
      </c>
      <c r="V972" s="15" t="s">
        <v>378</v>
      </c>
      <c r="W972" s="18" t="s">
        <v>139</v>
      </c>
      <c r="X972" s="18" t="s">
        <v>379</v>
      </c>
      <c r="Y972" s="15" t="s">
        <v>600</v>
      </c>
      <c r="Z972" s="15" t="s">
        <v>600</v>
      </c>
      <c r="AA972" s="19" t="str">
        <f aca="false">HYPERLINK("https://www.transfermarkt.com/schnellsuche/ergebnis/schnellsuche?query="&amp;SUBSTITUTE(A972," ","+"),"Search Transfermarkt")</f>
        <v>Search Transfermarkt</v>
      </c>
    </row>
    <row r="973" customFormat="false" ht="23.85" hidden="false" customHeight="false" outlineLevel="0" collapsed="false">
      <c r="A973" s="15" t="s">
        <v>2772</v>
      </c>
      <c r="B973" s="15" t="s">
        <v>106</v>
      </c>
      <c r="C973" s="15" t="s">
        <v>841</v>
      </c>
      <c r="D973" s="15" t="n">
        <v>4</v>
      </c>
      <c r="E973" s="15" t="s">
        <v>1355</v>
      </c>
      <c r="F973" s="15" t="s">
        <v>157</v>
      </c>
      <c r="G973" s="15" t="n">
        <v>17</v>
      </c>
      <c r="H973" s="15" t="n">
        <v>2653</v>
      </c>
      <c r="I973" s="15" t="n">
        <v>0</v>
      </c>
      <c r="J973" s="15" t="n">
        <v>0</v>
      </c>
      <c r="K973" s="15" t="n">
        <v>10</v>
      </c>
      <c r="L973" s="15" t="n">
        <v>1</v>
      </c>
      <c r="M973" s="15" t="n">
        <v>4</v>
      </c>
      <c r="N973" s="15" t="n">
        <v>88</v>
      </c>
      <c r="O973" s="15" t="n">
        <v>35</v>
      </c>
      <c r="P973" s="16" t="n">
        <v>82.1</v>
      </c>
      <c r="Q973" s="15" t="n">
        <v>25.2</v>
      </c>
      <c r="R973" s="15" t="n">
        <v>12</v>
      </c>
      <c r="S973" s="17" t="n">
        <v>37502</v>
      </c>
      <c r="T973" s="15" t="s">
        <v>186</v>
      </c>
      <c r="U973" s="15" t="n">
        <v>2028</v>
      </c>
      <c r="V973" s="15" t="s">
        <v>1356</v>
      </c>
      <c r="W973" s="18" t="s">
        <v>147</v>
      </c>
      <c r="X973" s="18" t="s">
        <v>283</v>
      </c>
      <c r="Y973" s="15" t="s">
        <v>600</v>
      </c>
      <c r="Z973" s="15" t="s">
        <v>600</v>
      </c>
      <c r="AA973" s="19" t="str">
        <f aca="false">HYPERLINK("https://www.transfermarkt.com/schnellsuche/ergebnis/schnellsuche?query="&amp;SUBSTITUTE(A973," ","+"),"Search Transfermarkt")</f>
        <v>Search Transfermarkt</v>
      </c>
    </row>
    <row r="974" customFormat="false" ht="23.85" hidden="false" customHeight="false" outlineLevel="0" collapsed="false">
      <c r="A974" s="15" t="s">
        <v>2773</v>
      </c>
      <c r="B974" s="15" t="s">
        <v>82</v>
      </c>
      <c r="C974" s="15" t="s">
        <v>644</v>
      </c>
      <c r="D974" s="15" t="n">
        <v>4</v>
      </c>
      <c r="E974" s="15" t="s">
        <v>2021</v>
      </c>
      <c r="F974" s="15" t="s">
        <v>170</v>
      </c>
      <c r="G974" s="15" t="n">
        <v>26</v>
      </c>
      <c r="H974" s="15" t="n">
        <v>2237</v>
      </c>
      <c r="I974" s="15" t="n">
        <v>6</v>
      </c>
      <c r="J974" s="15" t="n">
        <v>8</v>
      </c>
      <c r="K974" s="15" t="n">
        <v>154</v>
      </c>
      <c r="L974" s="15" t="n">
        <v>82</v>
      </c>
      <c r="M974" s="15" t="n">
        <v>30</v>
      </c>
      <c r="N974" s="15" t="n">
        <v>0</v>
      </c>
      <c r="O974" s="15" t="n">
        <v>0</v>
      </c>
      <c r="P974" s="16" t="n">
        <v>0</v>
      </c>
      <c r="Q974" s="15" t="n">
        <v>0</v>
      </c>
      <c r="R974" s="15" t="n">
        <v>0</v>
      </c>
      <c r="S974" s="17" t="n">
        <v>0</v>
      </c>
      <c r="T974" s="15" t="s">
        <v>186</v>
      </c>
      <c r="U974" s="15" t="n">
        <v>2026</v>
      </c>
      <c r="V974" s="15" t="s">
        <v>2022</v>
      </c>
      <c r="W974" s="18" t="s">
        <v>188</v>
      </c>
      <c r="X974" s="18" t="s">
        <v>166</v>
      </c>
      <c r="Y974" s="15" t="s">
        <v>600</v>
      </c>
      <c r="Z974" s="15" t="s">
        <v>600</v>
      </c>
      <c r="AA974" s="19" t="str">
        <f aca="false">HYPERLINK("https://www.transfermarkt.com/schnellsuche/ergebnis/schnellsuche?query="&amp;SUBSTITUTE(A974," ","+"),"Search Transfermarkt")</f>
        <v>Search Transfermarkt</v>
      </c>
    </row>
    <row r="975" customFormat="false" ht="23.85" hidden="false" customHeight="false" outlineLevel="0" collapsed="false">
      <c r="A975" s="15" t="s">
        <v>2774</v>
      </c>
      <c r="B975" s="15" t="s">
        <v>73</v>
      </c>
      <c r="C975" s="15" t="s">
        <v>297</v>
      </c>
      <c r="D975" s="15" t="n">
        <v>4</v>
      </c>
      <c r="E975" s="15" t="s">
        <v>2775</v>
      </c>
      <c r="F975" s="15" t="s">
        <v>170</v>
      </c>
      <c r="G975" s="15" t="n">
        <v>17</v>
      </c>
      <c r="H975" s="15" t="n">
        <v>917</v>
      </c>
      <c r="I975" s="15" t="n">
        <v>10</v>
      </c>
      <c r="J975" s="15" t="n">
        <v>10</v>
      </c>
      <c r="K975" s="15" t="n">
        <v>170</v>
      </c>
      <c r="L975" s="15" t="n">
        <v>75</v>
      </c>
      <c r="M975" s="15" t="n">
        <v>48</v>
      </c>
      <c r="N975" s="15" t="n">
        <v>0</v>
      </c>
      <c r="O975" s="15" t="n">
        <v>0</v>
      </c>
      <c r="P975" s="16" t="n">
        <v>0</v>
      </c>
      <c r="Q975" s="15" t="n">
        <v>0</v>
      </c>
      <c r="R975" s="15" t="n">
        <v>0</v>
      </c>
      <c r="S975" s="17" t="n">
        <v>129706</v>
      </c>
      <c r="T975" s="15" t="s">
        <v>137</v>
      </c>
      <c r="U975" s="15" t="n">
        <v>2027</v>
      </c>
      <c r="V975" s="15" t="s">
        <v>2776</v>
      </c>
      <c r="W975" s="18" t="s">
        <v>147</v>
      </c>
      <c r="X975" s="18" t="s">
        <v>172</v>
      </c>
      <c r="Y975" s="15" t="s">
        <v>600</v>
      </c>
      <c r="Z975" s="15" t="s">
        <v>600</v>
      </c>
      <c r="AA975" s="19" t="str">
        <f aca="false">HYPERLINK("https://www.transfermarkt.com/schnellsuche/ergebnis/schnellsuche?query="&amp;SUBSTITUTE(A975," ","+"),"Search Transfermarkt")</f>
        <v>Search Transfermarkt</v>
      </c>
    </row>
    <row r="976" customFormat="false" ht="23.85" hidden="false" customHeight="false" outlineLevel="0" collapsed="false">
      <c r="A976" s="15" t="s">
        <v>2777</v>
      </c>
      <c r="B976" s="15" t="s">
        <v>77</v>
      </c>
      <c r="C976" s="15" t="s">
        <v>1326</v>
      </c>
      <c r="D976" s="15" t="n">
        <v>2</v>
      </c>
      <c r="E976" s="15" t="s">
        <v>2134</v>
      </c>
      <c r="F976" s="15" t="s">
        <v>170</v>
      </c>
      <c r="G976" s="15" t="n">
        <v>24</v>
      </c>
      <c r="H976" s="15" t="n">
        <v>909</v>
      </c>
      <c r="I976" s="15" t="n">
        <v>7</v>
      </c>
      <c r="J976" s="15" t="n">
        <v>12</v>
      </c>
      <c r="K976" s="15" t="n">
        <v>175</v>
      </c>
      <c r="L976" s="15" t="n">
        <v>85</v>
      </c>
      <c r="M976" s="15" t="n">
        <v>45</v>
      </c>
      <c r="N976" s="15" t="n">
        <v>0</v>
      </c>
      <c r="O976" s="15" t="n">
        <v>0</v>
      </c>
      <c r="P976" s="16" t="n">
        <v>0</v>
      </c>
      <c r="Q976" s="15" t="n">
        <v>0</v>
      </c>
      <c r="R976" s="15" t="n">
        <v>0</v>
      </c>
      <c r="S976" s="17" t="n">
        <v>0</v>
      </c>
      <c r="T976" s="15" t="s">
        <v>137</v>
      </c>
      <c r="U976" s="15" t="n">
        <v>2026</v>
      </c>
      <c r="V976" s="15" t="s">
        <v>2135</v>
      </c>
      <c r="W976" s="18" t="s">
        <v>139</v>
      </c>
      <c r="X976" s="18" t="s">
        <v>358</v>
      </c>
      <c r="Y976" s="15" t="s">
        <v>600</v>
      </c>
      <c r="Z976" s="15" t="s">
        <v>600</v>
      </c>
      <c r="AA976" s="19" t="str">
        <f aca="false">HYPERLINK("https://www.transfermarkt.com/schnellsuche/ergebnis/schnellsuche?query="&amp;SUBSTITUTE(A976," ","+"),"Search Transfermarkt")</f>
        <v>Search Transfermarkt</v>
      </c>
    </row>
    <row r="977" customFormat="false" ht="23.85" hidden="false" customHeight="false" outlineLevel="0" collapsed="false">
      <c r="A977" s="15" t="s">
        <v>2778</v>
      </c>
      <c r="B977" s="15" t="s">
        <v>102</v>
      </c>
      <c r="C977" s="15" t="s">
        <v>1399</v>
      </c>
      <c r="D977" s="15" t="n">
        <v>3</v>
      </c>
      <c r="E977" s="15" t="s">
        <v>973</v>
      </c>
      <c r="F977" s="15" t="s">
        <v>170</v>
      </c>
      <c r="G977" s="15" t="n">
        <v>26</v>
      </c>
      <c r="H977" s="15" t="n">
        <v>909</v>
      </c>
      <c r="I977" s="15" t="n">
        <v>3</v>
      </c>
      <c r="J977" s="15" t="n">
        <v>12</v>
      </c>
      <c r="K977" s="15" t="n">
        <v>124</v>
      </c>
      <c r="L977" s="15" t="n">
        <v>71</v>
      </c>
      <c r="M977" s="15" t="n">
        <v>35</v>
      </c>
      <c r="N977" s="15" t="n">
        <v>0</v>
      </c>
      <c r="O977" s="15" t="n">
        <v>0</v>
      </c>
      <c r="P977" s="16" t="n">
        <v>0</v>
      </c>
      <c r="Q977" s="15" t="n">
        <v>0</v>
      </c>
      <c r="R977" s="15" t="n">
        <v>0</v>
      </c>
      <c r="S977" s="17" t="n">
        <v>0</v>
      </c>
      <c r="T977" s="15" t="s">
        <v>164</v>
      </c>
      <c r="U977" s="15" t="n">
        <v>2029</v>
      </c>
      <c r="V977" s="15" t="s">
        <v>974</v>
      </c>
      <c r="W977" s="18" t="s">
        <v>139</v>
      </c>
      <c r="X977" s="18" t="s">
        <v>453</v>
      </c>
      <c r="Y977" s="15" t="s">
        <v>600</v>
      </c>
      <c r="Z977" s="15" t="s">
        <v>600</v>
      </c>
      <c r="AA977" s="19" t="str">
        <f aca="false">HYPERLINK("https://www.transfermarkt.com/schnellsuche/ergebnis/schnellsuche?query="&amp;SUBSTITUTE(A977," ","+"),"Search Transfermarkt")</f>
        <v>Search Transfermarkt</v>
      </c>
    </row>
    <row r="978" customFormat="false" ht="23.85" hidden="false" customHeight="false" outlineLevel="0" collapsed="false">
      <c r="A978" s="15" t="s">
        <v>2779</v>
      </c>
      <c r="B978" s="15" t="s">
        <v>87</v>
      </c>
      <c r="C978" s="15" t="s">
        <v>364</v>
      </c>
      <c r="D978" s="15" t="n">
        <v>2</v>
      </c>
      <c r="E978" s="15" t="s">
        <v>1386</v>
      </c>
      <c r="F978" s="15" t="s">
        <v>170</v>
      </c>
      <c r="G978" s="15" t="n">
        <v>25</v>
      </c>
      <c r="H978" s="15" t="n">
        <v>838</v>
      </c>
      <c r="I978" s="15" t="n">
        <v>9</v>
      </c>
      <c r="J978" s="15" t="n">
        <v>5</v>
      </c>
      <c r="K978" s="15" t="n">
        <v>136</v>
      </c>
      <c r="L978" s="15" t="n">
        <v>72</v>
      </c>
      <c r="M978" s="15" t="n">
        <v>42</v>
      </c>
      <c r="N978" s="15" t="n">
        <v>0</v>
      </c>
      <c r="O978" s="15" t="n">
        <v>0</v>
      </c>
      <c r="P978" s="16" t="n">
        <v>0</v>
      </c>
      <c r="Q978" s="15" t="n">
        <v>0</v>
      </c>
      <c r="R978" s="15" t="n">
        <v>0</v>
      </c>
      <c r="S978" s="17" t="n">
        <v>0</v>
      </c>
      <c r="T978" s="15" t="s">
        <v>137</v>
      </c>
      <c r="U978" s="15" t="n">
        <v>2028</v>
      </c>
      <c r="V978" s="15" t="s">
        <v>1387</v>
      </c>
      <c r="W978" s="18" t="s">
        <v>139</v>
      </c>
      <c r="X978" s="18" t="s">
        <v>341</v>
      </c>
      <c r="Y978" s="15" t="s">
        <v>600</v>
      </c>
      <c r="Z978" s="15" t="s">
        <v>600</v>
      </c>
      <c r="AA978" s="19" t="str">
        <f aca="false">HYPERLINK("https://www.transfermarkt.com/schnellsuche/ergebnis/schnellsuche?query="&amp;SUBSTITUTE(A978," ","+"),"Search Transfermarkt")</f>
        <v>Search Transfermarkt</v>
      </c>
    </row>
    <row r="979" customFormat="false" ht="23.85" hidden="false" customHeight="false" outlineLevel="0" collapsed="false">
      <c r="A979" s="15" t="s">
        <v>2780</v>
      </c>
      <c r="B979" s="15" t="s">
        <v>98</v>
      </c>
      <c r="C979" s="15" t="s">
        <v>2002</v>
      </c>
      <c r="D979" s="15" t="n">
        <v>3</v>
      </c>
      <c r="E979" s="15" t="s">
        <v>2729</v>
      </c>
      <c r="F979" s="15" t="s">
        <v>170</v>
      </c>
      <c r="G979" s="15" t="n">
        <v>17</v>
      </c>
      <c r="H979" s="15" t="n">
        <v>914</v>
      </c>
      <c r="I979" s="15" t="n">
        <v>2</v>
      </c>
      <c r="J979" s="15" t="n">
        <v>11</v>
      </c>
      <c r="K979" s="15" t="n">
        <v>123</v>
      </c>
      <c r="L979" s="15" t="n">
        <v>85</v>
      </c>
      <c r="M979" s="15" t="n">
        <v>38</v>
      </c>
      <c r="N979" s="15" t="n">
        <v>0</v>
      </c>
      <c r="O979" s="15" t="n">
        <v>0</v>
      </c>
      <c r="P979" s="16" t="n">
        <v>0</v>
      </c>
      <c r="Q979" s="15" t="n">
        <v>0</v>
      </c>
      <c r="R979" s="15" t="n">
        <v>0</v>
      </c>
      <c r="S979" s="17" t="n">
        <v>0</v>
      </c>
      <c r="T979" s="15" t="s">
        <v>164</v>
      </c>
      <c r="U979" s="15" t="n">
        <v>2027</v>
      </c>
      <c r="V979" s="15" t="s">
        <v>2730</v>
      </c>
      <c r="W979" s="18" t="s">
        <v>147</v>
      </c>
      <c r="X979" s="18" t="s">
        <v>148</v>
      </c>
      <c r="Y979" s="15" t="s">
        <v>600</v>
      </c>
      <c r="Z979" s="15" t="s">
        <v>600</v>
      </c>
      <c r="AA979" s="19" t="str">
        <f aca="false">HYPERLINK("https://www.transfermarkt.com/schnellsuche/ergebnis/schnellsuche?query="&amp;SUBSTITUTE(A979," ","+"),"Search Transfermarkt")</f>
        <v>Search Transfermarkt</v>
      </c>
    </row>
    <row r="980" customFormat="false" ht="23.85" hidden="false" customHeight="false" outlineLevel="0" collapsed="false">
      <c r="A980" s="15" t="s">
        <v>2781</v>
      </c>
      <c r="B980" s="15" t="s">
        <v>73</v>
      </c>
      <c r="C980" s="15" t="s">
        <v>2042</v>
      </c>
      <c r="D980" s="15" t="n">
        <v>4</v>
      </c>
      <c r="E980" s="15" t="s">
        <v>2782</v>
      </c>
      <c r="F980" s="15" t="s">
        <v>170</v>
      </c>
      <c r="G980" s="15" t="n">
        <v>20</v>
      </c>
      <c r="H980" s="15" t="n">
        <v>2197</v>
      </c>
      <c r="I980" s="15" t="n">
        <v>2</v>
      </c>
      <c r="J980" s="15" t="n">
        <v>7</v>
      </c>
      <c r="K980" s="15" t="n">
        <v>126</v>
      </c>
      <c r="L980" s="15" t="n">
        <v>86</v>
      </c>
      <c r="M980" s="15" t="n">
        <v>54</v>
      </c>
      <c r="N980" s="15" t="n">
        <v>0</v>
      </c>
      <c r="O980" s="15" t="n">
        <v>0</v>
      </c>
      <c r="P980" s="16" t="n">
        <v>0</v>
      </c>
      <c r="Q980" s="15" t="n">
        <v>0</v>
      </c>
      <c r="R980" s="15" t="n">
        <v>0</v>
      </c>
      <c r="S980" s="17" t="n">
        <v>76650</v>
      </c>
      <c r="T980" s="15" t="s">
        <v>186</v>
      </c>
      <c r="U980" s="15" t="n">
        <v>2028</v>
      </c>
      <c r="V980" s="15" t="s">
        <v>2783</v>
      </c>
      <c r="W980" s="18" t="s">
        <v>188</v>
      </c>
      <c r="X980" s="18" t="s">
        <v>172</v>
      </c>
      <c r="Y980" s="15" t="s">
        <v>600</v>
      </c>
      <c r="Z980" s="15" t="s">
        <v>600</v>
      </c>
      <c r="AA980" s="19" t="str">
        <f aca="false">HYPERLINK("https://www.transfermarkt.com/schnellsuche/ergebnis/schnellsuche?query="&amp;SUBSTITUTE(A980," ","+"),"Search Transfermarkt")</f>
        <v>Search Transfermarkt</v>
      </c>
    </row>
    <row r="981" customFormat="false" ht="23.85" hidden="false" customHeight="false" outlineLevel="0" collapsed="false">
      <c r="A981" s="15" t="s">
        <v>2784</v>
      </c>
      <c r="B981" s="15" t="s">
        <v>88</v>
      </c>
      <c r="C981" s="15" t="s">
        <v>1025</v>
      </c>
      <c r="D981" s="15" t="n">
        <v>2</v>
      </c>
      <c r="E981" s="15" t="s">
        <v>2785</v>
      </c>
      <c r="F981" s="15" t="s">
        <v>170</v>
      </c>
      <c r="G981" s="15" t="n">
        <v>17</v>
      </c>
      <c r="H981" s="15" t="n">
        <v>885</v>
      </c>
      <c r="I981" s="15" t="n">
        <v>3</v>
      </c>
      <c r="J981" s="15" t="n">
        <v>6</v>
      </c>
      <c r="K981" s="15" t="n">
        <v>176</v>
      </c>
      <c r="L981" s="15" t="n">
        <v>72</v>
      </c>
      <c r="M981" s="15" t="n">
        <v>37</v>
      </c>
      <c r="N981" s="15" t="n">
        <v>0</v>
      </c>
      <c r="O981" s="15" t="n">
        <v>0</v>
      </c>
      <c r="P981" s="16" t="n">
        <v>0</v>
      </c>
      <c r="Q981" s="15" t="n">
        <v>0</v>
      </c>
      <c r="R981" s="15" t="n">
        <v>0</v>
      </c>
      <c r="S981" s="17" t="n">
        <v>65657</v>
      </c>
      <c r="T981" s="15" t="s">
        <v>186</v>
      </c>
      <c r="U981" s="15" t="n">
        <v>2028</v>
      </c>
      <c r="V981" s="15" t="s">
        <v>2786</v>
      </c>
      <c r="W981" s="18" t="s">
        <v>147</v>
      </c>
      <c r="X981" s="18" t="s">
        <v>320</v>
      </c>
      <c r="Y981" s="15" t="s">
        <v>600</v>
      </c>
      <c r="Z981" s="15" t="s">
        <v>600</v>
      </c>
      <c r="AA981" s="19" t="str">
        <f aca="false">HYPERLINK("https://www.transfermarkt.com/schnellsuche/ergebnis/schnellsuche?query="&amp;SUBSTITUTE(A981," ","+"),"Search Transfermarkt")</f>
        <v>Search Transfermarkt</v>
      </c>
    </row>
    <row r="982" customFormat="false" ht="23.85" hidden="false" customHeight="false" outlineLevel="0" collapsed="false">
      <c r="A982" s="15" t="s">
        <v>2787</v>
      </c>
      <c r="B982" s="15" t="s">
        <v>88</v>
      </c>
      <c r="C982" s="15" t="s">
        <v>317</v>
      </c>
      <c r="D982" s="15" t="n">
        <v>3</v>
      </c>
      <c r="E982" s="15" t="s">
        <v>2788</v>
      </c>
      <c r="F982" s="15" t="s">
        <v>170</v>
      </c>
      <c r="G982" s="15" t="n">
        <v>20</v>
      </c>
      <c r="H982" s="15" t="n">
        <v>1897</v>
      </c>
      <c r="I982" s="15" t="n">
        <v>10</v>
      </c>
      <c r="J982" s="15" t="n">
        <v>4</v>
      </c>
      <c r="K982" s="15" t="n">
        <v>147</v>
      </c>
      <c r="L982" s="15" t="n">
        <v>78</v>
      </c>
      <c r="M982" s="15" t="n">
        <v>57</v>
      </c>
      <c r="N982" s="15" t="n">
        <v>0</v>
      </c>
      <c r="O982" s="15" t="n">
        <v>0</v>
      </c>
      <c r="P982" s="16" t="n">
        <v>0</v>
      </c>
      <c r="Q982" s="15" t="n">
        <v>0</v>
      </c>
      <c r="R982" s="15" t="n">
        <v>0</v>
      </c>
      <c r="S982" s="17" t="n">
        <v>84596</v>
      </c>
      <c r="T982" s="15" t="s">
        <v>164</v>
      </c>
      <c r="U982" s="15" t="n">
        <v>2028</v>
      </c>
      <c r="V982" s="15" t="s">
        <v>2789</v>
      </c>
      <c r="W982" s="18" t="s">
        <v>139</v>
      </c>
      <c r="X982" s="18" t="s">
        <v>320</v>
      </c>
      <c r="Y982" s="15" t="s">
        <v>600</v>
      </c>
      <c r="Z982" s="15" t="s">
        <v>600</v>
      </c>
      <c r="AA982" s="19" t="str">
        <f aca="false">HYPERLINK("https://www.transfermarkt.com/schnellsuche/ergebnis/schnellsuche?query="&amp;SUBSTITUTE(A982," ","+"),"Search Transfermarkt")</f>
        <v>Search Transfermarkt</v>
      </c>
    </row>
    <row r="983" customFormat="false" ht="23.85" hidden="false" customHeight="false" outlineLevel="0" collapsed="false">
      <c r="A983" s="15" t="s">
        <v>2790</v>
      </c>
      <c r="B983" s="15" t="s">
        <v>67</v>
      </c>
      <c r="C983" s="15" t="s">
        <v>636</v>
      </c>
      <c r="D983" s="15" t="n">
        <v>3</v>
      </c>
      <c r="E983" s="15" t="s">
        <v>2791</v>
      </c>
      <c r="F983" s="15" t="s">
        <v>157</v>
      </c>
      <c r="G983" s="15" t="n">
        <v>19</v>
      </c>
      <c r="H983" s="15" t="n">
        <v>812</v>
      </c>
      <c r="I983" s="15" t="n">
        <v>0</v>
      </c>
      <c r="J983" s="15" t="n">
        <v>0</v>
      </c>
      <c r="K983" s="15" t="n">
        <v>6</v>
      </c>
      <c r="L983" s="15" t="n">
        <v>0</v>
      </c>
      <c r="M983" s="15" t="n">
        <v>6</v>
      </c>
      <c r="N983" s="15" t="n">
        <v>37</v>
      </c>
      <c r="O983" s="15" t="n">
        <v>14</v>
      </c>
      <c r="P983" s="16" t="n">
        <v>72.1</v>
      </c>
      <c r="Q983" s="15" t="n">
        <v>6.1</v>
      </c>
      <c r="R983" s="15" t="n">
        <v>4</v>
      </c>
      <c r="S983" s="17" t="n">
        <v>0</v>
      </c>
      <c r="T983" s="15" t="s">
        <v>164</v>
      </c>
      <c r="U983" s="15" t="n">
        <v>2029</v>
      </c>
      <c r="V983" s="15" t="s">
        <v>2792</v>
      </c>
      <c r="W983" s="18" t="s">
        <v>139</v>
      </c>
      <c r="X983" s="18" t="s">
        <v>236</v>
      </c>
      <c r="Y983" s="15" t="s">
        <v>600</v>
      </c>
      <c r="Z983" s="15" t="s">
        <v>600</v>
      </c>
      <c r="AA983" s="19" t="str">
        <f aca="false">HYPERLINK("https://www.transfermarkt.com/schnellsuche/ergebnis/schnellsuche?query="&amp;SUBSTITUTE(A983," ","+"),"Search Transfermarkt")</f>
        <v>Search Transfermarkt</v>
      </c>
    </row>
    <row r="984" customFormat="false" ht="23.85" hidden="false" customHeight="false" outlineLevel="0" collapsed="false">
      <c r="A984" s="15" t="s">
        <v>2793</v>
      </c>
      <c r="B984" s="15" t="s">
        <v>75</v>
      </c>
      <c r="C984" s="15" t="s">
        <v>194</v>
      </c>
      <c r="D984" s="15" t="n">
        <v>3</v>
      </c>
      <c r="E984" s="15" t="s">
        <v>1222</v>
      </c>
      <c r="F984" s="15" t="s">
        <v>170</v>
      </c>
      <c r="G984" s="15" t="n">
        <v>20</v>
      </c>
      <c r="H984" s="15" t="n">
        <v>1169</v>
      </c>
      <c r="I984" s="15" t="n">
        <v>9</v>
      </c>
      <c r="J984" s="15" t="n">
        <v>9</v>
      </c>
      <c r="K984" s="15" t="n">
        <v>163</v>
      </c>
      <c r="L984" s="15" t="n">
        <v>73</v>
      </c>
      <c r="M984" s="15" t="n">
        <v>52</v>
      </c>
      <c r="N984" s="15" t="n">
        <v>0</v>
      </c>
      <c r="O984" s="15" t="n">
        <v>0</v>
      </c>
      <c r="P984" s="16" t="n">
        <v>0</v>
      </c>
      <c r="Q984" s="15" t="n">
        <v>0</v>
      </c>
      <c r="R984" s="15" t="n">
        <v>0</v>
      </c>
      <c r="S984" s="17" t="n">
        <v>65119</v>
      </c>
      <c r="T984" s="15" t="s">
        <v>164</v>
      </c>
      <c r="U984" s="15" t="n">
        <v>2028</v>
      </c>
      <c r="V984" s="15" t="s">
        <v>1223</v>
      </c>
      <c r="W984" s="18" t="s">
        <v>139</v>
      </c>
      <c r="X984" s="18" t="s">
        <v>197</v>
      </c>
      <c r="Y984" s="15" t="s">
        <v>600</v>
      </c>
      <c r="Z984" s="15" t="s">
        <v>600</v>
      </c>
      <c r="AA984" s="19" t="str">
        <f aca="false">HYPERLINK("https://www.transfermarkt.com/schnellsuche/ergebnis/schnellsuche?query="&amp;SUBSTITUTE(A984," ","+"),"Search Transfermarkt")</f>
        <v>Search Transfermarkt</v>
      </c>
    </row>
    <row r="985" customFormat="false" ht="23.85" hidden="false" customHeight="false" outlineLevel="0" collapsed="false">
      <c r="A985" s="15" t="s">
        <v>2794</v>
      </c>
      <c r="B985" s="15" t="s">
        <v>68</v>
      </c>
      <c r="C985" s="15" t="s">
        <v>1236</v>
      </c>
      <c r="D985" s="15" t="n">
        <v>3</v>
      </c>
      <c r="E985" s="15" t="s">
        <v>2795</v>
      </c>
      <c r="F985" s="15" t="s">
        <v>163</v>
      </c>
      <c r="G985" s="15" t="n">
        <v>19</v>
      </c>
      <c r="H985" s="15" t="n">
        <v>1569</v>
      </c>
      <c r="I985" s="15" t="n">
        <v>16</v>
      </c>
      <c r="J985" s="15" t="n">
        <v>4</v>
      </c>
      <c r="K985" s="15" t="n">
        <v>38</v>
      </c>
      <c r="L985" s="15" t="n">
        <v>67</v>
      </c>
      <c r="M985" s="15" t="n">
        <v>14</v>
      </c>
      <c r="N985" s="15" t="n">
        <v>0</v>
      </c>
      <c r="O985" s="15" t="n">
        <v>0</v>
      </c>
      <c r="P985" s="16" t="n">
        <v>0</v>
      </c>
      <c r="Q985" s="15" t="n">
        <v>0</v>
      </c>
      <c r="R985" s="15" t="n">
        <v>0</v>
      </c>
      <c r="S985" s="17" t="n">
        <v>0</v>
      </c>
      <c r="T985" s="15" t="s">
        <v>164</v>
      </c>
      <c r="U985" s="15" t="n">
        <v>2028</v>
      </c>
      <c r="V985" s="15" t="s">
        <v>2796</v>
      </c>
      <c r="W985" s="18" t="s">
        <v>139</v>
      </c>
      <c r="X985" s="18" t="s">
        <v>153</v>
      </c>
      <c r="Y985" s="15" t="s">
        <v>600</v>
      </c>
      <c r="Z985" s="15" t="s">
        <v>600</v>
      </c>
      <c r="AA985" s="19" t="str">
        <f aca="false">HYPERLINK("https://www.transfermarkt.com/schnellsuche/ergebnis/schnellsuche?query="&amp;SUBSTITUTE(A985," ","+"),"Search Transfermarkt")</f>
        <v>Search Transfermarkt</v>
      </c>
    </row>
    <row r="986" customFormat="false" ht="23.85" hidden="false" customHeight="false" outlineLevel="0" collapsed="false">
      <c r="A986" s="15" t="s">
        <v>2797</v>
      </c>
      <c r="B986" s="15" t="s">
        <v>83</v>
      </c>
      <c r="C986" s="15" t="s">
        <v>1255</v>
      </c>
      <c r="D986" s="15" t="n">
        <v>2</v>
      </c>
      <c r="E986" s="15" t="s">
        <v>2798</v>
      </c>
      <c r="F986" s="15" t="s">
        <v>157</v>
      </c>
      <c r="G986" s="15" t="n">
        <v>26</v>
      </c>
      <c r="H986" s="15" t="n">
        <v>2515</v>
      </c>
      <c r="I986" s="15" t="n">
        <v>0</v>
      </c>
      <c r="J986" s="15" t="n">
        <v>0</v>
      </c>
      <c r="K986" s="15" t="n">
        <v>9</v>
      </c>
      <c r="L986" s="15" t="n">
        <v>1</v>
      </c>
      <c r="M986" s="15" t="n">
        <v>10</v>
      </c>
      <c r="N986" s="15" t="n">
        <v>115</v>
      </c>
      <c r="O986" s="15" t="n">
        <v>42</v>
      </c>
      <c r="P986" s="16" t="n">
        <v>70.4</v>
      </c>
      <c r="Q986" s="15" t="n">
        <v>21.4</v>
      </c>
      <c r="R986" s="15" t="n">
        <v>9</v>
      </c>
      <c r="S986" s="17" t="n">
        <v>85421</v>
      </c>
      <c r="T986" s="15" t="s">
        <v>137</v>
      </c>
      <c r="U986" s="15" t="n">
        <v>2027</v>
      </c>
      <c r="V986" s="15" t="s">
        <v>2799</v>
      </c>
      <c r="W986" s="18" t="s">
        <v>139</v>
      </c>
      <c r="X986" s="18" t="s">
        <v>379</v>
      </c>
      <c r="Y986" s="15" t="s">
        <v>600</v>
      </c>
      <c r="Z986" s="15" t="s">
        <v>600</v>
      </c>
      <c r="AA986" s="19" t="str">
        <f aca="false">HYPERLINK("https://www.transfermarkt.com/schnellsuche/ergebnis/schnellsuche?query="&amp;SUBSTITUTE(A986," ","+"),"Search Transfermarkt")</f>
        <v>Search Transfermarkt</v>
      </c>
    </row>
    <row r="987" customFormat="false" ht="23.85" hidden="false" customHeight="false" outlineLevel="0" collapsed="false">
      <c r="A987" s="15" t="s">
        <v>2800</v>
      </c>
      <c r="B987" s="15" t="s">
        <v>88</v>
      </c>
      <c r="C987" s="15" t="s">
        <v>563</v>
      </c>
      <c r="D987" s="15" t="n">
        <v>2</v>
      </c>
      <c r="E987" s="15" t="s">
        <v>2801</v>
      </c>
      <c r="F987" s="15" t="s">
        <v>136</v>
      </c>
      <c r="G987" s="15" t="n">
        <v>20</v>
      </c>
      <c r="H987" s="15" t="n">
        <v>1614</v>
      </c>
      <c r="I987" s="15" t="n">
        <v>3</v>
      </c>
      <c r="J987" s="15" t="n">
        <v>0</v>
      </c>
      <c r="K987" s="15" t="n">
        <v>50</v>
      </c>
      <c r="L987" s="15" t="n">
        <v>42</v>
      </c>
      <c r="M987" s="15" t="n">
        <v>120</v>
      </c>
      <c r="N987" s="15" t="n">
        <v>0</v>
      </c>
      <c r="O987" s="15" t="n">
        <v>0</v>
      </c>
      <c r="P987" s="16" t="n">
        <v>0</v>
      </c>
      <c r="Q987" s="15" t="n">
        <v>0</v>
      </c>
      <c r="R987" s="15" t="n">
        <v>0</v>
      </c>
      <c r="S987" s="17" t="n">
        <v>115300</v>
      </c>
      <c r="T987" s="15" t="s">
        <v>137</v>
      </c>
      <c r="U987" s="15" t="n">
        <v>2027</v>
      </c>
      <c r="V987" s="15" t="s">
        <v>2802</v>
      </c>
      <c r="W987" s="18" t="s">
        <v>139</v>
      </c>
      <c r="X987" s="18" t="s">
        <v>320</v>
      </c>
      <c r="Y987" s="15" t="s">
        <v>600</v>
      </c>
      <c r="Z987" s="15" t="s">
        <v>600</v>
      </c>
      <c r="AA987" s="19" t="str">
        <f aca="false">HYPERLINK("https://www.transfermarkt.com/schnellsuche/ergebnis/schnellsuche?query="&amp;SUBSTITUTE(A987," ","+"),"Search Transfermarkt")</f>
        <v>Search Transfermarkt</v>
      </c>
    </row>
    <row r="988" customFormat="false" ht="23.85" hidden="false" customHeight="false" outlineLevel="0" collapsed="false">
      <c r="A988" s="15" t="s">
        <v>2803</v>
      </c>
      <c r="B988" s="15" t="s">
        <v>75</v>
      </c>
      <c r="C988" s="15" t="s">
        <v>1581</v>
      </c>
      <c r="D988" s="15" t="n">
        <v>4</v>
      </c>
      <c r="E988" s="15" t="s">
        <v>1181</v>
      </c>
      <c r="F988" s="15" t="s">
        <v>136</v>
      </c>
      <c r="G988" s="15" t="n">
        <v>25</v>
      </c>
      <c r="H988" s="15" t="n">
        <v>1333</v>
      </c>
      <c r="I988" s="15" t="n">
        <v>2</v>
      </c>
      <c r="J988" s="15" t="n">
        <v>5</v>
      </c>
      <c r="K988" s="15" t="n">
        <v>62</v>
      </c>
      <c r="L988" s="15" t="n">
        <v>32</v>
      </c>
      <c r="M988" s="15" t="n">
        <v>117</v>
      </c>
      <c r="N988" s="15" t="n">
        <v>0</v>
      </c>
      <c r="O988" s="15" t="n">
        <v>0</v>
      </c>
      <c r="P988" s="16" t="n">
        <v>0</v>
      </c>
      <c r="Q988" s="15" t="n">
        <v>0</v>
      </c>
      <c r="R988" s="15" t="n">
        <v>0</v>
      </c>
      <c r="S988" s="17" t="n">
        <v>0</v>
      </c>
      <c r="T988" s="15" t="s">
        <v>164</v>
      </c>
      <c r="U988" s="15" t="n">
        <v>2026</v>
      </c>
      <c r="V988" s="15" t="s">
        <v>1182</v>
      </c>
      <c r="W988" s="18" t="s">
        <v>139</v>
      </c>
      <c r="X988" s="18" t="s">
        <v>197</v>
      </c>
      <c r="Y988" s="15" t="s">
        <v>600</v>
      </c>
      <c r="Z988" s="15" t="s">
        <v>600</v>
      </c>
      <c r="AA988" s="19" t="str">
        <f aca="false">HYPERLINK("https://www.transfermarkt.com/schnellsuche/ergebnis/schnellsuche?query="&amp;SUBSTITUTE(A988," ","+"),"Search Transfermarkt")</f>
        <v>Search Transfermarkt</v>
      </c>
    </row>
    <row r="989" customFormat="false" ht="23.85" hidden="false" customHeight="false" outlineLevel="0" collapsed="false">
      <c r="A989" s="15" t="s">
        <v>2804</v>
      </c>
      <c r="B989" s="15" t="s">
        <v>100</v>
      </c>
      <c r="C989" s="15" t="s">
        <v>218</v>
      </c>
      <c r="D989" s="15" t="n">
        <v>3</v>
      </c>
      <c r="E989" s="15" t="s">
        <v>881</v>
      </c>
      <c r="F989" s="15" t="s">
        <v>163</v>
      </c>
      <c r="G989" s="15" t="n">
        <v>20</v>
      </c>
      <c r="H989" s="15" t="n">
        <v>1949</v>
      </c>
      <c r="I989" s="15" t="n">
        <v>20</v>
      </c>
      <c r="J989" s="15" t="n">
        <v>9</v>
      </c>
      <c r="K989" s="15" t="n">
        <v>67</v>
      </c>
      <c r="L989" s="15" t="n">
        <v>60</v>
      </c>
      <c r="M989" s="15" t="n">
        <v>12</v>
      </c>
      <c r="N989" s="15" t="n">
        <v>0</v>
      </c>
      <c r="O989" s="15" t="n">
        <v>0</v>
      </c>
      <c r="P989" s="16" t="n">
        <v>0</v>
      </c>
      <c r="Q989" s="15" t="n">
        <v>0</v>
      </c>
      <c r="R989" s="15" t="n">
        <v>0</v>
      </c>
      <c r="S989" s="17" t="n">
        <v>107517</v>
      </c>
      <c r="T989" s="15" t="s">
        <v>186</v>
      </c>
      <c r="U989" s="15" t="n">
        <v>2027</v>
      </c>
      <c r="V989" s="15" t="s">
        <v>882</v>
      </c>
      <c r="W989" s="18" t="s">
        <v>188</v>
      </c>
      <c r="X989" s="18" t="s">
        <v>221</v>
      </c>
      <c r="Y989" s="15" t="s">
        <v>600</v>
      </c>
      <c r="Z989" s="15" t="s">
        <v>600</v>
      </c>
      <c r="AA989" s="19" t="str">
        <f aca="false">HYPERLINK("https://www.transfermarkt.com/schnellsuche/ergebnis/schnellsuche?query="&amp;SUBSTITUTE(A989," ","+"),"Search Transfermarkt")</f>
        <v>Search Transfermarkt</v>
      </c>
    </row>
    <row r="990" customFormat="false" ht="23.85" hidden="false" customHeight="false" outlineLevel="0" collapsed="false">
      <c r="A990" s="15" t="s">
        <v>2805</v>
      </c>
      <c r="B990" s="15" t="s">
        <v>102</v>
      </c>
      <c r="C990" s="15" t="s">
        <v>695</v>
      </c>
      <c r="D990" s="15" t="n">
        <v>2</v>
      </c>
      <c r="E990" s="15" t="s">
        <v>2592</v>
      </c>
      <c r="F990" s="15" t="s">
        <v>170</v>
      </c>
      <c r="G990" s="15" t="n">
        <v>17</v>
      </c>
      <c r="H990" s="15" t="n">
        <v>943</v>
      </c>
      <c r="I990" s="15" t="n">
        <v>10</v>
      </c>
      <c r="J990" s="15" t="n">
        <v>8</v>
      </c>
      <c r="K990" s="15" t="n">
        <v>152</v>
      </c>
      <c r="L990" s="15" t="n">
        <v>94</v>
      </c>
      <c r="M990" s="15" t="n">
        <v>37</v>
      </c>
      <c r="N990" s="15" t="n">
        <v>0</v>
      </c>
      <c r="O990" s="15" t="n">
        <v>0</v>
      </c>
      <c r="P990" s="16" t="n">
        <v>0</v>
      </c>
      <c r="Q990" s="15" t="n">
        <v>0</v>
      </c>
      <c r="R990" s="15" t="n">
        <v>0</v>
      </c>
      <c r="S990" s="17" t="n">
        <v>67694</v>
      </c>
      <c r="T990" s="15" t="s">
        <v>164</v>
      </c>
      <c r="U990" s="15" t="n">
        <v>2029</v>
      </c>
      <c r="V990" s="15" t="s">
        <v>2593</v>
      </c>
      <c r="W990" s="18" t="s">
        <v>147</v>
      </c>
      <c r="X990" s="18" t="s">
        <v>453</v>
      </c>
      <c r="Y990" s="15" t="s">
        <v>600</v>
      </c>
      <c r="Z990" s="15" t="s">
        <v>600</v>
      </c>
      <c r="AA990" s="19" t="str">
        <f aca="false">HYPERLINK("https://www.transfermarkt.com/schnellsuche/ergebnis/schnellsuche?query="&amp;SUBSTITUTE(A990," ","+"),"Search Transfermarkt")</f>
        <v>Search Transfermarkt</v>
      </c>
    </row>
    <row r="991" customFormat="false" ht="23.85" hidden="false" customHeight="false" outlineLevel="0" collapsed="false">
      <c r="A991" s="15" t="s">
        <v>2806</v>
      </c>
      <c r="B991" s="15" t="s">
        <v>99</v>
      </c>
      <c r="C991" s="15" t="s">
        <v>676</v>
      </c>
      <c r="D991" s="15" t="n">
        <v>3</v>
      </c>
      <c r="E991" s="15" t="s">
        <v>2807</v>
      </c>
      <c r="F991" s="15" t="s">
        <v>170</v>
      </c>
      <c r="G991" s="15" t="n">
        <v>24</v>
      </c>
      <c r="H991" s="15" t="n">
        <v>1972</v>
      </c>
      <c r="I991" s="15" t="n">
        <v>7</v>
      </c>
      <c r="J991" s="15" t="n">
        <v>10</v>
      </c>
      <c r="K991" s="15" t="n">
        <v>135</v>
      </c>
      <c r="L991" s="15" t="n">
        <v>53</v>
      </c>
      <c r="M991" s="15" t="n">
        <v>55</v>
      </c>
      <c r="N991" s="15" t="n">
        <v>0</v>
      </c>
      <c r="O991" s="15" t="n">
        <v>0</v>
      </c>
      <c r="P991" s="16" t="n">
        <v>0</v>
      </c>
      <c r="Q991" s="15" t="n">
        <v>0</v>
      </c>
      <c r="R991" s="15" t="n">
        <v>0</v>
      </c>
      <c r="S991" s="17" t="n">
        <v>27091</v>
      </c>
      <c r="T991" s="15" t="s">
        <v>137</v>
      </c>
      <c r="U991" s="15" t="n">
        <v>2027</v>
      </c>
      <c r="V991" s="15" t="s">
        <v>2808</v>
      </c>
      <c r="W991" s="18" t="s">
        <v>139</v>
      </c>
      <c r="X991" s="18" t="s">
        <v>189</v>
      </c>
      <c r="Y991" s="15" t="s">
        <v>600</v>
      </c>
      <c r="Z991" s="15" t="s">
        <v>600</v>
      </c>
      <c r="AA991" s="19" t="str">
        <f aca="false">HYPERLINK("https://www.transfermarkt.com/schnellsuche/ergebnis/schnellsuche?query="&amp;SUBSTITUTE(A991," ","+"),"Search Transfermarkt")</f>
        <v>Search Transfermarkt</v>
      </c>
    </row>
    <row r="992" customFormat="false" ht="23.85" hidden="false" customHeight="false" outlineLevel="0" collapsed="false">
      <c r="A992" s="15" t="s">
        <v>2809</v>
      </c>
      <c r="B992" s="15" t="s">
        <v>68</v>
      </c>
      <c r="C992" s="15" t="s">
        <v>1194</v>
      </c>
      <c r="D992" s="15" t="n">
        <v>2</v>
      </c>
      <c r="E992" s="15" t="s">
        <v>2810</v>
      </c>
      <c r="F992" s="15" t="s">
        <v>170</v>
      </c>
      <c r="G992" s="15" t="n">
        <v>17</v>
      </c>
      <c r="H992" s="15" t="n">
        <v>1840</v>
      </c>
      <c r="I992" s="15" t="n">
        <v>7</v>
      </c>
      <c r="J992" s="15" t="n">
        <v>14</v>
      </c>
      <c r="K992" s="15" t="n">
        <v>130</v>
      </c>
      <c r="L992" s="15" t="n">
        <v>73</v>
      </c>
      <c r="M992" s="15" t="n">
        <v>43</v>
      </c>
      <c r="N992" s="15" t="n">
        <v>0</v>
      </c>
      <c r="O992" s="15" t="n">
        <v>0</v>
      </c>
      <c r="P992" s="16" t="n">
        <v>0</v>
      </c>
      <c r="Q992" s="15" t="n">
        <v>0</v>
      </c>
      <c r="R992" s="15" t="n">
        <v>0</v>
      </c>
      <c r="S992" s="17" t="n">
        <v>70044</v>
      </c>
      <c r="T992" s="15" t="s">
        <v>186</v>
      </c>
      <c r="U992" s="15" t="n">
        <v>2028</v>
      </c>
      <c r="V992" s="15" t="s">
        <v>2811</v>
      </c>
      <c r="W992" s="18" t="s">
        <v>147</v>
      </c>
      <c r="X992" s="18" t="s">
        <v>153</v>
      </c>
      <c r="Y992" s="15" t="s">
        <v>600</v>
      </c>
      <c r="Z992" s="15" t="s">
        <v>600</v>
      </c>
      <c r="AA992" s="19" t="str">
        <f aca="false">HYPERLINK("https://www.transfermarkt.com/schnellsuche/ergebnis/schnellsuche?query="&amp;SUBSTITUTE(A992," ","+"),"Search Transfermarkt")</f>
        <v>Search Transfermarkt</v>
      </c>
    </row>
    <row r="993" customFormat="false" ht="23.85" hidden="false" customHeight="false" outlineLevel="0" collapsed="false">
      <c r="A993" s="15" t="s">
        <v>2812</v>
      </c>
      <c r="B993" s="15" t="s">
        <v>92</v>
      </c>
      <c r="C993" s="15" t="s">
        <v>309</v>
      </c>
      <c r="D993" s="15" t="n">
        <v>2</v>
      </c>
      <c r="E993" s="15" t="s">
        <v>1044</v>
      </c>
      <c r="F993" s="15" t="s">
        <v>170</v>
      </c>
      <c r="G993" s="15" t="n">
        <v>22</v>
      </c>
      <c r="H993" s="15" t="n">
        <v>2562</v>
      </c>
      <c r="I993" s="15" t="n">
        <v>7</v>
      </c>
      <c r="J993" s="15" t="n">
        <v>8</v>
      </c>
      <c r="K993" s="15" t="n">
        <v>156</v>
      </c>
      <c r="L993" s="15" t="n">
        <v>92</v>
      </c>
      <c r="M993" s="15" t="n">
        <v>35</v>
      </c>
      <c r="N993" s="15" t="n">
        <v>0</v>
      </c>
      <c r="O993" s="15" t="n">
        <v>0</v>
      </c>
      <c r="P993" s="16" t="n">
        <v>0</v>
      </c>
      <c r="Q993" s="15" t="n">
        <v>0</v>
      </c>
      <c r="R993" s="15" t="n">
        <v>0</v>
      </c>
      <c r="S993" s="17" t="n">
        <v>63132</v>
      </c>
      <c r="T993" s="15" t="s">
        <v>164</v>
      </c>
      <c r="U993" s="15" t="n">
        <v>2028</v>
      </c>
      <c r="V993" s="15" t="s">
        <v>1045</v>
      </c>
      <c r="W993" s="18" t="s">
        <v>139</v>
      </c>
      <c r="X993" s="18" t="s">
        <v>159</v>
      </c>
      <c r="Y993" s="15" t="s">
        <v>600</v>
      </c>
      <c r="Z993" s="15" t="s">
        <v>600</v>
      </c>
      <c r="AA993" s="19" t="str">
        <f aca="false">HYPERLINK("https://www.transfermarkt.com/schnellsuche/ergebnis/schnellsuche?query="&amp;SUBSTITUTE(A993," ","+"),"Search Transfermarkt")</f>
        <v>Search Transfermarkt</v>
      </c>
    </row>
    <row r="994" customFormat="false" ht="23.85" hidden="false" customHeight="false" outlineLevel="0" collapsed="false">
      <c r="A994" s="15" t="s">
        <v>2813</v>
      </c>
      <c r="B994" s="15" t="s">
        <v>83</v>
      </c>
      <c r="C994" s="15" t="s">
        <v>376</v>
      </c>
      <c r="D994" s="15" t="n">
        <v>2</v>
      </c>
      <c r="E994" s="15" t="s">
        <v>377</v>
      </c>
      <c r="F994" s="15" t="s">
        <v>136</v>
      </c>
      <c r="G994" s="15" t="n">
        <v>23</v>
      </c>
      <c r="H994" s="15" t="n">
        <v>1554</v>
      </c>
      <c r="I994" s="15" t="n">
        <v>2</v>
      </c>
      <c r="J994" s="15" t="n">
        <v>3</v>
      </c>
      <c r="K994" s="15" t="n">
        <v>72</v>
      </c>
      <c r="L994" s="15" t="n">
        <v>43</v>
      </c>
      <c r="M994" s="15" t="n">
        <v>107</v>
      </c>
      <c r="N994" s="15" t="n">
        <v>0</v>
      </c>
      <c r="O994" s="15" t="n">
        <v>0</v>
      </c>
      <c r="P994" s="16" t="n">
        <v>0</v>
      </c>
      <c r="Q994" s="15" t="n">
        <v>0</v>
      </c>
      <c r="R994" s="15" t="n">
        <v>0</v>
      </c>
      <c r="S994" s="17" t="n">
        <v>128693</v>
      </c>
      <c r="T994" s="15" t="s">
        <v>186</v>
      </c>
      <c r="U994" s="15" t="n">
        <v>2027</v>
      </c>
      <c r="V994" s="15" t="s">
        <v>378</v>
      </c>
      <c r="W994" s="18" t="s">
        <v>188</v>
      </c>
      <c r="X994" s="18" t="s">
        <v>379</v>
      </c>
      <c r="Y994" s="15" t="s">
        <v>600</v>
      </c>
      <c r="Z994" s="15" t="s">
        <v>600</v>
      </c>
      <c r="AA994" s="19" t="str">
        <f aca="false">HYPERLINK("https://www.transfermarkt.com/schnellsuche/ergebnis/schnellsuche?query="&amp;SUBSTITUTE(A994," ","+"),"Search Transfermarkt")</f>
        <v>Search Transfermarkt</v>
      </c>
    </row>
    <row r="995" customFormat="false" ht="23.85" hidden="false" customHeight="false" outlineLevel="0" collapsed="false">
      <c r="A995" s="15" t="s">
        <v>2814</v>
      </c>
      <c r="B995" s="15" t="s">
        <v>98</v>
      </c>
      <c r="C995" s="15" t="s">
        <v>778</v>
      </c>
      <c r="D995" s="15" t="n">
        <v>3</v>
      </c>
      <c r="E995" s="15" t="s">
        <v>976</v>
      </c>
      <c r="F995" s="15" t="s">
        <v>170</v>
      </c>
      <c r="G995" s="15" t="n">
        <v>20</v>
      </c>
      <c r="H995" s="15" t="n">
        <v>2554</v>
      </c>
      <c r="I995" s="15" t="n">
        <v>6</v>
      </c>
      <c r="J995" s="15" t="n">
        <v>4</v>
      </c>
      <c r="K995" s="15" t="n">
        <v>161</v>
      </c>
      <c r="L995" s="15" t="n">
        <v>85</v>
      </c>
      <c r="M995" s="15" t="n">
        <v>38</v>
      </c>
      <c r="N995" s="15" t="n">
        <v>0</v>
      </c>
      <c r="O995" s="15" t="n">
        <v>0</v>
      </c>
      <c r="P995" s="16" t="n">
        <v>0</v>
      </c>
      <c r="Q995" s="15" t="n">
        <v>0</v>
      </c>
      <c r="R995" s="15" t="n">
        <v>0</v>
      </c>
      <c r="S995" s="17" t="n">
        <v>125776</v>
      </c>
      <c r="T995" s="15" t="s">
        <v>186</v>
      </c>
      <c r="U995" s="15" t="n">
        <v>2026</v>
      </c>
      <c r="V995" s="15" t="s">
        <v>977</v>
      </c>
      <c r="W995" s="18" t="s">
        <v>188</v>
      </c>
      <c r="X995" s="18" t="s">
        <v>148</v>
      </c>
      <c r="Y995" s="15" t="s">
        <v>600</v>
      </c>
      <c r="Z995" s="15" t="s">
        <v>600</v>
      </c>
      <c r="AA995" s="19" t="str">
        <f aca="false">HYPERLINK("https://www.transfermarkt.com/schnellsuche/ergebnis/schnellsuche?query="&amp;SUBSTITUTE(A995," ","+"),"Search Transfermarkt")</f>
        <v>Search Transfermarkt</v>
      </c>
    </row>
    <row r="996" customFormat="false" ht="23.85" hidden="false" customHeight="false" outlineLevel="0" collapsed="false">
      <c r="A996" s="15" t="s">
        <v>2815</v>
      </c>
      <c r="B996" s="15" t="s">
        <v>75</v>
      </c>
      <c r="C996" s="15" t="s">
        <v>1221</v>
      </c>
      <c r="D996" s="15" t="n">
        <v>3</v>
      </c>
      <c r="E996" s="15" t="s">
        <v>1672</v>
      </c>
      <c r="F996" s="15" t="s">
        <v>163</v>
      </c>
      <c r="G996" s="15" t="n">
        <v>26</v>
      </c>
      <c r="H996" s="15" t="n">
        <v>2203</v>
      </c>
      <c r="I996" s="15" t="n">
        <v>18</v>
      </c>
      <c r="J996" s="15" t="n">
        <v>3</v>
      </c>
      <c r="K996" s="15" t="n">
        <v>53</v>
      </c>
      <c r="L996" s="15" t="n">
        <v>64</v>
      </c>
      <c r="M996" s="15" t="n">
        <v>11</v>
      </c>
      <c r="N996" s="15" t="n">
        <v>0</v>
      </c>
      <c r="O996" s="15" t="n">
        <v>0</v>
      </c>
      <c r="P996" s="16" t="n">
        <v>0</v>
      </c>
      <c r="Q996" s="15" t="n">
        <v>0</v>
      </c>
      <c r="R996" s="15" t="n">
        <v>0</v>
      </c>
      <c r="S996" s="17" t="n">
        <v>49197</v>
      </c>
      <c r="T996" s="15" t="s">
        <v>137</v>
      </c>
      <c r="U996" s="15" t="n">
        <v>2028</v>
      </c>
      <c r="V996" s="15" t="s">
        <v>1673</v>
      </c>
      <c r="W996" s="18" t="s">
        <v>139</v>
      </c>
      <c r="X996" s="18" t="s">
        <v>197</v>
      </c>
      <c r="Y996" s="15" t="s">
        <v>600</v>
      </c>
      <c r="Z996" s="15" t="s">
        <v>600</v>
      </c>
      <c r="AA996" s="19" t="str">
        <f aca="false">HYPERLINK("https://www.transfermarkt.com/schnellsuche/ergebnis/schnellsuche?query="&amp;SUBSTITUTE(A996," ","+"),"Search Transfermarkt")</f>
        <v>Search Transfermarkt</v>
      </c>
    </row>
    <row r="997" customFormat="false" ht="23.85" hidden="false" customHeight="false" outlineLevel="0" collapsed="false">
      <c r="A997" s="15" t="s">
        <v>2816</v>
      </c>
      <c r="B997" s="15" t="s">
        <v>81</v>
      </c>
      <c r="C997" s="15" t="s">
        <v>1351</v>
      </c>
      <c r="D997" s="15" t="n">
        <v>3</v>
      </c>
      <c r="E997" s="15" t="s">
        <v>2817</v>
      </c>
      <c r="F997" s="15" t="s">
        <v>136</v>
      </c>
      <c r="G997" s="15" t="n">
        <v>17</v>
      </c>
      <c r="H997" s="15" t="n">
        <v>1596</v>
      </c>
      <c r="I997" s="15" t="n">
        <v>1</v>
      </c>
      <c r="J997" s="15" t="n">
        <v>0</v>
      </c>
      <c r="K997" s="15" t="n">
        <v>52</v>
      </c>
      <c r="L997" s="15" t="n">
        <v>22</v>
      </c>
      <c r="M997" s="15" t="n">
        <v>89</v>
      </c>
      <c r="N997" s="15" t="n">
        <v>0</v>
      </c>
      <c r="O997" s="15" t="n">
        <v>0</v>
      </c>
      <c r="P997" s="16" t="n">
        <v>0</v>
      </c>
      <c r="Q997" s="15" t="n">
        <v>0</v>
      </c>
      <c r="R997" s="15" t="n">
        <v>0</v>
      </c>
      <c r="S997" s="17" t="n">
        <v>69231</v>
      </c>
      <c r="T997" s="15" t="s">
        <v>137</v>
      </c>
      <c r="U997" s="15" t="n">
        <v>2029</v>
      </c>
      <c r="V997" s="15" t="s">
        <v>2818</v>
      </c>
      <c r="W997" s="18" t="s">
        <v>147</v>
      </c>
      <c r="X997" s="18" t="s">
        <v>407</v>
      </c>
      <c r="Y997" s="15" t="s">
        <v>600</v>
      </c>
      <c r="Z997" s="15" t="s">
        <v>600</v>
      </c>
      <c r="AA997" s="19" t="str">
        <f aca="false">HYPERLINK("https://www.transfermarkt.com/schnellsuche/ergebnis/schnellsuche?query="&amp;SUBSTITUTE(A997," ","+"),"Search Transfermarkt")</f>
        <v>Search Transfermarkt</v>
      </c>
    </row>
    <row r="998" customFormat="false" ht="23.85" hidden="false" customHeight="false" outlineLevel="0" collapsed="false">
      <c r="A998" s="15" t="s">
        <v>2819</v>
      </c>
      <c r="B998" s="15" t="s">
        <v>89</v>
      </c>
      <c r="C998" s="15" t="s">
        <v>548</v>
      </c>
      <c r="D998" s="15" t="n">
        <v>2</v>
      </c>
      <c r="E998" s="15" t="s">
        <v>2820</v>
      </c>
      <c r="F998" s="15" t="s">
        <v>136</v>
      </c>
      <c r="G998" s="15" t="n">
        <v>22</v>
      </c>
      <c r="H998" s="15" t="n">
        <v>858</v>
      </c>
      <c r="I998" s="15" t="n">
        <v>2</v>
      </c>
      <c r="J998" s="15" t="n">
        <v>1</v>
      </c>
      <c r="K998" s="15" t="n">
        <v>66</v>
      </c>
      <c r="L998" s="15" t="n">
        <v>46</v>
      </c>
      <c r="M998" s="15" t="n">
        <v>98</v>
      </c>
      <c r="N998" s="15" t="n">
        <v>0</v>
      </c>
      <c r="O998" s="15" t="n">
        <v>0</v>
      </c>
      <c r="P998" s="16" t="n">
        <v>0</v>
      </c>
      <c r="Q998" s="15" t="n">
        <v>0</v>
      </c>
      <c r="R998" s="15" t="n">
        <v>0</v>
      </c>
      <c r="S998" s="17" t="n">
        <v>0</v>
      </c>
      <c r="T998" s="15" t="s">
        <v>186</v>
      </c>
      <c r="U998" s="15" t="n">
        <v>2027</v>
      </c>
      <c r="V998" s="15" t="s">
        <v>2821</v>
      </c>
      <c r="W998" s="18" t="s">
        <v>188</v>
      </c>
      <c r="X998" s="18" t="s">
        <v>206</v>
      </c>
      <c r="Y998" s="15" t="s">
        <v>600</v>
      </c>
      <c r="Z998" s="15" t="s">
        <v>600</v>
      </c>
      <c r="AA998" s="19" t="str">
        <f aca="false">HYPERLINK("https://www.transfermarkt.com/schnellsuche/ergebnis/schnellsuche?query="&amp;SUBSTITUTE(A998," ","+"),"Search Transfermarkt")</f>
        <v>Search Transfermarkt</v>
      </c>
    </row>
    <row r="999" customFormat="false" ht="23.85" hidden="false" customHeight="false" outlineLevel="0" collapsed="false">
      <c r="A999" s="15" t="s">
        <v>2822</v>
      </c>
      <c r="B999" s="15" t="s">
        <v>102</v>
      </c>
      <c r="C999" s="15" t="s">
        <v>1749</v>
      </c>
      <c r="D999" s="15" t="n">
        <v>3</v>
      </c>
      <c r="E999" s="15" t="s">
        <v>2823</v>
      </c>
      <c r="F999" s="15" t="s">
        <v>170</v>
      </c>
      <c r="G999" s="15" t="n">
        <v>20</v>
      </c>
      <c r="H999" s="15" t="n">
        <v>1861</v>
      </c>
      <c r="I999" s="15" t="n">
        <v>6</v>
      </c>
      <c r="J999" s="15" t="n">
        <v>4</v>
      </c>
      <c r="K999" s="15" t="n">
        <v>158</v>
      </c>
      <c r="L999" s="15" t="n">
        <v>81</v>
      </c>
      <c r="M999" s="15" t="n">
        <v>53</v>
      </c>
      <c r="N999" s="15" t="n">
        <v>0</v>
      </c>
      <c r="O999" s="15" t="n">
        <v>0</v>
      </c>
      <c r="P999" s="16" t="n">
        <v>0</v>
      </c>
      <c r="Q999" s="15" t="n">
        <v>0</v>
      </c>
      <c r="R999" s="15" t="n">
        <v>0</v>
      </c>
      <c r="S999" s="17" t="n">
        <v>107774</v>
      </c>
      <c r="T999" s="15" t="s">
        <v>164</v>
      </c>
      <c r="U999" s="15" t="n">
        <v>2028</v>
      </c>
      <c r="V999" s="15" t="s">
        <v>2824</v>
      </c>
      <c r="W999" s="18" t="s">
        <v>139</v>
      </c>
      <c r="X999" s="18" t="s">
        <v>453</v>
      </c>
      <c r="Y999" s="15" t="s">
        <v>600</v>
      </c>
      <c r="Z999" s="15" t="s">
        <v>600</v>
      </c>
      <c r="AA999" s="19" t="str">
        <f aca="false">HYPERLINK("https://www.transfermarkt.com/schnellsuche/ergebnis/schnellsuche?query="&amp;SUBSTITUTE(A999," ","+"),"Search Transfermarkt")</f>
        <v>Search Transfermarkt</v>
      </c>
    </row>
    <row r="1000" customFormat="false" ht="23.85" hidden="false" customHeight="false" outlineLevel="0" collapsed="false">
      <c r="A1000" s="15" t="s">
        <v>2825</v>
      </c>
      <c r="B1000" s="15" t="s">
        <v>83</v>
      </c>
      <c r="C1000" s="15" t="s">
        <v>434</v>
      </c>
      <c r="D1000" s="15" t="n">
        <v>3</v>
      </c>
      <c r="E1000" s="15" t="s">
        <v>800</v>
      </c>
      <c r="F1000" s="15" t="s">
        <v>170</v>
      </c>
      <c r="G1000" s="15" t="n">
        <v>19</v>
      </c>
      <c r="H1000" s="15" t="n">
        <v>1871</v>
      </c>
      <c r="I1000" s="15" t="n">
        <v>4</v>
      </c>
      <c r="J1000" s="15" t="n">
        <v>12</v>
      </c>
      <c r="K1000" s="15" t="n">
        <v>105</v>
      </c>
      <c r="L1000" s="15" t="n">
        <v>60</v>
      </c>
      <c r="M1000" s="15" t="n">
        <v>49</v>
      </c>
      <c r="N1000" s="15" t="n">
        <v>0</v>
      </c>
      <c r="O1000" s="15" t="n">
        <v>0</v>
      </c>
      <c r="P1000" s="16" t="n">
        <v>0</v>
      </c>
      <c r="Q1000" s="15" t="n">
        <v>0</v>
      </c>
      <c r="R1000" s="15" t="n">
        <v>0</v>
      </c>
      <c r="S1000" s="17" t="n">
        <v>0</v>
      </c>
      <c r="T1000" s="15" t="s">
        <v>137</v>
      </c>
      <c r="U1000" s="15" t="n">
        <v>2029</v>
      </c>
      <c r="V1000" s="15" t="s">
        <v>801</v>
      </c>
      <c r="W1000" s="18" t="s">
        <v>139</v>
      </c>
      <c r="X1000" s="18" t="s">
        <v>379</v>
      </c>
      <c r="Y1000" s="15" t="s">
        <v>600</v>
      </c>
      <c r="Z1000" s="15" t="s">
        <v>600</v>
      </c>
      <c r="AA1000" s="19" t="str">
        <f aca="false">HYPERLINK("https://www.transfermarkt.com/schnellsuche/ergebnis/schnellsuche?query="&amp;SUBSTITUTE(A1000," ","+"),"Search Transfermarkt")</f>
        <v>Search Transfermarkt</v>
      </c>
    </row>
    <row r="1001" customFormat="false" ht="23.85" hidden="false" customHeight="false" outlineLevel="0" collapsed="false">
      <c r="A1001" s="15" t="s">
        <v>2826</v>
      </c>
      <c r="B1001" s="15" t="s">
        <v>77</v>
      </c>
      <c r="C1001" s="15" t="s">
        <v>544</v>
      </c>
      <c r="D1001" s="15" t="n">
        <v>4</v>
      </c>
      <c r="E1001" s="15" t="s">
        <v>1030</v>
      </c>
      <c r="F1001" s="15" t="s">
        <v>136</v>
      </c>
      <c r="G1001" s="15" t="n">
        <v>21</v>
      </c>
      <c r="H1001" s="15" t="n">
        <v>1403</v>
      </c>
      <c r="I1001" s="15" t="n">
        <v>2</v>
      </c>
      <c r="J1001" s="15" t="n">
        <v>2</v>
      </c>
      <c r="K1001" s="15" t="n">
        <v>65</v>
      </c>
      <c r="L1001" s="15" t="n">
        <v>21</v>
      </c>
      <c r="M1001" s="15" t="n">
        <v>81</v>
      </c>
      <c r="N1001" s="15" t="n">
        <v>0</v>
      </c>
      <c r="O1001" s="15" t="n">
        <v>0</v>
      </c>
      <c r="P1001" s="16" t="n">
        <v>0</v>
      </c>
      <c r="Q1001" s="15" t="n">
        <v>0</v>
      </c>
      <c r="R1001" s="15" t="n">
        <v>0</v>
      </c>
      <c r="S1001" s="17" t="n">
        <v>0</v>
      </c>
      <c r="T1001" s="15" t="s">
        <v>186</v>
      </c>
      <c r="U1001" s="15" t="n">
        <v>2027</v>
      </c>
      <c r="V1001" s="15" t="s">
        <v>1031</v>
      </c>
      <c r="W1001" s="18" t="s">
        <v>188</v>
      </c>
      <c r="X1001" s="18" t="s">
        <v>358</v>
      </c>
      <c r="Y1001" s="15" t="s">
        <v>600</v>
      </c>
      <c r="Z1001" s="15" t="s">
        <v>600</v>
      </c>
      <c r="AA1001" s="19" t="str">
        <f aca="false">HYPERLINK("https://www.transfermarkt.com/schnellsuche/ergebnis/schnellsuche?query="&amp;SUBSTITUTE(A1001," ","+"),"Search Transfermarkt")</f>
        <v>Search Transfermarkt</v>
      </c>
    </row>
    <row r="1003" customFormat="false" ht="54.75" hidden="false" customHeight="true" outlineLevel="0" collapsed="false">
      <c r="A1003" s="20" t="s">
        <v>2827</v>
      </c>
      <c r="B1003" s="20"/>
      <c r="C1003" s="20"/>
      <c r="D1003" s="20"/>
      <c r="E1003" s="20"/>
      <c r="F1003" s="20"/>
      <c r="G1003" s="20"/>
      <c r="H1003" s="20"/>
      <c r="I1003" s="20"/>
      <c r="J1003" s="20"/>
      <c r="K1003" s="20"/>
      <c r="L1003" s="20"/>
      <c r="M1003" s="20"/>
      <c r="N1003" s="20"/>
      <c r="O1003" s="20"/>
      <c r="P1003" s="20"/>
      <c r="Q1003" s="20"/>
      <c r="R1003" s="20"/>
      <c r="S1003" s="20"/>
      <c r="T1003" s="20"/>
      <c r="U1003" s="20"/>
      <c r="V1003" s="20"/>
      <c r="W1003" s="20"/>
      <c r="X1003" s="20"/>
      <c r="Y1003" s="20"/>
      <c r="Z1003" s="20"/>
      <c r="AA1003" s="20"/>
    </row>
  </sheetData>
  <autoFilter ref="A1:AA1001"/>
  <mergeCells count="1">
    <mergeCell ref="A1003:AA1003"/>
  </mergeCells>
  <dataValidations count="3">
    <dataValidation allowBlank="false" errorStyle="stop" operator="between" showDropDown="false" showErrorMessage="false" showInputMessage="false" sqref="F2:F1021" type="list">
      <formula1>"GK,DF,MF,FW"</formula1>
      <formula2>0</formula2>
    </dataValidation>
    <dataValidation allowBlank="false" errorStyle="stop" operator="between" showDropDown="false" showErrorMessage="false" showInputMessage="false" sqref="D2:D1021" type="list">
      <formula1>"2,3,4"</formula1>
      <formula2>0</formula2>
    </dataValidation>
    <dataValidation allowBlank="false" errorStyle="stop" operator="between" showDropDown="false" showErrorMessage="false" showInputMessage="false" sqref="T2:T1021" type="list">
      <formula1>"Yes,No,Unknown"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6" min="5" style="0" width="6"/>
    <col collapsed="false" customWidth="true" hidden="false" outlineLevel="0" max="10" min="7" style="0" width="9"/>
    <col collapsed="false" customWidth="true" hidden="false" outlineLevel="0" max="11" min="11" style="0" width="15"/>
    <col collapsed="false" customWidth="true" hidden="false" outlineLevel="0" max="16" min="12" style="0" width="11"/>
    <col collapsed="false" customWidth="true" hidden="false" outlineLevel="0" max="18" min="17" style="0" width="12"/>
    <col collapsed="false" customWidth="true" hidden="false" outlineLevel="0" max="19" min="19" style="0" width="13"/>
    <col collapsed="false" customWidth="true" hidden="false" outlineLevel="0" max="20" min="20" style="0" width="12"/>
    <col collapsed="false" customWidth="true" hidden="false" outlineLevel="0" max="21" min="21" style="0" width="10"/>
    <col collapsed="false" customWidth="true" hidden="false" outlineLevel="0" max="22" min="22" style="0" width="12"/>
    <col collapsed="false" customWidth="true" hidden="false" outlineLevel="0" max="23" min="23" style="0" width="22"/>
    <col collapsed="false" customWidth="true" hidden="false" outlineLevel="0" max="24" min="24" style="0" width="26"/>
    <col collapsed="false" customWidth="true" hidden="false" outlineLevel="0" max="26" min="25" style="0" width="34"/>
    <col collapsed="false" customWidth="true" hidden="false" outlineLevel="0" max="27" min="27" style="0" width="18"/>
    <col collapsed="false" customWidth="true" hidden="false" outlineLevel="0" max="28" min="28" style="0" width="12"/>
    <col collapsed="false" customWidth="true" hidden="false" outlineLevel="0" max="29" min="29" style="0" width="30"/>
    <col collapsed="false" customWidth="true" hidden="false" outlineLevel="0" max="31" min="30" style="0" width="12"/>
    <col collapsed="false" customWidth="true" hidden="false" outlineLevel="0" max="32" min="32" style="0" width="30"/>
    <col collapsed="false" customWidth="true" hidden="false" outlineLevel="0" max="33" min="33" style="0" width="18"/>
  </cols>
  <sheetData>
    <row r="1" customFormat="false" ht="31.5" hidden="false" customHeight="true" outlineLevel="0" collapsed="false">
      <c r="A1" s="14" t="s">
        <v>2828</v>
      </c>
      <c r="B1" s="14" t="s">
        <v>111</v>
      </c>
      <c r="C1" s="14" t="s">
        <v>60</v>
      </c>
      <c r="D1" s="14" t="s">
        <v>109</v>
      </c>
      <c r="E1" s="14" t="s">
        <v>45</v>
      </c>
      <c r="F1" s="14" t="s">
        <v>112</v>
      </c>
      <c r="G1" s="14" t="s">
        <v>2829</v>
      </c>
      <c r="H1" s="14" t="s">
        <v>2830</v>
      </c>
      <c r="I1" s="14" t="s">
        <v>2831</v>
      </c>
      <c r="J1" s="14" t="s">
        <v>2832</v>
      </c>
      <c r="K1" s="14" t="s">
        <v>124</v>
      </c>
      <c r="L1" s="14" t="s">
        <v>2833</v>
      </c>
      <c r="M1" s="14" t="s">
        <v>2834</v>
      </c>
      <c r="N1" s="14" t="s">
        <v>2835</v>
      </c>
      <c r="O1" s="14" t="s">
        <v>2836</v>
      </c>
      <c r="P1" s="14" t="s">
        <v>2837</v>
      </c>
      <c r="Q1" s="14" t="s">
        <v>2838</v>
      </c>
      <c r="R1" s="14" t="s">
        <v>2839</v>
      </c>
      <c r="S1" s="14" t="s">
        <v>2840</v>
      </c>
      <c r="T1" s="14" t="s">
        <v>2841</v>
      </c>
      <c r="U1" s="14" t="s">
        <v>125</v>
      </c>
      <c r="V1" s="14" t="s">
        <v>2842</v>
      </c>
      <c r="W1" s="14" t="s">
        <v>2843</v>
      </c>
      <c r="X1" s="14" t="s">
        <v>127</v>
      </c>
      <c r="Y1" s="14" t="s">
        <v>128</v>
      </c>
      <c r="Z1" s="14" t="s">
        <v>129</v>
      </c>
      <c r="AA1" s="14" t="s">
        <v>132</v>
      </c>
      <c r="AB1" s="14" t="s">
        <v>2844</v>
      </c>
      <c r="AC1" s="14" t="s">
        <v>2845</v>
      </c>
      <c r="AD1" s="14" t="s">
        <v>130</v>
      </c>
      <c r="AE1" s="14" t="s">
        <v>131</v>
      </c>
      <c r="AF1" s="14" t="s">
        <v>2846</v>
      </c>
      <c r="AG1" s="14" t="s">
        <v>2847</v>
      </c>
    </row>
    <row r="2" customFormat="false" ht="23.85" hidden="false" customHeight="false" outlineLevel="0" collapsed="false">
      <c r="A2" s="21" t="str">
        <f aca="false">'Player Data'!A2</f>
        <v>Nejc Krajnc</v>
      </c>
      <c r="B2" s="21" t="str">
        <f aca="false">'Player Data'!F2</f>
        <v>DF</v>
      </c>
      <c r="C2" s="21" t="str">
        <f aca="false">'Player Data'!B2</f>
        <v>Slovenia</v>
      </c>
      <c r="D2" s="21" t="str">
        <f aca="false">'Player Data'!C2</f>
        <v>Slovenia Regional League</v>
      </c>
      <c r="E2" s="21" t="n">
        <f aca="false">'Player Data'!D2</f>
        <v>3</v>
      </c>
      <c r="F2" s="21" t="n">
        <f aca="false">'Player Data'!G2</f>
        <v>21</v>
      </c>
      <c r="G2" s="21" t="n">
        <f aca="false">'Player Data'!H2</f>
        <v>2269</v>
      </c>
      <c r="H2" s="22" t="n">
        <f aca="false">IF(B2="GK",IFERROR(('Player Data'!N2-1.5*'Player Data'!O2)/'Player Data'!H2*90,0),IFERROR(('Player Data'!I2+'Player Data'!J2)/'Player Data'!H2*90,0))</f>
        <v>0.118995152049361</v>
      </c>
      <c r="I2" s="22" t="n">
        <f aca="false">IF(B2="GK",'Player Data'!P2,IFERROR(('Player Data'!K2+'Player Data'!L2)/'Player Data'!H2*90,0))</f>
        <v>3.56985456148083</v>
      </c>
      <c r="J2" s="22" t="n">
        <f aca="false">IF(B2="GK",IFERROR('Player Data'!Q2/'Player Data'!H2*90,0),IFERROR('Player Data'!M2/'Player Data'!H2*90,0))</f>
        <v>4.20449537241075</v>
      </c>
      <c r="K2" s="23" t="n">
        <f aca="false">'Player Data'!S2</f>
        <v>80530</v>
      </c>
      <c r="L2" s="22" t="n">
        <f aca="false">INDEX(Assumptions!$B$13:$B$15,MATCH(E2,Assumptions!$A$13:$A$15,0))</f>
        <v>0.85</v>
      </c>
      <c r="M2" s="24" t="n">
        <f aca="false">IFERROR(SUMPRODUCT(($B$2:$B$1001=B2)*($H$2:$H$1001&lt;=H2))/SUMPRODUCT(($B$2:$B$1001=B2)*1),0)</f>
        <v>0.26530612244898</v>
      </c>
      <c r="N2" s="24" t="n">
        <f aca="false">IFERROR(SUMPRODUCT(($B$2:$B$1001=B2)*($I$2:$I$1001&lt;=I2))/SUMPRODUCT(($B$2:$B$1001=B2)*1),0)</f>
        <v>0.255102040816327</v>
      </c>
      <c r="O2" s="24" t="n">
        <f aca="false">IFERROR(SUMPRODUCT(($B$2:$B$1001=B2)*($J$2:$J$1001&lt;=J2))/SUMPRODUCT(($B$2:$B$1001=B2)*1),0)</f>
        <v>0.299319727891156</v>
      </c>
      <c r="P2" s="24" t="n">
        <f aca="false">IFERROR(SUMPRODUCT(($B$2:$B$1001=B2)*((0-$F$2:$F$1001)&lt;=(0-F2)))/SUMPRODUCT(($B$2:$B$1001=B2)*1),0)</f>
        <v>0.568027210884354</v>
      </c>
      <c r="Q2" s="25" t="n">
        <f aca="false">(M2*Assumptions!$B$5+N2*Assumptions!$B$6+O2*Assumptions!$B$7+P2*Assumptions!$B$8)*L2</f>
        <v>0.279719387755102</v>
      </c>
      <c r="R2" s="24" t="n">
        <f aca="false">IFERROR(SUMPRODUCT(($B$2:$B$1001=B2)*($Q$2:$Q$1001&lt;=Q2))/SUMPRODUCT(($B$2:$B$1001=B2)*1),0)</f>
        <v>0.22108843537415</v>
      </c>
      <c r="S2" s="24" t="n">
        <f aca="false">IFERROR(SUMPRODUCT(($B$2:$B$1001=B2)*($K$2:$K$1001&lt;=K2))/SUMPRODUCT(($B$2:$B$1001=B2)*1),0)</f>
        <v>0.619047619047619</v>
      </c>
      <c r="T2" s="26" t="n">
        <f aca="false">(R2-S2)*100</f>
        <v>-39.7959183673469</v>
      </c>
      <c r="U2" s="21" t="str">
        <f aca="false">'Player Data'!T2</f>
        <v>No</v>
      </c>
      <c r="V2" s="27" t="n">
        <f aca="false">'Player Data'!U2</f>
        <v>2028</v>
      </c>
      <c r="W2" s="21" t="str">
        <f aca="false">IF(AND(T2&gt;=Assumptions!$B$19,U2="No"),"High Priority - Unrepresented",IF(T2&gt;=Assumptions!$B$19,"High Priority",IF(AND(T2&gt;=Assumptions!$B$20,U2="No"),"Watchlist - Unrepresented",IF(T2&gt;=Assumptions!$B$20,"Watchlist",""))))</f>
        <v/>
      </c>
      <c r="X2" s="21" t="str">
        <f aca="false">'Player Data'!V2</f>
        <v>info@koperfc.si</v>
      </c>
      <c r="Y2" s="28" t="str">
        <f aca="false">'Player Data'!W2</f>
        <v>Club sporting director / first-team office</v>
      </c>
      <c r="Z2" s="28" t="str">
        <f aca="false">'Player Data'!X2</f>
        <v>NZS (Football Association of Slovenia) player registry</v>
      </c>
      <c r="AA2" s="19" t="str">
        <f aca="false">HYPERLINK("https://www.transfermarkt.com/schnellsuche/ergebnis/schnellsuche?query="&amp;SUBSTITUTE(A2," ","+"),"Search Transfermarkt")</f>
        <v>Search Transfermarkt</v>
      </c>
      <c r="AB2" s="29" t="n">
        <f aca="false">IFERROR('Player Data'!K2/('Player Data'!K2+'Player Data'!L2),0)</f>
        <v>0.6</v>
      </c>
      <c r="AC2" s="21" t="str">
        <f aca="false">IF(B2="GK",IF(AND(O2&gt;=Assumptions!$B$23,N2&gt;=Assumptions!$B$23),"Sweeper-Keeper / Build-from-the-Back",IF(O2&gt;=Assumptions!$B$23,"Sweeper-Keeper / High Line",IF(M2&gt;=Assumptions!$B$23,"Shot-Stopper / Traditional","Flexible / Multi-System"))),IF(AND(O2&gt;=Assumptions!$B$23,P2&gt;=Assumptions!$B$24),"High Press / Gegenpressing",IF(AND(N2&gt;=Assumptions!$B$23,AB2&gt;=Assumptions!$B$25),"Possession / Build-from-the-Back",IF(N2&gt;=Assumptions!$B$23,"Counter-Attack / Transition",IF(AND(O2&gt;=Assumptions!$B$23,N2&lt;Assumptions!$B$26),"Low Block / Park the Bus",IF(AND(B2="FW",M2&gt;=Assumptions!$B$23,N2&lt;Assumptions!$B$26),"Direct / Target Approach","Flexible / Multi-System"))))))</f>
        <v>Flexible / Multi-System</v>
      </c>
      <c r="AD2" s="21" t="str">
        <f aca="false">'Player Data'!Y2</f>
        <v>2026-07-14</v>
      </c>
      <c r="AE2" s="21" t="str">
        <f aca="false">'Player Data'!Z2</f>
        <v>2026-07-15</v>
      </c>
      <c r="AF2" s="28" t="str">
        <f aca="false">IFERROR(INDEX(Assumptions!$B$30:$B$61,MATCH(C2,Assumptions!$A$30:$A$61,0)),"--")</f>
        <v>Austria, Poland</v>
      </c>
      <c r="AG2" s="30" t="str">
        <f aca="false">IF(R2&gt;=0.7,"Step-Up Candidate",IF(R2&gt;=0.4,"Lateral Move","Stay &amp; Develop"))</f>
        <v>Stay &amp; Develop</v>
      </c>
    </row>
    <row r="3" customFormat="false" ht="23.85" hidden="false" customHeight="false" outlineLevel="0" collapsed="false">
      <c r="A3" s="21" t="str">
        <f aca="false">'Player Data'!A3</f>
        <v>Hoang Le</v>
      </c>
      <c r="B3" s="21" t="str">
        <f aca="false">'Player Data'!F3</f>
        <v>DF</v>
      </c>
      <c r="C3" s="21" t="str">
        <f aca="false">'Player Data'!B3</f>
        <v>Vietnam</v>
      </c>
      <c r="D3" s="21" t="str">
        <f aca="false">'Player Data'!C3</f>
        <v>Vietnam Second Division - West</v>
      </c>
      <c r="E3" s="21" t="n">
        <f aca="false">'Player Data'!D3</f>
        <v>3</v>
      </c>
      <c r="F3" s="21" t="n">
        <f aca="false">'Player Data'!G3</f>
        <v>17</v>
      </c>
      <c r="G3" s="21" t="n">
        <f aca="false">'Player Data'!H3</f>
        <v>1740</v>
      </c>
      <c r="H3" s="22" t="n">
        <f aca="false">IF(B3="GK",IFERROR(('Player Data'!N3-1.5*'Player Data'!O3)/'Player Data'!H3*90,0),IFERROR(('Player Data'!I3+'Player Data'!J3)/'Player Data'!H3*90,0))</f>
        <v>0.103448275862069</v>
      </c>
      <c r="I3" s="22" t="n">
        <f aca="false">IF(B3="GK",'Player Data'!P3,IFERROR(('Player Data'!K3+'Player Data'!L3)/'Player Data'!H3*90,0))</f>
        <v>5.32758620689655</v>
      </c>
      <c r="J3" s="22" t="n">
        <f aca="false">IF(B3="GK",IFERROR('Player Data'!Q3/'Player Data'!H3*90,0),IFERROR('Player Data'!M3/'Player Data'!H3*90,0))</f>
        <v>6.46551724137931</v>
      </c>
      <c r="K3" s="23" t="n">
        <f aca="false">'Player Data'!S3</f>
        <v>106482</v>
      </c>
      <c r="L3" s="22" t="n">
        <f aca="false">INDEX(Assumptions!$B$13:$B$15,MATCH(E3,Assumptions!$A$13:$A$15,0))</f>
        <v>0.85</v>
      </c>
      <c r="M3" s="24" t="n">
        <f aca="false">IFERROR(SUMPRODUCT(($B$2:$B$1001=B3)*($H$2:$H$1001&lt;=H3))/SUMPRODUCT(($B$2:$B$1001=B3)*1),0)</f>
        <v>0.204081632653061</v>
      </c>
      <c r="N3" s="24" t="n">
        <f aca="false">IFERROR(SUMPRODUCT(($B$2:$B$1001=B3)*($I$2:$I$1001&lt;=I3))/SUMPRODUCT(($B$2:$B$1001=B3)*1),0)</f>
        <v>0.649659863945578</v>
      </c>
      <c r="O3" s="24" t="n">
        <f aca="false">IFERROR(SUMPRODUCT(($B$2:$B$1001=B3)*($J$2:$J$1001&lt;=J3))/SUMPRODUCT(($B$2:$B$1001=B3)*1),0)</f>
        <v>0.683673469387755</v>
      </c>
      <c r="P3" s="24" t="n">
        <f aca="false">IFERROR(SUMPRODUCT(($B$2:$B$1001=B3)*((0-$F$2:$F$1001)&lt;=(0-F3)))/SUMPRODUCT(($B$2:$B$1001=B3)*1),0)</f>
        <v>1</v>
      </c>
      <c r="Q3" s="25" t="n">
        <f aca="false">(M3*Assumptions!$B$5+N3*Assumptions!$B$6+O3*Assumptions!$B$7+P3*Assumptions!$B$8)*L3</f>
        <v>0.522865646258503</v>
      </c>
      <c r="R3" s="24" t="n">
        <f aca="false">IFERROR(SUMPRODUCT(($B$2:$B$1001=B3)*($Q$2:$Q$1001&lt;=Q3))/SUMPRODUCT(($B$2:$B$1001=B3)*1),0)</f>
        <v>0.653061224489796</v>
      </c>
      <c r="S3" s="24" t="n">
        <f aca="false">IFERROR(SUMPRODUCT(($B$2:$B$1001=B3)*($K$2:$K$1001&lt;=K3))/SUMPRODUCT(($B$2:$B$1001=B3)*1),0)</f>
        <v>0.782312925170068</v>
      </c>
      <c r="T3" s="26" t="n">
        <f aca="false">(R3-S3)*100</f>
        <v>-12.9251700680272</v>
      </c>
      <c r="U3" s="21" t="str">
        <f aca="false">'Player Data'!T3</f>
        <v>No</v>
      </c>
      <c r="V3" s="27" t="n">
        <f aca="false">'Player Data'!U3</f>
        <v>2026</v>
      </c>
      <c r="W3" s="21" t="str">
        <f aca="false">IF(AND(T3&gt;=Assumptions!$B$19,U3="No"),"High Priority - Unrepresented",IF(T3&gt;=Assumptions!$B$19,"High Priority",IF(AND(T3&gt;=Assumptions!$B$20,U3="No"),"Watchlist - Unrepresented",IF(T3&gt;=Assumptions!$B$20,"Watchlist",""))))</f>
        <v/>
      </c>
      <c r="X3" s="21" t="str">
        <f aca="false">'Player Data'!V3</f>
        <v>info@danangtown.vn</v>
      </c>
      <c r="Y3" s="28" t="str">
        <f aca="false">'Player Data'!W3</f>
        <v>Club youth/academy office ONLY - player is a minor, do not contact directly</v>
      </c>
      <c r="Z3" s="28" t="str">
        <f aca="false">'Player Data'!X3</f>
        <v>VFF (Vietnam Football Federation) player registry</v>
      </c>
      <c r="AA3" s="19" t="str">
        <f aca="false">HYPERLINK("https://www.transfermarkt.com/schnellsuche/ergebnis/schnellsuche?query="&amp;SUBSTITUTE(A3," ","+"),"Search Transfermarkt")</f>
        <v>Search Transfermarkt</v>
      </c>
      <c r="AB3" s="29" t="n">
        <f aca="false">IFERROR('Player Data'!K3/('Player Data'!K3+'Player Data'!L3),0)</f>
        <v>0.631067961165049</v>
      </c>
      <c r="AC3" s="21" t="str">
        <f aca="false">IF(B3="GK",IF(AND(O3&gt;=Assumptions!$B$23,N3&gt;=Assumptions!$B$23),"Sweeper-Keeper / Build-from-the-Back",IF(O3&gt;=Assumptions!$B$23,"Sweeper-Keeper / High Line",IF(M3&gt;=Assumptions!$B$23,"Shot-Stopper / Traditional","Flexible / Multi-System"))),IF(AND(O3&gt;=Assumptions!$B$23,P3&gt;=Assumptions!$B$24),"High Press / Gegenpressing",IF(AND(N3&gt;=Assumptions!$B$23,AB3&gt;=Assumptions!$B$25),"Possession / Build-from-the-Back",IF(N3&gt;=Assumptions!$B$23,"Counter-Attack / Transition",IF(AND(O3&gt;=Assumptions!$B$23,N3&lt;Assumptions!$B$26),"Low Block / Park the Bus",IF(AND(B3="FW",M3&gt;=Assumptions!$B$23,N3&lt;Assumptions!$B$26),"Direct / Target Approach","Flexible / Multi-System"))))))</f>
        <v>High Press / Gegenpressing</v>
      </c>
      <c r="AD3" s="21" t="str">
        <f aca="false">'Player Data'!Y3</f>
        <v>2026-07-14</v>
      </c>
      <c r="AE3" s="21" t="str">
        <f aca="false">'Player Data'!Z3</f>
        <v>2026-07-15</v>
      </c>
      <c r="AF3" s="28" t="str">
        <f aca="false">IFERROR(INDEX(Assumptions!$B$30:$B$61,MATCH(C3,Assumptions!$A$30:$A$61,0)),"--")</f>
        <v>Australia, Saudi Arabia</v>
      </c>
      <c r="AG3" s="30" t="str">
        <f aca="false">IF(R3&gt;=0.7,"Step-Up Candidate",IF(R3&gt;=0.4,"Lateral Move","Stay &amp; Develop"))</f>
        <v>Lateral Move</v>
      </c>
    </row>
    <row r="4" customFormat="false" ht="23.85" hidden="false" customHeight="false" outlineLevel="0" collapsed="false">
      <c r="A4" s="21" t="str">
        <f aca="false">'Player Data'!A4</f>
        <v>Filip Stojanovski</v>
      </c>
      <c r="B4" s="21" t="str">
        <f aca="false">'Player Data'!F4</f>
        <v>DF</v>
      </c>
      <c r="C4" s="21" t="str">
        <f aca="false">'Player Data'!B4</f>
        <v>North Macedonia</v>
      </c>
      <c r="D4" s="21" t="str">
        <f aca="false">'Player Data'!C4</f>
        <v>North Macedonia Regional League</v>
      </c>
      <c r="E4" s="21" t="n">
        <f aca="false">'Player Data'!D4</f>
        <v>2</v>
      </c>
      <c r="F4" s="21" t="n">
        <f aca="false">'Player Data'!G4</f>
        <v>19</v>
      </c>
      <c r="G4" s="21" t="n">
        <f aca="false">'Player Data'!H4</f>
        <v>1912</v>
      </c>
      <c r="H4" s="22" t="n">
        <f aca="false">IF(B4="GK",IFERROR(('Player Data'!N4-1.5*'Player Data'!O4)/'Player Data'!H4*90,0),IFERROR(('Player Data'!I4+'Player Data'!J4)/'Player Data'!H4*90,0))</f>
        <v>0.282426778242678</v>
      </c>
      <c r="I4" s="22" t="n">
        <f aca="false">IF(B4="GK",'Player Data'!P4,IFERROR(('Player Data'!K4+'Player Data'!L4)/'Player Data'!H4*90,0))</f>
        <v>4.28347280334728</v>
      </c>
      <c r="J4" s="22" t="n">
        <f aca="false">IF(B4="GK",IFERROR('Player Data'!Q4/'Player Data'!H4*90,0),IFERROR('Player Data'!M4/'Player Data'!H4*90,0))</f>
        <v>5.50732217573222</v>
      </c>
      <c r="K4" s="23" t="n">
        <f aca="false">'Player Data'!S4</f>
        <v>43203</v>
      </c>
      <c r="L4" s="22" t="n">
        <f aca="false">INDEX(Assumptions!$B$13:$B$15,MATCH(E4,Assumptions!$A$13:$A$15,0))</f>
        <v>1</v>
      </c>
      <c r="M4" s="24" t="n">
        <f aca="false">IFERROR(SUMPRODUCT(($B$2:$B$1001=B4)*($H$2:$H$1001&lt;=H4))/SUMPRODUCT(($B$2:$B$1001=B4)*1),0)</f>
        <v>0.727891156462585</v>
      </c>
      <c r="N4" s="24" t="n">
        <f aca="false">IFERROR(SUMPRODUCT(($B$2:$B$1001=B4)*($I$2:$I$1001&lt;=I4))/SUMPRODUCT(($B$2:$B$1001=B4)*1),0)</f>
        <v>0.448979591836735</v>
      </c>
      <c r="O4" s="24" t="n">
        <f aca="false">IFERROR(SUMPRODUCT(($B$2:$B$1001=B4)*($J$2:$J$1001&lt;=J4))/SUMPRODUCT(($B$2:$B$1001=B4)*1),0)</f>
        <v>0.527210884353742</v>
      </c>
      <c r="P4" s="24" t="n">
        <f aca="false">IFERROR(SUMPRODUCT(($B$2:$B$1001=B4)*((0-$F$2:$F$1001)&lt;=(0-F4)))/SUMPRODUCT(($B$2:$B$1001=B4)*1),0)</f>
        <v>0.738095238095238</v>
      </c>
      <c r="Q4" s="25" t="n">
        <f aca="false">(M4*Assumptions!$B$5+N4*Assumptions!$B$6+O4*Assumptions!$B$7+P4*Assumptions!$B$8)*L4</f>
        <v>0.592176870748299</v>
      </c>
      <c r="R4" s="24" t="n">
        <f aca="false">IFERROR(SUMPRODUCT(($B$2:$B$1001=B4)*($Q$2:$Q$1001&lt;=Q4))/SUMPRODUCT(($B$2:$B$1001=B4)*1),0)</f>
        <v>0.741496598639456</v>
      </c>
      <c r="S4" s="24" t="n">
        <f aca="false">IFERROR(SUMPRODUCT(($B$2:$B$1001=B4)*($K$2:$K$1001&lt;=K4))/SUMPRODUCT(($B$2:$B$1001=B4)*1),0)</f>
        <v>0.418367346938776</v>
      </c>
      <c r="T4" s="26" t="n">
        <f aca="false">(R4-S4)*100</f>
        <v>32.312925170068</v>
      </c>
      <c r="U4" s="21" t="str">
        <f aca="false">'Player Data'!T4</f>
        <v>No</v>
      </c>
      <c r="V4" s="27" t="n">
        <f aca="false">'Player Data'!U4</f>
        <v>2026</v>
      </c>
      <c r="W4" s="21" t="str">
        <f aca="false">IF(AND(T4&gt;=Assumptions!$B$19,U4="No"),"High Priority - Unrepresented",IF(T4&gt;=Assumptions!$B$19,"High Priority",IF(AND(T4&gt;=Assumptions!$B$20,U4="No"),"Watchlist - Unrepresented",IF(T4&gt;=Assumptions!$B$20,"Watchlist",""))))</f>
        <v>Watchlist - Unrepresented</v>
      </c>
      <c r="X4" s="21" t="str">
        <f aca="false">'Player Data'!V4</f>
        <v>info@ohridrangers.mk</v>
      </c>
      <c r="Y4" s="28" t="str">
        <f aca="false">'Player Data'!W4</f>
        <v>Club sporting director / first-team office</v>
      </c>
      <c r="Z4" s="28" t="str">
        <f aca="false">'Player Data'!X4</f>
        <v>FFM (Football Federation of North Macedonia) player registry</v>
      </c>
      <c r="AA4" s="19" t="str">
        <f aca="false">HYPERLINK("https://www.transfermarkt.com/schnellsuche/ergebnis/schnellsuche?query="&amp;SUBSTITUTE(A4," ","+"),"Search Transfermarkt")</f>
        <v>Search Transfermarkt</v>
      </c>
      <c r="AB4" s="29" t="n">
        <f aca="false">IFERROR('Player Data'!K4/('Player Data'!K4+'Player Data'!L4),0)</f>
        <v>0.78021978021978</v>
      </c>
      <c r="AC4" s="21" t="str">
        <f aca="false">IF(B4="GK",IF(AND(O4&gt;=Assumptions!$B$23,N4&gt;=Assumptions!$B$23),"Sweeper-Keeper / Build-from-the-Back",IF(O4&gt;=Assumptions!$B$23,"Sweeper-Keeper / High Line",IF(M4&gt;=Assumptions!$B$23,"Shot-Stopper / Traditional","Flexible / Multi-System"))),IF(AND(O4&gt;=Assumptions!$B$23,P4&gt;=Assumptions!$B$24),"High Press / Gegenpressing",IF(AND(N4&gt;=Assumptions!$B$23,AB4&gt;=Assumptions!$B$25),"Possession / Build-from-the-Back",IF(N4&gt;=Assumptions!$B$23,"Counter-Attack / Transition",IF(AND(O4&gt;=Assumptions!$B$23,N4&lt;Assumptions!$B$26),"Low Block / Park the Bus",IF(AND(B4="FW",M4&gt;=Assumptions!$B$23,N4&lt;Assumptions!$B$26),"Direct / Target Approach","Flexible / Multi-System"))))))</f>
        <v>Flexible / Multi-System</v>
      </c>
      <c r="AD4" s="21" t="str">
        <f aca="false">'Player Data'!Y4</f>
        <v>2026-07-14</v>
      </c>
      <c r="AE4" s="21" t="str">
        <f aca="false">'Player Data'!Z4</f>
        <v>2026-07-15</v>
      </c>
      <c r="AF4" s="28" t="str">
        <f aca="false">IFERROR(INDEX(Assumptions!$B$30:$B$61,MATCH(C4,Assumptions!$A$30:$A$61,0)),"--")</f>
        <v>Austria, Turkey</v>
      </c>
      <c r="AG4" s="30" t="str">
        <f aca="false">IF(R4&gt;=0.7,"Step-Up Candidate",IF(R4&gt;=0.4,"Lateral Move","Stay &amp; Develop"))</f>
        <v>Step-Up Candidate</v>
      </c>
    </row>
    <row r="5" customFormat="false" ht="23.85" hidden="false" customHeight="false" outlineLevel="0" collapsed="false">
      <c r="A5" s="21" t="str">
        <f aca="false">'Player Data'!A5</f>
        <v>Ha-joon Jung</v>
      </c>
      <c r="B5" s="21" t="str">
        <f aca="false">'Player Data'!F5</f>
        <v>GK</v>
      </c>
      <c r="C5" s="21" t="str">
        <f aca="false">'Player Data'!B5</f>
        <v>South Korea</v>
      </c>
      <c r="D5" s="21" t="str">
        <f aca="false">'Player Data'!C5</f>
        <v>South Korea Second Division</v>
      </c>
      <c r="E5" s="21" t="n">
        <f aca="false">'Player Data'!D5</f>
        <v>2</v>
      </c>
      <c r="F5" s="21" t="n">
        <f aca="false">'Player Data'!G5</f>
        <v>25</v>
      </c>
      <c r="G5" s="21" t="n">
        <f aca="false">'Player Data'!H5</f>
        <v>2099</v>
      </c>
      <c r="H5" s="22" t="n">
        <f aca="false">IF(B5="GK",IFERROR(('Player Data'!N5-1.5*'Player Data'!O5)/'Player Data'!H5*90,0),IFERROR(('Player Data'!I5+'Player Data'!J5)/'Player Data'!H5*90,0))</f>
        <v>0.578847070033349</v>
      </c>
      <c r="I5" s="22" t="n">
        <f aca="false">IF(B5="GK",'Player Data'!P5,IFERROR(('Player Data'!K5+'Player Data'!L5)/'Player Data'!H5*90,0))</f>
        <v>60.3</v>
      </c>
      <c r="J5" s="22" t="n">
        <f aca="false">IF(B5="GK",IFERROR('Player Data'!Q5/'Player Data'!H5*90,0),IFERROR('Player Data'!M5/'Player Data'!H5*90,0))</f>
        <v>0.570271557884707</v>
      </c>
      <c r="K5" s="23" t="n">
        <f aca="false">'Player Data'!S5</f>
        <v>126781</v>
      </c>
      <c r="L5" s="22" t="n">
        <f aca="false">INDEX(Assumptions!$B$13:$B$15,MATCH(E5,Assumptions!$A$13:$A$15,0))</f>
        <v>1</v>
      </c>
      <c r="M5" s="24" t="n">
        <f aca="false">IFERROR(SUMPRODUCT(($B$2:$B$1001=B5)*($H$2:$H$1001&lt;=H5))/SUMPRODUCT(($B$2:$B$1001=B5)*1),0)</f>
        <v>0.311475409836066</v>
      </c>
      <c r="N5" s="24" t="n">
        <f aca="false">IFERROR(SUMPRODUCT(($B$2:$B$1001=B5)*($I$2:$I$1001&lt;=I5))/SUMPRODUCT(($B$2:$B$1001=B5)*1),0)</f>
        <v>0.174863387978142</v>
      </c>
      <c r="O5" s="24" t="n">
        <f aca="false">IFERROR(SUMPRODUCT(($B$2:$B$1001=B5)*($J$2:$J$1001&lt;=J5))/SUMPRODUCT(($B$2:$B$1001=B5)*1),0)</f>
        <v>0.295081967213115</v>
      </c>
      <c r="P5" s="24" t="n">
        <f aca="false">IFERROR(SUMPRODUCT(($B$2:$B$1001=B5)*((0-$F$2:$F$1001)&lt;=(0-F5)))/SUMPRODUCT(($B$2:$B$1001=B5)*1),0)</f>
        <v>0.240437158469945</v>
      </c>
      <c r="Q5" s="25" t="n">
        <f aca="false">(M5*Assumptions!$B$5+N5*Assumptions!$B$6+O5*Assumptions!$B$7+P5*Assumptions!$B$8)*L5</f>
        <v>0.246174863387978</v>
      </c>
      <c r="R5" s="24" t="n">
        <f aca="false">IFERROR(SUMPRODUCT(($B$2:$B$1001=B5)*($Q$2:$Q$1001&lt;=Q5))/SUMPRODUCT(($B$2:$B$1001=B5)*1),0)</f>
        <v>0.0710382513661202</v>
      </c>
      <c r="S5" s="24" t="n">
        <f aca="false">IFERROR(SUMPRODUCT(($B$2:$B$1001=B5)*($K$2:$K$1001&lt;=K5))/SUMPRODUCT(($B$2:$B$1001=B5)*1),0)</f>
        <v>0.85792349726776</v>
      </c>
      <c r="T5" s="26" t="n">
        <f aca="false">(R5-S5)*100</f>
        <v>-78.6885245901639</v>
      </c>
      <c r="U5" s="21" t="str">
        <f aca="false">'Player Data'!T5</f>
        <v>No</v>
      </c>
      <c r="V5" s="27" t="n">
        <f aca="false">'Player Data'!U5</f>
        <v>2026</v>
      </c>
      <c r="W5" s="21" t="str">
        <f aca="false">IF(AND(T5&gt;=Assumptions!$B$19,U5="No"),"High Priority - Unrepresented",IF(T5&gt;=Assumptions!$B$19,"High Priority",IF(AND(T5&gt;=Assumptions!$B$20,U5="No"),"Watchlist - Unrepresented",IF(T5&gt;=Assumptions!$B$20,"Watchlist",""))))</f>
        <v/>
      </c>
      <c r="X5" s="21" t="str">
        <f aca="false">'Player Data'!V5</f>
        <v>info@daejeonfc.kr</v>
      </c>
      <c r="Y5" s="28" t="str">
        <f aca="false">'Player Data'!W5</f>
        <v>Club sporting director / first-team office</v>
      </c>
      <c r="Z5" s="28" t="str">
        <f aca="false">'Player Data'!X5</f>
        <v>KFA (Korea Football Association) player registry</v>
      </c>
      <c r="AA5" s="19" t="str">
        <f aca="false">HYPERLINK("https://www.transfermarkt.com/schnellsuche/ergebnis/schnellsuche?query="&amp;SUBSTITUTE(A5," ","+"),"Search Transfermarkt")</f>
        <v>Search Transfermarkt</v>
      </c>
      <c r="AB5" s="29" t="n">
        <f aca="false">IFERROR('Player Data'!K5/('Player Data'!K5+'Player Data'!L5),0)</f>
        <v>0.545454545454545</v>
      </c>
      <c r="AC5" s="21" t="str">
        <f aca="false">IF(B5="GK",IF(AND(O5&gt;=Assumptions!$B$23,N5&gt;=Assumptions!$B$23),"Sweeper-Keeper / Build-from-the-Back",IF(O5&gt;=Assumptions!$B$23,"Sweeper-Keeper / High Line",IF(M5&gt;=Assumptions!$B$23,"Shot-Stopper / Traditional","Flexible / Multi-System"))),IF(AND(O5&gt;=Assumptions!$B$23,P5&gt;=Assumptions!$B$24),"High Press / Gegenpressing",IF(AND(N5&gt;=Assumptions!$B$23,AB5&gt;=Assumptions!$B$25),"Possession / Build-from-the-Back",IF(N5&gt;=Assumptions!$B$23,"Counter-Attack / Transition",IF(AND(O5&gt;=Assumptions!$B$23,N5&lt;Assumptions!$B$26),"Low Block / Park the Bus",IF(AND(B5="FW",M5&gt;=Assumptions!$B$23,N5&lt;Assumptions!$B$26),"Direct / Target Approach","Flexible / Multi-System"))))))</f>
        <v>Flexible / Multi-System</v>
      </c>
      <c r="AD5" s="21" t="str">
        <f aca="false">'Player Data'!Y5</f>
        <v>2026-07-14</v>
      </c>
      <c r="AE5" s="21" t="str">
        <f aca="false">'Player Data'!Z5</f>
        <v>2026-07-15</v>
      </c>
      <c r="AF5" s="28" t="str">
        <f aca="false">IFERROR(INDEX(Assumptions!$B$30:$B$61,MATCH(C5,Assumptions!$A$30:$A$61,0)),"--")</f>
        <v>Belgium, Saudi Arabia</v>
      </c>
      <c r="AG5" s="30" t="str">
        <f aca="false">IF(R5&gt;=0.7,"Step-Up Candidate",IF(R5&gt;=0.4,"Lateral Move","Stay &amp; Develop"))</f>
        <v>Stay &amp; Develop</v>
      </c>
    </row>
    <row r="6" customFormat="false" ht="23.85" hidden="false" customHeight="false" outlineLevel="0" collapsed="false">
      <c r="A6" s="21" t="str">
        <f aca="false">'Player Data'!A6</f>
        <v>Junior Perez</v>
      </c>
      <c r="B6" s="21" t="str">
        <f aca="false">'Player Data'!F6</f>
        <v>FW</v>
      </c>
      <c r="C6" s="21" t="str">
        <f aca="false">'Player Data'!B6</f>
        <v>Venezuela</v>
      </c>
      <c r="D6" s="21" t="str">
        <f aca="false">'Player Data'!C6</f>
        <v>Venezuela Regional League</v>
      </c>
      <c r="E6" s="21" t="n">
        <f aca="false">'Player Data'!D6</f>
        <v>2</v>
      </c>
      <c r="F6" s="21" t="n">
        <f aca="false">'Player Data'!G6</f>
        <v>21</v>
      </c>
      <c r="G6" s="21" t="n">
        <f aca="false">'Player Data'!H6</f>
        <v>1809</v>
      </c>
      <c r="H6" s="22" t="n">
        <f aca="false">IF(B6="GK",IFERROR(('Player Data'!N6-1.5*'Player Data'!O6)/'Player Data'!H6*90,0),IFERROR(('Player Data'!I6+'Player Data'!J6)/'Player Data'!H6*90,0))</f>
        <v>1.19402985074627</v>
      </c>
      <c r="I6" s="22" t="n">
        <f aca="false">IF(B6="GK",'Player Data'!P6,IFERROR(('Player Data'!K6+'Player Data'!L6)/'Player Data'!H6*90,0))</f>
        <v>6.51741293532338</v>
      </c>
      <c r="J6" s="22" t="n">
        <f aca="false">IF(B6="GK",IFERROR('Player Data'!Q6/'Player Data'!H6*90,0),IFERROR('Player Data'!M6/'Player Data'!H6*90,0))</f>
        <v>0.597014925373134</v>
      </c>
      <c r="K6" s="23" t="n">
        <f aca="false">'Player Data'!S6</f>
        <v>121253</v>
      </c>
      <c r="L6" s="22" t="n">
        <f aca="false">INDEX(Assumptions!$B$13:$B$15,MATCH(E6,Assumptions!$A$13:$A$15,0))</f>
        <v>1</v>
      </c>
      <c r="M6" s="24" t="n">
        <f aca="false">IFERROR(SUMPRODUCT(($B$2:$B$1001=B6)*($H$2:$H$1001&lt;=H6))/SUMPRODUCT(($B$2:$B$1001=B6)*1),0)</f>
        <v>0.699115044247788</v>
      </c>
      <c r="N6" s="24" t="n">
        <f aca="false">IFERROR(SUMPRODUCT(($B$2:$B$1001=B6)*($I$2:$I$1001&lt;=I6))/SUMPRODUCT(($B$2:$B$1001=B6)*1),0)</f>
        <v>0.5</v>
      </c>
      <c r="O6" s="24" t="n">
        <f aca="false">IFERROR(SUMPRODUCT(($B$2:$B$1001=B6)*($J$2:$J$1001&lt;=J6))/SUMPRODUCT(($B$2:$B$1001=B6)*1),0)</f>
        <v>0.623893805309735</v>
      </c>
      <c r="P6" s="24" t="n">
        <f aca="false">IFERROR(SUMPRODUCT(($B$2:$B$1001=B6)*((0-$F$2:$F$1001)&lt;=(0-F6)))/SUMPRODUCT(($B$2:$B$1001=B6)*1),0)</f>
        <v>0.579646017699115</v>
      </c>
      <c r="Q6" s="25" t="n">
        <f aca="false">(M6*Assumptions!$B$5+N6*Assumptions!$B$6+O6*Assumptions!$B$7+P6*Assumptions!$B$8)*L6</f>
        <v>0.590486725663717</v>
      </c>
      <c r="R6" s="24" t="n">
        <f aca="false">IFERROR(SUMPRODUCT(($B$2:$B$1001=B6)*($Q$2:$Q$1001&lt;=Q6))/SUMPRODUCT(($B$2:$B$1001=B6)*1),0)</f>
        <v>0.738938053097345</v>
      </c>
      <c r="S6" s="24" t="n">
        <f aca="false">IFERROR(SUMPRODUCT(($B$2:$B$1001=B6)*($K$2:$K$1001&lt;=K6))/SUMPRODUCT(($B$2:$B$1001=B6)*1),0)</f>
        <v>0.845132743362832</v>
      </c>
      <c r="T6" s="26" t="n">
        <f aca="false">(R6-S6)*100</f>
        <v>-10.6194690265487</v>
      </c>
      <c r="U6" s="21" t="str">
        <f aca="false">'Player Data'!T6</f>
        <v>Unknown</v>
      </c>
      <c r="V6" s="27" t="n">
        <f aca="false">'Player Data'!U6</f>
        <v>2028</v>
      </c>
      <c r="W6" s="21" t="str">
        <f aca="false">IF(AND(T6&gt;=Assumptions!$B$19,U6="No"),"High Priority - Unrepresented",IF(T6&gt;=Assumptions!$B$19,"High Priority",IF(AND(T6&gt;=Assumptions!$B$20,U6="No"),"Watchlist - Unrepresented",IF(T6&gt;=Assumptions!$B$20,"Watchlist",""))))</f>
        <v/>
      </c>
      <c r="X6" s="21" t="str">
        <f aca="false">'Player Data'!V6</f>
        <v>info@barquisimetosc.ve</v>
      </c>
      <c r="Y6" s="28" t="str">
        <f aca="false">'Player Data'!W6</f>
        <v>Club sporting director / first-team office</v>
      </c>
      <c r="Z6" s="28" t="str">
        <f aca="false">'Player Data'!X6</f>
        <v>FVF (Venezuelan Football Federation) player registry</v>
      </c>
      <c r="AA6" s="19" t="str">
        <f aca="false">HYPERLINK("https://www.transfermarkt.com/schnellsuche/ergebnis/schnellsuche?query="&amp;SUBSTITUTE(A6," ","+"),"Search Transfermarkt")</f>
        <v>Search Transfermarkt</v>
      </c>
      <c r="AB6" s="29" t="n">
        <f aca="false">IFERROR('Player Data'!K6/('Player Data'!K6+'Player Data'!L6),0)</f>
        <v>0.412213740458015</v>
      </c>
      <c r="AC6" s="21" t="str">
        <f aca="false">IF(B6="GK",IF(AND(O6&gt;=Assumptions!$B$23,N6&gt;=Assumptions!$B$23),"Sweeper-Keeper / Build-from-the-Back",IF(O6&gt;=Assumptions!$B$23,"Sweeper-Keeper / High Line",IF(M6&gt;=Assumptions!$B$23,"Shot-Stopper / Traditional","Flexible / Multi-System"))),IF(AND(O6&gt;=Assumptions!$B$23,P6&gt;=Assumptions!$B$24),"High Press / Gegenpressing",IF(AND(N6&gt;=Assumptions!$B$23,AB6&gt;=Assumptions!$B$25),"Possession / Build-from-the-Back",IF(N6&gt;=Assumptions!$B$23,"Counter-Attack / Transition",IF(AND(O6&gt;=Assumptions!$B$23,N6&lt;Assumptions!$B$26),"Low Block / Park the Bus",IF(AND(B6="FW",M6&gt;=Assumptions!$B$23,N6&lt;Assumptions!$B$26),"Direct / Target Approach","Flexible / Multi-System"))))))</f>
        <v>Flexible / Multi-System</v>
      </c>
      <c r="AD6" s="21" t="str">
        <f aca="false">'Player Data'!Y6</f>
        <v>2026-07-14</v>
      </c>
      <c r="AE6" s="21" t="str">
        <f aca="false">'Player Data'!Z6</f>
        <v>2026-07-15</v>
      </c>
      <c r="AF6" s="28" t="str">
        <f aca="false">IFERROR(INDEX(Assumptions!$B$30:$B$61,MATCH(C6,Assumptions!$A$30:$A$61,0)),"--")</f>
        <v>Argentina, Portugal</v>
      </c>
      <c r="AG6" s="30" t="str">
        <f aca="false">IF(R6&gt;=0.7,"Step-Up Candidate",IF(R6&gt;=0.4,"Lateral Move","Stay &amp; Develop"))</f>
        <v>Step-Up Candidate</v>
      </c>
    </row>
    <row r="7" customFormat="false" ht="23.85" hidden="false" customHeight="false" outlineLevel="0" collapsed="false">
      <c r="A7" s="21" t="str">
        <f aca="false">'Player Data'!A7</f>
        <v>Rasmus Kukk</v>
      </c>
      <c r="B7" s="21" t="str">
        <f aca="false">'Player Data'!F7</f>
        <v>MF</v>
      </c>
      <c r="C7" s="21" t="str">
        <f aca="false">'Player Data'!B7</f>
        <v>Estonia</v>
      </c>
      <c r="D7" s="21" t="str">
        <f aca="false">'Player Data'!C7</f>
        <v>Estonia Second Division - West</v>
      </c>
      <c r="E7" s="21" t="n">
        <f aca="false">'Player Data'!D7</f>
        <v>2</v>
      </c>
      <c r="F7" s="21" t="n">
        <f aca="false">'Player Data'!G7</f>
        <v>25</v>
      </c>
      <c r="G7" s="21" t="n">
        <f aca="false">'Player Data'!H7</f>
        <v>1661</v>
      </c>
      <c r="H7" s="22" t="n">
        <f aca="false">IF(B7="GK",IFERROR(('Player Data'!N7-1.5*'Player Data'!O7)/'Player Data'!H7*90,0),IFERROR(('Player Data'!I7+'Player Data'!J7)/'Player Data'!H7*90,0))</f>
        <v>1.13786875376279</v>
      </c>
      <c r="I7" s="22" t="n">
        <f aca="false">IF(B7="GK",'Player Data'!P7,IFERROR(('Player Data'!K7+'Player Data'!L7)/'Player Data'!H7*90,0))</f>
        <v>11.8121613485852</v>
      </c>
      <c r="J7" s="22" t="n">
        <f aca="false">IF(B7="GK",IFERROR('Player Data'!Q7/'Player Data'!H7*90,0),IFERROR('Player Data'!M7/'Player Data'!H7*90,0))</f>
        <v>2.49247441300421</v>
      </c>
      <c r="K7" s="23" t="n">
        <f aca="false">'Player Data'!S7</f>
        <v>87658</v>
      </c>
      <c r="L7" s="22" t="n">
        <f aca="false">INDEX(Assumptions!$B$13:$B$15,MATCH(E7,Assumptions!$A$13:$A$15,0))</f>
        <v>1</v>
      </c>
      <c r="M7" s="24" t="n">
        <f aca="false">IFERROR(SUMPRODUCT(($B$2:$B$1001=B7)*($H$2:$H$1001&lt;=H7))/SUMPRODUCT(($B$2:$B$1001=B7)*1),0)</f>
        <v>0.828282828282828</v>
      </c>
      <c r="N7" s="24" t="n">
        <f aca="false">IFERROR(SUMPRODUCT(($B$2:$B$1001=B7)*($I$2:$I$1001&lt;=I7))/SUMPRODUCT(($B$2:$B$1001=B7)*1),0)</f>
        <v>0.572390572390572</v>
      </c>
      <c r="O7" s="24" t="n">
        <f aca="false">IFERROR(SUMPRODUCT(($B$2:$B$1001=B7)*($J$2:$J$1001&lt;=J7))/SUMPRODUCT(($B$2:$B$1001=B7)*1),0)</f>
        <v>0.632996632996633</v>
      </c>
      <c r="P7" s="24" t="n">
        <f aca="false">IFERROR(SUMPRODUCT(($B$2:$B$1001=B7)*((0-$F$2:$F$1001)&lt;=(0-F7)))/SUMPRODUCT(($B$2:$B$1001=B7)*1),0)</f>
        <v>0.202020202020202</v>
      </c>
      <c r="Q7" s="25" t="n">
        <f aca="false">(M7*Assumptions!$B$5+N7*Assumptions!$B$6+O7*Assumptions!$B$7+P7*Assumptions!$B$8)*L7</f>
        <v>0.574410774410775</v>
      </c>
      <c r="R7" s="24" t="n">
        <f aca="false">IFERROR(SUMPRODUCT(($B$2:$B$1001=B7)*($Q$2:$Q$1001&lt;=Q7))/SUMPRODUCT(($B$2:$B$1001=B7)*1),0)</f>
        <v>0.723905723905724</v>
      </c>
      <c r="S7" s="24" t="n">
        <f aca="false">IFERROR(SUMPRODUCT(($B$2:$B$1001=B7)*($K$2:$K$1001&lt;=K7))/SUMPRODUCT(($B$2:$B$1001=B7)*1),0)</f>
        <v>0.69023569023569</v>
      </c>
      <c r="T7" s="26" t="n">
        <f aca="false">(R7-S7)*100</f>
        <v>3.36700336700337</v>
      </c>
      <c r="U7" s="21" t="str">
        <f aca="false">'Player Data'!T7</f>
        <v>No</v>
      </c>
      <c r="V7" s="27" t="n">
        <f aca="false">'Player Data'!U7</f>
        <v>2029</v>
      </c>
      <c r="W7" s="21" t="str">
        <f aca="false">IF(AND(T7&gt;=Assumptions!$B$19,U7="No"),"High Priority - Unrepresented",IF(T7&gt;=Assumptions!$B$19,"High Priority",IF(AND(T7&gt;=Assumptions!$B$20,U7="No"),"Watchlist - Unrepresented",IF(T7&gt;=Assumptions!$B$20,"Watchlist",""))))</f>
        <v/>
      </c>
      <c r="X7" s="21" t="str">
        <f aca="false">'Player Data'!V7</f>
        <v>info@narvawanderers.ee</v>
      </c>
      <c r="Y7" s="28" t="str">
        <f aca="false">'Player Data'!W7</f>
        <v>Club sporting director / first-team office</v>
      </c>
      <c r="Z7" s="28" t="str">
        <f aca="false">'Player Data'!X7</f>
        <v>EJL (Estonian Football Association) player registry</v>
      </c>
      <c r="AA7" s="19" t="str">
        <f aca="false">HYPERLINK("https://www.transfermarkt.com/schnellsuche/ergebnis/schnellsuche?query="&amp;SUBSTITUTE(A7," ","+"),"Search Transfermarkt")</f>
        <v>Search Transfermarkt</v>
      </c>
      <c r="AB7" s="29" t="n">
        <f aca="false">IFERROR('Player Data'!K7/('Player Data'!K7+'Player Data'!L7),0)</f>
        <v>0.58256880733945</v>
      </c>
      <c r="AC7" s="21" t="str">
        <f aca="false">IF(B7="GK",IF(AND(O7&gt;=Assumptions!$B$23,N7&gt;=Assumptions!$B$23),"Sweeper-Keeper / Build-from-the-Back",IF(O7&gt;=Assumptions!$B$23,"Sweeper-Keeper / High Line",IF(M7&gt;=Assumptions!$B$23,"Shot-Stopper / Traditional","Flexible / Multi-System"))),IF(AND(O7&gt;=Assumptions!$B$23,P7&gt;=Assumptions!$B$24),"High Press / Gegenpressing",IF(AND(N7&gt;=Assumptions!$B$23,AB7&gt;=Assumptions!$B$25),"Possession / Build-from-the-Back",IF(N7&gt;=Assumptions!$B$23,"Counter-Attack / Transition",IF(AND(O7&gt;=Assumptions!$B$23,N7&lt;Assumptions!$B$26),"Low Block / Park the Bus",IF(AND(B7="FW",M7&gt;=Assumptions!$B$23,N7&lt;Assumptions!$B$26),"Direct / Target Approach","Flexible / Multi-System"))))))</f>
        <v>Flexible / Multi-System</v>
      </c>
      <c r="AD7" s="21" t="str">
        <f aca="false">'Player Data'!Y7</f>
        <v>2026-07-14</v>
      </c>
      <c r="AE7" s="21" t="str">
        <f aca="false">'Player Data'!Z7</f>
        <v>2026-07-15</v>
      </c>
      <c r="AF7" s="28" t="str">
        <f aca="false">IFERROR(INDEX(Assumptions!$B$30:$B$61,MATCH(C7,Assumptions!$A$30:$A$61,0)),"--")</f>
        <v>Poland, Norway</v>
      </c>
      <c r="AG7" s="30" t="str">
        <f aca="false">IF(R7&gt;=0.7,"Step-Up Candidate",IF(R7&gt;=0.4,"Lateral Move","Stay &amp; Develop"))</f>
        <v>Step-Up Candidate</v>
      </c>
    </row>
    <row r="8" customFormat="false" ht="23.85" hidden="false" customHeight="false" outlineLevel="0" collapsed="false">
      <c r="A8" s="21" t="str">
        <f aca="false">'Player Data'!A8</f>
        <v>Ardit Krasniqi</v>
      </c>
      <c r="B8" s="21" t="str">
        <f aca="false">'Player Data'!F8</f>
        <v>FW</v>
      </c>
      <c r="C8" s="21" t="str">
        <f aca="false">'Player Data'!B8</f>
        <v>Albania</v>
      </c>
      <c r="D8" s="21" t="str">
        <f aca="false">'Player Data'!C8</f>
        <v>Albania Third Tier - North</v>
      </c>
      <c r="E8" s="21" t="n">
        <f aca="false">'Player Data'!D8</f>
        <v>4</v>
      </c>
      <c r="F8" s="21" t="n">
        <f aca="false">'Player Data'!G8</f>
        <v>19</v>
      </c>
      <c r="G8" s="21" t="n">
        <f aca="false">'Player Data'!H8</f>
        <v>850</v>
      </c>
      <c r="H8" s="22" t="n">
        <f aca="false">IF(B8="GK",IFERROR(('Player Data'!N8-1.5*'Player Data'!O8)/'Player Data'!H8*90,0),IFERROR(('Player Data'!I8+'Player Data'!J8)/'Player Data'!H8*90,0))</f>
        <v>1.58823529411765</v>
      </c>
      <c r="I8" s="22" t="n">
        <f aca="false">IF(B8="GK",'Player Data'!P8,IFERROR(('Player Data'!K8+'Player Data'!L8)/'Player Data'!H8*90,0))</f>
        <v>16.3058823529412</v>
      </c>
      <c r="J8" s="22" t="n">
        <f aca="false">IF(B8="GK",IFERROR('Player Data'!Q8/'Player Data'!H8*90,0),IFERROR('Player Data'!M8/'Player Data'!H8*90,0))</f>
        <v>1.58823529411765</v>
      </c>
      <c r="K8" s="23" t="n">
        <f aca="false">'Player Data'!S8</f>
        <v>36336</v>
      </c>
      <c r="L8" s="22" t="n">
        <f aca="false">INDEX(Assumptions!$B$13:$B$15,MATCH(E8,Assumptions!$A$13:$A$15,0))</f>
        <v>0.7</v>
      </c>
      <c r="M8" s="24" t="n">
        <f aca="false">IFERROR(SUMPRODUCT(($B$2:$B$1001=B8)*($H$2:$H$1001&lt;=H8))/SUMPRODUCT(($B$2:$B$1001=B8)*1),0)</f>
        <v>0.876106194690266</v>
      </c>
      <c r="N8" s="24" t="n">
        <f aca="false">IFERROR(SUMPRODUCT(($B$2:$B$1001=B8)*($I$2:$I$1001&lt;=I8))/SUMPRODUCT(($B$2:$B$1001=B8)*1),0)</f>
        <v>0.991150442477876</v>
      </c>
      <c r="O8" s="24" t="n">
        <f aca="false">IFERROR(SUMPRODUCT(($B$2:$B$1001=B8)*($J$2:$J$1001&lt;=J8))/SUMPRODUCT(($B$2:$B$1001=B8)*1),0)</f>
        <v>1</v>
      </c>
      <c r="P8" s="24" t="n">
        <f aca="false">IFERROR(SUMPRODUCT(($B$2:$B$1001=B8)*((0-$F$2:$F$1001)&lt;=(0-F8)))/SUMPRODUCT(($B$2:$B$1001=B8)*1),0)</f>
        <v>0.831858407079646</v>
      </c>
      <c r="Q8" s="25" t="n">
        <f aca="false">(M8*Assumptions!$B$5+N8*Assumptions!$B$6+O8*Assumptions!$B$7+P8*Assumptions!$B$8)*L8</f>
        <v>0.652610619469027</v>
      </c>
      <c r="R8" s="24" t="n">
        <f aca="false">IFERROR(SUMPRODUCT(($B$2:$B$1001=B8)*($Q$2:$Q$1001&lt;=Q8))/SUMPRODUCT(($B$2:$B$1001=B8)*1),0)</f>
        <v>0.823008849557522</v>
      </c>
      <c r="S8" s="24" t="n">
        <f aca="false">IFERROR(SUMPRODUCT(($B$2:$B$1001=B8)*($K$2:$K$1001&lt;=K8))/SUMPRODUCT(($B$2:$B$1001=B8)*1),0)</f>
        <v>0.393805309734513</v>
      </c>
      <c r="T8" s="26" t="n">
        <f aca="false">(R8-S8)*100</f>
        <v>42.9203539823009</v>
      </c>
      <c r="U8" s="21" t="str">
        <f aca="false">'Player Data'!T8</f>
        <v>No</v>
      </c>
      <c r="V8" s="27" t="n">
        <f aca="false">'Player Data'!U8</f>
        <v>2026</v>
      </c>
      <c r="W8" s="21" t="str">
        <f aca="false">IF(AND(T8&gt;=Assumptions!$B$19,U8="No"),"High Priority - Unrepresented",IF(T8&gt;=Assumptions!$B$19,"High Priority",IF(AND(T8&gt;=Assumptions!$B$20,U8="No"),"Watchlist - Unrepresented",IF(T8&gt;=Assumptions!$B$20,"Watchlist",""))))</f>
        <v>High Priority - Unrepresented</v>
      </c>
      <c r="X8" s="21" t="str">
        <f aca="false">'Player Data'!V8</f>
        <v>info@durresrangers.al</v>
      </c>
      <c r="Y8" s="28" t="str">
        <f aca="false">'Player Data'!W8</f>
        <v>Club sporting director / first-team office</v>
      </c>
      <c r="Z8" s="28" t="str">
        <f aca="false">'Player Data'!X8</f>
        <v>FSHF (Albanian Football Association) player registry</v>
      </c>
      <c r="AA8" s="19" t="str">
        <f aca="false">HYPERLINK("https://www.transfermarkt.com/schnellsuche/ergebnis/schnellsuche?query="&amp;SUBSTITUTE(A8," ","+"),"Search Transfermarkt")</f>
        <v>Search Transfermarkt</v>
      </c>
      <c r="AB8" s="29" t="n">
        <f aca="false">IFERROR('Player Data'!K8/('Player Data'!K8+'Player Data'!L8),0)</f>
        <v>0.350649350649351</v>
      </c>
      <c r="AC8" s="21" t="str">
        <f aca="false">IF(B8="GK",IF(AND(O8&gt;=Assumptions!$B$23,N8&gt;=Assumptions!$B$23),"Sweeper-Keeper / Build-from-the-Back",IF(O8&gt;=Assumptions!$B$23,"Sweeper-Keeper / High Line",IF(M8&gt;=Assumptions!$B$23,"Shot-Stopper / Traditional","Flexible / Multi-System"))),IF(AND(O8&gt;=Assumptions!$B$23,P8&gt;=Assumptions!$B$24),"High Press / Gegenpressing",IF(AND(N8&gt;=Assumptions!$B$23,AB8&gt;=Assumptions!$B$25),"Possession / Build-from-the-Back",IF(N8&gt;=Assumptions!$B$23,"Counter-Attack / Transition",IF(AND(O8&gt;=Assumptions!$B$23,N8&lt;Assumptions!$B$26),"Low Block / Park the Bus",IF(AND(B8="FW",M8&gt;=Assumptions!$B$23,N8&lt;Assumptions!$B$26),"Direct / Target Approach","Flexible / Multi-System"))))))</f>
        <v>High Press / Gegenpressing</v>
      </c>
      <c r="AD8" s="21" t="str">
        <f aca="false">'Player Data'!Y8</f>
        <v>2026-07-14</v>
      </c>
      <c r="AE8" s="21" t="str">
        <f aca="false">'Player Data'!Z8</f>
        <v>2026-07-15</v>
      </c>
      <c r="AF8" s="28" t="str">
        <f aca="false">IFERROR(INDEX(Assumptions!$B$30:$B$61,MATCH(C8,Assumptions!$A$30:$A$61,0)),"--")</f>
        <v>Turkey, Poland</v>
      </c>
      <c r="AG8" s="30" t="str">
        <f aca="false">IF(R8&gt;=0.7,"Step-Up Candidate",IF(R8&gt;=0.4,"Lateral Move","Stay &amp; Develop"))</f>
        <v>Step-Up Candidate</v>
      </c>
    </row>
    <row r="9" customFormat="false" ht="23.85" hidden="false" customHeight="false" outlineLevel="0" collapsed="false">
      <c r="A9" s="21" t="str">
        <f aca="false">'Player Data'!A9</f>
        <v>Ivan Matic</v>
      </c>
      <c r="B9" s="21" t="str">
        <f aca="false">'Player Data'!F9</f>
        <v>GK</v>
      </c>
      <c r="C9" s="21" t="str">
        <f aca="false">'Player Data'!B9</f>
        <v>Croatia</v>
      </c>
      <c r="D9" s="21" t="str">
        <f aca="false">'Player Data'!C9</f>
        <v>Croatia Third Tier - South</v>
      </c>
      <c r="E9" s="21" t="n">
        <f aca="false">'Player Data'!D9</f>
        <v>4</v>
      </c>
      <c r="F9" s="21" t="n">
        <f aca="false">'Player Data'!G9</f>
        <v>17</v>
      </c>
      <c r="G9" s="21" t="n">
        <f aca="false">'Player Data'!H9</f>
        <v>1036</v>
      </c>
      <c r="H9" s="22" t="n">
        <f aca="false">IF(B9="GK",IFERROR(('Player Data'!N9-1.5*'Player Data'!O9)/'Player Data'!H9*90,0),IFERROR(('Player Data'!I9+'Player Data'!J9)/'Player Data'!H9*90,0))</f>
        <v>1.91119691119691</v>
      </c>
      <c r="I9" s="22" t="n">
        <f aca="false">IF(B9="GK",'Player Data'!P9,IFERROR(('Player Data'!K9+'Player Data'!L9)/'Player Data'!H9*90,0))</f>
        <v>75.7</v>
      </c>
      <c r="J9" s="22" t="n">
        <f aca="false">IF(B9="GK",IFERROR('Player Data'!Q9/'Player Data'!H9*90,0),IFERROR('Player Data'!M9/'Player Data'!H9*90,0))</f>
        <v>0.477799227799228</v>
      </c>
      <c r="K9" s="23" t="n">
        <f aca="false">'Player Data'!S9</f>
        <v>131907</v>
      </c>
      <c r="L9" s="22" t="n">
        <f aca="false">INDEX(Assumptions!$B$13:$B$15,MATCH(E9,Assumptions!$A$13:$A$15,0))</f>
        <v>0.7</v>
      </c>
      <c r="M9" s="24" t="n">
        <f aca="false">IFERROR(SUMPRODUCT(($B$2:$B$1001=B9)*($H$2:$H$1001&lt;=H9))/SUMPRODUCT(($B$2:$B$1001=B9)*1),0)</f>
        <v>0.868852459016393</v>
      </c>
      <c r="N9" s="24" t="n">
        <f aca="false">IFERROR(SUMPRODUCT(($B$2:$B$1001=B9)*($I$2:$I$1001&lt;=I9))/SUMPRODUCT(($B$2:$B$1001=B9)*1),0)</f>
        <v>0.573770491803279</v>
      </c>
      <c r="O9" s="24" t="n">
        <f aca="false">IFERROR(SUMPRODUCT(($B$2:$B$1001=B9)*($J$2:$J$1001&lt;=J9))/SUMPRODUCT(($B$2:$B$1001=B9)*1),0)</f>
        <v>0.229508196721311</v>
      </c>
      <c r="P9" s="24" t="n">
        <f aca="false">IFERROR(SUMPRODUCT(($B$2:$B$1001=B9)*((0-$F$2:$F$1001)&lt;=(0-F9)))/SUMPRODUCT(($B$2:$B$1001=B9)*1),0)</f>
        <v>1</v>
      </c>
      <c r="Q9" s="25" t="n">
        <f aca="false">(M9*Assumptions!$B$5+N9*Assumptions!$B$6+O9*Assumptions!$B$7+P9*Assumptions!$B$8)*L9</f>
        <v>0.464754098360656</v>
      </c>
      <c r="R9" s="24" t="n">
        <f aca="false">IFERROR(SUMPRODUCT(($B$2:$B$1001=B9)*($Q$2:$Q$1001&lt;=Q9))/SUMPRODUCT(($B$2:$B$1001=B9)*1),0)</f>
        <v>0.497267759562842</v>
      </c>
      <c r="S9" s="24" t="n">
        <f aca="false">IFERROR(SUMPRODUCT(($B$2:$B$1001=B9)*($K$2:$K$1001&lt;=K9))/SUMPRODUCT(($B$2:$B$1001=B9)*1),0)</f>
        <v>0.896174863387978</v>
      </c>
      <c r="T9" s="26" t="n">
        <f aca="false">(R9-S9)*100</f>
        <v>-39.8907103825137</v>
      </c>
      <c r="U9" s="21" t="str">
        <f aca="false">'Player Data'!T9</f>
        <v>No</v>
      </c>
      <c r="V9" s="27" t="n">
        <f aca="false">'Player Data'!U9</f>
        <v>2029</v>
      </c>
      <c r="W9" s="21" t="str">
        <f aca="false">IF(AND(T9&gt;=Assumptions!$B$19,U9="No"),"High Priority - Unrepresented",IF(T9&gt;=Assumptions!$B$19,"High Priority",IF(AND(T9&gt;=Assumptions!$B$20,U9="No"),"Watchlist - Unrepresented",IF(T9&gt;=Assumptions!$B$20,"Watchlist",""))))</f>
        <v/>
      </c>
      <c r="X9" s="21" t="str">
        <f aca="false">'Player Data'!V9</f>
        <v>info@osijeksc.hr</v>
      </c>
      <c r="Y9" s="28" t="str">
        <f aca="false">'Player Data'!W9</f>
        <v>Club youth/academy office ONLY - player is a minor, do not contact directly</v>
      </c>
      <c r="Z9" s="28" t="str">
        <f aca="false">'Player Data'!X9</f>
        <v>HNS (Croatian Football Federation) player registry</v>
      </c>
      <c r="AA9" s="19" t="str">
        <f aca="false">HYPERLINK("https://www.transfermarkt.com/schnellsuche/ergebnis/schnellsuche?query="&amp;SUBSTITUTE(A9," ","+"),"Search Transfermarkt")</f>
        <v>Search Transfermarkt</v>
      </c>
      <c r="AB9" s="29" t="n">
        <f aca="false">IFERROR('Player Data'!K9/('Player Data'!K9+'Player Data'!L9),0)</f>
        <v>0.941176470588235</v>
      </c>
      <c r="AC9" s="21" t="str">
        <f aca="false">IF(B9="GK",IF(AND(O9&gt;=Assumptions!$B$23,N9&gt;=Assumptions!$B$23),"Sweeper-Keeper / Build-from-the-Back",IF(O9&gt;=Assumptions!$B$23,"Sweeper-Keeper / High Line",IF(M9&gt;=Assumptions!$B$23,"Shot-Stopper / Traditional","Flexible / Multi-System"))),IF(AND(O9&gt;=Assumptions!$B$23,P9&gt;=Assumptions!$B$24),"High Press / Gegenpressing",IF(AND(N9&gt;=Assumptions!$B$23,AB9&gt;=Assumptions!$B$25),"Possession / Build-from-the-Back",IF(N9&gt;=Assumptions!$B$23,"Counter-Attack / Transition",IF(AND(O9&gt;=Assumptions!$B$23,N9&lt;Assumptions!$B$26),"Low Block / Park the Bus",IF(AND(B9="FW",M9&gt;=Assumptions!$B$23,N9&lt;Assumptions!$B$26),"Direct / Target Approach","Flexible / Multi-System"))))))</f>
        <v>Shot-Stopper / Traditional</v>
      </c>
      <c r="AD9" s="21" t="str">
        <f aca="false">'Player Data'!Y9</f>
        <v>2026-07-14</v>
      </c>
      <c r="AE9" s="21" t="str">
        <f aca="false">'Player Data'!Z9</f>
        <v>2026-07-15</v>
      </c>
      <c r="AF9" s="28" t="str">
        <f aca="false">IFERROR(INDEX(Assumptions!$B$30:$B$61,MATCH(C9,Assumptions!$A$30:$A$61,0)),"--")</f>
        <v>Austria, Turkey</v>
      </c>
      <c r="AG9" s="30" t="str">
        <f aca="false">IF(R9&gt;=0.7,"Step-Up Candidate",IF(R9&gt;=0.4,"Lateral Move","Stay &amp; Develop"))</f>
        <v>Lateral Move</v>
      </c>
    </row>
    <row r="10" customFormat="false" ht="23.85" hidden="false" customHeight="false" outlineLevel="0" collapsed="false">
      <c r="A10" s="21" t="str">
        <f aca="false">'Player Data'!A10</f>
        <v>Mustafa Mahmoud</v>
      </c>
      <c r="B10" s="21" t="str">
        <f aca="false">'Player Data'!F10</f>
        <v>GK</v>
      </c>
      <c r="C10" s="21" t="str">
        <f aca="false">'Player Data'!B10</f>
        <v>Iraq</v>
      </c>
      <c r="D10" s="21" t="str">
        <f aca="false">'Player Data'!C10</f>
        <v>Iraq Third Tier - North</v>
      </c>
      <c r="E10" s="21" t="n">
        <f aca="false">'Player Data'!D10</f>
        <v>2</v>
      </c>
      <c r="F10" s="21" t="n">
        <f aca="false">'Player Data'!G10</f>
        <v>25</v>
      </c>
      <c r="G10" s="21" t="n">
        <f aca="false">'Player Data'!H10</f>
        <v>2442</v>
      </c>
      <c r="H10" s="22" t="n">
        <f aca="false">IF(B10="GK",IFERROR(('Player Data'!N10-1.5*'Player Data'!O10)/'Player Data'!H10*90,0),IFERROR(('Player Data'!I10+'Player Data'!J10)/'Player Data'!H10*90,0))</f>
        <v>-0.608108108108108</v>
      </c>
      <c r="I10" s="22" t="n">
        <f aca="false">IF(B10="GK",'Player Data'!P10,IFERROR(('Player Data'!K10+'Player Data'!L10)/'Player Data'!H10*90,0))</f>
        <v>61.1</v>
      </c>
      <c r="J10" s="22" t="n">
        <f aca="false">IF(B10="GK",IFERROR('Player Data'!Q10/'Player Data'!H10*90,0),IFERROR('Player Data'!M10/'Player Data'!H10*90,0))</f>
        <v>0.493857493857494</v>
      </c>
      <c r="K10" s="23" t="n">
        <f aca="false">'Player Data'!S10</f>
        <v>57150</v>
      </c>
      <c r="L10" s="22" t="n">
        <f aca="false">INDEX(Assumptions!$B$13:$B$15,MATCH(E10,Assumptions!$A$13:$A$15,0))</f>
        <v>1</v>
      </c>
      <c r="M10" s="24" t="n">
        <f aca="false">IFERROR(SUMPRODUCT(($B$2:$B$1001=B10)*($H$2:$H$1001&lt;=H10))/SUMPRODUCT(($B$2:$B$1001=B10)*1),0)</f>
        <v>0.0601092896174863</v>
      </c>
      <c r="N10" s="24" t="n">
        <f aca="false">IFERROR(SUMPRODUCT(($B$2:$B$1001=B10)*($I$2:$I$1001&lt;=I10))/SUMPRODUCT(($B$2:$B$1001=B10)*1),0)</f>
        <v>0.202185792349727</v>
      </c>
      <c r="O10" s="24" t="n">
        <f aca="false">IFERROR(SUMPRODUCT(($B$2:$B$1001=B10)*($J$2:$J$1001&lt;=J10))/SUMPRODUCT(($B$2:$B$1001=B10)*1),0)</f>
        <v>0.262295081967213</v>
      </c>
      <c r="P10" s="24" t="n">
        <f aca="false">IFERROR(SUMPRODUCT(($B$2:$B$1001=B10)*((0-$F$2:$F$1001)&lt;=(0-F10)))/SUMPRODUCT(($B$2:$B$1001=B10)*1),0)</f>
        <v>0.240437158469945</v>
      </c>
      <c r="Q10" s="25" t="n">
        <f aca="false">(M10*Assumptions!$B$5+N10*Assumptions!$B$6+O10*Assumptions!$B$7+P10*Assumptions!$B$8)*L10</f>
        <v>0.186338797814208</v>
      </c>
      <c r="R10" s="24" t="n">
        <f aca="false">IFERROR(SUMPRODUCT(($B$2:$B$1001=B10)*($Q$2:$Q$1001&lt;=Q10))/SUMPRODUCT(($B$2:$B$1001=B10)*1),0)</f>
        <v>0.00546448087431694</v>
      </c>
      <c r="S10" s="24" t="n">
        <f aca="false">IFERROR(SUMPRODUCT(($B$2:$B$1001=B10)*($K$2:$K$1001&lt;=K10))/SUMPRODUCT(($B$2:$B$1001=B10)*1),0)</f>
        <v>0.442622950819672</v>
      </c>
      <c r="T10" s="26" t="n">
        <f aca="false">(R10-S10)*100</f>
        <v>-43.7158469945355</v>
      </c>
      <c r="U10" s="21" t="str">
        <f aca="false">'Player Data'!T10</f>
        <v>Yes</v>
      </c>
      <c r="V10" s="27" t="n">
        <f aca="false">'Player Data'!U10</f>
        <v>2026</v>
      </c>
      <c r="W10" s="21" t="str">
        <f aca="false">IF(AND(T10&gt;=Assumptions!$B$19,U10="No"),"High Priority - Unrepresented",IF(T10&gt;=Assumptions!$B$19,"High Priority",IF(AND(T10&gt;=Assumptions!$B$20,U10="No"),"Watchlist - Unrepresented",IF(T10&gt;=Assumptions!$B$20,"Watchlist",""))))</f>
        <v/>
      </c>
      <c r="X10" s="21" t="str">
        <f aca="false">'Player Data'!V10</f>
        <v>info@basraunited.iq</v>
      </c>
      <c r="Y10" s="28" t="str">
        <f aca="false">'Player Data'!W10</f>
        <v>Go through the player's agent - ask the club to confirm representation first</v>
      </c>
      <c r="Z10" s="28" t="str">
        <f aca="false">'Player Data'!X10</f>
        <v>IFA (Iraq Football Association) player registry</v>
      </c>
      <c r="AA10" s="19" t="str">
        <f aca="false">HYPERLINK("https://www.transfermarkt.com/schnellsuche/ergebnis/schnellsuche?query="&amp;SUBSTITUTE(A10," ","+"),"Search Transfermarkt")</f>
        <v>Search Transfermarkt</v>
      </c>
      <c r="AB10" s="29" t="n">
        <f aca="false">IFERROR('Player Data'!K10/('Player Data'!K10+'Player Data'!L10),0)</f>
        <v>0.846153846153846</v>
      </c>
      <c r="AC10" s="21" t="str">
        <f aca="false">IF(B10="GK",IF(AND(O10&gt;=Assumptions!$B$23,N10&gt;=Assumptions!$B$23),"Sweeper-Keeper / Build-from-the-Back",IF(O10&gt;=Assumptions!$B$23,"Sweeper-Keeper / High Line",IF(M10&gt;=Assumptions!$B$23,"Shot-Stopper / Traditional","Flexible / Multi-System"))),IF(AND(O10&gt;=Assumptions!$B$23,P10&gt;=Assumptions!$B$24),"High Press / Gegenpressing",IF(AND(N10&gt;=Assumptions!$B$23,AB10&gt;=Assumptions!$B$25),"Possession / Build-from-the-Back",IF(N10&gt;=Assumptions!$B$23,"Counter-Attack / Transition",IF(AND(O10&gt;=Assumptions!$B$23,N10&lt;Assumptions!$B$26),"Low Block / Park the Bus",IF(AND(B10="FW",M10&gt;=Assumptions!$B$23,N10&lt;Assumptions!$B$26),"Direct / Target Approach","Flexible / Multi-System"))))))</f>
        <v>Flexible / Multi-System</v>
      </c>
      <c r="AD10" s="21" t="str">
        <f aca="false">'Player Data'!Y10</f>
        <v>2026-07-14</v>
      </c>
      <c r="AE10" s="21" t="str">
        <f aca="false">'Player Data'!Z10</f>
        <v>2026-07-15</v>
      </c>
      <c r="AF10" s="28" t="str">
        <f aca="false">IFERROR(INDEX(Assumptions!$B$30:$B$61,MATCH(C10,Assumptions!$A$30:$A$61,0)),"--")</f>
        <v>Turkey, Saudi Arabia</v>
      </c>
      <c r="AG10" s="30" t="str">
        <f aca="false">IF(R10&gt;=0.7,"Step-Up Candidate",IF(R10&gt;=0.4,"Lateral Move","Stay &amp; Develop"))</f>
        <v>Stay &amp; Develop</v>
      </c>
    </row>
    <row r="11" customFormat="false" ht="23.85" hidden="false" customHeight="false" outlineLevel="0" collapsed="false">
      <c r="A11" s="21" t="str">
        <f aca="false">'Player Data'!A11</f>
        <v>Sander Mets</v>
      </c>
      <c r="B11" s="21" t="str">
        <f aca="false">'Player Data'!F11</f>
        <v>MF</v>
      </c>
      <c r="C11" s="21" t="str">
        <f aca="false">'Player Data'!B11</f>
        <v>Estonia</v>
      </c>
      <c r="D11" s="21" t="str">
        <f aca="false">'Player Data'!C11</f>
        <v>Estonia Second Division - West</v>
      </c>
      <c r="E11" s="21" t="n">
        <f aca="false">'Player Data'!D11</f>
        <v>2</v>
      </c>
      <c r="F11" s="21" t="n">
        <f aca="false">'Player Data'!G11</f>
        <v>24</v>
      </c>
      <c r="G11" s="21" t="n">
        <f aca="false">'Player Data'!H11</f>
        <v>2208</v>
      </c>
      <c r="H11" s="22" t="n">
        <f aca="false">IF(B11="GK",IFERROR(('Player Data'!N11-1.5*'Player Data'!O11)/'Player Data'!H11*90,0),IFERROR(('Player Data'!I11+'Player Data'!J11)/'Player Data'!H11*90,0))</f>
        <v>0.652173913043478</v>
      </c>
      <c r="I11" s="22" t="n">
        <f aca="false">IF(B11="GK",'Player Data'!P11,IFERROR(('Player Data'!K11+'Player Data'!L11)/'Player Data'!H11*90,0))</f>
        <v>9.375</v>
      </c>
      <c r="J11" s="22" t="n">
        <f aca="false">IF(B11="GK",IFERROR('Player Data'!Q11/'Player Data'!H11*90,0),IFERROR('Player Data'!M11/'Player Data'!H11*90,0))</f>
        <v>2.03804347826087</v>
      </c>
      <c r="K11" s="23" t="n">
        <f aca="false">'Player Data'!S11</f>
        <v>95867</v>
      </c>
      <c r="L11" s="22" t="n">
        <f aca="false">INDEX(Assumptions!$B$13:$B$15,MATCH(E11,Assumptions!$A$13:$A$15,0))</f>
        <v>1</v>
      </c>
      <c r="M11" s="24" t="n">
        <f aca="false">IFERROR(SUMPRODUCT(($B$2:$B$1001=B11)*($H$2:$H$1001&lt;=H11))/SUMPRODUCT(($B$2:$B$1001=B11)*1),0)</f>
        <v>0.387205387205387</v>
      </c>
      <c r="N11" s="24" t="n">
        <f aca="false">IFERROR(SUMPRODUCT(($B$2:$B$1001=B11)*($I$2:$I$1001&lt;=I11))/SUMPRODUCT(($B$2:$B$1001=B11)*1),0)</f>
        <v>0.35016835016835</v>
      </c>
      <c r="O11" s="24" t="n">
        <f aca="false">IFERROR(SUMPRODUCT(($B$2:$B$1001=B11)*($J$2:$J$1001&lt;=J11))/SUMPRODUCT(($B$2:$B$1001=B11)*1),0)</f>
        <v>0.447811447811448</v>
      </c>
      <c r="P11" s="24" t="n">
        <f aca="false">IFERROR(SUMPRODUCT(($B$2:$B$1001=B11)*((0-$F$2:$F$1001)&lt;=(0-F11)))/SUMPRODUCT(($B$2:$B$1001=B11)*1),0)</f>
        <v>0.326599326599327</v>
      </c>
      <c r="Q11" s="25" t="n">
        <f aca="false">(M11*Assumptions!$B$5+N11*Assumptions!$B$6+O11*Assumptions!$B$7+P11*Assumptions!$B$8)*L11</f>
        <v>0.374242424242424</v>
      </c>
      <c r="R11" s="24" t="n">
        <f aca="false">IFERROR(SUMPRODUCT(($B$2:$B$1001=B11)*($Q$2:$Q$1001&lt;=Q11))/SUMPRODUCT(($B$2:$B$1001=B11)*1),0)</f>
        <v>0.377104377104377</v>
      </c>
      <c r="S11" s="24" t="n">
        <f aca="false">IFERROR(SUMPRODUCT(($B$2:$B$1001=B11)*($K$2:$K$1001&lt;=K11))/SUMPRODUCT(($B$2:$B$1001=B11)*1),0)</f>
        <v>0.717171717171717</v>
      </c>
      <c r="T11" s="26" t="n">
        <f aca="false">(R11-S11)*100</f>
        <v>-34.006734006734</v>
      </c>
      <c r="U11" s="21" t="str">
        <f aca="false">'Player Data'!T11</f>
        <v>No</v>
      </c>
      <c r="V11" s="27" t="n">
        <f aca="false">'Player Data'!U11</f>
        <v>2027</v>
      </c>
      <c r="W11" s="21" t="str">
        <f aca="false">IF(AND(T11&gt;=Assumptions!$B$19,U11="No"),"High Priority - Unrepresented",IF(T11&gt;=Assumptions!$B$19,"High Priority",IF(AND(T11&gt;=Assumptions!$B$20,U11="No"),"Watchlist - Unrepresented",IF(T11&gt;=Assumptions!$B$20,"Watchlist",""))))</f>
        <v/>
      </c>
      <c r="X11" s="21" t="str">
        <f aca="false">'Player Data'!V11</f>
        <v>info@tallinnrangers.ee</v>
      </c>
      <c r="Y11" s="28" t="str">
        <f aca="false">'Player Data'!W11</f>
        <v>Club sporting director / first-team office</v>
      </c>
      <c r="Z11" s="28" t="str">
        <f aca="false">'Player Data'!X11</f>
        <v>EJL (Estonian Football Association) player registry</v>
      </c>
      <c r="AA11" s="19" t="str">
        <f aca="false">HYPERLINK("https://www.transfermarkt.com/schnellsuche/ergebnis/schnellsuche?query="&amp;SUBSTITUTE(A11," ","+"),"Search Transfermarkt")</f>
        <v>Search Transfermarkt</v>
      </c>
      <c r="AB11" s="29" t="n">
        <f aca="false">IFERROR('Player Data'!K11/('Player Data'!K11+'Player Data'!L11),0)</f>
        <v>0.726086956521739</v>
      </c>
      <c r="AC11" s="21" t="str">
        <f aca="false">IF(B11="GK",IF(AND(O11&gt;=Assumptions!$B$23,N11&gt;=Assumptions!$B$23),"Sweeper-Keeper / Build-from-the-Back",IF(O11&gt;=Assumptions!$B$23,"Sweeper-Keeper / High Line",IF(M11&gt;=Assumptions!$B$23,"Shot-Stopper / Traditional","Flexible / Multi-System"))),IF(AND(O11&gt;=Assumptions!$B$23,P11&gt;=Assumptions!$B$24),"High Press / Gegenpressing",IF(AND(N11&gt;=Assumptions!$B$23,AB11&gt;=Assumptions!$B$25),"Possession / Build-from-the-Back",IF(N11&gt;=Assumptions!$B$23,"Counter-Attack / Transition",IF(AND(O11&gt;=Assumptions!$B$23,N11&lt;Assumptions!$B$26),"Low Block / Park the Bus",IF(AND(B11="FW",M11&gt;=Assumptions!$B$23,N11&lt;Assumptions!$B$26),"Direct / Target Approach","Flexible / Multi-System"))))))</f>
        <v>Flexible / Multi-System</v>
      </c>
      <c r="AD11" s="21" t="str">
        <f aca="false">'Player Data'!Y11</f>
        <v>2026-07-14</v>
      </c>
      <c r="AE11" s="21" t="str">
        <f aca="false">'Player Data'!Z11</f>
        <v>2026-07-15</v>
      </c>
      <c r="AF11" s="28" t="str">
        <f aca="false">IFERROR(INDEX(Assumptions!$B$30:$B$61,MATCH(C11,Assumptions!$A$30:$A$61,0)),"--")</f>
        <v>Poland, Norway</v>
      </c>
      <c r="AG11" s="30" t="str">
        <f aca="false">IF(R11&gt;=0.7,"Step-Up Candidate",IF(R11&gt;=0.4,"Lateral Move","Stay &amp; Develop"))</f>
        <v>Stay &amp; Develop</v>
      </c>
    </row>
    <row r="12" customFormat="false" ht="23.85" hidden="false" customHeight="false" outlineLevel="0" collapsed="false">
      <c r="A12" s="21" t="str">
        <f aca="false">'Player Data'!A12</f>
        <v>Edgars Vitols</v>
      </c>
      <c r="B12" s="21" t="str">
        <f aca="false">'Player Data'!F12</f>
        <v>FW</v>
      </c>
      <c r="C12" s="21" t="str">
        <f aca="false">'Player Data'!B12</f>
        <v>Latvia</v>
      </c>
      <c r="D12" s="21" t="str">
        <f aca="false">'Player Data'!C12</f>
        <v>Latvia Second Division - East</v>
      </c>
      <c r="E12" s="21" t="n">
        <f aca="false">'Player Data'!D12</f>
        <v>3</v>
      </c>
      <c r="F12" s="21" t="n">
        <f aca="false">'Player Data'!G12</f>
        <v>24</v>
      </c>
      <c r="G12" s="21" t="n">
        <f aca="false">'Player Data'!H12</f>
        <v>2373</v>
      </c>
      <c r="H12" s="22" t="n">
        <f aca="false">IF(B12="GK",IFERROR(('Player Data'!N12-1.5*'Player Data'!O12)/'Player Data'!H12*90,0),IFERROR(('Player Data'!I12+'Player Data'!J12)/'Player Data'!H12*90,0))</f>
        <v>0.56890012642225</v>
      </c>
      <c r="I12" s="22" t="n">
        <f aca="false">IF(B12="GK",'Player Data'!P12,IFERROR(('Player Data'!K12+'Player Data'!L12)/'Player Data'!H12*90,0))</f>
        <v>5.76485461441214</v>
      </c>
      <c r="J12" s="22" t="n">
        <f aca="false">IF(B12="GK",IFERROR('Player Data'!Q12/'Player Data'!H12*90,0),IFERROR('Player Data'!M12/'Player Data'!H12*90,0))</f>
        <v>0.530973451327434</v>
      </c>
      <c r="K12" s="23" t="n">
        <f aca="false">'Player Data'!S12</f>
        <v>0</v>
      </c>
      <c r="L12" s="22" t="n">
        <f aca="false">INDEX(Assumptions!$B$13:$B$15,MATCH(E12,Assumptions!$A$13:$A$15,0))</f>
        <v>0.85</v>
      </c>
      <c r="M12" s="24" t="n">
        <f aca="false">IFERROR(SUMPRODUCT(($B$2:$B$1001=B12)*($H$2:$H$1001&lt;=H12))/SUMPRODUCT(($B$2:$B$1001=B12)*1),0)</f>
        <v>0.13716814159292</v>
      </c>
      <c r="N12" s="24" t="n">
        <f aca="false">IFERROR(SUMPRODUCT(($B$2:$B$1001=B12)*($I$2:$I$1001&lt;=I12))/SUMPRODUCT(($B$2:$B$1001=B12)*1),0)</f>
        <v>0.384955752212389</v>
      </c>
      <c r="O12" s="24" t="n">
        <f aca="false">IFERROR(SUMPRODUCT(($B$2:$B$1001=B12)*($J$2:$J$1001&lt;=J12))/SUMPRODUCT(($B$2:$B$1001=B12)*1),0)</f>
        <v>0.548672566371681</v>
      </c>
      <c r="P12" s="24" t="n">
        <f aca="false">IFERROR(SUMPRODUCT(($B$2:$B$1001=B12)*((0-$F$2:$F$1001)&lt;=(0-F12)))/SUMPRODUCT(($B$2:$B$1001=B12)*1),0)</f>
        <v>0.305309734513274</v>
      </c>
      <c r="Q12" s="25" t="n">
        <f aca="false">(M12*Assumptions!$B$5+N12*Assumptions!$B$6+O12*Assumptions!$B$7+P12*Assumptions!$B$8)*L12</f>
        <v>0.288849557522124</v>
      </c>
      <c r="R12" s="24" t="n">
        <f aca="false">IFERROR(SUMPRODUCT(($B$2:$B$1001=B12)*($Q$2:$Q$1001&lt;=Q12))/SUMPRODUCT(($B$2:$B$1001=B12)*1),0)</f>
        <v>0.265486725663717</v>
      </c>
      <c r="S12" s="24" t="n">
        <f aca="false">IFERROR(SUMPRODUCT(($B$2:$B$1001=B12)*($K$2:$K$1001&lt;=K12))/SUMPRODUCT(($B$2:$B$1001=B12)*1),0)</f>
        <v>0.261061946902655</v>
      </c>
      <c r="T12" s="26" t="n">
        <f aca="false">(R12-S12)*100</f>
        <v>0.442477876106195</v>
      </c>
      <c r="U12" s="21" t="str">
        <f aca="false">'Player Data'!T12</f>
        <v>No</v>
      </c>
      <c r="V12" s="27" t="n">
        <f aca="false">'Player Data'!U12</f>
        <v>2028</v>
      </c>
      <c r="W12" s="21" t="str">
        <f aca="false">IF(AND(T12&gt;=Assumptions!$B$19,U12="No"),"High Priority - Unrepresented",IF(T12&gt;=Assumptions!$B$19,"High Priority",IF(AND(T12&gt;=Assumptions!$B$20,U12="No"),"Watchlist - Unrepresented",IF(T12&gt;=Assumptions!$B$20,"Watchlist",""))))</f>
        <v/>
      </c>
      <c r="X12" s="21" t="str">
        <f aca="false">'Player Data'!V12</f>
        <v>info@daugavpilsrangers.lv</v>
      </c>
      <c r="Y12" s="28" t="str">
        <f aca="false">'Player Data'!W12</f>
        <v>Club sporting director / first-team office</v>
      </c>
      <c r="Z12" s="28" t="str">
        <f aca="false">'Player Data'!X12</f>
        <v>LFF (Latvian Football Federation) player registry</v>
      </c>
      <c r="AA12" s="19" t="str">
        <f aca="false">HYPERLINK("https://www.transfermarkt.com/schnellsuche/ergebnis/schnellsuche?query="&amp;SUBSTITUTE(A12," ","+"),"Search Transfermarkt")</f>
        <v>Search Transfermarkt</v>
      </c>
      <c r="AB12" s="29" t="n">
        <f aca="false">IFERROR('Player Data'!K12/('Player Data'!K12+'Player Data'!L12),0)</f>
        <v>0.407894736842105</v>
      </c>
      <c r="AC12" s="21" t="str">
        <f aca="false">IF(B12="GK",IF(AND(O12&gt;=Assumptions!$B$23,N12&gt;=Assumptions!$B$23),"Sweeper-Keeper / Build-from-the-Back",IF(O12&gt;=Assumptions!$B$23,"Sweeper-Keeper / High Line",IF(M12&gt;=Assumptions!$B$23,"Shot-Stopper / Traditional","Flexible / Multi-System"))),IF(AND(O12&gt;=Assumptions!$B$23,P12&gt;=Assumptions!$B$24),"High Press / Gegenpressing",IF(AND(N12&gt;=Assumptions!$B$23,AB12&gt;=Assumptions!$B$25),"Possession / Build-from-the-Back",IF(N12&gt;=Assumptions!$B$23,"Counter-Attack / Transition",IF(AND(O12&gt;=Assumptions!$B$23,N12&lt;Assumptions!$B$26),"Low Block / Park the Bus",IF(AND(B12="FW",M12&gt;=Assumptions!$B$23,N12&lt;Assumptions!$B$26),"Direct / Target Approach","Flexible / Multi-System"))))))</f>
        <v>Flexible / Multi-System</v>
      </c>
      <c r="AD12" s="21" t="str">
        <f aca="false">'Player Data'!Y12</f>
        <v>2026-07-14</v>
      </c>
      <c r="AE12" s="21" t="str">
        <f aca="false">'Player Data'!Z12</f>
        <v>2026-07-15</v>
      </c>
      <c r="AF12" s="28" t="str">
        <f aca="false">IFERROR(INDEX(Assumptions!$B$30:$B$61,MATCH(C12,Assumptions!$A$30:$A$61,0)),"--")</f>
        <v>Poland, Norway</v>
      </c>
      <c r="AG12" s="30" t="str">
        <f aca="false">IF(R12&gt;=0.7,"Step-Up Candidate",IF(R12&gt;=0.4,"Lateral Move","Stay &amp; Develop"))</f>
        <v>Stay &amp; Develop</v>
      </c>
    </row>
    <row r="13" customFormat="false" ht="23.85" hidden="false" customHeight="false" outlineLevel="0" collapsed="false">
      <c r="A13" s="21" t="str">
        <f aca="false">'Player Data'!A13</f>
        <v>Ahmed Mahmoud</v>
      </c>
      <c r="B13" s="21" t="str">
        <f aca="false">'Player Data'!F13</f>
        <v>MF</v>
      </c>
      <c r="C13" s="21" t="str">
        <f aca="false">'Player Data'!B13</f>
        <v>Iraq</v>
      </c>
      <c r="D13" s="21" t="str">
        <f aca="false">'Player Data'!C13</f>
        <v>Iraq Regional League</v>
      </c>
      <c r="E13" s="21" t="n">
        <f aca="false">'Player Data'!D13</f>
        <v>3</v>
      </c>
      <c r="F13" s="21" t="n">
        <f aca="false">'Player Data'!G13</f>
        <v>26</v>
      </c>
      <c r="G13" s="21" t="n">
        <f aca="false">'Player Data'!H13</f>
        <v>1719</v>
      </c>
      <c r="H13" s="22" t="n">
        <f aca="false">IF(B13="GK",IFERROR(('Player Data'!N13-1.5*'Player Data'!O13)/'Player Data'!H13*90,0),IFERROR(('Player Data'!I13+'Player Data'!J13)/'Player Data'!H13*90,0))</f>
        <v>1.2565445026178</v>
      </c>
      <c r="I13" s="22" t="n">
        <f aca="false">IF(B13="GK",'Player Data'!P13,IFERROR(('Player Data'!K13+'Player Data'!L13)/'Player Data'!H13*90,0))</f>
        <v>12.4607329842932</v>
      </c>
      <c r="J13" s="22" t="n">
        <f aca="false">IF(B13="GK",IFERROR('Player Data'!Q13/'Player Data'!H13*90,0),IFERROR('Player Data'!M13/'Player Data'!H13*90,0))</f>
        <v>1.98952879581152</v>
      </c>
      <c r="K13" s="23" t="n">
        <f aca="false">'Player Data'!S13</f>
        <v>87382</v>
      </c>
      <c r="L13" s="22" t="n">
        <f aca="false">INDEX(Assumptions!$B$13:$B$15,MATCH(E13,Assumptions!$A$13:$A$15,0))</f>
        <v>0.85</v>
      </c>
      <c r="M13" s="24" t="n">
        <f aca="false">IFERROR(SUMPRODUCT(($B$2:$B$1001=B13)*($H$2:$H$1001&lt;=H13))/SUMPRODUCT(($B$2:$B$1001=B13)*1),0)</f>
        <v>0.858585858585859</v>
      </c>
      <c r="N13" s="24" t="n">
        <f aca="false">IFERROR(SUMPRODUCT(($B$2:$B$1001=B13)*($I$2:$I$1001&lt;=I13))/SUMPRODUCT(($B$2:$B$1001=B13)*1),0)</f>
        <v>0.622895622895623</v>
      </c>
      <c r="O13" s="24" t="n">
        <f aca="false">IFERROR(SUMPRODUCT(($B$2:$B$1001=B13)*($J$2:$J$1001&lt;=J13))/SUMPRODUCT(($B$2:$B$1001=B13)*1),0)</f>
        <v>0.414141414141414</v>
      </c>
      <c r="P13" s="24" t="n">
        <f aca="false">IFERROR(SUMPRODUCT(($B$2:$B$1001=B13)*((0-$F$2:$F$1001)&lt;=(0-F13)))/SUMPRODUCT(($B$2:$B$1001=B13)*1),0)</f>
        <v>0.0909090909090909</v>
      </c>
      <c r="Q13" s="25" t="n">
        <f aca="false">(M13*Assumptions!$B$5+N13*Assumptions!$B$6+O13*Assumptions!$B$7+P13*Assumptions!$B$8)*L13</f>
        <v>0.453619528619529</v>
      </c>
      <c r="R13" s="24" t="n">
        <f aca="false">IFERROR(SUMPRODUCT(($B$2:$B$1001=B13)*($Q$2:$Q$1001&lt;=Q13))/SUMPRODUCT(($B$2:$B$1001=B13)*1),0)</f>
        <v>0.535353535353535</v>
      </c>
      <c r="S13" s="24" t="n">
        <f aca="false">IFERROR(SUMPRODUCT(($B$2:$B$1001=B13)*($K$2:$K$1001&lt;=K13))/SUMPRODUCT(($B$2:$B$1001=B13)*1),0)</f>
        <v>0.686868686868687</v>
      </c>
      <c r="T13" s="26" t="n">
        <f aca="false">(R13-S13)*100</f>
        <v>-15.1515151515151</v>
      </c>
      <c r="U13" s="21" t="str">
        <f aca="false">'Player Data'!T13</f>
        <v>Unknown</v>
      </c>
      <c r="V13" s="27" t="n">
        <f aca="false">'Player Data'!U13</f>
        <v>2026</v>
      </c>
      <c r="W13" s="21" t="str">
        <f aca="false">IF(AND(T13&gt;=Assumptions!$B$19,U13="No"),"High Priority - Unrepresented",IF(T13&gt;=Assumptions!$B$19,"High Priority",IF(AND(T13&gt;=Assumptions!$B$20,U13="No"),"Watchlist - Unrepresented",IF(T13&gt;=Assumptions!$B$20,"Watchlist",""))))</f>
        <v/>
      </c>
      <c r="X13" s="21" t="str">
        <f aca="false">'Player Data'!V13</f>
        <v>info@basrasc.iq</v>
      </c>
      <c r="Y13" s="28" t="str">
        <f aca="false">'Player Data'!W13</f>
        <v>Club sporting director / first-team office</v>
      </c>
      <c r="Z13" s="28" t="str">
        <f aca="false">'Player Data'!X13</f>
        <v>IFA (Iraq Football Association) player registry</v>
      </c>
      <c r="AA13" s="19" t="str">
        <f aca="false">HYPERLINK("https://www.transfermarkt.com/schnellsuche/ergebnis/schnellsuche?query="&amp;SUBSTITUTE(A13," ","+"),"Search Transfermarkt")</f>
        <v>Search Transfermarkt</v>
      </c>
      <c r="AB13" s="29" t="n">
        <f aca="false">IFERROR('Player Data'!K13/('Player Data'!K13+'Player Data'!L13),0)</f>
        <v>0.613445378151261</v>
      </c>
      <c r="AC13" s="21" t="str">
        <f aca="false">IF(B13="GK",IF(AND(O13&gt;=Assumptions!$B$23,N13&gt;=Assumptions!$B$23),"Sweeper-Keeper / Build-from-the-Back",IF(O13&gt;=Assumptions!$B$23,"Sweeper-Keeper / High Line",IF(M13&gt;=Assumptions!$B$23,"Shot-Stopper / Traditional","Flexible / Multi-System"))),IF(AND(O13&gt;=Assumptions!$B$23,P13&gt;=Assumptions!$B$24),"High Press / Gegenpressing",IF(AND(N13&gt;=Assumptions!$B$23,AB13&gt;=Assumptions!$B$25),"Possession / Build-from-the-Back",IF(N13&gt;=Assumptions!$B$23,"Counter-Attack / Transition",IF(AND(O13&gt;=Assumptions!$B$23,N13&lt;Assumptions!$B$26),"Low Block / Park the Bus",IF(AND(B13="FW",M13&gt;=Assumptions!$B$23,N13&lt;Assumptions!$B$26),"Direct / Target Approach","Flexible / Multi-System"))))))</f>
        <v>Flexible / Multi-System</v>
      </c>
      <c r="AD13" s="21" t="str">
        <f aca="false">'Player Data'!Y13</f>
        <v>2026-07-14</v>
      </c>
      <c r="AE13" s="21" t="str">
        <f aca="false">'Player Data'!Z13</f>
        <v>2026-07-15</v>
      </c>
      <c r="AF13" s="28" t="str">
        <f aca="false">IFERROR(INDEX(Assumptions!$B$30:$B$61,MATCH(C13,Assumptions!$A$30:$A$61,0)),"--")</f>
        <v>Turkey, Saudi Arabia</v>
      </c>
      <c r="AG13" s="30" t="str">
        <f aca="false">IF(R13&gt;=0.7,"Step-Up Candidate",IF(R13&gt;=0.4,"Lateral Move","Stay &amp; Develop"))</f>
        <v>Lateral Move</v>
      </c>
    </row>
    <row r="14" customFormat="false" ht="23.85" hidden="false" customHeight="false" outlineLevel="0" collapsed="false">
      <c r="A14" s="21" t="str">
        <f aca="false">'Player Data'!A14</f>
        <v>Eric Onana</v>
      </c>
      <c r="B14" s="21" t="str">
        <f aca="false">'Player Data'!F14</f>
        <v>MF</v>
      </c>
      <c r="C14" s="21" t="str">
        <f aca="false">'Player Data'!B14</f>
        <v>Cameroon</v>
      </c>
      <c r="D14" s="21" t="str">
        <f aca="false">'Player Data'!C14</f>
        <v>Cameroon Regional League</v>
      </c>
      <c r="E14" s="21" t="n">
        <f aca="false">'Player Data'!D14</f>
        <v>3</v>
      </c>
      <c r="F14" s="21" t="n">
        <f aca="false">'Player Data'!G14</f>
        <v>21</v>
      </c>
      <c r="G14" s="21" t="n">
        <f aca="false">'Player Data'!H14</f>
        <v>2529</v>
      </c>
      <c r="H14" s="22" t="n">
        <f aca="false">IF(B14="GK",IFERROR(('Player Data'!N14-1.5*'Player Data'!O14)/'Player Data'!H14*90,0),IFERROR(('Player Data'!I14+'Player Data'!J14)/'Player Data'!H14*90,0))</f>
        <v>0.391459074733096</v>
      </c>
      <c r="I14" s="22" t="n">
        <f aca="false">IF(B14="GK",'Player Data'!P14,IFERROR(('Player Data'!K14+'Player Data'!L14)/'Player Data'!H14*90,0))</f>
        <v>7.79359430604982</v>
      </c>
      <c r="J14" s="22" t="n">
        <f aca="false">IF(B14="GK",IFERROR('Player Data'!Q14/'Player Data'!H14*90,0),IFERROR('Player Data'!M14/'Player Data'!H14*90,0))</f>
        <v>0.99644128113879</v>
      </c>
      <c r="K14" s="23" t="n">
        <f aca="false">'Player Data'!S14</f>
        <v>129704</v>
      </c>
      <c r="L14" s="22" t="n">
        <f aca="false">INDEX(Assumptions!$B$13:$B$15,MATCH(E14,Assumptions!$A$13:$A$15,0))</f>
        <v>0.85</v>
      </c>
      <c r="M14" s="24" t="n">
        <f aca="false">IFERROR(SUMPRODUCT(($B$2:$B$1001=B14)*($H$2:$H$1001&lt;=H14))/SUMPRODUCT(($B$2:$B$1001=B14)*1),0)</f>
        <v>0.0942760942760943</v>
      </c>
      <c r="N14" s="24" t="n">
        <f aca="false">IFERROR(SUMPRODUCT(($B$2:$B$1001=B14)*($I$2:$I$1001&lt;=I14))/SUMPRODUCT(($B$2:$B$1001=B14)*1),0)</f>
        <v>0.124579124579125</v>
      </c>
      <c r="O14" s="24" t="n">
        <f aca="false">IFERROR(SUMPRODUCT(($B$2:$B$1001=B14)*($J$2:$J$1001&lt;=J14))/SUMPRODUCT(($B$2:$B$1001=B14)*1),0)</f>
        <v>0.0202020202020202</v>
      </c>
      <c r="P14" s="24" t="n">
        <f aca="false">IFERROR(SUMPRODUCT(($B$2:$B$1001=B14)*((0-$F$2:$F$1001)&lt;=(0-F14)))/SUMPRODUCT(($B$2:$B$1001=B14)*1),0)</f>
        <v>0.61952861952862</v>
      </c>
      <c r="Q14" s="25" t="n">
        <f aca="false">(M14*Assumptions!$B$5+N14*Assumptions!$B$6+O14*Assumptions!$B$7+P14*Assumptions!$B$8)*L14</f>
        <v>0.165850168350168</v>
      </c>
      <c r="R14" s="24" t="n">
        <f aca="false">IFERROR(SUMPRODUCT(($B$2:$B$1001=B14)*($Q$2:$Q$1001&lt;=Q14))/SUMPRODUCT(($B$2:$B$1001=B14)*1),0)</f>
        <v>0.0471380471380471</v>
      </c>
      <c r="S14" s="24" t="n">
        <f aca="false">IFERROR(SUMPRODUCT(($B$2:$B$1001=B14)*($K$2:$K$1001&lt;=K14))/SUMPRODUCT(($B$2:$B$1001=B14)*1),0)</f>
        <v>0.912457912457912</v>
      </c>
      <c r="T14" s="26" t="n">
        <f aca="false">(R14-S14)*100</f>
        <v>-86.5319865319865</v>
      </c>
      <c r="U14" s="21" t="str">
        <f aca="false">'Player Data'!T14</f>
        <v>Unknown</v>
      </c>
      <c r="V14" s="27" t="n">
        <f aca="false">'Player Data'!U14</f>
        <v>2028</v>
      </c>
      <c r="W14" s="21" t="str">
        <f aca="false">IF(AND(T14&gt;=Assumptions!$B$19,U14="No"),"High Priority - Unrepresented",IF(T14&gt;=Assumptions!$B$19,"High Priority",IF(AND(T14&gt;=Assumptions!$B$20,U14="No"),"Watchlist - Unrepresented",IF(T14&gt;=Assumptions!$B$20,"Watchlist",""))))</f>
        <v/>
      </c>
      <c r="X14" s="21" t="str">
        <f aca="false">'Player Data'!V14</f>
        <v>info@bafoussamathletic.cm</v>
      </c>
      <c r="Y14" s="28" t="str">
        <f aca="false">'Player Data'!W14</f>
        <v>Club sporting director / first-team office</v>
      </c>
      <c r="Z14" s="28" t="str">
        <f aca="false">'Player Data'!X14</f>
        <v>FECAFOOT (Cameroonian Football Federation) player registry</v>
      </c>
      <c r="AA14" s="19" t="str">
        <f aca="false">HYPERLINK("https://www.transfermarkt.com/schnellsuche/ergebnis/schnellsuche?query="&amp;SUBSTITUTE(A14," ","+"),"Search Transfermarkt")</f>
        <v>Search Transfermarkt</v>
      </c>
      <c r="AB14" s="29" t="n">
        <f aca="false">IFERROR('Player Data'!K14/('Player Data'!K14+'Player Data'!L14),0)</f>
        <v>0.621004566210046</v>
      </c>
      <c r="AC14" s="21" t="str">
        <f aca="false">IF(B14="GK",IF(AND(O14&gt;=Assumptions!$B$23,N14&gt;=Assumptions!$B$23),"Sweeper-Keeper / Build-from-the-Back",IF(O14&gt;=Assumptions!$B$23,"Sweeper-Keeper / High Line",IF(M14&gt;=Assumptions!$B$23,"Shot-Stopper / Traditional","Flexible / Multi-System"))),IF(AND(O14&gt;=Assumptions!$B$23,P14&gt;=Assumptions!$B$24),"High Press / Gegenpressing",IF(AND(N14&gt;=Assumptions!$B$23,AB14&gt;=Assumptions!$B$25),"Possession / Build-from-the-Back",IF(N14&gt;=Assumptions!$B$23,"Counter-Attack / Transition",IF(AND(O14&gt;=Assumptions!$B$23,N14&lt;Assumptions!$B$26),"Low Block / Park the Bus",IF(AND(B14="FW",M14&gt;=Assumptions!$B$23,N14&lt;Assumptions!$B$26),"Direct / Target Approach","Flexible / Multi-System"))))))</f>
        <v>Flexible / Multi-System</v>
      </c>
      <c r="AD14" s="21" t="str">
        <f aca="false">'Player Data'!Y14</f>
        <v>2026-07-14</v>
      </c>
      <c r="AE14" s="21" t="str">
        <f aca="false">'Player Data'!Z14</f>
        <v>2026-07-15</v>
      </c>
      <c r="AF14" s="28" t="str">
        <f aca="false">IFERROR(INDEX(Assumptions!$B$30:$B$61,MATCH(C14,Assumptions!$A$30:$A$61,0)),"--")</f>
        <v>Belgium, Portugal</v>
      </c>
      <c r="AG14" s="30" t="str">
        <f aca="false">IF(R14&gt;=0.7,"Step-Up Candidate",IF(R14&gt;=0.4,"Lateral Move","Stay &amp; Develop"))</f>
        <v>Stay &amp; Develop</v>
      </c>
    </row>
    <row r="15" customFormat="false" ht="23.85" hidden="false" customHeight="false" outlineLevel="0" collapsed="false">
      <c r="A15" s="21" t="str">
        <f aca="false">'Player Data'!A15</f>
        <v>Einar Einarsson</v>
      </c>
      <c r="B15" s="21" t="str">
        <f aca="false">'Player Data'!F15</f>
        <v>MF</v>
      </c>
      <c r="C15" s="21" t="str">
        <f aca="false">'Player Data'!B15</f>
        <v>Iceland</v>
      </c>
      <c r="D15" s="21" t="str">
        <f aca="false">'Player Data'!C15</f>
        <v>Iceland Provincial League</v>
      </c>
      <c r="E15" s="21" t="n">
        <f aca="false">'Player Data'!D15</f>
        <v>2</v>
      </c>
      <c r="F15" s="21" t="n">
        <f aca="false">'Player Data'!G15</f>
        <v>25</v>
      </c>
      <c r="G15" s="21" t="n">
        <f aca="false">'Player Data'!H15</f>
        <v>1801</v>
      </c>
      <c r="H15" s="22" t="n">
        <f aca="false">IF(B15="GK",IFERROR(('Player Data'!N15-1.5*'Player Data'!O15)/'Player Data'!H15*90,0),IFERROR(('Player Data'!I15+'Player Data'!J15)/'Player Data'!H15*90,0))</f>
        <v>0.949472515269295</v>
      </c>
      <c r="I15" s="22" t="n">
        <f aca="false">IF(B15="GK",'Player Data'!P15,IFERROR(('Player Data'!K15+'Player Data'!L15)/'Player Data'!H15*90,0))</f>
        <v>8.64519711271516</v>
      </c>
      <c r="J15" s="22" t="n">
        <f aca="false">IF(B15="GK",IFERROR('Player Data'!Q15/'Player Data'!H15*90,0),IFERROR('Player Data'!M15/'Player Data'!H15*90,0))</f>
        <v>2.64852859522488</v>
      </c>
      <c r="K15" s="23" t="n">
        <f aca="false">'Player Data'!S15</f>
        <v>0</v>
      </c>
      <c r="L15" s="22" t="n">
        <f aca="false">INDEX(Assumptions!$B$13:$B$15,MATCH(E15,Assumptions!$A$13:$A$15,0))</f>
        <v>1</v>
      </c>
      <c r="M15" s="24" t="n">
        <f aca="false">IFERROR(SUMPRODUCT(($B$2:$B$1001=B15)*($H$2:$H$1001&lt;=H15))/SUMPRODUCT(($B$2:$B$1001=B15)*1),0)</f>
        <v>0.747474747474748</v>
      </c>
      <c r="N15" s="24" t="n">
        <f aca="false">IFERROR(SUMPRODUCT(($B$2:$B$1001=B15)*($I$2:$I$1001&lt;=I15))/SUMPRODUCT(($B$2:$B$1001=B15)*1),0)</f>
        <v>0.215488215488215</v>
      </c>
      <c r="O15" s="24" t="n">
        <f aca="false">IFERROR(SUMPRODUCT(($B$2:$B$1001=B15)*($J$2:$J$1001&lt;=J15))/SUMPRODUCT(($B$2:$B$1001=B15)*1),0)</f>
        <v>0.683501683501684</v>
      </c>
      <c r="P15" s="24" t="n">
        <f aca="false">IFERROR(SUMPRODUCT(($B$2:$B$1001=B15)*((0-$F$2:$F$1001)&lt;=(0-F15)))/SUMPRODUCT(($B$2:$B$1001=B15)*1),0)</f>
        <v>0.202020202020202</v>
      </c>
      <c r="Q15" s="25" t="n">
        <f aca="false">(M15*Assumptions!$B$5+N15*Assumptions!$B$6+O15*Assumptions!$B$7+P15*Assumptions!$B$8)*L15</f>
        <v>0.439393939393939</v>
      </c>
      <c r="R15" s="24" t="n">
        <f aca="false">IFERROR(SUMPRODUCT(($B$2:$B$1001=B15)*($Q$2:$Q$1001&lt;=Q15))/SUMPRODUCT(($B$2:$B$1001=B15)*1),0)</f>
        <v>0.511784511784512</v>
      </c>
      <c r="S15" s="24" t="n">
        <f aca="false">IFERROR(SUMPRODUCT(($B$2:$B$1001=B15)*($K$2:$K$1001&lt;=K15))/SUMPRODUCT(($B$2:$B$1001=B15)*1),0)</f>
        <v>0.228956228956229</v>
      </c>
      <c r="T15" s="26" t="n">
        <f aca="false">(R15-S15)*100</f>
        <v>28.2828282828283</v>
      </c>
      <c r="U15" s="21" t="str">
        <f aca="false">'Player Data'!T15</f>
        <v>Unknown</v>
      </c>
      <c r="V15" s="27" t="n">
        <f aca="false">'Player Data'!U15</f>
        <v>2028</v>
      </c>
      <c r="W15" s="21" t="str">
        <f aca="false">IF(AND(T15&gt;=Assumptions!$B$19,U15="No"),"High Priority - Unrepresented",IF(T15&gt;=Assumptions!$B$19,"High Priority",IF(AND(T15&gt;=Assumptions!$B$20,U15="No"),"Watchlist - Unrepresented",IF(T15&gt;=Assumptions!$B$20,"Watchlist",""))))</f>
        <v>Watchlist</v>
      </c>
      <c r="X15" s="21" t="str">
        <f aca="false">'Player Data'!V15</f>
        <v>info@keflavikrovers.is</v>
      </c>
      <c r="Y15" s="28" t="str">
        <f aca="false">'Player Data'!W15</f>
        <v>Club sporting director / first-team office</v>
      </c>
      <c r="Z15" s="28" t="str">
        <f aca="false">'Player Data'!X15</f>
        <v>KSI (Icelandic Football Association) player registry</v>
      </c>
      <c r="AA15" s="19" t="str">
        <f aca="false">HYPERLINK("https://www.transfermarkt.com/schnellsuche/ergebnis/schnellsuche?query="&amp;SUBSTITUTE(A15," ","+"),"Search Transfermarkt")</f>
        <v>Search Transfermarkt</v>
      </c>
      <c r="AB15" s="29" t="n">
        <f aca="false">IFERROR('Player Data'!K15/('Player Data'!K15+'Player Data'!L15),0)</f>
        <v>0.630057803468208</v>
      </c>
      <c r="AC15" s="21" t="str">
        <f aca="false">IF(B15="GK",IF(AND(O15&gt;=Assumptions!$B$23,N15&gt;=Assumptions!$B$23),"Sweeper-Keeper / Build-from-the-Back",IF(O15&gt;=Assumptions!$B$23,"Sweeper-Keeper / High Line",IF(M15&gt;=Assumptions!$B$23,"Shot-Stopper / Traditional","Flexible / Multi-System"))),IF(AND(O15&gt;=Assumptions!$B$23,P15&gt;=Assumptions!$B$24),"High Press / Gegenpressing",IF(AND(N15&gt;=Assumptions!$B$23,AB15&gt;=Assumptions!$B$25),"Possession / Build-from-the-Back",IF(N15&gt;=Assumptions!$B$23,"Counter-Attack / Transition",IF(AND(O15&gt;=Assumptions!$B$23,N15&lt;Assumptions!$B$26),"Low Block / Park the Bus",IF(AND(B15="FW",M15&gt;=Assumptions!$B$23,N15&lt;Assumptions!$B$26),"Direct / Target Approach","Flexible / Multi-System"))))))</f>
        <v>Low Block / Park the Bus</v>
      </c>
      <c r="AD15" s="21" t="str">
        <f aca="false">'Player Data'!Y15</f>
        <v>2026-07-14</v>
      </c>
      <c r="AE15" s="21" t="str">
        <f aca="false">'Player Data'!Z15</f>
        <v>2026-07-15</v>
      </c>
      <c r="AF15" s="28" t="str">
        <f aca="false">IFERROR(INDEX(Assumptions!$B$30:$B$61,MATCH(C15,Assumptions!$A$30:$A$61,0)),"--")</f>
        <v>Norway, Belgium</v>
      </c>
      <c r="AG15" s="30" t="str">
        <f aca="false">IF(R15&gt;=0.7,"Step-Up Candidate",IF(R15&gt;=0.4,"Lateral Move","Stay &amp; Develop"))</f>
        <v>Lateral Move</v>
      </c>
    </row>
    <row r="16" customFormat="false" ht="23.85" hidden="false" customHeight="false" outlineLevel="0" collapsed="false">
      <c r="A16" s="21" t="str">
        <f aca="false">'Player Data'!A16</f>
        <v>Chai Rattanakosin</v>
      </c>
      <c r="B16" s="21" t="str">
        <f aca="false">'Player Data'!F16</f>
        <v>DF</v>
      </c>
      <c r="C16" s="21" t="str">
        <f aca="false">'Player Data'!B16</f>
        <v>Thailand</v>
      </c>
      <c r="D16" s="21" t="str">
        <f aca="false">'Player Data'!C16</f>
        <v>Thailand Third Tier - North</v>
      </c>
      <c r="E16" s="21" t="n">
        <f aca="false">'Player Data'!D16</f>
        <v>3</v>
      </c>
      <c r="F16" s="21" t="n">
        <f aca="false">'Player Data'!G16</f>
        <v>21</v>
      </c>
      <c r="G16" s="21" t="n">
        <f aca="false">'Player Data'!H16</f>
        <v>2453</v>
      </c>
      <c r="H16" s="22" t="n">
        <f aca="false">IF(B16="GK",IFERROR(('Player Data'!N16-1.5*'Player Data'!O16)/'Player Data'!H16*90,0),IFERROR(('Player Data'!I16+'Player Data'!J16)/'Player Data'!H16*90,0))</f>
        <v>0.256828373420302</v>
      </c>
      <c r="I16" s="22" t="n">
        <f aca="false">IF(B16="GK",'Player Data'!P16,IFERROR(('Player Data'!K16+'Player Data'!L16)/'Player Data'!H16*90,0))</f>
        <v>2.86180187525479</v>
      </c>
      <c r="J16" s="22" t="n">
        <f aca="false">IF(B16="GK",IFERROR('Player Data'!Q16/'Player Data'!H16*90,0),IFERROR('Player Data'!M16/'Player Data'!H16*90,0))</f>
        <v>4.29270281288219</v>
      </c>
      <c r="K16" s="23" t="n">
        <f aca="false">'Player Data'!S16</f>
        <v>88998</v>
      </c>
      <c r="L16" s="22" t="n">
        <f aca="false">INDEX(Assumptions!$B$13:$B$15,MATCH(E16,Assumptions!$A$13:$A$15,0))</f>
        <v>0.85</v>
      </c>
      <c r="M16" s="24" t="n">
        <f aca="false">IFERROR(SUMPRODUCT(($B$2:$B$1001=B16)*($H$2:$H$1001&lt;=H16))/SUMPRODUCT(($B$2:$B$1001=B16)*1),0)</f>
        <v>0.67687074829932</v>
      </c>
      <c r="N16" s="24" t="n">
        <f aca="false">IFERROR(SUMPRODUCT(($B$2:$B$1001=B16)*($I$2:$I$1001&lt;=I16))/SUMPRODUCT(($B$2:$B$1001=B16)*1),0)</f>
        <v>0.0510204081632653</v>
      </c>
      <c r="O16" s="24" t="n">
        <f aca="false">IFERROR(SUMPRODUCT(($B$2:$B$1001=B16)*($J$2:$J$1001&lt;=J16))/SUMPRODUCT(($B$2:$B$1001=B16)*1),0)</f>
        <v>0.319727891156463</v>
      </c>
      <c r="P16" s="24" t="n">
        <f aca="false">IFERROR(SUMPRODUCT(($B$2:$B$1001=B16)*((0-$F$2:$F$1001)&lt;=(0-F16)))/SUMPRODUCT(($B$2:$B$1001=B16)*1),0)</f>
        <v>0.568027210884354</v>
      </c>
      <c r="Q16" s="25" t="n">
        <f aca="false">(M16*Assumptions!$B$5+N16*Assumptions!$B$6+O16*Assumptions!$B$7+P16*Assumptions!$B$8)*L16</f>
        <v>0.309931972789116</v>
      </c>
      <c r="R16" s="24" t="n">
        <f aca="false">IFERROR(SUMPRODUCT(($B$2:$B$1001=B16)*($Q$2:$Q$1001&lt;=Q16))/SUMPRODUCT(($B$2:$B$1001=B16)*1),0)</f>
        <v>0.275510204081633</v>
      </c>
      <c r="S16" s="24" t="n">
        <f aca="false">IFERROR(SUMPRODUCT(($B$2:$B$1001=B16)*($K$2:$K$1001&lt;=K16))/SUMPRODUCT(($B$2:$B$1001=B16)*1),0)</f>
        <v>0.666666666666667</v>
      </c>
      <c r="T16" s="26" t="n">
        <f aca="false">(R16-S16)*100</f>
        <v>-39.1156462585034</v>
      </c>
      <c r="U16" s="21" t="str">
        <f aca="false">'Player Data'!T16</f>
        <v>Unknown</v>
      </c>
      <c r="V16" s="27" t="n">
        <f aca="false">'Player Data'!U16</f>
        <v>2028</v>
      </c>
      <c r="W16" s="21" t="str">
        <f aca="false">IF(AND(T16&gt;=Assumptions!$B$19,U16="No"),"High Priority - Unrepresented",IF(T16&gt;=Assumptions!$B$19,"High Priority",IF(AND(T16&gt;=Assumptions!$B$20,U16="No"),"Watchlist - Unrepresented",IF(T16&gt;=Assumptions!$B$20,"Watchlist",""))))</f>
        <v/>
      </c>
      <c r="X16" s="21" t="str">
        <f aca="false">'Player Data'!V16</f>
        <v>info@khonkaenfc.th</v>
      </c>
      <c r="Y16" s="28" t="str">
        <f aca="false">'Player Data'!W16</f>
        <v>Club sporting director / first-team office</v>
      </c>
      <c r="Z16" s="28" t="str">
        <f aca="false">'Player Data'!X16</f>
        <v>FAT (Football Association of Thailand) player registry</v>
      </c>
      <c r="AA16" s="19" t="str">
        <f aca="false">HYPERLINK("https://www.transfermarkt.com/schnellsuche/ergebnis/schnellsuche?query="&amp;SUBSTITUTE(A16," ","+"),"Search Transfermarkt")</f>
        <v>Search Transfermarkt</v>
      </c>
      <c r="AB16" s="29" t="n">
        <f aca="false">IFERROR('Player Data'!K16/('Player Data'!K16+'Player Data'!L16),0)</f>
        <v>0.5</v>
      </c>
      <c r="AC16" s="21" t="str">
        <f aca="false">IF(B16="GK",IF(AND(O16&gt;=Assumptions!$B$23,N16&gt;=Assumptions!$B$23),"Sweeper-Keeper / Build-from-the-Back",IF(O16&gt;=Assumptions!$B$23,"Sweeper-Keeper / High Line",IF(M16&gt;=Assumptions!$B$23,"Shot-Stopper / Traditional","Flexible / Multi-System"))),IF(AND(O16&gt;=Assumptions!$B$23,P16&gt;=Assumptions!$B$24),"High Press / Gegenpressing",IF(AND(N16&gt;=Assumptions!$B$23,AB16&gt;=Assumptions!$B$25),"Possession / Build-from-the-Back",IF(N16&gt;=Assumptions!$B$23,"Counter-Attack / Transition",IF(AND(O16&gt;=Assumptions!$B$23,N16&lt;Assumptions!$B$26),"Low Block / Park the Bus",IF(AND(B16="FW",M16&gt;=Assumptions!$B$23,N16&lt;Assumptions!$B$26),"Direct / Target Approach","Flexible / Multi-System"))))))</f>
        <v>Flexible / Multi-System</v>
      </c>
      <c r="AD16" s="21" t="str">
        <f aca="false">'Player Data'!Y16</f>
        <v>2026-07-14</v>
      </c>
      <c r="AE16" s="21" t="str">
        <f aca="false">'Player Data'!Z16</f>
        <v>2026-07-15</v>
      </c>
      <c r="AF16" s="28" t="str">
        <f aca="false">IFERROR(INDEX(Assumptions!$B$30:$B$61,MATCH(C16,Assumptions!$A$30:$A$61,0)),"--")</f>
        <v>Australia, Saudi Arabia</v>
      </c>
      <c r="AG16" s="30" t="str">
        <f aca="false">IF(R16&gt;=0.7,"Step-Up Candidate",IF(R16&gt;=0.4,"Lateral Move","Stay &amp; Develop"))</f>
        <v>Stay &amp; Develop</v>
      </c>
    </row>
    <row r="17" customFormat="false" ht="23.85" hidden="false" customHeight="false" outlineLevel="0" collapsed="false">
      <c r="A17" s="21" t="str">
        <f aca="false">'Player Data'!A17</f>
        <v>Jose Morales</v>
      </c>
      <c r="B17" s="21" t="str">
        <f aca="false">'Player Data'!F17</f>
        <v>FW</v>
      </c>
      <c r="C17" s="21" t="str">
        <f aca="false">'Player Data'!B17</f>
        <v>Costa Rica</v>
      </c>
      <c r="D17" s="21" t="str">
        <f aca="false">'Player Data'!C17</f>
        <v>Costa Rica Regional League</v>
      </c>
      <c r="E17" s="21" t="n">
        <f aca="false">'Player Data'!D17</f>
        <v>2</v>
      </c>
      <c r="F17" s="21" t="n">
        <f aca="false">'Player Data'!G17</f>
        <v>23</v>
      </c>
      <c r="G17" s="21" t="n">
        <f aca="false">'Player Data'!H17</f>
        <v>1579</v>
      </c>
      <c r="H17" s="22" t="n">
        <f aca="false">IF(B17="GK",IFERROR(('Player Data'!N17-1.5*'Player Data'!O17)/'Player Data'!H17*90,0),IFERROR(('Player Data'!I17+'Player Data'!J17)/'Player Data'!H17*90,0))</f>
        <v>1.08296390120329</v>
      </c>
      <c r="I17" s="22" t="n">
        <f aca="false">IF(B17="GK",'Player Data'!P17,IFERROR(('Player Data'!K17+'Player Data'!L17)/'Player Data'!H17*90,0))</f>
        <v>9.97466751108297</v>
      </c>
      <c r="J17" s="22" t="n">
        <f aca="false">IF(B17="GK",IFERROR('Player Data'!Q17/'Player Data'!H17*90,0),IFERROR('Player Data'!M17/'Player Data'!H17*90,0))</f>
        <v>0.512982900569981</v>
      </c>
      <c r="K17" s="23" t="n">
        <f aca="false">'Player Data'!S17</f>
        <v>109335</v>
      </c>
      <c r="L17" s="22" t="n">
        <f aca="false">INDEX(Assumptions!$B$13:$B$15,MATCH(E17,Assumptions!$A$13:$A$15,0))</f>
        <v>1</v>
      </c>
      <c r="M17" s="24" t="n">
        <f aca="false">IFERROR(SUMPRODUCT(($B$2:$B$1001=B17)*($H$2:$H$1001&lt;=H17))/SUMPRODUCT(($B$2:$B$1001=B17)*1),0)</f>
        <v>0.601769911504425</v>
      </c>
      <c r="N17" s="24" t="n">
        <f aca="false">IFERROR(SUMPRODUCT(($B$2:$B$1001=B17)*($I$2:$I$1001&lt;=I17))/SUMPRODUCT(($B$2:$B$1001=B17)*1),0)</f>
        <v>0.84070796460177</v>
      </c>
      <c r="O17" s="24" t="n">
        <f aca="false">IFERROR(SUMPRODUCT(($B$2:$B$1001=B17)*($J$2:$J$1001&lt;=J17))/SUMPRODUCT(($B$2:$B$1001=B17)*1),0)</f>
        <v>0.526548672566372</v>
      </c>
      <c r="P17" s="24" t="n">
        <f aca="false">IFERROR(SUMPRODUCT(($B$2:$B$1001=B17)*((0-$F$2:$F$1001)&lt;=(0-F17)))/SUMPRODUCT(($B$2:$B$1001=B17)*1),0)</f>
        <v>0.389380530973451</v>
      </c>
      <c r="Q17" s="25" t="n">
        <f aca="false">(M17*Assumptions!$B$5+N17*Assumptions!$B$6+O17*Assumptions!$B$7+P17*Assumptions!$B$8)*L17</f>
        <v>0.62787610619469</v>
      </c>
      <c r="R17" s="24" t="n">
        <f aca="false">IFERROR(SUMPRODUCT(($B$2:$B$1001=B17)*($Q$2:$Q$1001&lt;=Q17))/SUMPRODUCT(($B$2:$B$1001=B17)*1),0)</f>
        <v>0.796460176991151</v>
      </c>
      <c r="S17" s="24" t="n">
        <f aca="false">IFERROR(SUMPRODUCT(($B$2:$B$1001=B17)*($K$2:$K$1001&lt;=K17))/SUMPRODUCT(($B$2:$B$1001=B17)*1),0)</f>
        <v>0.787610619469027</v>
      </c>
      <c r="T17" s="26" t="n">
        <f aca="false">(R17-S17)*100</f>
        <v>0.884955752212391</v>
      </c>
      <c r="U17" s="21" t="str">
        <f aca="false">'Player Data'!T17</f>
        <v>No</v>
      </c>
      <c r="V17" s="27" t="n">
        <f aca="false">'Player Data'!U17</f>
        <v>2027</v>
      </c>
      <c r="W17" s="21" t="str">
        <f aca="false">IF(AND(T17&gt;=Assumptions!$B$19,U17="No"),"High Priority - Unrepresented",IF(T17&gt;=Assumptions!$B$19,"High Priority",IF(AND(T17&gt;=Assumptions!$B$20,U17="No"),"Watchlist - Unrepresented",IF(T17&gt;=Assumptions!$B$20,"Watchlist",""))))</f>
        <v/>
      </c>
      <c r="X17" s="21" t="str">
        <f aca="false">'Player Data'!V17</f>
        <v>info@sanjoserovers.cr</v>
      </c>
      <c r="Y17" s="28" t="str">
        <f aca="false">'Player Data'!W17</f>
        <v>Club sporting director / first-team office</v>
      </c>
      <c r="Z17" s="28" t="str">
        <f aca="false">'Player Data'!X17</f>
        <v>FEDEFUTBOL (Costa Rican Football Federation) player registry</v>
      </c>
      <c r="AA17" s="19" t="str">
        <f aca="false">HYPERLINK("https://www.transfermarkt.com/schnellsuche/ergebnis/schnellsuche?query="&amp;SUBSTITUTE(A17," ","+"),"Search Transfermarkt")</f>
        <v>Search Transfermarkt</v>
      </c>
      <c r="AB17" s="29" t="n">
        <f aca="false">IFERROR('Player Data'!K17/('Player Data'!K17+'Player Data'!L17),0)</f>
        <v>0.405714285714286</v>
      </c>
      <c r="AC17" s="21" t="str">
        <f aca="false">IF(B17="GK",IF(AND(O17&gt;=Assumptions!$B$23,N17&gt;=Assumptions!$B$23),"Sweeper-Keeper / Build-from-the-Back",IF(O17&gt;=Assumptions!$B$23,"Sweeper-Keeper / High Line",IF(M17&gt;=Assumptions!$B$23,"Shot-Stopper / Traditional","Flexible / Multi-System"))),IF(AND(O17&gt;=Assumptions!$B$23,P17&gt;=Assumptions!$B$24),"High Press / Gegenpressing",IF(AND(N17&gt;=Assumptions!$B$23,AB17&gt;=Assumptions!$B$25),"Possession / Build-from-the-Back",IF(N17&gt;=Assumptions!$B$23,"Counter-Attack / Transition",IF(AND(O17&gt;=Assumptions!$B$23,N17&lt;Assumptions!$B$26),"Low Block / Park the Bus",IF(AND(B17="FW",M17&gt;=Assumptions!$B$23,N17&lt;Assumptions!$B$26),"Direct / Target Approach","Flexible / Multi-System"))))))</f>
        <v>Counter-Attack / Transition</v>
      </c>
      <c r="AD17" s="21" t="str">
        <f aca="false">'Player Data'!Y17</f>
        <v>2026-07-14</v>
      </c>
      <c r="AE17" s="21" t="str">
        <f aca="false">'Player Data'!Z17</f>
        <v>2026-07-15</v>
      </c>
      <c r="AF17" s="28" t="str">
        <f aca="false">IFERROR(INDEX(Assumptions!$B$30:$B$61,MATCH(C17,Assumptions!$A$30:$A$61,0)),"--")</f>
        <v>Mexico, United States</v>
      </c>
      <c r="AG17" s="30" t="str">
        <f aca="false">IF(R17&gt;=0.7,"Step-Up Candidate",IF(R17&gt;=0.4,"Lateral Move","Stay &amp; Develop"))</f>
        <v>Step-Up Candidate</v>
      </c>
    </row>
    <row r="18" customFormat="false" ht="23.85" hidden="false" customHeight="false" outlineLevel="0" collapsed="false">
      <c r="A18" s="21" t="str">
        <f aca="false">'Player Data'!A18</f>
        <v>Diyorbek Rashidov</v>
      </c>
      <c r="B18" s="21" t="str">
        <f aca="false">'Player Data'!F18</f>
        <v>DF</v>
      </c>
      <c r="C18" s="21" t="str">
        <f aca="false">'Player Data'!B18</f>
        <v>Uzbekistan</v>
      </c>
      <c r="D18" s="21" t="str">
        <f aca="false">'Player Data'!C18</f>
        <v>Uzbekistan Third Tier - North</v>
      </c>
      <c r="E18" s="21" t="n">
        <f aca="false">'Player Data'!D18</f>
        <v>3</v>
      </c>
      <c r="F18" s="21" t="n">
        <f aca="false">'Player Data'!G18</f>
        <v>19</v>
      </c>
      <c r="G18" s="21" t="n">
        <f aca="false">'Player Data'!H18</f>
        <v>1817</v>
      </c>
      <c r="H18" s="22" t="n">
        <f aca="false">IF(B18="GK",IFERROR(('Player Data'!N18-1.5*'Player Data'!O18)/'Player Data'!H18*90,0),IFERROR(('Player Data'!I18+'Player Data'!J18)/'Player Data'!H18*90,0))</f>
        <v>0</v>
      </c>
      <c r="I18" s="22" t="n">
        <f aca="false">IF(B18="GK",'Player Data'!P18,IFERROR(('Player Data'!K18+'Player Data'!L18)/'Player Data'!H18*90,0))</f>
        <v>3.31865712713264</v>
      </c>
      <c r="J18" s="22" t="n">
        <f aca="false">IF(B18="GK",IFERROR('Player Data'!Q18/'Player Data'!H18*90,0),IFERROR('Player Data'!M18/'Player Data'!H18*90,0))</f>
        <v>5.20088057237204</v>
      </c>
      <c r="K18" s="23" t="n">
        <f aca="false">'Player Data'!S18</f>
        <v>103631</v>
      </c>
      <c r="L18" s="22" t="n">
        <f aca="false">INDEX(Assumptions!$B$13:$B$15,MATCH(E18,Assumptions!$A$13:$A$15,0))</f>
        <v>0.85</v>
      </c>
      <c r="M18" s="24" t="n">
        <f aca="false">IFERROR(SUMPRODUCT(($B$2:$B$1001=B18)*($H$2:$H$1001&lt;=H18))/SUMPRODUCT(($B$2:$B$1001=B18)*1),0)</f>
        <v>0.0408163265306122</v>
      </c>
      <c r="N18" s="24" t="n">
        <f aca="false">IFERROR(SUMPRODUCT(($B$2:$B$1001=B18)*($I$2:$I$1001&lt;=I18))/SUMPRODUCT(($B$2:$B$1001=B18)*1),0)</f>
        <v>0.187074829931973</v>
      </c>
      <c r="O18" s="24" t="n">
        <f aca="false">IFERROR(SUMPRODUCT(($B$2:$B$1001=B18)*($J$2:$J$1001&lt;=J18))/SUMPRODUCT(($B$2:$B$1001=B18)*1),0)</f>
        <v>0.476190476190476</v>
      </c>
      <c r="P18" s="24" t="n">
        <f aca="false">IFERROR(SUMPRODUCT(($B$2:$B$1001=B18)*((0-$F$2:$F$1001)&lt;=(0-F18)))/SUMPRODUCT(($B$2:$B$1001=B18)*1),0)</f>
        <v>0.738095238095238</v>
      </c>
      <c r="Q18" s="25" t="n">
        <f aca="false">(M18*Assumptions!$B$5+N18*Assumptions!$B$6+O18*Assumptions!$B$7+P18*Assumptions!$B$8)*L18</f>
        <v>0.270756802721088</v>
      </c>
      <c r="R18" s="24" t="n">
        <f aca="false">IFERROR(SUMPRODUCT(($B$2:$B$1001=B18)*($Q$2:$Q$1001&lt;=Q18))/SUMPRODUCT(($B$2:$B$1001=B18)*1),0)</f>
        <v>0.204081632653061</v>
      </c>
      <c r="S18" s="24" t="n">
        <f aca="false">IFERROR(SUMPRODUCT(($B$2:$B$1001=B18)*($K$2:$K$1001&lt;=K18))/SUMPRODUCT(($B$2:$B$1001=B18)*1),0)</f>
        <v>0.76530612244898</v>
      </c>
      <c r="T18" s="26" t="n">
        <f aca="false">(R18-S18)*100</f>
        <v>-56.1224489795918</v>
      </c>
      <c r="U18" s="21" t="str">
        <f aca="false">'Player Data'!T18</f>
        <v>Yes</v>
      </c>
      <c r="V18" s="27" t="n">
        <f aca="false">'Player Data'!U18</f>
        <v>2029</v>
      </c>
      <c r="W18" s="21" t="str">
        <f aca="false">IF(AND(T18&gt;=Assumptions!$B$19,U18="No"),"High Priority - Unrepresented",IF(T18&gt;=Assumptions!$B$19,"High Priority",IF(AND(T18&gt;=Assumptions!$B$20,U18="No"),"Watchlist - Unrepresented",IF(T18&gt;=Assumptions!$B$20,"Watchlist",""))))</f>
        <v/>
      </c>
      <c r="X18" s="21" t="str">
        <f aca="false">'Player Data'!V18</f>
        <v>info@tashkentrovers.uz</v>
      </c>
      <c r="Y18" s="28" t="str">
        <f aca="false">'Player Data'!W18</f>
        <v>Go through the player's agent - ask the club to confirm representation first</v>
      </c>
      <c r="Z18" s="28" t="str">
        <f aca="false">'Player Data'!X18</f>
        <v>UFF (Uzbekistan Football Federation) player registry</v>
      </c>
      <c r="AA18" s="19" t="str">
        <f aca="false">HYPERLINK("https://www.transfermarkt.com/schnellsuche/ergebnis/schnellsuche?query="&amp;SUBSTITUTE(A18," ","+"),"Search Transfermarkt")</f>
        <v>Search Transfermarkt</v>
      </c>
      <c r="AB18" s="29" t="n">
        <f aca="false">IFERROR('Player Data'!K18/('Player Data'!K18+'Player Data'!L18),0)</f>
        <v>0.656716417910448</v>
      </c>
      <c r="AC18" s="21" t="str">
        <f aca="false">IF(B18="GK",IF(AND(O18&gt;=Assumptions!$B$23,N18&gt;=Assumptions!$B$23),"Sweeper-Keeper / Build-from-the-Back",IF(O18&gt;=Assumptions!$B$23,"Sweeper-Keeper / High Line",IF(M18&gt;=Assumptions!$B$23,"Shot-Stopper / Traditional","Flexible / Multi-System"))),IF(AND(O18&gt;=Assumptions!$B$23,P18&gt;=Assumptions!$B$24),"High Press / Gegenpressing",IF(AND(N18&gt;=Assumptions!$B$23,AB18&gt;=Assumptions!$B$25),"Possession / Build-from-the-Back",IF(N18&gt;=Assumptions!$B$23,"Counter-Attack / Transition",IF(AND(O18&gt;=Assumptions!$B$23,N18&lt;Assumptions!$B$26),"Low Block / Park the Bus",IF(AND(B18="FW",M18&gt;=Assumptions!$B$23,N18&lt;Assumptions!$B$26),"Direct / Target Approach","Flexible / Multi-System"))))))</f>
        <v>Flexible / Multi-System</v>
      </c>
      <c r="AD18" s="21" t="str">
        <f aca="false">'Player Data'!Y18</f>
        <v>2026-07-14</v>
      </c>
      <c r="AE18" s="21" t="str">
        <f aca="false">'Player Data'!Z18</f>
        <v>2026-07-15</v>
      </c>
      <c r="AF18" s="28" t="str">
        <f aca="false">IFERROR(INDEX(Assumptions!$B$30:$B$61,MATCH(C18,Assumptions!$A$30:$A$61,0)),"--")</f>
        <v>Turkey, Saudi Arabia</v>
      </c>
      <c r="AG18" s="30" t="str">
        <f aca="false">IF(R18&gt;=0.7,"Step-Up Candidate",IF(R18&gt;=0.4,"Lateral Move","Stay &amp; Develop"))</f>
        <v>Stay &amp; Develop</v>
      </c>
    </row>
    <row r="19" customFormat="false" ht="23.85" hidden="false" customHeight="false" outlineLevel="0" collapsed="false">
      <c r="A19" s="21" t="str">
        <f aca="false">'Player Data'!A19</f>
        <v>Nikola Ilic</v>
      </c>
      <c r="B19" s="21" t="str">
        <f aca="false">'Player Data'!F19</f>
        <v>GK</v>
      </c>
      <c r="C19" s="21" t="str">
        <f aca="false">'Player Data'!B19</f>
        <v>Montenegro</v>
      </c>
      <c r="D19" s="21" t="str">
        <f aca="false">'Player Data'!C19</f>
        <v>Montenegro Second Division - West</v>
      </c>
      <c r="E19" s="21" t="n">
        <f aca="false">'Player Data'!D19</f>
        <v>3</v>
      </c>
      <c r="F19" s="21" t="n">
        <f aca="false">'Player Data'!G19</f>
        <v>19</v>
      </c>
      <c r="G19" s="21" t="n">
        <f aca="false">'Player Data'!H19</f>
        <v>1706</v>
      </c>
      <c r="H19" s="22" t="n">
        <f aca="false">IF(B19="GK",IFERROR(('Player Data'!N19-1.5*'Player Data'!O19)/'Player Data'!H19*90,0),IFERROR(('Player Data'!I19+'Player Data'!J19)/'Player Data'!H19*90,0))</f>
        <v>-0.342907385697538</v>
      </c>
      <c r="I19" s="22" t="n">
        <f aca="false">IF(B19="GK",'Player Data'!P19,IFERROR(('Player Data'!K19+'Player Data'!L19)/'Player Data'!H19*90,0))</f>
        <v>85.7</v>
      </c>
      <c r="J19" s="22" t="n">
        <f aca="false">IF(B19="GK",IFERROR('Player Data'!Q19/'Player Data'!H19*90,0),IFERROR('Player Data'!M19/'Player Data'!H19*90,0))</f>
        <v>1.22391559202814</v>
      </c>
      <c r="K19" s="23" t="n">
        <f aca="false">'Player Data'!S19</f>
        <v>11009</v>
      </c>
      <c r="L19" s="22" t="n">
        <f aca="false">INDEX(Assumptions!$B$13:$B$15,MATCH(E19,Assumptions!$A$13:$A$15,0))</f>
        <v>0.85</v>
      </c>
      <c r="M19" s="24" t="n">
        <f aca="false">IFERROR(SUMPRODUCT(($B$2:$B$1001=B19)*($H$2:$H$1001&lt;=H19))/SUMPRODUCT(($B$2:$B$1001=B19)*1),0)</f>
        <v>0.103825136612022</v>
      </c>
      <c r="N19" s="24" t="n">
        <f aca="false">IFERROR(SUMPRODUCT(($B$2:$B$1001=B19)*($I$2:$I$1001&lt;=I19))/SUMPRODUCT(($B$2:$B$1001=B19)*1),0)</f>
        <v>0.87431693989071</v>
      </c>
      <c r="O19" s="24" t="n">
        <f aca="false">IFERROR(SUMPRODUCT(($B$2:$B$1001=B19)*($J$2:$J$1001&lt;=J19))/SUMPRODUCT(($B$2:$B$1001=B19)*1),0)</f>
        <v>0.726775956284153</v>
      </c>
      <c r="P19" s="24" t="n">
        <f aca="false">IFERROR(SUMPRODUCT(($B$2:$B$1001=B19)*((0-$F$2:$F$1001)&lt;=(0-F19)))/SUMPRODUCT(($B$2:$B$1001=B19)*1),0)</f>
        <v>0.770491803278689</v>
      </c>
      <c r="Q19" s="25" t="n">
        <f aca="false">(M19*Assumptions!$B$5+N19*Assumptions!$B$6+O19*Assumptions!$B$7+P19*Assumptions!$B$8)*L19</f>
        <v>0.536707650273224</v>
      </c>
      <c r="R19" s="24" t="n">
        <f aca="false">IFERROR(SUMPRODUCT(($B$2:$B$1001=B19)*($Q$2:$Q$1001&lt;=Q19))/SUMPRODUCT(($B$2:$B$1001=B19)*1),0)</f>
        <v>0.710382513661202</v>
      </c>
      <c r="S19" s="24" t="n">
        <f aca="false">IFERROR(SUMPRODUCT(($B$2:$B$1001=B19)*($K$2:$K$1001&lt;=K19))/SUMPRODUCT(($B$2:$B$1001=B19)*1),0)</f>
        <v>0.224043715846995</v>
      </c>
      <c r="T19" s="26" t="n">
        <f aca="false">(R19-S19)*100</f>
        <v>48.6338797814208</v>
      </c>
      <c r="U19" s="21" t="str">
        <f aca="false">'Player Data'!T19</f>
        <v>Yes</v>
      </c>
      <c r="V19" s="27" t="n">
        <f aca="false">'Player Data'!U19</f>
        <v>2026</v>
      </c>
      <c r="W19" s="21" t="str">
        <f aca="false">IF(AND(T19&gt;=Assumptions!$B$19,U19="No"),"High Priority - Unrepresented",IF(T19&gt;=Assumptions!$B$19,"High Priority",IF(AND(T19&gt;=Assumptions!$B$20,U19="No"),"Watchlist - Unrepresented",IF(T19&gt;=Assumptions!$B$20,"Watchlist",""))))</f>
        <v>High Priority</v>
      </c>
      <c r="X19" s="21" t="str">
        <f aca="false">'Player Data'!V19</f>
        <v>info@budvasc.me</v>
      </c>
      <c r="Y19" s="28" t="str">
        <f aca="false">'Player Data'!W19</f>
        <v>Go through the player's agent - ask the club to confirm representation first</v>
      </c>
      <c r="Z19" s="28" t="str">
        <f aca="false">'Player Data'!X19</f>
        <v>FSCG (Football Association of Montenegro) player registry</v>
      </c>
      <c r="AA19" s="19" t="str">
        <f aca="false">HYPERLINK("https://www.transfermarkt.com/schnellsuche/ergebnis/schnellsuche?query="&amp;SUBSTITUTE(A19," ","+"),"Search Transfermarkt")</f>
        <v>Search Transfermarkt</v>
      </c>
      <c r="AB19" s="29" t="n">
        <f aca="false">IFERROR('Player Data'!K19/('Player Data'!K19+'Player Data'!L19),0)</f>
        <v>1</v>
      </c>
      <c r="AC19" s="21" t="str">
        <f aca="false">IF(B19="GK",IF(AND(O19&gt;=Assumptions!$B$23,N19&gt;=Assumptions!$B$23),"Sweeper-Keeper / Build-from-the-Back",IF(O19&gt;=Assumptions!$B$23,"Sweeper-Keeper / High Line",IF(M19&gt;=Assumptions!$B$23,"Shot-Stopper / Traditional","Flexible / Multi-System"))),IF(AND(O19&gt;=Assumptions!$B$23,P19&gt;=Assumptions!$B$24),"High Press / Gegenpressing",IF(AND(N19&gt;=Assumptions!$B$23,AB19&gt;=Assumptions!$B$25),"Possession / Build-from-the-Back",IF(N19&gt;=Assumptions!$B$23,"Counter-Attack / Transition",IF(AND(O19&gt;=Assumptions!$B$23,N19&lt;Assumptions!$B$26),"Low Block / Park the Bus",IF(AND(B19="FW",M19&gt;=Assumptions!$B$23,N19&lt;Assumptions!$B$26),"Direct / Target Approach","Flexible / Multi-System"))))))</f>
        <v>Sweeper-Keeper / Build-from-the-Back</v>
      </c>
      <c r="AD19" s="21" t="str">
        <f aca="false">'Player Data'!Y19</f>
        <v>2026-07-14</v>
      </c>
      <c r="AE19" s="21" t="str">
        <f aca="false">'Player Data'!Z19</f>
        <v>2026-07-15</v>
      </c>
      <c r="AF19" s="28" t="str">
        <f aca="false">IFERROR(INDEX(Assumptions!$B$30:$B$61,MATCH(C19,Assumptions!$A$30:$A$61,0)),"--")</f>
        <v>Austria, Turkey</v>
      </c>
      <c r="AG19" s="30" t="str">
        <f aca="false">IF(R19&gt;=0.7,"Step-Up Candidate",IF(R19&gt;=0.4,"Lateral Move","Stay &amp; Develop"))</f>
        <v>Step-Up Candidate</v>
      </c>
    </row>
    <row r="20" customFormat="false" ht="23.85" hidden="false" customHeight="false" outlineLevel="0" collapsed="false">
      <c r="A20" s="21" t="str">
        <f aca="false">'Player Data'!A20</f>
        <v>Nemanja Nikolic</v>
      </c>
      <c r="B20" s="21" t="str">
        <f aca="false">'Player Data'!F20</f>
        <v>FW</v>
      </c>
      <c r="C20" s="21" t="str">
        <f aca="false">'Player Data'!B20</f>
        <v>Serbia</v>
      </c>
      <c r="D20" s="21" t="str">
        <f aca="false">'Player Data'!C20</f>
        <v>Serbia Provincial League</v>
      </c>
      <c r="E20" s="21" t="n">
        <f aca="false">'Player Data'!D20</f>
        <v>2</v>
      </c>
      <c r="F20" s="21" t="n">
        <f aca="false">'Player Data'!G20</f>
        <v>19</v>
      </c>
      <c r="G20" s="21" t="n">
        <f aca="false">'Player Data'!H20</f>
        <v>1847</v>
      </c>
      <c r="H20" s="22" t="n">
        <f aca="false">IF(B20="GK",IFERROR(('Player Data'!N20-1.5*'Player Data'!O20)/'Player Data'!H20*90,0),IFERROR(('Player Data'!I20+'Player Data'!J20)/'Player Data'!H20*90,0))</f>
        <v>0.877097996751489</v>
      </c>
      <c r="I20" s="22" t="n">
        <f aca="false">IF(B20="GK",'Player Data'!P20,IFERROR(('Player Data'!K20+'Player Data'!L20)/'Player Data'!H20*90,0))</f>
        <v>4.97022198159177</v>
      </c>
      <c r="J20" s="22" t="n">
        <f aca="false">IF(B20="GK",IFERROR('Player Data'!Q20/'Player Data'!H20*90,0),IFERROR('Player Data'!M20/'Player Data'!H20*90,0))</f>
        <v>0.487276664861938</v>
      </c>
      <c r="K20" s="23" t="n">
        <f aca="false">'Player Data'!S20</f>
        <v>127277</v>
      </c>
      <c r="L20" s="22" t="n">
        <f aca="false">INDEX(Assumptions!$B$13:$B$15,MATCH(E20,Assumptions!$A$13:$A$15,0))</f>
        <v>1</v>
      </c>
      <c r="M20" s="24" t="n">
        <f aca="false">IFERROR(SUMPRODUCT(($B$2:$B$1001=B20)*($H$2:$H$1001&lt;=H20))/SUMPRODUCT(($B$2:$B$1001=B20)*1),0)</f>
        <v>0.389380530973451</v>
      </c>
      <c r="N20" s="24" t="n">
        <f aca="false">IFERROR(SUMPRODUCT(($B$2:$B$1001=B20)*($I$2:$I$1001&lt;=I20))/SUMPRODUCT(($B$2:$B$1001=B20)*1),0)</f>
        <v>0.212389380530973</v>
      </c>
      <c r="O20" s="24" t="n">
        <f aca="false">IFERROR(SUMPRODUCT(($B$2:$B$1001=B20)*($J$2:$J$1001&lt;=J20))/SUMPRODUCT(($B$2:$B$1001=B20)*1),0)</f>
        <v>0.486725663716814</v>
      </c>
      <c r="P20" s="24" t="n">
        <f aca="false">IFERROR(SUMPRODUCT(($B$2:$B$1001=B20)*((0-$F$2:$F$1001)&lt;=(0-F20)))/SUMPRODUCT(($B$2:$B$1001=B20)*1),0)</f>
        <v>0.831858407079646</v>
      </c>
      <c r="Q20" s="25" t="n">
        <f aca="false">(M20*Assumptions!$B$5+N20*Assumptions!$B$6+O20*Assumptions!$B$7+P20*Assumptions!$B$8)*L20</f>
        <v>0.435398230088496</v>
      </c>
      <c r="R20" s="24" t="n">
        <f aca="false">IFERROR(SUMPRODUCT(($B$2:$B$1001=B20)*($Q$2:$Q$1001&lt;=Q20))/SUMPRODUCT(($B$2:$B$1001=B20)*1),0)</f>
        <v>0.486725663716814</v>
      </c>
      <c r="S20" s="24" t="n">
        <f aca="false">IFERROR(SUMPRODUCT(($B$2:$B$1001=B20)*($K$2:$K$1001&lt;=K20))/SUMPRODUCT(($B$2:$B$1001=B20)*1),0)</f>
        <v>0.880530973451328</v>
      </c>
      <c r="T20" s="26" t="n">
        <f aca="false">(R20-S20)*100</f>
        <v>-39.3805309734513</v>
      </c>
      <c r="U20" s="21" t="str">
        <f aca="false">'Player Data'!T20</f>
        <v>No</v>
      </c>
      <c r="V20" s="27" t="n">
        <f aca="false">'Player Data'!U20</f>
        <v>2029</v>
      </c>
      <c r="W20" s="21" t="str">
        <f aca="false">IF(AND(T20&gt;=Assumptions!$B$19,U20="No"),"High Priority - Unrepresented",IF(T20&gt;=Assumptions!$B$19,"High Priority",IF(AND(T20&gt;=Assumptions!$B$20,U20="No"),"Watchlist - Unrepresented",IF(T20&gt;=Assumptions!$B$20,"Watchlist",""))))</f>
        <v/>
      </c>
      <c r="X20" s="21" t="str">
        <f aca="false">'Player Data'!V20</f>
        <v>info@niswanderers.rs</v>
      </c>
      <c r="Y20" s="28" t="str">
        <f aca="false">'Player Data'!W20</f>
        <v>Club sporting director / first-team office</v>
      </c>
      <c r="Z20" s="28" t="str">
        <f aca="false">'Player Data'!X20</f>
        <v>FSS (Football Association of Serbia) player registry</v>
      </c>
      <c r="AA20" s="19" t="str">
        <f aca="false">HYPERLINK("https://www.transfermarkt.com/schnellsuche/ergebnis/schnellsuche?query="&amp;SUBSTITUTE(A20," ","+"),"Search Transfermarkt")</f>
        <v>Search Transfermarkt</v>
      </c>
      <c r="AB20" s="29" t="n">
        <f aca="false">IFERROR('Player Data'!K20/('Player Data'!K20+'Player Data'!L20),0)</f>
        <v>0.313725490196078</v>
      </c>
      <c r="AC20" s="21" t="str">
        <f aca="false">IF(B20="GK",IF(AND(O20&gt;=Assumptions!$B$23,N20&gt;=Assumptions!$B$23),"Sweeper-Keeper / Build-from-the-Back",IF(O20&gt;=Assumptions!$B$23,"Sweeper-Keeper / High Line",IF(M20&gt;=Assumptions!$B$23,"Shot-Stopper / Traditional","Flexible / Multi-System"))),IF(AND(O20&gt;=Assumptions!$B$23,P20&gt;=Assumptions!$B$24),"High Press / Gegenpressing",IF(AND(N20&gt;=Assumptions!$B$23,AB20&gt;=Assumptions!$B$25),"Possession / Build-from-the-Back",IF(N20&gt;=Assumptions!$B$23,"Counter-Attack / Transition",IF(AND(O20&gt;=Assumptions!$B$23,N20&lt;Assumptions!$B$26),"Low Block / Park the Bus",IF(AND(B20="FW",M20&gt;=Assumptions!$B$23,N20&lt;Assumptions!$B$26),"Direct / Target Approach","Flexible / Multi-System"))))))</f>
        <v>Flexible / Multi-System</v>
      </c>
      <c r="AD20" s="21" t="str">
        <f aca="false">'Player Data'!Y20</f>
        <v>2026-07-14</v>
      </c>
      <c r="AE20" s="21" t="str">
        <f aca="false">'Player Data'!Z20</f>
        <v>2026-07-15</v>
      </c>
      <c r="AF20" s="28" t="str">
        <f aca="false">IFERROR(INDEX(Assumptions!$B$30:$B$61,MATCH(C20,Assumptions!$A$30:$A$61,0)),"--")</f>
        <v>Austria, Turkey</v>
      </c>
      <c r="AG20" s="30" t="str">
        <f aca="false">IF(R20&gt;=0.7,"Step-Up Candidate",IF(R20&gt;=0.4,"Lateral Move","Stay &amp; Develop"))</f>
        <v>Lateral Move</v>
      </c>
    </row>
    <row r="21" customFormat="false" ht="23.85" hidden="false" customHeight="false" outlineLevel="0" collapsed="false">
      <c r="A21" s="21" t="str">
        <f aca="false">'Player Data'!A21</f>
        <v>Luka Gelashvili</v>
      </c>
      <c r="B21" s="21" t="str">
        <f aca="false">'Player Data'!F21</f>
        <v>FW</v>
      </c>
      <c r="C21" s="21" t="str">
        <f aca="false">'Player Data'!B21</f>
        <v>Georgia</v>
      </c>
      <c r="D21" s="21" t="str">
        <f aca="false">'Player Data'!C21</f>
        <v>Georgia Reserve League</v>
      </c>
      <c r="E21" s="21" t="n">
        <f aca="false">'Player Data'!D21</f>
        <v>4</v>
      </c>
      <c r="F21" s="21" t="n">
        <f aca="false">'Player Data'!G21</f>
        <v>17</v>
      </c>
      <c r="G21" s="21" t="n">
        <f aca="false">'Player Data'!H21</f>
        <v>2367</v>
      </c>
      <c r="H21" s="22" t="n">
        <f aca="false">IF(B21="GK",IFERROR(('Player Data'!N21-1.5*'Player Data'!O21)/'Player Data'!H21*90,0),IFERROR(('Player Data'!I21+'Player Data'!J21)/'Player Data'!H21*90,0))</f>
        <v>0.874524714828897</v>
      </c>
      <c r="I21" s="22" t="n">
        <f aca="false">IF(B21="GK",'Player Data'!P21,IFERROR(('Player Data'!K21+'Player Data'!L21)/'Player Data'!H21*90,0))</f>
        <v>4.4106463878327</v>
      </c>
      <c r="J21" s="22" t="n">
        <f aca="false">IF(B21="GK",IFERROR('Player Data'!Q21/'Player Data'!H21*90,0),IFERROR('Player Data'!M21/'Player Data'!H21*90,0))</f>
        <v>0.342205323193916</v>
      </c>
      <c r="K21" s="23" t="n">
        <f aca="false">'Player Data'!S21</f>
        <v>65812</v>
      </c>
      <c r="L21" s="22" t="n">
        <f aca="false">INDEX(Assumptions!$B$13:$B$15,MATCH(E21,Assumptions!$A$13:$A$15,0))</f>
        <v>0.7</v>
      </c>
      <c r="M21" s="24" t="n">
        <f aca="false">IFERROR(SUMPRODUCT(($B$2:$B$1001=B21)*($H$2:$H$1001&lt;=H21))/SUMPRODUCT(($B$2:$B$1001=B21)*1),0)</f>
        <v>0.384955752212389</v>
      </c>
      <c r="N21" s="24" t="n">
        <f aca="false">IFERROR(SUMPRODUCT(($B$2:$B$1001=B21)*($I$2:$I$1001&lt;=I21))/SUMPRODUCT(($B$2:$B$1001=B21)*1),0)</f>
        <v>0.119469026548673</v>
      </c>
      <c r="O21" s="24" t="n">
        <f aca="false">IFERROR(SUMPRODUCT(($B$2:$B$1001=B21)*($J$2:$J$1001&lt;=J21))/SUMPRODUCT(($B$2:$B$1001=B21)*1),0)</f>
        <v>0.243362831858407</v>
      </c>
      <c r="P21" s="24" t="n">
        <f aca="false">IFERROR(SUMPRODUCT(($B$2:$B$1001=B21)*((0-$F$2:$F$1001)&lt;=(0-F21)))/SUMPRODUCT(($B$2:$B$1001=B21)*1),0)</f>
        <v>1</v>
      </c>
      <c r="Q21" s="25" t="n">
        <f aca="false">(M21*Assumptions!$B$5+N21*Assumptions!$B$6+O21*Assumptions!$B$7+P21*Assumptions!$B$8)*L21</f>
        <v>0.27070796460177</v>
      </c>
      <c r="R21" s="24" t="n">
        <f aca="false">IFERROR(SUMPRODUCT(($B$2:$B$1001=B21)*($Q$2:$Q$1001&lt;=Q21))/SUMPRODUCT(($B$2:$B$1001=B21)*1),0)</f>
        <v>0.234513274336283</v>
      </c>
      <c r="S21" s="24" t="n">
        <f aca="false">IFERROR(SUMPRODUCT(($B$2:$B$1001=B21)*($K$2:$K$1001&lt;=K21))/SUMPRODUCT(($B$2:$B$1001=B21)*1),0)</f>
        <v>0.530973451327434</v>
      </c>
      <c r="T21" s="26" t="n">
        <f aca="false">(R21-S21)*100</f>
        <v>-29.646017699115</v>
      </c>
      <c r="U21" s="21" t="str">
        <f aca="false">'Player Data'!T21</f>
        <v>Yes</v>
      </c>
      <c r="V21" s="27" t="n">
        <f aca="false">'Player Data'!U21</f>
        <v>2028</v>
      </c>
      <c r="W21" s="21" t="str">
        <f aca="false">IF(AND(T21&gt;=Assumptions!$B$19,U21="No"),"High Priority - Unrepresented",IF(T21&gt;=Assumptions!$B$19,"High Priority",IF(AND(T21&gt;=Assumptions!$B$20,U21="No"),"Watchlist - Unrepresented",IF(T21&gt;=Assumptions!$B$20,"Watchlist",""))))</f>
        <v/>
      </c>
      <c r="X21" s="21" t="str">
        <f aca="false">'Player Data'!V21</f>
        <v>info@kutaisiwanderers.ge</v>
      </c>
      <c r="Y21" s="28" t="str">
        <f aca="false">'Player Data'!W21</f>
        <v>Club youth/academy office ONLY - player is a minor, do not contact directly</v>
      </c>
      <c r="Z21" s="28" t="str">
        <f aca="false">'Player Data'!X21</f>
        <v>GFF (Georgian Football Federation) player registry</v>
      </c>
      <c r="AA21" s="19" t="str">
        <f aca="false">HYPERLINK("https://www.transfermarkt.com/schnellsuche/ergebnis/schnellsuche?query="&amp;SUBSTITUTE(A21," ","+"),"Search Transfermarkt")</f>
        <v>Search Transfermarkt</v>
      </c>
      <c r="AB21" s="29" t="n">
        <f aca="false">IFERROR('Player Data'!K21/('Player Data'!K21+'Player Data'!L21),0)</f>
        <v>0.5</v>
      </c>
      <c r="AC21" s="21" t="str">
        <f aca="false">IF(B21="GK",IF(AND(O21&gt;=Assumptions!$B$23,N21&gt;=Assumptions!$B$23),"Sweeper-Keeper / Build-from-the-Back",IF(O21&gt;=Assumptions!$B$23,"Sweeper-Keeper / High Line",IF(M21&gt;=Assumptions!$B$23,"Shot-Stopper / Traditional","Flexible / Multi-System"))),IF(AND(O21&gt;=Assumptions!$B$23,P21&gt;=Assumptions!$B$24),"High Press / Gegenpressing",IF(AND(N21&gt;=Assumptions!$B$23,AB21&gt;=Assumptions!$B$25),"Possession / Build-from-the-Back",IF(N21&gt;=Assumptions!$B$23,"Counter-Attack / Transition",IF(AND(O21&gt;=Assumptions!$B$23,N21&lt;Assumptions!$B$26),"Low Block / Park the Bus",IF(AND(B21="FW",M21&gt;=Assumptions!$B$23,N21&lt;Assumptions!$B$26),"Direct / Target Approach","Flexible / Multi-System"))))))</f>
        <v>Flexible / Multi-System</v>
      </c>
      <c r="AD21" s="21" t="str">
        <f aca="false">'Player Data'!Y21</f>
        <v>2026-07-14</v>
      </c>
      <c r="AE21" s="21" t="str">
        <f aca="false">'Player Data'!Z21</f>
        <v>2026-07-15</v>
      </c>
      <c r="AF21" s="28" t="str">
        <f aca="false">IFERROR(INDEX(Assumptions!$B$30:$B$61,MATCH(C21,Assumptions!$A$30:$A$61,0)),"--")</f>
        <v>Turkey, Poland</v>
      </c>
      <c r="AG21" s="30" t="str">
        <f aca="false">IF(R21&gt;=0.7,"Step-Up Candidate",IF(R21&gt;=0.4,"Lateral Move","Stay &amp; Develop"))</f>
        <v>Stay &amp; Develop</v>
      </c>
    </row>
    <row r="22" customFormat="false" ht="23.85" hidden="false" customHeight="false" outlineLevel="0" collapsed="false">
      <c r="A22" s="21" t="str">
        <f aca="false">'Player Data'!A22</f>
        <v>Nam Nguyen</v>
      </c>
      <c r="B22" s="21" t="str">
        <f aca="false">'Player Data'!F22</f>
        <v>MF</v>
      </c>
      <c r="C22" s="21" t="str">
        <f aca="false">'Player Data'!B22</f>
        <v>Vietnam</v>
      </c>
      <c r="D22" s="21" t="str">
        <f aca="false">'Player Data'!C22</f>
        <v>Vietnam Regional League</v>
      </c>
      <c r="E22" s="21" t="n">
        <f aca="false">'Player Data'!D22</f>
        <v>4</v>
      </c>
      <c r="F22" s="21" t="n">
        <f aca="false">'Player Data'!G22</f>
        <v>18</v>
      </c>
      <c r="G22" s="21" t="n">
        <f aca="false">'Player Data'!H22</f>
        <v>2060</v>
      </c>
      <c r="H22" s="22" t="n">
        <f aca="false">IF(B22="GK",IFERROR(('Player Data'!N22-1.5*'Player Data'!O22)/'Player Data'!H22*90,0),IFERROR(('Player Data'!I22+'Player Data'!J22)/'Player Data'!H22*90,0))</f>
        <v>0.91747572815534</v>
      </c>
      <c r="I22" s="22" t="n">
        <f aca="false">IF(B22="GK",'Player Data'!P22,IFERROR(('Player Data'!K22+'Player Data'!L22)/'Player Data'!H22*90,0))</f>
        <v>11.621359223301</v>
      </c>
      <c r="J22" s="22" t="n">
        <f aca="false">IF(B22="GK",IFERROR('Player Data'!Q22/'Player Data'!H22*90,0),IFERROR('Player Data'!M22/'Player Data'!H22*90,0))</f>
        <v>2.18446601941748</v>
      </c>
      <c r="K22" s="23" t="n">
        <f aca="false">'Player Data'!S22</f>
        <v>93136</v>
      </c>
      <c r="L22" s="22" t="n">
        <f aca="false">INDEX(Assumptions!$B$13:$B$15,MATCH(E22,Assumptions!$A$13:$A$15,0))</f>
        <v>0.7</v>
      </c>
      <c r="M22" s="24" t="n">
        <f aca="false">IFERROR(SUMPRODUCT(($B$2:$B$1001=B22)*($H$2:$H$1001&lt;=H22))/SUMPRODUCT(($B$2:$B$1001=B22)*1),0)</f>
        <v>0.693602693602694</v>
      </c>
      <c r="N22" s="24" t="n">
        <f aca="false">IFERROR(SUMPRODUCT(($B$2:$B$1001=B22)*($I$2:$I$1001&lt;=I22))/SUMPRODUCT(($B$2:$B$1001=B22)*1),0)</f>
        <v>0.545454545454545</v>
      </c>
      <c r="O22" s="24" t="n">
        <f aca="false">IFERROR(SUMPRODUCT(($B$2:$B$1001=B22)*($J$2:$J$1001&lt;=J22))/SUMPRODUCT(($B$2:$B$1001=B22)*1),0)</f>
        <v>0.494949494949495</v>
      </c>
      <c r="P22" s="24" t="n">
        <f aca="false">IFERROR(SUMPRODUCT(($B$2:$B$1001=B22)*((0-$F$2:$F$1001)&lt;=(0-F22)))/SUMPRODUCT(($B$2:$B$1001=B22)*1),0)</f>
        <v>0.929292929292929</v>
      </c>
      <c r="Q22" s="25" t="n">
        <f aca="false">(M22*Assumptions!$B$5+N22*Assumptions!$B$6+O22*Assumptions!$B$7+P22*Assumptions!$B$8)*L22</f>
        <v>0.454410774410774</v>
      </c>
      <c r="R22" s="24" t="n">
        <f aca="false">IFERROR(SUMPRODUCT(($B$2:$B$1001=B22)*($Q$2:$Q$1001&lt;=Q22))/SUMPRODUCT(($B$2:$B$1001=B22)*1),0)</f>
        <v>0.542087542087542</v>
      </c>
      <c r="S22" s="24" t="n">
        <f aca="false">IFERROR(SUMPRODUCT(($B$2:$B$1001=B22)*($K$2:$K$1001&lt;=K22))/SUMPRODUCT(($B$2:$B$1001=B22)*1),0)</f>
        <v>0.71043771043771</v>
      </c>
      <c r="T22" s="26" t="n">
        <f aca="false">(R22-S22)*100</f>
        <v>-16.8350168350168</v>
      </c>
      <c r="U22" s="21" t="str">
        <f aca="false">'Player Data'!T22</f>
        <v>No</v>
      </c>
      <c r="V22" s="27" t="n">
        <f aca="false">'Player Data'!U22</f>
        <v>2029</v>
      </c>
      <c r="W22" s="21" t="str">
        <f aca="false">IF(AND(T22&gt;=Assumptions!$B$19,U22="No"),"High Priority - Unrepresented",IF(T22&gt;=Assumptions!$B$19,"High Priority",IF(AND(T22&gt;=Assumptions!$B$20,U22="No"),"Watchlist - Unrepresented",IF(T22&gt;=Assumptions!$B$20,"Watchlist",""))))</f>
        <v/>
      </c>
      <c r="X22" s="21" t="str">
        <f aca="false">'Player Data'!V22</f>
        <v>info@canthorangers.vn</v>
      </c>
      <c r="Y22" s="28" t="str">
        <f aca="false">'Player Data'!W22</f>
        <v>Club sporting director / first-team office</v>
      </c>
      <c r="Z22" s="28" t="str">
        <f aca="false">'Player Data'!X22</f>
        <v>VFF (Vietnam Football Federation) player registry</v>
      </c>
      <c r="AA22" s="19" t="str">
        <f aca="false">HYPERLINK("https://www.transfermarkt.com/schnellsuche/ergebnis/schnellsuche?query="&amp;SUBSTITUTE(A22," ","+"),"Search Transfermarkt")</f>
        <v>Search Transfermarkt</v>
      </c>
      <c r="AB22" s="29" t="n">
        <f aca="false">IFERROR('Player Data'!K22/('Player Data'!K22+'Player Data'!L22),0)</f>
        <v>0.616541353383459</v>
      </c>
      <c r="AC22" s="21" t="str">
        <f aca="false">IF(B22="GK",IF(AND(O22&gt;=Assumptions!$B$23,N22&gt;=Assumptions!$B$23),"Sweeper-Keeper / Build-from-the-Back",IF(O22&gt;=Assumptions!$B$23,"Sweeper-Keeper / High Line",IF(M22&gt;=Assumptions!$B$23,"Shot-Stopper / Traditional","Flexible / Multi-System"))),IF(AND(O22&gt;=Assumptions!$B$23,P22&gt;=Assumptions!$B$24),"High Press / Gegenpressing",IF(AND(N22&gt;=Assumptions!$B$23,AB22&gt;=Assumptions!$B$25),"Possession / Build-from-the-Back",IF(N22&gt;=Assumptions!$B$23,"Counter-Attack / Transition",IF(AND(O22&gt;=Assumptions!$B$23,N22&lt;Assumptions!$B$26),"Low Block / Park the Bus",IF(AND(B22="FW",M22&gt;=Assumptions!$B$23,N22&lt;Assumptions!$B$26),"Direct / Target Approach","Flexible / Multi-System"))))))</f>
        <v>Flexible / Multi-System</v>
      </c>
      <c r="AD22" s="21" t="str">
        <f aca="false">'Player Data'!Y22</f>
        <v>2026-07-14</v>
      </c>
      <c r="AE22" s="21" t="str">
        <f aca="false">'Player Data'!Z22</f>
        <v>2026-07-15</v>
      </c>
      <c r="AF22" s="28" t="str">
        <f aca="false">IFERROR(INDEX(Assumptions!$B$30:$B$61,MATCH(C22,Assumptions!$A$30:$A$61,0)),"--")</f>
        <v>Australia, Saudi Arabia</v>
      </c>
      <c r="AG22" s="30" t="str">
        <f aca="false">IF(R22&gt;=0.7,"Step-Up Candidate",IF(R22&gt;=0.4,"Lateral Move","Stay &amp; Develop"))</f>
        <v>Lateral Move</v>
      </c>
    </row>
    <row r="23" customFormat="false" ht="23.85" hidden="false" customHeight="false" outlineLevel="0" collapsed="false">
      <c r="A23" s="21" t="str">
        <f aca="false">'Player Data'!A23</f>
        <v>Roberts Vitols</v>
      </c>
      <c r="B23" s="21" t="str">
        <f aca="false">'Player Data'!F23</f>
        <v>DF</v>
      </c>
      <c r="C23" s="21" t="str">
        <f aca="false">'Player Data'!B23</f>
        <v>Latvia</v>
      </c>
      <c r="D23" s="21" t="str">
        <f aca="false">'Player Data'!C23</f>
        <v>Latvia Second Division - West</v>
      </c>
      <c r="E23" s="21" t="n">
        <f aca="false">'Player Data'!D23</f>
        <v>3</v>
      </c>
      <c r="F23" s="21" t="n">
        <f aca="false">'Player Data'!G23</f>
        <v>25</v>
      </c>
      <c r="G23" s="21" t="n">
        <f aca="false">'Player Data'!H23</f>
        <v>1941</v>
      </c>
      <c r="H23" s="22" t="n">
        <f aca="false">IF(B23="GK",IFERROR(('Player Data'!N23-1.5*'Player Data'!O23)/'Player Data'!H23*90,0),IFERROR(('Player Data'!I23+'Player Data'!J23)/'Player Data'!H23*90,0))</f>
        <v>0.0463678516228748</v>
      </c>
      <c r="I23" s="22" t="n">
        <f aca="false">IF(B23="GK",'Player Data'!P23,IFERROR(('Player Data'!K23+'Player Data'!L23)/'Player Data'!H23*90,0))</f>
        <v>4.21947449768161</v>
      </c>
      <c r="J23" s="22" t="n">
        <f aca="false">IF(B23="GK",IFERROR('Player Data'!Q23/'Player Data'!H23*90,0),IFERROR('Player Data'!M23/'Player Data'!H23*90,0))</f>
        <v>5.84234930448223</v>
      </c>
      <c r="K23" s="23" t="n">
        <f aca="false">'Player Data'!S23</f>
        <v>124017</v>
      </c>
      <c r="L23" s="22" t="n">
        <f aca="false">INDEX(Assumptions!$B$13:$B$15,MATCH(E23,Assumptions!$A$13:$A$15,0))</f>
        <v>0.85</v>
      </c>
      <c r="M23" s="24" t="n">
        <f aca="false">IFERROR(SUMPRODUCT(($B$2:$B$1001=B23)*($H$2:$H$1001&lt;=H23))/SUMPRODUCT(($B$2:$B$1001=B23)*1),0)</f>
        <v>0.0612244897959184</v>
      </c>
      <c r="N23" s="24" t="n">
        <f aca="false">IFERROR(SUMPRODUCT(($B$2:$B$1001=B23)*($I$2:$I$1001&lt;=I23))/SUMPRODUCT(($B$2:$B$1001=B23)*1),0)</f>
        <v>0.438775510204082</v>
      </c>
      <c r="O23" s="24" t="n">
        <f aca="false">IFERROR(SUMPRODUCT(($B$2:$B$1001=B23)*($J$2:$J$1001&lt;=J23))/SUMPRODUCT(($B$2:$B$1001=B23)*1),0)</f>
        <v>0.585034013605442</v>
      </c>
      <c r="P23" s="24" t="n">
        <f aca="false">IFERROR(SUMPRODUCT(($B$2:$B$1001=B23)*((0-$F$2:$F$1001)&lt;=(0-F23)))/SUMPRODUCT(($B$2:$B$1001=B23)*1),0)</f>
        <v>0.146258503401361</v>
      </c>
      <c r="Q23" s="25" t="n">
        <f aca="false">(M23*Assumptions!$B$5+N23*Assumptions!$B$6+O23*Assumptions!$B$7+P23*Assumptions!$B$8)*L23</f>
        <v>0.267865646258503</v>
      </c>
      <c r="R23" s="24" t="n">
        <f aca="false">IFERROR(SUMPRODUCT(($B$2:$B$1001=B23)*($Q$2:$Q$1001&lt;=Q23))/SUMPRODUCT(($B$2:$B$1001=B23)*1),0)</f>
        <v>0.193877551020408</v>
      </c>
      <c r="S23" s="24" t="n">
        <f aca="false">IFERROR(SUMPRODUCT(($B$2:$B$1001=B23)*($K$2:$K$1001&lt;=K23))/SUMPRODUCT(($B$2:$B$1001=B23)*1),0)</f>
        <v>0.880952380952381</v>
      </c>
      <c r="T23" s="26" t="n">
        <f aca="false">(R23-S23)*100</f>
        <v>-68.7074829931973</v>
      </c>
      <c r="U23" s="21" t="str">
        <f aca="false">'Player Data'!T23</f>
        <v>Yes</v>
      </c>
      <c r="V23" s="27" t="n">
        <f aca="false">'Player Data'!U23</f>
        <v>2029</v>
      </c>
      <c r="W23" s="21" t="str">
        <f aca="false">IF(AND(T23&gt;=Assumptions!$B$19,U23="No"),"High Priority - Unrepresented",IF(T23&gt;=Assumptions!$B$19,"High Priority",IF(AND(T23&gt;=Assumptions!$B$20,U23="No"),"Watchlist - Unrepresented",IF(T23&gt;=Assumptions!$B$20,"Watchlist",""))))</f>
        <v/>
      </c>
      <c r="X23" s="21" t="str">
        <f aca="false">'Player Data'!V23</f>
        <v>info@jelgavatown.lv</v>
      </c>
      <c r="Y23" s="28" t="str">
        <f aca="false">'Player Data'!W23</f>
        <v>Go through the player's agent - ask the club to confirm representation first</v>
      </c>
      <c r="Z23" s="28" t="str">
        <f aca="false">'Player Data'!X23</f>
        <v>LFF (Latvian Football Federation) player registry</v>
      </c>
      <c r="AA23" s="19" t="str">
        <f aca="false">HYPERLINK("https://www.transfermarkt.com/schnellsuche/ergebnis/schnellsuche?query="&amp;SUBSTITUTE(A23," ","+"),"Search Transfermarkt")</f>
        <v>Search Transfermarkt</v>
      </c>
      <c r="AB23" s="29" t="n">
        <f aca="false">IFERROR('Player Data'!K23/('Player Data'!K23+'Player Data'!L23),0)</f>
        <v>0.736263736263736</v>
      </c>
      <c r="AC23" s="21" t="str">
        <f aca="false">IF(B23="GK",IF(AND(O23&gt;=Assumptions!$B$23,N23&gt;=Assumptions!$B$23),"Sweeper-Keeper / Build-from-the-Back",IF(O23&gt;=Assumptions!$B$23,"Sweeper-Keeper / High Line",IF(M23&gt;=Assumptions!$B$23,"Shot-Stopper / Traditional","Flexible / Multi-System"))),IF(AND(O23&gt;=Assumptions!$B$23,P23&gt;=Assumptions!$B$24),"High Press / Gegenpressing",IF(AND(N23&gt;=Assumptions!$B$23,AB23&gt;=Assumptions!$B$25),"Possession / Build-from-the-Back",IF(N23&gt;=Assumptions!$B$23,"Counter-Attack / Transition",IF(AND(O23&gt;=Assumptions!$B$23,N23&lt;Assumptions!$B$26),"Low Block / Park the Bus",IF(AND(B23="FW",M23&gt;=Assumptions!$B$23,N23&lt;Assumptions!$B$26),"Direct / Target Approach","Flexible / Multi-System"))))))</f>
        <v>Flexible / Multi-System</v>
      </c>
      <c r="AD23" s="21" t="str">
        <f aca="false">'Player Data'!Y23</f>
        <v>2026-07-14</v>
      </c>
      <c r="AE23" s="21" t="str">
        <f aca="false">'Player Data'!Z23</f>
        <v>2026-07-15</v>
      </c>
      <c r="AF23" s="28" t="str">
        <f aca="false">IFERROR(INDEX(Assumptions!$B$30:$B$61,MATCH(C23,Assumptions!$A$30:$A$61,0)),"--")</f>
        <v>Poland, Norway</v>
      </c>
      <c r="AG23" s="30" t="str">
        <f aca="false">IF(R23&gt;=0.7,"Step-Up Candidate",IF(R23&gt;=0.4,"Lateral Move","Stay &amp; Develop"))</f>
        <v>Stay &amp; Develop</v>
      </c>
    </row>
    <row r="24" customFormat="false" ht="23.85" hidden="false" customHeight="false" outlineLevel="0" collapsed="false">
      <c r="A24" s="21" t="str">
        <f aca="false">'Player Data'!A24</f>
        <v>Nika Kiknadze</v>
      </c>
      <c r="B24" s="21" t="str">
        <f aca="false">'Player Data'!F24</f>
        <v>FW</v>
      </c>
      <c r="C24" s="21" t="str">
        <f aca="false">'Player Data'!B24</f>
        <v>Georgia</v>
      </c>
      <c r="D24" s="21" t="str">
        <f aca="false">'Player Data'!C24</f>
        <v>Georgia Second Division - West</v>
      </c>
      <c r="E24" s="21" t="n">
        <f aca="false">'Player Data'!D24</f>
        <v>2</v>
      </c>
      <c r="F24" s="21" t="n">
        <f aca="false">'Player Data'!G24</f>
        <v>18</v>
      </c>
      <c r="G24" s="21" t="n">
        <f aca="false">'Player Data'!H24</f>
        <v>1302</v>
      </c>
      <c r="H24" s="22" t="n">
        <f aca="false">IF(B24="GK",IFERROR(('Player Data'!N24-1.5*'Player Data'!O24)/'Player Data'!H24*90,0),IFERROR(('Player Data'!I24+'Player Data'!J24)/'Player Data'!H24*90,0))</f>
        <v>1.10599078341014</v>
      </c>
      <c r="I24" s="22" t="n">
        <f aca="false">IF(B24="GK",'Player Data'!P24,IFERROR(('Player Data'!K24+'Player Data'!L24)/'Player Data'!H24*90,0))</f>
        <v>7.25806451612903</v>
      </c>
      <c r="J24" s="22" t="n">
        <f aca="false">IF(B24="GK",IFERROR('Player Data'!Q24/'Player Data'!H24*90,0),IFERROR('Player Data'!M24/'Player Data'!H24*90,0))</f>
        <v>0.691244239631336</v>
      </c>
      <c r="K24" s="23" t="n">
        <f aca="false">'Player Data'!S24</f>
        <v>24322</v>
      </c>
      <c r="L24" s="22" t="n">
        <f aca="false">INDEX(Assumptions!$B$13:$B$15,MATCH(E24,Assumptions!$A$13:$A$15,0))</f>
        <v>1</v>
      </c>
      <c r="M24" s="24" t="n">
        <f aca="false">IFERROR(SUMPRODUCT(($B$2:$B$1001=B24)*($H$2:$H$1001&lt;=H24))/SUMPRODUCT(($B$2:$B$1001=B24)*1),0)</f>
        <v>0.623893805309735</v>
      </c>
      <c r="N24" s="24" t="n">
        <f aca="false">IFERROR(SUMPRODUCT(($B$2:$B$1001=B24)*($I$2:$I$1001&lt;=I24))/SUMPRODUCT(($B$2:$B$1001=B24)*1),0)</f>
        <v>0.619469026548673</v>
      </c>
      <c r="O24" s="24" t="n">
        <f aca="false">IFERROR(SUMPRODUCT(($B$2:$B$1001=B24)*($J$2:$J$1001&lt;=J24))/SUMPRODUCT(($B$2:$B$1001=B24)*1),0)</f>
        <v>0.721238938053097</v>
      </c>
      <c r="P24" s="24" t="n">
        <f aca="false">IFERROR(SUMPRODUCT(($B$2:$B$1001=B24)*((0-$F$2:$F$1001)&lt;=(0-F24)))/SUMPRODUCT(($B$2:$B$1001=B24)*1),0)</f>
        <v>0.915929203539823</v>
      </c>
      <c r="Q24" s="25" t="n">
        <f aca="false">(M24*Assumptions!$B$5+N24*Assumptions!$B$6+O24*Assumptions!$B$7+P24*Assumptions!$B$8)*L24</f>
        <v>0.700221238938053</v>
      </c>
      <c r="R24" s="24" t="n">
        <f aca="false">IFERROR(SUMPRODUCT(($B$2:$B$1001=B24)*($Q$2:$Q$1001&lt;=Q24))/SUMPRODUCT(($B$2:$B$1001=B24)*1),0)</f>
        <v>0.876106194690266</v>
      </c>
      <c r="S24" s="24" t="n">
        <f aca="false">IFERROR(SUMPRODUCT(($B$2:$B$1001=B24)*($K$2:$K$1001&lt;=K24))/SUMPRODUCT(($B$2:$B$1001=B24)*1),0)</f>
        <v>0.34070796460177</v>
      </c>
      <c r="T24" s="26" t="n">
        <f aca="false">(R24-S24)*100</f>
        <v>53.5398230088496</v>
      </c>
      <c r="U24" s="21" t="str">
        <f aca="false">'Player Data'!T24</f>
        <v>No</v>
      </c>
      <c r="V24" s="27" t="n">
        <f aca="false">'Player Data'!U24</f>
        <v>2029</v>
      </c>
      <c r="W24" s="21" t="str">
        <f aca="false">IF(AND(T24&gt;=Assumptions!$B$19,U24="No"),"High Priority - Unrepresented",IF(T24&gt;=Assumptions!$B$19,"High Priority",IF(AND(T24&gt;=Assumptions!$B$20,U24="No"),"Watchlist - Unrepresented",IF(T24&gt;=Assumptions!$B$20,"Watchlist",""))))</f>
        <v>High Priority - Unrepresented</v>
      </c>
      <c r="X24" s="21" t="str">
        <f aca="false">'Player Data'!V24</f>
        <v>info@rustavirovers.ge</v>
      </c>
      <c r="Y24" s="28" t="str">
        <f aca="false">'Player Data'!W24</f>
        <v>Club sporting director / first-team office</v>
      </c>
      <c r="Z24" s="28" t="str">
        <f aca="false">'Player Data'!X24</f>
        <v>GFF (Georgian Football Federation) player registry</v>
      </c>
      <c r="AA24" s="19" t="str">
        <f aca="false">HYPERLINK("https://www.transfermarkt.com/schnellsuche/ergebnis/schnellsuche?query="&amp;SUBSTITUTE(A24," ","+"),"Search Transfermarkt")</f>
        <v>Search Transfermarkt</v>
      </c>
      <c r="AB24" s="29" t="n">
        <f aca="false">IFERROR('Player Data'!K24/('Player Data'!K24+'Player Data'!L24),0)</f>
        <v>0.4</v>
      </c>
      <c r="AC24" s="21" t="str">
        <f aca="false">IF(B24="GK",IF(AND(O24&gt;=Assumptions!$B$23,N24&gt;=Assumptions!$B$23),"Sweeper-Keeper / Build-from-the-Back",IF(O24&gt;=Assumptions!$B$23,"Sweeper-Keeper / High Line",IF(M24&gt;=Assumptions!$B$23,"Shot-Stopper / Traditional","Flexible / Multi-System"))),IF(AND(O24&gt;=Assumptions!$B$23,P24&gt;=Assumptions!$B$24),"High Press / Gegenpressing",IF(AND(N24&gt;=Assumptions!$B$23,AB24&gt;=Assumptions!$B$25),"Possession / Build-from-the-Back",IF(N24&gt;=Assumptions!$B$23,"Counter-Attack / Transition",IF(AND(O24&gt;=Assumptions!$B$23,N24&lt;Assumptions!$B$26),"Low Block / Park the Bus",IF(AND(B24="FW",M24&gt;=Assumptions!$B$23,N24&lt;Assumptions!$B$26),"Direct / Target Approach","Flexible / Multi-System"))))))</f>
        <v>High Press / Gegenpressing</v>
      </c>
      <c r="AD24" s="21" t="str">
        <f aca="false">'Player Data'!Y24</f>
        <v>2026-07-14</v>
      </c>
      <c r="AE24" s="21" t="str">
        <f aca="false">'Player Data'!Z24</f>
        <v>2026-07-15</v>
      </c>
      <c r="AF24" s="28" t="str">
        <f aca="false">IFERROR(INDEX(Assumptions!$B$30:$B$61,MATCH(C24,Assumptions!$A$30:$A$61,0)),"--")</f>
        <v>Turkey, Poland</v>
      </c>
      <c r="AG24" s="30" t="str">
        <f aca="false">IF(R24&gt;=0.7,"Step-Up Candidate",IF(R24&gt;=0.4,"Lateral Move","Stay &amp; Develop"))</f>
        <v>Step-Up Candidate</v>
      </c>
    </row>
    <row r="25" customFormat="false" ht="23.85" hidden="false" customHeight="false" outlineLevel="0" collapsed="false">
      <c r="A25" s="21" t="str">
        <f aca="false">'Player Data'!A25</f>
        <v>Uros Stankovic</v>
      </c>
      <c r="B25" s="21" t="str">
        <f aca="false">'Player Data'!F25</f>
        <v>GK</v>
      </c>
      <c r="C25" s="21" t="str">
        <f aca="false">'Player Data'!B25</f>
        <v>Serbia</v>
      </c>
      <c r="D25" s="21" t="str">
        <f aca="false">'Player Data'!C25</f>
        <v>Serbia Second Division</v>
      </c>
      <c r="E25" s="21" t="n">
        <f aca="false">'Player Data'!D25</f>
        <v>2</v>
      </c>
      <c r="F25" s="21" t="n">
        <f aca="false">'Player Data'!G25</f>
        <v>23</v>
      </c>
      <c r="G25" s="21" t="n">
        <f aca="false">'Player Data'!H25</f>
        <v>1717</v>
      </c>
      <c r="H25" s="22" t="n">
        <f aca="false">IF(B25="GK",IFERROR(('Player Data'!N25-1.5*'Player Data'!O25)/'Player Data'!H25*90,0),IFERROR(('Player Data'!I25+'Player Data'!J25)/'Player Data'!H25*90,0))</f>
        <v>1.20559114735003</v>
      </c>
      <c r="I25" s="22" t="n">
        <f aca="false">IF(B25="GK",'Player Data'!P25,IFERROR(('Player Data'!K25+'Player Data'!L25)/'Player Data'!H25*90,0))</f>
        <v>58.8</v>
      </c>
      <c r="J25" s="22" t="n">
        <f aca="false">IF(B25="GK",IFERROR('Player Data'!Q25/'Player Data'!H25*90,0),IFERROR('Player Data'!M25/'Player Data'!H25*90,0))</f>
        <v>0.744321490972627</v>
      </c>
      <c r="K25" s="23" t="n">
        <f aca="false">'Player Data'!S25</f>
        <v>102549</v>
      </c>
      <c r="L25" s="22" t="n">
        <f aca="false">INDEX(Assumptions!$B$13:$B$15,MATCH(E25,Assumptions!$A$13:$A$15,0))</f>
        <v>1</v>
      </c>
      <c r="M25" s="24" t="n">
        <f aca="false">IFERROR(SUMPRODUCT(($B$2:$B$1001=B25)*($H$2:$H$1001&lt;=H25))/SUMPRODUCT(($B$2:$B$1001=B25)*1),0)</f>
        <v>0.540983606557377</v>
      </c>
      <c r="N25" s="24" t="n">
        <f aca="false">IFERROR(SUMPRODUCT(($B$2:$B$1001=B25)*($I$2:$I$1001&lt;=I25))/SUMPRODUCT(($B$2:$B$1001=B25)*1),0)</f>
        <v>0.114754098360656</v>
      </c>
      <c r="O25" s="24" t="n">
        <f aca="false">IFERROR(SUMPRODUCT(($B$2:$B$1001=B25)*($J$2:$J$1001&lt;=J25))/SUMPRODUCT(($B$2:$B$1001=B25)*1),0)</f>
        <v>0.409836065573771</v>
      </c>
      <c r="P25" s="24" t="n">
        <f aca="false">IFERROR(SUMPRODUCT(($B$2:$B$1001=B25)*((0-$F$2:$F$1001)&lt;=(0-F25)))/SUMPRODUCT(($B$2:$B$1001=B25)*1),0)</f>
        <v>0.431693989071038</v>
      </c>
      <c r="Q25" s="25" t="n">
        <f aca="false">(M25*Assumptions!$B$5+N25*Assumptions!$B$6+O25*Assumptions!$B$7+P25*Assumptions!$B$8)*L25</f>
        <v>0.343715846994536</v>
      </c>
      <c r="R25" s="24" t="n">
        <f aca="false">IFERROR(SUMPRODUCT(($B$2:$B$1001=B25)*($Q$2:$Q$1001&lt;=Q25))/SUMPRODUCT(($B$2:$B$1001=B25)*1),0)</f>
        <v>0.229508196721311</v>
      </c>
      <c r="S25" s="24" t="n">
        <f aca="false">IFERROR(SUMPRODUCT(($B$2:$B$1001=B25)*($K$2:$K$1001&lt;=K25))/SUMPRODUCT(($B$2:$B$1001=B25)*1),0)</f>
        <v>0.73224043715847</v>
      </c>
      <c r="T25" s="26" t="n">
        <f aca="false">(R25-S25)*100</f>
        <v>-50.2732240437159</v>
      </c>
      <c r="U25" s="21" t="str">
        <f aca="false">'Player Data'!T25</f>
        <v>Unknown</v>
      </c>
      <c r="V25" s="27" t="n">
        <f aca="false">'Player Data'!U25</f>
        <v>2026</v>
      </c>
      <c r="W25" s="21" t="str">
        <f aca="false">IF(AND(T25&gt;=Assumptions!$B$19,U25="No"),"High Priority - Unrepresented",IF(T25&gt;=Assumptions!$B$19,"High Priority",IF(AND(T25&gt;=Assumptions!$B$20,U25="No"),"Watchlist - Unrepresented",IF(T25&gt;=Assumptions!$B$20,"Watchlist",""))))</f>
        <v/>
      </c>
      <c r="X25" s="21" t="str">
        <f aca="false">'Player Data'!V25</f>
        <v>info@cacakunited.rs</v>
      </c>
      <c r="Y25" s="28" t="str">
        <f aca="false">'Player Data'!W25</f>
        <v>Club sporting director / first-team office</v>
      </c>
      <c r="Z25" s="28" t="str">
        <f aca="false">'Player Data'!X25</f>
        <v>FSS (Football Association of Serbia) player registry</v>
      </c>
      <c r="AA25" s="19" t="str">
        <f aca="false">HYPERLINK("https://www.transfermarkt.com/schnellsuche/ergebnis/schnellsuche?query="&amp;SUBSTITUTE(A25," ","+"),"Search Transfermarkt")</f>
        <v>Search Transfermarkt</v>
      </c>
      <c r="AB25" s="29" t="n">
        <f aca="false">IFERROR('Player Data'!K25/('Player Data'!K25+'Player Data'!L25),0)</f>
        <v>0.7</v>
      </c>
      <c r="AC25" s="21" t="str">
        <f aca="false">IF(B25="GK",IF(AND(O25&gt;=Assumptions!$B$23,N25&gt;=Assumptions!$B$23),"Sweeper-Keeper / Build-from-the-Back",IF(O25&gt;=Assumptions!$B$23,"Sweeper-Keeper / High Line",IF(M25&gt;=Assumptions!$B$23,"Shot-Stopper / Traditional","Flexible / Multi-System"))),IF(AND(O25&gt;=Assumptions!$B$23,P25&gt;=Assumptions!$B$24),"High Press / Gegenpressing",IF(AND(N25&gt;=Assumptions!$B$23,AB25&gt;=Assumptions!$B$25),"Possession / Build-from-the-Back",IF(N25&gt;=Assumptions!$B$23,"Counter-Attack / Transition",IF(AND(O25&gt;=Assumptions!$B$23,N25&lt;Assumptions!$B$26),"Low Block / Park the Bus",IF(AND(B25="FW",M25&gt;=Assumptions!$B$23,N25&lt;Assumptions!$B$26),"Direct / Target Approach","Flexible / Multi-System"))))))</f>
        <v>Flexible / Multi-System</v>
      </c>
      <c r="AD25" s="21" t="str">
        <f aca="false">'Player Data'!Y25</f>
        <v>2026-07-14</v>
      </c>
      <c r="AE25" s="21" t="str">
        <f aca="false">'Player Data'!Z25</f>
        <v>2026-07-15</v>
      </c>
      <c r="AF25" s="28" t="str">
        <f aca="false">IFERROR(INDEX(Assumptions!$B$30:$B$61,MATCH(C25,Assumptions!$A$30:$A$61,0)),"--")</f>
        <v>Austria, Turkey</v>
      </c>
      <c r="AG25" s="30" t="str">
        <f aca="false">IF(R25&gt;=0.7,"Step-Up Candidate",IF(R25&gt;=0.4,"Lateral Move","Stay &amp; Develop"))</f>
        <v>Stay &amp; Develop</v>
      </c>
    </row>
    <row r="26" customFormat="false" ht="23.85" hidden="false" customHeight="false" outlineLevel="0" collapsed="false">
      <c r="A26" s="21" t="str">
        <f aca="false">'Player Data'!A26</f>
        <v>Vasil Stojanovski</v>
      </c>
      <c r="B26" s="21" t="str">
        <f aca="false">'Player Data'!F26</f>
        <v>GK</v>
      </c>
      <c r="C26" s="21" t="str">
        <f aca="false">'Player Data'!B26</f>
        <v>North Macedonia</v>
      </c>
      <c r="D26" s="21" t="str">
        <f aca="false">'Player Data'!C26</f>
        <v>North Macedonia Regional League</v>
      </c>
      <c r="E26" s="21" t="n">
        <f aca="false">'Player Data'!D26</f>
        <v>3</v>
      </c>
      <c r="F26" s="21" t="n">
        <f aca="false">'Player Data'!G26</f>
        <v>18</v>
      </c>
      <c r="G26" s="21" t="n">
        <f aca="false">'Player Data'!H26</f>
        <v>1354</v>
      </c>
      <c r="H26" s="22" t="n">
        <f aca="false">IF(B26="GK",IFERROR(('Player Data'!N26-1.5*'Player Data'!O26)/'Player Data'!H26*90,0),IFERROR(('Player Data'!I26+'Player Data'!J26)/'Player Data'!H26*90,0))</f>
        <v>0.963810930576071</v>
      </c>
      <c r="I26" s="22" t="n">
        <f aca="false">IF(B26="GK",'Player Data'!P26,IFERROR(('Player Data'!K26+'Player Data'!L26)/'Player Data'!H26*90,0))</f>
        <v>64.1</v>
      </c>
      <c r="J26" s="22" t="n">
        <f aca="false">IF(B26="GK",IFERROR('Player Data'!Q26/'Player Data'!H26*90,0),IFERROR('Player Data'!M26/'Player Data'!H26*90,0))</f>
        <v>1.45568685376662</v>
      </c>
      <c r="K26" s="23" t="n">
        <f aca="false">'Player Data'!S26</f>
        <v>145044</v>
      </c>
      <c r="L26" s="22" t="n">
        <f aca="false">INDEX(Assumptions!$B$13:$B$15,MATCH(E26,Assumptions!$A$13:$A$15,0))</f>
        <v>0.85</v>
      </c>
      <c r="M26" s="24" t="n">
        <f aca="false">IFERROR(SUMPRODUCT(($B$2:$B$1001=B26)*($H$2:$H$1001&lt;=H26))/SUMPRODUCT(($B$2:$B$1001=B26)*1),0)</f>
        <v>0.404371584699454</v>
      </c>
      <c r="N26" s="24" t="n">
        <f aca="false">IFERROR(SUMPRODUCT(($B$2:$B$1001=B26)*($I$2:$I$1001&lt;=I26))/SUMPRODUCT(($B$2:$B$1001=B26)*1),0)</f>
        <v>0.278688524590164</v>
      </c>
      <c r="O26" s="24" t="n">
        <f aca="false">IFERROR(SUMPRODUCT(($B$2:$B$1001=B26)*($J$2:$J$1001&lt;=J26))/SUMPRODUCT(($B$2:$B$1001=B26)*1),0)</f>
        <v>0.961748633879781</v>
      </c>
      <c r="P26" s="24" t="n">
        <f aca="false">IFERROR(SUMPRODUCT(($B$2:$B$1001=B26)*((0-$F$2:$F$1001)&lt;=(0-F26)))/SUMPRODUCT(($B$2:$B$1001=B26)*1),0)</f>
        <v>0.907103825136612</v>
      </c>
      <c r="Q26" s="25" t="n">
        <f aca="false">(M26*Assumptions!$B$5+N26*Assumptions!$B$6+O26*Assumptions!$B$7+P26*Assumptions!$B$8)*L26</f>
        <v>0.486543715846995</v>
      </c>
      <c r="R26" s="24" t="n">
        <f aca="false">IFERROR(SUMPRODUCT(($B$2:$B$1001=B26)*($Q$2:$Q$1001&lt;=Q26))/SUMPRODUCT(($B$2:$B$1001=B26)*1),0)</f>
        <v>0.573770491803279</v>
      </c>
      <c r="S26" s="24" t="n">
        <f aca="false">IFERROR(SUMPRODUCT(($B$2:$B$1001=B26)*($K$2:$K$1001&lt;=K26))/SUMPRODUCT(($B$2:$B$1001=B26)*1),0)</f>
        <v>0.967213114754098</v>
      </c>
      <c r="T26" s="26" t="n">
        <f aca="false">(R26-S26)*100</f>
        <v>-39.344262295082</v>
      </c>
      <c r="U26" s="21" t="str">
        <f aca="false">'Player Data'!T26</f>
        <v>No</v>
      </c>
      <c r="V26" s="27" t="n">
        <f aca="false">'Player Data'!U26</f>
        <v>2028</v>
      </c>
      <c r="W26" s="21" t="str">
        <f aca="false">IF(AND(T26&gt;=Assumptions!$B$19,U26="No"),"High Priority - Unrepresented",IF(T26&gt;=Assumptions!$B$19,"High Priority",IF(AND(T26&gt;=Assumptions!$B$20,U26="No"),"Watchlist - Unrepresented",IF(T26&gt;=Assumptions!$B$20,"Watchlist",""))))</f>
        <v/>
      </c>
      <c r="X26" s="21" t="str">
        <f aca="false">'Player Data'!V26</f>
        <v>info@ohridfc.mk</v>
      </c>
      <c r="Y26" s="28" t="str">
        <f aca="false">'Player Data'!W26</f>
        <v>Club sporting director / first-team office</v>
      </c>
      <c r="Z26" s="28" t="str">
        <f aca="false">'Player Data'!X26</f>
        <v>FFM (Football Federation of North Macedonia) player registry</v>
      </c>
      <c r="AA26" s="19" t="str">
        <f aca="false">HYPERLINK("https://www.transfermarkt.com/schnellsuche/ergebnis/schnellsuche?query="&amp;SUBSTITUTE(A26," ","+"),"Search Transfermarkt")</f>
        <v>Search Transfermarkt</v>
      </c>
      <c r="AB26" s="29" t="n">
        <f aca="false">IFERROR('Player Data'!K26/('Player Data'!K26+'Player Data'!L26),0)</f>
        <v>1</v>
      </c>
      <c r="AC26" s="21" t="str">
        <f aca="false">IF(B26="GK",IF(AND(O26&gt;=Assumptions!$B$23,N26&gt;=Assumptions!$B$23),"Sweeper-Keeper / Build-from-the-Back",IF(O26&gt;=Assumptions!$B$23,"Sweeper-Keeper / High Line",IF(M26&gt;=Assumptions!$B$23,"Shot-Stopper / Traditional","Flexible / Multi-System"))),IF(AND(O26&gt;=Assumptions!$B$23,P26&gt;=Assumptions!$B$24),"High Press / Gegenpressing",IF(AND(N26&gt;=Assumptions!$B$23,AB26&gt;=Assumptions!$B$25),"Possession / Build-from-the-Back",IF(N26&gt;=Assumptions!$B$23,"Counter-Attack / Transition",IF(AND(O26&gt;=Assumptions!$B$23,N26&lt;Assumptions!$B$26),"Low Block / Park the Bus",IF(AND(B26="FW",M26&gt;=Assumptions!$B$23,N26&lt;Assumptions!$B$26),"Direct / Target Approach","Flexible / Multi-System"))))))</f>
        <v>Sweeper-Keeper / High Line</v>
      </c>
      <c r="AD26" s="21" t="str">
        <f aca="false">'Player Data'!Y26</f>
        <v>2026-07-14</v>
      </c>
      <c r="AE26" s="21" t="str">
        <f aca="false">'Player Data'!Z26</f>
        <v>2026-07-15</v>
      </c>
      <c r="AF26" s="28" t="str">
        <f aca="false">IFERROR(INDEX(Assumptions!$B$30:$B$61,MATCH(C26,Assumptions!$A$30:$A$61,0)),"--")</f>
        <v>Austria, Turkey</v>
      </c>
      <c r="AG26" s="30" t="str">
        <f aca="false">IF(R26&gt;=0.7,"Step-Up Candidate",IF(R26&gt;=0.4,"Lateral Move","Stay &amp; Develop"))</f>
        <v>Lateral Move</v>
      </c>
    </row>
    <row r="27" customFormat="false" ht="23.85" hidden="false" customHeight="false" outlineLevel="0" collapsed="false">
      <c r="A27" s="21" t="str">
        <f aca="false">'Player Data'!A27</f>
        <v>Abdoulaye Diop</v>
      </c>
      <c r="B27" s="21" t="str">
        <f aca="false">'Player Data'!F27</f>
        <v>MF</v>
      </c>
      <c r="C27" s="21" t="str">
        <f aca="false">'Player Data'!B27</f>
        <v>Senegal</v>
      </c>
      <c r="D27" s="21" t="str">
        <f aca="false">'Player Data'!C27</f>
        <v>Senegal Third Tier - South</v>
      </c>
      <c r="E27" s="21" t="n">
        <f aca="false">'Player Data'!D27</f>
        <v>3</v>
      </c>
      <c r="F27" s="21" t="n">
        <f aca="false">'Player Data'!G27</f>
        <v>19</v>
      </c>
      <c r="G27" s="21" t="n">
        <f aca="false">'Player Data'!H27</f>
        <v>2293</v>
      </c>
      <c r="H27" s="22" t="n">
        <f aca="false">IF(B27="GK",IFERROR(('Player Data'!N27-1.5*'Player Data'!O27)/'Player Data'!H27*90,0),IFERROR(('Player Data'!I27+'Player Data'!J27)/'Player Data'!H27*90,0))</f>
        <v>0.667248146532926</v>
      </c>
      <c r="I27" s="22" t="n">
        <f aca="false">IF(B27="GK",'Player Data'!P27,IFERROR(('Player Data'!K27+'Player Data'!L27)/'Player Data'!H27*90,0))</f>
        <v>8.59572612298299</v>
      </c>
      <c r="J27" s="22" t="n">
        <f aca="false">IF(B27="GK",IFERROR('Player Data'!Q27/'Player Data'!H27*90,0),IFERROR('Player Data'!M27/'Player Data'!H27*90,0))</f>
        <v>2.15874400348888</v>
      </c>
      <c r="K27" s="23" t="n">
        <f aca="false">'Player Data'!S27</f>
        <v>45917</v>
      </c>
      <c r="L27" s="22" t="n">
        <f aca="false">INDEX(Assumptions!$B$13:$B$15,MATCH(E27,Assumptions!$A$13:$A$15,0))</f>
        <v>0.85</v>
      </c>
      <c r="M27" s="24" t="n">
        <f aca="false">IFERROR(SUMPRODUCT(($B$2:$B$1001=B27)*($H$2:$H$1001&lt;=H27))/SUMPRODUCT(($B$2:$B$1001=B27)*1),0)</f>
        <v>0.417508417508418</v>
      </c>
      <c r="N27" s="24" t="n">
        <f aca="false">IFERROR(SUMPRODUCT(($B$2:$B$1001=B27)*($I$2:$I$1001&lt;=I27))/SUMPRODUCT(($B$2:$B$1001=B27)*1),0)</f>
        <v>0.212121212121212</v>
      </c>
      <c r="O27" s="24" t="n">
        <f aca="false">IFERROR(SUMPRODUCT(($B$2:$B$1001=B27)*($J$2:$J$1001&lt;=J27))/SUMPRODUCT(($B$2:$B$1001=B27)*1),0)</f>
        <v>0.481481481481481</v>
      </c>
      <c r="P27" s="24" t="n">
        <f aca="false">IFERROR(SUMPRODUCT(($B$2:$B$1001=B27)*((0-$F$2:$F$1001)&lt;=(0-F27)))/SUMPRODUCT(($B$2:$B$1001=B27)*1),0)</f>
        <v>0.868686868686869</v>
      </c>
      <c r="Q27" s="25" t="n">
        <f aca="false">(M27*Assumptions!$B$5+N27*Assumptions!$B$6+O27*Assumptions!$B$7+P27*Assumptions!$B$8)*L27</f>
        <v>0.381355218855219</v>
      </c>
      <c r="R27" s="24" t="n">
        <f aca="false">IFERROR(SUMPRODUCT(($B$2:$B$1001=B27)*($Q$2:$Q$1001&lt;=Q27))/SUMPRODUCT(($B$2:$B$1001=B27)*1),0)</f>
        <v>0.397306397306397</v>
      </c>
      <c r="S27" s="24" t="n">
        <f aca="false">IFERROR(SUMPRODUCT(($B$2:$B$1001=B27)*($K$2:$K$1001&lt;=K27))/SUMPRODUCT(($B$2:$B$1001=B27)*1),0)</f>
        <v>0.414141414141414</v>
      </c>
      <c r="T27" s="26" t="n">
        <f aca="false">(R27-S27)*100</f>
        <v>-1.68350168350168</v>
      </c>
      <c r="U27" s="21" t="str">
        <f aca="false">'Player Data'!T27</f>
        <v>No</v>
      </c>
      <c r="V27" s="27" t="n">
        <f aca="false">'Player Data'!U27</f>
        <v>2027</v>
      </c>
      <c r="W27" s="21" t="str">
        <f aca="false">IF(AND(T27&gt;=Assumptions!$B$19,U27="No"),"High Priority - Unrepresented",IF(T27&gt;=Assumptions!$B$19,"High Priority",IF(AND(T27&gt;=Assumptions!$B$20,U27="No"),"Watchlist - Unrepresented",IF(T27&gt;=Assumptions!$B$20,"Watchlist",""))))</f>
        <v/>
      </c>
      <c r="X27" s="21" t="str">
        <f aca="false">'Player Data'!V27</f>
        <v>info@ziguinchorsc.sn</v>
      </c>
      <c r="Y27" s="28" t="str">
        <f aca="false">'Player Data'!W27</f>
        <v>Club sporting director / first-team office</v>
      </c>
      <c r="Z27" s="28" t="str">
        <f aca="false">'Player Data'!X27</f>
        <v>FSF (Senegalese Football Federation) player registry</v>
      </c>
      <c r="AA27" s="19" t="str">
        <f aca="false">HYPERLINK("https://www.transfermarkt.com/schnellsuche/ergebnis/schnellsuche?query="&amp;SUBSTITUTE(A27," ","+"),"Search Transfermarkt")</f>
        <v>Search Transfermarkt</v>
      </c>
      <c r="AB27" s="29" t="n">
        <f aca="false">IFERROR('Player Data'!K27/('Player Data'!K27+'Player Data'!L27),0)</f>
        <v>0.639269406392694</v>
      </c>
      <c r="AC27" s="21" t="str">
        <f aca="false">IF(B27="GK",IF(AND(O27&gt;=Assumptions!$B$23,N27&gt;=Assumptions!$B$23),"Sweeper-Keeper / Build-from-the-Back",IF(O27&gt;=Assumptions!$B$23,"Sweeper-Keeper / High Line",IF(M27&gt;=Assumptions!$B$23,"Shot-Stopper / Traditional","Flexible / Multi-System"))),IF(AND(O27&gt;=Assumptions!$B$23,P27&gt;=Assumptions!$B$24),"High Press / Gegenpressing",IF(AND(N27&gt;=Assumptions!$B$23,AB27&gt;=Assumptions!$B$25),"Possession / Build-from-the-Back",IF(N27&gt;=Assumptions!$B$23,"Counter-Attack / Transition",IF(AND(O27&gt;=Assumptions!$B$23,N27&lt;Assumptions!$B$26),"Low Block / Park the Bus",IF(AND(B27="FW",M27&gt;=Assumptions!$B$23,N27&lt;Assumptions!$B$26),"Direct / Target Approach","Flexible / Multi-System"))))))</f>
        <v>Flexible / Multi-System</v>
      </c>
      <c r="AD27" s="21" t="str">
        <f aca="false">'Player Data'!Y27</f>
        <v>2026-07-14</v>
      </c>
      <c r="AE27" s="21" t="str">
        <f aca="false">'Player Data'!Z27</f>
        <v>2026-07-15</v>
      </c>
      <c r="AF27" s="28" t="str">
        <f aca="false">IFERROR(INDEX(Assumptions!$B$30:$B$61,MATCH(C27,Assumptions!$A$30:$A$61,0)),"--")</f>
        <v>Belgium, Portugal</v>
      </c>
      <c r="AG27" s="30" t="str">
        <f aca="false">IF(R27&gt;=0.7,"Step-Up Candidate",IF(R27&gt;=0.4,"Lateral Move","Stay &amp; Develop"))</f>
        <v>Stay &amp; Develop</v>
      </c>
    </row>
    <row r="28" customFormat="false" ht="23.85" hidden="false" customHeight="false" outlineLevel="0" collapsed="false">
      <c r="A28" s="21" t="str">
        <f aca="false">'Player Data'!A28</f>
        <v>Do-yun Kang</v>
      </c>
      <c r="B28" s="21" t="str">
        <f aca="false">'Player Data'!F28</f>
        <v>FW</v>
      </c>
      <c r="C28" s="21" t="str">
        <f aca="false">'Player Data'!B28</f>
        <v>South Korea</v>
      </c>
      <c r="D28" s="21" t="str">
        <f aca="false">'Player Data'!C28</f>
        <v>South Korea Amateur League</v>
      </c>
      <c r="E28" s="21" t="n">
        <f aca="false">'Player Data'!D28</f>
        <v>4</v>
      </c>
      <c r="F28" s="21" t="n">
        <f aca="false">'Player Data'!G28</f>
        <v>18</v>
      </c>
      <c r="G28" s="21" t="n">
        <f aca="false">'Player Data'!H28</f>
        <v>1489</v>
      </c>
      <c r="H28" s="22" t="n">
        <f aca="false">IF(B28="GK",IFERROR(('Player Data'!N28-1.5*'Player Data'!O28)/'Player Data'!H28*90,0),IFERROR(('Player Data'!I28+'Player Data'!J28)/'Player Data'!H28*90,0))</f>
        <v>1.14842175957018</v>
      </c>
      <c r="I28" s="22" t="n">
        <f aca="false">IF(B28="GK",'Player Data'!P28,IFERROR(('Player Data'!K28+'Player Data'!L28)/'Player Data'!H28*90,0))</f>
        <v>6.04432505036938</v>
      </c>
      <c r="J28" s="22" t="n">
        <f aca="false">IF(B28="GK",IFERROR('Player Data'!Q28/'Player Data'!H28*90,0),IFERROR('Player Data'!M28/'Player Data'!H28*90,0))</f>
        <v>0.48354600402955</v>
      </c>
      <c r="K28" s="23" t="n">
        <f aca="false">'Player Data'!S28</f>
        <v>147082</v>
      </c>
      <c r="L28" s="22" t="n">
        <f aca="false">INDEX(Assumptions!$B$13:$B$15,MATCH(E28,Assumptions!$A$13:$A$15,0))</f>
        <v>0.7</v>
      </c>
      <c r="M28" s="24" t="n">
        <f aca="false">IFERROR(SUMPRODUCT(($B$2:$B$1001=B28)*($H$2:$H$1001&lt;=H28))/SUMPRODUCT(($B$2:$B$1001=B28)*1),0)</f>
        <v>0.65929203539823</v>
      </c>
      <c r="N28" s="24" t="n">
        <f aca="false">IFERROR(SUMPRODUCT(($B$2:$B$1001=B28)*($I$2:$I$1001&lt;=I28))/SUMPRODUCT(($B$2:$B$1001=B28)*1),0)</f>
        <v>0.424778761061947</v>
      </c>
      <c r="O28" s="24" t="n">
        <f aca="false">IFERROR(SUMPRODUCT(($B$2:$B$1001=B28)*($J$2:$J$1001&lt;=J28))/SUMPRODUCT(($B$2:$B$1001=B28)*1),0)</f>
        <v>0.47787610619469</v>
      </c>
      <c r="P28" s="24" t="n">
        <f aca="false">IFERROR(SUMPRODUCT(($B$2:$B$1001=B28)*((0-$F$2:$F$1001)&lt;=(0-F28)))/SUMPRODUCT(($B$2:$B$1001=B28)*1),0)</f>
        <v>0.915929203539823</v>
      </c>
      <c r="Q28" s="25" t="n">
        <f aca="false">(M28*Assumptions!$B$5+N28*Assumptions!$B$6+O28*Assumptions!$B$7+P28*Assumptions!$B$8)*L28</f>
        <v>0.414579646017699</v>
      </c>
      <c r="R28" s="24" t="n">
        <f aca="false">IFERROR(SUMPRODUCT(($B$2:$B$1001=B28)*($Q$2:$Q$1001&lt;=Q28))/SUMPRODUCT(($B$2:$B$1001=B28)*1),0)</f>
        <v>0.455752212389381</v>
      </c>
      <c r="S28" s="24" t="n">
        <f aca="false">IFERROR(SUMPRODUCT(($B$2:$B$1001=B28)*($K$2:$K$1001&lt;=K28))/SUMPRODUCT(($B$2:$B$1001=B28)*1),0)</f>
        <v>0.986725663716814</v>
      </c>
      <c r="T28" s="26" t="n">
        <f aca="false">(R28-S28)*100</f>
        <v>-53.0973451327434</v>
      </c>
      <c r="U28" s="21" t="str">
        <f aca="false">'Player Data'!T28</f>
        <v>No</v>
      </c>
      <c r="V28" s="27" t="n">
        <f aca="false">'Player Data'!U28</f>
        <v>2029</v>
      </c>
      <c r="W28" s="21" t="str">
        <f aca="false">IF(AND(T28&gt;=Assumptions!$B$19,U28="No"),"High Priority - Unrepresented",IF(T28&gt;=Assumptions!$B$19,"High Priority",IF(AND(T28&gt;=Assumptions!$B$20,U28="No"),"Watchlist - Unrepresented",IF(T28&gt;=Assumptions!$B$20,"Watchlist",""))))</f>
        <v/>
      </c>
      <c r="X28" s="21" t="str">
        <f aca="false">'Player Data'!V28</f>
        <v>info@gwangjutown.kr</v>
      </c>
      <c r="Y28" s="28" t="str">
        <f aca="false">'Player Data'!W28</f>
        <v>Club sporting director / first-team office</v>
      </c>
      <c r="Z28" s="28" t="str">
        <f aca="false">'Player Data'!X28</f>
        <v>KFA (Korea Football Association) player registry</v>
      </c>
      <c r="AA28" s="19" t="str">
        <f aca="false">HYPERLINK("https://www.transfermarkt.com/schnellsuche/ergebnis/schnellsuche?query="&amp;SUBSTITUTE(A28," ","+"),"Search Transfermarkt")</f>
        <v>Search Transfermarkt</v>
      </c>
      <c r="AB28" s="29" t="n">
        <f aca="false">IFERROR('Player Data'!K28/('Player Data'!K28+'Player Data'!L28),0)</f>
        <v>0.33</v>
      </c>
      <c r="AC28" s="21" t="str">
        <f aca="false">IF(B28="GK",IF(AND(O28&gt;=Assumptions!$B$23,N28&gt;=Assumptions!$B$23),"Sweeper-Keeper / Build-from-the-Back",IF(O28&gt;=Assumptions!$B$23,"Sweeper-Keeper / High Line",IF(M28&gt;=Assumptions!$B$23,"Shot-Stopper / Traditional","Flexible / Multi-System"))),IF(AND(O28&gt;=Assumptions!$B$23,P28&gt;=Assumptions!$B$24),"High Press / Gegenpressing",IF(AND(N28&gt;=Assumptions!$B$23,AB28&gt;=Assumptions!$B$25),"Possession / Build-from-the-Back",IF(N28&gt;=Assumptions!$B$23,"Counter-Attack / Transition",IF(AND(O28&gt;=Assumptions!$B$23,N28&lt;Assumptions!$B$26),"Low Block / Park the Bus",IF(AND(B28="FW",M28&gt;=Assumptions!$B$23,N28&lt;Assumptions!$B$26),"Direct / Target Approach","Flexible / Multi-System"))))))</f>
        <v>Direct / Target Approach</v>
      </c>
      <c r="AD28" s="21" t="str">
        <f aca="false">'Player Data'!Y28</f>
        <v>2026-07-14</v>
      </c>
      <c r="AE28" s="21" t="str">
        <f aca="false">'Player Data'!Z28</f>
        <v>2026-07-15</v>
      </c>
      <c r="AF28" s="28" t="str">
        <f aca="false">IFERROR(INDEX(Assumptions!$B$30:$B$61,MATCH(C28,Assumptions!$A$30:$A$61,0)),"--")</f>
        <v>Belgium, Saudi Arabia</v>
      </c>
      <c r="AG28" s="30" t="str">
        <f aca="false">IF(R28&gt;=0.7,"Step-Up Candidate",IF(R28&gt;=0.4,"Lateral Move","Stay &amp; Develop"))</f>
        <v>Lateral Move</v>
      </c>
    </row>
    <row r="29" customFormat="false" ht="23.85" hidden="false" customHeight="false" outlineLevel="0" collapsed="false">
      <c r="A29" s="21" t="str">
        <f aca="false">'Player Data'!A29</f>
        <v>Andre Powell</v>
      </c>
      <c r="B29" s="21" t="str">
        <f aca="false">'Player Data'!F29</f>
        <v>MF</v>
      </c>
      <c r="C29" s="21" t="str">
        <f aca="false">'Player Data'!B29</f>
        <v>Jamaica</v>
      </c>
      <c r="D29" s="21" t="str">
        <f aca="false">'Player Data'!C29</f>
        <v>Jamaica Second Division</v>
      </c>
      <c r="E29" s="21" t="n">
        <f aca="false">'Player Data'!D29</f>
        <v>2</v>
      </c>
      <c r="F29" s="21" t="n">
        <f aca="false">'Player Data'!G29</f>
        <v>19</v>
      </c>
      <c r="G29" s="21" t="n">
        <f aca="false">'Player Data'!H29</f>
        <v>1468</v>
      </c>
      <c r="H29" s="22" t="n">
        <f aca="false">IF(B29="GK",IFERROR(('Player Data'!N29-1.5*'Player Data'!O29)/'Player Data'!H29*90,0),IFERROR(('Player Data'!I29+'Player Data'!J29)/'Player Data'!H29*90,0))</f>
        <v>0.919618528610354</v>
      </c>
      <c r="I29" s="22" t="n">
        <f aca="false">IF(B29="GK",'Player Data'!P29,IFERROR(('Player Data'!K29+'Player Data'!L29)/'Player Data'!H29*90,0))</f>
        <v>15.8787465940054</v>
      </c>
      <c r="J29" s="22" t="n">
        <f aca="false">IF(B29="GK",IFERROR('Player Data'!Q29/'Player Data'!H29*90,0),IFERROR('Player Data'!M29/'Player Data'!H29*90,0))</f>
        <v>3.06539509536785</v>
      </c>
      <c r="K29" s="23" t="n">
        <f aca="false">'Player Data'!S29</f>
        <v>50025</v>
      </c>
      <c r="L29" s="22" t="n">
        <f aca="false">INDEX(Assumptions!$B$13:$B$15,MATCH(E29,Assumptions!$A$13:$A$15,0))</f>
        <v>1</v>
      </c>
      <c r="M29" s="24" t="n">
        <f aca="false">IFERROR(SUMPRODUCT(($B$2:$B$1001=B29)*($H$2:$H$1001&lt;=H29))/SUMPRODUCT(($B$2:$B$1001=B29)*1),0)</f>
        <v>0.696969696969697</v>
      </c>
      <c r="N29" s="24" t="n">
        <f aca="false">IFERROR(SUMPRODUCT(($B$2:$B$1001=B29)*($I$2:$I$1001&lt;=I29))/SUMPRODUCT(($B$2:$B$1001=B29)*1),0)</f>
        <v>0.781144781144781</v>
      </c>
      <c r="O29" s="24" t="n">
        <f aca="false">IFERROR(SUMPRODUCT(($B$2:$B$1001=B29)*($J$2:$J$1001&lt;=J29))/SUMPRODUCT(($B$2:$B$1001=B29)*1),0)</f>
        <v>0.777777777777778</v>
      </c>
      <c r="P29" s="24" t="n">
        <f aca="false">IFERROR(SUMPRODUCT(($B$2:$B$1001=B29)*((0-$F$2:$F$1001)&lt;=(0-F29)))/SUMPRODUCT(($B$2:$B$1001=B29)*1),0)</f>
        <v>0.868686868686869</v>
      </c>
      <c r="Q29" s="25" t="n">
        <f aca="false">(M29*Assumptions!$B$5+N29*Assumptions!$B$6+O29*Assumptions!$B$7+P29*Assumptions!$B$8)*L29</f>
        <v>0.776936026936027</v>
      </c>
      <c r="R29" s="24" t="n">
        <f aca="false">IFERROR(SUMPRODUCT(($B$2:$B$1001=B29)*($Q$2:$Q$1001&lt;=Q29))/SUMPRODUCT(($B$2:$B$1001=B29)*1),0)</f>
        <v>0.922558922558923</v>
      </c>
      <c r="S29" s="24" t="n">
        <f aca="false">IFERROR(SUMPRODUCT(($B$2:$B$1001=B29)*($K$2:$K$1001&lt;=K29))/SUMPRODUCT(($B$2:$B$1001=B29)*1),0)</f>
        <v>0.454545454545455</v>
      </c>
      <c r="T29" s="26" t="n">
        <f aca="false">(R29-S29)*100</f>
        <v>46.8013468013468</v>
      </c>
      <c r="U29" s="21" t="str">
        <f aca="false">'Player Data'!T29</f>
        <v>Yes</v>
      </c>
      <c r="V29" s="27" t="n">
        <f aca="false">'Player Data'!U29</f>
        <v>2029</v>
      </c>
      <c r="W29" s="21" t="str">
        <f aca="false">IF(AND(T29&gt;=Assumptions!$B$19,U29="No"),"High Priority - Unrepresented",IF(T29&gt;=Assumptions!$B$19,"High Priority",IF(AND(T29&gt;=Assumptions!$B$20,U29="No"),"Watchlist - Unrepresented",IF(T29&gt;=Assumptions!$B$20,"Watchlist",""))))</f>
        <v>High Priority</v>
      </c>
      <c r="X29" s="21" t="str">
        <f aca="false">'Player Data'!V29</f>
        <v>info@kingstonunited.jm</v>
      </c>
      <c r="Y29" s="28" t="str">
        <f aca="false">'Player Data'!W29</f>
        <v>Go through the player's agent - ask the club to confirm representation first</v>
      </c>
      <c r="Z29" s="28" t="str">
        <f aca="false">'Player Data'!X29</f>
        <v>JFF (Jamaica Football Federation) player registry</v>
      </c>
      <c r="AA29" s="19" t="str">
        <f aca="false">HYPERLINK("https://www.transfermarkt.com/schnellsuche/ergebnis/schnellsuche?query="&amp;SUBSTITUTE(A29," ","+"),"Search Transfermarkt")</f>
        <v>Search Transfermarkt</v>
      </c>
      <c r="AB29" s="29" t="n">
        <f aca="false">IFERROR('Player Data'!K29/('Player Data'!K29+'Player Data'!L29),0)</f>
        <v>0.671814671814672</v>
      </c>
      <c r="AC29" s="21" t="str">
        <f aca="false">IF(B29="GK",IF(AND(O29&gt;=Assumptions!$B$23,N29&gt;=Assumptions!$B$23),"Sweeper-Keeper / Build-from-the-Back",IF(O29&gt;=Assumptions!$B$23,"Sweeper-Keeper / High Line",IF(M29&gt;=Assumptions!$B$23,"Shot-Stopper / Traditional","Flexible / Multi-System"))),IF(AND(O29&gt;=Assumptions!$B$23,P29&gt;=Assumptions!$B$24),"High Press / Gegenpressing",IF(AND(N29&gt;=Assumptions!$B$23,AB29&gt;=Assumptions!$B$25),"Possession / Build-from-the-Back",IF(N29&gt;=Assumptions!$B$23,"Counter-Attack / Transition",IF(AND(O29&gt;=Assumptions!$B$23,N29&lt;Assumptions!$B$26),"Low Block / Park the Bus",IF(AND(B29="FW",M29&gt;=Assumptions!$B$23,N29&lt;Assumptions!$B$26),"Direct / Target Approach","Flexible / Multi-System"))))))</f>
        <v>High Press / Gegenpressing</v>
      </c>
      <c r="AD29" s="21" t="str">
        <f aca="false">'Player Data'!Y29</f>
        <v>2026-07-14</v>
      </c>
      <c r="AE29" s="21" t="str">
        <f aca="false">'Player Data'!Z29</f>
        <v>2026-07-15</v>
      </c>
      <c r="AF29" s="28" t="str">
        <f aca="false">IFERROR(INDEX(Assumptions!$B$30:$B$61,MATCH(C29,Assumptions!$A$30:$A$61,0)),"--")</f>
        <v>United States, Mexico</v>
      </c>
      <c r="AG29" s="30" t="str">
        <f aca="false">IF(R29&gt;=0.7,"Step-Up Candidate",IF(R29&gt;=0.4,"Lateral Move","Stay &amp; Develop"))</f>
        <v>Step-Up Candidate</v>
      </c>
    </row>
    <row r="30" customFormat="false" ht="23.85" hidden="false" customHeight="false" outlineLevel="0" collapsed="false">
      <c r="A30" s="21" t="str">
        <f aca="false">'Player Data'!A30</f>
        <v>Aron Olafsson</v>
      </c>
      <c r="B30" s="21" t="str">
        <f aca="false">'Player Data'!F30</f>
        <v>MF</v>
      </c>
      <c r="C30" s="21" t="str">
        <f aca="false">'Player Data'!B30</f>
        <v>Iceland</v>
      </c>
      <c r="D30" s="21" t="str">
        <f aca="false">'Player Data'!C30</f>
        <v>Iceland Second Division</v>
      </c>
      <c r="E30" s="21" t="n">
        <f aca="false">'Player Data'!D30</f>
        <v>2</v>
      </c>
      <c r="F30" s="21" t="n">
        <f aca="false">'Player Data'!G30</f>
        <v>20</v>
      </c>
      <c r="G30" s="21" t="n">
        <f aca="false">'Player Data'!H30</f>
        <v>2402</v>
      </c>
      <c r="H30" s="22" t="n">
        <f aca="false">IF(B30="GK",IFERROR(('Player Data'!N30-1.5*'Player Data'!O30)/'Player Data'!H30*90,0),IFERROR(('Player Data'!I30+'Player Data'!J30)/'Player Data'!H30*90,0))</f>
        <v>0.599500416319734</v>
      </c>
      <c r="I30" s="22" t="n">
        <f aca="false">IF(B30="GK",'Player Data'!P30,IFERROR(('Player Data'!K30+'Player Data'!L30)/'Player Data'!H30*90,0))</f>
        <v>8.95503746877602</v>
      </c>
      <c r="J30" s="22" t="n">
        <f aca="false">IF(B30="GK",IFERROR('Player Data'!Q30/'Player Data'!H30*90,0),IFERROR('Player Data'!M30/'Player Data'!H30*90,0))</f>
        <v>1.7985012489592</v>
      </c>
      <c r="K30" s="23" t="n">
        <f aca="false">'Player Data'!S30</f>
        <v>17125</v>
      </c>
      <c r="L30" s="22" t="n">
        <f aca="false">INDEX(Assumptions!$B$13:$B$15,MATCH(E30,Assumptions!$A$13:$A$15,0))</f>
        <v>1</v>
      </c>
      <c r="M30" s="24" t="n">
        <f aca="false">IFERROR(SUMPRODUCT(($B$2:$B$1001=B30)*($H$2:$H$1001&lt;=H30))/SUMPRODUCT(($B$2:$B$1001=B30)*1),0)</f>
        <v>0.316498316498317</v>
      </c>
      <c r="N30" s="24" t="n">
        <f aca="false">IFERROR(SUMPRODUCT(($B$2:$B$1001=B30)*($I$2:$I$1001&lt;=I30))/SUMPRODUCT(($B$2:$B$1001=B30)*1),0)</f>
        <v>0.276094276094276</v>
      </c>
      <c r="O30" s="24" t="n">
        <f aca="false">IFERROR(SUMPRODUCT(($B$2:$B$1001=B30)*($J$2:$J$1001&lt;=J30))/SUMPRODUCT(($B$2:$B$1001=B30)*1),0)</f>
        <v>0.323232323232323</v>
      </c>
      <c r="P30" s="24" t="n">
        <f aca="false">IFERROR(SUMPRODUCT(($B$2:$B$1001=B30)*((0-$F$2:$F$1001)&lt;=(0-F30)))/SUMPRODUCT(($B$2:$B$1001=B30)*1),0)</f>
        <v>0.734006734006734</v>
      </c>
      <c r="Q30" s="25" t="n">
        <f aca="false">(M30*Assumptions!$B$5+N30*Assumptions!$B$6+O30*Assumptions!$B$7+P30*Assumptions!$B$8)*L30</f>
        <v>0.387205387205387</v>
      </c>
      <c r="R30" s="24" t="n">
        <f aca="false">IFERROR(SUMPRODUCT(($B$2:$B$1001=B30)*($Q$2:$Q$1001&lt;=Q30))/SUMPRODUCT(($B$2:$B$1001=B30)*1),0)</f>
        <v>0.400673400673401</v>
      </c>
      <c r="S30" s="24" t="n">
        <f aca="false">IFERROR(SUMPRODUCT(($B$2:$B$1001=B30)*($K$2:$K$1001&lt;=K30))/SUMPRODUCT(($B$2:$B$1001=B30)*1),0)</f>
        <v>0.269360269360269</v>
      </c>
      <c r="T30" s="26" t="n">
        <f aca="false">(R30-S30)*100</f>
        <v>13.1313131313131</v>
      </c>
      <c r="U30" s="21" t="str">
        <f aca="false">'Player Data'!T30</f>
        <v>No</v>
      </c>
      <c r="V30" s="27" t="n">
        <f aca="false">'Player Data'!U30</f>
        <v>2026</v>
      </c>
      <c r="W30" s="21" t="str">
        <f aca="false">IF(AND(T30&gt;=Assumptions!$B$19,U30="No"),"High Priority - Unrepresented",IF(T30&gt;=Assumptions!$B$19,"High Priority",IF(AND(T30&gt;=Assumptions!$B$20,U30="No"),"Watchlist - Unrepresented",IF(T30&gt;=Assumptions!$B$20,"Watchlist",""))))</f>
        <v/>
      </c>
      <c r="X30" s="21" t="str">
        <f aca="false">'Player Data'!V30</f>
        <v>info@keflavikfc.is</v>
      </c>
      <c r="Y30" s="28" t="str">
        <f aca="false">'Player Data'!W30</f>
        <v>Club sporting director / first-team office</v>
      </c>
      <c r="Z30" s="28" t="str">
        <f aca="false">'Player Data'!X30</f>
        <v>KSI (Icelandic Football Association) player registry</v>
      </c>
      <c r="AA30" s="19" t="str">
        <f aca="false">HYPERLINK("https://www.transfermarkt.com/schnellsuche/ergebnis/schnellsuche?query="&amp;SUBSTITUTE(A30," ","+"),"Search Transfermarkt")</f>
        <v>Search Transfermarkt</v>
      </c>
      <c r="AB30" s="29" t="n">
        <f aca="false">IFERROR('Player Data'!K30/('Player Data'!K30+'Player Data'!L30),0)</f>
        <v>0.753138075313808</v>
      </c>
      <c r="AC30" s="21" t="str">
        <f aca="false">IF(B30="GK",IF(AND(O30&gt;=Assumptions!$B$23,N30&gt;=Assumptions!$B$23),"Sweeper-Keeper / Build-from-the-Back",IF(O30&gt;=Assumptions!$B$23,"Sweeper-Keeper / High Line",IF(M30&gt;=Assumptions!$B$23,"Shot-Stopper / Traditional","Flexible / Multi-System"))),IF(AND(O30&gt;=Assumptions!$B$23,P30&gt;=Assumptions!$B$24),"High Press / Gegenpressing",IF(AND(N30&gt;=Assumptions!$B$23,AB30&gt;=Assumptions!$B$25),"Possession / Build-from-the-Back",IF(N30&gt;=Assumptions!$B$23,"Counter-Attack / Transition",IF(AND(O30&gt;=Assumptions!$B$23,N30&lt;Assumptions!$B$26),"Low Block / Park the Bus",IF(AND(B30="FW",M30&gt;=Assumptions!$B$23,N30&lt;Assumptions!$B$26),"Direct / Target Approach","Flexible / Multi-System"))))))</f>
        <v>Flexible / Multi-System</v>
      </c>
      <c r="AD30" s="21" t="str">
        <f aca="false">'Player Data'!Y30</f>
        <v>2026-07-14</v>
      </c>
      <c r="AE30" s="21" t="str">
        <f aca="false">'Player Data'!Z30</f>
        <v>2026-07-15</v>
      </c>
      <c r="AF30" s="28" t="str">
        <f aca="false">IFERROR(INDEX(Assumptions!$B$30:$B$61,MATCH(C30,Assumptions!$A$30:$A$61,0)),"--")</f>
        <v>Norway, Belgium</v>
      </c>
      <c r="AG30" s="30" t="str">
        <f aca="false">IF(R30&gt;=0.7,"Step-Up Candidate",IF(R30&gt;=0.4,"Lateral Move","Stay &amp; Develop"))</f>
        <v>Lateral Move</v>
      </c>
    </row>
    <row r="31" customFormat="false" ht="23.85" hidden="false" customHeight="false" outlineLevel="0" collapsed="false">
      <c r="A31" s="21" t="str">
        <f aca="false">'Player Data'!A31</f>
        <v>Cole Clarke</v>
      </c>
      <c r="B31" s="21" t="str">
        <f aca="false">'Player Data'!F31</f>
        <v>GK</v>
      </c>
      <c r="C31" s="21" t="str">
        <f aca="false">'Player Data'!B31</f>
        <v>New Zealand</v>
      </c>
      <c r="D31" s="21" t="str">
        <f aca="false">'Player Data'!C31</f>
        <v>New Zealand Second Division</v>
      </c>
      <c r="E31" s="21" t="n">
        <f aca="false">'Player Data'!D31</f>
        <v>2</v>
      </c>
      <c r="F31" s="21" t="n">
        <f aca="false">'Player Data'!G31</f>
        <v>18</v>
      </c>
      <c r="G31" s="21" t="n">
        <f aca="false">'Player Data'!H31</f>
        <v>2301</v>
      </c>
      <c r="H31" s="22" t="n">
        <f aca="false">IF(B31="GK",IFERROR(('Player Data'!N31-1.5*'Player Data'!O31)/'Player Data'!H31*90,0),IFERROR(('Player Data'!I31+'Player Data'!J31)/'Player Data'!H31*90,0))</f>
        <v>-0.0391134289439374</v>
      </c>
      <c r="I31" s="22" t="n">
        <f aca="false">IF(B31="GK",'Player Data'!P31,IFERROR(('Player Data'!K31+'Player Data'!L31)/'Player Data'!H31*90,0))</f>
        <v>58.7</v>
      </c>
      <c r="J31" s="22" t="n">
        <f aca="false">IF(B31="GK",IFERROR('Player Data'!Q31/'Player Data'!H31*90,0),IFERROR('Player Data'!M31/'Player Data'!H31*90,0))</f>
        <v>0.254237288135593</v>
      </c>
      <c r="K31" s="23" t="n">
        <f aca="false">'Player Data'!S31</f>
        <v>96748</v>
      </c>
      <c r="L31" s="22" t="n">
        <f aca="false">INDEX(Assumptions!$B$13:$B$15,MATCH(E31,Assumptions!$A$13:$A$15,0))</f>
        <v>1</v>
      </c>
      <c r="M31" s="24" t="n">
        <f aca="false">IFERROR(SUMPRODUCT(($B$2:$B$1001=B31)*($H$2:$H$1001&lt;=H31))/SUMPRODUCT(($B$2:$B$1001=B31)*1),0)</f>
        <v>0.174863387978142</v>
      </c>
      <c r="N31" s="24" t="n">
        <f aca="false">IFERROR(SUMPRODUCT(($B$2:$B$1001=B31)*($I$2:$I$1001&lt;=I31))/SUMPRODUCT(($B$2:$B$1001=B31)*1),0)</f>
        <v>0.103825136612022</v>
      </c>
      <c r="O31" s="24" t="n">
        <f aca="false">IFERROR(SUMPRODUCT(($B$2:$B$1001=B31)*($J$2:$J$1001&lt;=J31))/SUMPRODUCT(($B$2:$B$1001=B31)*1),0)</f>
        <v>0.103825136612022</v>
      </c>
      <c r="P31" s="24" t="n">
        <f aca="false">IFERROR(SUMPRODUCT(($B$2:$B$1001=B31)*((0-$F$2:$F$1001)&lt;=(0-F31)))/SUMPRODUCT(($B$2:$B$1001=B31)*1),0)</f>
        <v>0.907103825136612</v>
      </c>
      <c r="Q31" s="25" t="n">
        <f aca="false">(M31*Assumptions!$B$5+N31*Assumptions!$B$6+O31*Assumptions!$B$7+P31*Assumptions!$B$8)*L31</f>
        <v>0.28224043715847</v>
      </c>
      <c r="R31" s="24" t="n">
        <f aca="false">IFERROR(SUMPRODUCT(($B$2:$B$1001=B31)*($Q$2:$Q$1001&lt;=Q31))/SUMPRODUCT(($B$2:$B$1001=B31)*1),0)</f>
        <v>0.0983606557377049</v>
      </c>
      <c r="S31" s="24" t="n">
        <f aca="false">IFERROR(SUMPRODUCT(($B$2:$B$1001=B31)*($K$2:$K$1001&lt;=K31))/SUMPRODUCT(($B$2:$B$1001=B31)*1),0)</f>
        <v>0.699453551912568</v>
      </c>
      <c r="T31" s="26" t="n">
        <f aca="false">(R31-S31)*100</f>
        <v>-60.1092896174863</v>
      </c>
      <c r="U31" s="21" t="str">
        <f aca="false">'Player Data'!T31</f>
        <v>Unknown</v>
      </c>
      <c r="V31" s="27" t="n">
        <f aca="false">'Player Data'!U31</f>
        <v>2027</v>
      </c>
      <c r="W31" s="21" t="str">
        <f aca="false">IF(AND(T31&gt;=Assumptions!$B$19,U31="No"),"High Priority - Unrepresented",IF(T31&gt;=Assumptions!$B$19,"High Priority",IF(AND(T31&gt;=Assumptions!$B$20,U31="No"),"Watchlist - Unrepresented",IF(T31&gt;=Assumptions!$B$20,"Watchlist",""))))</f>
        <v/>
      </c>
      <c r="X31" s="21" t="str">
        <f aca="false">'Player Data'!V31</f>
        <v>info@christchurchcity.nz</v>
      </c>
      <c r="Y31" s="28" t="str">
        <f aca="false">'Player Data'!W31</f>
        <v>Club sporting director / first-team office</v>
      </c>
      <c r="Z31" s="28" t="str">
        <f aca="false">'Player Data'!X31</f>
        <v>NZF (New Zealand Football) player registry</v>
      </c>
      <c r="AA31" s="19" t="str">
        <f aca="false">HYPERLINK("https://www.transfermarkt.com/schnellsuche/ergebnis/schnellsuche?query="&amp;SUBSTITUTE(A31," ","+"),"Search Transfermarkt")</f>
        <v>Search Transfermarkt</v>
      </c>
      <c r="AB31" s="29" t="n">
        <f aca="false">IFERROR('Player Data'!K31/('Player Data'!K31+'Player Data'!L31),0)</f>
        <v>0.761904761904762</v>
      </c>
      <c r="AC31" s="21" t="str">
        <f aca="false">IF(B31="GK",IF(AND(O31&gt;=Assumptions!$B$23,N31&gt;=Assumptions!$B$23),"Sweeper-Keeper / Build-from-the-Back",IF(O31&gt;=Assumptions!$B$23,"Sweeper-Keeper / High Line",IF(M31&gt;=Assumptions!$B$23,"Shot-Stopper / Traditional","Flexible / Multi-System"))),IF(AND(O31&gt;=Assumptions!$B$23,P31&gt;=Assumptions!$B$24),"High Press / Gegenpressing",IF(AND(N31&gt;=Assumptions!$B$23,AB31&gt;=Assumptions!$B$25),"Possession / Build-from-the-Back",IF(N31&gt;=Assumptions!$B$23,"Counter-Attack / Transition",IF(AND(O31&gt;=Assumptions!$B$23,N31&lt;Assumptions!$B$26),"Low Block / Park the Bus",IF(AND(B31="FW",M31&gt;=Assumptions!$B$23,N31&lt;Assumptions!$B$26),"Direct / Target Approach","Flexible / Multi-System"))))))</f>
        <v>Flexible / Multi-System</v>
      </c>
      <c r="AD31" s="21" t="str">
        <f aca="false">'Player Data'!Y31</f>
        <v>2026-07-14</v>
      </c>
      <c r="AE31" s="21" t="str">
        <f aca="false">'Player Data'!Z31</f>
        <v>2026-07-15</v>
      </c>
      <c r="AF31" s="28" t="str">
        <f aca="false">IFERROR(INDEX(Assumptions!$B$30:$B$61,MATCH(C31,Assumptions!$A$30:$A$61,0)),"--")</f>
        <v>Australia, United States</v>
      </c>
      <c r="AG31" s="30" t="str">
        <f aca="false">IF(R31&gt;=0.7,"Step-Up Candidate",IF(R31&gt;=0.4,"Lateral Move","Stay &amp; Develop"))</f>
        <v>Stay &amp; Develop</v>
      </c>
    </row>
    <row r="32" customFormat="false" ht="23.85" hidden="false" customHeight="false" outlineLevel="0" collapsed="false">
      <c r="A32" s="21" t="str">
        <f aca="false">'Player Data'!A32</f>
        <v>Sora Takahashi</v>
      </c>
      <c r="B32" s="21" t="str">
        <f aca="false">'Player Data'!F32</f>
        <v>MF</v>
      </c>
      <c r="C32" s="21" t="str">
        <f aca="false">'Player Data'!B32</f>
        <v>Japan</v>
      </c>
      <c r="D32" s="21" t="str">
        <f aca="false">'Player Data'!C32</f>
        <v>Japan Second Division</v>
      </c>
      <c r="E32" s="21" t="n">
        <f aca="false">'Player Data'!D32</f>
        <v>2</v>
      </c>
      <c r="F32" s="21" t="n">
        <f aca="false">'Player Data'!G32</f>
        <v>22</v>
      </c>
      <c r="G32" s="21" t="n">
        <f aca="false">'Player Data'!H32</f>
        <v>1418</v>
      </c>
      <c r="H32" s="22" t="n">
        <f aca="false">IF(B32="GK",IFERROR(('Player Data'!N32-1.5*'Player Data'!O32)/'Player Data'!H32*90,0),IFERROR(('Player Data'!I32+'Player Data'!J32)/'Player Data'!H32*90,0))</f>
        <v>0.571227080394922</v>
      </c>
      <c r="I32" s="22" t="n">
        <f aca="false">IF(B32="GK",'Player Data'!P32,IFERROR(('Player Data'!K32+'Player Data'!L32)/'Player Data'!H32*90,0))</f>
        <v>14.5345557122708</v>
      </c>
      <c r="J32" s="22" t="n">
        <f aca="false">IF(B32="GK",IFERROR('Player Data'!Q32/'Player Data'!H32*90,0),IFERROR('Player Data'!M32/'Player Data'!H32*90,0))</f>
        <v>3.23695345557123</v>
      </c>
      <c r="K32" s="23" t="n">
        <f aca="false">'Player Data'!S32</f>
        <v>76609</v>
      </c>
      <c r="L32" s="22" t="n">
        <f aca="false">INDEX(Assumptions!$B$13:$B$15,MATCH(E32,Assumptions!$A$13:$A$15,0))</f>
        <v>1</v>
      </c>
      <c r="M32" s="24" t="n">
        <f aca="false">IFERROR(SUMPRODUCT(($B$2:$B$1001=B32)*($H$2:$H$1001&lt;=H32))/SUMPRODUCT(($B$2:$B$1001=B32)*1),0)</f>
        <v>0.292929292929293</v>
      </c>
      <c r="N32" s="24" t="n">
        <f aca="false">IFERROR(SUMPRODUCT(($B$2:$B$1001=B32)*($I$2:$I$1001&lt;=I32))/SUMPRODUCT(($B$2:$B$1001=B32)*1),0)</f>
        <v>0.727272727272727</v>
      </c>
      <c r="O32" s="24" t="n">
        <f aca="false">IFERROR(SUMPRODUCT(($B$2:$B$1001=B32)*($J$2:$J$1001&lt;=J32))/SUMPRODUCT(($B$2:$B$1001=B32)*1),0)</f>
        <v>0.801346801346801</v>
      </c>
      <c r="P32" s="24" t="n">
        <f aca="false">IFERROR(SUMPRODUCT(($B$2:$B$1001=B32)*((0-$F$2:$F$1001)&lt;=(0-F32)))/SUMPRODUCT(($B$2:$B$1001=B32)*1),0)</f>
        <v>0.515151515151515</v>
      </c>
      <c r="Q32" s="25" t="n">
        <f aca="false">(M32*Assumptions!$B$5+N32*Assumptions!$B$6+O32*Assumptions!$B$7+P32*Assumptions!$B$8)*L32</f>
        <v>0.591077441077441</v>
      </c>
      <c r="R32" s="24" t="n">
        <f aca="false">IFERROR(SUMPRODUCT(($B$2:$B$1001=B32)*($Q$2:$Q$1001&lt;=Q32))/SUMPRODUCT(($B$2:$B$1001=B32)*1),0)</f>
        <v>0.740740740740741</v>
      </c>
      <c r="S32" s="24" t="n">
        <f aca="false">IFERROR(SUMPRODUCT(($B$2:$B$1001=B32)*($K$2:$K$1001&lt;=K32))/SUMPRODUCT(($B$2:$B$1001=B32)*1),0)</f>
        <v>0.602693602693603</v>
      </c>
      <c r="T32" s="26" t="n">
        <f aca="false">(R32-S32)*100</f>
        <v>13.8047138047138</v>
      </c>
      <c r="U32" s="21" t="str">
        <f aca="false">'Player Data'!T32</f>
        <v>Unknown</v>
      </c>
      <c r="V32" s="27" t="n">
        <f aca="false">'Player Data'!U32</f>
        <v>2027</v>
      </c>
      <c r="W32" s="21" t="str">
        <f aca="false">IF(AND(T32&gt;=Assumptions!$B$19,U32="No"),"High Priority - Unrepresented",IF(T32&gt;=Assumptions!$B$19,"High Priority",IF(AND(T32&gt;=Assumptions!$B$20,U32="No"),"Watchlist - Unrepresented",IF(T32&gt;=Assumptions!$B$20,"Watchlist",""))))</f>
        <v/>
      </c>
      <c r="X32" s="21" t="str">
        <f aca="false">'Player Data'!V32</f>
        <v>info@nagoyafc.jp</v>
      </c>
      <c r="Y32" s="28" t="str">
        <f aca="false">'Player Data'!W32</f>
        <v>Club sporting director / first-team office</v>
      </c>
      <c r="Z32" s="28" t="str">
        <f aca="false">'Player Data'!X32</f>
        <v>JFA (Japan Football Association) player registry</v>
      </c>
      <c r="AA32" s="19" t="str">
        <f aca="false">HYPERLINK("https://www.transfermarkt.com/schnellsuche/ergebnis/schnellsuche?query="&amp;SUBSTITUTE(A32," ","+"),"Search Transfermarkt")</f>
        <v>Search Transfermarkt</v>
      </c>
      <c r="AB32" s="29" t="n">
        <f aca="false">IFERROR('Player Data'!K32/('Player Data'!K32+'Player Data'!L32),0)</f>
        <v>0.74235807860262</v>
      </c>
      <c r="AC32" s="21" t="str">
        <f aca="false">IF(B32="GK",IF(AND(O32&gt;=Assumptions!$B$23,N32&gt;=Assumptions!$B$23),"Sweeper-Keeper / Build-from-the-Back",IF(O32&gt;=Assumptions!$B$23,"Sweeper-Keeper / High Line",IF(M32&gt;=Assumptions!$B$23,"Shot-Stopper / Traditional","Flexible / Multi-System"))),IF(AND(O32&gt;=Assumptions!$B$23,P32&gt;=Assumptions!$B$24),"High Press / Gegenpressing",IF(AND(N32&gt;=Assumptions!$B$23,AB32&gt;=Assumptions!$B$25),"Possession / Build-from-the-Back",IF(N32&gt;=Assumptions!$B$23,"Counter-Attack / Transition",IF(AND(O32&gt;=Assumptions!$B$23,N32&lt;Assumptions!$B$26),"Low Block / Park the Bus",IF(AND(B32="FW",M32&gt;=Assumptions!$B$23,N32&lt;Assumptions!$B$26),"Direct / Target Approach","Flexible / Multi-System"))))))</f>
        <v>Possession / Build-from-the-Back</v>
      </c>
      <c r="AD32" s="21" t="str">
        <f aca="false">'Player Data'!Y32</f>
        <v>2026-07-14</v>
      </c>
      <c r="AE32" s="21" t="str">
        <f aca="false">'Player Data'!Z32</f>
        <v>2026-07-15</v>
      </c>
      <c r="AF32" s="28" t="str">
        <f aca="false">IFERROR(INDEX(Assumptions!$B$30:$B$61,MATCH(C32,Assumptions!$A$30:$A$61,0)),"--")</f>
        <v>Belgium, Australia</v>
      </c>
      <c r="AG32" s="30" t="str">
        <f aca="false">IF(R32&gt;=0.7,"Step-Up Candidate",IF(R32&gt;=0.4,"Lateral Move","Stay &amp; Develop"))</f>
        <v>Step-Up Candidate</v>
      </c>
    </row>
    <row r="33" customFormat="false" ht="23.85" hidden="false" customHeight="false" outlineLevel="0" collapsed="false">
      <c r="A33" s="21" t="str">
        <f aca="false">'Player Data'!A33</f>
        <v>Darko Naumovski</v>
      </c>
      <c r="B33" s="21" t="str">
        <f aca="false">'Player Data'!F33</f>
        <v>MF</v>
      </c>
      <c r="C33" s="21" t="str">
        <f aca="false">'Player Data'!B33</f>
        <v>North Macedonia</v>
      </c>
      <c r="D33" s="21" t="str">
        <f aca="false">'Player Data'!C33</f>
        <v>North Macedonia Regional League</v>
      </c>
      <c r="E33" s="21" t="n">
        <f aca="false">'Player Data'!D33</f>
        <v>2</v>
      </c>
      <c r="F33" s="21" t="n">
        <f aca="false">'Player Data'!G33</f>
        <v>20</v>
      </c>
      <c r="G33" s="21" t="n">
        <f aca="false">'Player Data'!H33</f>
        <v>1129</v>
      </c>
      <c r="H33" s="22" t="n">
        <f aca="false">IF(B33="GK",IFERROR(('Player Data'!N33-1.5*'Player Data'!O33)/'Player Data'!H33*90,0),IFERROR(('Player Data'!I33+'Player Data'!J33)/'Player Data'!H33*90,0))</f>
        <v>1.35518157661647</v>
      </c>
      <c r="I33" s="22" t="n">
        <f aca="false">IF(B33="GK",'Player Data'!P33,IFERROR(('Player Data'!K33+'Player Data'!L33)/'Player Data'!H33*90,0))</f>
        <v>17.0593445527015</v>
      </c>
      <c r="J33" s="22" t="n">
        <f aca="false">IF(B33="GK",IFERROR('Player Data'!Q33/'Player Data'!H33*90,0),IFERROR('Player Data'!M33/'Player Data'!H33*90,0))</f>
        <v>2.39149689991143</v>
      </c>
      <c r="K33" s="23" t="n">
        <f aca="false">'Player Data'!S33</f>
        <v>144878</v>
      </c>
      <c r="L33" s="22" t="n">
        <f aca="false">INDEX(Assumptions!$B$13:$B$15,MATCH(E33,Assumptions!$A$13:$A$15,0))</f>
        <v>1</v>
      </c>
      <c r="M33" s="24" t="n">
        <f aca="false">IFERROR(SUMPRODUCT(($B$2:$B$1001=B33)*($H$2:$H$1001&lt;=H33))/SUMPRODUCT(($B$2:$B$1001=B33)*1),0)</f>
        <v>0.895622895622896</v>
      </c>
      <c r="N33" s="24" t="n">
        <f aca="false">IFERROR(SUMPRODUCT(($B$2:$B$1001=B33)*($I$2:$I$1001&lt;=I33))/SUMPRODUCT(($B$2:$B$1001=B33)*1),0)</f>
        <v>0.828282828282828</v>
      </c>
      <c r="O33" s="24" t="n">
        <f aca="false">IFERROR(SUMPRODUCT(($B$2:$B$1001=B33)*($J$2:$J$1001&lt;=J33))/SUMPRODUCT(($B$2:$B$1001=B33)*1),0)</f>
        <v>0.599326599326599</v>
      </c>
      <c r="P33" s="24" t="n">
        <f aca="false">IFERROR(SUMPRODUCT(($B$2:$B$1001=B33)*((0-$F$2:$F$1001)&lt;=(0-F33)))/SUMPRODUCT(($B$2:$B$1001=B33)*1),0)</f>
        <v>0.734006734006734</v>
      </c>
      <c r="Q33" s="25" t="n">
        <f aca="false">(M33*Assumptions!$B$5+N33*Assumptions!$B$6+O33*Assumptions!$B$7+P33*Assumptions!$B$8)*L33</f>
        <v>0.780471380471381</v>
      </c>
      <c r="R33" s="24" t="n">
        <f aca="false">IFERROR(SUMPRODUCT(($B$2:$B$1001=B33)*($Q$2:$Q$1001&lt;=Q33))/SUMPRODUCT(($B$2:$B$1001=B33)*1),0)</f>
        <v>0.936026936026936</v>
      </c>
      <c r="S33" s="24" t="n">
        <f aca="false">IFERROR(SUMPRODUCT(($B$2:$B$1001=B33)*($K$2:$K$1001&lt;=K33))/SUMPRODUCT(($B$2:$B$1001=B33)*1),0)</f>
        <v>0.986531986531987</v>
      </c>
      <c r="T33" s="26" t="n">
        <f aca="false">(R33-S33)*100</f>
        <v>-5.05050505050505</v>
      </c>
      <c r="U33" s="21" t="str">
        <f aca="false">'Player Data'!T33</f>
        <v>No</v>
      </c>
      <c r="V33" s="27" t="n">
        <f aca="false">'Player Data'!U33</f>
        <v>2028</v>
      </c>
      <c r="W33" s="21" t="str">
        <f aca="false">IF(AND(T33&gt;=Assumptions!$B$19,U33="No"),"High Priority - Unrepresented",IF(T33&gt;=Assumptions!$B$19,"High Priority",IF(AND(T33&gt;=Assumptions!$B$20,U33="No"),"Watchlist - Unrepresented",IF(T33&gt;=Assumptions!$B$20,"Watchlist",""))))</f>
        <v/>
      </c>
      <c r="X33" s="21" t="str">
        <f aca="false">'Player Data'!V33</f>
        <v>info@bitolaunited.mk</v>
      </c>
      <c r="Y33" s="28" t="str">
        <f aca="false">'Player Data'!W33</f>
        <v>Club sporting director / first-team office</v>
      </c>
      <c r="Z33" s="28" t="str">
        <f aca="false">'Player Data'!X33</f>
        <v>FFM (Football Federation of North Macedonia) player registry</v>
      </c>
      <c r="AA33" s="19" t="str">
        <f aca="false">HYPERLINK("https://www.transfermarkt.com/schnellsuche/ergebnis/schnellsuche?query="&amp;SUBSTITUTE(A33," ","+"),"Search Transfermarkt")</f>
        <v>Search Transfermarkt</v>
      </c>
      <c r="AB33" s="29" t="n">
        <f aca="false">IFERROR('Player Data'!K33/('Player Data'!K33+'Player Data'!L33),0)</f>
        <v>0.719626168224299</v>
      </c>
      <c r="AC33" s="21" t="str">
        <f aca="false">IF(B33="GK",IF(AND(O33&gt;=Assumptions!$B$23,N33&gt;=Assumptions!$B$23),"Sweeper-Keeper / Build-from-the-Back",IF(O33&gt;=Assumptions!$B$23,"Sweeper-Keeper / High Line",IF(M33&gt;=Assumptions!$B$23,"Shot-Stopper / Traditional","Flexible / Multi-System"))),IF(AND(O33&gt;=Assumptions!$B$23,P33&gt;=Assumptions!$B$24),"High Press / Gegenpressing",IF(AND(N33&gt;=Assumptions!$B$23,AB33&gt;=Assumptions!$B$25),"Possession / Build-from-the-Back",IF(N33&gt;=Assumptions!$B$23,"Counter-Attack / Transition",IF(AND(O33&gt;=Assumptions!$B$23,N33&lt;Assumptions!$B$26),"Low Block / Park the Bus",IF(AND(B33="FW",M33&gt;=Assumptions!$B$23,N33&lt;Assumptions!$B$26),"Direct / Target Approach","Flexible / Multi-System"))))))</f>
        <v>Possession / Build-from-the-Back</v>
      </c>
      <c r="AD33" s="21" t="str">
        <f aca="false">'Player Data'!Y33</f>
        <v>2026-07-14</v>
      </c>
      <c r="AE33" s="21" t="str">
        <f aca="false">'Player Data'!Z33</f>
        <v>2026-07-15</v>
      </c>
      <c r="AF33" s="28" t="str">
        <f aca="false">IFERROR(INDEX(Assumptions!$B$30:$B$61,MATCH(C33,Assumptions!$A$30:$A$61,0)),"--")</f>
        <v>Austria, Turkey</v>
      </c>
      <c r="AG33" s="30" t="str">
        <f aca="false">IF(R33&gt;=0.7,"Step-Up Candidate",IF(R33&gt;=0.4,"Lateral Move","Stay &amp; Develop"))</f>
        <v>Step-Up Candidate</v>
      </c>
    </row>
    <row r="34" customFormat="false" ht="23.85" hidden="false" customHeight="false" outlineLevel="0" collapsed="false">
      <c r="A34" s="21" t="str">
        <f aca="false">'Player Data'!A34</f>
        <v>Patrick Ngoy</v>
      </c>
      <c r="B34" s="21" t="str">
        <f aca="false">'Player Data'!F34</f>
        <v>MF</v>
      </c>
      <c r="C34" s="21" t="str">
        <f aca="false">'Player Data'!B34</f>
        <v>Cameroon</v>
      </c>
      <c r="D34" s="21" t="str">
        <f aca="false">'Player Data'!C34</f>
        <v>Cameroon Amateur League</v>
      </c>
      <c r="E34" s="21" t="n">
        <f aca="false">'Player Data'!D34</f>
        <v>4</v>
      </c>
      <c r="F34" s="21" t="n">
        <f aca="false">'Player Data'!G34</f>
        <v>22</v>
      </c>
      <c r="G34" s="21" t="n">
        <f aca="false">'Player Data'!H34</f>
        <v>1759</v>
      </c>
      <c r="H34" s="22" t="n">
        <f aca="false">IF(B34="GK",IFERROR(('Player Data'!N34-1.5*'Player Data'!O34)/'Player Data'!H34*90,0),IFERROR(('Player Data'!I34+'Player Data'!J34)/'Player Data'!H34*90,0))</f>
        <v>0.409323479249574</v>
      </c>
      <c r="I34" s="22" t="n">
        <f aca="false">IF(B34="GK",'Player Data'!P34,IFERROR(('Player Data'!K34+'Player Data'!L34)/'Player Data'!H34*90,0))</f>
        <v>11.6657191586128</v>
      </c>
      <c r="J34" s="22" t="n">
        <f aca="false">IF(B34="GK",IFERROR('Player Data'!Q34/'Player Data'!H34*90,0),IFERROR('Player Data'!M34/'Player Data'!H34*90,0))</f>
        <v>2.60943718021603</v>
      </c>
      <c r="K34" s="23" t="n">
        <f aca="false">'Player Data'!S34</f>
        <v>0</v>
      </c>
      <c r="L34" s="22" t="n">
        <f aca="false">INDEX(Assumptions!$B$13:$B$15,MATCH(E34,Assumptions!$A$13:$A$15,0))</f>
        <v>0.7</v>
      </c>
      <c r="M34" s="24" t="n">
        <f aca="false">IFERROR(SUMPRODUCT(($B$2:$B$1001=B34)*($H$2:$H$1001&lt;=H34))/SUMPRODUCT(($B$2:$B$1001=B34)*1),0)</f>
        <v>0.101010101010101</v>
      </c>
      <c r="N34" s="24" t="n">
        <f aca="false">IFERROR(SUMPRODUCT(($B$2:$B$1001=B34)*($I$2:$I$1001&lt;=I34))/SUMPRODUCT(($B$2:$B$1001=B34)*1),0)</f>
        <v>0.555555555555556</v>
      </c>
      <c r="O34" s="24" t="n">
        <f aca="false">IFERROR(SUMPRODUCT(($B$2:$B$1001=B34)*($J$2:$J$1001&lt;=J34))/SUMPRODUCT(($B$2:$B$1001=B34)*1),0)</f>
        <v>0.676767676767677</v>
      </c>
      <c r="P34" s="24" t="n">
        <f aca="false">IFERROR(SUMPRODUCT(($B$2:$B$1001=B34)*((0-$F$2:$F$1001)&lt;=(0-F34)))/SUMPRODUCT(($B$2:$B$1001=B34)*1),0)</f>
        <v>0.515151515151515</v>
      </c>
      <c r="Q34" s="25" t="n">
        <f aca="false">(M34*Assumptions!$B$5+N34*Assumptions!$B$6+O34*Assumptions!$B$7+P34*Assumptions!$B$8)*L34</f>
        <v>0.320656565656566</v>
      </c>
      <c r="R34" s="24" t="n">
        <f aca="false">IFERROR(SUMPRODUCT(($B$2:$B$1001=B34)*($Q$2:$Q$1001&lt;=Q34))/SUMPRODUCT(($B$2:$B$1001=B34)*1),0)</f>
        <v>0.286195286195286</v>
      </c>
      <c r="S34" s="24" t="n">
        <f aca="false">IFERROR(SUMPRODUCT(($B$2:$B$1001=B34)*($K$2:$K$1001&lt;=K34))/SUMPRODUCT(($B$2:$B$1001=B34)*1),0)</f>
        <v>0.228956228956229</v>
      </c>
      <c r="T34" s="26" t="n">
        <f aca="false">(R34-S34)*100</f>
        <v>5.72390572390572</v>
      </c>
      <c r="U34" s="21" t="str">
        <f aca="false">'Player Data'!T34</f>
        <v>No</v>
      </c>
      <c r="V34" s="27" t="n">
        <f aca="false">'Player Data'!U34</f>
        <v>2028</v>
      </c>
      <c r="W34" s="21" t="str">
        <f aca="false">IF(AND(T34&gt;=Assumptions!$B$19,U34="No"),"High Priority - Unrepresented",IF(T34&gt;=Assumptions!$B$19,"High Priority",IF(AND(T34&gt;=Assumptions!$B$20,U34="No"),"Watchlist - Unrepresented",IF(T34&gt;=Assumptions!$B$20,"Watchlist",""))))</f>
        <v/>
      </c>
      <c r="X34" s="21" t="str">
        <f aca="false">'Player Data'!V34</f>
        <v>info@garouatown.cm</v>
      </c>
      <c r="Y34" s="28" t="str">
        <f aca="false">'Player Data'!W34</f>
        <v>Club sporting director / first-team office</v>
      </c>
      <c r="Z34" s="28" t="str">
        <f aca="false">'Player Data'!X34</f>
        <v>FECAFOOT (Cameroonian Football Federation) player registry</v>
      </c>
      <c r="AA34" s="19" t="str">
        <f aca="false">HYPERLINK("https://www.transfermarkt.com/schnellsuche/ergebnis/schnellsuche?query="&amp;SUBSTITUTE(A34," ","+"),"Search Transfermarkt")</f>
        <v>Search Transfermarkt</v>
      </c>
      <c r="AB34" s="29" t="n">
        <f aca="false">IFERROR('Player Data'!K34/('Player Data'!K34+'Player Data'!L34),0)</f>
        <v>0.583333333333333</v>
      </c>
      <c r="AC34" s="21" t="str">
        <f aca="false">IF(B34="GK",IF(AND(O34&gt;=Assumptions!$B$23,N34&gt;=Assumptions!$B$23),"Sweeper-Keeper / Build-from-the-Back",IF(O34&gt;=Assumptions!$B$23,"Sweeper-Keeper / High Line",IF(M34&gt;=Assumptions!$B$23,"Shot-Stopper / Traditional","Flexible / Multi-System"))),IF(AND(O34&gt;=Assumptions!$B$23,P34&gt;=Assumptions!$B$24),"High Press / Gegenpressing",IF(AND(N34&gt;=Assumptions!$B$23,AB34&gt;=Assumptions!$B$25),"Possession / Build-from-the-Back",IF(N34&gt;=Assumptions!$B$23,"Counter-Attack / Transition",IF(AND(O34&gt;=Assumptions!$B$23,N34&lt;Assumptions!$B$26),"Low Block / Park the Bus",IF(AND(B34="FW",M34&gt;=Assumptions!$B$23,N34&lt;Assumptions!$B$26),"Direct / Target Approach","Flexible / Multi-System"))))))</f>
        <v>Flexible / Multi-System</v>
      </c>
      <c r="AD34" s="21" t="str">
        <f aca="false">'Player Data'!Y34</f>
        <v>2026-07-14</v>
      </c>
      <c r="AE34" s="21" t="str">
        <f aca="false">'Player Data'!Z34</f>
        <v>2026-07-15</v>
      </c>
      <c r="AF34" s="28" t="str">
        <f aca="false">IFERROR(INDEX(Assumptions!$B$30:$B$61,MATCH(C34,Assumptions!$A$30:$A$61,0)),"--")</f>
        <v>Belgium, Portugal</v>
      </c>
      <c r="AG34" s="30" t="str">
        <f aca="false">IF(R34&gt;=0.7,"Step-Up Candidate",IF(R34&gt;=0.4,"Lateral Move","Stay &amp; Develop"))</f>
        <v>Stay &amp; Develop</v>
      </c>
    </row>
    <row r="35" customFormat="false" ht="23.85" hidden="false" customHeight="false" outlineLevel="0" collapsed="false">
      <c r="A35" s="21" t="str">
        <f aca="false">'Player Data'!A35</f>
        <v>Andres Mets</v>
      </c>
      <c r="B35" s="21" t="str">
        <f aca="false">'Player Data'!F35</f>
        <v>DF</v>
      </c>
      <c r="C35" s="21" t="str">
        <f aca="false">'Player Data'!B35</f>
        <v>Estonia</v>
      </c>
      <c r="D35" s="21" t="str">
        <f aca="false">'Player Data'!C35</f>
        <v>Estonia Regional League</v>
      </c>
      <c r="E35" s="21" t="n">
        <f aca="false">'Player Data'!D35</f>
        <v>3</v>
      </c>
      <c r="F35" s="21" t="n">
        <f aca="false">'Player Data'!G35</f>
        <v>17</v>
      </c>
      <c r="G35" s="21" t="n">
        <f aca="false">'Player Data'!H35</f>
        <v>837</v>
      </c>
      <c r="H35" s="22" t="n">
        <f aca="false">IF(B35="GK",IFERROR(('Player Data'!N35-1.5*'Player Data'!O35)/'Player Data'!H35*90,0),IFERROR(('Player Data'!I35+'Player Data'!J35)/'Player Data'!H35*90,0))</f>
        <v>0.32258064516129</v>
      </c>
      <c r="I35" s="22" t="n">
        <f aca="false">IF(B35="GK",'Player Data'!P35,IFERROR(('Player Data'!K35+'Player Data'!L35)/'Player Data'!H35*90,0))</f>
        <v>9.67741935483871</v>
      </c>
      <c r="J35" s="22" t="n">
        <f aca="false">IF(B35="GK",IFERROR('Player Data'!Q35/'Player Data'!H35*90,0),IFERROR('Player Data'!M35/'Player Data'!H35*90,0))</f>
        <v>13.2258064516129</v>
      </c>
      <c r="K35" s="23" t="n">
        <f aca="false">'Player Data'!S35</f>
        <v>86727</v>
      </c>
      <c r="L35" s="22" t="n">
        <f aca="false">INDEX(Assumptions!$B$13:$B$15,MATCH(E35,Assumptions!$A$13:$A$15,0))</f>
        <v>0.85</v>
      </c>
      <c r="M35" s="24" t="n">
        <f aca="false">IFERROR(SUMPRODUCT(($B$2:$B$1001=B35)*($H$2:$H$1001&lt;=H35))/SUMPRODUCT(($B$2:$B$1001=B35)*1),0)</f>
        <v>0.80952380952381</v>
      </c>
      <c r="N35" s="24" t="n">
        <f aca="false">IFERROR(SUMPRODUCT(($B$2:$B$1001=B35)*($I$2:$I$1001&lt;=I35))/SUMPRODUCT(($B$2:$B$1001=B35)*1),0)</f>
        <v>0.976190476190476</v>
      </c>
      <c r="O35" s="24" t="n">
        <f aca="false">IFERROR(SUMPRODUCT(($B$2:$B$1001=B35)*($J$2:$J$1001&lt;=J35))/SUMPRODUCT(($B$2:$B$1001=B35)*1),0)</f>
        <v>0.989795918367347</v>
      </c>
      <c r="P35" s="24" t="n">
        <f aca="false">IFERROR(SUMPRODUCT(($B$2:$B$1001=B35)*((0-$F$2:$F$1001)&lt;=(0-F35)))/SUMPRODUCT(($B$2:$B$1001=B35)*1),0)</f>
        <v>1</v>
      </c>
      <c r="Q35" s="25" t="n">
        <f aca="false">(M35*Assumptions!$B$5+N35*Assumptions!$B$6+O35*Assumptions!$B$7+P35*Assumptions!$B$8)*L35</f>
        <v>0.800705782312925</v>
      </c>
      <c r="R35" s="24" t="n">
        <f aca="false">IFERROR(SUMPRODUCT(($B$2:$B$1001=B35)*($Q$2:$Q$1001&lt;=Q35))/SUMPRODUCT(($B$2:$B$1001=B35)*1),0)</f>
        <v>0.952380952380952</v>
      </c>
      <c r="S35" s="24" t="n">
        <f aca="false">IFERROR(SUMPRODUCT(($B$2:$B$1001=B35)*($K$2:$K$1001&lt;=K35))/SUMPRODUCT(($B$2:$B$1001=B35)*1),0)</f>
        <v>0.653061224489796</v>
      </c>
      <c r="T35" s="26" t="n">
        <f aca="false">(R35-S35)*100</f>
        <v>29.9319727891156</v>
      </c>
      <c r="U35" s="21" t="str">
        <f aca="false">'Player Data'!T35</f>
        <v>Yes</v>
      </c>
      <c r="V35" s="27" t="n">
        <f aca="false">'Player Data'!U35</f>
        <v>2029</v>
      </c>
      <c r="W35" s="21" t="str">
        <f aca="false">IF(AND(T35&gt;=Assumptions!$B$19,U35="No"),"High Priority - Unrepresented",IF(T35&gt;=Assumptions!$B$19,"High Priority",IF(AND(T35&gt;=Assumptions!$B$20,U35="No"),"Watchlist - Unrepresented",IF(T35&gt;=Assumptions!$B$20,"Watchlist",""))))</f>
        <v>Watchlist</v>
      </c>
      <c r="X35" s="21" t="str">
        <f aca="false">'Player Data'!V35</f>
        <v>info@narvarovers.ee</v>
      </c>
      <c r="Y35" s="28" t="str">
        <f aca="false">'Player Data'!W35</f>
        <v>Club youth/academy office ONLY - player is a minor, do not contact directly</v>
      </c>
      <c r="Z35" s="28" t="str">
        <f aca="false">'Player Data'!X35</f>
        <v>EJL (Estonian Football Association) player registry</v>
      </c>
      <c r="AA35" s="19" t="str">
        <f aca="false">HYPERLINK("https://www.transfermarkt.com/schnellsuche/ergebnis/schnellsuche?query="&amp;SUBSTITUTE(A35," ","+"),"Search Transfermarkt")</f>
        <v>Search Transfermarkt</v>
      </c>
      <c r="AB35" s="29" t="n">
        <f aca="false">IFERROR('Player Data'!K35/('Player Data'!K35+'Player Data'!L35),0)</f>
        <v>0.744444444444445</v>
      </c>
      <c r="AC35" s="21" t="str">
        <f aca="false">IF(B35="GK",IF(AND(O35&gt;=Assumptions!$B$23,N35&gt;=Assumptions!$B$23),"Sweeper-Keeper / Build-from-the-Back",IF(O35&gt;=Assumptions!$B$23,"Sweeper-Keeper / High Line",IF(M35&gt;=Assumptions!$B$23,"Shot-Stopper / Traditional","Flexible / Multi-System"))),IF(AND(O35&gt;=Assumptions!$B$23,P35&gt;=Assumptions!$B$24),"High Press / Gegenpressing",IF(AND(N35&gt;=Assumptions!$B$23,AB35&gt;=Assumptions!$B$25),"Possession / Build-from-the-Back",IF(N35&gt;=Assumptions!$B$23,"Counter-Attack / Transition",IF(AND(O35&gt;=Assumptions!$B$23,N35&lt;Assumptions!$B$26),"Low Block / Park the Bus",IF(AND(B35="FW",M35&gt;=Assumptions!$B$23,N35&lt;Assumptions!$B$26),"Direct / Target Approach","Flexible / Multi-System"))))))</f>
        <v>High Press / Gegenpressing</v>
      </c>
      <c r="AD35" s="21" t="str">
        <f aca="false">'Player Data'!Y35</f>
        <v>2026-07-14</v>
      </c>
      <c r="AE35" s="21" t="str">
        <f aca="false">'Player Data'!Z35</f>
        <v>2026-07-15</v>
      </c>
      <c r="AF35" s="28" t="str">
        <f aca="false">IFERROR(INDEX(Assumptions!$B$30:$B$61,MATCH(C35,Assumptions!$A$30:$A$61,0)),"--")</f>
        <v>Poland, Norway</v>
      </c>
      <c r="AG35" s="30" t="str">
        <f aca="false">IF(R35&gt;=0.7,"Step-Up Candidate",IF(R35&gt;=0.4,"Lateral Move","Stay &amp; Develop"))</f>
        <v>Step-Up Candidate</v>
      </c>
    </row>
    <row r="36" customFormat="false" ht="23.85" hidden="false" customHeight="false" outlineLevel="0" collapsed="false">
      <c r="A36" s="21" t="str">
        <f aca="false">'Player Data'!A36</f>
        <v>Bryan Quinonez</v>
      </c>
      <c r="B36" s="21" t="str">
        <f aca="false">'Player Data'!F36</f>
        <v>MF</v>
      </c>
      <c r="C36" s="21" t="str">
        <f aca="false">'Player Data'!B36</f>
        <v>Ecuador</v>
      </c>
      <c r="D36" s="21" t="str">
        <f aca="false">'Player Data'!C36</f>
        <v>Ecuador Third Tier - South</v>
      </c>
      <c r="E36" s="21" t="n">
        <f aca="false">'Player Data'!D36</f>
        <v>3</v>
      </c>
      <c r="F36" s="21" t="n">
        <f aca="false">'Player Data'!G36</f>
        <v>21</v>
      </c>
      <c r="G36" s="21" t="n">
        <f aca="false">'Player Data'!H36</f>
        <v>1948</v>
      </c>
      <c r="H36" s="22" t="n">
        <f aca="false">IF(B36="GK",IFERROR(('Player Data'!N36-1.5*'Player Data'!O36)/'Player Data'!H36*90,0),IFERROR(('Player Data'!I36+'Player Data'!J36)/'Player Data'!H36*90,0))</f>
        <v>0.415811088295688</v>
      </c>
      <c r="I36" s="22" t="n">
        <f aca="false">IF(B36="GK",'Player Data'!P36,IFERROR(('Player Data'!K36+'Player Data'!L36)/'Player Data'!H36*90,0))</f>
        <v>11.2268993839836</v>
      </c>
      <c r="J36" s="22" t="n">
        <f aca="false">IF(B36="GK",IFERROR('Player Data'!Q36/'Player Data'!H36*90,0),IFERROR('Player Data'!M36/'Player Data'!H36*90,0))</f>
        <v>1.98665297741273</v>
      </c>
      <c r="K36" s="23" t="n">
        <f aca="false">'Player Data'!S36</f>
        <v>136665</v>
      </c>
      <c r="L36" s="22" t="n">
        <f aca="false">INDEX(Assumptions!$B$13:$B$15,MATCH(E36,Assumptions!$A$13:$A$15,0))</f>
        <v>0.85</v>
      </c>
      <c r="M36" s="24" t="n">
        <f aca="false">IFERROR(SUMPRODUCT(($B$2:$B$1001=B36)*($H$2:$H$1001&lt;=H36))/SUMPRODUCT(($B$2:$B$1001=B36)*1),0)</f>
        <v>0.114478114478114</v>
      </c>
      <c r="N36" s="24" t="n">
        <f aca="false">IFERROR(SUMPRODUCT(($B$2:$B$1001=B36)*($I$2:$I$1001&lt;=I36))/SUMPRODUCT(($B$2:$B$1001=B36)*1),0)</f>
        <v>0.521885521885522</v>
      </c>
      <c r="O36" s="24" t="n">
        <f aca="false">IFERROR(SUMPRODUCT(($B$2:$B$1001=B36)*($J$2:$J$1001&lt;=J36))/SUMPRODUCT(($B$2:$B$1001=B36)*1),0)</f>
        <v>0.404040404040404</v>
      </c>
      <c r="P36" s="24" t="n">
        <f aca="false">IFERROR(SUMPRODUCT(($B$2:$B$1001=B36)*((0-$F$2:$F$1001)&lt;=(0-F36)))/SUMPRODUCT(($B$2:$B$1001=B36)*1),0)</f>
        <v>0.61952861952862</v>
      </c>
      <c r="Q36" s="25" t="n">
        <f aca="false">(M36*Assumptions!$B$5+N36*Assumptions!$B$6+O36*Assumptions!$B$7+P36*Assumptions!$B$8)*L36</f>
        <v>0.353594276094276</v>
      </c>
      <c r="R36" s="24" t="n">
        <f aca="false">IFERROR(SUMPRODUCT(($B$2:$B$1001=B36)*($Q$2:$Q$1001&lt;=Q36))/SUMPRODUCT(($B$2:$B$1001=B36)*1),0)</f>
        <v>0.333333333333333</v>
      </c>
      <c r="S36" s="24" t="n">
        <f aca="false">IFERROR(SUMPRODUCT(($B$2:$B$1001=B36)*($K$2:$K$1001&lt;=K36))/SUMPRODUCT(($B$2:$B$1001=B36)*1),0)</f>
        <v>0.952861952861953</v>
      </c>
      <c r="T36" s="26" t="n">
        <f aca="false">(R36-S36)*100</f>
        <v>-61.952861952862</v>
      </c>
      <c r="U36" s="21" t="str">
        <f aca="false">'Player Data'!T36</f>
        <v>No</v>
      </c>
      <c r="V36" s="27" t="n">
        <f aca="false">'Player Data'!U36</f>
        <v>2026</v>
      </c>
      <c r="W36" s="21" t="str">
        <f aca="false">IF(AND(T36&gt;=Assumptions!$B$19,U36="No"),"High Priority - Unrepresented",IF(T36&gt;=Assumptions!$B$19,"High Priority",IF(AND(T36&gt;=Assumptions!$B$20,U36="No"),"Watchlist - Unrepresented",IF(T36&gt;=Assumptions!$B$20,"Watchlist",""))))</f>
        <v/>
      </c>
      <c r="X36" s="21" t="str">
        <f aca="false">'Player Data'!V36</f>
        <v>info@mantatown.ec</v>
      </c>
      <c r="Y36" s="28" t="str">
        <f aca="false">'Player Data'!W36</f>
        <v>Club sporting director / first-team office</v>
      </c>
      <c r="Z36" s="28" t="str">
        <f aca="false">'Player Data'!X36</f>
        <v>FEF (Ecuadorian Football Federation) player registry</v>
      </c>
      <c r="AA36" s="19" t="str">
        <f aca="false">HYPERLINK("https://www.transfermarkt.com/schnellsuche/ergebnis/schnellsuche?query="&amp;SUBSTITUTE(A36," ","+"),"Search Transfermarkt")</f>
        <v>Search Transfermarkt</v>
      </c>
      <c r="AB36" s="29" t="n">
        <f aca="false">IFERROR('Player Data'!K36/('Player Data'!K36+'Player Data'!L36),0)</f>
        <v>0.580246913580247</v>
      </c>
      <c r="AC36" s="21" t="str">
        <f aca="false">IF(B36="GK",IF(AND(O36&gt;=Assumptions!$B$23,N36&gt;=Assumptions!$B$23),"Sweeper-Keeper / Build-from-the-Back",IF(O36&gt;=Assumptions!$B$23,"Sweeper-Keeper / High Line",IF(M36&gt;=Assumptions!$B$23,"Shot-Stopper / Traditional","Flexible / Multi-System"))),IF(AND(O36&gt;=Assumptions!$B$23,P36&gt;=Assumptions!$B$24),"High Press / Gegenpressing",IF(AND(N36&gt;=Assumptions!$B$23,AB36&gt;=Assumptions!$B$25),"Possession / Build-from-the-Back",IF(N36&gt;=Assumptions!$B$23,"Counter-Attack / Transition",IF(AND(O36&gt;=Assumptions!$B$23,N36&lt;Assumptions!$B$26),"Low Block / Park the Bus",IF(AND(B36="FW",M36&gt;=Assumptions!$B$23,N36&lt;Assumptions!$B$26),"Direct / Target Approach","Flexible / Multi-System"))))))</f>
        <v>Flexible / Multi-System</v>
      </c>
      <c r="AD36" s="21" t="str">
        <f aca="false">'Player Data'!Y36</f>
        <v>2026-07-14</v>
      </c>
      <c r="AE36" s="21" t="str">
        <f aca="false">'Player Data'!Z36</f>
        <v>2026-07-15</v>
      </c>
      <c r="AF36" s="28" t="str">
        <f aca="false">IFERROR(INDEX(Assumptions!$B$30:$B$61,MATCH(C36,Assumptions!$A$30:$A$61,0)),"--")</f>
        <v>Argentina, Portugal</v>
      </c>
      <c r="AG36" s="30" t="str">
        <f aca="false">IF(R36&gt;=0.7,"Step-Up Candidate",IF(R36&gt;=0.4,"Lateral Move","Stay &amp; Develop"))</f>
        <v>Stay &amp; Develop</v>
      </c>
    </row>
    <row r="37" customFormat="false" ht="23.85" hidden="false" customHeight="false" outlineLevel="0" collapsed="false">
      <c r="A37" s="21" t="str">
        <f aca="false">'Player Data'!A37</f>
        <v>Luka Lomidze</v>
      </c>
      <c r="B37" s="21" t="str">
        <f aca="false">'Player Data'!F37</f>
        <v>GK</v>
      </c>
      <c r="C37" s="21" t="str">
        <f aca="false">'Player Data'!B37</f>
        <v>Georgia</v>
      </c>
      <c r="D37" s="21" t="str">
        <f aca="false">'Player Data'!C37</f>
        <v>Georgia Second Division - West</v>
      </c>
      <c r="E37" s="21" t="n">
        <f aca="false">'Player Data'!D37</f>
        <v>3</v>
      </c>
      <c r="F37" s="21" t="n">
        <f aca="false">'Player Data'!G37</f>
        <v>22</v>
      </c>
      <c r="G37" s="21" t="n">
        <f aca="false">'Player Data'!H37</f>
        <v>2457</v>
      </c>
      <c r="H37" s="22" t="n">
        <f aca="false">IF(B37="GK",IFERROR(('Player Data'!N37-1.5*'Player Data'!O37)/'Player Data'!H37*90,0),IFERROR(('Player Data'!I37+'Player Data'!J37)/'Player Data'!H37*90,0))</f>
        <v>1.52014652014652</v>
      </c>
      <c r="I37" s="22" t="n">
        <f aca="false">IF(B37="GK",'Player Data'!P37,IFERROR(('Player Data'!K37+'Player Data'!L37)/'Player Data'!H37*90,0))</f>
        <v>58.8</v>
      </c>
      <c r="J37" s="22" t="n">
        <f aca="false">IF(B37="GK",IFERROR('Player Data'!Q37/'Player Data'!H37*90,0),IFERROR('Player Data'!M37/'Player Data'!H37*90,0))</f>
        <v>0.824175824175824</v>
      </c>
      <c r="K37" s="23" t="n">
        <f aca="false">'Player Data'!S37</f>
        <v>0</v>
      </c>
      <c r="L37" s="22" t="n">
        <f aca="false">INDEX(Assumptions!$B$13:$B$15,MATCH(E37,Assumptions!$A$13:$A$15,0))</f>
        <v>0.85</v>
      </c>
      <c r="M37" s="24" t="n">
        <f aca="false">IFERROR(SUMPRODUCT(($B$2:$B$1001=B37)*($H$2:$H$1001&lt;=H37))/SUMPRODUCT(($B$2:$B$1001=B37)*1),0)</f>
        <v>0.710382513661202</v>
      </c>
      <c r="N37" s="24" t="n">
        <f aca="false">IFERROR(SUMPRODUCT(($B$2:$B$1001=B37)*($I$2:$I$1001&lt;=I37))/SUMPRODUCT(($B$2:$B$1001=B37)*1),0)</f>
        <v>0.114754098360656</v>
      </c>
      <c r="O37" s="24" t="n">
        <f aca="false">IFERROR(SUMPRODUCT(($B$2:$B$1001=B37)*($J$2:$J$1001&lt;=J37))/SUMPRODUCT(($B$2:$B$1001=B37)*1),0)</f>
        <v>0.46448087431694</v>
      </c>
      <c r="P37" s="24" t="n">
        <f aca="false">IFERROR(SUMPRODUCT(($B$2:$B$1001=B37)*((0-$F$2:$F$1001)&lt;=(0-F37)))/SUMPRODUCT(($B$2:$B$1001=B37)*1),0)</f>
        <v>0.530054644808743</v>
      </c>
      <c r="Q37" s="25" t="n">
        <f aca="false">(M37*Assumptions!$B$5+N37*Assumptions!$B$6+O37*Assumptions!$B$7+P37*Assumptions!$B$8)*L37</f>
        <v>0.354166666666667</v>
      </c>
      <c r="R37" s="24" t="n">
        <f aca="false">IFERROR(SUMPRODUCT(($B$2:$B$1001=B37)*($Q$2:$Q$1001&lt;=Q37))/SUMPRODUCT(($B$2:$B$1001=B37)*1),0)</f>
        <v>0.245901639344262</v>
      </c>
      <c r="S37" s="24" t="n">
        <f aca="false">IFERROR(SUMPRODUCT(($B$2:$B$1001=B37)*($K$2:$K$1001&lt;=K37))/SUMPRODUCT(($B$2:$B$1001=B37)*1),0)</f>
        <v>0.218579234972678</v>
      </c>
      <c r="T37" s="26" t="n">
        <f aca="false">(R37-S37)*100</f>
        <v>2.73224043715847</v>
      </c>
      <c r="U37" s="21" t="str">
        <f aca="false">'Player Data'!T37</f>
        <v>No</v>
      </c>
      <c r="V37" s="27" t="n">
        <f aca="false">'Player Data'!U37</f>
        <v>2026</v>
      </c>
      <c r="W37" s="21" t="str">
        <f aca="false">IF(AND(T37&gt;=Assumptions!$B$19,U37="No"),"High Priority - Unrepresented",IF(T37&gt;=Assumptions!$B$19,"High Priority",IF(AND(T37&gt;=Assumptions!$B$20,U37="No"),"Watchlist - Unrepresented",IF(T37&gt;=Assumptions!$B$20,"Watchlist",""))))</f>
        <v/>
      </c>
      <c r="X37" s="21" t="str">
        <f aca="false">'Player Data'!V37</f>
        <v>info@rustavicity.ge</v>
      </c>
      <c r="Y37" s="28" t="str">
        <f aca="false">'Player Data'!W37</f>
        <v>Club sporting director / first-team office</v>
      </c>
      <c r="Z37" s="28" t="str">
        <f aca="false">'Player Data'!X37</f>
        <v>GFF (Georgian Football Federation) player registry</v>
      </c>
      <c r="AA37" s="19" t="str">
        <f aca="false">HYPERLINK("https://www.transfermarkt.com/schnellsuche/ergebnis/schnellsuche?query="&amp;SUBSTITUTE(A37," ","+"),"Search Transfermarkt")</f>
        <v>Search Transfermarkt</v>
      </c>
      <c r="AB37" s="29" t="n">
        <f aca="false">IFERROR('Player Data'!K37/('Player Data'!K37+'Player Data'!L37),0)</f>
        <v>0.705882352941177</v>
      </c>
      <c r="AC37" s="21" t="str">
        <f aca="false">IF(B37="GK",IF(AND(O37&gt;=Assumptions!$B$23,N37&gt;=Assumptions!$B$23),"Sweeper-Keeper / Build-from-the-Back",IF(O37&gt;=Assumptions!$B$23,"Sweeper-Keeper / High Line",IF(M37&gt;=Assumptions!$B$23,"Shot-Stopper / Traditional","Flexible / Multi-System"))),IF(AND(O37&gt;=Assumptions!$B$23,P37&gt;=Assumptions!$B$24),"High Press / Gegenpressing",IF(AND(N37&gt;=Assumptions!$B$23,AB37&gt;=Assumptions!$B$25),"Possession / Build-from-the-Back",IF(N37&gt;=Assumptions!$B$23,"Counter-Attack / Transition",IF(AND(O37&gt;=Assumptions!$B$23,N37&lt;Assumptions!$B$26),"Low Block / Park the Bus",IF(AND(B37="FW",M37&gt;=Assumptions!$B$23,N37&lt;Assumptions!$B$26),"Direct / Target Approach","Flexible / Multi-System"))))))</f>
        <v>Shot-Stopper / Traditional</v>
      </c>
      <c r="AD37" s="21" t="str">
        <f aca="false">'Player Data'!Y37</f>
        <v>2026-07-14</v>
      </c>
      <c r="AE37" s="21" t="str">
        <f aca="false">'Player Data'!Z37</f>
        <v>2026-07-15</v>
      </c>
      <c r="AF37" s="28" t="str">
        <f aca="false">IFERROR(INDEX(Assumptions!$B$30:$B$61,MATCH(C37,Assumptions!$A$30:$A$61,0)),"--")</f>
        <v>Turkey, Poland</v>
      </c>
      <c r="AG37" s="30" t="str">
        <f aca="false">IF(R37&gt;=0.7,"Step-Up Candidate",IF(R37&gt;=0.4,"Lateral Move","Stay &amp; Develop"))</f>
        <v>Stay &amp; Develop</v>
      </c>
    </row>
    <row r="38" customFormat="false" ht="23.85" hidden="false" customHeight="false" outlineLevel="0" collapsed="false">
      <c r="A38" s="21" t="str">
        <f aca="false">'Player Data'!A38</f>
        <v>Seo-jun Kim</v>
      </c>
      <c r="B38" s="21" t="str">
        <f aca="false">'Player Data'!F38</f>
        <v>DF</v>
      </c>
      <c r="C38" s="21" t="str">
        <f aca="false">'Player Data'!B38</f>
        <v>South Korea</v>
      </c>
      <c r="D38" s="21" t="str">
        <f aca="false">'Player Data'!C38</f>
        <v>South Korea Regional League</v>
      </c>
      <c r="E38" s="21" t="n">
        <f aca="false">'Player Data'!D38</f>
        <v>3</v>
      </c>
      <c r="F38" s="21" t="n">
        <f aca="false">'Player Data'!G38</f>
        <v>20</v>
      </c>
      <c r="G38" s="21" t="n">
        <f aca="false">'Player Data'!H38</f>
        <v>887</v>
      </c>
      <c r="H38" s="22" t="n">
        <f aca="false">IF(B38="GK",IFERROR(('Player Data'!N38-1.5*'Player Data'!O38)/'Player Data'!H38*90,0),IFERROR(('Player Data'!I38+'Player Data'!J38)/'Player Data'!H38*90,0))</f>
        <v>0.304396843291995</v>
      </c>
      <c r="I38" s="22" t="n">
        <f aca="false">IF(B38="GK",'Player Data'!P38,IFERROR(('Player Data'!K38+'Player Data'!L38)/'Player Data'!H38*90,0))</f>
        <v>7.0011273957159</v>
      </c>
      <c r="J38" s="22" t="n">
        <f aca="false">IF(B38="GK",IFERROR('Player Data'!Q38/'Player Data'!H38*90,0),IFERROR('Player Data'!M38/'Player Data'!H38*90,0))</f>
        <v>13.2919954904171</v>
      </c>
      <c r="K38" s="23" t="n">
        <f aca="false">'Player Data'!S38</f>
        <v>132845</v>
      </c>
      <c r="L38" s="22" t="n">
        <f aca="false">INDEX(Assumptions!$B$13:$B$15,MATCH(E38,Assumptions!$A$13:$A$15,0))</f>
        <v>0.85</v>
      </c>
      <c r="M38" s="24" t="n">
        <f aca="false">IFERROR(SUMPRODUCT(($B$2:$B$1001=B38)*($H$2:$H$1001&lt;=H38))/SUMPRODUCT(($B$2:$B$1001=B38)*1),0)</f>
        <v>0.782312925170068</v>
      </c>
      <c r="N38" s="24" t="n">
        <f aca="false">IFERROR(SUMPRODUCT(($B$2:$B$1001=B38)*($I$2:$I$1001&lt;=I38))/SUMPRODUCT(($B$2:$B$1001=B38)*1),0)</f>
        <v>0.826530612244898</v>
      </c>
      <c r="O38" s="24" t="n">
        <f aca="false">IFERROR(SUMPRODUCT(($B$2:$B$1001=B38)*($J$2:$J$1001&lt;=J38))/SUMPRODUCT(($B$2:$B$1001=B38)*1),0)</f>
        <v>0.993197278911565</v>
      </c>
      <c r="P38" s="24" t="n">
        <f aca="false">IFERROR(SUMPRODUCT(($B$2:$B$1001=B38)*((0-$F$2:$F$1001)&lt;=(0-F38)))/SUMPRODUCT(($B$2:$B$1001=B38)*1),0)</f>
        <v>0.656462585034014</v>
      </c>
      <c r="Q38" s="25" t="n">
        <f aca="false">(M38*Assumptions!$B$5+N38*Assumptions!$B$6+O38*Assumptions!$B$7+P38*Assumptions!$B$8)*L38</f>
        <v>0.692576530612245</v>
      </c>
      <c r="R38" s="24" t="n">
        <f aca="false">IFERROR(SUMPRODUCT(($B$2:$B$1001=B38)*($Q$2:$Q$1001&lt;=Q38))/SUMPRODUCT(($B$2:$B$1001=B38)*1),0)</f>
        <v>0.874149659863946</v>
      </c>
      <c r="S38" s="24" t="n">
        <f aca="false">IFERROR(SUMPRODUCT(($B$2:$B$1001=B38)*($K$2:$K$1001&lt;=K38))/SUMPRODUCT(($B$2:$B$1001=B38)*1),0)</f>
        <v>0.918367346938776</v>
      </c>
      <c r="T38" s="26" t="n">
        <f aca="false">(R38-S38)*100</f>
        <v>-4.421768707483</v>
      </c>
      <c r="U38" s="21" t="str">
        <f aca="false">'Player Data'!T38</f>
        <v>No</v>
      </c>
      <c r="V38" s="27" t="n">
        <f aca="false">'Player Data'!U38</f>
        <v>2028</v>
      </c>
      <c r="W38" s="21" t="str">
        <f aca="false">IF(AND(T38&gt;=Assumptions!$B$19,U38="No"),"High Priority - Unrepresented",IF(T38&gt;=Assumptions!$B$19,"High Priority",IF(AND(T38&gt;=Assumptions!$B$20,U38="No"),"Watchlist - Unrepresented",IF(T38&gt;=Assumptions!$B$20,"Watchlist",""))))</f>
        <v/>
      </c>
      <c r="X38" s="21" t="str">
        <f aca="false">'Player Data'!V38</f>
        <v>info@daejeontown.kr</v>
      </c>
      <c r="Y38" s="28" t="str">
        <f aca="false">'Player Data'!W38</f>
        <v>Club sporting director / first-team office</v>
      </c>
      <c r="Z38" s="28" t="str">
        <f aca="false">'Player Data'!X38</f>
        <v>KFA (Korea Football Association) player registry</v>
      </c>
      <c r="AA38" s="19" t="str">
        <f aca="false">HYPERLINK("https://www.transfermarkt.com/schnellsuche/ergebnis/schnellsuche?query="&amp;SUBSTITUTE(A38," ","+"),"Search Transfermarkt")</f>
        <v>Search Transfermarkt</v>
      </c>
      <c r="AB38" s="29" t="n">
        <f aca="false">IFERROR('Player Data'!K38/('Player Data'!K38+'Player Data'!L38),0)</f>
        <v>0.63768115942029</v>
      </c>
      <c r="AC38" s="21" t="str">
        <f aca="false">IF(B38="GK",IF(AND(O38&gt;=Assumptions!$B$23,N38&gt;=Assumptions!$B$23),"Sweeper-Keeper / Build-from-the-Back",IF(O38&gt;=Assumptions!$B$23,"Sweeper-Keeper / High Line",IF(M38&gt;=Assumptions!$B$23,"Shot-Stopper / Traditional","Flexible / Multi-System"))),IF(AND(O38&gt;=Assumptions!$B$23,P38&gt;=Assumptions!$B$24),"High Press / Gegenpressing",IF(AND(N38&gt;=Assumptions!$B$23,AB38&gt;=Assumptions!$B$25),"Possession / Build-from-the-Back",IF(N38&gt;=Assumptions!$B$23,"Counter-Attack / Transition",IF(AND(O38&gt;=Assumptions!$B$23,N38&lt;Assumptions!$B$26),"Low Block / Park the Bus",IF(AND(B38="FW",M38&gt;=Assumptions!$B$23,N38&lt;Assumptions!$B$26),"Direct / Target Approach","Flexible / Multi-System"))))))</f>
        <v>High Press / Gegenpressing</v>
      </c>
      <c r="AD38" s="21" t="str">
        <f aca="false">'Player Data'!Y38</f>
        <v>2026-07-14</v>
      </c>
      <c r="AE38" s="21" t="str">
        <f aca="false">'Player Data'!Z38</f>
        <v>2026-07-15</v>
      </c>
      <c r="AF38" s="28" t="str">
        <f aca="false">IFERROR(INDEX(Assumptions!$B$30:$B$61,MATCH(C38,Assumptions!$A$30:$A$61,0)),"--")</f>
        <v>Belgium, Saudi Arabia</v>
      </c>
      <c r="AG38" s="30" t="str">
        <f aca="false">IF(R38&gt;=0.7,"Step-Up Candidate",IF(R38&gt;=0.4,"Lateral Move","Stay &amp; Develop"))</f>
        <v>Step-Up Candidate</v>
      </c>
    </row>
    <row r="39" customFormat="false" ht="23.85" hidden="false" customHeight="false" outlineLevel="0" collapsed="false">
      <c r="A39" s="21" t="str">
        <f aca="false">'Player Data'!A39</f>
        <v>Marlon Bailey</v>
      </c>
      <c r="B39" s="21" t="str">
        <f aca="false">'Player Data'!F39</f>
        <v>DF</v>
      </c>
      <c r="C39" s="21" t="str">
        <f aca="false">'Player Data'!B39</f>
        <v>Jamaica</v>
      </c>
      <c r="D39" s="21" t="str">
        <f aca="false">'Player Data'!C39</f>
        <v>Jamaica Second Division - East</v>
      </c>
      <c r="E39" s="21" t="n">
        <f aca="false">'Player Data'!D39</f>
        <v>3</v>
      </c>
      <c r="F39" s="21" t="n">
        <f aca="false">'Player Data'!G39</f>
        <v>18</v>
      </c>
      <c r="G39" s="21" t="n">
        <f aca="false">'Player Data'!H39</f>
        <v>1538</v>
      </c>
      <c r="H39" s="22" t="n">
        <f aca="false">IF(B39="GK",IFERROR(('Player Data'!N39-1.5*'Player Data'!O39)/'Player Data'!H39*90,0),IFERROR(('Player Data'!I39+'Player Data'!J39)/'Player Data'!H39*90,0))</f>
        <v>0.23407022106632</v>
      </c>
      <c r="I39" s="22" t="n">
        <f aca="false">IF(B39="GK",'Player Data'!P39,IFERROR(('Player Data'!K39+'Player Data'!L39)/'Player Data'!H39*90,0))</f>
        <v>6.31989596879064</v>
      </c>
      <c r="J39" s="22" t="n">
        <f aca="false">IF(B39="GK",IFERROR('Player Data'!Q39/'Player Data'!H39*90,0),IFERROR('Player Data'!M39/'Player Data'!H39*90,0))</f>
        <v>7.3146944083225</v>
      </c>
      <c r="K39" s="23" t="n">
        <f aca="false">'Player Data'!S39</f>
        <v>0</v>
      </c>
      <c r="L39" s="22" t="n">
        <f aca="false">INDEX(Assumptions!$B$13:$B$15,MATCH(E39,Assumptions!$A$13:$A$15,0))</f>
        <v>0.85</v>
      </c>
      <c r="M39" s="24" t="n">
        <f aca="false">IFERROR(SUMPRODUCT(($B$2:$B$1001=B39)*($H$2:$H$1001&lt;=H39))/SUMPRODUCT(($B$2:$B$1001=B39)*1),0)</f>
        <v>0.619047619047619</v>
      </c>
      <c r="N39" s="24" t="n">
        <f aca="false">IFERROR(SUMPRODUCT(($B$2:$B$1001=B39)*($I$2:$I$1001&lt;=I39))/SUMPRODUCT(($B$2:$B$1001=B39)*1),0)</f>
        <v>0.768707482993197</v>
      </c>
      <c r="O39" s="24" t="n">
        <f aca="false">IFERROR(SUMPRODUCT(($B$2:$B$1001=B39)*($J$2:$J$1001&lt;=J39))/SUMPRODUCT(($B$2:$B$1001=B39)*1),0)</f>
        <v>0.77891156462585</v>
      </c>
      <c r="P39" s="24" t="n">
        <f aca="false">IFERROR(SUMPRODUCT(($B$2:$B$1001=B39)*((0-$F$2:$F$1001)&lt;=(0-F39)))/SUMPRODUCT(($B$2:$B$1001=B39)*1),0)</f>
        <v>0.863945578231293</v>
      </c>
      <c r="Q39" s="25" t="n">
        <f aca="false">(M39*Assumptions!$B$5+N39*Assumptions!$B$6+O39*Assumptions!$B$7+P39*Assumptions!$B$8)*L39</f>
        <v>0.63952380952381</v>
      </c>
      <c r="R39" s="24" t="n">
        <f aca="false">IFERROR(SUMPRODUCT(($B$2:$B$1001=B39)*($Q$2:$Q$1001&lt;=Q39))/SUMPRODUCT(($B$2:$B$1001=B39)*1),0)</f>
        <v>0.80952380952381</v>
      </c>
      <c r="S39" s="24" t="n">
        <f aca="false">IFERROR(SUMPRODUCT(($B$2:$B$1001=B39)*($K$2:$K$1001&lt;=K39))/SUMPRODUCT(($B$2:$B$1001=B39)*1),0)</f>
        <v>0.248299319727891</v>
      </c>
      <c r="T39" s="26" t="n">
        <f aca="false">(R39-S39)*100</f>
        <v>56.1224489795918</v>
      </c>
      <c r="U39" s="21" t="str">
        <f aca="false">'Player Data'!T39</f>
        <v>No</v>
      </c>
      <c r="V39" s="27" t="n">
        <f aca="false">'Player Data'!U39</f>
        <v>2028</v>
      </c>
      <c r="W39" s="21" t="str">
        <f aca="false">IF(AND(T39&gt;=Assumptions!$B$19,U39="No"),"High Priority - Unrepresented",IF(T39&gt;=Assumptions!$B$19,"High Priority",IF(AND(T39&gt;=Assumptions!$B$20,U39="No"),"Watchlist - Unrepresented",IF(T39&gt;=Assumptions!$B$20,"Watchlist",""))))</f>
        <v>High Priority - Unrepresented</v>
      </c>
      <c r="X39" s="21" t="str">
        <f aca="false">'Player Data'!V39</f>
        <v>info@kingstonwanderers.jm</v>
      </c>
      <c r="Y39" s="28" t="str">
        <f aca="false">'Player Data'!W39</f>
        <v>Club sporting director / first-team office</v>
      </c>
      <c r="Z39" s="28" t="str">
        <f aca="false">'Player Data'!X39</f>
        <v>JFF (Jamaica Football Federation) player registry</v>
      </c>
      <c r="AA39" s="19" t="str">
        <f aca="false">HYPERLINK("https://www.transfermarkt.com/schnellsuche/ergebnis/schnellsuche?query="&amp;SUBSTITUTE(A39," ","+"),"Search Transfermarkt")</f>
        <v>Search Transfermarkt</v>
      </c>
      <c r="AB39" s="29" t="n">
        <f aca="false">IFERROR('Player Data'!K39/('Player Data'!K39+'Player Data'!L39),0)</f>
        <v>0.666666666666667</v>
      </c>
      <c r="AC39" s="21" t="str">
        <f aca="false">IF(B39="GK",IF(AND(O39&gt;=Assumptions!$B$23,N39&gt;=Assumptions!$B$23),"Sweeper-Keeper / Build-from-the-Back",IF(O39&gt;=Assumptions!$B$23,"Sweeper-Keeper / High Line",IF(M39&gt;=Assumptions!$B$23,"Shot-Stopper / Traditional","Flexible / Multi-System"))),IF(AND(O39&gt;=Assumptions!$B$23,P39&gt;=Assumptions!$B$24),"High Press / Gegenpressing",IF(AND(N39&gt;=Assumptions!$B$23,AB39&gt;=Assumptions!$B$25),"Possession / Build-from-the-Back",IF(N39&gt;=Assumptions!$B$23,"Counter-Attack / Transition",IF(AND(O39&gt;=Assumptions!$B$23,N39&lt;Assumptions!$B$26),"Low Block / Park the Bus",IF(AND(B39="FW",M39&gt;=Assumptions!$B$23,N39&lt;Assumptions!$B$26),"Direct / Target Approach","Flexible / Multi-System"))))))</f>
        <v>High Press / Gegenpressing</v>
      </c>
      <c r="AD39" s="21" t="str">
        <f aca="false">'Player Data'!Y39</f>
        <v>2026-07-14</v>
      </c>
      <c r="AE39" s="21" t="str">
        <f aca="false">'Player Data'!Z39</f>
        <v>2026-07-15</v>
      </c>
      <c r="AF39" s="28" t="str">
        <f aca="false">IFERROR(INDEX(Assumptions!$B$30:$B$61,MATCH(C39,Assumptions!$A$30:$A$61,0)),"--")</f>
        <v>United States, Mexico</v>
      </c>
      <c r="AG39" s="30" t="str">
        <f aca="false">IF(R39&gt;=0.7,"Step-Up Candidate",IF(R39&gt;=0.4,"Lateral Move","Stay &amp; Develop"))</f>
        <v>Step-Up Candidate</v>
      </c>
    </row>
    <row r="40" customFormat="false" ht="23.85" hidden="false" customHeight="false" outlineLevel="0" collapsed="false">
      <c r="A40" s="21" t="str">
        <f aca="false">'Player Data'!A40</f>
        <v>Sekou Keita</v>
      </c>
      <c r="B40" s="21" t="str">
        <f aca="false">'Player Data'!F40</f>
        <v>GK</v>
      </c>
      <c r="C40" s="21" t="str">
        <f aca="false">'Player Data'!B40</f>
        <v>Mali</v>
      </c>
      <c r="D40" s="21" t="str">
        <f aca="false">'Player Data'!C40</f>
        <v>Mali Provincial League</v>
      </c>
      <c r="E40" s="21" t="n">
        <f aca="false">'Player Data'!D40</f>
        <v>3</v>
      </c>
      <c r="F40" s="21" t="n">
        <f aca="false">'Player Data'!G40</f>
        <v>23</v>
      </c>
      <c r="G40" s="21" t="n">
        <f aca="false">'Player Data'!H40</f>
        <v>2069</v>
      </c>
      <c r="H40" s="22" t="n">
        <f aca="false">IF(B40="GK",IFERROR(('Player Data'!N40-1.5*'Player Data'!O40)/'Player Data'!H40*90,0),IFERROR(('Player Data'!I40+'Player Data'!J40)/'Player Data'!H40*90,0))</f>
        <v>0.97873368777187</v>
      </c>
      <c r="I40" s="22" t="n">
        <f aca="false">IF(B40="GK",'Player Data'!P40,IFERROR(('Player Data'!K40+'Player Data'!L40)/'Player Data'!H40*90,0))</f>
        <v>57.7</v>
      </c>
      <c r="J40" s="22" t="n">
        <f aca="false">IF(B40="GK",IFERROR('Player Data'!Q40/'Player Data'!H40*90,0),IFERROR('Player Data'!M40/'Player Data'!H40*90,0))</f>
        <v>0.230546157564041</v>
      </c>
      <c r="K40" s="23" t="n">
        <f aca="false">'Player Data'!S40</f>
        <v>0</v>
      </c>
      <c r="L40" s="22" t="n">
        <f aca="false">INDEX(Assumptions!$B$13:$B$15,MATCH(E40,Assumptions!$A$13:$A$15,0))</f>
        <v>0.85</v>
      </c>
      <c r="M40" s="24" t="n">
        <f aca="false">IFERROR(SUMPRODUCT(($B$2:$B$1001=B40)*($H$2:$H$1001&lt;=H40))/SUMPRODUCT(($B$2:$B$1001=B40)*1),0)</f>
        <v>0.420765027322404</v>
      </c>
      <c r="N40" s="24" t="n">
        <f aca="false">IFERROR(SUMPRODUCT(($B$2:$B$1001=B40)*($I$2:$I$1001&lt;=I40))/SUMPRODUCT(($B$2:$B$1001=B40)*1),0)</f>
        <v>0.0655737704918033</v>
      </c>
      <c r="O40" s="24" t="n">
        <f aca="false">IFERROR(SUMPRODUCT(($B$2:$B$1001=B40)*($J$2:$J$1001&lt;=J40))/SUMPRODUCT(($B$2:$B$1001=B40)*1),0)</f>
        <v>0.0819672131147541</v>
      </c>
      <c r="P40" s="24" t="n">
        <f aca="false">IFERROR(SUMPRODUCT(($B$2:$B$1001=B40)*((0-$F$2:$F$1001)&lt;=(0-F40)))/SUMPRODUCT(($B$2:$B$1001=B40)*1),0)</f>
        <v>0.431693989071038</v>
      </c>
      <c r="Q40" s="25" t="n">
        <f aca="false">(M40*Assumptions!$B$5+N40*Assumptions!$B$6+O40*Assumptions!$B$7+P40*Assumptions!$B$8)*L40</f>
        <v>0.196243169398907</v>
      </c>
      <c r="R40" s="24" t="n">
        <f aca="false">IFERROR(SUMPRODUCT(($B$2:$B$1001=B40)*($Q$2:$Q$1001&lt;=Q40))/SUMPRODUCT(($B$2:$B$1001=B40)*1),0)</f>
        <v>0.0218579234972678</v>
      </c>
      <c r="S40" s="24" t="n">
        <f aca="false">IFERROR(SUMPRODUCT(($B$2:$B$1001=B40)*($K$2:$K$1001&lt;=K40))/SUMPRODUCT(($B$2:$B$1001=B40)*1),0)</f>
        <v>0.218579234972678</v>
      </c>
      <c r="T40" s="26" t="n">
        <f aca="false">(R40-S40)*100</f>
        <v>-19.672131147541</v>
      </c>
      <c r="U40" s="21" t="str">
        <f aca="false">'Player Data'!T40</f>
        <v>Unknown</v>
      </c>
      <c r="V40" s="27" t="n">
        <f aca="false">'Player Data'!U40</f>
        <v>2026</v>
      </c>
      <c r="W40" s="21" t="str">
        <f aca="false">IF(AND(T40&gt;=Assumptions!$B$19,U40="No"),"High Priority - Unrepresented",IF(T40&gt;=Assumptions!$B$19,"High Priority",IF(AND(T40&gt;=Assumptions!$B$20,U40="No"),"Watchlist - Unrepresented",IF(T40&gt;=Assumptions!$B$20,"Watchlist",""))))</f>
        <v/>
      </c>
      <c r="X40" s="21" t="str">
        <f aca="false">'Player Data'!V40</f>
        <v>info@bamakowanderers.ml</v>
      </c>
      <c r="Y40" s="28" t="str">
        <f aca="false">'Player Data'!W40</f>
        <v>Club sporting director / first-team office</v>
      </c>
      <c r="Z40" s="28" t="str">
        <f aca="false">'Player Data'!X40</f>
        <v>FEMAFOOT (Malian Football Federation) player registry</v>
      </c>
      <c r="AA40" s="19" t="str">
        <f aca="false">HYPERLINK("https://www.transfermarkt.com/schnellsuche/ergebnis/schnellsuche?query="&amp;SUBSTITUTE(A40," ","+"),"Search Transfermarkt")</f>
        <v>Search Transfermarkt</v>
      </c>
      <c r="AB40" s="29" t="n">
        <f aca="false">IFERROR('Player Data'!K40/('Player Data'!K40+'Player Data'!L40),0)</f>
        <v>0.6875</v>
      </c>
      <c r="AC40" s="21" t="str">
        <f aca="false">IF(B40="GK",IF(AND(O40&gt;=Assumptions!$B$23,N40&gt;=Assumptions!$B$23),"Sweeper-Keeper / Build-from-the-Back",IF(O40&gt;=Assumptions!$B$23,"Sweeper-Keeper / High Line",IF(M40&gt;=Assumptions!$B$23,"Shot-Stopper / Traditional","Flexible / Multi-System"))),IF(AND(O40&gt;=Assumptions!$B$23,P40&gt;=Assumptions!$B$24),"High Press / Gegenpressing",IF(AND(N40&gt;=Assumptions!$B$23,AB40&gt;=Assumptions!$B$25),"Possession / Build-from-the-Back",IF(N40&gt;=Assumptions!$B$23,"Counter-Attack / Transition",IF(AND(O40&gt;=Assumptions!$B$23,N40&lt;Assumptions!$B$26),"Low Block / Park the Bus",IF(AND(B40="FW",M40&gt;=Assumptions!$B$23,N40&lt;Assumptions!$B$26),"Direct / Target Approach","Flexible / Multi-System"))))))</f>
        <v>Flexible / Multi-System</v>
      </c>
      <c r="AD40" s="21" t="str">
        <f aca="false">'Player Data'!Y40</f>
        <v>2026-07-14</v>
      </c>
      <c r="AE40" s="21" t="str">
        <f aca="false">'Player Data'!Z40</f>
        <v>2026-07-15</v>
      </c>
      <c r="AF40" s="28" t="str">
        <f aca="false">IFERROR(INDEX(Assumptions!$B$30:$B$61,MATCH(C40,Assumptions!$A$30:$A$61,0)),"--")</f>
        <v>Belgium, Portugal</v>
      </c>
      <c r="AG40" s="30" t="str">
        <f aca="false">IF(R40&gt;=0.7,"Step-Up Candidate",IF(R40&gt;=0.4,"Lateral Move","Stay &amp; Develop"))</f>
        <v>Stay &amp; Develop</v>
      </c>
    </row>
    <row r="41" customFormat="false" ht="23.85" hidden="false" customHeight="false" outlineLevel="0" collapsed="false">
      <c r="A41" s="21" t="str">
        <f aca="false">'Player Data'!A41</f>
        <v>Bryan Mendoza</v>
      </c>
      <c r="B41" s="21" t="str">
        <f aca="false">'Player Data'!F41</f>
        <v>MF</v>
      </c>
      <c r="C41" s="21" t="str">
        <f aca="false">'Player Data'!B41</f>
        <v>Ecuador</v>
      </c>
      <c r="D41" s="21" t="str">
        <f aca="false">'Player Data'!C41</f>
        <v>Ecuador Provincial League</v>
      </c>
      <c r="E41" s="21" t="n">
        <f aca="false">'Player Data'!D41</f>
        <v>2</v>
      </c>
      <c r="F41" s="21" t="n">
        <f aca="false">'Player Data'!G41</f>
        <v>19</v>
      </c>
      <c r="G41" s="21" t="n">
        <f aca="false">'Player Data'!H41</f>
        <v>2384</v>
      </c>
      <c r="H41" s="22" t="n">
        <f aca="false">IF(B41="GK",IFERROR(('Player Data'!N41-1.5*'Player Data'!O41)/'Player Data'!H41*90,0),IFERROR(('Player Data'!I41+'Player Data'!J41)/'Player Data'!H41*90,0))</f>
        <v>0.604026845637584</v>
      </c>
      <c r="I41" s="22" t="n">
        <f aca="false">IF(B41="GK",'Player Data'!P41,IFERROR(('Player Data'!K41+'Player Data'!L41)/'Player Data'!H41*90,0))</f>
        <v>10.3062080536913</v>
      </c>
      <c r="J41" s="22" t="n">
        <f aca="false">IF(B41="GK",IFERROR('Player Data'!Q41/'Player Data'!H41*90,0),IFERROR('Player Data'!M41/'Player Data'!H41*90,0))</f>
        <v>1.43456375838926</v>
      </c>
      <c r="K41" s="23" t="n">
        <f aca="false">'Player Data'!S41</f>
        <v>0</v>
      </c>
      <c r="L41" s="22" t="n">
        <f aca="false">INDEX(Assumptions!$B$13:$B$15,MATCH(E41,Assumptions!$A$13:$A$15,0))</f>
        <v>1</v>
      </c>
      <c r="M41" s="24" t="n">
        <f aca="false">IFERROR(SUMPRODUCT(($B$2:$B$1001=B41)*($H$2:$H$1001&lt;=H41))/SUMPRODUCT(($B$2:$B$1001=B41)*1),0)</f>
        <v>0.32996632996633</v>
      </c>
      <c r="N41" s="24" t="n">
        <f aca="false">IFERROR(SUMPRODUCT(($B$2:$B$1001=B41)*($I$2:$I$1001&lt;=I41))/SUMPRODUCT(($B$2:$B$1001=B41)*1),0)</f>
        <v>0.447811447811448</v>
      </c>
      <c r="O41" s="24" t="n">
        <f aca="false">IFERROR(SUMPRODUCT(($B$2:$B$1001=B41)*($J$2:$J$1001&lt;=J41))/SUMPRODUCT(($B$2:$B$1001=B41)*1),0)</f>
        <v>0.151515151515152</v>
      </c>
      <c r="P41" s="24" t="n">
        <f aca="false">IFERROR(SUMPRODUCT(($B$2:$B$1001=B41)*((0-$F$2:$F$1001)&lt;=(0-F41)))/SUMPRODUCT(($B$2:$B$1001=B41)*1),0)</f>
        <v>0.868686868686869</v>
      </c>
      <c r="Q41" s="25" t="n">
        <f aca="false">(M41*Assumptions!$B$5+N41*Assumptions!$B$6+O41*Assumptions!$B$7+P41*Assumptions!$B$8)*L41</f>
        <v>0.443265993265993</v>
      </c>
      <c r="R41" s="24" t="n">
        <f aca="false">IFERROR(SUMPRODUCT(($B$2:$B$1001=B41)*($Q$2:$Q$1001&lt;=Q41))/SUMPRODUCT(($B$2:$B$1001=B41)*1),0)</f>
        <v>0.521885521885522</v>
      </c>
      <c r="S41" s="24" t="n">
        <f aca="false">IFERROR(SUMPRODUCT(($B$2:$B$1001=B41)*($K$2:$K$1001&lt;=K41))/SUMPRODUCT(($B$2:$B$1001=B41)*1),0)</f>
        <v>0.228956228956229</v>
      </c>
      <c r="T41" s="26" t="n">
        <f aca="false">(R41-S41)*100</f>
        <v>29.2929292929293</v>
      </c>
      <c r="U41" s="21" t="str">
        <f aca="false">'Player Data'!T41</f>
        <v>No</v>
      </c>
      <c r="V41" s="27" t="n">
        <f aca="false">'Player Data'!U41</f>
        <v>2026</v>
      </c>
      <c r="W41" s="21" t="str">
        <f aca="false">IF(AND(T41&gt;=Assumptions!$B$19,U41="No"),"High Priority - Unrepresented",IF(T41&gt;=Assumptions!$B$19,"High Priority",IF(AND(T41&gt;=Assumptions!$B$20,U41="No"),"Watchlist - Unrepresented",IF(T41&gt;=Assumptions!$B$20,"Watchlist",""))))</f>
        <v>Watchlist - Unrepresented</v>
      </c>
      <c r="X41" s="21" t="str">
        <f aca="false">'Player Data'!V41</f>
        <v>info@guayaquilathletic.ec</v>
      </c>
      <c r="Y41" s="28" t="str">
        <f aca="false">'Player Data'!W41</f>
        <v>Club sporting director / first-team office</v>
      </c>
      <c r="Z41" s="28" t="str">
        <f aca="false">'Player Data'!X41</f>
        <v>FEF (Ecuadorian Football Federation) player registry</v>
      </c>
      <c r="AA41" s="19" t="str">
        <f aca="false">HYPERLINK("https://www.transfermarkt.com/schnellsuche/ergebnis/schnellsuche?query="&amp;SUBSTITUTE(A41," ","+"),"Search Transfermarkt")</f>
        <v>Search Transfermarkt</v>
      </c>
      <c r="AB41" s="29" t="n">
        <f aca="false">IFERROR('Player Data'!K41/('Player Data'!K41+'Player Data'!L41),0)</f>
        <v>0.655677655677656</v>
      </c>
      <c r="AC41" s="21" t="str">
        <f aca="false">IF(B41="GK",IF(AND(O41&gt;=Assumptions!$B$23,N41&gt;=Assumptions!$B$23),"Sweeper-Keeper / Build-from-the-Back",IF(O41&gt;=Assumptions!$B$23,"Sweeper-Keeper / High Line",IF(M41&gt;=Assumptions!$B$23,"Shot-Stopper / Traditional","Flexible / Multi-System"))),IF(AND(O41&gt;=Assumptions!$B$23,P41&gt;=Assumptions!$B$24),"High Press / Gegenpressing",IF(AND(N41&gt;=Assumptions!$B$23,AB41&gt;=Assumptions!$B$25),"Possession / Build-from-the-Back",IF(N41&gt;=Assumptions!$B$23,"Counter-Attack / Transition",IF(AND(O41&gt;=Assumptions!$B$23,N41&lt;Assumptions!$B$26),"Low Block / Park the Bus",IF(AND(B41="FW",M41&gt;=Assumptions!$B$23,N41&lt;Assumptions!$B$26),"Direct / Target Approach","Flexible / Multi-System"))))))</f>
        <v>Flexible / Multi-System</v>
      </c>
      <c r="AD41" s="21" t="str">
        <f aca="false">'Player Data'!Y41</f>
        <v>2026-07-14</v>
      </c>
      <c r="AE41" s="21" t="str">
        <f aca="false">'Player Data'!Z41</f>
        <v>2026-07-15</v>
      </c>
      <c r="AF41" s="28" t="str">
        <f aca="false">IFERROR(INDEX(Assumptions!$B$30:$B$61,MATCH(C41,Assumptions!$A$30:$A$61,0)),"--")</f>
        <v>Argentina, Portugal</v>
      </c>
      <c r="AG41" s="30" t="str">
        <f aca="false">IF(R41&gt;=0.7,"Step-Up Candidate",IF(R41&gt;=0.4,"Lateral Move","Stay &amp; Develop"))</f>
        <v>Lateral Move</v>
      </c>
    </row>
    <row r="42" customFormat="false" ht="23.85" hidden="false" customHeight="false" outlineLevel="0" collapsed="false">
      <c r="A42" s="21" t="str">
        <f aca="false">'Player Data'!A42</f>
        <v>Andre Reid</v>
      </c>
      <c r="B42" s="21" t="str">
        <f aca="false">'Player Data'!F42</f>
        <v>DF</v>
      </c>
      <c r="C42" s="21" t="str">
        <f aca="false">'Player Data'!B42</f>
        <v>Jamaica</v>
      </c>
      <c r="D42" s="21" t="str">
        <f aca="false">'Player Data'!C42</f>
        <v>Jamaica Third Tier - South</v>
      </c>
      <c r="E42" s="21" t="n">
        <f aca="false">'Player Data'!D42</f>
        <v>2</v>
      </c>
      <c r="F42" s="21" t="n">
        <f aca="false">'Player Data'!G42</f>
        <v>18</v>
      </c>
      <c r="G42" s="21" t="n">
        <f aca="false">'Player Data'!H42</f>
        <v>1695</v>
      </c>
      <c r="H42" s="22" t="n">
        <f aca="false">IF(B42="GK",IFERROR(('Player Data'!N42-1.5*'Player Data'!O42)/'Player Data'!H42*90,0),IFERROR(('Player Data'!I42+'Player Data'!J42)/'Player Data'!H42*90,0))</f>
        <v>0.15929203539823</v>
      </c>
      <c r="I42" s="22" t="n">
        <f aca="false">IF(B42="GK",'Player Data'!P42,IFERROR(('Player Data'!K42+'Player Data'!L42)/'Player Data'!H42*90,0))</f>
        <v>4.93805309734513</v>
      </c>
      <c r="J42" s="22" t="n">
        <f aca="false">IF(B42="GK",IFERROR('Player Data'!Q42/'Player Data'!H42*90,0),IFERROR('Player Data'!M42/'Player Data'!H42*90,0))</f>
        <v>5.73451327433628</v>
      </c>
      <c r="K42" s="23" t="n">
        <f aca="false">'Player Data'!S42</f>
        <v>84355</v>
      </c>
      <c r="L42" s="22" t="n">
        <f aca="false">INDEX(Assumptions!$B$13:$B$15,MATCH(E42,Assumptions!$A$13:$A$15,0))</f>
        <v>1</v>
      </c>
      <c r="M42" s="24" t="n">
        <f aca="false">IFERROR(SUMPRODUCT(($B$2:$B$1001=B42)*($H$2:$H$1001&lt;=H42))/SUMPRODUCT(($B$2:$B$1001=B42)*1),0)</f>
        <v>0.387755102040816</v>
      </c>
      <c r="N42" s="24" t="n">
        <f aca="false">IFERROR(SUMPRODUCT(($B$2:$B$1001=B42)*($I$2:$I$1001&lt;=I42))/SUMPRODUCT(($B$2:$B$1001=B42)*1),0)</f>
        <v>0.585034013605442</v>
      </c>
      <c r="O42" s="24" t="n">
        <f aca="false">IFERROR(SUMPRODUCT(($B$2:$B$1001=B42)*($J$2:$J$1001&lt;=J42))/SUMPRODUCT(($B$2:$B$1001=B42)*1),0)</f>
        <v>0.561224489795918</v>
      </c>
      <c r="P42" s="24" t="n">
        <f aca="false">IFERROR(SUMPRODUCT(($B$2:$B$1001=B42)*((0-$F$2:$F$1001)&lt;=(0-F42)))/SUMPRODUCT(($B$2:$B$1001=B42)*1),0)</f>
        <v>0.863945578231293</v>
      </c>
      <c r="Q42" s="25" t="n">
        <f aca="false">(M42*Assumptions!$B$5+N42*Assumptions!$B$6+O42*Assumptions!$B$7+P42*Assumptions!$B$8)*L42</f>
        <v>0.586734693877551</v>
      </c>
      <c r="R42" s="24" t="n">
        <f aca="false">IFERROR(SUMPRODUCT(($B$2:$B$1001=B42)*($Q$2:$Q$1001&lt;=Q42))/SUMPRODUCT(($B$2:$B$1001=B42)*1),0)</f>
        <v>0.727891156462585</v>
      </c>
      <c r="S42" s="24" t="n">
        <f aca="false">IFERROR(SUMPRODUCT(($B$2:$B$1001=B42)*($K$2:$K$1001&lt;=K42))/SUMPRODUCT(($B$2:$B$1001=B42)*1),0)</f>
        <v>0.649659863945578</v>
      </c>
      <c r="T42" s="26" t="n">
        <f aca="false">(R42-S42)*100</f>
        <v>7.82312925170068</v>
      </c>
      <c r="U42" s="21" t="str">
        <f aca="false">'Player Data'!T42</f>
        <v>No</v>
      </c>
      <c r="V42" s="27" t="n">
        <f aca="false">'Player Data'!U42</f>
        <v>2028</v>
      </c>
      <c r="W42" s="21" t="str">
        <f aca="false">IF(AND(T42&gt;=Assumptions!$B$19,U42="No"),"High Priority - Unrepresented",IF(T42&gt;=Assumptions!$B$19,"High Priority",IF(AND(T42&gt;=Assumptions!$B$20,U42="No"),"Watchlist - Unrepresented",IF(T42&gt;=Assumptions!$B$20,"Watchlist",""))))</f>
        <v/>
      </c>
      <c r="X42" s="21" t="str">
        <f aca="false">'Player Data'!V42</f>
        <v>info@kingstontown.jm</v>
      </c>
      <c r="Y42" s="28" t="str">
        <f aca="false">'Player Data'!W42</f>
        <v>Club sporting director / first-team office</v>
      </c>
      <c r="Z42" s="28" t="str">
        <f aca="false">'Player Data'!X42</f>
        <v>JFF (Jamaica Football Federation) player registry</v>
      </c>
      <c r="AA42" s="19" t="str">
        <f aca="false">HYPERLINK("https://www.transfermarkt.com/schnellsuche/ergebnis/schnellsuche?query="&amp;SUBSTITUTE(A42," ","+"),"Search Transfermarkt")</f>
        <v>Search Transfermarkt</v>
      </c>
      <c r="AB42" s="29" t="n">
        <f aca="false">IFERROR('Player Data'!K42/('Player Data'!K42+'Player Data'!L42),0)</f>
        <v>0.494623655913979</v>
      </c>
      <c r="AC42" s="21" t="str">
        <f aca="false">IF(B42="GK",IF(AND(O42&gt;=Assumptions!$B$23,N42&gt;=Assumptions!$B$23),"Sweeper-Keeper / Build-from-the-Back",IF(O42&gt;=Assumptions!$B$23,"Sweeper-Keeper / High Line",IF(M42&gt;=Assumptions!$B$23,"Shot-Stopper / Traditional","Flexible / Multi-System"))),IF(AND(O42&gt;=Assumptions!$B$23,P42&gt;=Assumptions!$B$24),"High Press / Gegenpressing",IF(AND(N42&gt;=Assumptions!$B$23,AB42&gt;=Assumptions!$B$25),"Possession / Build-from-the-Back",IF(N42&gt;=Assumptions!$B$23,"Counter-Attack / Transition",IF(AND(O42&gt;=Assumptions!$B$23,N42&lt;Assumptions!$B$26),"Low Block / Park the Bus",IF(AND(B42="FW",M42&gt;=Assumptions!$B$23,N42&lt;Assumptions!$B$26),"Direct / Target Approach","Flexible / Multi-System"))))))</f>
        <v>Flexible / Multi-System</v>
      </c>
      <c r="AD42" s="21" t="str">
        <f aca="false">'Player Data'!Y42</f>
        <v>2026-07-14</v>
      </c>
      <c r="AE42" s="21" t="str">
        <f aca="false">'Player Data'!Z42</f>
        <v>2026-07-15</v>
      </c>
      <c r="AF42" s="28" t="str">
        <f aca="false">IFERROR(INDEX(Assumptions!$B$30:$B$61,MATCH(C42,Assumptions!$A$30:$A$61,0)),"--")</f>
        <v>United States, Mexico</v>
      </c>
      <c r="AG42" s="30" t="str">
        <f aca="false">IF(R42&gt;=0.7,"Step-Up Candidate",IF(R42&gt;=0.4,"Lateral Move","Stay &amp; Develop"))</f>
        <v>Step-Up Candidate</v>
      </c>
    </row>
    <row r="43" customFormat="false" ht="23.85" hidden="false" customHeight="false" outlineLevel="0" collapsed="false">
      <c r="A43" s="21" t="str">
        <f aca="false">'Player Data'!A43</f>
        <v>Ousmane Ndiaye</v>
      </c>
      <c r="B43" s="21" t="str">
        <f aca="false">'Player Data'!F43</f>
        <v>MF</v>
      </c>
      <c r="C43" s="21" t="str">
        <f aca="false">'Player Data'!B43</f>
        <v>Senegal</v>
      </c>
      <c r="D43" s="21" t="str">
        <f aca="false">'Player Data'!C43</f>
        <v>Senegal Provincial League</v>
      </c>
      <c r="E43" s="21" t="n">
        <f aca="false">'Player Data'!D43</f>
        <v>2</v>
      </c>
      <c r="F43" s="21" t="n">
        <f aca="false">'Player Data'!G43</f>
        <v>21</v>
      </c>
      <c r="G43" s="21" t="n">
        <f aca="false">'Player Data'!H43</f>
        <v>2282</v>
      </c>
      <c r="H43" s="22" t="n">
        <f aca="false">IF(B43="GK",IFERROR(('Player Data'!N43-1.5*'Player Data'!O43)/'Player Data'!H43*90,0),IFERROR(('Player Data'!I43+'Player Data'!J43)/'Player Data'!H43*90,0))</f>
        <v>0.512708150744961</v>
      </c>
      <c r="I43" s="22" t="n">
        <f aca="false">IF(B43="GK",'Player Data'!P43,IFERROR(('Player Data'!K43+'Player Data'!L43)/'Player Data'!H43*90,0))</f>
        <v>8.08501314636284</v>
      </c>
      <c r="J43" s="22" t="n">
        <f aca="false">IF(B43="GK",IFERROR('Player Data'!Q43/'Player Data'!H43*90,0),IFERROR('Player Data'!M43/'Player Data'!H43*90,0))</f>
        <v>1.89307624890447</v>
      </c>
      <c r="K43" s="23" t="n">
        <f aca="false">'Player Data'!S43</f>
        <v>114952</v>
      </c>
      <c r="L43" s="22" t="n">
        <f aca="false">INDEX(Assumptions!$B$13:$B$15,MATCH(E43,Assumptions!$A$13:$A$15,0))</f>
        <v>1</v>
      </c>
      <c r="M43" s="24" t="n">
        <f aca="false">IFERROR(SUMPRODUCT(($B$2:$B$1001=B43)*($H$2:$H$1001&lt;=H43))/SUMPRODUCT(($B$2:$B$1001=B43)*1),0)</f>
        <v>0.232323232323232</v>
      </c>
      <c r="N43" s="24" t="n">
        <f aca="false">IFERROR(SUMPRODUCT(($B$2:$B$1001=B43)*($I$2:$I$1001&lt;=I43))/SUMPRODUCT(($B$2:$B$1001=B43)*1),0)</f>
        <v>0.164983164983165</v>
      </c>
      <c r="O43" s="24" t="n">
        <f aca="false">IFERROR(SUMPRODUCT(($B$2:$B$1001=B43)*($J$2:$J$1001&lt;=J43))/SUMPRODUCT(($B$2:$B$1001=B43)*1),0)</f>
        <v>0.37037037037037</v>
      </c>
      <c r="P43" s="24" t="n">
        <f aca="false">IFERROR(SUMPRODUCT(($B$2:$B$1001=B43)*((0-$F$2:$F$1001)&lt;=(0-F43)))/SUMPRODUCT(($B$2:$B$1001=B43)*1),0)</f>
        <v>0.61952861952862</v>
      </c>
      <c r="Q43" s="25" t="n">
        <f aca="false">(M43*Assumptions!$B$5+N43*Assumptions!$B$6+O43*Assumptions!$B$7+P43*Assumptions!$B$8)*L43</f>
        <v>0.313804713804714</v>
      </c>
      <c r="R43" s="24" t="n">
        <f aca="false">IFERROR(SUMPRODUCT(($B$2:$B$1001=B43)*($Q$2:$Q$1001&lt;=Q43))/SUMPRODUCT(($B$2:$B$1001=B43)*1),0)</f>
        <v>0.259259259259259</v>
      </c>
      <c r="S43" s="24" t="n">
        <f aca="false">IFERROR(SUMPRODUCT(($B$2:$B$1001=B43)*($K$2:$K$1001&lt;=K43))/SUMPRODUCT(($B$2:$B$1001=B43)*1),0)</f>
        <v>0.828282828282828</v>
      </c>
      <c r="T43" s="26" t="n">
        <f aca="false">(R43-S43)*100</f>
        <v>-56.9023569023569</v>
      </c>
      <c r="U43" s="21" t="str">
        <f aca="false">'Player Data'!T43</f>
        <v>No</v>
      </c>
      <c r="V43" s="27" t="n">
        <f aca="false">'Player Data'!U43</f>
        <v>2026</v>
      </c>
      <c r="W43" s="21" t="str">
        <f aca="false">IF(AND(T43&gt;=Assumptions!$B$19,U43="No"),"High Priority - Unrepresented",IF(T43&gt;=Assumptions!$B$19,"High Priority",IF(AND(T43&gt;=Assumptions!$B$20,U43="No"),"Watchlist - Unrepresented",IF(T43&gt;=Assumptions!$B$20,"Watchlist",""))))</f>
        <v/>
      </c>
      <c r="X43" s="21" t="str">
        <f aca="false">'Player Data'!V43</f>
        <v>info@thiescity.sn</v>
      </c>
      <c r="Y43" s="28" t="str">
        <f aca="false">'Player Data'!W43</f>
        <v>Club sporting director / first-team office</v>
      </c>
      <c r="Z43" s="28" t="str">
        <f aca="false">'Player Data'!X43</f>
        <v>FSF (Senegalese Football Federation) player registry</v>
      </c>
      <c r="AA43" s="19" t="str">
        <f aca="false">HYPERLINK("https://www.transfermarkt.com/schnellsuche/ergebnis/schnellsuche?query="&amp;SUBSTITUTE(A43," ","+"),"Search Transfermarkt")</f>
        <v>Search Transfermarkt</v>
      </c>
      <c r="AB43" s="29" t="n">
        <f aca="false">IFERROR('Player Data'!K43/('Player Data'!K43+'Player Data'!L43),0)</f>
        <v>0.541463414634146</v>
      </c>
      <c r="AC43" s="21" t="str">
        <f aca="false">IF(B43="GK",IF(AND(O43&gt;=Assumptions!$B$23,N43&gt;=Assumptions!$B$23),"Sweeper-Keeper / Build-from-the-Back",IF(O43&gt;=Assumptions!$B$23,"Sweeper-Keeper / High Line",IF(M43&gt;=Assumptions!$B$23,"Shot-Stopper / Traditional","Flexible / Multi-System"))),IF(AND(O43&gt;=Assumptions!$B$23,P43&gt;=Assumptions!$B$24),"High Press / Gegenpressing",IF(AND(N43&gt;=Assumptions!$B$23,AB43&gt;=Assumptions!$B$25),"Possession / Build-from-the-Back",IF(N43&gt;=Assumptions!$B$23,"Counter-Attack / Transition",IF(AND(O43&gt;=Assumptions!$B$23,N43&lt;Assumptions!$B$26),"Low Block / Park the Bus",IF(AND(B43="FW",M43&gt;=Assumptions!$B$23,N43&lt;Assumptions!$B$26),"Direct / Target Approach","Flexible / Multi-System"))))))</f>
        <v>Flexible / Multi-System</v>
      </c>
      <c r="AD43" s="21" t="str">
        <f aca="false">'Player Data'!Y43</f>
        <v>2026-07-14</v>
      </c>
      <c r="AE43" s="21" t="str">
        <f aca="false">'Player Data'!Z43</f>
        <v>2026-07-15</v>
      </c>
      <c r="AF43" s="28" t="str">
        <f aca="false">IFERROR(INDEX(Assumptions!$B$30:$B$61,MATCH(C43,Assumptions!$A$30:$A$61,0)),"--")</f>
        <v>Belgium, Portugal</v>
      </c>
      <c r="AG43" s="30" t="str">
        <f aca="false">IF(R43&gt;=0.7,"Step-Up Candidate",IF(R43&gt;=0.4,"Lateral Move","Stay &amp; Develop"))</f>
        <v>Stay &amp; Develop</v>
      </c>
    </row>
    <row r="44" customFormat="false" ht="23.85" hidden="false" customHeight="false" outlineLevel="0" collapsed="false">
      <c r="A44" s="21" t="str">
        <f aca="false">'Player Data'!A44</f>
        <v>Sardor Rustamov</v>
      </c>
      <c r="B44" s="21" t="str">
        <f aca="false">'Player Data'!F44</f>
        <v>GK</v>
      </c>
      <c r="C44" s="21" t="str">
        <f aca="false">'Player Data'!B44</f>
        <v>Uzbekistan</v>
      </c>
      <c r="D44" s="21" t="str">
        <f aca="false">'Player Data'!C44</f>
        <v>Uzbekistan Second Division - East</v>
      </c>
      <c r="E44" s="21" t="n">
        <f aca="false">'Player Data'!D44</f>
        <v>3</v>
      </c>
      <c r="F44" s="21" t="n">
        <f aca="false">'Player Data'!G44</f>
        <v>25</v>
      </c>
      <c r="G44" s="21" t="n">
        <f aca="false">'Player Data'!H44</f>
        <v>1304</v>
      </c>
      <c r="H44" s="22" t="n">
        <f aca="false">IF(B44="GK",IFERROR(('Player Data'!N44-1.5*'Player Data'!O44)/'Player Data'!H44*90,0),IFERROR(('Player Data'!I44+'Player Data'!J44)/'Player Data'!H44*90,0))</f>
        <v>1.27684049079755</v>
      </c>
      <c r="I44" s="22" t="n">
        <f aca="false">IF(B44="GK",'Player Data'!P44,IFERROR(('Player Data'!K44+'Player Data'!L44)/'Player Data'!H44*90,0))</f>
        <v>58.3</v>
      </c>
      <c r="J44" s="22" t="n">
        <f aca="false">IF(B44="GK",IFERROR('Player Data'!Q44/'Player Data'!H44*90,0),IFERROR('Player Data'!M44/'Player Data'!H44*90,0))</f>
        <v>1.29064417177914</v>
      </c>
      <c r="K44" s="23" t="n">
        <f aca="false">'Player Data'!S44</f>
        <v>32926</v>
      </c>
      <c r="L44" s="22" t="n">
        <f aca="false">INDEX(Assumptions!$B$13:$B$15,MATCH(E44,Assumptions!$A$13:$A$15,0))</f>
        <v>0.85</v>
      </c>
      <c r="M44" s="24" t="n">
        <f aca="false">IFERROR(SUMPRODUCT(($B$2:$B$1001=B44)*($H$2:$H$1001&lt;=H44))/SUMPRODUCT(($B$2:$B$1001=B44)*1),0)</f>
        <v>0.573770491803279</v>
      </c>
      <c r="N44" s="24" t="n">
        <f aca="false">IFERROR(SUMPRODUCT(($B$2:$B$1001=B44)*($I$2:$I$1001&lt;=I44))/SUMPRODUCT(($B$2:$B$1001=B44)*1),0)</f>
        <v>0.0765027322404372</v>
      </c>
      <c r="O44" s="24" t="n">
        <f aca="false">IFERROR(SUMPRODUCT(($B$2:$B$1001=B44)*($J$2:$J$1001&lt;=J44))/SUMPRODUCT(($B$2:$B$1001=B44)*1),0)</f>
        <v>0.814207650273224</v>
      </c>
      <c r="P44" s="24" t="n">
        <f aca="false">IFERROR(SUMPRODUCT(($B$2:$B$1001=B44)*((0-$F$2:$F$1001)&lt;=(0-F44)))/SUMPRODUCT(($B$2:$B$1001=B44)*1),0)</f>
        <v>0.240437158469945</v>
      </c>
      <c r="Q44" s="25" t="n">
        <f aca="false">(M44*Assumptions!$B$5+N44*Assumptions!$B$6+O44*Assumptions!$B$7+P44*Assumptions!$B$8)*L44</f>
        <v>0.323975409836066</v>
      </c>
      <c r="R44" s="24" t="n">
        <f aca="false">IFERROR(SUMPRODUCT(($B$2:$B$1001=B44)*($Q$2:$Q$1001&lt;=Q44))/SUMPRODUCT(($B$2:$B$1001=B44)*1),0)</f>
        <v>0.163934426229508</v>
      </c>
      <c r="S44" s="24" t="n">
        <f aca="false">IFERROR(SUMPRODUCT(($B$2:$B$1001=B44)*($K$2:$K$1001&lt;=K44))/SUMPRODUCT(($B$2:$B$1001=B44)*1),0)</f>
        <v>0.3224043715847</v>
      </c>
      <c r="T44" s="26" t="n">
        <f aca="false">(R44-S44)*100</f>
        <v>-15.8469945355191</v>
      </c>
      <c r="U44" s="21" t="str">
        <f aca="false">'Player Data'!T44</f>
        <v>No</v>
      </c>
      <c r="V44" s="27" t="n">
        <f aca="false">'Player Data'!U44</f>
        <v>2028</v>
      </c>
      <c r="W44" s="21" t="str">
        <f aca="false">IF(AND(T44&gt;=Assumptions!$B$19,U44="No"),"High Priority - Unrepresented",IF(T44&gt;=Assumptions!$B$19,"High Priority",IF(AND(T44&gt;=Assumptions!$B$20,U44="No"),"Watchlist - Unrepresented",IF(T44&gt;=Assumptions!$B$20,"Watchlist",""))))</f>
        <v/>
      </c>
      <c r="X44" s="21" t="str">
        <f aca="false">'Player Data'!V44</f>
        <v>info@andijanrovers.uz</v>
      </c>
      <c r="Y44" s="28" t="str">
        <f aca="false">'Player Data'!W44</f>
        <v>Club sporting director / first-team office</v>
      </c>
      <c r="Z44" s="28" t="str">
        <f aca="false">'Player Data'!X44</f>
        <v>UFF (Uzbekistan Football Federation) player registry</v>
      </c>
      <c r="AA44" s="19" t="str">
        <f aca="false">HYPERLINK("https://www.transfermarkt.com/schnellsuche/ergebnis/schnellsuche?query="&amp;SUBSTITUTE(A44," ","+"),"Search Transfermarkt")</f>
        <v>Search Transfermarkt</v>
      </c>
      <c r="AB44" s="29" t="n">
        <f aca="false">IFERROR('Player Data'!K44/('Player Data'!K44+'Player Data'!L44),0)</f>
        <v>0.8125</v>
      </c>
      <c r="AC44" s="21" t="str">
        <f aca="false">IF(B44="GK",IF(AND(O44&gt;=Assumptions!$B$23,N44&gt;=Assumptions!$B$23),"Sweeper-Keeper / Build-from-the-Back",IF(O44&gt;=Assumptions!$B$23,"Sweeper-Keeper / High Line",IF(M44&gt;=Assumptions!$B$23,"Shot-Stopper / Traditional","Flexible / Multi-System"))),IF(AND(O44&gt;=Assumptions!$B$23,P44&gt;=Assumptions!$B$24),"High Press / Gegenpressing",IF(AND(N44&gt;=Assumptions!$B$23,AB44&gt;=Assumptions!$B$25),"Possession / Build-from-the-Back",IF(N44&gt;=Assumptions!$B$23,"Counter-Attack / Transition",IF(AND(O44&gt;=Assumptions!$B$23,N44&lt;Assumptions!$B$26),"Low Block / Park the Bus",IF(AND(B44="FW",M44&gt;=Assumptions!$B$23,N44&lt;Assumptions!$B$26),"Direct / Target Approach","Flexible / Multi-System"))))))</f>
        <v>Sweeper-Keeper / High Line</v>
      </c>
      <c r="AD44" s="21" t="str">
        <f aca="false">'Player Data'!Y44</f>
        <v>2026-07-14</v>
      </c>
      <c r="AE44" s="21" t="str">
        <f aca="false">'Player Data'!Z44</f>
        <v>2026-07-15</v>
      </c>
      <c r="AF44" s="28" t="str">
        <f aca="false">IFERROR(INDEX(Assumptions!$B$30:$B$61,MATCH(C44,Assumptions!$A$30:$A$61,0)),"--")</f>
        <v>Turkey, Saudi Arabia</v>
      </c>
      <c r="AG44" s="30" t="str">
        <f aca="false">IF(R44&gt;=0.7,"Step-Up Candidate",IF(R44&gt;=0.4,"Lateral Move","Stay &amp; Develop"))</f>
        <v>Stay &amp; Develop</v>
      </c>
    </row>
    <row r="45" customFormat="false" ht="23.85" hidden="false" customHeight="false" outlineLevel="0" collapsed="false">
      <c r="A45" s="21" t="str">
        <f aca="false">'Player Data'!A45</f>
        <v>Franck Traore</v>
      </c>
      <c r="B45" s="21" t="str">
        <f aca="false">'Player Data'!F45</f>
        <v>DF</v>
      </c>
      <c r="C45" s="21" t="str">
        <f aca="false">'Player Data'!B45</f>
        <v>Ivory Coast</v>
      </c>
      <c r="D45" s="21" t="str">
        <f aca="false">'Player Data'!C45</f>
        <v>Ivory Coast Second Division - East</v>
      </c>
      <c r="E45" s="21" t="n">
        <f aca="false">'Player Data'!D45</f>
        <v>3</v>
      </c>
      <c r="F45" s="21" t="n">
        <f aca="false">'Player Data'!G45</f>
        <v>20</v>
      </c>
      <c r="G45" s="21" t="n">
        <f aca="false">'Player Data'!H45</f>
        <v>2006</v>
      </c>
      <c r="H45" s="22" t="n">
        <f aca="false">IF(B45="GK",IFERROR(('Player Data'!N45-1.5*'Player Data'!O45)/'Player Data'!H45*90,0),IFERROR(('Player Data'!I45+'Player Data'!J45)/'Player Data'!H45*90,0))</f>
        <v>0.0897308075772682</v>
      </c>
      <c r="I45" s="22" t="n">
        <f aca="false">IF(B45="GK",'Player Data'!P45,IFERROR(('Player Data'!K45+'Player Data'!L45)/'Player Data'!H45*90,0))</f>
        <v>3.23030907278166</v>
      </c>
      <c r="J45" s="22" t="n">
        <f aca="false">IF(B45="GK",IFERROR('Player Data'!Q45/'Player Data'!H45*90,0),IFERROR('Player Data'!M45/'Player Data'!H45*90,0))</f>
        <v>5.24925224327019</v>
      </c>
      <c r="K45" s="23" t="n">
        <f aca="false">'Player Data'!S45</f>
        <v>45517</v>
      </c>
      <c r="L45" s="22" t="n">
        <f aca="false">INDEX(Assumptions!$B$13:$B$15,MATCH(E45,Assumptions!$A$13:$A$15,0))</f>
        <v>0.85</v>
      </c>
      <c r="M45" s="24" t="n">
        <f aca="false">IFERROR(SUMPRODUCT(($B$2:$B$1001=B45)*($H$2:$H$1001&lt;=H45))/SUMPRODUCT(($B$2:$B$1001=B45)*1),0)</f>
        <v>0.156462585034014</v>
      </c>
      <c r="N45" s="24" t="n">
        <f aca="false">IFERROR(SUMPRODUCT(($B$2:$B$1001=B45)*($I$2:$I$1001&lt;=I45))/SUMPRODUCT(($B$2:$B$1001=B45)*1),0)</f>
        <v>0.149659863945578</v>
      </c>
      <c r="O45" s="24" t="n">
        <f aca="false">IFERROR(SUMPRODUCT(($B$2:$B$1001=B45)*($J$2:$J$1001&lt;=J45))/SUMPRODUCT(($B$2:$B$1001=B45)*1),0)</f>
        <v>0.482993197278912</v>
      </c>
      <c r="P45" s="24" t="n">
        <f aca="false">IFERROR(SUMPRODUCT(($B$2:$B$1001=B45)*((0-$F$2:$F$1001)&lt;=(0-F45)))/SUMPRODUCT(($B$2:$B$1001=B45)*1),0)</f>
        <v>0.656462585034014</v>
      </c>
      <c r="Q45" s="25" t="n">
        <f aca="false">(M45*Assumptions!$B$5+N45*Assumptions!$B$6+O45*Assumptions!$B$7+P45*Assumptions!$B$8)*L45</f>
        <v>0.271479591836735</v>
      </c>
      <c r="R45" s="24" t="n">
        <f aca="false">IFERROR(SUMPRODUCT(($B$2:$B$1001=B45)*($Q$2:$Q$1001&lt;=Q45))/SUMPRODUCT(($B$2:$B$1001=B45)*1),0)</f>
        <v>0.207482993197279</v>
      </c>
      <c r="S45" s="24" t="n">
        <f aca="false">IFERROR(SUMPRODUCT(($B$2:$B$1001=B45)*($K$2:$K$1001&lt;=K45))/SUMPRODUCT(($B$2:$B$1001=B45)*1),0)</f>
        <v>0.428571428571429</v>
      </c>
      <c r="T45" s="26" t="n">
        <f aca="false">(R45-S45)*100</f>
        <v>-22.108843537415</v>
      </c>
      <c r="U45" s="21" t="str">
        <f aca="false">'Player Data'!T45</f>
        <v>No</v>
      </c>
      <c r="V45" s="27" t="n">
        <f aca="false">'Player Data'!U45</f>
        <v>2028</v>
      </c>
      <c r="W45" s="21" t="str">
        <f aca="false">IF(AND(T45&gt;=Assumptions!$B$19,U45="No"),"High Priority - Unrepresented",IF(T45&gt;=Assumptions!$B$19,"High Priority",IF(AND(T45&gt;=Assumptions!$B$20,U45="No"),"Watchlist - Unrepresented",IF(T45&gt;=Assumptions!$B$20,"Watchlist",""))))</f>
        <v/>
      </c>
      <c r="X45" s="21" t="str">
        <f aca="false">'Player Data'!V45</f>
        <v>info@sanpedroathletic.ci</v>
      </c>
      <c r="Y45" s="28" t="str">
        <f aca="false">'Player Data'!W45</f>
        <v>Club sporting director / first-team office</v>
      </c>
      <c r="Z45" s="28" t="str">
        <f aca="false">'Player Data'!X45</f>
        <v>FIF (Ivorian Football Federation) player registry</v>
      </c>
      <c r="AA45" s="19" t="str">
        <f aca="false">HYPERLINK("https://www.transfermarkt.com/schnellsuche/ergebnis/schnellsuche?query="&amp;SUBSTITUTE(A45," ","+"),"Search Transfermarkt")</f>
        <v>Search Transfermarkt</v>
      </c>
      <c r="AB45" s="29" t="n">
        <f aca="false">IFERROR('Player Data'!K45/('Player Data'!K45+'Player Data'!L45),0)</f>
        <v>0.694444444444444</v>
      </c>
      <c r="AC45" s="21" t="str">
        <f aca="false">IF(B45="GK",IF(AND(O45&gt;=Assumptions!$B$23,N45&gt;=Assumptions!$B$23),"Sweeper-Keeper / Build-from-the-Back",IF(O45&gt;=Assumptions!$B$23,"Sweeper-Keeper / High Line",IF(M45&gt;=Assumptions!$B$23,"Shot-Stopper / Traditional","Flexible / Multi-System"))),IF(AND(O45&gt;=Assumptions!$B$23,P45&gt;=Assumptions!$B$24),"High Press / Gegenpressing",IF(AND(N45&gt;=Assumptions!$B$23,AB45&gt;=Assumptions!$B$25),"Possession / Build-from-the-Back",IF(N45&gt;=Assumptions!$B$23,"Counter-Attack / Transition",IF(AND(O45&gt;=Assumptions!$B$23,N45&lt;Assumptions!$B$26),"Low Block / Park the Bus",IF(AND(B45="FW",M45&gt;=Assumptions!$B$23,N45&lt;Assumptions!$B$26),"Direct / Target Approach","Flexible / Multi-System"))))))</f>
        <v>Flexible / Multi-System</v>
      </c>
      <c r="AD45" s="21" t="str">
        <f aca="false">'Player Data'!Y45</f>
        <v>2026-07-14</v>
      </c>
      <c r="AE45" s="21" t="str">
        <f aca="false">'Player Data'!Z45</f>
        <v>2026-07-15</v>
      </c>
      <c r="AF45" s="28" t="str">
        <f aca="false">IFERROR(INDEX(Assumptions!$B$30:$B$61,MATCH(C45,Assumptions!$A$30:$A$61,0)),"--")</f>
        <v>Belgium, Portugal</v>
      </c>
      <c r="AG45" s="30" t="str">
        <f aca="false">IF(R45&gt;=0.7,"Step-Up Candidate",IF(R45&gt;=0.4,"Lateral Move","Stay &amp; Develop"))</f>
        <v>Stay &amp; Develop</v>
      </c>
    </row>
    <row r="46" customFormat="false" ht="23.85" hidden="false" customHeight="false" outlineLevel="0" collapsed="false">
      <c r="A46" s="21" t="str">
        <f aca="false">'Player Data'!A46</f>
        <v>Bakary Camara</v>
      </c>
      <c r="B46" s="21" t="str">
        <f aca="false">'Player Data'!F46</f>
        <v>MF</v>
      </c>
      <c r="C46" s="21" t="str">
        <f aca="false">'Player Data'!B46</f>
        <v>Mali</v>
      </c>
      <c r="D46" s="21" t="str">
        <f aca="false">'Player Data'!C46</f>
        <v>Mali Regional League</v>
      </c>
      <c r="E46" s="21" t="n">
        <f aca="false">'Player Data'!D46</f>
        <v>3</v>
      </c>
      <c r="F46" s="21" t="n">
        <f aca="false">'Player Data'!G46</f>
        <v>21</v>
      </c>
      <c r="G46" s="21" t="n">
        <f aca="false">'Player Data'!H46</f>
        <v>1306</v>
      </c>
      <c r="H46" s="22" t="n">
        <f aca="false">IF(B46="GK",IFERROR(('Player Data'!N46-1.5*'Player Data'!O46)/'Player Data'!H46*90,0),IFERROR(('Player Data'!I46+'Player Data'!J46)/'Player Data'!H46*90,0))</f>
        <v>1.37825421133231</v>
      </c>
      <c r="I46" s="22" t="n">
        <f aca="false">IF(B46="GK",'Player Data'!P46,IFERROR(('Player Data'!K46+'Player Data'!L46)/'Player Data'!H46*90,0))</f>
        <v>15.9188361408882</v>
      </c>
      <c r="J46" s="22" t="n">
        <f aca="false">IF(B46="GK",IFERROR('Player Data'!Q46/'Player Data'!H46*90,0),IFERROR('Player Data'!M46/'Player Data'!H46*90,0))</f>
        <v>2.41194486983155</v>
      </c>
      <c r="K46" s="23" t="n">
        <f aca="false">'Player Data'!S46</f>
        <v>18334</v>
      </c>
      <c r="L46" s="22" t="n">
        <f aca="false">INDEX(Assumptions!$B$13:$B$15,MATCH(E46,Assumptions!$A$13:$A$15,0))</f>
        <v>0.85</v>
      </c>
      <c r="M46" s="24" t="n">
        <f aca="false">IFERROR(SUMPRODUCT(($B$2:$B$1001=B46)*($H$2:$H$1001&lt;=H46))/SUMPRODUCT(($B$2:$B$1001=B46)*1),0)</f>
        <v>0.898989898989899</v>
      </c>
      <c r="N46" s="24" t="n">
        <f aca="false">IFERROR(SUMPRODUCT(($B$2:$B$1001=B46)*($I$2:$I$1001&lt;=I46))/SUMPRODUCT(($B$2:$B$1001=B46)*1),0)</f>
        <v>0.787878787878788</v>
      </c>
      <c r="O46" s="24" t="n">
        <f aca="false">IFERROR(SUMPRODUCT(($B$2:$B$1001=B46)*($J$2:$J$1001&lt;=J46))/SUMPRODUCT(($B$2:$B$1001=B46)*1),0)</f>
        <v>0.609427609427609</v>
      </c>
      <c r="P46" s="24" t="n">
        <f aca="false">IFERROR(SUMPRODUCT(($B$2:$B$1001=B46)*((0-$F$2:$F$1001)&lt;=(0-F46)))/SUMPRODUCT(($B$2:$B$1001=B46)*1),0)</f>
        <v>0.61952861952862</v>
      </c>
      <c r="Q46" s="25" t="n">
        <f aca="false">(M46*Assumptions!$B$5+N46*Assumptions!$B$6+O46*Assumptions!$B$7+P46*Assumptions!$B$8)*L46</f>
        <v>0.634351851851852</v>
      </c>
      <c r="R46" s="24" t="n">
        <f aca="false">IFERROR(SUMPRODUCT(($B$2:$B$1001=B46)*($Q$2:$Q$1001&lt;=Q46))/SUMPRODUCT(($B$2:$B$1001=B46)*1),0)</f>
        <v>0.818181818181818</v>
      </c>
      <c r="S46" s="24" t="n">
        <f aca="false">IFERROR(SUMPRODUCT(($B$2:$B$1001=B46)*($K$2:$K$1001&lt;=K46))/SUMPRODUCT(($B$2:$B$1001=B46)*1),0)</f>
        <v>0.276094276094276</v>
      </c>
      <c r="T46" s="26" t="n">
        <f aca="false">(R46-S46)*100</f>
        <v>54.2087542087542</v>
      </c>
      <c r="U46" s="21" t="str">
        <f aca="false">'Player Data'!T46</f>
        <v>No</v>
      </c>
      <c r="V46" s="27" t="n">
        <f aca="false">'Player Data'!U46</f>
        <v>2029</v>
      </c>
      <c r="W46" s="21" t="str">
        <f aca="false">IF(AND(T46&gt;=Assumptions!$B$19,U46="No"),"High Priority - Unrepresented",IF(T46&gt;=Assumptions!$B$19,"High Priority",IF(AND(T46&gt;=Assumptions!$B$20,U46="No"),"Watchlist - Unrepresented",IF(T46&gt;=Assumptions!$B$20,"Watchlist",""))))</f>
        <v>High Priority - Unrepresented</v>
      </c>
      <c r="X46" s="21" t="str">
        <f aca="false">'Player Data'!V46</f>
        <v>info@mopticity.ml</v>
      </c>
      <c r="Y46" s="28" t="str">
        <f aca="false">'Player Data'!W46</f>
        <v>Club sporting director / first-team office</v>
      </c>
      <c r="Z46" s="28" t="str">
        <f aca="false">'Player Data'!X46</f>
        <v>FEMAFOOT (Malian Football Federation) player registry</v>
      </c>
      <c r="AA46" s="19" t="str">
        <f aca="false">HYPERLINK("https://www.transfermarkt.com/schnellsuche/ergebnis/schnellsuche?query="&amp;SUBSTITUTE(A46," ","+"),"Search Transfermarkt")</f>
        <v>Search Transfermarkt</v>
      </c>
      <c r="AB46" s="29" t="n">
        <f aca="false">IFERROR('Player Data'!K46/('Player Data'!K46+'Player Data'!L46),0)</f>
        <v>0.593073593073593</v>
      </c>
      <c r="AC46" s="21" t="str">
        <f aca="false">IF(B46="GK",IF(AND(O46&gt;=Assumptions!$B$23,N46&gt;=Assumptions!$B$23),"Sweeper-Keeper / Build-from-the-Back",IF(O46&gt;=Assumptions!$B$23,"Sweeper-Keeper / High Line",IF(M46&gt;=Assumptions!$B$23,"Shot-Stopper / Traditional","Flexible / Multi-System"))),IF(AND(O46&gt;=Assumptions!$B$23,P46&gt;=Assumptions!$B$24),"High Press / Gegenpressing",IF(AND(N46&gt;=Assumptions!$B$23,AB46&gt;=Assumptions!$B$25),"Possession / Build-from-the-Back",IF(N46&gt;=Assumptions!$B$23,"Counter-Attack / Transition",IF(AND(O46&gt;=Assumptions!$B$23,N46&lt;Assumptions!$B$26),"Low Block / Park the Bus",IF(AND(B46="FW",M46&gt;=Assumptions!$B$23,N46&lt;Assumptions!$B$26),"Direct / Target Approach","Flexible / Multi-System"))))))</f>
        <v>Counter-Attack / Transition</v>
      </c>
      <c r="AD46" s="21" t="str">
        <f aca="false">'Player Data'!Y46</f>
        <v>2026-07-14</v>
      </c>
      <c r="AE46" s="21" t="str">
        <f aca="false">'Player Data'!Z46</f>
        <v>2026-07-15</v>
      </c>
      <c r="AF46" s="28" t="str">
        <f aca="false">IFERROR(INDEX(Assumptions!$B$30:$B$61,MATCH(C46,Assumptions!$A$30:$A$61,0)),"--")</f>
        <v>Belgium, Portugal</v>
      </c>
      <c r="AG46" s="30" t="str">
        <f aca="false">IF(R46&gt;=0.7,"Step-Up Candidate",IF(R46&gt;=0.4,"Lateral Move","Stay &amp; Develop"))</f>
        <v>Step-Up Candidate</v>
      </c>
    </row>
    <row r="47" customFormat="false" ht="23.85" hidden="false" customHeight="false" outlineLevel="0" collapsed="false">
      <c r="A47" s="21" t="str">
        <f aca="false">'Player Data'!A47</f>
        <v>Serge Traore</v>
      </c>
      <c r="B47" s="21" t="str">
        <f aca="false">'Player Data'!F47</f>
        <v>MF</v>
      </c>
      <c r="C47" s="21" t="str">
        <f aca="false">'Player Data'!B47</f>
        <v>Ivory Coast</v>
      </c>
      <c r="D47" s="21" t="str">
        <f aca="false">'Player Data'!C47</f>
        <v>Ivory Coast Reserve League</v>
      </c>
      <c r="E47" s="21" t="n">
        <f aca="false">'Player Data'!D47</f>
        <v>4</v>
      </c>
      <c r="F47" s="21" t="n">
        <f aca="false">'Player Data'!G47</f>
        <v>24</v>
      </c>
      <c r="G47" s="21" t="n">
        <f aca="false">'Player Data'!H47</f>
        <v>2215</v>
      </c>
      <c r="H47" s="22" t="n">
        <f aca="false">IF(B47="GK",IFERROR(('Player Data'!N47-1.5*'Player Data'!O47)/'Player Data'!H47*90,0),IFERROR(('Player Data'!I47+'Player Data'!J47)/'Player Data'!H47*90,0))</f>
        <v>0.609480812641084</v>
      </c>
      <c r="I47" s="22" t="n">
        <f aca="false">IF(B47="GK",'Player Data'!P47,IFERROR(('Player Data'!K47+'Player Data'!L47)/'Player Data'!H47*90,0))</f>
        <v>8.00451467268623</v>
      </c>
      <c r="J47" s="22" t="n">
        <f aca="false">IF(B47="GK",IFERROR('Player Data'!Q47/'Player Data'!H47*90,0),IFERROR('Player Data'!M47/'Player Data'!H47*90,0))</f>
        <v>2.39729119638826</v>
      </c>
      <c r="K47" s="23" t="n">
        <f aca="false">'Player Data'!S47</f>
        <v>127756</v>
      </c>
      <c r="L47" s="22" t="n">
        <f aca="false">INDEX(Assumptions!$B$13:$B$15,MATCH(E47,Assumptions!$A$13:$A$15,0))</f>
        <v>0.7</v>
      </c>
      <c r="M47" s="24" t="n">
        <f aca="false">IFERROR(SUMPRODUCT(($B$2:$B$1001=B47)*($H$2:$H$1001&lt;=H47))/SUMPRODUCT(($B$2:$B$1001=B47)*1),0)</f>
        <v>0.346801346801347</v>
      </c>
      <c r="N47" s="24" t="n">
        <f aca="false">IFERROR(SUMPRODUCT(($B$2:$B$1001=B47)*($I$2:$I$1001&lt;=I47))/SUMPRODUCT(($B$2:$B$1001=B47)*1),0)</f>
        <v>0.158249158249158</v>
      </c>
      <c r="O47" s="24" t="n">
        <f aca="false">IFERROR(SUMPRODUCT(($B$2:$B$1001=B47)*($J$2:$J$1001&lt;=J47))/SUMPRODUCT(($B$2:$B$1001=B47)*1),0)</f>
        <v>0.606060606060606</v>
      </c>
      <c r="P47" s="24" t="n">
        <f aca="false">IFERROR(SUMPRODUCT(($B$2:$B$1001=B47)*((0-$F$2:$F$1001)&lt;=(0-F47)))/SUMPRODUCT(($B$2:$B$1001=B47)*1),0)</f>
        <v>0.326599326599327</v>
      </c>
      <c r="Q47" s="25" t="n">
        <f aca="false">(M47*Assumptions!$B$5+N47*Assumptions!$B$6+O47*Assumptions!$B$7+P47*Assumptions!$B$8)*L47</f>
        <v>0.23003367003367</v>
      </c>
      <c r="R47" s="24" t="n">
        <f aca="false">IFERROR(SUMPRODUCT(($B$2:$B$1001=B47)*($Q$2:$Q$1001&lt;=Q47))/SUMPRODUCT(($B$2:$B$1001=B47)*1),0)</f>
        <v>0.134680134680135</v>
      </c>
      <c r="S47" s="24" t="n">
        <f aca="false">IFERROR(SUMPRODUCT(($B$2:$B$1001=B47)*($K$2:$K$1001&lt;=K47))/SUMPRODUCT(($B$2:$B$1001=B47)*1),0)</f>
        <v>0.898989898989899</v>
      </c>
      <c r="T47" s="26" t="n">
        <f aca="false">(R47-S47)*100</f>
        <v>-76.4309764309764</v>
      </c>
      <c r="U47" s="21" t="str">
        <f aca="false">'Player Data'!T47</f>
        <v>Unknown</v>
      </c>
      <c r="V47" s="27" t="n">
        <f aca="false">'Player Data'!U47</f>
        <v>2027</v>
      </c>
      <c r="W47" s="21" t="str">
        <f aca="false">IF(AND(T47&gt;=Assumptions!$B$19,U47="No"),"High Priority - Unrepresented",IF(T47&gt;=Assumptions!$B$19,"High Priority",IF(AND(T47&gt;=Assumptions!$B$20,U47="No"),"Watchlist - Unrepresented",IF(T47&gt;=Assumptions!$B$20,"Watchlist",""))))</f>
        <v/>
      </c>
      <c r="X47" s="21" t="str">
        <f aca="false">'Player Data'!V47</f>
        <v>info@yamoussoukrorangers.ci</v>
      </c>
      <c r="Y47" s="28" t="str">
        <f aca="false">'Player Data'!W47</f>
        <v>Club sporting director / first-team office</v>
      </c>
      <c r="Z47" s="28" t="str">
        <f aca="false">'Player Data'!X47</f>
        <v>FIF (Ivorian Football Federation) player registry</v>
      </c>
      <c r="AA47" s="19" t="str">
        <f aca="false">HYPERLINK("https://www.transfermarkt.com/schnellsuche/ergebnis/schnellsuche?query="&amp;SUBSTITUTE(A47," ","+"),"Search Transfermarkt")</f>
        <v>Search Transfermarkt</v>
      </c>
      <c r="AB47" s="29" t="n">
        <f aca="false">IFERROR('Player Data'!K47/('Player Data'!K47+'Player Data'!L47),0)</f>
        <v>0.588832487309645</v>
      </c>
      <c r="AC47" s="21" t="str">
        <f aca="false">IF(B47="GK",IF(AND(O47&gt;=Assumptions!$B$23,N47&gt;=Assumptions!$B$23),"Sweeper-Keeper / Build-from-the-Back",IF(O47&gt;=Assumptions!$B$23,"Sweeper-Keeper / High Line",IF(M47&gt;=Assumptions!$B$23,"Shot-Stopper / Traditional","Flexible / Multi-System"))),IF(AND(O47&gt;=Assumptions!$B$23,P47&gt;=Assumptions!$B$24),"High Press / Gegenpressing",IF(AND(N47&gt;=Assumptions!$B$23,AB47&gt;=Assumptions!$B$25),"Possession / Build-from-the-Back",IF(N47&gt;=Assumptions!$B$23,"Counter-Attack / Transition",IF(AND(O47&gt;=Assumptions!$B$23,N47&lt;Assumptions!$B$26),"Low Block / Park the Bus",IF(AND(B47="FW",M47&gt;=Assumptions!$B$23,N47&lt;Assumptions!$B$26),"Direct / Target Approach","Flexible / Multi-System"))))))</f>
        <v>Flexible / Multi-System</v>
      </c>
      <c r="AD47" s="21" t="str">
        <f aca="false">'Player Data'!Y47</f>
        <v>2026-07-14</v>
      </c>
      <c r="AE47" s="21" t="str">
        <f aca="false">'Player Data'!Z47</f>
        <v>2026-07-15</v>
      </c>
      <c r="AF47" s="28" t="str">
        <f aca="false">IFERROR(INDEX(Assumptions!$B$30:$B$61,MATCH(C47,Assumptions!$A$30:$A$61,0)),"--")</f>
        <v>Belgium, Portugal</v>
      </c>
      <c r="AG47" s="30" t="str">
        <f aca="false">IF(R47&gt;=0.7,"Step-Up Candidate",IF(R47&gt;=0.4,"Lateral Move","Stay &amp; Develop"))</f>
        <v>Stay &amp; Develop</v>
      </c>
    </row>
    <row r="48" customFormat="false" ht="23.85" hidden="false" customHeight="false" outlineLevel="0" collapsed="false">
      <c r="A48" s="21" t="str">
        <f aca="false">'Player Data'!A48</f>
        <v>Bekzod Rustamov</v>
      </c>
      <c r="B48" s="21" t="str">
        <f aca="false">'Player Data'!F48</f>
        <v>FW</v>
      </c>
      <c r="C48" s="21" t="str">
        <f aca="false">'Player Data'!B48</f>
        <v>Uzbekistan</v>
      </c>
      <c r="D48" s="21" t="str">
        <f aca="false">'Player Data'!C48</f>
        <v>Uzbekistan Third Tier - South</v>
      </c>
      <c r="E48" s="21" t="n">
        <f aca="false">'Player Data'!D48</f>
        <v>4</v>
      </c>
      <c r="F48" s="21" t="n">
        <f aca="false">'Player Data'!G48</f>
        <v>23</v>
      </c>
      <c r="G48" s="21" t="n">
        <f aca="false">'Player Data'!H48</f>
        <v>2276</v>
      </c>
      <c r="H48" s="22" t="n">
        <f aca="false">IF(B48="GK",IFERROR(('Player Data'!N48-1.5*'Player Data'!O48)/'Player Data'!H48*90,0),IFERROR(('Player Data'!I48+'Player Data'!J48)/'Player Data'!H48*90,0))</f>
        <v>0.474516695957821</v>
      </c>
      <c r="I48" s="22" t="n">
        <f aca="false">IF(B48="GK",'Player Data'!P48,IFERROR(('Player Data'!K48+'Player Data'!L48)/'Player Data'!H48*90,0))</f>
        <v>5.65465729349736</v>
      </c>
      <c r="J48" s="22" t="n">
        <f aca="false">IF(B48="GK",IFERROR('Player Data'!Q48/'Player Data'!H48*90,0),IFERROR('Player Data'!M48/'Player Data'!H48*90,0))</f>
        <v>0.355887521968366</v>
      </c>
      <c r="K48" s="23" t="n">
        <f aca="false">'Player Data'!S48</f>
        <v>0</v>
      </c>
      <c r="L48" s="22" t="n">
        <f aca="false">INDEX(Assumptions!$B$13:$B$15,MATCH(E48,Assumptions!$A$13:$A$15,0))</f>
        <v>0.7</v>
      </c>
      <c r="M48" s="24" t="n">
        <f aca="false">IFERROR(SUMPRODUCT(($B$2:$B$1001=B48)*($H$2:$H$1001&lt;=H48))/SUMPRODUCT(($B$2:$B$1001=B48)*1),0)</f>
        <v>0.0442477876106195</v>
      </c>
      <c r="N48" s="24" t="n">
        <f aca="false">IFERROR(SUMPRODUCT(($B$2:$B$1001=B48)*($I$2:$I$1001&lt;=I48))/SUMPRODUCT(($B$2:$B$1001=B48)*1),0)</f>
        <v>0.349557522123894</v>
      </c>
      <c r="O48" s="24" t="n">
        <f aca="false">IFERROR(SUMPRODUCT(($B$2:$B$1001=B48)*($J$2:$J$1001&lt;=J48))/SUMPRODUCT(($B$2:$B$1001=B48)*1),0)</f>
        <v>0.261061946902655</v>
      </c>
      <c r="P48" s="24" t="n">
        <f aca="false">IFERROR(SUMPRODUCT(($B$2:$B$1001=B48)*((0-$F$2:$F$1001)&lt;=(0-F48)))/SUMPRODUCT(($B$2:$B$1001=B48)*1),0)</f>
        <v>0.389380530973451</v>
      </c>
      <c r="Q48" s="25" t="n">
        <f aca="false">(M48*Assumptions!$B$5+N48*Assumptions!$B$6+O48*Assumptions!$B$7+P48*Assumptions!$B$8)*L48</f>
        <v>0.184446902654867</v>
      </c>
      <c r="R48" s="24" t="n">
        <f aca="false">IFERROR(SUMPRODUCT(($B$2:$B$1001=B48)*($Q$2:$Q$1001&lt;=Q48))/SUMPRODUCT(($B$2:$B$1001=B48)*1),0)</f>
        <v>0.0663716814159292</v>
      </c>
      <c r="S48" s="24" t="n">
        <f aca="false">IFERROR(SUMPRODUCT(($B$2:$B$1001=B48)*($K$2:$K$1001&lt;=K48))/SUMPRODUCT(($B$2:$B$1001=B48)*1),0)</f>
        <v>0.261061946902655</v>
      </c>
      <c r="T48" s="26" t="n">
        <f aca="false">(R48-S48)*100</f>
        <v>-19.4690265486726</v>
      </c>
      <c r="U48" s="21" t="str">
        <f aca="false">'Player Data'!T48</f>
        <v>Yes</v>
      </c>
      <c r="V48" s="27" t="n">
        <f aca="false">'Player Data'!U48</f>
        <v>2026</v>
      </c>
      <c r="W48" s="21" t="str">
        <f aca="false">IF(AND(T48&gt;=Assumptions!$B$19,U48="No"),"High Priority - Unrepresented",IF(T48&gt;=Assumptions!$B$19,"High Priority",IF(AND(T48&gt;=Assumptions!$B$20,U48="No"),"Watchlist - Unrepresented",IF(T48&gt;=Assumptions!$B$20,"Watchlist",""))))</f>
        <v/>
      </c>
      <c r="X48" s="21" t="str">
        <f aca="false">'Player Data'!V48</f>
        <v>info@tashkenttown.uz</v>
      </c>
      <c r="Y48" s="28" t="str">
        <f aca="false">'Player Data'!W48</f>
        <v>Go through the player's agent - ask the club to confirm representation first</v>
      </c>
      <c r="Z48" s="28" t="str">
        <f aca="false">'Player Data'!X48</f>
        <v>UFF (Uzbekistan Football Federation) player registry</v>
      </c>
      <c r="AA48" s="19" t="str">
        <f aca="false">HYPERLINK("https://www.transfermarkt.com/schnellsuche/ergebnis/schnellsuche?query="&amp;SUBSTITUTE(A48," ","+"),"Search Transfermarkt")</f>
        <v>Search Transfermarkt</v>
      </c>
      <c r="AB48" s="29" t="n">
        <f aca="false">IFERROR('Player Data'!K48/('Player Data'!K48+'Player Data'!L48),0)</f>
        <v>0.461538461538462</v>
      </c>
      <c r="AC48" s="21" t="str">
        <f aca="false">IF(B48="GK",IF(AND(O48&gt;=Assumptions!$B$23,N48&gt;=Assumptions!$B$23),"Sweeper-Keeper / Build-from-the-Back",IF(O48&gt;=Assumptions!$B$23,"Sweeper-Keeper / High Line",IF(M48&gt;=Assumptions!$B$23,"Shot-Stopper / Traditional","Flexible / Multi-System"))),IF(AND(O48&gt;=Assumptions!$B$23,P48&gt;=Assumptions!$B$24),"High Press / Gegenpressing",IF(AND(N48&gt;=Assumptions!$B$23,AB48&gt;=Assumptions!$B$25),"Possession / Build-from-the-Back",IF(N48&gt;=Assumptions!$B$23,"Counter-Attack / Transition",IF(AND(O48&gt;=Assumptions!$B$23,N48&lt;Assumptions!$B$26),"Low Block / Park the Bus",IF(AND(B48="FW",M48&gt;=Assumptions!$B$23,N48&lt;Assumptions!$B$26),"Direct / Target Approach","Flexible / Multi-System"))))))</f>
        <v>Flexible / Multi-System</v>
      </c>
      <c r="AD48" s="21" t="str">
        <f aca="false">'Player Data'!Y48</f>
        <v>2026-07-14</v>
      </c>
      <c r="AE48" s="21" t="str">
        <f aca="false">'Player Data'!Z48</f>
        <v>2026-07-15</v>
      </c>
      <c r="AF48" s="28" t="str">
        <f aca="false">IFERROR(INDEX(Assumptions!$B$30:$B$61,MATCH(C48,Assumptions!$A$30:$A$61,0)),"--")</f>
        <v>Turkey, Saudi Arabia</v>
      </c>
      <c r="AG48" s="30" t="str">
        <f aca="false">IF(R48&gt;=0.7,"Step-Up Candidate",IF(R48&gt;=0.4,"Lateral Move","Stay &amp; Develop"))</f>
        <v>Stay &amp; Develop</v>
      </c>
    </row>
    <row r="49" customFormat="false" ht="23.85" hidden="false" customHeight="false" outlineLevel="0" collapsed="false">
      <c r="A49" s="21" t="str">
        <f aca="false">'Player Data'!A49</f>
        <v>Gonzalo Fernandez</v>
      </c>
      <c r="B49" s="21" t="str">
        <f aca="false">'Player Data'!F49</f>
        <v>MF</v>
      </c>
      <c r="C49" s="21" t="str">
        <f aca="false">'Player Data'!B49</f>
        <v>Bolivia</v>
      </c>
      <c r="D49" s="21" t="str">
        <f aca="false">'Player Data'!C49</f>
        <v>Bolivia Second Division</v>
      </c>
      <c r="E49" s="21" t="n">
        <f aca="false">'Player Data'!D49</f>
        <v>3</v>
      </c>
      <c r="F49" s="21" t="n">
        <f aca="false">'Player Data'!G49</f>
        <v>20</v>
      </c>
      <c r="G49" s="21" t="n">
        <f aca="false">'Player Data'!H49</f>
        <v>1413</v>
      </c>
      <c r="H49" s="22" t="n">
        <f aca="false">IF(B49="GK",IFERROR(('Player Data'!N49-1.5*'Player Data'!O49)/'Player Data'!H49*90,0),IFERROR(('Player Data'!I49+'Player Data'!J49)/'Player Data'!H49*90,0))</f>
        <v>0.828025477707006</v>
      </c>
      <c r="I49" s="22" t="n">
        <f aca="false">IF(B49="GK",'Player Data'!P49,IFERROR(('Player Data'!K49+'Player Data'!L49)/'Player Data'!H49*90,0))</f>
        <v>12.484076433121</v>
      </c>
      <c r="J49" s="22" t="n">
        <f aca="false">IF(B49="GK",IFERROR('Player Data'!Q49/'Player Data'!H49*90,0),IFERROR('Player Data'!M49/'Player Data'!H49*90,0))</f>
        <v>3.88535031847134</v>
      </c>
      <c r="K49" s="23" t="n">
        <f aca="false">'Player Data'!S49</f>
        <v>106384</v>
      </c>
      <c r="L49" s="22" t="n">
        <f aca="false">INDEX(Assumptions!$B$13:$B$15,MATCH(E49,Assumptions!$A$13:$A$15,0))</f>
        <v>0.85</v>
      </c>
      <c r="M49" s="24" t="n">
        <f aca="false">IFERROR(SUMPRODUCT(($B$2:$B$1001=B49)*($H$2:$H$1001&lt;=H49))/SUMPRODUCT(($B$2:$B$1001=B49)*1),0)</f>
        <v>0.632996632996633</v>
      </c>
      <c r="N49" s="24" t="n">
        <f aca="false">IFERROR(SUMPRODUCT(($B$2:$B$1001=B49)*($I$2:$I$1001&lt;=I49))/SUMPRODUCT(($B$2:$B$1001=B49)*1),0)</f>
        <v>0.626262626262626</v>
      </c>
      <c r="O49" s="24" t="n">
        <f aca="false">IFERROR(SUMPRODUCT(($B$2:$B$1001=B49)*($J$2:$J$1001&lt;=J49))/SUMPRODUCT(($B$2:$B$1001=B49)*1),0)</f>
        <v>0.915824915824916</v>
      </c>
      <c r="P49" s="24" t="n">
        <f aca="false">IFERROR(SUMPRODUCT(($B$2:$B$1001=B49)*((0-$F$2:$F$1001)&lt;=(0-F49)))/SUMPRODUCT(($B$2:$B$1001=B49)*1),0)</f>
        <v>0.734006734006734</v>
      </c>
      <c r="Q49" s="25" t="n">
        <f aca="false">(M49*Assumptions!$B$5+N49*Assumptions!$B$6+O49*Assumptions!$B$7+P49*Assumptions!$B$8)*L49</f>
        <v>0.601296296296296</v>
      </c>
      <c r="R49" s="24" t="n">
        <f aca="false">IFERROR(SUMPRODUCT(($B$2:$B$1001=B49)*($Q$2:$Q$1001&lt;=Q49))/SUMPRODUCT(($B$2:$B$1001=B49)*1),0)</f>
        <v>0.754208754208754</v>
      </c>
      <c r="S49" s="24" t="n">
        <f aca="false">IFERROR(SUMPRODUCT(($B$2:$B$1001=B49)*($K$2:$K$1001&lt;=K49))/SUMPRODUCT(($B$2:$B$1001=B49)*1),0)</f>
        <v>0.767676767676768</v>
      </c>
      <c r="T49" s="26" t="n">
        <f aca="false">(R49-S49)*100</f>
        <v>-1.34680134680134</v>
      </c>
      <c r="U49" s="21" t="str">
        <f aca="false">'Player Data'!T49</f>
        <v>No</v>
      </c>
      <c r="V49" s="27" t="n">
        <f aca="false">'Player Data'!U49</f>
        <v>2027</v>
      </c>
      <c r="W49" s="21" t="str">
        <f aca="false">IF(AND(T49&gt;=Assumptions!$B$19,U49="No"),"High Priority - Unrepresented",IF(T49&gt;=Assumptions!$B$19,"High Priority",IF(AND(T49&gt;=Assumptions!$B$20,U49="No"),"Watchlist - Unrepresented",IF(T49&gt;=Assumptions!$B$20,"Watchlist",""))))</f>
        <v/>
      </c>
      <c r="X49" s="21" t="str">
        <f aca="false">'Player Data'!V49</f>
        <v>info@cochabambaunited.bo</v>
      </c>
      <c r="Y49" s="28" t="str">
        <f aca="false">'Player Data'!W49</f>
        <v>Club sporting director / first-team office</v>
      </c>
      <c r="Z49" s="28" t="str">
        <f aca="false">'Player Data'!X49</f>
        <v>FBF (Bolivian Football Federation) player registry</v>
      </c>
      <c r="AA49" s="19" t="str">
        <f aca="false">HYPERLINK("https://www.transfermarkt.com/schnellsuche/ergebnis/schnellsuche?query="&amp;SUBSTITUTE(A49," ","+"),"Search Transfermarkt")</f>
        <v>Search Transfermarkt</v>
      </c>
      <c r="AB49" s="29" t="n">
        <f aca="false">IFERROR('Player Data'!K49/('Player Data'!K49+'Player Data'!L49),0)</f>
        <v>0.658163265306123</v>
      </c>
      <c r="AC49" s="21" t="str">
        <f aca="false">IF(B49="GK",IF(AND(O49&gt;=Assumptions!$B$23,N49&gt;=Assumptions!$B$23),"Sweeper-Keeper / Build-from-the-Back",IF(O49&gt;=Assumptions!$B$23,"Sweeper-Keeper / High Line",IF(M49&gt;=Assumptions!$B$23,"Shot-Stopper / Traditional","Flexible / Multi-System"))),IF(AND(O49&gt;=Assumptions!$B$23,P49&gt;=Assumptions!$B$24),"High Press / Gegenpressing",IF(AND(N49&gt;=Assumptions!$B$23,AB49&gt;=Assumptions!$B$25),"Possession / Build-from-the-Back",IF(N49&gt;=Assumptions!$B$23,"Counter-Attack / Transition",IF(AND(O49&gt;=Assumptions!$B$23,N49&lt;Assumptions!$B$26),"Low Block / Park the Bus",IF(AND(B49="FW",M49&gt;=Assumptions!$B$23,N49&lt;Assumptions!$B$26),"Direct / Target Approach","Flexible / Multi-System"))))))</f>
        <v>High Press / Gegenpressing</v>
      </c>
      <c r="AD49" s="21" t="str">
        <f aca="false">'Player Data'!Y49</f>
        <v>2026-07-14</v>
      </c>
      <c r="AE49" s="21" t="str">
        <f aca="false">'Player Data'!Z49</f>
        <v>2026-07-15</v>
      </c>
      <c r="AF49" s="28" t="str">
        <f aca="false">IFERROR(INDEX(Assumptions!$B$30:$B$61,MATCH(C49,Assumptions!$A$30:$A$61,0)),"--")</f>
        <v>Argentina, Portugal</v>
      </c>
      <c r="AG49" s="30" t="str">
        <f aca="false">IF(R49&gt;=0.7,"Step-Up Candidate",IF(R49&gt;=0.4,"Lateral Move","Stay &amp; Develop"))</f>
        <v>Step-Up Candidate</v>
      </c>
    </row>
    <row r="50" customFormat="false" ht="23.85" hidden="false" customHeight="false" outlineLevel="0" collapsed="false">
      <c r="A50" s="21" t="str">
        <f aca="false">'Player Data'!A50</f>
        <v>Gentian Meta</v>
      </c>
      <c r="B50" s="21" t="str">
        <f aca="false">'Player Data'!F50</f>
        <v>DF</v>
      </c>
      <c r="C50" s="21" t="str">
        <f aca="false">'Player Data'!B50</f>
        <v>Albania</v>
      </c>
      <c r="D50" s="21" t="str">
        <f aca="false">'Player Data'!C50</f>
        <v>Albania Amateur League</v>
      </c>
      <c r="E50" s="21" t="n">
        <f aca="false">'Player Data'!D50</f>
        <v>2</v>
      </c>
      <c r="F50" s="21" t="n">
        <f aca="false">'Player Data'!G50</f>
        <v>17</v>
      </c>
      <c r="G50" s="21" t="n">
        <f aca="false">'Player Data'!H50</f>
        <v>1334</v>
      </c>
      <c r="H50" s="22" t="n">
        <f aca="false">IF(B50="GK",IFERROR(('Player Data'!N50-1.5*'Player Data'!O50)/'Player Data'!H50*90,0),IFERROR(('Player Data'!I50+'Player Data'!J50)/'Player Data'!H50*90,0))</f>
        <v>0.337331334332834</v>
      </c>
      <c r="I50" s="22" t="n">
        <f aca="false">IF(B50="GK",'Player Data'!P50,IFERROR(('Player Data'!K50+'Player Data'!L50)/'Player Data'!H50*90,0))</f>
        <v>5.0599700149925</v>
      </c>
      <c r="J50" s="22" t="n">
        <f aca="false">IF(B50="GK",IFERROR('Player Data'!Q50/'Player Data'!H50*90,0),IFERROR('Player Data'!M50/'Player Data'!H50*90,0))</f>
        <v>5.4647676161919</v>
      </c>
      <c r="K50" s="23" t="n">
        <f aca="false">'Player Data'!S50</f>
        <v>90228</v>
      </c>
      <c r="L50" s="22" t="n">
        <f aca="false">INDEX(Assumptions!$B$13:$B$15,MATCH(E50,Assumptions!$A$13:$A$15,0))</f>
        <v>1</v>
      </c>
      <c r="M50" s="24" t="n">
        <f aca="false">IFERROR(SUMPRODUCT(($B$2:$B$1001=B50)*($H$2:$H$1001&lt;=H50))/SUMPRODUCT(($B$2:$B$1001=B50)*1),0)</f>
        <v>0.836734693877551</v>
      </c>
      <c r="N50" s="24" t="n">
        <f aca="false">IFERROR(SUMPRODUCT(($B$2:$B$1001=B50)*($I$2:$I$1001&lt;=I50))/SUMPRODUCT(($B$2:$B$1001=B50)*1),0)</f>
        <v>0.605442176870748</v>
      </c>
      <c r="O50" s="24" t="n">
        <f aca="false">IFERROR(SUMPRODUCT(($B$2:$B$1001=B50)*($J$2:$J$1001&lt;=J50))/SUMPRODUCT(($B$2:$B$1001=B50)*1),0)</f>
        <v>0.517006802721089</v>
      </c>
      <c r="P50" s="24" t="n">
        <f aca="false">IFERROR(SUMPRODUCT(($B$2:$B$1001=B50)*((0-$F$2:$F$1001)&lt;=(0-F50)))/SUMPRODUCT(($B$2:$B$1001=B50)*1),0)</f>
        <v>1</v>
      </c>
      <c r="Q50" s="25" t="n">
        <f aca="false">(M50*Assumptions!$B$5+N50*Assumptions!$B$6+O50*Assumptions!$B$7+P50*Assumptions!$B$8)*L50</f>
        <v>0.724489795918367</v>
      </c>
      <c r="R50" s="24" t="n">
        <f aca="false">IFERROR(SUMPRODUCT(($B$2:$B$1001=B50)*($Q$2:$Q$1001&lt;=Q50))/SUMPRODUCT(($B$2:$B$1001=B50)*1),0)</f>
        <v>0.897959183673469</v>
      </c>
      <c r="S50" s="24" t="n">
        <f aca="false">IFERROR(SUMPRODUCT(($B$2:$B$1001=B50)*($K$2:$K$1001&lt;=K50))/SUMPRODUCT(($B$2:$B$1001=B50)*1),0)</f>
        <v>0.680272108843537</v>
      </c>
      <c r="T50" s="26" t="n">
        <f aca="false">(R50-S50)*100</f>
        <v>21.7687074829932</v>
      </c>
      <c r="U50" s="21" t="str">
        <f aca="false">'Player Data'!T50</f>
        <v>No</v>
      </c>
      <c r="V50" s="27" t="n">
        <f aca="false">'Player Data'!U50</f>
        <v>2026</v>
      </c>
      <c r="W50" s="21" t="str">
        <f aca="false">IF(AND(T50&gt;=Assumptions!$B$19,U50="No"),"High Priority - Unrepresented",IF(T50&gt;=Assumptions!$B$19,"High Priority",IF(AND(T50&gt;=Assumptions!$B$20,U50="No"),"Watchlist - Unrepresented",IF(T50&gt;=Assumptions!$B$20,"Watchlist",""))))</f>
        <v>Watchlist - Unrepresented</v>
      </c>
      <c r="X50" s="21" t="str">
        <f aca="false">'Player Data'!V50</f>
        <v>info@elbasanwanderers.al</v>
      </c>
      <c r="Y50" s="28" t="str">
        <f aca="false">'Player Data'!W50</f>
        <v>Club youth/academy office ONLY - player is a minor, do not contact directly</v>
      </c>
      <c r="Z50" s="28" t="str">
        <f aca="false">'Player Data'!X50</f>
        <v>FSHF (Albanian Football Association) player registry</v>
      </c>
      <c r="AA50" s="19" t="str">
        <f aca="false">HYPERLINK("https://www.transfermarkt.com/schnellsuche/ergebnis/schnellsuche?query="&amp;SUBSTITUTE(A50," ","+"),"Search Transfermarkt")</f>
        <v>Search Transfermarkt</v>
      </c>
      <c r="AB50" s="29" t="n">
        <f aca="false">IFERROR('Player Data'!K50/('Player Data'!K50+'Player Data'!L50),0)</f>
        <v>0.72</v>
      </c>
      <c r="AC50" s="21" t="str">
        <f aca="false">IF(B50="GK",IF(AND(O50&gt;=Assumptions!$B$23,N50&gt;=Assumptions!$B$23),"Sweeper-Keeper / Build-from-the-Back",IF(O50&gt;=Assumptions!$B$23,"Sweeper-Keeper / High Line",IF(M50&gt;=Assumptions!$B$23,"Shot-Stopper / Traditional","Flexible / Multi-System"))),IF(AND(O50&gt;=Assumptions!$B$23,P50&gt;=Assumptions!$B$24),"High Press / Gegenpressing",IF(AND(N50&gt;=Assumptions!$B$23,AB50&gt;=Assumptions!$B$25),"Possession / Build-from-the-Back",IF(N50&gt;=Assumptions!$B$23,"Counter-Attack / Transition",IF(AND(O50&gt;=Assumptions!$B$23,N50&lt;Assumptions!$B$26),"Low Block / Park the Bus",IF(AND(B50="FW",M50&gt;=Assumptions!$B$23,N50&lt;Assumptions!$B$26),"Direct / Target Approach","Flexible / Multi-System"))))))</f>
        <v>Flexible / Multi-System</v>
      </c>
      <c r="AD50" s="21" t="str">
        <f aca="false">'Player Data'!Y50</f>
        <v>2026-07-14</v>
      </c>
      <c r="AE50" s="21" t="str">
        <f aca="false">'Player Data'!Z50</f>
        <v>2026-07-15</v>
      </c>
      <c r="AF50" s="28" t="str">
        <f aca="false">IFERROR(INDEX(Assumptions!$B$30:$B$61,MATCH(C50,Assumptions!$A$30:$A$61,0)),"--")</f>
        <v>Turkey, Poland</v>
      </c>
      <c r="AG50" s="30" t="str">
        <f aca="false">IF(R50&gt;=0.7,"Step-Up Candidate",IF(R50&gt;=0.4,"Lateral Move","Stay &amp; Develop"))</f>
        <v>Step-Up Candidate</v>
      </c>
    </row>
    <row r="51" customFormat="false" ht="23.85" hidden="false" customHeight="false" outlineLevel="0" collapsed="false">
      <c r="A51" s="21" t="str">
        <f aca="false">'Player Data'!A51</f>
        <v>Didier Kouassi</v>
      </c>
      <c r="B51" s="21" t="str">
        <f aca="false">'Player Data'!F51</f>
        <v>GK</v>
      </c>
      <c r="C51" s="21" t="str">
        <f aca="false">'Player Data'!B51</f>
        <v>Ivory Coast</v>
      </c>
      <c r="D51" s="21" t="str">
        <f aca="false">'Player Data'!C51</f>
        <v>Ivory Coast Second Division</v>
      </c>
      <c r="E51" s="21" t="n">
        <f aca="false">'Player Data'!D51</f>
        <v>3</v>
      </c>
      <c r="F51" s="21" t="n">
        <f aca="false">'Player Data'!G51</f>
        <v>18</v>
      </c>
      <c r="G51" s="21" t="n">
        <f aca="false">'Player Data'!H51</f>
        <v>2241</v>
      </c>
      <c r="H51" s="22" t="n">
        <f aca="false">IF(B51="GK",IFERROR(('Player Data'!N51-1.5*'Player Data'!O51)/'Player Data'!H51*90,0),IFERROR(('Player Data'!I51+'Player Data'!J51)/'Player Data'!H51*90,0))</f>
        <v>1.10441767068273</v>
      </c>
      <c r="I51" s="22" t="n">
        <f aca="false">IF(B51="GK",'Player Data'!P51,IFERROR(('Player Data'!K51+'Player Data'!L51)/'Player Data'!H51*90,0))</f>
        <v>88</v>
      </c>
      <c r="J51" s="22" t="n">
        <f aca="false">IF(B51="GK",IFERROR('Player Data'!Q51/'Player Data'!H51*90,0),IFERROR('Player Data'!M51/'Player Data'!H51*90,0))</f>
        <v>0.224899598393574</v>
      </c>
      <c r="K51" s="23" t="n">
        <f aca="false">'Player Data'!S51</f>
        <v>0</v>
      </c>
      <c r="L51" s="22" t="n">
        <f aca="false">INDEX(Assumptions!$B$13:$B$15,MATCH(E51,Assumptions!$A$13:$A$15,0))</f>
        <v>0.85</v>
      </c>
      <c r="M51" s="24" t="n">
        <f aca="false">IFERROR(SUMPRODUCT(($B$2:$B$1001=B51)*($H$2:$H$1001&lt;=H51))/SUMPRODUCT(($B$2:$B$1001=B51)*1),0)</f>
        <v>0.491803278688525</v>
      </c>
      <c r="N51" s="24" t="n">
        <f aca="false">IFERROR(SUMPRODUCT(($B$2:$B$1001=B51)*($I$2:$I$1001&lt;=I51))/SUMPRODUCT(($B$2:$B$1001=B51)*1),0)</f>
        <v>0.923497267759563</v>
      </c>
      <c r="O51" s="24" t="n">
        <f aca="false">IFERROR(SUMPRODUCT(($B$2:$B$1001=B51)*($J$2:$J$1001&lt;=J51))/SUMPRODUCT(($B$2:$B$1001=B51)*1),0)</f>
        <v>0.0765027322404372</v>
      </c>
      <c r="P51" s="24" t="n">
        <f aca="false">IFERROR(SUMPRODUCT(($B$2:$B$1001=B51)*((0-$F$2:$F$1001)&lt;=(0-F51)))/SUMPRODUCT(($B$2:$B$1001=B51)*1),0)</f>
        <v>0.907103825136612</v>
      </c>
      <c r="Q51" s="25" t="n">
        <f aca="false">(M51*Assumptions!$B$5+N51*Assumptions!$B$6+O51*Assumptions!$B$7+P51*Assumptions!$B$8)*L51</f>
        <v>0.54646174863388</v>
      </c>
      <c r="R51" s="24" t="n">
        <f aca="false">IFERROR(SUMPRODUCT(($B$2:$B$1001=B51)*($Q$2:$Q$1001&lt;=Q51))/SUMPRODUCT(($B$2:$B$1001=B51)*1),0)</f>
        <v>0.743169398907104</v>
      </c>
      <c r="S51" s="24" t="n">
        <f aca="false">IFERROR(SUMPRODUCT(($B$2:$B$1001=B51)*($K$2:$K$1001&lt;=K51))/SUMPRODUCT(($B$2:$B$1001=B51)*1),0)</f>
        <v>0.218579234972678</v>
      </c>
      <c r="T51" s="26" t="n">
        <f aca="false">(R51-S51)*100</f>
        <v>52.4590163934426</v>
      </c>
      <c r="U51" s="21" t="str">
        <f aca="false">'Player Data'!T51</f>
        <v>Unknown</v>
      </c>
      <c r="V51" s="27" t="n">
        <f aca="false">'Player Data'!U51</f>
        <v>2028</v>
      </c>
      <c r="W51" s="21" t="str">
        <f aca="false">IF(AND(T51&gt;=Assumptions!$B$19,U51="No"),"High Priority - Unrepresented",IF(T51&gt;=Assumptions!$B$19,"High Priority",IF(AND(T51&gt;=Assumptions!$B$20,U51="No"),"Watchlist - Unrepresented",IF(T51&gt;=Assumptions!$B$20,"Watchlist",""))))</f>
        <v>High Priority</v>
      </c>
      <c r="X51" s="21" t="str">
        <f aca="false">'Player Data'!V51</f>
        <v>info@bouakerangers.ci</v>
      </c>
      <c r="Y51" s="28" t="str">
        <f aca="false">'Player Data'!W51</f>
        <v>Club sporting director / first-team office</v>
      </c>
      <c r="Z51" s="28" t="str">
        <f aca="false">'Player Data'!X51</f>
        <v>FIF (Ivorian Football Federation) player registry</v>
      </c>
      <c r="AA51" s="19" t="str">
        <f aca="false">HYPERLINK("https://www.transfermarkt.com/schnellsuche/ergebnis/schnellsuche?query="&amp;SUBSTITUTE(A51," ","+"),"Search Transfermarkt")</f>
        <v>Search Transfermarkt</v>
      </c>
      <c r="AB51" s="29" t="n">
        <f aca="false">IFERROR('Player Data'!K51/('Player Data'!K51+'Player Data'!L51),0)</f>
        <v>1</v>
      </c>
      <c r="AC51" s="21" t="str">
        <f aca="false">IF(B51="GK",IF(AND(O51&gt;=Assumptions!$B$23,N51&gt;=Assumptions!$B$23),"Sweeper-Keeper / Build-from-the-Back",IF(O51&gt;=Assumptions!$B$23,"Sweeper-Keeper / High Line",IF(M51&gt;=Assumptions!$B$23,"Shot-Stopper / Traditional","Flexible / Multi-System"))),IF(AND(O51&gt;=Assumptions!$B$23,P51&gt;=Assumptions!$B$24),"High Press / Gegenpressing",IF(AND(N51&gt;=Assumptions!$B$23,AB51&gt;=Assumptions!$B$25),"Possession / Build-from-the-Back",IF(N51&gt;=Assumptions!$B$23,"Counter-Attack / Transition",IF(AND(O51&gt;=Assumptions!$B$23,N51&lt;Assumptions!$B$26),"Low Block / Park the Bus",IF(AND(B51="FW",M51&gt;=Assumptions!$B$23,N51&lt;Assumptions!$B$26),"Direct / Target Approach","Flexible / Multi-System"))))))</f>
        <v>Flexible / Multi-System</v>
      </c>
      <c r="AD51" s="21" t="str">
        <f aca="false">'Player Data'!Y51</f>
        <v>2026-07-14</v>
      </c>
      <c r="AE51" s="21" t="str">
        <f aca="false">'Player Data'!Z51</f>
        <v>2026-07-15</v>
      </c>
      <c r="AF51" s="28" t="str">
        <f aca="false">IFERROR(INDEX(Assumptions!$B$30:$B$61,MATCH(C51,Assumptions!$A$30:$A$61,0)),"--")</f>
        <v>Belgium, Portugal</v>
      </c>
      <c r="AG51" s="30" t="str">
        <f aca="false">IF(R51&gt;=0.7,"Step-Up Candidate",IF(R51&gt;=0.4,"Lateral Move","Stay &amp; Develop"))</f>
        <v>Step-Up Candidate</v>
      </c>
    </row>
    <row r="52" customFormat="false" ht="23.85" hidden="false" customHeight="false" outlineLevel="0" collapsed="false">
      <c r="A52" s="21" t="str">
        <f aca="false">'Player Data'!A52</f>
        <v>Callum Brown</v>
      </c>
      <c r="B52" s="21" t="str">
        <f aca="false">'Player Data'!F52</f>
        <v>FW</v>
      </c>
      <c r="C52" s="21" t="str">
        <f aca="false">'Player Data'!B52</f>
        <v>New Zealand</v>
      </c>
      <c r="D52" s="21" t="str">
        <f aca="false">'Player Data'!C52</f>
        <v>New Zealand Third Tier - South</v>
      </c>
      <c r="E52" s="21" t="n">
        <f aca="false">'Player Data'!D52</f>
        <v>3</v>
      </c>
      <c r="F52" s="21" t="n">
        <f aca="false">'Player Data'!G52</f>
        <v>24</v>
      </c>
      <c r="G52" s="21" t="n">
        <f aca="false">'Player Data'!H52</f>
        <v>2529</v>
      </c>
      <c r="H52" s="22" t="n">
        <f aca="false">IF(B52="GK",IFERROR(('Player Data'!N52-1.5*'Player Data'!O52)/'Player Data'!H52*90,0),IFERROR(('Player Data'!I52+'Player Data'!J52)/'Player Data'!H52*90,0))</f>
        <v>0.391459074733096</v>
      </c>
      <c r="I52" s="22" t="n">
        <f aca="false">IF(B52="GK",'Player Data'!P52,IFERROR(('Player Data'!K52+'Player Data'!L52)/'Player Data'!H52*90,0))</f>
        <v>4.30604982206406</v>
      </c>
      <c r="J52" s="22" t="n">
        <f aca="false">IF(B52="GK",IFERROR('Player Data'!Q52/'Player Data'!H52*90,0),IFERROR('Player Data'!M52/'Player Data'!H52*90,0))</f>
        <v>0.284697508896797</v>
      </c>
      <c r="K52" s="23" t="n">
        <f aca="false">'Player Data'!S52</f>
        <v>90731</v>
      </c>
      <c r="L52" s="22" t="n">
        <f aca="false">INDEX(Assumptions!$B$13:$B$15,MATCH(E52,Assumptions!$A$13:$A$15,0))</f>
        <v>0.85</v>
      </c>
      <c r="M52" s="24" t="n">
        <f aca="false">IFERROR(SUMPRODUCT(($B$2:$B$1001=B52)*($H$2:$H$1001&lt;=H52))/SUMPRODUCT(($B$2:$B$1001=B52)*1),0)</f>
        <v>0.0265486725663717</v>
      </c>
      <c r="N52" s="24" t="n">
        <f aca="false">IFERROR(SUMPRODUCT(($B$2:$B$1001=B52)*($I$2:$I$1001&lt;=I52))/SUMPRODUCT(($B$2:$B$1001=B52)*1),0)</f>
        <v>0.079646017699115</v>
      </c>
      <c r="O52" s="24" t="n">
        <f aca="false">IFERROR(SUMPRODUCT(($B$2:$B$1001=B52)*($J$2:$J$1001&lt;=J52))/SUMPRODUCT(($B$2:$B$1001=B52)*1),0)</f>
        <v>0.15929203539823</v>
      </c>
      <c r="P52" s="24" t="n">
        <f aca="false">IFERROR(SUMPRODUCT(($B$2:$B$1001=B52)*((0-$F$2:$F$1001)&lt;=(0-F52)))/SUMPRODUCT(($B$2:$B$1001=B52)*1),0)</f>
        <v>0.305309734513274</v>
      </c>
      <c r="Q52" s="25" t="n">
        <f aca="false">(M52*Assumptions!$B$5+N52*Assumptions!$B$6+O52*Assumptions!$B$7+P52*Assumptions!$B$8)*L52</f>
        <v>0.108318584070796</v>
      </c>
      <c r="R52" s="24" t="n">
        <f aca="false">IFERROR(SUMPRODUCT(($B$2:$B$1001=B52)*($Q$2:$Q$1001&lt;=Q52))/SUMPRODUCT(($B$2:$B$1001=B52)*1),0)</f>
        <v>0.0132743362831858</v>
      </c>
      <c r="S52" s="24" t="n">
        <f aca="false">IFERROR(SUMPRODUCT(($B$2:$B$1001=B52)*($K$2:$K$1001&lt;=K52))/SUMPRODUCT(($B$2:$B$1001=B52)*1),0)</f>
        <v>0.654867256637168</v>
      </c>
      <c r="T52" s="26" t="n">
        <f aca="false">(R52-S52)*100</f>
        <v>-64.1592920353982</v>
      </c>
      <c r="U52" s="21" t="str">
        <f aca="false">'Player Data'!T52</f>
        <v>Unknown</v>
      </c>
      <c r="V52" s="27" t="n">
        <f aca="false">'Player Data'!U52</f>
        <v>2029</v>
      </c>
      <c r="W52" s="21" t="str">
        <f aca="false">IF(AND(T52&gt;=Assumptions!$B$19,U52="No"),"High Priority - Unrepresented",IF(T52&gt;=Assumptions!$B$19,"High Priority",IF(AND(T52&gt;=Assumptions!$B$20,U52="No"),"Watchlist - Unrepresented",IF(T52&gt;=Assumptions!$B$20,"Watchlist",""))))</f>
        <v/>
      </c>
      <c r="X52" s="21" t="str">
        <f aca="false">'Player Data'!V52</f>
        <v>info@wellingtonfc.nz</v>
      </c>
      <c r="Y52" s="28" t="str">
        <f aca="false">'Player Data'!W52</f>
        <v>Club sporting director / first-team office</v>
      </c>
      <c r="Z52" s="28" t="str">
        <f aca="false">'Player Data'!X52</f>
        <v>NZF (New Zealand Football) player registry</v>
      </c>
      <c r="AA52" s="19" t="str">
        <f aca="false">HYPERLINK("https://www.transfermarkt.com/schnellsuche/ergebnis/schnellsuche?query="&amp;SUBSTITUTE(A52," ","+"),"Search Transfermarkt")</f>
        <v>Search Transfermarkt</v>
      </c>
      <c r="AB52" s="29" t="n">
        <f aca="false">IFERROR('Player Data'!K52/('Player Data'!K52+'Player Data'!L52),0)</f>
        <v>0.487603305785124</v>
      </c>
      <c r="AC52" s="21" t="str">
        <f aca="false">IF(B52="GK",IF(AND(O52&gt;=Assumptions!$B$23,N52&gt;=Assumptions!$B$23),"Sweeper-Keeper / Build-from-the-Back",IF(O52&gt;=Assumptions!$B$23,"Sweeper-Keeper / High Line",IF(M52&gt;=Assumptions!$B$23,"Shot-Stopper / Traditional","Flexible / Multi-System"))),IF(AND(O52&gt;=Assumptions!$B$23,P52&gt;=Assumptions!$B$24),"High Press / Gegenpressing",IF(AND(N52&gt;=Assumptions!$B$23,AB52&gt;=Assumptions!$B$25),"Possession / Build-from-the-Back",IF(N52&gt;=Assumptions!$B$23,"Counter-Attack / Transition",IF(AND(O52&gt;=Assumptions!$B$23,N52&lt;Assumptions!$B$26),"Low Block / Park the Bus",IF(AND(B52="FW",M52&gt;=Assumptions!$B$23,N52&lt;Assumptions!$B$26),"Direct / Target Approach","Flexible / Multi-System"))))))</f>
        <v>Flexible / Multi-System</v>
      </c>
      <c r="AD52" s="21" t="str">
        <f aca="false">'Player Data'!Y52</f>
        <v>2026-07-14</v>
      </c>
      <c r="AE52" s="21" t="str">
        <f aca="false">'Player Data'!Z52</f>
        <v>2026-07-15</v>
      </c>
      <c r="AF52" s="28" t="str">
        <f aca="false">IFERROR(INDEX(Assumptions!$B$30:$B$61,MATCH(C52,Assumptions!$A$30:$A$61,0)),"--")</f>
        <v>Australia, United States</v>
      </c>
      <c r="AG52" s="30" t="str">
        <f aca="false">IF(R52&gt;=0.7,"Step-Up Candidate",IF(R52&gt;=0.4,"Lateral Move","Stay &amp; Develop"))</f>
        <v>Stay &amp; Develop</v>
      </c>
    </row>
    <row r="53" customFormat="false" ht="23.85" hidden="false" customHeight="false" outlineLevel="0" collapsed="false">
      <c r="A53" s="21" t="str">
        <f aca="false">'Player Data'!A53</f>
        <v>Omar Kareem</v>
      </c>
      <c r="B53" s="21" t="str">
        <f aca="false">'Player Data'!F53</f>
        <v>GK</v>
      </c>
      <c r="C53" s="21" t="str">
        <f aca="false">'Player Data'!B53</f>
        <v>Iraq</v>
      </c>
      <c r="D53" s="21" t="str">
        <f aca="false">'Player Data'!C53</f>
        <v>Iraq Amateur League</v>
      </c>
      <c r="E53" s="21" t="n">
        <f aca="false">'Player Data'!D53</f>
        <v>2</v>
      </c>
      <c r="F53" s="21" t="n">
        <f aca="false">'Player Data'!G53</f>
        <v>18</v>
      </c>
      <c r="G53" s="21" t="n">
        <f aca="false">'Player Data'!H53</f>
        <v>2047</v>
      </c>
      <c r="H53" s="22" t="n">
        <f aca="false">IF(B53="GK",IFERROR(('Player Data'!N53-1.5*'Player Data'!O53)/'Player Data'!H53*90,0),IFERROR(('Player Data'!I53+'Player Data'!J53)/'Player Data'!H53*90,0))</f>
        <v>0.813385442110405</v>
      </c>
      <c r="I53" s="22" t="n">
        <f aca="false">IF(B53="GK",'Player Data'!P53,IFERROR(('Player Data'!K53+'Player Data'!L53)/'Player Data'!H53*90,0))</f>
        <v>59.4</v>
      </c>
      <c r="J53" s="22" t="n">
        <f aca="false">IF(B53="GK",IFERROR('Player Data'!Q53/'Player Data'!H53*90,0),IFERROR('Player Data'!M53/'Player Data'!H53*90,0))</f>
        <v>0.47923790913532</v>
      </c>
      <c r="K53" s="23" t="n">
        <f aca="false">'Player Data'!S53</f>
        <v>0</v>
      </c>
      <c r="L53" s="22" t="n">
        <f aca="false">INDEX(Assumptions!$B$13:$B$15,MATCH(E53,Assumptions!$A$13:$A$15,0))</f>
        <v>1</v>
      </c>
      <c r="M53" s="24" t="n">
        <f aca="false">IFERROR(SUMPRODUCT(($B$2:$B$1001=B53)*($H$2:$H$1001&lt;=H53))/SUMPRODUCT(($B$2:$B$1001=B53)*1),0)</f>
        <v>0.33879781420765</v>
      </c>
      <c r="N53" s="24" t="n">
        <f aca="false">IFERROR(SUMPRODUCT(($B$2:$B$1001=B53)*($I$2:$I$1001&lt;=I53))/SUMPRODUCT(($B$2:$B$1001=B53)*1),0)</f>
        <v>0.131147540983607</v>
      </c>
      <c r="O53" s="24" t="n">
        <f aca="false">IFERROR(SUMPRODUCT(($B$2:$B$1001=B53)*($J$2:$J$1001&lt;=J53))/SUMPRODUCT(($B$2:$B$1001=B53)*1),0)</f>
        <v>0.240437158469945</v>
      </c>
      <c r="P53" s="24" t="n">
        <f aca="false">IFERROR(SUMPRODUCT(($B$2:$B$1001=B53)*((0-$F$2:$F$1001)&lt;=(0-F53)))/SUMPRODUCT(($B$2:$B$1001=B53)*1),0)</f>
        <v>0.907103825136612</v>
      </c>
      <c r="Q53" s="25" t="n">
        <f aca="false">(M53*Assumptions!$B$5+N53*Assumptions!$B$6+O53*Assumptions!$B$7+P53*Assumptions!$B$8)*L53</f>
        <v>0.360109289617486</v>
      </c>
      <c r="R53" s="24" t="n">
        <f aca="false">IFERROR(SUMPRODUCT(($B$2:$B$1001=B53)*($Q$2:$Q$1001&lt;=Q53))/SUMPRODUCT(($B$2:$B$1001=B53)*1),0)</f>
        <v>0.273224043715847</v>
      </c>
      <c r="S53" s="24" t="n">
        <f aca="false">IFERROR(SUMPRODUCT(($B$2:$B$1001=B53)*($K$2:$K$1001&lt;=K53))/SUMPRODUCT(($B$2:$B$1001=B53)*1),0)</f>
        <v>0.218579234972678</v>
      </c>
      <c r="T53" s="26" t="n">
        <f aca="false">(R53-S53)*100</f>
        <v>5.46448087431694</v>
      </c>
      <c r="U53" s="21" t="str">
        <f aca="false">'Player Data'!T53</f>
        <v>Unknown</v>
      </c>
      <c r="V53" s="27" t="n">
        <f aca="false">'Player Data'!U53</f>
        <v>2026</v>
      </c>
      <c r="W53" s="21" t="str">
        <f aca="false">IF(AND(T53&gt;=Assumptions!$B$19,U53="No"),"High Priority - Unrepresented",IF(T53&gt;=Assumptions!$B$19,"High Priority",IF(AND(T53&gt;=Assumptions!$B$20,U53="No"),"Watchlist - Unrepresented",IF(T53&gt;=Assumptions!$B$20,"Watchlist",""))))</f>
        <v/>
      </c>
      <c r="X53" s="21" t="str">
        <f aca="false">'Player Data'!V53</f>
        <v>info@najafrangers.iq</v>
      </c>
      <c r="Y53" s="28" t="str">
        <f aca="false">'Player Data'!W53</f>
        <v>Club sporting director / first-team office</v>
      </c>
      <c r="Z53" s="28" t="str">
        <f aca="false">'Player Data'!X53</f>
        <v>IFA (Iraq Football Association) player registry</v>
      </c>
      <c r="AA53" s="19" t="str">
        <f aca="false">HYPERLINK("https://www.transfermarkt.com/schnellsuche/ergebnis/schnellsuche?query="&amp;SUBSTITUTE(A53," ","+"),"Search Transfermarkt")</f>
        <v>Search Transfermarkt</v>
      </c>
      <c r="AB53" s="29" t="n">
        <f aca="false">IFERROR('Player Data'!K53/('Player Data'!K53+'Player Data'!L53),0)</f>
        <v>0.75</v>
      </c>
      <c r="AC53" s="21" t="str">
        <f aca="false">IF(B53="GK",IF(AND(O53&gt;=Assumptions!$B$23,N53&gt;=Assumptions!$B$23),"Sweeper-Keeper / Build-from-the-Back",IF(O53&gt;=Assumptions!$B$23,"Sweeper-Keeper / High Line",IF(M53&gt;=Assumptions!$B$23,"Shot-Stopper / Traditional","Flexible / Multi-System"))),IF(AND(O53&gt;=Assumptions!$B$23,P53&gt;=Assumptions!$B$24),"High Press / Gegenpressing",IF(AND(N53&gt;=Assumptions!$B$23,AB53&gt;=Assumptions!$B$25),"Possession / Build-from-the-Back",IF(N53&gt;=Assumptions!$B$23,"Counter-Attack / Transition",IF(AND(O53&gt;=Assumptions!$B$23,N53&lt;Assumptions!$B$26),"Low Block / Park the Bus",IF(AND(B53="FW",M53&gt;=Assumptions!$B$23,N53&lt;Assumptions!$B$26),"Direct / Target Approach","Flexible / Multi-System"))))))</f>
        <v>Flexible / Multi-System</v>
      </c>
      <c r="AD53" s="21" t="str">
        <f aca="false">'Player Data'!Y53</f>
        <v>2026-07-14</v>
      </c>
      <c r="AE53" s="21" t="str">
        <f aca="false">'Player Data'!Z53</f>
        <v>2026-07-15</v>
      </c>
      <c r="AF53" s="28" t="str">
        <f aca="false">IFERROR(INDEX(Assumptions!$B$30:$B$61,MATCH(C53,Assumptions!$A$30:$A$61,0)),"--")</f>
        <v>Turkey, Saudi Arabia</v>
      </c>
      <c r="AG53" s="30" t="str">
        <f aca="false">IF(R53&gt;=0.7,"Step-Up Candidate",IF(R53&gt;=0.4,"Lateral Move","Stay &amp; Develop"))</f>
        <v>Stay &amp; Develop</v>
      </c>
    </row>
    <row r="54" customFormat="false" ht="23.85" hidden="false" customHeight="false" outlineLevel="0" collapsed="false">
      <c r="A54" s="21" t="str">
        <f aca="false">'Player Data'!A54</f>
        <v>Kwame Mensah</v>
      </c>
      <c r="B54" s="21" t="str">
        <f aca="false">'Player Data'!F54</f>
        <v>DF</v>
      </c>
      <c r="C54" s="21" t="str">
        <f aca="false">'Player Data'!B54</f>
        <v>Ghana</v>
      </c>
      <c r="D54" s="21" t="str">
        <f aca="false">'Player Data'!C54</f>
        <v>Ghana Second Division - West</v>
      </c>
      <c r="E54" s="21" t="n">
        <f aca="false">'Player Data'!D54</f>
        <v>3</v>
      </c>
      <c r="F54" s="21" t="n">
        <f aca="false">'Player Data'!G54</f>
        <v>26</v>
      </c>
      <c r="G54" s="21" t="n">
        <f aca="false">'Player Data'!H54</f>
        <v>873</v>
      </c>
      <c r="H54" s="22" t="n">
        <f aca="false">IF(B54="GK",IFERROR(('Player Data'!N54-1.5*'Player Data'!O54)/'Player Data'!H54*90,0),IFERROR(('Player Data'!I54+'Player Data'!J54)/'Player Data'!H54*90,0))</f>
        <v>0.618556701030928</v>
      </c>
      <c r="I54" s="22" t="n">
        <f aca="false">IF(B54="GK",'Player Data'!P54,IFERROR(('Player Data'!K54+'Player Data'!L54)/'Player Data'!H54*90,0))</f>
        <v>8.8659793814433</v>
      </c>
      <c r="J54" s="22" t="n">
        <f aca="false">IF(B54="GK",IFERROR('Player Data'!Q54/'Player Data'!H54*90,0),IFERROR('Player Data'!M54/'Player Data'!H54*90,0))</f>
        <v>13.1958762886598</v>
      </c>
      <c r="K54" s="23" t="n">
        <f aca="false">'Player Data'!S54</f>
        <v>80917</v>
      </c>
      <c r="L54" s="22" t="n">
        <f aca="false">INDEX(Assumptions!$B$13:$B$15,MATCH(E54,Assumptions!$A$13:$A$15,0))</f>
        <v>0.85</v>
      </c>
      <c r="M54" s="24" t="n">
        <f aca="false">IFERROR(SUMPRODUCT(($B$2:$B$1001=B54)*($H$2:$H$1001&lt;=H54))/SUMPRODUCT(($B$2:$B$1001=B54)*1),0)</f>
        <v>0.989795918367347</v>
      </c>
      <c r="N54" s="24" t="n">
        <f aca="false">IFERROR(SUMPRODUCT(($B$2:$B$1001=B54)*($I$2:$I$1001&lt;=I54))/SUMPRODUCT(($B$2:$B$1001=B54)*1),0)</f>
        <v>0.928571428571429</v>
      </c>
      <c r="O54" s="24" t="n">
        <f aca="false">IFERROR(SUMPRODUCT(($B$2:$B$1001=B54)*($J$2:$J$1001&lt;=J54))/SUMPRODUCT(($B$2:$B$1001=B54)*1),0)</f>
        <v>0.986394557823129</v>
      </c>
      <c r="P54" s="24" t="n">
        <f aca="false">IFERROR(SUMPRODUCT(($B$2:$B$1001=B54)*((0-$F$2:$F$1001)&lt;=(0-F54)))/SUMPRODUCT(($B$2:$B$1001=B54)*1),0)</f>
        <v>0.0748299319727891</v>
      </c>
      <c r="Q54" s="25" t="n">
        <f aca="false">(M54*Assumptions!$B$5+N54*Assumptions!$B$6+O54*Assumptions!$B$7+P54*Assumptions!$B$8)*L54</f>
        <v>0.666989795918367</v>
      </c>
      <c r="R54" s="24" t="n">
        <f aca="false">IFERROR(SUMPRODUCT(($B$2:$B$1001=B54)*($Q$2:$Q$1001&lt;=Q54))/SUMPRODUCT(($B$2:$B$1001=B54)*1),0)</f>
        <v>0.840136054421769</v>
      </c>
      <c r="S54" s="24" t="n">
        <f aca="false">IFERROR(SUMPRODUCT(($B$2:$B$1001=B54)*($K$2:$K$1001&lt;=K54))/SUMPRODUCT(($B$2:$B$1001=B54)*1),0)</f>
        <v>0.625850340136055</v>
      </c>
      <c r="T54" s="26" t="n">
        <f aca="false">(R54-S54)*100</f>
        <v>21.4285714285714</v>
      </c>
      <c r="U54" s="21" t="str">
        <f aca="false">'Player Data'!T54</f>
        <v>No</v>
      </c>
      <c r="V54" s="27" t="n">
        <f aca="false">'Player Data'!U54</f>
        <v>2029</v>
      </c>
      <c r="W54" s="21" t="str">
        <f aca="false">IF(AND(T54&gt;=Assumptions!$B$19,U54="No"),"High Priority - Unrepresented",IF(T54&gt;=Assumptions!$B$19,"High Priority",IF(AND(T54&gt;=Assumptions!$B$20,U54="No"),"Watchlist - Unrepresented",IF(T54&gt;=Assumptions!$B$20,"Watchlist",""))))</f>
        <v>Watchlist - Unrepresented</v>
      </c>
      <c r="X54" s="21" t="str">
        <f aca="false">'Player Data'!V54</f>
        <v>info@kumasisc.gh</v>
      </c>
      <c r="Y54" s="28" t="str">
        <f aca="false">'Player Data'!W54</f>
        <v>Club sporting director / first-team office</v>
      </c>
      <c r="Z54" s="28" t="str">
        <f aca="false">'Player Data'!X54</f>
        <v>GFA (Ghana Football Association) player registry</v>
      </c>
      <c r="AA54" s="19" t="str">
        <f aca="false">HYPERLINK("https://www.transfermarkt.com/schnellsuche/ergebnis/schnellsuche?query="&amp;SUBSTITUTE(A54," ","+"),"Search Transfermarkt")</f>
        <v>Search Transfermarkt</v>
      </c>
      <c r="AB54" s="29" t="n">
        <f aca="false">IFERROR('Player Data'!K54/('Player Data'!K54+'Player Data'!L54),0)</f>
        <v>0.476744186046512</v>
      </c>
      <c r="AC54" s="21" t="str">
        <f aca="false">IF(B54="GK",IF(AND(O54&gt;=Assumptions!$B$23,N54&gt;=Assumptions!$B$23),"Sweeper-Keeper / Build-from-the-Back",IF(O54&gt;=Assumptions!$B$23,"Sweeper-Keeper / High Line",IF(M54&gt;=Assumptions!$B$23,"Shot-Stopper / Traditional","Flexible / Multi-System"))),IF(AND(O54&gt;=Assumptions!$B$23,P54&gt;=Assumptions!$B$24),"High Press / Gegenpressing",IF(AND(N54&gt;=Assumptions!$B$23,AB54&gt;=Assumptions!$B$25),"Possession / Build-from-the-Back",IF(N54&gt;=Assumptions!$B$23,"Counter-Attack / Transition",IF(AND(O54&gt;=Assumptions!$B$23,N54&lt;Assumptions!$B$26),"Low Block / Park the Bus",IF(AND(B54="FW",M54&gt;=Assumptions!$B$23,N54&lt;Assumptions!$B$26),"Direct / Target Approach","Flexible / Multi-System"))))))</f>
        <v>Counter-Attack / Transition</v>
      </c>
      <c r="AD54" s="21" t="str">
        <f aca="false">'Player Data'!Y54</f>
        <v>2026-07-14</v>
      </c>
      <c r="AE54" s="21" t="str">
        <f aca="false">'Player Data'!Z54</f>
        <v>2026-07-15</v>
      </c>
      <c r="AF54" s="28" t="str">
        <f aca="false">IFERROR(INDEX(Assumptions!$B$30:$B$61,MATCH(C54,Assumptions!$A$30:$A$61,0)),"--")</f>
        <v>Belgium, Portugal</v>
      </c>
      <c r="AG54" s="30" t="str">
        <f aca="false">IF(R54&gt;=0.7,"Step-Up Candidate",IF(R54&gt;=0.4,"Lateral Move","Stay &amp; Develop"))</f>
        <v>Step-Up Candidate</v>
      </c>
    </row>
    <row r="55" customFormat="false" ht="23.85" hidden="false" customHeight="false" outlineLevel="0" collapsed="false">
      <c r="A55" s="21" t="str">
        <f aca="false">'Player Data'!A55</f>
        <v>Dusan Stankovic</v>
      </c>
      <c r="B55" s="21" t="str">
        <f aca="false">'Player Data'!F55</f>
        <v>DF</v>
      </c>
      <c r="C55" s="21" t="str">
        <f aca="false">'Player Data'!B55</f>
        <v>Serbia</v>
      </c>
      <c r="D55" s="21" t="str">
        <f aca="false">'Player Data'!C55</f>
        <v>Serbia Second Division - West</v>
      </c>
      <c r="E55" s="21" t="n">
        <f aca="false">'Player Data'!D55</f>
        <v>3</v>
      </c>
      <c r="F55" s="21" t="n">
        <f aca="false">'Player Data'!G55</f>
        <v>17</v>
      </c>
      <c r="G55" s="21" t="n">
        <f aca="false">'Player Data'!H55</f>
        <v>2004</v>
      </c>
      <c r="H55" s="22" t="n">
        <f aca="false">IF(B55="GK",IFERROR(('Player Data'!N55-1.5*'Player Data'!O55)/'Player Data'!H55*90,0),IFERROR(('Player Data'!I55+'Player Data'!J55)/'Player Data'!H55*90,0))</f>
        <v>0.224550898203593</v>
      </c>
      <c r="I55" s="22" t="n">
        <f aca="false">IF(B55="GK",'Player Data'!P55,IFERROR(('Player Data'!K55+'Player Data'!L55)/'Player Data'!H55*90,0))</f>
        <v>3.68263473053892</v>
      </c>
      <c r="J55" s="22" t="n">
        <f aca="false">IF(B55="GK",IFERROR('Player Data'!Q55/'Player Data'!H55*90,0),IFERROR('Player Data'!M55/'Player Data'!H55*90,0))</f>
        <v>3.68263473053892</v>
      </c>
      <c r="K55" s="23" t="n">
        <f aca="false">'Player Data'!S55</f>
        <v>147231</v>
      </c>
      <c r="L55" s="22" t="n">
        <f aca="false">INDEX(Assumptions!$B$13:$B$15,MATCH(E55,Assumptions!$A$13:$A$15,0))</f>
        <v>0.85</v>
      </c>
      <c r="M55" s="24" t="n">
        <f aca="false">IFERROR(SUMPRODUCT(($B$2:$B$1001=B55)*($H$2:$H$1001&lt;=H55))/SUMPRODUCT(($B$2:$B$1001=B55)*1),0)</f>
        <v>0.58843537414966</v>
      </c>
      <c r="N55" s="24" t="n">
        <f aca="false">IFERROR(SUMPRODUCT(($B$2:$B$1001=B55)*($I$2:$I$1001&lt;=I55))/SUMPRODUCT(($B$2:$B$1001=B55)*1),0)</f>
        <v>0.312925170068027</v>
      </c>
      <c r="O55" s="24" t="n">
        <f aca="false">IFERROR(SUMPRODUCT(($B$2:$B$1001=B55)*($J$2:$J$1001&lt;=J55))/SUMPRODUCT(($B$2:$B$1001=B55)*1),0)</f>
        <v>0.163265306122449</v>
      </c>
      <c r="P55" s="24" t="n">
        <f aca="false">IFERROR(SUMPRODUCT(($B$2:$B$1001=B55)*((0-$F$2:$F$1001)&lt;=(0-F55)))/SUMPRODUCT(($B$2:$B$1001=B55)*1),0)</f>
        <v>1</v>
      </c>
      <c r="Q55" s="25" t="n">
        <f aca="false">(M55*Assumptions!$B$5+N55*Assumptions!$B$6+O55*Assumptions!$B$7+P55*Assumptions!$B$8)*L55</f>
        <v>0.415892857142857</v>
      </c>
      <c r="R55" s="24" t="n">
        <f aca="false">IFERROR(SUMPRODUCT(($B$2:$B$1001=B55)*($Q$2:$Q$1001&lt;=Q55))/SUMPRODUCT(($B$2:$B$1001=B55)*1),0)</f>
        <v>0.496598639455782</v>
      </c>
      <c r="S55" s="24" t="n">
        <f aca="false">IFERROR(SUMPRODUCT(($B$2:$B$1001=B55)*($K$2:$K$1001&lt;=K55))/SUMPRODUCT(($B$2:$B$1001=B55)*1),0)</f>
        <v>0.989795918367347</v>
      </c>
      <c r="T55" s="26" t="n">
        <f aca="false">(R55-S55)*100</f>
        <v>-49.3197278911565</v>
      </c>
      <c r="U55" s="21" t="str">
        <f aca="false">'Player Data'!T55</f>
        <v>No</v>
      </c>
      <c r="V55" s="27" t="n">
        <f aca="false">'Player Data'!U55</f>
        <v>2026</v>
      </c>
      <c r="W55" s="21" t="str">
        <f aca="false">IF(AND(T55&gt;=Assumptions!$B$19,U55="No"),"High Priority - Unrepresented",IF(T55&gt;=Assumptions!$B$19,"High Priority",IF(AND(T55&gt;=Assumptions!$B$20,U55="No"),"Watchlist - Unrepresented",IF(T55&gt;=Assumptions!$B$20,"Watchlist",""))))</f>
        <v/>
      </c>
      <c r="X55" s="21" t="str">
        <f aca="false">'Player Data'!V55</f>
        <v>info@vojvodinasc.rs</v>
      </c>
      <c r="Y55" s="28" t="str">
        <f aca="false">'Player Data'!W55</f>
        <v>Club youth/academy office ONLY - player is a minor, do not contact directly</v>
      </c>
      <c r="Z55" s="28" t="str">
        <f aca="false">'Player Data'!X55</f>
        <v>FSS (Football Association of Serbia) player registry</v>
      </c>
      <c r="AA55" s="19" t="str">
        <f aca="false">HYPERLINK("https://www.transfermarkt.com/schnellsuche/ergebnis/schnellsuche?query="&amp;SUBSTITUTE(A55," ","+"),"Search Transfermarkt")</f>
        <v>Search Transfermarkt</v>
      </c>
      <c r="AB55" s="29" t="n">
        <f aca="false">IFERROR('Player Data'!K55/('Player Data'!K55+'Player Data'!L55),0)</f>
        <v>0.731707317073171</v>
      </c>
      <c r="AC55" s="21" t="str">
        <f aca="false">IF(B55="GK",IF(AND(O55&gt;=Assumptions!$B$23,N55&gt;=Assumptions!$B$23),"Sweeper-Keeper / Build-from-the-Back",IF(O55&gt;=Assumptions!$B$23,"Sweeper-Keeper / High Line",IF(M55&gt;=Assumptions!$B$23,"Shot-Stopper / Traditional","Flexible / Multi-System"))),IF(AND(O55&gt;=Assumptions!$B$23,P55&gt;=Assumptions!$B$24),"High Press / Gegenpressing",IF(AND(N55&gt;=Assumptions!$B$23,AB55&gt;=Assumptions!$B$25),"Possession / Build-from-the-Back",IF(N55&gt;=Assumptions!$B$23,"Counter-Attack / Transition",IF(AND(O55&gt;=Assumptions!$B$23,N55&lt;Assumptions!$B$26),"Low Block / Park the Bus",IF(AND(B55="FW",M55&gt;=Assumptions!$B$23,N55&lt;Assumptions!$B$26),"Direct / Target Approach","Flexible / Multi-System"))))))</f>
        <v>Flexible / Multi-System</v>
      </c>
      <c r="AD55" s="21" t="str">
        <f aca="false">'Player Data'!Y55</f>
        <v>2026-07-14</v>
      </c>
      <c r="AE55" s="21" t="str">
        <f aca="false">'Player Data'!Z55</f>
        <v>2026-07-15</v>
      </c>
      <c r="AF55" s="28" t="str">
        <f aca="false">IFERROR(INDEX(Assumptions!$B$30:$B$61,MATCH(C55,Assumptions!$A$30:$A$61,0)),"--")</f>
        <v>Austria, Turkey</v>
      </c>
      <c r="AG55" s="30" t="str">
        <f aca="false">IF(R55&gt;=0.7,"Step-Up Candidate",IF(R55&gt;=0.4,"Lateral Move","Stay &amp; Develop"))</f>
        <v>Lateral Move</v>
      </c>
    </row>
    <row r="56" customFormat="false" ht="23.85" hidden="false" customHeight="false" outlineLevel="0" collapsed="false">
      <c r="A56" s="21" t="str">
        <f aca="false">'Player Data'!A56</f>
        <v>Marko Radovic</v>
      </c>
      <c r="B56" s="21" t="str">
        <f aca="false">'Player Data'!F56</f>
        <v>MF</v>
      </c>
      <c r="C56" s="21" t="str">
        <f aca="false">'Player Data'!B56</f>
        <v>Montenegro</v>
      </c>
      <c r="D56" s="21" t="str">
        <f aca="false">'Player Data'!C56</f>
        <v>Montenegro Reserve League</v>
      </c>
      <c r="E56" s="21" t="n">
        <f aca="false">'Player Data'!D56</f>
        <v>3</v>
      </c>
      <c r="F56" s="21" t="n">
        <f aca="false">'Player Data'!G56</f>
        <v>19</v>
      </c>
      <c r="G56" s="21" t="n">
        <f aca="false">'Player Data'!H56</f>
        <v>1414</v>
      </c>
      <c r="H56" s="22" t="n">
        <f aca="false">IF(B56="GK",IFERROR(('Player Data'!N56-1.5*'Player Data'!O56)/'Player Data'!H56*90,0),IFERROR(('Player Data'!I56+'Player Data'!J56)/'Player Data'!H56*90,0))</f>
        <v>1.08203677510608</v>
      </c>
      <c r="I56" s="22" t="n">
        <f aca="false">IF(B56="GK",'Player Data'!P56,IFERROR(('Player Data'!K56+'Player Data'!L56)/'Player Data'!H56*90,0))</f>
        <v>13.3663366336634</v>
      </c>
      <c r="J56" s="22" t="n">
        <f aca="false">IF(B56="GK",IFERROR('Player Data'!Q56/'Player Data'!H56*90,0),IFERROR('Player Data'!M56/'Player Data'!H56*90,0))</f>
        <v>2.29137199434229</v>
      </c>
      <c r="K56" s="23" t="n">
        <f aca="false">'Player Data'!S56</f>
        <v>67395</v>
      </c>
      <c r="L56" s="22" t="n">
        <f aca="false">INDEX(Assumptions!$B$13:$B$15,MATCH(E56,Assumptions!$A$13:$A$15,0))</f>
        <v>0.85</v>
      </c>
      <c r="M56" s="24" t="n">
        <f aca="false">IFERROR(SUMPRODUCT(($B$2:$B$1001=B56)*($H$2:$H$1001&lt;=H56))/SUMPRODUCT(($B$2:$B$1001=B56)*1),0)</f>
        <v>0.814814814814815</v>
      </c>
      <c r="N56" s="24" t="n">
        <f aca="false">IFERROR(SUMPRODUCT(($B$2:$B$1001=B56)*($I$2:$I$1001&lt;=I56))/SUMPRODUCT(($B$2:$B$1001=B56)*1),0)</f>
        <v>0.68013468013468</v>
      </c>
      <c r="O56" s="24" t="n">
        <f aca="false">IFERROR(SUMPRODUCT(($B$2:$B$1001=B56)*($J$2:$J$1001&lt;=J56))/SUMPRODUCT(($B$2:$B$1001=B56)*1),0)</f>
        <v>0.562289562289562</v>
      </c>
      <c r="P56" s="24" t="n">
        <f aca="false">IFERROR(SUMPRODUCT(($B$2:$B$1001=B56)*((0-$F$2:$F$1001)&lt;=(0-F56)))/SUMPRODUCT(($B$2:$B$1001=B56)*1),0)</f>
        <v>0.868686868686869</v>
      </c>
      <c r="Q56" s="25" t="n">
        <f aca="false">(M56*Assumptions!$B$5+N56*Assumptions!$B$6+O56*Assumptions!$B$7+P56*Assumptions!$B$8)*L56</f>
        <v>0.618754208754209</v>
      </c>
      <c r="R56" s="24" t="n">
        <f aca="false">IFERROR(SUMPRODUCT(($B$2:$B$1001=B56)*($Q$2:$Q$1001&lt;=Q56))/SUMPRODUCT(($B$2:$B$1001=B56)*1),0)</f>
        <v>0.771043771043771</v>
      </c>
      <c r="S56" s="24" t="n">
        <f aca="false">IFERROR(SUMPRODUCT(($B$2:$B$1001=B56)*($K$2:$K$1001&lt;=K56))/SUMPRODUCT(($B$2:$B$1001=B56)*1),0)</f>
        <v>0.558922558922559</v>
      </c>
      <c r="T56" s="26" t="n">
        <f aca="false">(R56-S56)*100</f>
        <v>21.2121212121212</v>
      </c>
      <c r="U56" s="21" t="str">
        <f aca="false">'Player Data'!T56</f>
        <v>Unknown</v>
      </c>
      <c r="V56" s="27" t="n">
        <f aca="false">'Player Data'!U56</f>
        <v>2028</v>
      </c>
      <c r="W56" s="21" t="str">
        <f aca="false">IF(AND(T56&gt;=Assumptions!$B$19,U56="No"),"High Priority - Unrepresented",IF(T56&gt;=Assumptions!$B$19,"High Priority",IF(AND(T56&gt;=Assumptions!$B$20,U56="No"),"Watchlist - Unrepresented",IF(T56&gt;=Assumptions!$B$20,"Watchlist",""))))</f>
        <v>Watchlist</v>
      </c>
      <c r="X56" s="21" t="str">
        <f aca="false">'Player Data'!V56</f>
        <v>info@podgoricarovers.me</v>
      </c>
      <c r="Y56" s="28" t="str">
        <f aca="false">'Player Data'!W56</f>
        <v>Club sporting director / first-team office</v>
      </c>
      <c r="Z56" s="28" t="str">
        <f aca="false">'Player Data'!X56</f>
        <v>FSCG (Football Association of Montenegro) player registry</v>
      </c>
      <c r="AA56" s="19" t="str">
        <f aca="false">HYPERLINK("https://www.transfermarkt.com/schnellsuche/ergebnis/schnellsuche?query="&amp;SUBSTITUTE(A56," ","+"),"Search Transfermarkt")</f>
        <v>Search Transfermarkt</v>
      </c>
      <c r="AB56" s="29" t="n">
        <f aca="false">IFERROR('Player Data'!K56/('Player Data'!K56+'Player Data'!L56),0)</f>
        <v>0.728571428571429</v>
      </c>
      <c r="AC56" s="21" t="str">
        <f aca="false">IF(B56="GK",IF(AND(O56&gt;=Assumptions!$B$23,N56&gt;=Assumptions!$B$23),"Sweeper-Keeper / Build-from-the-Back",IF(O56&gt;=Assumptions!$B$23,"Sweeper-Keeper / High Line",IF(M56&gt;=Assumptions!$B$23,"Shot-Stopper / Traditional","Flexible / Multi-System"))),IF(AND(O56&gt;=Assumptions!$B$23,P56&gt;=Assumptions!$B$24),"High Press / Gegenpressing",IF(AND(N56&gt;=Assumptions!$B$23,AB56&gt;=Assumptions!$B$25),"Possession / Build-from-the-Back",IF(N56&gt;=Assumptions!$B$23,"Counter-Attack / Transition",IF(AND(O56&gt;=Assumptions!$B$23,N56&lt;Assumptions!$B$26),"Low Block / Park the Bus",IF(AND(B56="FW",M56&gt;=Assumptions!$B$23,N56&lt;Assumptions!$B$26),"Direct / Target Approach","Flexible / Multi-System"))))))</f>
        <v>Possession / Build-from-the-Back</v>
      </c>
      <c r="AD56" s="21" t="str">
        <f aca="false">'Player Data'!Y56</f>
        <v>2026-07-14</v>
      </c>
      <c r="AE56" s="21" t="str">
        <f aca="false">'Player Data'!Z56</f>
        <v>2026-07-15</v>
      </c>
      <c r="AF56" s="28" t="str">
        <f aca="false">IFERROR(INDEX(Assumptions!$B$30:$B$61,MATCH(C56,Assumptions!$A$30:$A$61,0)),"--")</f>
        <v>Austria, Turkey</v>
      </c>
      <c r="AG56" s="30" t="str">
        <f aca="false">IF(R56&gt;=0.7,"Step-Up Candidate",IF(R56&gt;=0.4,"Lateral Move","Stay &amp; Develop"))</f>
        <v>Step-Up Candidate</v>
      </c>
    </row>
    <row r="57" customFormat="false" ht="23.85" hidden="false" customHeight="false" outlineLevel="0" collapsed="false">
      <c r="A57" s="21" t="str">
        <f aca="false">'Player Data'!A57</f>
        <v>Toni Kovac</v>
      </c>
      <c r="B57" s="21" t="str">
        <f aca="false">'Player Data'!F57</f>
        <v>FW</v>
      </c>
      <c r="C57" s="21" t="str">
        <f aca="false">'Player Data'!B57</f>
        <v>Croatia</v>
      </c>
      <c r="D57" s="21" t="str">
        <f aca="false">'Player Data'!C57</f>
        <v>Croatia Amateur League</v>
      </c>
      <c r="E57" s="21" t="n">
        <f aca="false">'Player Data'!D57</f>
        <v>4</v>
      </c>
      <c r="F57" s="21" t="n">
        <f aca="false">'Player Data'!G57</f>
        <v>25</v>
      </c>
      <c r="G57" s="21" t="n">
        <f aca="false">'Player Data'!H57</f>
        <v>2744</v>
      </c>
      <c r="H57" s="22" t="n">
        <f aca="false">IF(B57="GK",IFERROR(('Player Data'!N57-1.5*'Player Data'!O57)/'Player Data'!H57*90,0),IFERROR(('Player Data'!I57+'Player Data'!J57)/'Player Data'!H57*90,0))</f>
        <v>0.524781341107872</v>
      </c>
      <c r="I57" s="22" t="n">
        <f aca="false">IF(B57="GK",'Player Data'!P57,IFERROR(('Player Data'!K57+'Player Data'!L57)/'Player Data'!H57*90,0))</f>
        <v>4.78862973760933</v>
      </c>
      <c r="J57" s="22" t="n">
        <f aca="false">IF(B57="GK",IFERROR('Player Data'!Q57/'Player Data'!H57*90,0),IFERROR('Player Data'!M57/'Player Data'!H57*90,0))</f>
        <v>0.360787172011662</v>
      </c>
      <c r="K57" s="23" t="n">
        <f aca="false">'Player Data'!S57</f>
        <v>98772</v>
      </c>
      <c r="L57" s="22" t="n">
        <f aca="false">INDEX(Assumptions!$B$13:$B$15,MATCH(E57,Assumptions!$A$13:$A$15,0))</f>
        <v>0.7</v>
      </c>
      <c r="M57" s="24" t="n">
        <f aca="false">IFERROR(SUMPRODUCT(($B$2:$B$1001=B57)*($H$2:$H$1001&lt;=H57))/SUMPRODUCT(($B$2:$B$1001=B57)*1),0)</f>
        <v>0.106194690265487</v>
      </c>
      <c r="N57" s="24" t="n">
        <f aca="false">IFERROR(SUMPRODUCT(($B$2:$B$1001=B57)*($I$2:$I$1001&lt;=I57))/SUMPRODUCT(($B$2:$B$1001=B57)*1),0)</f>
        <v>0.172566371681416</v>
      </c>
      <c r="O57" s="24" t="n">
        <f aca="false">IFERROR(SUMPRODUCT(($B$2:$B$1001=B57)*($J$2:$J$1001&lt;=J57))/SUMPRODUCT(($B$2:$B$1001=B57)*1),0)</f>
        <v>0.274336283185841</v>
      </c>
      <c r="P57" s="24" t="n">
        <f aca="false">IFERROR(SUMPRODUCT(($B$2:$B$1001=B57)*((0-$F$2:$F$1001)&lt;=(0-F57)))/SUMPRODUCT(($B$2:$B$1001=B57)*1),0)</f>
        <v>0.194690265486726</v>
      </c>
      <c r="Q57" s="25" t="n">
        <f aca="false">(M57*Assumptions!$B$5+N57*Assumptions!$B$6+O57*Assumptions!$B$7+P57*Assumptions!$B$8)*L57</f>
        <v>0.126526548672566</v>
      </c>
      <c r="R57" s="24" t="n">
        <f aca="false">IFERROR(SUMPRODUCT(($B$2:$B$1001=B57)*($Q$2:$Q$1001&lt;=Q57))/SUMPRODUCT(($B$2:$B$1001=B57)*1),0)</f>
        <v>0.0265486725663717</v>
      </c>
      <c r="S57" s="24" t="n">
        <f aca="false">IFERROR(SUMPRODUCT(($B$2:$B$1001=B57)*($K$2:$K$1001&lt;=K57))/SUMPRODUCT(($B$2:$B$1001=B57)*1),0)</f>
        <v>0.68141592920354</v>
      </c>
      <c r="T57" s="26" t="n">
        <f aca="false">(R57-S57)*100</f>
        <v>-65.4867256637168</v>
      </c>
      <c r="U57" s="21" t="str">
        <f aca="false">'Player Data'!T57</f>
        <v>No</v>
      </c>
      <c r="V57" s="27" t="n">
        <f aca="false">'Player Data'!U57</f>
        <v>2027</v>
      </c>
      <c r="W57" s="21" t="str">
        <f aca="false">IF(AND(T57&gt;=Assumptions!$B$19,U57="No"),"High Priority - Unrepresented",IF(T57&gt;=Assumptions!$B$19,"High Priority",IF(AND(T57&gt;=Assumptions!$B$20,U57="No"),"Watchlist - Unrepresented",IF(T57&gt;=Assumptions!$B$20,"Watchlist",""))))</f>
        <v/>
      </c>
      <c r="X57" s="21" t="str">
        <f aca="false">'Player Data'!V57</f>
        <v>info@bijelobrdounited.hr</v>
      </c>
      <c r="Y57" s="28" t="str">
        <f aca="false">'Player Data'!W57</f>
        <v>Club sporting director / first-team office</v>
      </c>
      <c r="Z57" s="28" t="str">
        <f aca="false">'Player Data'!X57</f>
        <v>HNS (Croatian Football Federation) player registry</v>
      </c>
      <c r="AA57" s="19" t="str">
        <f aca="false">HYPERLINK("https://www.transfermarkt.com/schnellsuche/ergebnis/schnellsuche?query="&amp;SUBSTITUTE(A57," ","+"),"Search Transfermarkt")</f>
        <v>Search Transfermarkt</v>
      </c>
      <c r="AB57" s="29" t="n">
        <f aca="false">IFERROR('Player Data'!K57/('Player Data'!K57+'Player Data'!L57),0)</f>
        <v>0.458904109589041</v>
      </c>
      <c r="AC57" s="21" t="str">
        <f aca="false">IF(B57="GK",IF(AND(O57&gt;=Assumptions!$B$23,N57&gt;=Assumptions!$B$23),"Sweeper-Keeper / Build-from-the-Back",IF(O57&gt;=Assumptions!$B$23,"Sweeper-Keeper / High Line",IF(M57&gt;=Assumptions!$B$23,"Shot-Stopper / Traditional","Flexible / Multi-System"))),IF(AND(O57&gt;=Assumptions!$B$23,P57&gt;=Assumptions!$B$24),"High Press / Gegenpressing",IF(AND(N57&gt;=Assumptions!$B$23,AB57&gt;=Assumptions!$B$25),"Possession / Build-from-the-Back",IF(N57&gt;=Assumptions!$B$23,"Counter-Attack / Transition",IF(AND(O57&gt;=Assumptions!$B$23,N57&lt;Assumptions!$B$26),"Low Block / Park the Bus",IF(AND(B57="FW",M57&gt;=Assumptions!$B$23,N57&lt;Assumptions!$B$26),"Direct / Target Approach","Flexible / Multi-System"))))))</f>
        <v>Flexible / Multi-System</v>
      </c>
      <c r="AD57" s="21" t="str">
        <f aca="false">'Player Data'!Y57</f>
        <v>2026-07-14</v>
      </c>
      <c r="AE57" s="21" t="str">
        <f aca="false">'Player Data'!Z57</f>
        <v>2026-07-15</v>
      </c>
      <c r="AF57" s="28" t="str">
        <f aca="false">IFERROR(INDEX(Assumptions!$B$30:$B$61,MATCH(C57,Assumptions!$A$30:$A$61,0)),"--")</f>
        <v>Austria, Turkey</v>
      </c>
      <c r="AG57" s="30" t="str">
        <f aca="false">IF(R57&gt;=0.7,"Step-Up Candidate",IF(R57&gt;=0.4,"Lateral Move","Stay &amp; Develop"))</f>
        <v>Stay &amp; Develop</v>
      </c>
    </row>
    <row r="58" customFormat="false" ht="23.85" hidden="false" customHeight="false" outlineLevel="0" collapsed="false">
      <c r="A58" s="21" t="str">
        <f aca="false">'Player Data'!A58</f>
        <v>Aron Sigurdsson</v>
      </c>
      <c r="B58" s="21" t="str">
        <f aca="false">'Player Data'!F58</f>
        <v>DF</v>
      </c>
      <c r="C58" s="21" t="str">
        <f aca="false">'Player Data'!B58</f>
        <v>Iceland</v>
      </c>
      <c r="D58" s="21" t="str">
        <f aca="false">'Player Data'!C58</f>
        <v>Iceland Second Division - West</v>
      </c>
      <c r="E58" s="21" t="n">
        <f aca="false">'Player Data'!D58</f>
        <v>4</v>
      </c>
      <c r="F58" s="21" t="n">
        <f aca="false">'Player Data'!G58</f>
        <v>22</v>
      </c>
      <c r="G58" s="21" t="n">
        <f aca="false">'Player Data'!H58</f>
        <v>2036</v>
      </c>
      <c r="H58" s="22" t="n">
        <f aca="false">IF(B58="GK",IFERROR(('Player Data'!N58-1.5*'Player Data'!O58)/'Player Data'!H58*90,0),IFERROR(('Player Data'!I58+'Player Data'!J58)/'Player Data'!H58*90,0))</f>
        <v>0.0884086444007858</v>
      </c>
      <c r="I58" s="22" t="n">
        <f aca="false">IF(B58="GK",'Player Data'!P58,IFERROR(('Player Data'!K58+'Player Data'!L58)/'Player Data'!H58*90,0))</f>
        <v>4.59724950884086</v>
      </c>
      <c r="J58" s="22" t="n">
        <f aca="false">IF(B58="GK",IFERROR('Player Data'!Q58/'Player Data'!H58*90,0),IFERROR('Player Data'!M58/'Player Data'!H58*90,0))</f>
        <v>3.62475442043222</v>
      </c>
      <c r="K58" s="23" t="n">
        <f aca="false">'Player Data'!S58</f>
        <v>102800</v>
      </c>
      <c r="L58" s="22" t="n">
        <f aca="false">INDEX(Assumptions!$B$13:$B$15,MATCH(E58,Assumptions!$A$13:$A$15,0))</f>
        <v>0.7</v>
      </c>
      <c r="M58" s="24" t="n">
        <f aca="false">IFERROR(SUMPRODUCT(($B$2:$B$1001=B58)*($H$2:$H$1001&lt;=H58))/SUMPRODUCT(($B$2:$B$1001=B58)*1),0)</f>
        <v>0.149659863945578</v>
      </c>
      <c r="N58" s="24" t="n">
        <f aca="false">IFERROR(SUMPRODUCT(($B$2:$B$1001=B58)*($I$2:$I$1001&lt;=I58))/SUMPRODUCT(($B$2:$B$1001=B58)*1),0)</f>
        <v>0.530612244897959</v>
      </c>
      <c r="O58" s="24" t="n">
        <f aca="false">IFERROR(SUMPRODUCT(($B$2:$B$1001=B58)*($J$2:$J$1001&lt;=J58))/SUMPRODUCT(($B$2:$B$1001=B58)*1),0)</f>
        <v>0.129251700680272</v>
      </c>
      <c r="P58" s="24" t="n">
        <f aca="false">IFERROR(SUMPRODUCT(($B$2:$B$1001=B58)*((0-$F$2:$F$1001)&lt;=(0-F58)))/SUMPRODUCT(($B$2:$B$1001=B58)*1),0)</f>
        <v>0.493197278911565</v>
      </c>
      <c r="Q58" s="25" t="n">
        <f aca="false">(M58*Assumptions!$B$5+N58*Assumptions!$B$6+O58*Assumptions!$B$7+P58*Assumptions!$B$8)*L58</f>
        <v>0.243333333333333</v>
      </c>
      <c r="R58" s="24" t="n">
        <f aca="false">IFERROR(SUMPRODUCT(($B$2:$B$1001=B58)*($Q$2:$Q$1001&lt;=Q58))/SUMPRODUCT(($B$2:$B$1001=B58)*1),0)</f>
        <v>0.139455782312925</v>
      </c>
      <c r="S58" s="24" t="n">
        <f aca="false">IFERROR(SUMPRODUCT(($B$2:$B$1001=B58)*($K$2:$K$1001&lt;=K58))/SUMPRODUCT(($B$2:$B$1001=B58)*1),0)</f>
        <v>0.755102040816327</v>
      </c>
      <c r="T58" s="26" t="n">
        <f aca="false">(R58-S58)*100</f>
        <v>-61.5646258503401</v>
      </c>
      <c r="U58" s="21" t="str">
        <f aca="false">'Player Data'!T58</f>
        <v>Yes</v>
      </c>
      <c r="V58" s="27" t="n">
        <f aca="false">'Player Data'!U58</f>
        <v>2026</v>
      </c>
      <c r="W58" s="21" t="str">
        <f aca="false">IF(AND(T58&gt;=Assumptions!$B$19,U58="No"),"High Priority - Unrepresented",IF(T58&gt;=Assumptions!$B$19,"High Priority",IF(AND(T58&gt;=Assumptions!$B$20,U58="No"),"Watchlist - Unrepresented",IF(T58&gt;=Assumptions!$B$20,"Watchlist",""))))</f>
        <v/>
      </c>
      <c r="X58" s="21" t="str">
        <f aca="false">'Player Data'!V58</f>
        <v>info@keflavikunited.is</v>
      </c>
      <c r="Y58" s="28" t="str">
        <f aca="false">'Player Data'!W58</f>
        <v>Go through the player's agent - ask the club to confirm representation first</v>
      </c>
      <c r="Z58" s="28" t="str">
        <f aca="false">'Player Data'!X58</f>
        <v>KSI (Icelandic Football Association) player registry</v>
      </c>
      <c r="AA58" s="19" t="str">
        <f aca="false">HYPERLINK("https://www.transfermarkt.com/schnellsuche/ergebnis/schnellsuche?query="&amp;SUBSTITUTE(A58," ","+"),"Search Transfermarkt")</f>
        <v>Search Transfermarkt</v>
      </c>
      <c r="AB58" s="29" t="n">
        <f aca="false">IFERROR('Player Data'!K58/('Player Data'!K58+'Player Data'!L58),0)</f>
        <v>0.644230769230769</v>
      </c>
      <c r="AC58" s="21" t="str">
        <f aca="false">IF(B58="GK",IF(AND(O58&gt;=Assumptions!$B$23,N58&gt;=Assumptions!$B$23),"Sweeper-Keeper / Build-from-the-Back",IF(O58&gt;=Assumptions!$B$23,"Sweeper-Keeper / High Line",IF(M58&gt;=Assumptions!$B$23,"Shot-Stopper / Traditional","Flexible / Multi-System"))),IF(AND(O58&gt;=Assumptions!$B$23,P58&gt;=Assumptions!$B$24),"High Press / Gegenpressing",IF(AND(N58&gt;=Assumptions!$B$23,AB58&gt;=Assumptions!$B$25),"Possession / Build-from-the-Back",IF(N58&gt;=Assumptions!$B$23,"Counter-Attack / Transition",IF(AND(O58&gt;=Assumptions!$B$23,N58&lt;Assumptions!$B$26),"Low Block / Park the Bus",IF(AND(B58="FW",M58&gt;=Assumptions!$B$23,N58&lt;Assumptions!$B$26),"Direct / Target Approach","Flexible / Multi-System"))))))</f>
        <v>Flexible / Multi-System</v>
      </c>
      <c r="AD58" s="21" t="str">
        <f aca="false">'Player Data'!Y58</f>
        <v>2026-07-14</v>
      </c>
      <c r="AE58" s="21" t="str">
        <f aca="false">'Player Data'!Z58</f>
        <v>2026-07-15</v>
      </c>
      <c r="AF58" s="28" t="str">
        <f aca="false">IFERROR(INDEX(Assumptions!$B$30:$B$61,MATCH(C58,Assumptions!$A$30:$A$61,0)),"--")</f>
        <v>Norway, Belgium</v>
      </c>
      <c r="AG58" s="30" t="str">
        <f aca="false">IF(R58&gt;=0.7,"Step-Up Candidate",IF(R58&gt;=0.4,"Lateral Move","Stay &amp; Develop"))</f>
        <v>Stay &amp; Develop</v>
      </c>
    </row>
    <row r="59" customFormat="false" ht="23.85" hidden="false" customHeight="false" outlineLevel="0" collapsed="false">
      <c r="A59" s="21" t="str">
        <f aca="false">'Player Data'!A59</f>
        <v>Janis Ozols</v>
      </c>
      <c r="B59" s="21" t="str">
        <f aca="false">'Player Data'!F59</f>
        <v>FW</v>
      </c>
      <c r="C59" s="21" t="str">
        <f aca="false">'Player Data'!B59</f>
        <v>Latvia</v>
      </c>
      <c r="D59" s="21" t="str">
        <f aca="false">'Player Data'!C59</f>
        <v>Latvia Second Division - East</v>
      </c>
      <c r="E59" s="21" t="n">
        <f aca="false">'Player Data'!D59</f>
        <v>2</v>
      </c>
      <c r="F59" s="21" t="n">
        <f aca="false">'Player Data'!G59</f>
        <v>19</v>
      </c>
      <c r="G59" s="21" t="n">
        <f aca="false">'Player Data'!H59</f>
        <v>1360</v>
      </c>
      <c r="H59" s="22" t="n">
        <f aca="false">IF(B59="GK",IFERROR(('Player Data'!N59-1.5*'Player Data'!O59)/'Player Data'!H59*90,0),IFERROR(('Player Data'!I59+'Player Data'!J59)/'Player Data'!H59*90,0))</f>
        <v>1.125</v>
      </c>
      <c r="I59" s="22" t="n">
        <f aca="false">IF(B59="GK",'Player Data'!P59,IFERROR(('Player Data'!K59+'Player Data'!L59)/'Player Data'!H59*90,0))</f>
        <v>9.72794117647059</v>
      </c>
      <c r="J59" s="22" t="n">
        <f aca="false">IF(B59="GK",IFERROR('Player Data'!Q59/'Player Data'!H59*90,0),IFERROR('Player Data'!M59/'Player Data'!H59*90,0))</f>
        <v>0.992647058823529</v>
      </c>
      <c r="K59" s="23" t="n">
        <f aca="false">'Player Data'!S59</f>
        <v>46684</v>
      </c>
      <c r="L59" s="22" t="n">
        <f aca="false">INDEX(Assumptions!$B$13:$B$15,MATCH(E59,Assumptions!$A$13:$A$15,0))</f>
        <v>1</v>
      </c>
      <c r="M59" s="24" t="n">
        <f aca="false">IFERROR(SUMPRODUCT(($B$2:$B$1001=B59)*($H$2:$H$1001&lt;=H59))/SUMPRODUCT(($B$2:$B$1001=B59)*1),0)</f>
        <v>0.641592920353982</v>
      </c>
      <c r="N59" s="24" t="n">
        <f aca="false">IFERROR(SUMPRODUCT(($B$2:$B$1001=B59)*($I$2:$I$1001&lt;=I59))/SUMPRODUCT(($B$2:$B$1001=B59)*1),0)</f>
        <v>0.823008849557522</v>
      </c>
      <c r="O59" s="24" t="n">
        <f aca="false">IFERROR(SUMPRODUCT(($B$2:$B$1001=B59)*($J$2:$J$1001&lt;=J59))/SUMPRODUCT(($B$2:$B$1001=B59)*1),0)</f>
        <v>0.893805309734513</v>
      </c>
      <c r="P59" s="24" t="n">
        <f aca="false">IFERROR(SUMPRODUCT(($B$2:$B$1001=B59)*((0-$F$2:$F$1001)&lt;=(0-F59)))/SUMPRODUCT(($B$2:$B$1001=B59)*1),0)</f>
        <v>0.831858407079646</v>
      </c>
      <c r="Q59" s="25" t="n">
        <f aca="false">(M59*Assumptions!$B$5+N59*Assumptions!$B$6+O59*Assumptions!$B$7+P59*Assumptions!$B$8)*L59</f>
        <v>0.79358407079646</v>
      </c>
      <c r="R59" s="24" t="n">
        <f aca="false">IFERROR(SUMPRODUCT(($B$2:$B$1001=B59)*($Q$2:$Q$1001&lt;=Q59))/SUMPRODUCT(($B$2:$B$1001=B59)*1),0)</f>
        <v>0.924778761061947</v>
      </c>
      <c r="S59" s="24" t="n">
        <f aca="false">IFERROR(SUMPRODUCT(($B$2:$B$1001=B59)*($K$2:$K$1001&lt;=K59))/SUMPRODUCT(($B$2:$B$1001=B59)*1),0)</f>
        <v>0.438053097345133</v>
      </c>
      <c r="T59" s="26" t="n">
        <f aca="false">(R59-S59)*100</f>
        <v>48.6725663716814</v>
      </c>
      <c r="U59" s="21" t="str">
        <f aca="false">'Player Data'!T59</f>
        <v>Yes</v>
      </c>
      <c r="V59" s="27" t="n">
        <f aca="false">'Player Data'!U59</f>
        <v>2026</v>
      </c>
      <c r="W59" s="21" t="str">
        <f aca="false">IF(AND(T59&gt;=Assumptions!$B$19,U59="No"),"High Priority - Unrepresented",IF(T59&gt;=Assumptions!$B$19,"High Priority",IF(AND(T59&gt;=Assumptions!$B$20,U59="No"),"Watchlist - Unrepresented",IF(T59&gt;=Assumptions!$B$20,"Watchlist",""))))</f>
        <v>High Priority</v>
      </c>
      <c r="X59" s="21" t="str">
        <f aca="false">'Player Data'!V59</f>
        <v>info@daugavpilswanderers.lv</v>
      </c>
      <c r="Y59" s="28" t="str">
        <f aca="false">'Player Data'!W59</f>
        <v>Go through the player's agent - ask the club to confirm representation first</v>
      </c>
      <c r="Z59" s="28" t="str">
        <f aca="false">'Player Data'!X59</f>
        <v>LFF (Latvian Football Federation) player registry</v>
      </c>
      <c r="AA59" s="19" t="str">
        <f aca="false">HYPERLINK("https://www.transfermarkt.com/schnellsuche/ergebnis/schnellsuche?query="&amp;SUBSTITUTE(A59," ","+"),"Search Transfermarkt")</f>
        <v>Search Transfermarkt</v>
      </c>
      <c r="AB59" s="29" t="n">
        <f aca="false">IFERROR('Player Data'!K59/('Player Data'!K59+'Player Data'!L59),0)</f>
        <v>0.401360544217687</v>
      </c>
      <c r="AC59" s="21" t="str">
        <f aca="false">IF(B59="GK",IF(AND(O59&gt;=Assumptions!$B$23,N59&gt;=Assumptions!$B$23),"Sweeper-Keeper / Build-from-the-Back",IF(O59&gt;=Assumptions!$B$23,"Sweeper-Keeper / High Line",IF(M59&gt;=Assumptions!$B$23,"Shot-Stopper / Traditional","Flexible / Multi-System"))),IF(AND(O59&gt;=Assumptions!$B$23,P59&gt;=Assumptions!$B$24),"High Press / Gegenpressing",IF(AND(N59&gt;=Assumptions!$B$23,AB59&gt;=Assumptions!$B$25),"Possession / Build-from-the-Back",IF(N59&gt;=Assumptions!$B$23,"Counter-Attack / Transition",IF(AND(O59&gt;=Assumptions!$B$23,N59&lt;Assumptions!$B$26),"Low Block / Park the Bus",IF(AND(B59="FW",M59&gt;=Assumptions!$B$23,N59&lt;Assumptions!$B$26),"Direct / Target Approach","Flexible / Multi-System"))))))</f>
        <v>High Press / Gegenpressing</v>
      </c>
      <c r="AD59" s="21" t="str">
        <f aca="false">'Player Data'!Y59</f>
        <v>2026-07-14</v>
      </c>
      <c r="AE59" s="21" t="str">
        <f aca="false">'Player Data'!Z59</f>
        <v>2026-07-15</v>
      </c>
      <c r="AF59" s="28" t="str">
        <f aca="false">IFERROR(INDEX(Assumptions!$B$30:$B$61,MATCH(C59,Assumptions!$A$30:$A$61,0)),"--")</f>
        <v>Poland, Norway</v>
      </c>
      <c r="AG59" s="30" t="str">
        <f aca="false">IF(R59&gt;=0.7,"Step-Up Candidate",IF(R59&gt;=0.4,"Lateral Move","Stay &amp; Develop"))</f>
        <v>Step-Up Candidate</v>
      </c>
    </row>
    <row r="60" customFormat="false" ht="23.85" hidden="false" customHeight="false" outlineLevel="0" collapsed="false">
      <c r="A60" s="21" t="str">
        <f aca="false">'Player Data'!A60</f>
        <v>Kwabena Asante</v>
      </c>
      <c r="B60" s="21" t="str">
        <f aca="false">'Player Data'!F60</f>
        <v>FW</v>
      </c>
      <c r="C60" s="21" t="str">
        <f aca="false">'Player Data'!B60</f>
        <v>Ghana</v>
      </c>
      <c r="D60" s="21" t="str">
        <f aca="false">'Player Data'!C60</f>
        <v>Ghana Reserve League</v>
      </c>
      <c r="E60" s="21" t="n">
        <f aca="false">'Player Data'!D60</f>
        <v>2</v>
      </c>
      <c r="F60" s="21" t="n">
        <f aca="false">'Player Data'!G60</f>
        <v>24</v>
      </c>
      <c r="G60" s="21" t="n">
        <f aca="false">'Player Data'!H60</f>
        <v>1569</v>
      </c>
      <c r="H60" s="22" t="n">
        <f aca="false">IF(B60="GK",IFERROR(('Player Data'!N60-1.5*'Player Data'!O60)/'Player Data'!H60*90,0),IFERROR(('Player Data'!I60+'Player Data'!J60)/'Player Data'!H60*90,0))</f>
        <v>0.860420650095602</v>
      </c>
      <c r="I60" s="22" t="n">
        <f aca="false">IF(B60="GK",'Player Data'!P60,IFERROR(('Player Data'!K60+'Player Data'!L60)/'Player Data'!H60*90,0))</f>
        <v>7.05544933078394</v>
      </c>
      <c r="J60" s="22" t="n">
        <f aca="false">IF(B60="GK",IFERROR('Player Data'!Q60/'Player Data'!H60*90,0),IFERROR('Player Data'!M60/'Player Data'!H60*90,0))</f>
        <v>0.630975143403442</v>
      </c>
      <c r="K60" s="23" t="n">
        <f aca="false">'Player Data'!S60</f>
        <v>17619</v>
      </c>
      <c r="L60" s="22" t="n">
        <f aca="false">INDEX(Assumptions!$B$13:$B$15,MATCH(E60,Assumptions!$A$13:$A$15,0))</f>
        <v>1</v>
      </c>
      <c r="M60" s="24" t="n">
        <f aca="false">IFERROR(SUMPRODUCT(($B$2:$B$1001=B60)*($H$2:$H$1001&lt;=H60))/SUMPRODUCT(($B$2:$B$1001=B60)*1),0)</f>
        <v>0.376106194690265</v>
      </c>
      <c r="N60" s="24" t="n">
        <f aca="false">IFERROR(SUMPRODUCT(($B$2:$B$1001=B60)*($I$2:$I$1001&lt;=I60))/SUMPRODUCT(($B$2:$B$1001=B60)*1),0)</f>
        <v>0.597345132743363</v>
      </c>
      <c r="O60" s="24" t="n">
        <f aca="false">IFERROR(SUMPRODUCT(($B$2:$B$1001=B60)*($J$2:$J$1001&lt;=J60))/SUMPRODUCT(($B$2:$B$1001=B60)*1),0)</f>
        <v>0.668141592920354</v>
      </c>
      <c r="P60" s="24" t="n">
        <f aca="false">IFERROR(SUMPRODUCT(($B$2:$B$1001=B60)*((0-$F$2:$F$1001)&lt;=(0-F60)))/SUMPRODUCT(($B$2:$B$1001=B60)*1),0)</f>
        <v>0.305309734513274</v>
      </c>
      <c r="Q60" s="25" t="n">
        <f aca="false">(M60*Assumptions!$B$5+N60*Assumptions!$B$6+O60*Assumptions!$B$7+P60*Assumptions!$B$8)*L60</f>
        <v>0.497787610619469</v>
      </c>
      <c r="R60" s="24" t="n">
        <f aca="false">IFERROR(SUMPRODUCT(($B$2:$B$1001=B60)*($Q$2:$Q$1001&lt;=Q60))/SUMPRODUCT(($B$2:$B$1001=B60)*1),0)</f>
        <v>0.610619469026549</v>
      </c>
      <c r="S60" s="24" t="n">
        <f aca="false">IFERROR(SUMPRODUCT(($B$2:$B$1001=B60)*($K$2:$K$1001&lt;=K60))/SUMPRODUCT(($B$2:$B$1001=B60)*1),0)</f>
        <v>0.314159292035398</v>
      </c>
      <c r="T60" s="26" t="n">
        <f aca="false">(R60-S60)*100</f>
        <v>29.646017699115</v>
      </c>
      <c r="U60" s="21" t="str">
        <f aca="false">'Player Data'!T60</f>
        <v>Yes</v>
      </c>
      <c r="V60" s="27" t="n">
        <f aca="false">'Player Data'!U60</f>
        <v>2028</v>
      </c>
      <c r="W60" s="21" t="str">
        <f aca="false">IF(AND(T60&gt;=Assumptions!$B$19,U60="No"),"High Priority - Unrepresented",IF(T60&gt;=Assumptions!$B$19,"High Priority",IF(AND(T60&gt;=Assumptions!$B$20,U60="No"),"Watchlist - Unrepresented",IF(T60&gt;=Assumptions!$B$20,"Watchlist",""))))</f>
        <v>Watchlist</v>
      </c>
      <c r="X60" s="21" t="str">
        <f aca="false">'Player Data'!V60</f>
        <v>info@sekondirangers.gh</v>
      </c>
      <c r="Y60" s="28" t="str">
        <f aca="false">'Player Data'!W60</f>
        <v>Go through the player's agent - ask the club to confirm representation first</v>
      </c>
      <c r="Z60" s="28" t="str">
        <f aca="false">'Player Data'!X60</f>
        <v>GFA (Ghana Football Association) player registry</v>
      </c>
      <c r="AA60" s="19" t="str">
        <f aca="false">HYPERLINK("https://www.transfermarkt.com/schnellsuche/ergebnis/schnellsuche?query="&amp;SUBSTITUTE(A60," ","+"),"Search Transfermarkt")</f>
        <v>Search Transfermarkt</v>
      </c>
      <c r="AB60" s="29" t="n">
        <f aca="false">IFERROR('Player Data'!K60/('Player Data'!K60+'Player Data'!L60),0)</f>
        <v>0.32520325203252</v>
      </c>
      <c r="AC60" s="21" t="str">
        <f aca="false">IF(B60="GK",IF(AND(O60&gt;=Assumptions!$B$23,N60&gt;=Assumptions!$B$23),"Sweeper-Keeper / Build-from-the-Back",IF(O60&gt;=Assumptions!$B$23,"Sweeper-Keeper / High Line",IF(M60&gt;=Assumptions!$B$23,"Shot-Stopper / Traditional","Flexible / Multi-System"))),IF(AND(O60&gt;=Assumptions!$B$23,P60&gt;=Assumptions!$B$24),"High Press / Gegenpressing",IF(AND(N60&gt;=Assumptions!$B$23,AB60&gt;=Assumptions!$B$25),"Possession / Build-from-the-Back",IF(N60&gt;=Assumptions!$B$23,"Counter-Attack / Transition",IF(AND(O60&gt;=Assumptions!$B$23,N60&lt;Assumptions!$B$26),"Low Block / Park the Bus",IF(AND(B60="FW",M60&gt;=Assumptions!$B$23,N60&lt;Assumptions!$B$26),"Direct / Target Approach","Flexible / Multi-System"))))))</f>
        <v>Flexible / Multi-System</v>
      </c>
      <c r="AD60" s="21" t="str">
        <f aca="false">'Player Data'!Y60</f>
        <v>2026-07-14</v>
      </c>
      <c r="AE60" s="21" t="str">
        <f aca="false">'Player Data'!Z60</f>
        <v>2026-07-15</v>
      </c>
      <c r="AF60" s="28" t="str">
        <f aca="false">IFERROR(INDEX(Assumptions!$B$30:$B$61,MATCH(C60,Assumptions!$A$30:$A$61,0)),"--")</f>
        <v>Belgium, Portugal</v>
      </c>
      <c r="AG60" s="30" t="str">
        <f aca="false">IF(R60&gt;=0.7,"Step-Up Candidate",IF(R60&gt;=0.4,"Lateral Move","Stay &amp; Develop"))</f>
        <v>Lateral Move</v>
      </c>
    </row>
    <row r="61" customFormat="false" ht="23.85" hidden="false" customHeight="false" outlineLevel="0" collapsed="false">
      <c r="A61" s="21" t="str">
        <f aca="false">'Player Data'!A61</f>
        <v>Facundo Acosta</v>
      </c>
      <c r="B61" s="21" t="str">
        <f aca="false">'Player Data'!F61</f>
        <v>GK</v>
      </c>
      <c r="C61" s="21" t="str">
        <f aca="false">'Player Data'!B61</f>
        <v>Uruguay</v>
      </c>
      <c r="D61" s="21" t="str">
        <f aca="false">'Player Data'!C61</f>
        <v>Uruguay Second Division</v>
      </c>
      <c r="E61" s="21" t="n">
        <f aca="false">'Player Data'!D61</f>
        <v>4</v>
      </c>
      <c r="F61" s="21" t="n">
        <f aca="false">'Player Data'!G61</f>
        <v>17</v>
      </c>
      <c r="G61" s="21" t="n">
        <f aca="false">'Player Data'!H61</f>
        <v>1933</v>
      </c>
      <c r="H61" s="22" t="n">
        <f aca="false">IF(B61="GK",IFERROR(('Player Data'!N61-1.5*'Player Data'!O61)/'Player Data'!H61*90,0),IFERROR(('Player Data'!I61+'Player Data'!J61)/'Player Data'!H61*90,0))</f>
        <v>0.419037765131919</v>
      </c>
      <c r="I61" s="22" t="n">
        <f aca="false">IF(B61="GK",'Player Data'!P61,IFERROR(('Player Data'!K61+'Player Data'!L61)/'Player Data'!H61*90,0))</f>
        <v>55.2</v>
      </c>
      <c r="J61" s="22" t="n">
        <f aca="false">IF(B61="GK",IFERROR('Player Data'!Q61/'Player Data'!H61*90,0),IFERROR('Player Data'!M61/'Player Data'!H61*90,0))</f>
        <v>0.465597516813244</v>
      </c>
      <c r="K61" s="23" t="n">
        <f aca="false">'Player Data'!S61</f>
        <v>131049</v>
      </c>
      <c r="L61" s="22" t="n">
        <f aca="false">INDEX(Assumptions!$B$13:$B$15,MATCH(E61,Assumptions!$A$13:$A$15,0))</f>
        <v>0.7</v>
      </c>
      <c r="M61" s="24" t="n">
        <f aca="false">IFERROR(SUMPRODUCT(($B$2:$B$1001=B61)*($H$2:$H$1001&lt;=H61))/SUMPRODUCT(($B$2:$B$1001=B61)*1),0)</f>
        <v>0.251366120218579</v>
      </c>
      <c r="N61" s="24" t="n">
        <f aca="false">IFERROR(SUMPRODUCT(($B$2:$B$1001=B61)*($I$2:$I$1001&lt;=I61))/SUMPRODUCT(($B$2:$B$1001=B61)*1),0)</f>
        <v>0.0109289617486339</v>
      </c>
      <c r="O61" s="24" t="n">
        <f aca="false">IFERROR(SUMPRODUCT(($B$2:$B$1001=B61)*($J$2:$J$1001&lt;=J61))/SUMPRODUCT(($B$2:$B$1001=B61)*1),0)</f>
        <v>0.224043715846995</v>
      </c>
      <c r="P61" s="24" t="n">
        <f aca="false">IFERROR(SUMPRODUCT(($B$2:$B$1001=B61)*((0-$F$2:$F$1001)&lt;=(0-F61)))/SUMPRODUCT(($B$2:$B$1001=B61)*1),0)</f>
        <v>1</v>
      </c>
      <c r="Q61" s="25" t="n">
        <f aca="false">(M61*Assumptions!$B$5+N61*Assumptions!$B$6+O61*Assumptions!$B$7+P61*Assumptions!$B$8)*L61</f>
        <v>0.218032786885246</v>
      </c>
      <c r="R61" s="24" t="n">
        <f aca="false">IFERROR(SUMPRODUCT(($B$2:$B$1001=B61)*($Q$2:$Q$1001&lt;=Q61))/SUMPRODUCT(($B$2:$B$1001=B61)*1),0)</f>
        <v>0.0273224043715847</v>
      </c>
      <c r="S61" s="24" t="n">
        <f aca="false">IFERROR(SUMPRODUCT(($B$2:$B$1001=B61)*($K$2:$K$1001&lt;=K61))/SUMPRODUCT(($B$2:$B$1001=B61)*1),0)</f>
        <v>0.890710382513661</v>
      </c>
      <c r="T61" s="26" t="n">
        <f aca="false">(R61-S61)*100</f>
        <v>-86.3387978142077</v>
      </c>
      <c r="U61" s="21" t="str">
        <f aca="false">'Player Data'!T61</f>
        <v>Yes</v>
      </c>
      <c r="V61" s="27" t="n">
        <f aca="false">'Player Data'!U61</f>
        <v>2028</v>
      </c>
      <c r="W61" s="21" t="str">
        <f aca="false">IF(AND(T61&gt;=Assumptions!$B$19,U61="No"),"High Priority - Unrepresented",IF(T61&gt;=Assumptions!$B$19,"High Priority",IF(AND(T61&gt;=Assumptions!$B$20,U61="No"),"Watchlist - Unrepresented",IF(T61&gt;=Assumptions!$B$20,"Watchlist",""))))</f>
        <v/>
      </c>
      <c r="X61" s="21" t="str">
        <f aca="false">'Player Data'!V61</f>
        <v>info@riveraunited.uy</v>
      </c>
      <c r="Y61" s="28" t="str">
        <f aca="false">'Player Data'!W61</f>
        <v>Club youth/academy office ONLY - player is a minor, do not contact directly</v>
      </c>
      <c r="Z61" s="28" t="str">
        <f aca="false">'Player Data'!X61</f>
        <v>AUF (Uruguayan Football Association) player registry</v>
      </c>
      <c r="AA61" s="19" t="str">
        <f aca="false">HYPERLINK("https://www.transfermarkt.com/schnellsuche/ergebnis/schnellsuche?query="&amp;SUBSTITUTE(A61," ","+"),"Search Transfermarkt")</f>
        <v>Search Transfermarkt</v>
      </c>
      <c r="AB61" s="29" t="n">
        <f aca="false">IFERROR('Player Data'!K61/('Player Data'!K61+'Player Data'!L61),0)</f>
        <v>0.666666666666667</v>
      </c>
      <c r="AC61" s="21" t="str">
        <f aca="false">IF(B61="GK",IF(AND(O61&gt;=Assumptions!$B$23,N61&gt;=Assumptions!$B$23),"Sweeper-Keeper / Build-from-the-Back",IF(O61&gt;=Assumptions!$B$23,"Sweeper-Keeper / High Line",IF(M61&gt;=Assumptions!$B$23,"Shot-Stopper / Traditional","Flexible / Multi-System"))),IF(AND(O61&gt;=Assumptions!$B$23,P61&gt;=Assumptions!$B$24),"High Press / Gegenpressing",IF(AND(N61&gt;=Assumptions!$B$23,AB61&gt;=Assumptions!$B$25),"Possession / Build-from-the-Back",IF(N61&gt;=Assumptions!$B$23,"Counter-Attack / Transition",IF(AND(O61&gt;=Assumptions!$B$23,N61&lt;Assumptions!$B$26),"Low Block / Park the Bus",IF(AND(B61="FW",M61&gt;=Assumptions!$B$23,N61&lt;Assumptions!$B$26),"Direct / Target Approach","Flexible / Multi-System"))))))</f>
        <v>Flexible / Multi-System</v>
      </c>
      <c r="AD61" s="21" t="str">
        <f aca="false">'Player Data'!Y61</f>
        <v>2026-07-14</v>
      </c>
      <c r="AE61" s="21" t="str">
        <f aca="false">'Player Data'!Z61</f>
        <v>2026-07-15</v>
      </c>
      <c r="AF61" s="28" t="str">
        <f aca="false">IFERROR(INDEX(Assumptions!$B$30:$B$61,MATCH(C61,Assumptions!$A$30:$A$61,0)),"--")</f>
        <v>Argentina, Portugal</v>
      </c>
      <c r="AG61" s="30" t="str">
        <f aca="false">IF(R61&gt;=0.7,"Step-Up Candidate",IF(R61&gt;=0.4,"Lateral Move","Stay &amp; Develop"))</f>
        <v>Stay &amp; Develop</v>
      </c>
    </row>
    <row r="62" customFormat="false" ht="23.85" hidden="false" customHeight="false" outlineLevel="0" collapsed="false">
      <c r="A62" s="21" t="str">
        <f aca="false">'Player Data'!A62</f>
        <v>Rodrigo Sanchez</v>
      </c>
      <c r="B62" s="21" t="str">
        <f aca="false">'Player Data'!F62</f>
        <v>FW</v>
      </c>
      <c r="C62" s="21" t="str">
        <f aca="false">'Player Data'!B62</f>
        <v>Paraguay</v>
      </c>
      <c r="D62" s="21" t="str">
        <f aca="false">'Player Data'!C62</f>
        <v>Paraguay Second Division - East</v>
      </c>
      <c r="E62" s="21" t="n">
        <f aca="false">'Player Data'!D62</f>
        <v>2</v>
      </c>
      <c r="F62" s="21" t="n">
        <f aca="false">'Player Data'!G62</f>
        <v>18</v>
      </c>
      <c r="G62" s="21" t="n">
        <f aca="false">'Player Data'!H62</f>
        <v>1541</v>
      </c>
      <c r="H62" s="22" t="n">
        <f aca="false">IF(B62="GK",IFERROR(('Player Data'!N62-1.5*'Player Data'!O62)/'Player Data'!H62*90,0),IFERROR(('Player Data'!I62+'Player Data'!J62)/'Player Data'!H62*90,0))</f>
        <v>1.46009085009734</v>
      </c>
      <c r="I62" s="22" t="n">
        <f aca="false">IF(B62="GK",'Player Data'!P62,IFERROR(('Player Data'!K62+'Player Data'!L62)/'Player Data'!H62*90,0))</f>
        <v>7.12524334847502</v>
      </c>
      <c r="J62" s="22" t="n">
        <f aca="false">IF(B62="GK",IFERROR('Player Data'!Q62/'Player Data'!H62*90,0),IFERROR('Player Data'!M62/'Player Data'!H62*90,0))</f>
        <v>0.350421804023362</v>
      </c>
      <c r="K62" s="23" t="n">
        <f aca="false">'Player Data'!S62</f>
        <v>78358</v>
      </c>
      <c r="L62" s="22" t="n">
        <f aca="false">INDEX(Assumptions!$B$13:$B$15,MATCH(E62,Assumptions!$A$13:$A$15,0))</f>
        <v>1</v>
      </c>
      <c r="M62" s="24" t="n">
        <f aca="false">IFERROR(SUMPRODUCT(($B$2:$B$1001=B62)*($H$2:$H$1001&lt;=H62))/SUMPRODUCT(($B$2:$B$1001=B62)*1),0)</f>
        <v>0.81858407079646</v>
      </c>
      <c r="N62" s="24" t="n">
        <f aca="false">IFERROR(SUMPRODUCT(($B$2:$B$1001=B62)*($I$2:$I$1001&lt;=I62))/SUMPRODUCT(($B$2:$B$1001=B62)*1),0)</f>
        <v>0.606194690265487</v>
      </c>
      <c r="O62" s="24" t="n">
        <f aca="false">IFERROR(SUMPRODUCT(($B$2:$B$1001=B62)*($J$2:$J$1001&lt;=J62))/SUMPRODUCT(($B$2:$B$1001=B62)*1),0)</f>
        <v>0.252212389380531</v>
      </c>
      <c r="P62" s="24" t="n">
        <f aca="false">IFERROR(SUMPRODUCT(($B$2:$B$1001=B62)*((0-$F$2:$F$1001)&lt;=(0-F62)))/SUMPRODUCT(($B$2:$B$1001=B62)*1),0)</f>
        <v>0.915929203539823</v>
      </c>
      <c r="Q62" s="25" t="n">
        <f aca="false">(M62*Assumptions!$B$5+N62*Assumptions!$B$6+O62*Assumptions!$B$7+P62*Assumptions!$B$8)*L62</f>
        <v>0.650442477876106</v>
      </c>
      <c r="R62" s="24" t="n">
        <f aca="false">IFERROR(SUMPRODUCT(($B$2:$B$1001=B62)*($Q$2:$Q$1001&lt;=Q62))/SUMPRODUCT(($B$2:$B$1001=B62)*1),0)</f>
        <v>0.81858407079646</v>
      </c>
      <c r="S62" s="24" t="n">
        <f aca="false">IFERROR(SUMPRODUCT(($B$2:$B$1001=B62)*($K$2:$K$1001&lt;=K62))/SUMPRODUCT(($B$2:$B$1001=B62)*1),0)</f>
        <v>0.597345132743363</v>
      </c>
      <c r="T62" s="26" t="n">
        <f aca="false">(R62-S62)*100</f>
        <v>22.1238938053097</v>
      </c>
      <c r="U62" s="21" t="str">
        <f aca="false">'Player Data'!T62</f>
        <v>No</v>
      </c>
      <c r="V62" s="27" t="n">
        <f aca="false">'Player Data'!U62</f>
        <v>2027</v>
      </c>
      <c r="W62" s="21" t="str">
        <f aca="false">IF(AND(T62&gt;=Assumptions!$B$19,U62="No"),"High Priority - Unrepresented",IF(T62&gt;=Assumptions!$B$19,"High Priority",IF(AND(T62&gt;=Assumptions!$B$20,U62="No"),"Watchlist - Unrepresented",IF(T62&gt;=Assumptions!$B$20,"Watchlist",""))))</f>
        <v>Watchlist - Unrepresented</v>
      </c>
      <c r="X62" s="21" t="str">
        <f aca="false">'Player Data'!V62</f>
        <v>info@encarnaciontown.py</v>
      </c>
      <c r="Y62" s="28" t="str">
        <f aca="false">'Player Data'!W62</f>
        <v>Club sporting director / first-team office</v>
      </c>
      <c r="Z62" s="28" t="str">
        <f aca="false">'Player Data'!X62</f>
        <v>APF (Paraguayan Football Association) player registry</v>
      </c>
      <c r="AA62" s="19" t="str">
        <f aca="false">HYPERLINK("https://www.transfermarkt.com/schnellsuche/ergebnis/schnellsuche?query="&amp;SUBSTITUTE(A62," ","+"),"Search Transfermarkt")</f>
        <v>Search Transfermarkt</v>
      </c>
      <c r="AB62" s="29" t="n">
        <f aca="false">IFERROR('Player Data'!K62/('Player Data'!K62+'Player Data'!L62),0)</f>
        <v>0.30327868852459</v>
      </c>
      <c r="AC62" s="21" t="str">
        <f aca="false">IF(B62="GK",IF(AND(O62&gt;=Assumptions!$B$23,N62&gt;=Assumptions!$B$23),"Sweeper-Keeper / Build-from-the-Back",IF(O62&gt;=Assumptions!$B$23,"Sweeper-Keeper / High Line",IF(M62&gt;=Assumptions!$B$23,"Shot-Stopper / Traditional","Flexible / Multi-System"))),IF(AND(O62&gt;=Assumptions!$B$23,P62&gt;=Assumptions!$B$24),"High Press / Gegenpressing",IF(AND(N62&gt;=Assumptions!$B$23,AB62&gt;=Assumptions!$B$25),"Possession / Build-from-the-Back",IF(N62&gt;=Assumptions!$B$23,"Counter-Attack / Transition",IF(AND(O62&gt;=Assumptions!$B$23,N62&lt;Assumptions!$B$26),"Low Block / Park the Bus",IF(AND(B62="FW",M62&gt;=Assumptions!$B$23,N62&lt;Assumptions!$B$26),"Direct / Target Approach","Flexible / Multi-System"))))))</f>
        <v>Flexible / Multi-System</v>
      </c>
      <c r="AD62" s="21" t="str">
        <f aca="false">'Player Data'!Y62</f>
        <v>2026-07-14</v>
      </c>
      <c r="AE62" s="21" t="str">
        <f aca="false">'Player Data'!Z62</f>
        <v>2026-07-15</v>
      </c>
      <c r="AF62" s="28" t="str">
        <f aca="false">IFERROR(INDEX(Assumptions!$B$30:$B$61,MATCH(C62,Assumptions!$A$30:$A$61,0)),"--")</f>
        <v>Argentina, Portugal</v>
      </c>
      <c r="AG62" s="30" t="str">
        <f aca="false">IF(R62&gt;=0.7,"Step-Up Candidate",IF(R62&gt;=0.4,"Lateral Move","Stay &amp; Develop"))</f>
        <v>Step-Up Candidate</v>
      </c>
    </row>
    <row r="63" customFormat="false" ht="23.85" hidden="false" customHeight="false" outlineLevel="0" collapsed="false">
      <c r="A63" s="21" t="str">
        <f aca="false">'Player Data'!A63</f>
        <v>Pongsak Rattanakosin</v>
      </c>
      <c r="B63" s="21" t="str">
        <f aca="false">'Player Data'!F63</f>
        <v>GK</v>
      </c>
      <c r="C63" s="21" t="str">
        <f aca="false">'Player Data'!B63</f>
        <v>Thailand</v>
      </c>
      <c r="D63" s="21" t="str">
        <f aca="false">'Player Data'!C63</f>
        <v>Thailand Reserve League</v>
      </c>
      <c r="E63" s="21" t="n">
        <f aca="false">'Player Data'!D63</f>
        <v>2</v>
      </c>
      <c r="F63" s="21" t="n">
        <f aca="false">'Player Data'!G63</f>
        <v>17</v>
      </c>
      <c r="G63" s="21" t="n">
        <f aca="false">'Player Data'!H63</f>
        <v>2368</v>
      </c>
      <c r="H63" s="22" t="n">
        <f aca="false">IF(B63="GK",IFERROR(('Player Data'!N63-1.5*'Player Data'!O63)/'Player Data'!H63*90,0),IFERROR(('Player Data'!I63+'Player Data'!J63)/'Player Data'!H63*90,0))</f>
        <v>1.06418918918919</v>
      </c>
      <c r="I63" s="22" t="n">
        <f aca="false">IF(B63="GK",'Player Data'!P63,IFERROR(('Player Data'!K63+'Player Data'!L63)/'Player Data'!H63*90,0))</f>
        <v>71.7</v>
      </c>
      <c r="J63" s="22" t="n">
        <f aca="false">IF(B63="GK",IFERROR('Player Data'!Q63/'Player Data'!H63*90,0),IFERROR('Player Data'!M63/'Player Data'!H63*90,0))</f>
        <v>1.45185810810811</v>
      </c>
      <c r="K63" s="23" t="n">
        <f aca="false">'Player Data'!S63</f>
        <v>136319</v>
      </c>
      <c r="L63" s="22" t="n">
        <f aca="false">INDEX(Assumptions!$B$13:$B$15,MATCH(E63,Assumptions!$A$13:$A$15,0))</f>
        <v>1</v>
      </c>
      <c r="M63" s="24" t="n">
        <f aca="false">IFERROR(SUMPRODUCT(($B$2:$B$1001=B63)*($H$2:$H$1001&lt;=H63))/SUMPRODUCT(($B$2:$B$1001=B63)*1),0)</f>
        <v>0.453551912568306</v>
      </c>
      <c r="N63" s="24" t="n">
        <f aca="false">IFERROR(SUMPRODUCT(($B$2:$B$1001=B63)*($I$2:$I$1001&lt;=I63))/SUMPRODUCT(($B$2:$B$1001=B63)*1),0)</f>
        <v>0.469945355191257</v>
      </c>
      <c r="O63" s="24" t="n">
        <f aca="false">IFERROR(SUMPRODUCT(($B$2:$B$1001=B63)*($J$2:$J$1001&lt;=J63))/SUMPRODUCT(($B$2:$B$1001=B63)*1),0)</f>
        <v>0.956284153005464</v>
      </c>
      <c r="P63" s="24" t="n">
        <f aca="false">IFERROR(SUMPRODUCT(($B$2:$B$1001=B63)*((0-$F$2:$F$1001)&lt;=(0-F63)))/SUMPRODUCT(($B$2:$B$1001=B63)*1),0)</f>
        <v>1</v>
      </c>
      <c r="Q63" s="25" t="n">
        <f aca="false">(M63*Assumptions!$B$5+N63*Assumptions!$B$6+O63*Assumptions!$B$7+P63*Assumptions!$B$8)*L63</f>
        <v>0.669125683060109</v>
      </c>
      <c r="R63" s="24" t="n">
        <f aca="false">IFERROR(SUMPRODUCT(($B$2:$B$1001=B63)*($Q$2:$Q$1001&lt;=Q63))/SUMPRODUCT(($B$2:$B$1001=B63)*1),0)</f>
        <v>0.950819672131148</v>
      </c>
      <c r="S63" s="24" t="n">
        <f aca="false">IFERROR(SUMPRODUCT(($B$2:$B$1001=B63)*($K$2:$K$1001&lt;=K63))/SUMPRODUCT(($B$2:$B$1001=B63)*1),0)</f>
        <v>0.912568306010929</v>
      </c>
      <c r="T63" s="26" t="n">
        <f aca="false">(R63-S63)*100</f>
        <v>3.82513661202185</v>
      </c>
      <c r="U63" s="21" t="str">
        <f aca="false">'Player Data'!T63</f>
        <v>No</v>
      </c>
      <c r="V63" s="27" t="n">
        <f aca="false">'Player Data'!U63</f>
        <v>2027</v>
      </c>
      <c r="W63" s="21" t="str">
        <f aca="false">IF(AND(T63&gt;=Assumptions!$B$19,U63="No"),"High Priority - Unrepresented",IF(T63&gt;=Assumptions!$B$19,"High Priority",IF(AND(T63&gt;=Assumptions!$B$20,U63="No"),"Watchlist - Unrepresented",IF(T63&gt;=Assumptions!$B$20,"Watchlist",""))))</f>
        <v/>
      </c>
      <c r="X63" s="21" t="str">
        <f aca="false">'Player Data'!V63</f>
        <v>info@khonkaensc.th</v>
      </c>
      <c r="Y63" s="28" t="str">
        <f aca="false">'Player Data'!W63</f>
        <v>Club youth/academy office ONLY - player is a minor, do not contact directly</v>
      </c>
      <c r="Z63" s="28" t="str">
        <f aca="false">'Player Data'!X63</f>
        <v>FAT (Football Association of Thailand) player registry</v>
      </c>
      <c r="AA63" s="19" t="str">
        <f aca="false">HYPERLINK("https://www.transfermarkt.com/schnellsuche/ergebnis/schnellsuche?query="&amp;SUBSTITUTE(A63," ","+"),"Search Transfermarkt")</f>
        <v>Search Transfermarkt</v>
      </c>
      <c r="AB63" s="29" t="n">
        <f aca="false">IFERROR('Player Data'!K63/('Player Data'!K63+'Player Data'!L63),0)</f>
        <v>1</v>
      </c>
      <c r="AC63" s="21" t="str">
        <f aca="false">IF(B63="GK",IF(AND(O63&gt;=Assumptions!$B$23,N63&gt;=Assumptions!$B$23),"Sweeper-Keeper / Build-from-the-Back",IF(O63&gt;=Assumptions!$B$23,"Sweeper-Keeper / High Line",IF(M63&gt;=Assumptions!$B$23,"Shot-Stopper / Traditional","Flexible / Multi-System"))),IF(AND(O63&gt;=Assumptions!$B$23,P63&gt;=Assumptions!$B$24),"High Press / Gegenpressing",IF(AND(N63&gt;=Assumptions!$B$23,AB63&gt;=Assumptions!$B$25),"Possession / Build-from-the-Back",IF(N63&gt;=Assumptions!$B$23,"Counter-Attack / Transition",IF(AND(O63&gt;=Assumptions!$B$23,N63&lt;Assumptions!$B$26),"Low Block / Park the Bus",IF(AND(B63="FW",M63&gt;=Assumptions!$B$23,N63&lt;Assumptions!$B$26),"Direct / Target Approach","Flexible / Multi-System"))))))</f>
        <v>Sweeper-Keeper / High Line</v>
      </c>
      <c r="AD63" s="21" t="str">
        <f aca="false">'Player Data'!Y63</f>
        <v>2026-07-14</v>
      </c>
      <c r="AE63" s="21" t="str">
        <f aca="false">'Player Data'!Z63</f>
        <v>2026-07-15</v>
      </c>
      <c r="AF63" s="28" t="str">
        <f aca="false">IFERROR(INDEX(Assumptions!$B$30:$B$61,MATCH(C63,Assumptions!$A$30:$A$61,0)),"--")</f>
        <v>Australia, Saudi Arabia</v>
      </c>
      <c r="AG63" s="30" t="str">
        <f aca="false">IF(R63&gt;=0.7,"Step-Up Candidate",IF(R63&gt;=0.4,"Lateral Move","Stay &amp; Develop"))</f>
        <v>Step-Up Candidate</v>
      </c>
    </row>
    <row r="64" customFormat="false" ht="23.85" hidden="false" customHeight="false" outlineLevel="0" collapsed="false">
      <c r="A64" s="21" t="str">
        <f aca="false">'Player Data'!A64</f>
        <v>Kaito Ito</v>
      </c>
      <c r="B64" s="21" t="str">
        <f aca="false">'Player Data'!F64</f>
        <v>MF</v>
      </c>
      <c r="C64" s="21" t="str">
        <f aca="false">'Player Data'!B64</f>
        <v>Japan</v>
      </c>
      <c r="D64" s="21" t="str">
        <f aca="false">'Player Data'!C64</f>
        <v>Japan Second Division - East</v>
      </c>
      <c r="E64" s="21" t="n">
        <f aca="false">'Player Data'!D64</f>
        <v>3</v>
      </c>
      <c r="F64" s="21" t="n">
        <f aca="false">'Player Data'!G64</f>
        <v>23</v>
      </c>
      <c r="G64" s="21" t="n">
        <f aca="false">'Player Data'!H64</f>
        <v>2507</v>
      </c>
      <c r="H64" s="22" t="n">
        <f aca="false">IF(B64="GK",IFERROR(('Player Data'!N64-1.5*'Player Data'!O64)/'Player Data'!H64*90,0),IFERROR(('Player Data'!I64+'Player Data'!J64)/'Player Data'!H64*90,0))</f>
        <v>0.753889110490626</v>
      </c>
      <c r="I64" s="22" t="n">
        <f aca="false">IF(B64="GK",'Player Data'!P64,IFERROR(('Player Data'!K64+'Player Data'!L64)/'Player Data'!H64*90,0))</f>
        <v>8.11328280813722</v>
      </c>
      <c r="J64" s="22" t="n">
        <f aca="false">IF(B64="GK",IFERROR('Player Data'!Q64/'Player Data'!H64*90,0),IFERROR('Player Data'!M64/'Player Data'!H64*90,0))</f>
        <v>1.0410849621061</v>
      </c>
      <c r="K64" s="23" t="n">
        <f aca="false">'Player Data'!S64</f>
        <v>69895</v>
      </c>
      <c r="L64" s="22" t="n">
        <f aca="false">INDEX(Assumptions!$B$13:$B$15,MATCH(E64,Assumptions!$A$13:$A$15,0))</f>
        <v>0.85</v>
      </c>
      <c r="M64" s="24" t="n">
        <f aca="false">IFERROR(SUMPRODUCT(($B$2:$B$1001=B64)*($H$2:$H$1001&lt;=H64))/SUMPRODUCT(($B$2:$B$1001=B64)*1),0)</f>
        <v>0.515151515151515</v>
      </c>
      <c r="N64" s="24" t="n">
        <f aca="false">IFERROR(SUMPRODUCT(($B$2:$B$1001=B64)*($I$2:$I$1001&lt;=I64))/SUMPRODUCT(($B$2:$B$1001=B64)*1),0)</f>
        <v>0.171717171717172</v>
      </c>
      <c r="O64" s="24" t="n">
        <f aca="false">IFERROR(SUMPRODUCT(($B$2:$B$1001=B64)*($J$2:$J$1001&lt;=J64))/SUMPRODUCT(($B$2:$B$1001=B64)*1),0)</f>
        <v>0.0269360269360269</v>
      </c>
      <c r="P64" s="24" t="n">
        <f aca="false">IFERROR(SUMPRODUCT(($B$2:$B$1001=B64)*((0-$F$2:$F$1001)&lt;=(0-F64)))/SUMPRODUCT(($B$2:$B$1001=B64)*1),0)</f>
        <v>0.390572390572391</v>
      </c>
      <c r="Q64" s="25" t="n">
        <f aca="false">(M64*Assumptions!$B$5+N64*Assumptions!$B$6+O64*Assumptions!$B$7+P64*Assumptions!$B$8)*L64</f>
        <v>0.231531986531987</v>
      </c>
      <c r="R64" s="24" t="n">
        <f aca="false">IFERROR(SUMPRODUCT(($B$2:$B$1001=B64)*($Q$2:$Q$1001&lt;=Q64))/SUMPRODUCT(($B$2:$B$1001=B64)*1),0)</f>
        <v>0.138047138047138</v>
      </c>
      <c r="S64" s="24" t="n">
        <f aca="false">IFERROR(SUMPRODUCT(($B$2:$B$1001=B64)*($K$2:$K$1001&lt;=K64))/SUMPRODUCT(($B$2:$B$1001=B64)*1),0)</f>
        <v>0.579124579124579</v>
      </c>
      <c r="T64" s="26" t="n">
        <f aca="false">(R64-S64)*100</f>
        <v>-44.1077441077441</v>
      </c>
      <c r="U64" s="21" t="str">
        <f aca="false">'Player Data'!T64</f>
        <v>Unknown</v>
      </c>
      <c r="V64" s="27" t="n">
        <f aca="false">'Player Data'!U64</f>
        <v>2026</v>
      </c>
      <c r="W64" s="21" t="str">
        <f aca="false">IF(AND(T64&gt;=Assumptions!$B$19,U64="No"),"High Priority - Unrepresented",IF(T64&gt;=Assumptions!$B$19,"High Priority",IF(AND(T64&gt;=Assumptions!$B$20,U64="No"),"Watchlist - Unrepresented",IF(T64&gt;=Assumptions!$B$20,"Watchlist",""))))</f>
        <v/>
      </c>
      <c r="X64" s="21" t="str">
        <f aca="false">'Player Data'!V64</f>
        <v>info@sapporoathletic.jp</v>
      </c>
      <c r="Y64" s="28" t="str">
        <f aca="false">'Player Data'!W64</f>
        <v>Club sporting director / first-team office</v>
      </c>
      <c r="Z64" s="28" t="str">
        <f aca="false">'Player Data'!X64</f>
        <v>JFA (Japan Football Association) player registry</v>
      </c>
      <c r="AA64" s="19" t="str">
        <f aca="false">HYPERLINK("https://www.transfermarkt.com/schnellsuche/ergebnis/schnellsuche?query="&amp;SUBSTITUTE(A64," ","+"),"Search Transfermarkt")</f>
        <v>Search Transfermarkt</v>
      </c>
      <c r="AB64" s="29" t="n">
        <f aca="false">IFERROR('Player Data'!K64/('Player Data'!K64+'Player Data'!L64),0)</f>
        <v>0.694690265486726</v>
      </c>
      <c r="AC64" s="21" t="str">
        <f aca="false">IF(B64="GK",IF(AND(O64&gt;=Assumptions!$B$23,N64&gt;=Assumptions!$B$23),"Sweeper-Keeper / Build-from-the-Back",IF(O64&gt;=Assumptions!$B$23,"Sweeper-Keeper / High Line",IF(M64&gt;=Assumptions!$B$23,"Shot-Stopper / Traditional","Flexible / Multi-System"))),IF(AND(O64&gt;=Assumptions!$B$23,P64&gt;=Assumptions!$B$24),"High Press / Gegenpressing",IF(AND(N64&gt;=Assumptions!$B$23,AB64&gt;=Assumptions!$B$25),"Possession / Build-from-the-Back",IF(N64&gt;=Assumptions!$B$23,"Counter-Attack / Transition",IF(AND(O64&gt;=Assumptions!$B$23,N64&lt;Assumptions!$B$26),"Low Block / Park the Bus",IF(AND(B64="FW",M64&gt;=Assumptions!$B$23,N64&lt;Assumptions!$B$26),"Direct / Target Approach","Flexible / Multi-System"))))))</f>
        <v>Flexible / Multi-System</v>
      </c>
      <c r="AD64" s="21" t="str">
        <f aca="false">'Player Data'!Y64</f>
        <v>2026-07-14</v>
      </c>
      <c r="AE64" s="21" t="str">
        <f aca="false">'Player Data'!Z64</f>
        <v>2026-07-15</v>
      </c>
      <c r="AF64" s="28" t="str">
        <f aca="false">IFERROR(INDEX(Assumptions!$B$30:$B$61,MATCH(C64,Assumptions!$A$30:$A$61,0)),"--")</f>
        <v>Belgium, Australia</v>
      </c>
      <c r="AG64" s="30" t="str">
        <f aca="false">IF(R64&gt;=0.7,"Step-Up Candidate",IF(R64&gt;=0.4,"Lateral Move","Stay &amp; Develop"))</f>
        <v>Stay &amp; Develop</v>
      </c>
    </row>
    <row r="65" customFormat="false" ht="23.85" hidden="false" customHeight="false" outlineLevel="0" collapsed="false">
      <c r="A65" s="21" t="str">
        <f aca="false">'Player Data'!A65</f>
        <v>Jon Einarsson</v>
      </c>
      <c r="B65" s="21" t="str">
        <f aca="false">'Player Data'!F65</f>
        <v>FW</v>
      </c>
      <c r="C65" s="21" t="str">
        <f aca="false">'Player Data'!B65</f>
        <v>Iceland</v>
      </c>
      <c r="D65" s="21" t="str">
        <f aca="false">'Player Data'!C65</f>
        <v>Iceland Amateur League</v>
      </c>
      <c r="E65" s="21" t="n">
        <f aca="false">'Player Data'!D65</f>
        <v>4</v>
      </c>
      <c r="F65" s="21" t="n">
        <f aca="false">'Player Data'!G65</f>
        <v>18</v>
      </c>
      <c r="G65" s="21" t="n">
        <f aca="false">'Player Data'!H65</f>
        <v>2652</v>
      </c>
      <c r="H65" s="22" t="n">
        <f aca="false">IF(B65="GK",IFERROR(('Player Data'!N65-1.5*'Player Data'!O65)/'Player Data'!H65*90,0),IFERROR(('Player Data'!I65+'Player Data'!J65)/'Player Data'!H65*90,0))</f>
        <v>0.509049773755656</v>
      </c>
      <c r="I65" s="22" t="n">
        <f aca="false">IF(B65="GK",'Player Data'!P65,IFERROR(('Player Data'!K65+'Player Data'!L65)/'Player Data'!H65*90,0))</f>
        <v>4.64932126696833</v>
      </c>
      <c r="J65" s="22" t="n">
        <f aca="false">IF(B65="GK",IFERROR('Player Data'!Q65/'Player Data'!H65*90,0),IFERROR('Player Data'!M65/'Player Data'!H65*90,0))</f>
        <v>0.475113122171946</v>
      </c>
      <c r="K65" s="23" t="n">
        <f aca="false">'Player Data'!S65</f>
        <v>77986</v>
      </c>
      <c r="L65" s="22" t="n">
        <f aca="false">INDEX(Assumptions!$B$13:$B$15,MATCH(E65,Assumptions!$A$13:$A$15,0))</f>
        <v>0.7</v>
      </c>
      <c r="M65" s="24" t="n">
        <f aca="false">IFERROR(SUMPRODUCT(($B$2:$B$1001=B65)*($H$2:$H$1001&lt;=H65))/SUMPRODUCT(($B$2:$B$1001=B65)*1),0)</f>
        <v>0.084070796460177</v>
      </c>
      <c r="N65" s="24" t="n">
        <f aca="false">IFERROR(SUMPRODUCT(($B$2:$B$1001=B65)*($I$2:$I$1001&lt;=I65))/SUMPRODUCT(($B$2:$B$1001=B65)*1),0)</f>
        <v>0.141592920353982</v>
      </c>
      <c r="O65" s="24" t="n">
        <f aca="false">IFERROR(SUMPRODUCT(($B$2:$B$1001=B65)*($J$2:$J$1001&lt;=J65))/SUMPRODUCT(($B$2:$B$1001=B65)*1),0)</f>
        <v>0.460176991150442</v>
      </c>
      <c r="P65" s="24" t="n">
        <f aca="false">IFERROR(SUMPRODUCT(($B$2:$B$1001=B65)*((0-$F$2:$F$1001)&lt;=(0-F65)))/SUMPRODUCT(($B$2:$B$1001=B65)*1),0)</f>
        <v>0.915929203539823</v>
      </c>
      <c r="Q65" s="25" t="n">
        <f aca="false">(M65*Assumptions!$B$5+N65*Assumptions!$B$6+O65*Assumptions!$B$7+P65*Assumptions!$B$8)*L65</f>
        <v>0.242057522123894</v>
      </c>
      <c r="R65" s="24" t="n">
        <f aca="false">IFERROR(SUMPRODUCT(($B$2:$B$1001=B65)*($Q$2:$Q$1001&lt;=Q65))/SUMPRODUCT(($B$2:$B$1001=B65)*1),0)</f>
        <v>0.168141592920354</v>
      </c>
      <c r="S65" s="24" t="n">
        <f aca="false">IFERROR(SUMPRODUCT(($B$2:$B$1001=B65)*($K$2:$K$1001&lt;=K65))/SUMPRODUCT(($B$2:$B$1001=B65)*1),0)</f>
        <v>0.592920353982301</v>
      </c>
      <c r="T65" s="26" t="n">
        <f aca="false">(R65-S65)*100</f>
        <v>-42.4778761061947</v>
      </c>
      <c r="U65" s="21" t="str">
        <f aca="false">'Player Data'!T65</f>
        <v>Unknown</v>
      </c>
      <c r="V65" s="27" t="n">
        <f aca="false">'Player Data'!U65</f>
        <v>2026</v>
      </c>
      <c r="W65" s="21" t="str">
        <f aca="false">IF(AND(T65&gt;=Assumptions!$B$19,U65="No"),"High Priority - Unrepresented",IF(T65&gt;=Assumptions!$B$19,"High Priority",IF(AND(T65&gt;=Assumptions!$B$20,U65="No"),"Watchlist - Unrepresented",IF(T65&gt;=Assumptions!$B$20,"Watchlist",""))))</f>
        <v/>
      </c>
      <c r="X65" s="21" t="str">
        <f aca="false">'Player Data'!V65</f>
        <v>info@selfosscity.is</v>
      </c>
      <c r="Y65" s="28" t="str">
        <f aca="false">'Player Data'!W65</f>
        <v>Club sporting director / first-team office</v>
      </c>
      <c r="Z65" s="28" t="str">
        <f aca="false">'Player Data'!X65</f>
        <v>KSI (Icelandic Football Association) player registry</v>
      </c>
      <c r="AA65" s="19" t="str">
        <f aca="false">HYPERLINK("https://www.transfermarkt.com/schnellsuche/ergebnis/schnellsuche?query="&amp;SUBSTITUTE(A65," ","+"),"Search Transfermarkt")</f>
        <v>Search Transfermarkt</v>
      </c>
      <c r="AB65" s="29" t="n">
        <f aca="false">IFERROR('Player Data'!K65/('Player Data'!K65+'Player Data'!L65),0)</f>
        <v>0.343065693430657</v>
      </c>
      <c r="AC65" s="21" t="str">
        <f aca="false">IF(B65="GK",IF(AND(O65&gt;=Assumptions!$B$23,N65&gt;=Assumptions!$B$23),"Sweeper-Keeper / Build-from-the-Back",IF(O65&gt;=Assumptions!$B$23,"Sweeper-Keeper / High Line",IF(M65&gt;=Assumptions!$B$23,"Shot-Stopper / Traditional","Flexible / Multi-System"))),IF(AND(O65&gt;=Assumptions!$B$23,P65&gt;=Assumptions!$B$24),"High Press / Gegenpressing",IF(AND(N65&gt;=Assumptions!$B$23,AB65&gt;=Assumptions!$B$25),"Possession / Build-from-the-Back",IF(N65&gt;=Assumptions!$B$23,"Counter-Attack / Transition",IF(AND(O65&gt;=Assumptions!$B$23,N65&lt;Assumptions!$B$26),"Low Block / Park the Bus",IF(AND(B65="FW",M65&gt;=Assumptions!$B$23,N65&lt;Assumptions!$B$26),"Direct / Target Approach","Flexible / Multi-System"))))))</f>
        <v>Flexible / Multi-System</v>
      </c>
      <c r="AD65" s="21" t="str">
        <f aca="false">'Player Data'!Y65</f>
        <v>2026-07-14</v>
      </c>
      <c r="AE65" s="21" t="str">
        <f aca="false">'Player Data'!Z65</f>
        <v>2026-07-15</v>
      </c>
      <c r="AF65" s="28" t="str">
        <f aca="false">IFERROR(INDEX(Assumptions!$B$30:$B$61,MATCH(C65,Assumptions!$A$30:$A$61,0)),"--")</f>
        <v>Norway, Belgium</v>
      </c>
      <c r="AG65" s="30" t="str">
        <f aca="false">IF(R65&gt;=0.7,"Step-Up Candidate",IF(R65&gt;=0.4,"Lateral Move","Stay &amp; Develop"))</f>
        <v>Stay &amp; Develop</v>
      </c>
    </row>
    <row r="66" customFormat="false" ht="23.85" hidden="false" customHeight="false" outlineLevel="0" collapsed="false">
      <c r="A66" s="21" t="str">
        <f aca="false">'Player Data'!A66</f>
        <v>Jan Horvat</v>
      </c>
      <c r="B66" s="21" t="str">
        <f aca="false">'Player Data'!F66</f>
        <v>FW</v>
      </c>
      <c r="C66" s="21" t="str">
        <f aca="false">'Player Data'!B66</f>
        <v>Slovenia</v>
      </c>
      <c r="D66" s="21" t="str">
        <f aca="false">'Player Data'!C66</f>
        <v>Slovenia Second Division - West</v>
      </c>
      <c r="E66" s="21" t="n">
        <f aca="false">'Player Data'!D66</f>
        <v>3</v>
      </c>
      <c r="F66" s="21" t="n">
        <f aca="false">'Player Data'!G66</f>
        <v>19</v>
      </c>
      <c r="G66" s="21" t="n">
        <f aca="false">'Player Data'!H66</f>
        <v>2008</v>
      </c>
      <c r="H66" s="22" t="n">
        <f aca="false">IF(B66="GK",IFERROR(('Player Data'!N66-1.5*'Player Data'!O66)/'Player Data'!H66*90,0),IFERROR(('Player Data'!I66+'Player Data'!J66)/'Player Data'!H66*90,0))</f>
        <v>1.16533864541833</v>
      </c>
      <c r="I66" s="22" t="n">
        <f aca="false">IF(B66="GK",'Player Data'!P66,IFERROR(('Player Data'!K66+'Player Data'!L66)/'Player Data'!H66*90,0))</f>
        <v>5.60258964143426</v>
      </c>
      <c r="J66" s="22" t="n">
        <f aca="false">IF(B66="GK",IFERROR('Player Data'!Q66/'Player Data'!H66*90,0),IFERROR('Player Data'!M66/'Player Data'!H66*90,0))</f>
        <v>0.224103585657371</v>
      </c>
      <c r="K66" s="23" t="n">
        <f aca="false">'Player Data'!S66</f>
        <v>0</v>
      </c>
      <c r="L66" s="22" t="n">
        <f aca="false">INDEX(Assumptions!$B$13:$B$15,MATCH(E66,Assumptions!$A$13:$A$15,0))</f>
        <v>0.85</v>
      </c>
      <c r="M66" s="24" t="n">
        <f aca="false">IFERROR(SUMPRODUCT(($B$2:$B$1001=B66)*($H$2:$H$1001&lt;=H66))/SUMPRODUCT(($B$2:$B$1001=B66)*1),0)</f>
        <v>0.672566371681416</v>
      </c>
      <c r="N66" s="24" t="n">
        <f aca="false">IFERROR(SUMPRODUCT(($B$2:$B$1001=B66)*($I$2:$I$1001&lt;=I66))/SUMPRODUCT(($B$2:$B$1001=B66)*1),0)</f>
        <v>0.327433628318584</v>
      </c>
      <c r="O66" s="24" t="n">
        <f aca="false">IFERROR(SUMPRODUCT(($B$2:$B$1001=B66)*($J$2:$J$1001&lt;=J66))/SUMPRODUCT(($B$2:$B$1001=B66)*1),0)</f>
        <v>0.0619469026548673</v>
      </c>
      <c r="P66" s="24" t="n">
        <f aca="false">IFERROR(SUMPRODUCT(($B$2:$B$1001=B66)*((0-$F$2:$F$1001)&lt;=(0-F66)))/SUMPRODUCT(($B$2:$B$1001=B66)*1),0)</f>
        <v>0.831858407079646</v>
      </c>
      <c r="Q66" s="25" t="n">
        <f aca="false">(M66*Assumptions!$B$5+N66*Assumptions!$B$6+O66*Assumptions!$B$7+P66*Assumptions!$B$8)*L66</f>
        <v>0.392278761061947</v>
      </c>
      <c r="R66" s="24" t="n">
        <f aca="false">IFERROR(SUMPRODUCT(($B$2:$B$1001=B66)*($Q$2:$Q$1001&lt;=Q66))/SUMPRODUCT(($B$2:$B$1001=B66)*1),0)</f>
        <v>0.429203539823009</v>
      </c>
      <c r="S66" s="24" t="n">
        <f aca="false">IFERROR(SUMPRODUCT(($B$2:$B$1001=B66)*($K$2:$K$1001&lt;=K66))/SUMPRODUCT(($B$2:$B$1001=B66)*1),0)</f>
        <v>0.261061946902655</v>
      </c>
      <c r="T66" s="26" t="n">
        <f aca="false">(R66-S66)*100</f>
        <v>16.8141592920354</v>
      </c>
      <c r="U66" s="21" t="str">
        <f aca="false">'Player Data'!T66</f>
        <v>No</v>
      </c>
      <c r="V66" s="27" t="n">
        <f aca="false">'Player Data'!U66</f>
        <v>2027</v>
      </c>
      <c r="W66" s="21" t="str">
        <f aca="false">IF(AND(T66&gt;=Assumptions!$B$19,U66="No"),"High Priority - Unrepresented",IF(T66&gt;=Assumptions!$B$19,"High Priority",IF(AND(T66&gt;=Assumptions!$B$20,U66="No"),"Watchlist - Unrepresented",IF(T66&gt;=Assumptions!$B$20,"Watchlist",""))))</f>
        <v/>
      </c>
      <c r="X66" s="21" t="str">
        <f aca="false">'Player Data'!V66</f>
        <v>info@mariborcity.si</v>
      </c>
      <c r="Y66" s="28" t="str">
        <f aca="false">'Player Data'!W66</f>
        <v>Club sporting director / first-team office</v>
      </c>
      <c r="Z66" s="28" t="str">
        <f aca="false">'Player Data'!X66</f>
        <v>NZS (Football Association of Slovenia) player registry</v>
      </c>
      <c r="AA66" s="19" t="str">
        <f aca="false">HYPERLINK("https://www.transfermarkt.com/schnellsuche/ergebnis/schnellsuche?query="&amp;SUBSTITUTE(A66," ","+"),"Search Transfermarkt")</f>
        <v>Search Transfermarkt</v>
      </c>
      <c r="AB66" s="29" t="n">
        <f aca="false">IFERROR('Player Data'!K66/('Player Data'!K66+'Player Data'!L66),0)</f>
        <v>0.52</v>
      </c>
      <c r="AC66" s="21" t="str">
        <f aca="false">IF(B66="GK",IF(AND(O66&gt;=Assumptions!$B$23,N66&gt;=Assumptions!$B$23),"Sweeper-Keeper / Build-from-the-Back",IF(O66&gt;=Assumptions!$B$23,"Sweeper-Keeper / High Line",IF(M66&gt;=Assumptions!$B$23,"Shot-Stopper / Traditional","Flexible / Multi-System"))),IF(AND(O66&gt;=Assumptions!$B$23,P66&gt;=Assumptions!$B$24),"High Press / Gegenpressing",IF(AND(N66&gt;=Assumptions!$B$23,AB66&gt;=Assumptions!$B$25),"Possession / Build-from-the-Back",IF(N66&gt;=Assumptions!$B$23,"Counter-Attack / Transition",IF(AND(O66&gt;=Assumptions!$B$23,N66&lt;Assumptions!$B$26),"Low Block / Park the Bus",IF(AND(B66="FW",M66&gt;=Assumptions!$B$23,N66&lt;Assumptions!$B$26),"Direct / Target Approach","Flexible / Multi-System"))))))</f>
        <v>Direct / Target Approach</v>
      </c>
      <c r="AD66" s="21" t="str">
        <f aca="false">'Player Data'!Y66</f>
        <v>2026-07-14</v>
      </c>
      <c r="AE66" s="21" t="str">
        <f aca="false">'Player Data'!Z66</f>
        <v>2026-07-15</v>
      </c>
      <c r="AF66" s="28" t="str">
        <f aca="false">IFERROR(INDEX(Assumptions!$B$30:$B$61,MATCH(C66,Assumptions!$A$30:$A$61,0)),"--")</f>
        <v>Austria, Poland</v>
      </c>
      <c r="AG66" s="30" t="str">
        <f aca="false">IF(R66&gt;=0.7,"Step-Up Candidate",IF(R66&gt;=0.4,"Lateral Move","Stay &amp; Develop"))</f>
        <v>Lateral Move</v>
      </c>
    </row>
    <row r="67" customFormat="false" ht="23.85" hidden="false" customHeight="false" outlineLevel="0" collapsed="false">
      <c r="A67" s="21" t="str">
        <f aca="false">'Player Data'!A67</f>
        <v>Wuilker Perez</v>
      </c>
      <c r="B67" s="21" t="str">
        <f aca="false">'Player Data'!F67</f>
        <v>DF</v>
      </c>
      <c r="C67" s="21" t="str">
        <f aca="false">'Player Data'!B67</f>
        <v>Venezuela</v>
      </c>
      <c r="D67" s="21" t="str">
        <f aca="false">'Player Data'!C67</f>
        <v>Venezuela Second Division</v>
      </c>
      <c r="E67" s="21" t="n">
        <f aca="false">'Player Data'!D67</f>
        <v>2</v>
      </c>
      <c r="F67" s="21" t="n">
        <f aca="false">'Player Data'!G67</f>
        <v>18</v>
      </c>
      <c r="G67" s="21" t="n">
        <f aca="false">'Player Data'!H67</f>
        <v>1235</v>
      </c>
      <c r="H67" s="22" t="n">
        <f aca="false">IF(B67="GK",IFERROR(('Player Data'!N67-1.5*'Player Data'!O67)/'Player Data'!H67*90,0),IFERROR(('Player Data'!I67+'Player Data'!J67)/'Player Data'!H67*90,0))</f>
        <v>0.0728744939271255</v>
      </c>
      <c r="I67" s="22" t="n">
        <f aca="false">IF(B67="GK",'Player Data'!P67,IFERROR(('Player Data'!K67+'Player Data'!L67)/'Player Data'!H67*90,0))</f>
        <v>5.46558704453441</v>
      </c>
      <c r="J67" s="22" t="n">
        <f aca="false">IF(B67="GK",IFERROR('Player Data'!Q67/'Player Data'!H67*90,0),IFERROR('Player Data'!M67/'Player Data'!H67*90,0))</f>
        <v>7.87044534412955</v>
      </c>
      <c r="K67" s="23" t="n">
        <f aca="false">'Player Data'!S67</f>
        <v>0</v>
      </c>
      <c r="L67" s="22" t="n">
        <f aca="false">INDEX(Assumptions!$B$13:$B$15,MATCH(E67,Assumptions!$A$13:$A$15,0))</f>
        <v>1</v>
      </c>
      <c r="M67" s="24" t="n">
        <f aca="false">IFERROR(SUMPRODUCT(($B$2:$B$1001=B67)*($H$2:$H$1001&lt;=H67))/SUMPRODUCT(($B$2:$B$1001=B67)*1),0)</f>
        <v>0.119047619047619</v>
      </c>
      <c r="N67" s="24" t="n">
        <f aca="false">IFERROR(SUMPRODUCT(($B$2:$B$1001=B67)*($I$2:$I$1001&lt;=I67))/SUMPRODUCT(($B$2:$B$1001=B67)*1),0)</f>
        <v>0.673469387755102</v>
      </c>
      <c r="O67" s="24" t="n">
        <f aca="false">IFERROR(SUMPRODUCT(($B$2:$B$1001=B67)*($J$2:$J$1001&lt;=J67))/SUMPRODUCT(($B$2:$B$1001=B67)*1),0)</f>
        <v>0.826530612244898</v>
      </c>
      <c r="P67" s="24" t="n">
        <f aca="false">IFERROR(SUMPRODUCT(($B$2:$B$1001=B67)*((0-$F$2:$F$1001)&lt;=(0-F67)))/SUMPRODUCT(($B$2:$B$1001=B67)*1),0)</f>
        <v>0.863945578231293</v>
      </c>
      <c r="Q67" s="25" t="n">
        <f aca="false">(M67*Assumptions!$B$5+N67*Assumptions!$B$6+O67*Assumptions!$B$7+P67*Assumptions!$B$8)*L67</f>
        <v>0.603571428571429</v>
      </c>
      <c r="R67" s="24" t="n">
        <f aca="false">IFERROR(SUMPRODUCT(($B$2:$B$1001=B67)*($Q$2:$Q$1001&lt;=Q67))/SUMPRODUCT(($B$2:$B$1001=B67)*1),0)</f>
        <v>0.772108843537415</v>
      </c>
      <c r="S67" s="24" t="n">
        <f aca="false">IFERROR(SUMPRODUCT(($B$2:$B$1001=B67)*($K$2:$K$1001&lt;=K67))/SUMPRODUCT(($B$2:$B$1001=B67)*1),0)</f>
        <v>0.248299319727891</v>
      </c>
      <c r="T67" s="26" t="n">
        <f aca="false">(R67-S67)*100</f>
        <v>52.3809523809524</v>
      </c>
      <c r="U67" s="21" t="str">
        <f aca="false">'Player Data'!T67</f>
        <v>Unknown</v>
      </c>
      <c r="V67" s="27" t="n">
        <f aca="false">'Player Data'!U67</f>
        <v>2029</v>
      </c>
      <c r="W67" s="21" t="str">
        <f aca="false">IF(AND(T67&gt;=Assumptions!$B$19,U67="No"),"High Priority - Unrepresented",IF(T67&gt;=Assumptions!$B$19,"High Priority",IF(AND(T67&gt;=Assumptions!$B$20,U67="No"),"Watchlist - Unrepresented",IF(T67&gt;=Assumptions!$B$20,"Watchlist",""))))</f>
        <v>High Priority</v>
      </c>
      <c r="X67" s="21" t="str">
        <f aca="false">'Player Data'!V67</f>
        <v>info@barquisimetorangers.ve</v>
      </c>
      <c r="Y67" s="28" t="str">
        <f aca="false">'Player Data'!W67</f>
        <v>Club sporting director / first-team office</v>
      </c>
      <c r="Z67" s="28" t="str">
        <f aca="false">'Player Data'!X67</f>
        <v>FVF (Venezuelan Football Federation) player registry</v>
      </c>
      <c r="AA67" s="19" t="str">
        <f aca="false">HYPERLINK("https://www.transfermarkt.com/schnellsuche/ergebnis/schnellsuche?query="&amp;SUBSTITUTE(A67," ","+"),"Search Transfermarkt")</f>
        <v>Search Transfermarkt</v>
      </c>
      <c r="AB67" s="29" t="n">
        <f aca="false">IFERROR('Player Data'!K67/('Player Data'!K67+'Player Data'!L67),0)</f>
        <v>0.533333333333333</v>
      </c>
      <c r="AC67" s="21" t="str">
        <f aca="false">IF(B67="GK",IF(AND(O67&gt;=Assumptions!$B$23,N67&gt;=Assumptions!$B$23),"Sweeper-Keeper / Build-from-the-Back",IF(O67&gt;=Assumptions!$B$23,"Sweeper-Keeper / High Line",IF(M67&gt;=Assumptions!$B$23,"Shot-Stopper / Traditional","Flexible / Multi-System"))),IF(AND(O67&gt;=Assumptions!$B$23,P67&gt;=Assumptions!$B$24),"High Press / Gegenpressing",IF(AND(N67&gt;=Assumptions!$B$23,AB67&gt;=Assumptions!$B$25),"Possession / Build-from-the-Back",IF(N67&gt;=Assumptions!$B$23,"Counter-Attack / Transition",IF(AND(O67&gt;=Assumptions!$B$23,N67&lt;Assumptions!$B$26),"Low Block / Park the Bus",IF(AND(B67="FW",M67&gt;=Assumptions!$B$23,N67&lt;Assumptions!$B$26),"Direct / Target Approach","Flexible / Multi-System"))))))</f>
        <v>High Press / Gegenpressing</v>
      </c>
      <c r="AD67" s="21" t="str">
        <f aca="false">'Player Data'!Y67</f>
        <v>2026-07-14</v>
      </c>
      <c r="AE67" s="21" t="str">
        <f aca="false">'Player Data'!Z67</f>
        <v>2026-07-15</v>
      </c>
      <c r="AF67" s="28" t="str">
        <f aca="false">IFERROR(INDEX(Assumptions!$B$30:$B$61,MATCH(C67,Assumptions!$A$30:$A$61,0)),"--")</f>
        <v>Argentina, Portugal</v>
      </c>
      <c r="AG67" s="30" t="str">
        <f aca="false">IF(R67&gt;=0.7,"Step-Up Candidate",IF(R67&gt;=0.4,"Lateral Move","Stay &amp; Develop"))</f>
        <v>Step-Up Candidate</v>
      </c>
    </row>
    <row r="68" customFormat="false" ht="23.85" hidden="false" customHeight="false" outlineLevel="0" collapsed="false">
      <c r="A68" s="21" t="str">
        <f aca="false">'Player Data'!A68</f>
        <v>Emmanuel Boateng</v>
      </c>
      <c r="B68" s="21" t="str">
        <f aca="false">'Player Data'!F68</f>
        <v>GK</v>
      </c>
      <c r="C68" s="21" t="str">
        <f aca="false">'Player Data'!B68</f>
        <v>Ghana</v>
      </c>
      <c r="D68" s="21" t="str">
        <f aca="false">'Player Data'!C68</f>
        <v>Ghana Third Tier - South</v>
      </c>
      <c r="E68" s="21" t="n">
        <f aca="false">'Player Data'!D68</f>
        <v>4</v>
      </c>
      <c r="F68" s="21" t="n">
        <f aca="false">'Player Data'!G68</f>
        <v>23</v>
      </c>
      <c r="G68" s="21" t="n">
        <f aca="false">'Player Data'!H68</f>
        <v>2519</v>
      </c>
      <c r="H68" s="22" t="n">
        <f aca="false">IF(B68="GK",IFERROR(('Player Data'!N68-1.5*'Player Data'!O68)/'Player Data'!H68*90,0),IFERROR(('Player Data'!I68+'Player Data'!J68)/'Player Data'!H68*90,0))</f>
        <v>0.160778086542279</v>
      </c>
      <c r="I68" s="22" t="n">
        <f aca="false">IF(B68="GK",'Player Data'!P68,IFERROR(('Player Data'!K68+'Player Data'!L68)/'Player Data'!H68*90,0))</f>
        <v>66.6</v>
      </c>
      <c r="J68" s="22" t="n">
        <f aca="false">IF(B68="GK",IFERROR('Player Data'!Q68/'Player Data'!H68*90,0),IFERROR('Player Data'!M68/'Player Data'!H68*90,0))</f>
        <v>1.24692338229456</v>
      </c>
      <c r="K68" s="23" t="n">
        <f aca="false">'Player Data'!S68</f>
        <v>138676</v>
      </c>
      <c r="L68" s="22" t="n">
        <f aca="false">INDEX(Assumptions!$B$13:$B$15,MATCH(E68,Assumptions!$A$13:$A$15,0))</f>
        <v>0.7</v>
      </c>
      <c r="M68" s="24" t="n">
        <f aca="false">IFERROR(SUMPRODUCT(($B$2:$B$1001=B68)*($H$2:$H$1001&lt;=H68))/SUMPRODUCT(($B$2:$B$1001=B68)*1),0)</f>
        <v>0.213114754098361</v>
      </c>
      <c r="N68" s="24" t="n">
        <f aca="false">IFERROR(SUMPRODUCT(($B$2:$B$1001=B68)*($I$2:$I$1001&lt;=I68))/SUMPRODUCT(($B$2:$B$1001=B68)*1),0)</f>
        <v>0.344262295081967</v>
      </c>
      <c r="O68" s="24" t="n">
        <f aca="false">IFERROR(SUMPRODUCT(($B$2:$B$1001=B68)*($J$2:$J$1001&lt;=J68))/SUMPRODUCT(($B$2:$B$1001=B68)*1),0)</f>
        <v>0.770491803278689</v>
      </c>
      <c r="P68" s="24" t="n">
        <f aca="false">IFERROR(SUMPRODUCT(($B$2:$B$1001=B68)*((0-$F$2:$F$1001)&lt;=(0-F68)))/SUMPRODUCT(($B$2:$B$1001=B68)*1),0)</f>
        <v>0.431693989071038</v>
      </c>
      <c r="Q68" s="25" t="n">
        <f aca="false">(M68*Assumptions!$B$5+N68*Assumptions!$B$6+O68*Assumptions!$B$7+P68*Assumptions!$B$8)*L68</f>
        <v>0.289945355191257</v>
      </c>
      <c r="R68" s="24" t="n">
        <f aca="false">IFERROR(SUMPRODUCT(($B$2:$B$1001=B68)*($Q$2:$Q$1001&lt;=Q68))/SUMPRODUCT(($B$2:$B$1001=B68)*1),0)</f>
        <v>0.120218579234973</v>
      </c>
      <c r="S68" s="24" t="n">
        <f aca="false">IFERROR(SUMPRODUCT(($B$2:$B$1001=B68)*($K$2:$K$1001&lt;=K68))/SUMPRODUCT(($B$2:$B$1001=B68)*1),0)</f>
        <v>0.92896174863388</v>
      </c>
      <c r="T68" s="26" t="n">
        <f aca="false">(R68-S68)*100</f>
        <v>-80.8743169398907</v>
      </c>
      <c r="U68" s="21" t="str">
        <f aca="false">'Player Data'!T68</f>
        <v>Yes</v>
      </c>
      <c r="V68" s="27" t="n">
        <f aca="false">'Player Data'!U68</f>
        <v>2026</v>
      </c>
      <c r="W68" s="21" t="str">
        <f aca="false">IF(AND(T68&gt;=Assumptions!$B$19,U68="No"),"High Priority - Unrepresented",IF(T68&gt;=Assumptions!$B$19,"High Priority",IF(AND(T68&gt;=Assumptions!$B$20,U68="No"),"Watchlist - Unrepresented",IF(T68&gt;=Assumptions!$B$20,"Watchlist",""))))</f>
        <v/>
      </c>
      <c r="X68" s="21" t="str">
        <f aca="false">'Player Data'!V68</f>
        <v>info@sekondifc.gh</v>
      </c>
      <c r="Y68" s="28" t="str">
        <f aca="false">'Player Data'!W68</f>
        <v>Go through the player's agent - ask the club to confirm representation first</v>
      </c>
      <c r="Z68" s="28" t="str">
        <f aca="false">'Player Data'!X68</f>
        <v>GFA (Ghana Football Association) player registry</v>
      </c>
      <c r="AA68" s="19" t="str">
        <f aca="false">HYPERLINK("https://www.transfermarkt.com/schnellsuche/ergebnis/schnellsuche?query="&amp;SUBSTITUTE(A68," ","+"),"Search Transfermarkt")</f>
        <v>Search Transfermarkt</v>
      </c>
      <c r="AB68" s="29" t="n">
        <f aca="false">IFERROR('Player Data'!K68/('Player Data'!K68+'Player Data'!L68),0)</f>
        <v>0.545454545454545</v>
      </c>
      <c r="AC68" s="21" t="str">
        <f aca="false">IF(B68="GK",IF(AND(O68&gt;=Assumptions!$B$23,N68&gt;=Assumptions!$B$23),"Sweeper-Keeper / Build-from-the-Back",IF(O68&gt;=Assumptions!$B$23,"Sweeper-Keeper / High Line",IF(M68&gt;=Assumptions!$B$23,"Shot-Stopper / Traditional","Flexible / Multi-System"))),IF(AND(O68&gt;=Assumptions!$B$23,P68&gt;=Assumptions!$B$24),"High Press / Gegenpressing",IF(AND(N68&gt;=Assumptions!$B$23,AB68&gt;=Assumptions!$B$25),"Possession / Build-from-the-Back",IF(N68&gt;=Assumptions!$B$23,"Counter-Attack / Transition",IF(AND(O68&gt;=Assumptions!$B$23,N68&lt;Assumptions!$B$26),"Low Block / Park the Bus",IF(AND(B68="FW",M68&gt;=Assumptions!$B$23,N68&lt;Assumptions!$B$26),"Direct / Target Approach","Flexible / Multi-System"))))))</f>
        <v>Sweeper-Keeper / High Line</v>
      </c>
      <c r="AD68" s="21" t="str">
        <f aca="false">'Player Data'!Y68</f>
        <v>2026-07-14</v>
      </c>
      <c r="AE68" s="21" t="str">
        <f aca="false">'Player Data'!Z68</f>
        <v>2026-07-15</v>
      </c>
      <c r="AF68" s="28" t="str">
        <f aca="false">IFERROR(INDEX(Assumptions!$B$30:$B$61,MATCH(C68,Assumptions!$A$30:$A$61,0)),"--")</f>
        <v>Belgium, Portugal</v>
      </c>
      <c r="AG68" s="30" t="str">
        <f aca="false">IF(R68&gt;=0.7,"Step-Up Candidate",IF(R68&gt;=0.4,"Lateral Move","Stay &amp; Develop"))</f>
        <v>Stay &amp; Develop</v>
      </c>
    </row>
    <row r="69" customFormat="false" ht="23.85" hidden="false" customHeight="false" outlineLevel="0" collapsed="false">
      <c r="A69" s="21" t="str">
        <f aca="false">'Player Data'!A69</f>
        <v>Luka Barisic</v>
      </c>
      <c r="B69" s="21" t="str">
        <f aca="false">'Player Data'!F69</f>
        <v>MF</v>
      </c>
      <c r="C69" s="21" t="str">
        <f aca="false">'Player Data'!B69</f>
        <v>Croatia</v>
      </c>
      <c r="D69" s="21" t="str">
        <f aca="false">'Player Data'!C69</f>
        <v>Croatia Reserve League</v>
      </c>
      <c r="E69" s="21" t="n">
        <f aca="false">'Player Data'!D69</f>
        <v>4</v>
      </c>
      <c r="F69" s="21" t="n">
        <f aca="false">'Player Data'!G69</f>
        <v>18</v>
      </c>
      <c r="G69" s="21" t="n">
        <f aca="false">'Player Data'!H69</f>
        <v>1890</v>
      </c>
      <c r="H69" s="22" t="n">
        <f aca="false">IF(B69="GK",IFERROR(('Player Data'!N69-1.5*'Player Data'!O69)/'Player Data'!H69*90,0),IFERROR(('Player Data'!I69+'Player Data'!J69)/'Player Data'!H69*90,0))</f>
        <v>0.428571428571429</v>
      </c>
      <c r="I69" s="22" t="n">
        <f aca="false">IF(B69="GK",'Player Data'!P69,IFERROR(('Player Data'!K69+'Player Data'!L69)/'Player Data'!H69*90,0))</f>
        <v>12</v>
      </c>
      <c r="J69" s="22" t="n">
        <f aca="false">IF(B69="GK",IFERROR('Player Data'!Q69/'Player Data'!H69*90,0),IFERROR('Player Data'!M69/'Player Data'!H69*90,0))</f>
        <v>1.57142857142857</v>
      </c>
      <c r="K69" s="23" t="n">
        <f aca="false">'Player Data'!S69</f>
        <v>149373</v>
      </c>
      <c r="L69" s="22" t="n">
        <f aca="false">INDEX(Assumptions!$B$13:$B$15,MATCH(E69,Assumptions!$A$13:$A$15,0))</f>
        <v>0.7</v>
      </c>
      <c r="M69" s="24" t="n">
        <f aca="false">IFERROR(SUMPRODUCT(($B$2:$B$1001=B69)*($H$2:$H$1001&lt;=H69))/SUMPRODUCT(($B$2:$B$1001=B69)*1),0)</f>
        <v>0.131313131313131</v>
      </c>
      <c r="N69" s="24" t="n">
        <f aca="false">IFERROR(SUMPRODUCT(($B$2:$B$1001=B69)*($I$2:$I$1001&lt;=I69))/SUMPRODUCT(($B$2:$B$1001=B69)*1),0)</f>
        <v>0.585858585858586</v>
      </c>
      <c r="O69" s="24" t="n">
        <f aca="false">IFERROR(SUMPRODUCT(($B$2:$B$1001=B69)*($J$2:$J$1001&lt;=J69))/SUMPRODUCT(($B$2:$B$1001=B69)*1),0)</f>
        <v>0.202020202020202</v>
      </c>
      <c r="P69" s="24" t="n">
        <f aca="false">IFERROR(SUMPRODUCT(($B$2:$B$1001=B69)*((0-$F$2:$F$1001)&lt;=(0-F69)))/SUMPRODUCT(($B$2:$B$1001=B69)*1),0)</f>
        <v>0.929292929292929</v>
      </c>
      <c r="Q69" s="25" t="n">
        <f aca="false">(M69*Assumptions!$B$5+N69*Assumptions!$B$6+O69*Assumptions!$B$7+P69*Assumptions!$B$8)*L69</f>
        <v>0.32489898989899</v>
      </c>
      <c r="R69" s="24" t="n">
        <f aca="false">IFERROR(SUMPRODUCT(($B$2:$B$1001=B69)*($Q$2:$Q$1001&lt;=Q69))/SUMPRODUCT(($B$2:$B$1001=B69)*1),0)</f>
        <v>0.2996632996633</v>
      </c>
      <c r="S69" s="24" t="n">
        <f aca="false">IFERROR(SUMPRODUCT(($B$2:$B$1001=B69)*($K$2:$K$1001&lt;=K69))/SUMPRODUCT(($B$2:$B$1001=B69)*1),0)</f>
        <v>0.996632996632997</v>
      </c>
      <c r="T69" s="26" t="n">
        <f aca="false">(R69-S69)*100</f>
        <v>-69.6969696969697</v>
      </c>
      <c r="U69" s="21" t="str">
        <f aca="false">'Player Data'!T69</f>
        <v>Unknown</v>
      </c>
      <c r="V69" s="27" t="n">
        <f aca="false">'Player Data'!U69</f>
        <v>2027</v>
      </c>
      <c r="W69" s="21" t="str">
        <f aca="false">IF(AND(T69&gt;=Assumptions!$B$19,U69="No"),"High Priority - Unrepresented",IF(T69&gt;=Assumptions!$B$19,"High Priority",IF(AND(T69&gt;=Assumptions!$B$20,U69="No"),"Watchlist - Unrepresented",IF(T69&gt;=Assumptions!$B$20,"Watchlist",""))))</f>
        <v/>
      </c>
      <c r="X69" s="21" t="str">
        <f aca="false">'Player Data'!V69</f>
        <v>info@rudestown.hr</v>
      </c>
      <c r="Y69" s="28" t="str">
        <f aca="false">'Player Data'!W69</f>
        <v>Club sporting director / first-team office</v>
      </c>
      <c r="Z69" s="28" t="str">
        <f aca="false">'Player Data'!X69</f>
        <v>HNS (Croatian Football Federation) player registry</v>
      </c>
      <c r="AA69" s="19" t="str">
        <f aca="false">HYPERLINK("https://www.transfermarkt.com/schnellsuche/ergebnis/schnellsuche?query="&amp;SUBSTITUTE(A69," ","+"),"Search Transfermarkt")</f>
        <v>Search Transfermarkt</v>
      </c>
      <c r="AB69" s="29" t="n">
        <f aca="false">IFERROR('Player Data'!K69/('Player Data'!K69+'Player Data'!L69),0)</f>
        <v>0.654761904761905</v>
      </c>
      <c r="AC69" s="21" t="str">
        <f aca="false">IF(B69="GK",IF(AND(O69&gt;=Assumptions!$B$23,N69&gt;=Assumptions!$B$23),"Sweeper-Keeper / Build-from-the-Back",IF(O69&gt;=Assumptions!$B$23,"Sweeper-Keeper / High Line",IF(M69&gt;=Assumptions!$B$23,"Shot-Stopper / Traditional","Flexible / Multi-System"))),IF(AND(O69&gt;=Assumptions!$B$23,P69&gt;=Assumptions!$B$24),"High Press / Gegenpressing",IF(AND(N69&gt;=Assumptions!$B$23,AB69&gt;=Assumptions!$B$25),"Possession / Build-from-the-Back",IF(N69&gt;=Assumptions!$B$23,"Counter-Attack / Transition",IF(AND(O69&gt;=Assumptions!$B$23,N69&lt;Assumptions!$B$26),"Low Block / Park the Bus",IF(AND(B69="FW",M69&gt;=Assumptions!$B$23,N69&lt;Assumptions!$B$26),"Direct / Target Approach","Flexible / Multi-System"))))))</f>
        <v>Flexible / Multi-System</v>
      </c>
      <c r="AD69" s="21" t="str">
        <f aca="false">'Player Data'!Y69</f>
        <v>2026-07-14</v>
      </c>
      <c r="AE69" s="21" t="str">
        <f aca="false">'Player Data'!Z69</f>
        <v>2026-07-15</v>
      </c>
      <c r="AF69" s="28" t="str">
        <f aca="false">IFERROR(INDEX(Assumptions!$B$30:$B$61,MATCH(C69,Assumptions!$A$30:$A$61,0)),"--")</f>
        <v>Austria, Turkey</v>
      </c>
      <c r="AG69" s="30" t="str">
        <f aca="false">IF(R69&gt;=0.7,"Step-Up Candidate",IF(R69&gt;=0.4,"Lateral Move","Stay &amp; Develop"))</f>
        <v>Stay &amp; Develop</v>
      </c>
    </row>
    <row r="70" customFormat="false" ht="23.85" hidden="false" customHeight="false" outlineLevel="0" collapsed="false">
      <c r="A70" s="21" t="str">
        <f aca="false">'Player Data'!A70</f>
        <v>Filip Ilic</v>
      </c>
      <c r="B70" s="21" t="str">
        <f aca="false">'Player Data'!F70</f>
        <v>MF</v>
      </c>
      <c r="C70" s="21" t="str">
        <f aca="false">'Player Data'!B70</f>
        <v>Montenegro</v>
      </c>
      <c r="D70" s="21" t="str">
        <f aca="false">'Player Data'!C70</f>
        <v>Montenegro Regional League</v>
      </c>
      <c r="E70" s="21" t="n">
        <f aca="false">'Player Data'!D70</f>
        <v>2</v>
      </c>
      <c r="F70" s="21" t="n">
        <f aca="false">'Player Data'!G70</f>
        <v>18</v>
      </c>
      <c r="G70" s="21" t="n">
        <f aca="false">'Player Data'!H70</f>
        <v>1123</v>
      </c>
      <c r="H70" s="22" t="n">
        <f aca="false">IF(B70="GK",IFERROR(('Player Data'!N70-1.5*'Player Data'!O70)/'Player Data'!H70*90,0),IFERROR(('Player Data'!I70+'Player Data'!J70)/'Player Data'!H70*90,0))</f>
        <v>0.961709706144256</v>
      </c>
      <c r="I70" s="22" t="n">
        <f aca="false">IF(B70="GK",'Player Data'!P70,IFERROR(('Player Data'!K70+'Player Data'!L70)/'Player Data'!H70*90,0))</f>
        <v>17.7916295636687</v>
      </c>
      <c r="J70" s="22" t="n">
        <f aca="false">IF(B70="GK",IFERROR('Player Data'!Q70/'Player Data'!H70*90,0),IFERROR('Player Data'!M70/'Player Data'!H70*90,0))</f>
        <v>4.16740872662511</v>
      </c>
      <c r="K70" s="23" t="n">
        <f aca="false">'Player Data'!S70</f>
        <v>86235</v>
      </c>
      <c r="L70" s="22" t="n">
        <f aca="false">INDEX(Assumptions!$B$13:$B$15,MATCH(E70,Assumptions!$A$13:$A$15,0))</f>
        <v>1</v>
      </c>
      <c r="M70" s="24" t="n">
        <f aca="false">IFERROR(SUMPRODUCT(($B$2:$B$1001=B70)*($H$2:$H$1001&lt;=H70))/SUMPRODUCT(($B$2:$B$1001=B70)*1),0)</f>
        <v>0.754208754208754</v>
      </c>
      <c r="N70" s="24" t="n">
        <f aca="false">IFERROR(SUMPRODUCT(($B$2:$B$1001=B70)*($I$2:$I$1001&lt;=I70))/SUMPRODUCT(($B$2:$B$1001=B70)*1),0)</f>
        <v>0.848484848484849</v>
      </c>
      <c r="O70" s="24" t="n">
        <f aca="false">IFERROR(SUMPRODUCT(($B$2:$B$1001=B70)*($J$2:$J$1001&lt;=J70))/SUMPRODUCT(($B$2:$B$1001=B70)*1),0)</f>
        <v>0.932659932659933</v>
      </c>
      <c r="P70" s="24" t="n">
        <f aca="false">IFERROR(SUMPRODUCT(($B$2:$B$1001=B70)*((0-$F$2:$F$1001)&lt;=(0-F70)))/SUMPRODUCT(($B$2:$B$1001=B70)*1),0)</f>
        <v>0.929292929292929</v>
      </c>
      <c r="Q70" s="25" t="n">
        <f aca="false">(M70*Assumptions!$B$5+N70*Assumptions!$B$6+O70*Assumptions!$B$7+P70*Assumptions!$B$8)*L70</f>
        <v>0.857912457912458</v>
      </c>
      <c r="R70" s="24" t="n">
        <f aca="false">IFERROR(SUMPRODUCT(($B$2:$B$1001=B70)*($Q$2:$Q$1001&lt;=Q70))/SUMPRODUCT(($B$2:$B$1001=B70)*1),0)</f>
        <v>0.976430976430976</v>
      </c>
      <c r="S70" s="24" t="n">
        <f aca="false">IFERROR(SUMPRODUCT(($B$2:$B$1001=B70)*($K$2:$K$1001&lt;=K70))/SUMPRODUCT(($B$2:$B$1001=B70)*1),0)</f>
        <v>0.68013468013468</v>
      </c>
      <c r="T70" s="26" t="n">
        <f aca="false">(R70-S70)*100</f>
        <v>29.6296296296296</v>
      </c>
      <c r="U70" s="21" t="str">
        <f aca="false">'Player Data'!T70</f>
        <v>Unknown</v>
      </c>
      <c r="V70" s="27" t="n">
        <f aca="false">'Player Data'!U70</f>
        <v>2027</v>
      </c>
      <c r="W70" s="21" t="str">
        <f aca="false">IF(AND(T70&gt;=Assumptions!$B$19,U70="No"),"High Priority - Unrepresented",IF(T70&gt;=Assumptions!$B$19,"High Priority",IF(AND(T70&gt;=Assumptions!$B$20,U70="No"),"Watchlist - Unrepresented",IF(T70&gt;=Assumptions!$B$20,"Watchlist",""))))</f>
        <v>Watchlist</v>
      </c>
      <c r="X70" s="21" t="str">
        <f aca="false">'Player Data'!V70</f>
        <v>info@niksictown.me</v>
      </c>
      <c r="Y70" s="28" t="str">
        <f aca="false">'Player Data'!W70</f>
        <v>Club sporting director / first-team office</v>
      </c>
      <c r="Z70" s="28" t="str">
        <f aca="false">'Player Data'!X70</f>
        <v>FSCG (Football Association of Montenegro) player registry</v>
      </c>
      <c r="AA70" s="19" t="str">
        <f aca="false">HYPERLINK("https://www.transfermarkt.com/schnellsuche/ergebnis/schnellsuche?query="&amp;SUBSTITUTE(A70," ","+"),"Search Transfermarkt")</f>
        <v>Search Transfermarkt</v>
      </c>
      <c r="AB70" s="29" t="n">
        <f aca="false">IFERROR('Player Data'!K70/('Player Data'!K70+'Player Data'!L70),0)</f>
        <v>0.621621621621622</v>
      </c>
      <c r="AC70" s="21" t="str">
        <f aca="false">IF(B70="GK",IF(AND(O70&gt;=Assumptions!$B$23,N70&gt;=Assumptions!$B$23),"Sweeper-Keeper / Build-from-the-Back",IF(O70&gt;=Assumptions!$B$23,"Sweeper-Keeper / High Line",IF(M70&gt;=Assumptions!$B$23,"Shot-Stopper / Traditional","Flexible / Multi-System"))),IF(AND(O70&gt;=Assumptions!$B$23,P70&gt;=Assumptions!$B$24),"High Press / Gegenpressing",IF(AND(N70&gt;=Assumptions!$B$23,AB70&gt;=Assumptions!$B$25),"Possession / Build-from-the-Back",IF(N70&gt;=Assumptions!$B$23,"Counter-Attack / Transition",IF(AND(O70&gt;=Assumptions!$B$23,N70&lt;Assumptions!$B$26),"Low Block / Park the Bus",IF(AND(B70="FW",M70&gt;=Assumptions!$B$23,N70&lt;Assumptions!$B$26),"Direct / Target Approach","Flexible / Multi-System"))))))</f>
        <v>High Press / Gegenpressing</v>
      </c>
      <c r="AD70" s="21" t="str">
        <f aca="false">'Player Data'!Y70</f>
        <v>2026-07-14</v>
      </c>
      <c r="AE70" s="21" t="str">
        <f aca="false">'Player Data'!Z70</f>
        <v>2026-07-15</v>
      </c>
      <c r="AF70" s="28" t="str">
        <f aca="false">IFERROR(INDEX(Assumptions!$B$30:$B$61,MATCH(C70,Assumptions!$A$30:$A$61,0)),"--")</f>
        <v>Austria, Turkey</v>
      </c>
      <c r="AG70" s="30" t="str">
        <f aca="false">IF(R70&gt;=0.7,"Step-Up Candidate",IF(R70&gt;=0.4,"Lateral Move","Stay &amp; Develop"))</f>
        <v>Step-Up Candidate</v>
      </c>
    </row>
    <row r="71" customFormat="false" ht="23.85" hidden="false" customHeight="false" outlineLevel="0" collapsed="false">
      <c r="A71" s="21" t="str">
        <f aca="false">'Player Data'!A71</f>
        <v>Nicolas Fernandez</v>
      </c>
      <c r="B71" s="21" t="str">
        <f aca="false">'Player Data'!F71</f>
        <v>MF</v>
      </c>
      <c r="C71" s="21" t="str">
        <f aca="false">'Player Data'!B71</f>
        <v>Bolivia</v>
      </c>
      <c r="D71" s="21" t="str">
        <f aca="false">'Player Data'!C71</f>
        <v>Bolivia Third Tier - South</v>
      </c>
      <c r="E71" s="21" t="n">
        <f aca="false">'Player Data'!D71</f>
        <v>4</v>
      </c>
      <c r="F71" s="21" t="n">
        <f aca="false">'Player Data'!G71</f>
        <v>17</v>
      </c>
      <c r="G71" s="21" t="n">
        <f aca="false">'Player Data'!H71</f>
        <v>1516</v>
      </c>
      <c r="H71" s="22" t="n">
        <f aca="false">IF(B71="GK",IFERROR(('Player Data'!N71-1.5*'Player Data'!O71)/'Player Data'!H71*90,0),IFERROR(('Player Data'!I71+'Player Data'!J71)/'Player Data'!H71*90,0))</f>
        <v>1.06860158311346</v>
      </c>
      <c r="I71" s="22" t="n">
        <f aca="false">IF(B71="GK",'Player Data'!P71,IFERROR(('Player Data'!K71+'Player Data'!L71)/'Player Data'!H71*90,0))</f>
        <v>12.2295514511873</v>
      </c>
      <c r="J71" s="22" t="n">
        <f aca="false">IF(B71="GK",IFERROR('Player Data'!Q71/'Player Data'!H71*90,0),IFERROR('Player Data'!M71/'Player Data'!H71*90,0))</f>
        <v>1.72163588390501</v>
      </c>
      <c r="K71" s="23" t="n">
        <f aca="false">'Player Data'!S71</f>
        <v>47946</v>
      </c>
      <c r="L71" s="22" t="n">
        <f aca="false">INDEX(Assumptions!$B$13:$B$15,MATCH(E71,Assumptions!$A$13:$A$15,0))</f>
        <v>0.7</v>
      </c>
      <c r="M71" s="24" t="n">
        <f aca="false">IFERROR(SUMPRODUCT(($B$2:$B$1001=B71)*($H$2:$H$1001&lt;=H71))/SUMPRODUCT(($B$2:$B$1001=B71)*1),0)</f>
        <v>0.811447811447811</v>
      </c>
      <c r="N71" s="24" t="n">
        <f aca="false">IFERROR(SUMPRODUCT(($B$2:$B$1001=B71)*($I$2:$I$1001&lt;=I71))/SUMPRODUCT(($B$2:$B$1001=B71)*1),0)</f>
        <v>0.609427609427609</v>
      </c>
      <c r="O71" s="24" t="n">
        <f aca="false">IFERROR(SUMPRODUCT(($B$2:$B$1001=B71)*($J$2:$J$1001&lt;=J71))/SUMPRODUCT(($B$2:$B$1001=B71)*1),0)</f>
        <v>0.286195286195286</v>
      </c>
      <c r="P71" s="24" t="n">
        <f aca="false">IFERROR(SUMPRODUCT(($B$2:$B$1001=B71)*((0-$F$2:$F$1001)&lt;=(0-F71)))/SUMPRODUCT(($B$2:$B$1001=B71)*1),0)</f>
        <v>1</v>
      </c>
      <c r="Q71" s="25" t="n">
        <f aca="false">(M71*Assumptions!$B$5+N71*Assumptions!$B$6+O71*Assumptions!$B$7+P71*Assumptions!$B$8)*L71</f>
        <v>0.471380471380471</v>
      </c>
      <c r="R71" s="24" t="n">
        <f aca="false">IFERROR(SUMPRODUCT(($B$2:$B$1001=B71)*($Q$2:$Q$1001&lt;=Q71))/SUMPRODUCT(($B$2:$B$1001=B71)*1),0)</f>
        <v>0.575757575757576</v>
      </c>
      <c r="S71" s="24" t="n">
        <f aca="false">IFERROR(SUMPRODUCT(($B$2:$B$1001=B71)*($K$2:$K$1001&lt;=K71))/SUMPRODUCT(($B$2:$B$1001=B71)*1),0)</f>
        <v>0.434343434343434</v>
      </c>
      <c r="T71" s="26" t="n">
        <f aca="false">(R71-S71)*100</f>
        <v>14.1414141414141</v>
      </c>
      <c r="U71" s="21" t="str">
        <f aca="false">'Player Data'!T71</f>
        <v>No</v>
      </c>
      <c r="V71" s="27" t="n">
        <f aca="false">'Player Data'!U71</f>
        <v>2029</v>
      </c>
      <c r="W71" s="21" t="str">
        <f aca="false">IF(AND(T71&gt;=Assumptions!$B$19,U71="No"),"High Priority - Unrepresented",IF(T71&gt;=Assumptions!$B$19,"High Priority",IF(AND(T71&gt;=Assumptions!$B$20,U71="No"),"Watchlist - Unrepresented",IF(T71&gt;=Assumptions!$B$20,"Watchlist",""))))</f>
        <v/>
      </c>
      <c r="X71" s="21" t="str">
        <f aca="false">'Player Data'!V71</f>
        <v>info@lapazathletic.bo</v>
      </c>
      <c r="Y71" s="28" t="str">
        <f aca="false">'Player Data'!W71</f>
        <v>Club youth/academy office ONLY - player is a minor, do not contact directly</v>
      </c>
      <c r="Z71" s="28" t="str">
        <f aca="false">'Player Data'!X71</f>
        <v>FBF (Bolivian Football Federation) player registry</v>
      </c>
      <c r="AA71" s="19" t="str">
        <f aca="false">HYPERLINK("https://www.transfermarkt.com/schnellsuche/ergebnis/schnellsuche?query="&amp;SUBSTITUTE(A71," ","+"),"Search Transfermarkt")</f>
        <v>Search Transfermarkt</v>
      </c>
      <c r="AB71" s="29" t="n">
        <f aca="false">IFERROR('Player Data'!K71/('Player Data'!K71+'Player Data'!L71),0)</f>
        <v>0.548543689320388</v>
      </c>
      <c r="AC71" s="21" t="str">
        <f aca="false">IF(B71="GK",IF(AND(O71&gt;=Assumptions!$B$23,N71&gt;=Assumptions!$B$23),"Sweeper-Keeper / Build-from-the-Back",IF(O71&gt;=Assumptions!$B$23,"Sweeper-Keeper / High Line",IF(M71&gt;=Assumptions!$B$23,"Shot-Stopper / Traditional","Flexible / Multi-System"))),IF(AND(O71&gt;=Assumptions!$B$23,P71&gt;=Assumptions!$B$24),"High Press / Gegenpressing",IF(AND(N71&gt;=Assumptions!$B$23,AB71&gt;=Assumptions!$B$25),"Possession / Build-from-the-Back",IF(N71&gt;=Assumptions!$B$23,"Counter-Attack / Transition",IF(AND(O71&gt;=Assumptions!$B$23,N71&lt;Assumptions!$B$26),"Low Block / Park the Bus",IF(AND(B71="FW",M71&gt;=Assumptions!$B$23,N71&lt;Assumptions!$B$26),"Direct / Target Approach","Flexible / Multi-System"))))))</f>
        <v>Flexible / Multi-System</v>
      </c>
      <c r="AD71" s="21" t="str">
        <f aca="false">'Player Data'!Y71</f>
        <v>2026-07-14</v>
      </c>
      <c r="AE71" s="21" t="str">
        <f aca="false">'Player Data'!Z71</f>
        <v>2026-07-15</v>
      </c>
      <c r="AF71" s="28" t="str">
        <f aca="false">IFERROR(INDEX(Assumptions!$B$30:$B$61,MATCH(C71,Assumptions!$A$30:$A$61,0)),"--")</f>
        <v>Argentina, Portugal</v>
      </c>
      <c r="AG71" s="30" t="str">
        <f aca="false">IF(R71&gt;=0.7,"Step-Up Candidate",IF(R71&gt;=0.4,"Lateral Move","Stay &amp; Develop"))</f>
        <v>Lateral Move</v>
      </c>
    </row>
    <row r="72" customFormat="false" ht="23.85" hidden="false" customHeight="false" outlineLevel="0" collapsed="false">
      <c r="A72" s="21" t="str">
        <f aca="false">'Player Data'!A72</f>
        <v>Wesly Mejia</v>
      </c>
      <c r="B72" s="21" t="str">
        <f aca="false">'Player Data'!F72</f>
        <v>FW</v>
      </c>
      <c r="C72" s="21" t="str">
        <f aca="false">'Player Data'!B72</f>
        <v>Honduras</v>
      </c>
      <c r="D72" s="21" t="str">
        <f aca="false">'Player Data'!C72</f>
        <v>Honduras Third Tier - North</v>
      </c>
      <c r="E72" s="21" t="n">
        <f aca="false">'Player Data'!D72</f>
        <v>2</v>
      </c>
      <c r="F72" s="21" t="n">
        <f aca="false">'Player Data'!G72</f>
        <v>25</v>
      </c>
      <c r="G72" s="21" t="n">
        <f aca="false">'Player Data'!H72</f>
        <v>1489</v>
      </c>
      <c r="H72" s="22" t="n">
        <f aca="false">IF(B72="GK",IFERROR(('Player Data'!N72-1.5*'Player Data'!O72)/'Player Data'!H72*90,0),IFERROR(('Player Data'!I72+'Player Data'!J72)/'Player Data'!H72*90,0))</f>
        <v>1.32975151108126</v>
      </c>
      <c r="I72" s="22" t="n">
        <f aca="false">IF(B72="GK",'Player Data'!P72,IFERROR(('Player Data'!K72+'Player Data'!L72)/'Player Data'!H72*90,0))</f>
        <v>8.94560107454668</v>
      </c>
      <c r="J72" s="22" t="n">
        <f aca="false">IF(B72="GK",IFERROR('Player Data'!Q72/'Player Data'!H72*90,0),IFERROR('Player Data'!M72/'Player Data'!H72*90,0))</f>
        <v>0.362659503022163</v>
      </c>
      <c r="K72" s="23" t="n">
        <f aca="false">'Player Data'!S72</f>
        <v>19453</v>
      </c>
      <c r="L72" s="22" t="n">
        <f aca="false">INDEX(Assumptions!$B$13:$B$15,MATCH(E72,Assumptions!$A$13:$A$15,0))</f>
        <v>1</v>
      </c>
      <c r="M72" s="24" t="n">
        <f aca="false">IFERROR(SUMPRODUCT(($B$2:$B$1001=B72)*($H$2:$H$1001&lt;=H72))/SUMPRODUCT(($B$2:$B$1001=B72)*1),0)</f>
        <v>0.756637168141593</v>
      </c>
      <c r="N72" s="24" t="n">
        <f aca="false">IFERROR(SUMPRODUCT(($B$2:$B$1001=B72)*($I$2:$I$1001&lt;=I72))/SUMPRODUCT(($B$2:$B$1001=B72)*1),0)</f>
        <v>0.761061946902655</v>
      </c>
      <c r="O72" s="24" t="n">
        <f aca="false">IFERROR(SUMPRODUCT(($B$2:$B$1001=B72)*($J$2:$J$1001&lt;=J72))/SUMPRODUCT(($B$2:$B$1001=B72)*1),0)</f>
        <v>0.278761061946903</v>
      </c>
      <c r="P72" s="24" t="n">
        <f aca="false">IFERROR(SUMPRODUCT(($B$2:$B$1001=B72)*((0-$F$2:$F$1001)&lt;=(0-F72)))/SUMPRODUCT(($B$2:$B$1001=B72)*1),0)</f>
        <v>0.194690265486726</v>
      </c>
      <c r="Q72" s="25" t="n">
        <f aca="false">(M72*Assumptions!$B$5+N72*Assumptions!$B$6+O72*Assumptions!$B$7+P72*Assumptions!$B$8)*L72</f>
        <v>0.550221238938053</v>
      </c>
      <c r="R72" s="24" t="n">
        <f aca="false">IFERROR(SUMPRODUCT(($B$2:$B$1001=B72)*($Q$2:$Q$1001&lt;=Q72))/SUMPRODUCT(($B$2:$B$1001=B72)*1),0)</f>
        <v>0.68141592920354</v>
      </c>
      <c r="S72" s="24" t="n">
        <f aca="false">IFERROR(SUMPRODUCT(($B$2:$B$1001=B72)*($K$2:$K$1001&lt;=K72))/SUMPRODUCT(($B$2:$B$1001=B72)*1),0)</f>
        <v>0.331858407079646</v>
      </c>
      <c r="T72" s="26" t="n">
        <f aca="false">(R72-S72)*100</f>
        <v>34.9557522123894</v>
      </c>
      <c r="U72" s="21" t="str">
        <f aca="false">'Player Data'!T72</f>
        <v>No</v>
      </c>
      <c r="V72" s="27" t="n">
        <f aca="false">'Player Data'!U72</f>
        <v>2027</v>
      </c>
      <c r="W72" s="21" t="str">
        <f aca="false">IF(AND(T72&gt;=Assumptions!$B$19,U72="No"),"High Priority - Unrepresented",IF(T72&gt;=Assumptions!$B$19,"High Priority",IF(AND(T72&gt;=Assumptions!$B$20,U72="No"),"Watchlist - Unrepresented",IF(T72&gt;=Assumptions!$B$20,"Watchlist",""))))</f>
        <v>Watchlist - Unrepresented</v>
      </c>
      <c r="X72" s="21" t="str">
        <f aca="false">'Player Data'!V72</f>
        <v>info@sanpedrosulacity.hn</v>
      </c>
      <c r="Y72" s="28" t="str">
        <f aca="false">'Player Data'!W72</f>
        <v>Club sporting director / first-team office</v>
      </c>
      <c r="Z72" s="28" t="str">
        <f aca="false">'Player Data'!X72</f>
        <v>FENAFUTH (Honduran Football Federation) player registry</v>
      </c>
      <c r="AA72" s="19" t="str">
        <f aca="false">HYPERLINK("https://www.transfermarkt.com/schnellsuche/ergebnis/schnellsuche?query="&amp;SUBSTITUTE(A72," ","+"),"Search Transfermarkt")</f>
        <v>Search Transfermarkt</v>
      </c>
      <c r="AB72" s="29" t="n">
        <f aca="false">IFERROR('Player Data'!K72/('Player Data'!K72+'Player Data'!L72),0)</f>
        <v>0.445945945945946</v>
      </c>
      <c r="AC72" s="21" t="str">
        <f aca="false">IF(B72="GK",IF(AND(O72&gt;=Assumptions!$B$23,N72&gt;=Assumptions!$B$23),"Sweeper-Keeper / Build-from-the-Back",IF(O72&gt;=Assumptions!$B$23,"Sweeper-Keeper / High Line",IF(M72&gt;=Assumptions!$B$23,"Shot-Stopper / Traditional","Flexible / Multi-System"))),IF(AND(O72&gt;=Assumptions!$B$23,P72&gt;=Assumptions!$B$24),"High Press / Gegenpressing",IF(AND(N72&gt;=Assumptions!$B$23,AB72&gt;=Assumptions!$B$25),"Possession / Build-from-the-Back",IF(N72&gt;=Assumptions!$B$23,"Counter-Attack / Transition",IF(AND(O72&gt;=Assumptions!$B$23,N72&lt;Assumptions!$B$26),"Low Block / Park the Bus",IF(AND(B72="FW",M72&gt;=Assumptions!$B$23,N72&lt;Assumptions!$B$26),"Direct / Target Approach","Flexible / Multi-System"))))))</f>
        <v>Counter-Attack / Transition</v>
      </c>
      <c r="AD72" s="21" t="str">
        <f aca="false">'Player Data'!Y72</f>
        <v>2026-07-14</v>
      </c>
      <c r="AE72" s="21" t="str">
        <f aca="false">'Player Data'!Z72</f>
        <v>2026-07-15</v>
      </c>
      <c r="AF72" s="28" t="str">
        <f aca="false">IFERROR(INDEX(Assumptions!$B$30:$B$61,MATCH(C72,Assumptions!$A$30:$A$61,0)),"--")</f>
        <v>Mexico, United States</v>
      </c>
      <c r="AG72" s="30" t="str">
        <f aca="false">IF(R72&gt;=0.7,"Step-Up Candidate",IF(R72&gt;=0.4,"Lateral Move","Stay &amp; Develop"))</f>
        <v>Lateral Move</v>
      </c>
    </row>
    <row r="73" customFormat="false" ht="23.85" hidden="false" customHeight="false" outlineLevel="0" collapsed="false">
      <c r="A73" s="21" t="str">
        <f aca="false">'Player Data'!A73</f>
        <v>Nicolas Acosta</v>
      </c>
      <c r="B73" s="21" t="str">
        <f aca="false">'Player Data'!F73</f>
        <v>FW</v>
      </c>
      <c r="C73" s="21" t="str">
        <f aca="false">'Player Data'!B73</f>
        <v>Uruguay</v>
      </c>
      <c r="D73" s="21" t="str">
        <f aca="false">'Player Data'!C73</f>
        <v>Uruguay Provincial League</v>
      </c>
      <c r="E73" s="21" t="n">
        <f aca="false">'Player Data'!D73</f>
        <v>3</v>
      </c>
      <c r="F73" s="21" t="n">
        <f aca="false">'Player Data'!G73</f>
        <v>26</v>
      </c>
      <c r="G73" s="21" t="n">
        <f aca="false">'Player Data'!H73</f>
        <v>2134</v>
      </c>
      <c r="H73" s="22" t="n">
        <f aca="false">IF(B73="GK",IFERROR(('Player Data'!N73-1.5*'Player Data'!O73)/'Player Data'!H73*90,0),IFERROR(('Player Data'!I73+'Player Data'!J73)/'Player Data'!H73*90,0))</f>
        <v>0.84348641049672</v>
      </c>
      <c r="I73" s="22" t="n">
        <f aca="false">IF(B73="GK",'Player Data'!P73,IFERROR(('Player Data'!K73+'Player Data'!L73)/'Player Data'!H73*90,0))</f>
        <v>5.98875351452671</v>
      </c>
      <c r="J73" s="22" t="n">
        <f aca="false">IF(B73="GK",IFERROR('Player Data'!Q73/'Player Data'!H73*90,0),IFERROR('Player Data'!M73/'Player Data'!H73*90,0))</f>
        <v>0.463917525773196</v>
      </c>
      <c r="K73" s="23" t="n">
        <f aca="false">'Player Data'!S73</f>
        <v>23789</v>
      </c>
      <c r="L73" s="22" t="n">
        <f aca="false">INDEX(Assumptions!$B$13:$B$15,MATCH(E73,Assumptions!$A$13:$A$15,0))</f>
        <v>0.85</v>
      </c>
      <c r="M73" s="24" t="n">
        <f aca="false">IFERROR(SUMPRODUCT(($B$2:$B$1001=B73)*($H$2:$H$1001&lt;=H73))/SUMPRODUCT(($B$2:$B$1001=B73)*1),0)</f>
        <v>0.353982300884956</v>
      </c>
      <c r="N73" s="24" t="n">
        <f aca="false">IFERROR(SUMPRODUCT(($B$2:$B$1001=B73)*($I$2:$I$1001&lt;=I73))/SUMPRODUCT(($B$2:$B$1001=B73)*1),0)</f>
        <v>0.402654867256637</v>
      </c>
      <c r="O73" s="24" t="n">
        <f aca="false">IFERROR(SUMPRODUCT(($B$2:$B$1001=B73)*($J$2:$J$1001&lt;=J73))/SUMPRODUCT(($B$2:$B$1001=B73)*1),0)</f>
        <v>0.438053097345133</v>
      </c>
      <c r="P73" s="24" t="n">
        <f aca="false">IFERROR(SUMPRODUCT(($B$2:$B$1001=B73)*((0-$F$2:$F$1001)&lt;=(0-F73)))/SUMPRODUCT(($B$2:$B$1001=B73)*1),0)</f>
        <v>0.0929203539823009</v>
      </c>
      <c r="Q73" s="25" t="n">
        <f aca="false">(M73*Assumptions!$B$5+N73*Assumptions!$B$6+O73*Assumptions!$B$7+P73*Assumptions!$B$8)*L73</f>
        <v>0.285276548672566</v>
      </c>
      <c r="R73" s="24" t="n">
        <f aca="false">IFERROR(SUMPRODUCT(($B$2:$B$1001=B73)*($Q$2:$Q$1001&lt;=Q73))/SUMPRODUCT(($B$2:$B$1001=B73)*1),0)</f>
        <v>0.256637168141593</v>
      </c>
      <c r="S73" s="24" t="n">
        <f aca="false">IFERROR(SUMPRODUCT(($B$2:$B$1001=B73)*($K$2:$K$1001&lt;=K73))/SUMPRODUCT(($B$2:$B$1001=B73)*1),0)</f>
        <v>0.336283185840708</v>
      </c>
      <c r="T73" s="26" t="n">
        <f aca="false">(R73-S73)*100</f>
        <v>-7.96460176991151</v>
      </c>
      <c r="U73" s="21" t="str">
        <f aca="false">'Player Data'!T73</f>
        <v>Yes</v>
      </c>
      <c r="V73" s="27" t="n">
        <f aca="false">'Player Data'!U73</f>
        <v>2026</v>
      </c>
      <c r="W73" s="21" t="str">
        <f aca="false">IF(AND(T73&gt;=Assumptions!$B$19,U73="No"),"High Priority - Unrepresented",IF(T73&gt;=Assumptions!$B$19,"High Priority",IF(AND(T73&gt;=Assumptions!$B$20,U73="No"),"Watchlist - Unrepresented",IF(T73&gt;=Assumptions!$B$20,"Watchlist",""))))</f>
        <v/>
      </c>
      <c r="X73" s="21" t="str">
        <f aca="false">'Player Data'!V73</f>
        <v>info@paysanduwanderers.uy</v>
      </c>
      <c r="Y73" s="28" t="str">
        <f aca="false">'Player Data'!W73</f>
        <v>Go through the player's agent - ask the club to confirm representation first</v>
      </c>
      <c r="Z73" s="28" t="str">
        <f aca="false">'Player Data'!X73</f>
        <v>AUF (Uruguayan Football Association) player registry</v>
      </c>
      <c r="AA73" s="19" t="str">
        <f aca="false">HYPERLINK("https://www.transfermarkt.com/schnellsuche/ergebnis/schnellsuche?query="&amp;SUBSTITUTE(A73," ","+"),"Search Transfermarkt")</f>
        <v>Search Transfermarkt</v>
      </c>
      <c r="AB73" s="29" t="n">
        <f aca="false">IFERROR('Player Data'!K73/('Player Data'!K73+'Player Data'!L73),0)</f>
        <v>0.380281690140845</v>
      </c>
      <c r="AC73" s="21" t="str">
        <f aca="false">IF(B73="GK",IF(AND(O73&gt;=Assumptions!$B$23,N73&gt;=Assumptions!$B$23),"Sweeper-Keeper / Build-from-the-Back",IF(O73&gt;=Assumptions!$B$23,"Sweeper-Keeper / High Line",IF(M73&gt;=Assumptions!$B$23,"Shot-Stopper / Traditional","Flexible / Multi-System"))),IF(AND(O73&gt;=Assumptions!$B$23,P73&gt;=Assumptions!$B$24),"High Press / Gegenpressing",IF(AND(N73&gt;=Assumptions!$B$23,AB73&gt;=Assumptions!$B$25),"Possession / Build-from-the-Back",IF(N73&gt;=Assumptions!$B$23,"Counter-Attack / Transition",IF(AND(O73&gt;=Assumptions!$B$23,N73&lt;Assumptions!$B$26),"Low Block / Park the Bus",IF(AND(B73="FW",M73&gt;=Assumptions!$B$23,N73&lt;Assumptions!$B$26),"Direct / Target Approach","Flexible / Multi-System"))))))</f>
        <v>Flexible / Multi-System</v>
      </c>
      <c r="AD73" s="21" t="str">
        <f aca="false">'Player Data'!Y73</f>
        <v>2026-07-14</v>
      </c>
      <c r="AE73" s="21" t="str">
        <f aca="false">'Player Data'!Z73</f>
        <v>2026-07-15</v>
      </c>
      <c r="AF73" s="28" t="str">
        <f aca="false">IFERROR(INDEX(Assumptions!$B$30:$B$61,MATCH(C73,Assumptions!$A$30:$A$61,0)),"--")</f>
        <v>Argentina, Portugal</v>
      </c>
      <c r="AG73" s="30" t="str">
        <f aca="false">IF(R73&gt;=0.7,"Step-Up Candidate",IF(R73&gt;=0.4,"Lateral Move","Stay &amp; Develop"))</f>
        <v>Stay &amp; Develop</v>
      </c>
    </row>
    <row r="74" customFormat="false" ht="23.85" hidden="false" customHeight="false" outlineLevel="0" collapsed="false">
      <c r="A74" s="21" t="str">
        <f aca="false">'Player Data'!A74</f>
        <v>Petar Kovacevic</v>
      </c>
      <c r="B74" s="21" t="str">
        <f aca="false">'Player Data'!F74</f>
        <v>MF</v>
      </c>
      <c r="C74" s="21" t="str">
        <f aca="false">'Player Data'!B74</f>
        <v>Montenegro</v>
      </c>
      <c r="D74" s="21" t="str">
        <f aca="false">'Player Data'!C74</f>
        <v>Montenegro Reserve League</v>
      </c>
      <c r="E74" s="21" t="n">
        <f aca="false">'Player Data'!D74</f>
        <v>2</v>
      </c>
      <c r="F74" s="21" t="n">
        <f aca="false">'Player Data'!G74</f>
        <v>24</v>
      </c>
      <c r="G74" s="21" t="n">
        <f aca="false">'Player Data'!H74</f>
        <v>1176</v>
      </c>
      <c r="H74" s="22" t="n">
        <f aca="false">IF(B74="GK",IFERROR(('Player Data'!N74-1.5*'Player Data'!O74)/'Player Data'!H74*90,0),IFERROR(('Player Data'!I74+'Player Data'!J74)/'Player Data'!H74*90,0))</f>
        <v>1.30102040816327</v>
      </c>
      <c r="I74" s="22" t="n">
        <f aca="false">IF(B74="GK",'Player Data'!P74,IFERROR(('Player Data'!K74+'Player Data'!L74)/'Player Data'!H74*90,0))</f>
        <v>19.9744897959184</v>
      </c>
      <c r="J74" s="22" t="n">
        <f aca="false">IF(B74="GK",IFERROR('Player Data'!Q74/'Player Data'!H74*90,0),IFERROR('Player Data'!M74/'Player Data'!H74*90,0))</f>
        <v>4.20918367346939</v>
      </c>
      <c r="K74" s="23" t="n">
        <f aca="false">'Player Data'!S74</f>
        <v>44262</v>
      </c>
      <c r="L74" s="22" t="n">
        <f aca="false">INDEX(Assumptions!$B$13:$B$15,MATCH(E74,Assumptions!$A$13:$A$15,0))</f>
        <v>1</v>
      </c>
      <c r="M74" s="24" t="n">
        <f aca="false">IFERROR(SUMPRODUCT(($B$2:$B$1001=B74)*($H$2:$H$1001&lt;=H74))/SUMPRODUCT(($B$2:$B$1001=B74)*1),0)</f>
        <v>0.882154882154882</v>
      </c>
      <c r="N74" s="24" t="n">
        <f aca="false">IFERROR(SUMPRODUCT(($B$2:$B$1001=B74)*($I$2:$I$1001&lt;=I74))/SUMPRODUCT(($B$2:$B$1001=B74)*1),0)</f>
        <v>0.909090909090909</v>
      </c>
      <c r="O74" s="24" t="n">
        <f aca="false">IFERROR(SUMPRODUCT(($B$2:$B$1001=B74)*($J$2:$J$1001&lt;=J74))/SUMPRODUCT(($B$2:$B$1001=B74)*1),0)</f>
        <v>0.939393939393939</v>
      </c>
      <c r="P74" s="24" t="n">
        <f aca="false">IFERROR(SUMPRODUCT(($B$2:$B$1001=B74)*((0-$F$2:$F$1001)&lt;=(0-F74)))/SUMPRODUCT(($B$2:$B$1001=B74)*1),0)</f>
        <v>0.326599326599327</v>
      </c>
      <c r="Q74" s="25" t="n">
        <f aca="false">(M74*Assumptions!$B$5+N74*Assumptions!$B$6+O74*Assumptions!$B$7+P74*Assumptions!$B$8)*L74</f>
        <v>0.791919191919192</v>
      </c>
      <c r="R74" s="24" t="n">
        <f aca="false">IFERROR(SUMPRODUCT(($B$2:$B$1001=B74)*($Q$2:$Q$1001&lt;=Q74))/SUMPRODUCT(($B$2:$B$1001=B74)*1),0)</f>
        <v>0.946127946127946</v>
      </c>
      <c r="S74" s="24" t="n">
        <f aca="false">IFERROR(SUMPRODUCT(($B$2:$B$1001=B74)*($K$2:$K$1001&lt;=K74))/SUMPRODUCT(($B$2:$B$1001=B74)*1),0)</f>
        <v>0.393939393939394</v>
      </c>
      <c r="T74" s="26" t="n">
        <f aca="false">(R74-S74)*100</f>
        <v>55.2188552188552</v>
      </c>
      <c r="U74" s="21" t="str">
        <f aca="false">'Player Data'!T74</f>
        <v>Yes</v>
      </c>
      <c r="V74" s="27" t="n">
        <f aca="false">'Player Data'!U74</f>
        <v>2026</v>
      </c>
      <c r="W74" s="21" t="str">
        <f aca="false">IF(AND(T74&gt;=Assumptions!$B$19,U74="No"),"High Priority - Unrepresented",IF(T74&gt;=Assumptions!$B$19,"High Priority",IF(AND(T74&gt;=Assumptions!$B$20,U74="No"),"Watchlist - Unrepresented",IF(T74&gt;=Assumptions!$B$20,"Watchlist",""))))</f>
        <v>High Priority</v>
      </c>
      <c r="X74" s="21" t="str">
        <f aca="false">'Player Data'!V74</f>
        <v>info@danilovgradwanderers.me</v>
      </c>
      <c r="Y74" s="28" t="str">
        <f aca="false">'Player Data'!W74</f>
        <v>Go through the player's agent - ask the club to confirm representation first</v>
      </c>
      <c r="Z74" s="28" t="str">
        <f aca="false">'Player Data'!X74</f>
        <v>FSCG (Football Association of Montenegro) player registry</v>
      </c>
      <c r="AA74" s="19" t="str">
        <f aca="false">HYPERLINK("https://www.transfermarkt.com/schnellsuche/ergebnis/schnellsuche?query="&amp;SUBSTITUTE(A74," ","+"),"Search Transfermarkt")</f>
        <v>Search Transfermarkt</v>
      </c>
      <c r="AB74" s="29" t="n">
        <f aca="false">IFERROR('Player Data'!K74/('Player Data'!K74+'Player Data'!L74),0)</f>
        <v>0.716475095785441</v>
      </c>
      <c r="AC74" s="21" t="str">
        <f aca="false">IF(B74="GK",IF(AND(O74&gt;=Assumptions!$B$23,N74&gt;=Assumptions!$B$23),"Sweeper-Keeper / Build-from-the-Back",IF(O74&gt;=Assumptions!$B$23,"Sweeper-Keeper / High Line",IF(M74&gt;=Assumptions!$B$23,"Shot-Stopper / Traditional","Flexible / Multi-System"))),IF(AND(O74&gt;=Assumptions!$B$23,P74&gt;=Assumptions!$B$24),"High Press / Gegenpressing",IF(AND(N74&gt;=Assumptions!$B$23,AB74&gt;=Assumptions!$B$25),"Possession / Build-from-the-Back",IF(N74&gt;=Assumptions!$B$23,"Counter-Attack / Transition",IF(AND(O74&gt;=Assumptions!$B$23,N74&lt;Assumptions!$B$26),"Low Block / Park the Bus",IF(AND(B74="FW",M74&gt;=Assumptions!$B$23,N74&lt;Assumptions!$B$26),"Direct / Target Approach","Flexible / Multi-System"))))))</f>
        <v>Possession / Build-from-the-Back</v>
      </c>
      <c r="AD74" s="21" t="str">
        <f aca="false">'Player Data'!Y74</f>
        <v>2026-07-14</v>
      </c>
      <c r="AE74" s="21" t="str">
        <f aca="false">'Player Data'!Z74</f>
        <v>2026-07-15</v>
      </c>
      <c r="AF74" s="28" t="str">
        <f aca="false">IFERROR(INDEX(Assumptions!$B$30:$B$61,MATCH(C74,Assumptions!$A$30:$A$61,0)),"--")</f>
        <v>Austria, Turkey</v>
      </c>
      <c r="AG74" s="30" t="str">
        <f aca="false">IF(R74&gt;=0.7,"Step-Up Candidate",IF(R74&gt;=0.4,"Lateral Move","Stay &amp; Develop"))</f>
        <v>Step-Up Candidate</v>
      </c>
    </row>
    <row r="75" customFormat="false" ht="23.85" hidden="false" customHeight="false" outlineLevel="0" collapsed="false">
      <c r="A75" s="21" t="str">
        <f aca="false">'Player Data'!A75</f>
        <v>Phong Nguyen</v>
      </c>
      <c r="B75" s="21" t="str">
        <f aca="false">'Player Data'!F75</f>
        <v>DF</v>
      </c>
      <c r="C75" s="21" t="str">
        <f aca="false">'Player Data'!B75</f>
        <v>Vietnam</v>
      </c>
      <c r="D75" s="21" t="str">
        <f aca="false">'Player Data'!C75</f>
        <v>Vietnam Second Division</v>
      </c>
      <c r="E75" s="21" t="n">
        <f aca="false">'Player Data'!D75</f>
        <v>2</v>
      </c>
      <c r="F75" s="21" t="n">
        <f aca="false">'Player Data'!G75</f>
        <v>18</v>
      </c>
      <c r="G75" s="21" t="n">
        <f aca="false">'Player Data'!H75</f>
        <v>2259</v>
      </c>
      <c r="H75" s="22" t="n">
        <f aca="false">IF(B75="GK",IFERROR(('Player Data'!N75-1.5*'Player Data'!O75)/'Player Data'!H75*90,0),IFERROR(('Player Data'!I75+'Player Data'!J75)/'Player Data'!H75*90,0))</f>
        <v>0.278884462151394</v>
      </c>
      <c r="I75" s="22" t="n">
        <f aca="false">IF(B75="GK",'Player Data'!P75,IFERROR(('Player Data'!K75+'Player Data'!L75)/'Player Data'!H75*90,0))</f>
        <v>3.22709163346614</v>
      </c>
      <c r="J75" s="22" t="n">
        <f aca="false">IF(B75="GK",IFERROR('Player Data'!Q75/'Player Data'!H75*90,0),IFERROR('Player Data'!M75/'Player Data'!H75*90,0))</f>
        <v>3.66533864541833</v>
      </c>
      <c r="K75" s="23" t="n">
        <f aca="false">'Player Data'!S75</f>
        <v>0</v>
      </c>
      <c r="L75" s="22" t="n">
        <f aca="false">INDEX(Assumptions!$B$13:$B$15,MATCH(E75,Assumptions!$A$13:$A$15,0))</f>
        <v>1</v>
      </c>
      <c r="M75" s="24" t="n">
        <f aca="false">IFERROR(SUMPRODUCT(($B$2:$B$1001=B75)*($H$2:$H$1001&lt;=H75))/SUMPRODUCT(($B$2:$B$1001=B75)*1),0)</f>
        <v>0.717687074829932</v>
      </c>
      <c r="N75" s="24" t="n">
        <f aca="false">IFERROR(SUMPRODUCT(($B$2:$B$1001=B75)*($I$2:$I$1001&lt;=I75))/SUMPRODUCT(($B$2:$B$1001=B75)*1),0)</f>
        <v>0.142857142857143</v>
      </c>
      <c r="O75" s="24" t="n">
        <f aca="false">IFERROR(SUMPRODUCT(($B$2:$B$1001=B75)*($J$2:$J$1001&lt;=J75))/SUMPRODUCT(($B$2:$B$1001=B75)*1),0)</f>
        <v>0.153061224489796</v>
      </c>
      <c r="P75" s="24" t="n">
        <f aca="false">IFERROR(SUMPRODUCT(($B$2:$B$1001=B75)*((0-$F$2:$F$1001)&lt;=(0-F75)))/SUMPRODUCT(($B$2:$B$1001=B75)*1),0)</f>
        <v>0.863945578231293</v>
      </c>
      <c r="Q75" s="25" t="n">
        <f aca="false">(M75*Assumptions!$B$5+N75*Assumptions!$B$6+O75*Assumptions!$B$7+P75*Assumptions!$B$8)*L75</f>
        <v>0.432823129251701</v>
      </c>
      <c r="R75" s="24" t="n">
        <f aca="false">IFERROR(SUMPRODUCT(($B$2:$B$1001=B75)*($Q$2:$Q$1001&lt;=Q75))/SUMPRODUCT(($B$2:$B$1001=B75)*1),0)</f>
        <v>0.54421768707483</v>
      </c>
      <c r="S75" s="24" t="n">
        <f aca="false">IFERROR(SUMPRODUCT(($B$2:$B$1001=B75)*($K$2:$K$1001&lt;=K75))/SUMPRODUCT(($B$2:$B$1001=B75)*1),0)</f>
        <v>0.248299319727891</v>
      </c>
      <c r="T75" s="26" t="n">
        <f aca="false">(R75-S75)*100</f>
        <v>29.5918367346939</v>
      </c>
      <c r="U75" s="21" t="str">
        <f aca="false">'Player Data'!T75</f>
        <v>Unknown</v>
      </c>
      <c r="V75" s="27" t="n">
        <f aca="false">'Player Data'!U75</f>
        <v>2027</v>
      </c>
      <c r="W75" s="21" t="str">
        <f aca="false">IF(AND(T75&gt;=Assumptions!$B$19,U75="No"),"High Priority - Unrepresented",IF(T75&gt;=Assumptions!$B$19,"High Priority",IF(AND(T75&gt;=Assumptions!$B$20,U75="No"),"Watchlist - Unrepresented",IF(T75&gt;=Assumptions!$B$20,"Watchlist",""))))</f>
        <v>Watchlist</v>
      </c>
      <c r="X75" s="21" t="str">
        <f aca="false">'Player Data'!V75</f>
        <v>info@canthofc.vn</v>
      </c>
      <c r="Y75" s="28" t="str">
        <f aca="false">'Player Data'!W75</f>
        <v>Club sporting director / first-team office</v>
      </c>
      <c r="Z75" s="28" t="str">
        <f aca="false">'Player Data'!X75</f>
        <v>VFF (Vietnam Football Federation) player registry</v>
      </c>
      <c r="AA75" s="19" t="str">
        <f aca="false">HYPERLINK("https://www.transfermarkt.com/schnellsuche/ergebnis/schnellsuche?query="&amp;SUBSTITUTE(A75," ","+"),"Search Transfermarkt")</f>
        <v>Search Transfermarkt</v>
      </c>
      <c r="AB75" s="29" t="n">
        <f aca="false">IFERROR('Player Data'!K75/('Player Data'!K75+'Player Data'!L75),0)</f>
        <v>0.728395061728395</v>
      </c>
      <c r="AC75" s="21" t="str">
        <f aca="false">IF(B75="GK",IF(AND(O75&gt;=Assumptions!$B$23,N75&gt;=Assumptions!$B$23),"Sweeper-Keeper / Build-from-the-Back",IF(O75&gt;=Assumptions!$B$23,"Sweeper-Keeper / High Line",IF(M75&gt;=Assumptions!$B$23,"Shot-Stopper / Traditional","Flexible / Multi-System"))),IF(AND(O75&gt;=Assumptions!$B$23,P75&gt;=Assumptions!$B$24),"High Press / Gegenpressing",IF(AND(N75&gt;=Assumptions!$B$23,AB75&gt;=Assumptions!$B$25),"Possession / Build-from-the-Back",IF(N75&gt;=Assumptions!$B$23,"Counter-Attack / Transition",IF(AND(O75&gt;=Assumptions!$B$23,N75&lt;Assumptions!$B$26),"Low Block / Park the Bus",IF(AND(B75="FW",M75&gt;=Assumptions!$B$23,N75&lt;Assumptions!$B$26),"Direct / Target Approach","Flexible / Multi-System"))))))</f>
        <v>Flexible / Multi-System</v>
      </c>
      <c r="AD75" s="21" t="str">
        <f aca="false">'Player Data'!Y75</f>
        <v>2026-07-14</v>
      </c>
      <c r="AE75" s="21" t="str">
        <f aca="false">'Player Data'!Z75</f>
        <v>2026-07-15</v>
      </c>
      <c r="AF75" s="28" t="str">
        <f aca="false">IFERROR(INDEX(Assumptions!$B$30:$B$61,MATCH(C75,Assumptions!$A$30:$A$61,0)),"--")</f>
        <v>Australia, Saudi Arabia</v>
      </c>
      <c r="AG75" s="30" t="str">
        <f aca="false">IF(R75&gt;=0.7,"Step-Up Candidate",IF(R75&gt;=0.4,"Lateral Move","Stay &amp; Develop"))</f>
        <v>Lateral Move</v>
      </c>
    </row>
    <row r="76" customFormat="false" ht="23.85" hidden="false" customHeight="false" outlineLevel="0" collapsed="false">
      <c r="A76" s="21" t="str">
        <f aca="false">'Player Data'!A76</f>
        <v>Federico Silva</v>
      </c>
      <c r="B76" s="21" t="str">
        <f aca="false">'Player Data'!F76</f>
        <v>DF</v>
      </c>
      <c r="C76" s="21" t="str">
        <f aca="false">'Player Data'!B76</f>
        <v>Uruguay</v>
      </c>
      <c r="D76" s="21" t="str">
        <f aca="false">'Player Data'!C76</f>
        <v>Uruguay Third Tier - North</v>
      </c>
      <c r="E76" s="21" t="n">
        <f aca="false">'Player Data'!D76</f>
        <v>2</v>
      </c>
      <c r="F76" s="21" t="n">
        <f aca="false">'Player Data'!G76</f>
        <v>24</v>
      </c>
      <c r="G76" s="21" t="n">
        <f aca="false">'Player Data'!H76</f>
        <v>933</v>
      </c>
      <c r="H76" s="22" t="n">
        <f aca="false">IF(B76="GK",IFERROR(('Player Data'!N76-1.5*'Player Data'!O76)/'Player Data'!H76*90,0),IFERROR(('Player Data'!I76+'Player Data'!J76)/'Player Data'!H76*90,0))</f>
        <v>0.578778135048232</v>
      </c>
      <c r="I76" s="22" t="n">
        <f aca="false">IF(B76="GK",'Player Data'!P76,IFERROR(('Player Data'!K76+'Player Data'!L76)/'Player Data'!H76*90,0))</f>
        <v>7.71704180064309</v>
      </c>
      <c r="J76" s="22" t="n">
        <f aca="false">IF(B76="GK",IFERROR('Player Data'!Q76/'Player Data'!H76*90,0),IFERROR('Player Data'!M76/'Player Data'!H76*90,0))</f>
        <v>11.0932475884244</v>
      </c>
      <c r="K76" s="23" t="n">
        <f aca="false">'Player Data'!S76</f>
        <v>87648</v>
      </c>
      <c r="L76" s="22" t="n">
        <f aca="false">INDEX(Assumptions!$B$13:$B$15,MATCH(E76,Assumptions!$A$13:$A$15,0))</f>
        <v>1</v>
      </c>
      <c r="M76" s="24" t="n">
        <f aca="false">IFERROR(SUMPRODUCT(($B$2:$B$1001=B76)*($H$2:$H$1001&lt;=H76))/SUMPRODUCT(($B$2:$B$1001=B76)*1),0)</f>
        <v>0.976190476190476</v>
      </c>
      <c r="N76" s="24" t="n">
        <f aca="false">IFERROR(SUMPRODUCT(($B$2:$B$1001=B76)*($I$2:$I$1001&lt;=I76))/SUMPRODUCT(($B$2:$B$1001=B76)*1),0)</f>
        <v>0.884353741496599</v>
      </c>
      <c r="O76" s="24" t="n">
        <f aca="false">IFERROR(SUMPRODUCT(($B$2:$B$1001=B76)*($J$2:$J$1001&lt;=J76))/SUMPRODUCT(($B$2:$B$1001=B76)*1),0)</f>
        <v>0.95578231292517</v>
      </c>
      <c r="P76" s="24" t="n">
        <f aca="false">IFERROR(SUMPRODUCT(($B$2:$B$1001=B76)*((0-$F$2:$F$1001)&lt;=(0-F76)))/SUMPRODUCT(($B$2:$B$1001=B76)*1),0)</f>
        <v>0.275510204081633</v>
      </c>
      <c r="Q76" s="25" t="n">
        <f aca="false">(M76*Assumptions!$B$5+N76*Assumptions!$B$6+O76*Assumptions!$B$7+P76*Assumptions!$B$8)*L76</f>
        <v>0.799829931972789</v>
      </c>
      <c r="R76" s="24" t="n">
        <f aca="false">IFERROR(SUMPRODUCT(($B$2:$B$1001=B76)*($Q$2:$Q$1001&lt;=Q76))/SUMPRODUCT(($B$2:$B$1001=B76)*1),0)</f>
        <v>0.948979591836735</v>
      </c>
      <c r="S76" s="24" t="n">
        <f aca="false">IFERROR(SUMPRODUCT(($B$2:$B$1001=B76)*($K$2:$K$1001&lt;=K76))/SUMPRODUCT(($B$2:$B$1001=B76)*1),0)</f>
        <v>0.659863945578231</v>
      </c>
      <c r="T76" s="26" t="n">
        <f aca="false">(R76-S76)*100</f>
        <v>28.9115646258504</v>
      </c>
      <c r="U76" s="21" t="str">
        <f aca="false">'Player Data'!T76</f>
        <v>No</v>
      </c>
      <c r="V76" s="27" t="n">
        <f aca="false">'Player Data'!U76</f>
        <v>2027</v>
      </c>
      <c r="W76" s="21" t="str">
        <f aca="false">IF(AND(T76&gt;=Assumptions!$B$19,U76="No"),"High Priority - Unrepresented",IF(T76&gt;=Assumptions!$B$19,"High Priority",IF(AND(T76&gt;=Assumptions!$B$20,U76="No"),"Watchlist - Unrepresented",IF(T76&gt;=Assumptions!$B$20,"Watchlist",""))))</f>
        <v>Watchlist - Unrepresented</v>
      </c>
      <c r="X76" s="21" t="str">
        <f aca="false">'Player Data'!V76</f>
        <v>info@montevideocity.uy</v>
      </c>
      <c r="Y76" s="28" t="str">
        <f aca="false">'Player Data'!W76</f>
        <v>Club sporting director / first-team office</v>
      </c>
      <c r="Z76" s="28" t="str">
        <f aca="false">'Player Data'!X76</f>
        <v>AUF (Uruguayan Football Association) player registry</v>
      </c>
      <c r="AA76" s="19" t="str">
        <f aca="false">HYPERLINK("https://www.transfermarkt.com/schnellsuche/ergebnis/schnellsuche?query="&amp;SUBSTITUTE(A76," ","+"),"Search Transfermarkt")</f>
        <v>Search Transfermarkt</v>
      </c>
      <c r="AB76" s="29" t="n">
        <f aca="false">IFERROR('Player Data'!K76/('Player Data'!K76+'Player Data'!L76),0)</f>
        <v>0.525</v>
      </c>
      <c r="AC76" s="21" t="str">
        <f aca="false">IF(B76="GK",IF(AND(O76&gt;=Assumptions!$B$23,N76&gt;=Assumptions!$B$23),"Sweeper-Keeper / Build-from-the-Back",IF(O76&gt;=Assumptions!$B$23,"Sweeper-Keeper / High Line",IF(M76&gt;=Assumptions!$B$23,"Shot-Stopper / Traditional","Flexible / Multi-System"))),IF(AND(O76&gt;=Assumptions!$B$23,P76&gt;=Assumptions!$B$24),"High Press / Gegenpressing",IF(AND(N76&gt;=Assumptions!$B$23,AB76&gt;=Assumptions!$B$25),"Possession / Build-from-the-Back",IF(N76&gt;=Assumptions!$B$23,"Counter-Attack / Transition",IF(AND(O76&gt;=Assumptions!$B$23,N76&lt;Assumptions!$B$26),"Low Block / Park the Bus",IF(AND(B76="FW",M76&gt;=Assumptions!$B$23,N76&lt;Assumptions!$B$26),"Direct / Target Approach","Flexible / Multi-System"))))))</f>
        <v>Counter-Attack / Transition</v>
      </c>
      <c r="AD76" s="21" t="str">
        <f aca="false">'Player Data'!Y76</f>
        <v>2026-07-14</v>
      </c>
      <c r="AE76" s="21" t="str">
        <f aca="false">'Player Data'!Z76</f>
        <v>2026-07-15</v>
      </c>
      <c r="AF76" s="28" t="str">
        <f aca="false">IFERROR(INDEX(Assumptions!$B$30:$B$61,MATCH(C76,Assumptions!$A$30:$A$61,0)),"--")</f>
        <v>Argentina, Portugal</v>
      </c>
      <c r="AG76" s="30" t="str">
        <f aca="false">IF(R76&gt;=0.7,"Step-Up Candidate",IF(R76&gt;=0.4,"Lateral Move","Stay &amp; Develop"))</f>
        <v>Step-Up Candidate</v>
      </c>
    </row>
    <row r="77" customFormat="false" ht="23.85" hidden="false" customHeight="false" outlineLevel="0" collapsed="false">
      <c r="A77" s="21" t="str">
        <f aca="false">'Player Data'!A77</f>
        <v>Mwansa Tembo</v>
      </c>
      <c r="B77" s="21" t="str">
        <f aca="false">'Player Data'!F77</f>
        <v>FW</v>
      </c>
      <c r="C77" s="21" t="str">
        <f aca="false">'Player Data'!B77</f>
        <v>Zambia</v>
      </c>
      <c r="D77" s="21" t="str">
        <f aca="false">'Player Data'!C77</f>
        <v>Zambia Reserve League</v>
      </c>
      <c r="E77" s="21" t="n">
        <f aca="false">'Player Data'!D77</f>
        <v>4</v>
      </c>
      <c r="F77" s="21" t="n">
        <f aca="false">'Player Data'!G77</f>
        <v>22</v>
      </c>
      <c r="G77" s="21" t="n">
        <f aca="false">'Player Data'!H77</f>
        <v>2590</v>
      </c>
      <c r="H77" s="22" t="n">
        <f aca="false">IF(B77="GK",IFERROR(('Player Data'!N77-1.5*'Player Data'!O77)/'Player Data'!H77*90,0),IFERROR(('Player Data'!I77+'Player Data'!J77)/'Player Data'!H77*90,0))</f>
        <v>0.972972972972973</v>
      </c>
      <c r="I77" s="22" t="n">
        <f aca="false">IF(B77="GK",'Player Data'!P77,IFERROR(('Player Data'!K77+'Player Data'!L77)/'Player Data'!H77*90,0))</f>
        <v>4.34362934362934</v>
      </c>
      <c r="J77" s="22" t="n">
        <f aca="false">IF(B77="GK",IFERROR('Player Data'!Q77/'Player Data'!H77*90,0),IFERROR('Player Data'!M77/'Player Data'!H77*90,0))</f>
        <v>0.382239382239382</v>
      </c>
      <c r="K77" s="23" t="n">
        <f aca="false">'Player Data'!S77</f>
        <v>48464</v>
      </c>
      <c r="L77" s="22" t="n">
        <f aca="false">INDEX(Assumptions!$B$13:$B$15,MATCH(E77,Assumptions!$A$13:$A$15,0))</f>
        <v>0.7</v>
      </c>
      <c r="M77" s="24" t="n">
        <f aca="false">IFERROR(SUMPRODUCT(($B$2:$B$1001=B77)*($H$2:$H$1001&lt;=H77))/SUMPRODUCT(($B$2:$B$1001=B77)*1),0)</f>
        <v>0.495575221238938</v>
      </c>
      <c r="N77" s="24" t="n">
        <f aca="false">IFERROR(SUMPRODUCT(($B$2:$B$1001=B77)*($I$2:$I$1001&lt;=I77))/SUMPRODUCT(($B$2:$B$1001=B77)*1),0)</f>
        <v>0.0973451327433628</v>
      </c>
      <c r="O77" s="24" t="n">
        <f aca="false">IFERROR(SUMPRODUCT(($B$2:$B$1001=B77)*($J$2:$J$1001&lt;=J77))/SUMPRODUCT(($B$2:$B$1001=B77)*1),0)</f>
        <v>0.327433628318584</v>
      </c>
      <c r="P77" s="24" t="n">
        <f aca="false">IFERROR(SUMPRODUCT(($B$2:$B$1001=B77)*((0-$F$2:$F$1001)&lt;=(0-F77)))/SUMPRODUCT(($B$2:$B$1001=B77)*1),0)</f>
        <v>0.504424778761062</v>
      </c>
      <c r="Q77" s="25" t="n">
        <f aca="false">(M77*Assumptions!$B$5+N77*Assumptions!$B$6+O77*Assumptions!$B$7+P77*Assumptions!$B$8)*L77</f>
        <v>0.227035398230089</v>
      </c>
      <c r="R77" s="24" t="n">
        <f aca="false">IFERROR(SUMPRODUCT(($B$2:$B$1001=B77)*($Q$2:$Q$1001&lt;=Q77))/SUMPRODUCT(($B$2:$B$1001=B77)*1),0)</f>
        <v>0.146017699115044</v>
      </c>
      <c r="S77" s="24" t="n">
        <f aca="false">IFERROR(SUMPRODUCT(($B$2:$B$1001=B77)*($K$2:$K$1001&lt;=K77))/SUMPRODUCT(($B$2:$B$1001=B77)*1),0)</f>
        <v>0.455752212389381</v>
      </c>
      <c r="T77" s="26" t="n">
        <f aca="false">(R77-S77)*100</f>
        <v>-30.9734513274336</v>
      </c>
      <c r="U77" s="21" t="str">
        <f aca="false">'Player Data'!T77</f>
        <v>No</v>
      </c>
      <c r="V77" s="27" t="n">
        <f aca="false">'Player Data'!U77</f>
        <v>2028</v>
      </c>
      <c r="W77" s="21" t="str">
        <f aca="false">IF(AND(T77&gt;=Assumptions!$B$19,U77="No"),"High Priority - Unrepresented",IF(T77&gt;=Assumptions!$B$19,"High Priority",IF(AND(T77&gt;=Assumptions!$B$20,U77="No"),"Watchlist - Unrepresented",IF(T77&gt;=Assumptions!$B$20,"Watchlist",""))))</f>
        <v/>
      </c>
      <c r="X77" s="21" t="str">
        <f aca="false">'Player Data'!V77</f>
        <v>info@lusakacity.zm</v>
      </c>
      <c r="Y77" s="28" t="str">
        <f aca="false">'Player Data'!W77</f>
        <v>Club sporting director / first-team office</v>
      </c>
      <c r="Z77" s="28" t="str">
        <f aca="false">'Player Data'!X77</f>
        <v>FAZ (Football Association of Zambia) player registry</v>
      </c>
      <c r="AA77" s="19" t="str">
        <f aca="false">HYPERLINK("https://www.transfermarkt.com/schnellsuche/ergebnis/schnellsuche?query="&amp;SUBSTITUTE(A77," ","+"),"Search Transfermarkt")</f>
        <v>Search Transfermarkt</v>
      </c>
      <c r="AB77" s="29" t="n">
        <f aca="false">IFERROR('Player Data'!K77/('Player Data'!K77+'Player Data'!L77),0)</f>
        <v>0.272</v>
      </c>
      <c r="AC77" s="21" t="str">
        <f aca="false">IF(B77="GK",IF(AND(O77&gt;=Assumptions!$B$23,N77&gt;=Assumptions!$B$23),"Sweeper-Keeper / Build-from-the-Back",IF(O77&gt;=Assumptions!$B$23,"Sweeper-Keeper / High Line",IF(M77&gt;=Assumptions!$B$23,"Shot-Stopper / Traditional","Flexible / Multi-System"))),IF(AND(O77&gt;=Assumptions!$B$23,P77&gt;=Assumptions!$B$24),"High Press / Gegenpressing",IF(AND(N77&gt;=Assumptions!$B$23,AB77&gt;=Assumptions!$B$25),"Possession / Build-from-the-Back",IF(N77&gt;=Assumptions!$B$23,"Counter-Attack / Transition",IF(AND(O77&gt;=Assumptions!$B$23,N77&lt;Assumptions!$B$26),"Low Block / Park the Bus",IF(AND(B77="FW",M77&gt;=Assumptions!$B$23,N77&lt;Assumptions!$B$26),"Direct / Target Approach","Flexible / Multi-System"))))))</f>
        <v>Flexible / Multi-System</v>
      </c>
      <c r="AD77" s="21" t="str">
        <f aca="false">'Player Data'!Y77</f>
        <v>2026-07-14</v>
      </c>
      <c r="AE77" s="21" t="str">
        <f aca="false">'Player Data'!Z77</f>
        <v>2026-07-15</v>
      </c>
      <c r="AF77" s="28" t="str">
        <f aca="false">IFERROR(INDEX(Assumptions!$B$30:$B$61,MATCH(C77,Assumptions!$A$30:$A$61,0)),"--")</f>
        <v>Belgium, Portugal</v>
      </c>
      <c r="AG77" s="30" t="str">
        <f aca="false">IF(R77&gt;=0.7,"Step-Up Candidate",IF(R77&gt;=0.4,"Lateral Move","Stay &amp; Develop"))</f>
        <v>Stay &amp; Develop</v>
      </c>
    </row>
    <row r="78" customFormat="false" ht="23.85" hidden="false" customHeight="false" outlineLevel="0" collapsed="false">
      <c r="A78" s="21" t="str">
        <f aca="false">'Player Data'!A78</f>
        <v>Ziga Kranjc</v>
      </c>
      <c r="B78" s="21" t="str">
        <f aca="false">'Player Data'!F78</f>
        <v>GK</v>
      </c>
      <c r="C78" s="21" t="str">
        <f aca="false">'Player Data'!B78</f>
        <v>Slovenia</v>
      </c>
      <c r="D78" s="21" t="str">
        <f aca="false">'Player Data'!C78</f>
        <v>Slovenia Regional League</v>
      </c>
      <c r="E78" s="21" t="n">
        <f aca="false">'Player Data'!D78</f>
        <v>4</v>
      </c>
      <c r="F78" s="21" t="n">
        <f aca="false">'Player Data'!G78</f>
        <v>22</v>
      </c>
      <c r="G78" s="21" t="n">
        <f aca="false">'Player Data'!H78</f>
        <v>2511</v>
      </c>
      <c r="H78" s="22" t="n">
        <f aca="false">IF(B78="GK",IFERROR(('Player Data'!N78-1.5*'Player Data'!O78)/'Player Data'!H78*90,0),IFERROR(('Player Data'!I78+'Player Data'!J78)/'Player Data'!H78*90,0))</f>
        <v>1.55913978494624</v>
      </c>
      <c r="I78" s="22" t="n">
        <f aca="false">IF(B78="GK",'Player Data'!P78,IFERROR(('Player Data'!K78+'Player Data'!L78)/'Player Data'!H78*90,0))</f>
        <v>80.2</v>
      </c>
      <c r="J78" s="22" t="n">
        <f aca="false">IF(B78="GK",IFERROR('Player Data'!Q78/'Player Data'!H78*90,0),IFERROR('Player Data'!M78/'Player Data'!H78*90,0))</f>
        <v>1.41218637992832</v>
      </c>
      <c r="K78" s="23" t="n">
        <f aca="false">'Player Data'!S78</f>
        <v>114529</v>
      </c>
      <c r="L78" s="22" t="n">
        <f aca="false">INDEX(Assumptions!$B$13:$B$15,MATCH(E78,Assumptions!$A$13:$A$15,0))</f>
        <v>0.7</v>
      </c>
      <c r="M78" s="24" t="n">
        <f aca="false">IFERROR(SUMPRODUCT(($B$2:$B$1001=B78)*($H$2:$H$1001&lt;=H78))/SUMPRODUCT(($B$2:$B$1001=B78)*1),0)</f>
        <v>0.726775956284153</v>
      </c>
      <c r="N78" s="24" t="n">
        <f aca="false">IFERROR(SUMPRODUCT(($B$2:$B$1001=B78)*($I$2:$I$1001&lt;=I78))/SUMPRODUCT(($B$2:$B$1001=B78)*1),0)</f>
        <v>0.672131147540984</v>
      </c>
      <c r="O78" s="24" t="n">
        <f aca="false">IFERROR(SUMPRODUCT(($B$2:$B$1001=B78)*($J$2:$J$1001&lt;=J78))/SUMPRODUCT(($B$2:$B$1001=B78)*1),0)</f>
        <v>0.923497267759563</v>
      </c>
      <c r="P78" s="24" t="n">
        <f aca="false">IFERROR(SUMPRODUCT(($B$2:$B$1001=B78)*((0-$F$2:$F$1001)&lt;=(0-F78)))/SUMPRODUCT(($B$2:$B$1001=B78)*1),0)</f>
        <v>0.530054644808743</v>
      </c>
      <c r="Q78" s="25" t="n">
        <f aca="false">(M78*Assumptions!$B$5+N78*Assumptions!$B$6+O78*Assumptions!$B$7+P78*Assumptions!$B$8)*L78</f>
        <v>0.495355191256831</v>
      </c>
      <c r="R78" s="24" t="n">
        <f aca="false">IFERROR(SUMPRODUCT(($B$2:$B$1001=B78)*($Q$2:$Q$1001&lt;=Q78))/SUMPRODUCT(($B$2:$B$1001=B78)*1),0)</f>
        <v>0.60655737704918</v>
      </c>
      <c r="S78" s="24" t="n">
        <f aca="false">IFERROR(SUMPRODUCT(($B$2:$B$1001=B78)*($K$2:$K$1001&lt;=K78))/SUMPRODUCT(($B$2:$B$1001=B78)*1),0)</f>
        <v>0.775956284153005</v>
      </c>
      <c r="T78" s="26" t="n">
        <f aca="false">(R78-S78)*100</f>
        <v>-16.9398907103825</v>
      </c>
      <c r="U78" s="21" t="str">
        <f aca="false">'Player Data'!T78</f>
        <v>Unknown</v>
      </c>
      <c r="V78" s="27" t="n">
        <f aca="false">'Player Data'!U78</f>
        <v>2027</v>
      </c>
      <c r="W78" s="21" t="str">
        <f aca="false">IF(AND(T78&gt;=Assumptions!$B$19,U78="No"),"High Priority - Unrepresented",IF(T78&gt;=Assumptions!$B$19,"High Priority",IF(AND(T78&gt;=Assumptions!$B$20,U78="No"),"Watchlist - Unrepresented",IF(T78&gt;=Assumptions!$B$20,"Watchlist",""))))</f>
        <v/>
      </c>
      <c r="X78" s="21" t="str">
        <f aca="false">'Player Data'!V78</f>
        <v>info@celjeathletic.si</v>
      </c>
      <c r="Y78" s="28" t="str">
        <f aca="false">'Player Data'!W78</f>
        <v>Club sporting director / first-team office</v>
      </c>
      <c r="Z78" s="28" t="str">
        <f aca="false">'Player Data'!X78</f>
        <v>NZS (Football Association of Slovenia) player registry</v>
      </c>
      <c r="AA78" s="19" t="str">
        <f aca="false">HYPERLINK("https://www.transfermarkt.com/schnellsuche/ergebnis/schnellsuche?query="&amp;SUBSTITUTE(A78," ","+"),"Search Transfermarkt")</f>
        <v>Search Transfermarkt</v>
      </c>
      <c r="AB78" s="29" t="n">
        <f aca="false">IFERROR('Player Data'!K78/('Player Data'!K78+'Player Data'!L78),0)</f>
        <v>1</v>
      </c>
      <c r="AC78" s="21" t="str">
        <f aca="false">IF(B78="GK",IF(AND(O78&gt;=Assumptions!$B$23,N78&gt;=Assumptions!$B$23),"Sweeper-Keeper / Build-from-the-Back",IF(O78&gt;=Assumptions!$B$23,"Sweeper-Keeper / High Line",IF(M78&gt;=Assumptions!$B$23,"Shot-Stopper / Traditional","Flexible / Multi-System"))),IF(AND(O78&gt;=Assumptions!$B$23,P78&gt;=Assumptions!$B$24),"High Press / Gegenpressing",IF(AND(N78&gt;=Assumptions!$B$23,AB78&gt;=Assumptions!$B$25),"Possession / Build-from-the-Back",IF(N78&gt;=Assumptions!$B$23,"Counter-Attack / Transition",IF(AND(O78&gt;=Assumptions!$B$23,N78&lt;Assumptions!$B$26),"Low Block / Park the Bus",IF(AND(B78="FW",M78&gt;=Assumptions!$B$23,N78&lt;Assumptions!$B$26),"Direct / Target Approach","Flexible / Multi-System"))))))</f>
        <v>Sweeper-Keeper / Build-from-the-Back</v>
      </c>
      <c r="AD78" s="21" t="str">
        <f aca="false">'Player Data'!Y78</f>
        <v>2026-07-14</v>
      </c>
      <c r="AE78" s="21" t="str">
        <f aca="false">'Player Data'!Z78</f>
        <v>2026-07-15</v>
      </c>
      <c r="AF78" s="28" t="str">
        <f aca="false">IFERROR(INDEX(Assumptions!$B$30:$B$61,MATCH(C78,Assumptions!$A$30:$A$61,0)),"--")</f>
        <v>Austria, Poland</v>
      </c>
      <c r="AG78" s="30" t="str">
        <f aca="false">IF(R78&gt;=0.7,"Step-Up Candidate",IF(R78&gt;=0.4,"Lateral Move","Stay &amp; Develop"))</f>
        <v>Lateral Move</v>
      </c>
    </row>
    <row r="79" customFormat="false" ht="23.85" hidden="false" customHeight="false" outlineLevel="0" collapsed="false">
      <c r="A79" s="21" t="str">
        <f aca="false">'Player Data'!A79</f>
        <v>Adalberto Murillo</v>
      </c>
      <c r="B79" s="21" t="str">
        <f aca="false">'Player Data'!F79</f>
        <v>GK</v>
      </c>
      <c r="C79" s="21" t="str">
        <f aca="false">'Player Data'!B79</f>
        <v>Panama</v>
      </c>
      <c r="D79" s="21" t="str">
        <f aca="false">'Player Data'!C79</f>
        <v>Panama Regional League</v>
      </c>
      <c r="E79" s="21" t="n">
        <f aca="false">'Player Data'!D79</f>
        <v>2</v>
      </c>
      <c r="F79" s="21" t="n">
        <f aca="false">'Player Data'!G79</f>
        <v>21</v>
      </c>
      <c r="G79" s="21" t="n">
        <f aca="false">'Player Data'!H79</f>
        <v>1879</v>
      </c>
      <c r="H79" s="22" t="n">
        <f aca="false">IF(B79="GK",IFERROR(('Player Data'!N79-1.5*'Player Data'!O79)/'Player Data'!H79*90,0),IFERROR(('Player Data'!I79+'Player Data'!J79)/'Player Data'!H79*90,0))</f>
        <v>-0.383182543906333</v>
      </c>
      <c r="I79" s="22" t="n">
        <f aca="false">IF(B79="GK",'Player Data'!P79,IFERROR(('Player Data'!K79+'Player Data'!L79)/'Player Data'!H79*90,0))</f>
        <v>73.5</v>
      </c>
      <c r="J79" s="22" t="n">
        <f aca="false">IF(B79="GK",IFERROR('Player Data'!Q79/'Player Data'!H79*90,0),IFERROR('Player Data'!M79/'Player Data'!H79*90,0))</f>
        <v>0.407131452900479</v>
      </c>
      <c r="K79" s="23" t="n">
        <f aca="false">'Player Data'!S79</f>
        <v>82814</v>
      </c>
      <c r="L79" s="22" t="n">
        <f aca="false">INDEX(Assumptions!$B$13:$B$15,MATCH(E79,Assumptions!$A$13:$A$15,0))</f>
        <v>1</v>
      </c>
      <c r="M79" s="24" t="n">
        <f aca="false">IFERROR(SUMPRODUCT(($B$2:$B$1001=B79)*($H$2:$H$1001&lt;=H79))/SUMPRODUCT(($B$2:$B$1001=B79)*1),0)</f>
        <v>0.087431693989071</v>
      </c>
      <c r="N79" s="24" t="n">
        <f aca="false">IFERROR(SUMPRODUCT(($B$2:$B$1001=B79)*($I$2:$I$1001&lt;=I79))/SUMPRODUCT(($B$2:$B$1001=B79)*1),0)</f>
        <v>0.524590163934426</v>
      </c>
      <c r="O79" s="24" t="n">
        <f aca="false">IFERROR(SUMPRODUCT(($B$2:$B$1001=B79)*($J$2:$J$1001&lt;=J79))/SUMPRODUCT(($B$2:$B$1001=B79)*1),0)</f>
        <v>0.191256830601093</v>
      </c>
      <c r="P79" s="24" t="n">
        <f aca="false">IFERROR(SUMPRODUCT(($B$2:$B$1001=B79)*((0-$F$2:$F$1001)&lt;=(0-F79)))/SUMPRODUCT(($B$2:$B$1001=B79)*1),0)</f>
        <v>0.60655737704918</v>
      </c>
      <c r="Q79" s="25" t="n">
        <f aca="false">(M79*Assumptions!$B$5+N79*Assumptions!$B$6+O79*Assumptions!$B$7+P79*Assumptions!$B$8)*L79</f>
        <v>0.365027322404372</v>
      </c>
      <c r="R79" s="24" t="n">
        <f aca="false">IFERROR(SUMPRODUCT(($B$2:$B$1001=B79)*($Q$2:$Q$1001&lt;=Q79))/SUMPRODUCT(($B$2:$B$1001=B79)*1),0)</f>
        <v>0.300546448087432</v>
      </c>
      <c r="S79" s="24" t="n">
        <f aca="false">IFERROR(SUMPRODUCT(($B$2:$B$1001=B79)*($K$2:$K$1001&lt;=K79))/SUMPRODUCT(($B$2:$B$1001=B79)*1),0)</f>
        <v>0.584699453551913</v>
      </c>
      <c r="T79" s="26" t="n">
        <f aca="false">(R79-S79)*100</f>
        <v>-28.4153005464481</v>
      </c>
      <c r="U79" s="21" t="str">
        <f aca="false">'Player Data'!T79</f>
        <v>No</v>
      </c>
      <c r="V79" s="27" t="n">
        <f aca="false">'Player Data'!U79</f>
        <v>2027</v>
      </c>
      <c r="W79" s="21" t="str">
        <f aca="false">IF(AND(T79&gt;=Assumptions!$B$19,U79="No"),"High Priority - Unrepresented",IF(T79&gt;=Assumptions!$B$19,"High Priority",IF(AND(T79&gt;=Assumptions!$B$20,U79="No"),"Watchlist - Unrepresented",IF(T79&gt;=Assumptions!$B$20,"Watchlist",""))))</f>
        <v/>
      </c>
      <c r="X79" s="21" t="str">
        <f aca="false">'Player Data'!V79</f>
        <v>info@panamacityrangers.pa</v>
      </c>
      <c r="Y79" s="28" t="str">
        <f aca="false">'Player Data'!W79</f>
        <v>Club sporting director / first-team office</v>
      </c>
      <c r="Z79" s="28" t="str">
        <f aca="false">'Player Data'!X79</f>
        <v>FEPAFUT (Panamanian Football Federation) player registry</v>
      </c>
      <c r="AA79" s="19" t="str">
        <f aca="false">HYPERLINK("https://www.transfermarkt.com/schnellsuche/ergebnis/schnellsuche?query="&amp;SUBSTITUTE(A79," ","+"),"Search Transfermarkt")</f>
        <v>Search Transfermarkt</v>
      </c>
      <c r="AB79" s="29" t="n">
        <f aca="false">IFERROR('Player Data'!K79/('Player Data'!K79+'Player Data'!L79),0)</f>
        <v>0.909090909090909</v>
      </c>
      <c r="AC79" s="21" t="str">
        <f aca="false">IF(B79="GK",IF(AND(O79&gt;=Assumptions!$B$23,N79&gt;=Assumptions!$B$23),"Sweeper-Keeper / Build-from-the-Back",IF(O79&gt;=Assumptions!$B$23,"Sweeper-Keeper / High Line",IF(M79&gt;=Assumptions!$B$23,"Shot-Stopper / Traditional","Flexible / Multi-System"))),IF(AND(O79&gt;=Assumptions!$B$23,P79&gt;=Assumptions!$B$24),"High Press / Gegenpressing",IF(AND(N79&gt;=Assumptions!$B$23,AB79&gt;=Assumptions!$B$25),"Possession / Build-from-the-Back",IF(N79&gt;=Assumptions!$B$23,"Counter-Attack / Transition",IF(AND(O79&gt;=Assumptions!$B$23,N79&lt;Assumptions!$B$26),"Low Block / Park the Bus",IF(AND(B79="FW",M79&gt;=Assumptions!$B$23,N79&lt;Assumptions!$B$26),"Direct / Target Approach","Flexible / Multi-System"))))))</f>
        <v>Flexible / Multi-System</v>
      </c>
      <c r="AD79" s="21" t="str">
        <f aca="false">'Player Data'!Y79</f>
        <v>2026-07-14</v>
      </c>
      <c r="AE79" s="21" t="str">
        <f aca="false">'Player Data'!Z79</f>
        <v>2026-07-15</v>
      </c>
      <c r="AF79" s="28" t="str">
        <f aca="false">IFERROR(INDEX(Assumptions!$B$30:$B$61,MATCH(C79,Assumptions!$A$30:$A$61,0)),"--")</f>
        <v>Mexico, United States</v>
      </c>
      <c r="AG79" s="30" t="str">
        <f aca="false">IF(R79&gt;=0.7,"Step-Up Candidate",IF(R79&gt;=0.4,"Lateral Move","Stay &amp; Develop"))</f>
        <v>Stay &amp; Develop</v>
      </c>
    </row>
    <row r="80" customFormat="false" ht="23.85" hidden="false" customHeight="false" outlineLevel="0" collapsed="false">
      <c r="A80" s="21" t="str">
        <f aca="false">'Player Data'!A80</f>
        <v>Wesly Figueroa</v>
      </c>
      <c r="B80" s="21" t="str">
        <f aca="false">'Player Data'!F80</f>
        <v>GK</v>
      </c>
      <c r="C80" s="21" t="str">
        <f aca="false">'Player Data'!B80</f>
        <v>Honduras</v>
      </c>
      <c r="D80" s="21" t="str">
        <f aca="false">'Player Data'!C80</f>
        <v>Honduras Third Tier - North</v>
      </c>
      <c r="E80" s="21" t="n">
        <f aca="false">'Player Data'!D80</f>
        <v>2</v>
      </c>
      <c r="F80" s="21" t="n">
        <f aca="false">'Player Data'!G80</f>
        <v>21</v>
      </c>
      <c r="G80" s="21" t="n">
        <f aca="false">'Player Data'!H80</f>
        <v>1238</v>
      </c>
      <c r="H80" s="22" t="n">
        <f aca="false">IF(B80="GK",IFERROR(('Player Data'!N80-1.5*'Player Data'!O80)/'Player Data'!H80*90,0),IFERROR(('Player Data'!I80+'Player Data'!J80)/'Player Data'!H80*90,0))</f>
        <v>2.2172859450727</v>
      </c>
      <c r="I80" s="22" t="n">
        <f aca="false">IF(B80="GK",'Player Data'!P80,IFERROR(('Player Data'!K80+'Player Data'!L80)/'Player Data'!H80*90,0))</f>
        <v>90.7</v>
      </c>
      <c r="J80" s="22" t="n">
        <f aca="false">IF(B80="GK",IFERROR('Player Data'!Q80/'Player Data'!H80*90,0),IFERROR('Player Data'!M80/'Player Data'!H80*90,0))</f>
        <v>0.327140549273021</v>
      </c>
      <c r="K80" s="23" t="n">
        <f aca="false">'Player Data'!S80</f>
        <v>0</v>
      </c>
      <c r="L80" s="22" t="n">
        <f aca="false">INDEX(Assumptions!$B$13:$B$15,MATCH(E80,Assumptions!$A$13:$A$15,0))</f>
        <v>1</v>
      </c>
      <c r="M80" s="24" t="n">
        <f aca="false">IFERROR(SUMPRODUCT(($B$2:$B$1001=B80)*($H$2:$H$1001&lt;=H80))/SUMPRODUCT(($B$2:$B$1001=B80)*1),0)</f>
        <v>0.939890710382514</v>
      </c>
      <c r="N80" s="24" t="n">
        <f aca="false">IFERROR(SUMPRODUCT(($B$2:$B$1001=B80)*($I$2:$I$1001&lt;=I80))/SUMPRODUCT(($B$2:$B$1001=B80)*1),0)</f>
        <v>0.983606557377049</v>
      </c>
      <c r="O80" s="24" t="n">
        <f aca="false">IFERROR(SUMPRODUCT(($B$2:$B$1001=B80)*($J$2:$J$1001&lt;=J80))/SUMPRODUCT(($B$2:$B$1001=B80)*1),0)</f>
        <v>0.153005464480874</v>
      </c>
      <c r="P80" s="24" t="n">
        <f aca="false">IFERROR(SUMPRODUCT(($B$2:$B$1001=B80)*((0-$F$2:$F$1001)&lt;=(0-F80)))/SUMPRODUCT(($B$2:$B$1001=B80)*1),0)</f>
        <v>0.60655737704918</v>
      </c>
      <c r="Q80" s="25" t="n">
        <f aca="false">(M80*Assumptions!$B$5+N80*Assumptions!$B$6+O80*Assumptions!$B$7+P80*Assumptions!$B$8)*L80</f>
        <v>0.731147540983607</v>
      </c>
      <c r="R80" s="24" t="n">
        <f aca="false">IFERROR(SUMPRODUCT(($B$2:$B$1001=B80)*($Q$2:$Q$1001&lt;=Q80))/SUMPRODUCT(($B$2:$B$1001=B80)*1),0)</f>
        <v>0.994535519125683</v>
      </c>
      <c r="S80" s="24" t="n">
        <f aca="false">IFERROR(SUMPRODUCT(($B$2:$B$1001=B80)*($K$2:$K$1001&lt;=K80))/SUMPRODUCT(($B$2:$B$1001=B80)*1),0)</f>
        <v>0.218579234972678</v>
      </c>
      <c r="T80" s="26" t="n">
        <f aca="false">(R80-S80)*100</f>
        <v>77.5956284153005</v>
      </c>
      <c r="U80" s="21" t="str">
        <f aca="false">'Player Data'!T80</f>
        <v>No</v>
      </c>
      <c r="V80" s="27" t="n">
        <f aca="false">'Player Data'!U80</f>
        <v>2026</v>
      </c>
      <c r="W80" s="21" t="str">
        <f aca="false">IF(AND(T80&gt;=Assumptions!$B$19,U80="No"),"High Priority - Unrepresented",IF(T80&gt;=Assumptions!$B$19,"High Priority",IF(AND(T80&gt;=Assumptions!$B$20,U80="No"),"Watchlist - Unrepresented",IF(T80&gt;=Assumptions!$B$20,"Watchlist",""))))</f>
        <v>High Priority - Unrepresented</v>
      </c>
      <c r="X80" s="21" t="str">
        <f aca="false">'Player Data'!V80</f>
        <v>info@sanpedrosulaathletic.hn</v>
      </c>
      <c r="Y80" s="28" t="str">
        <f aca="false">'Player Data'!W80</f>
        <v>Club sporting director / first-team office</v>
      </c>
      <c r="Z80" s="28" t="str">
        <f aca="false">'Player Data'!X80</f>
        <v>FENAFUTH (Honduran Football Federation) player registry</v>
      </c>
      <c r="AA80" s="19" t="str">
        <f aca="false">HYPERLINK("https://www.transfermarkt.com/schnellsuche/ergebnis/schnellsuche?query="&amp;SUBSTITUTE(A80," ","+"),"Search Transfermarkt")</f>
        <v>Search Transfermarkt</v>
      </c>
      <c r="AB80" s="29" t="n">
        <f aca="false">IFERROR('Player Data'!K80/('Player Data'!K80+'Player Data'!L80),0)</f>
        <v>0.647058823529412</v>
      </c>
      <c r="AC80" s="21" t="str">
        <f aca="false">IF(B80="GK",IF(AND(O80&gt;=Assumptions!$B$23,N80&gt;=Assumptions!$B$23),"Sweeper-Keeper / Build-from-the-Back",IF(O80&gt;=Assumptions!$B$23,"Sweeper-Keeper / High Line",IF(M80&gt;=Assumptions!$B$23,"Shot-Stopper / Traditional","Flexible / Multi-System"))),IF(AND(O80&gt;=Assumptions!$B$23,P80&gt;=Assumptions!$B$24),"High Press / Gegenpressing",IF(AND(N80&gt;=Assumptions!$B$23,AB80&gt;=Assumptions!$B$25),"Possession / Build-from-the-Back",IF(N80&gt;=Assumptions!$B$23,"Counter-Attack / Transition",IF(AND(O80&gt;=Assumptions!$B$23,N80&lt;Assumptions!$B$26),"Low Block / Park the Bus",IF(AND(B80="FW",M80&gt;=Assumptions!$B$23,N80&lt;Assumptions!$B$26),"Direct / Target Approach","Flexible / Multi-System"))))))</f>
        <v>Shot-Stopper / Traditional</v>
      </c>
      <c r="AD80" s="21" t="str">
        <f aca="false">'Player Data'!Y80</f>
        <v>2026-07-14</v>
      </c>
      <c r="AE80" s="21" t="str">
        <f aca="false">'Player Data'!Z80</f>
        <v>2026-07-15</v>
      </c>
      <c r="AF80" s="28" t="str">
        <f aca="false">IFERROR(INDEX(Assumptions!$B$30:$B$61,MATCH(C80,Assumptions!$A$30:$A$61,0)),"--")</f>
        <v>Mexico, United States</v>
      </c>
      <c r="AG80" s="30" t="str">
        <f aca="false">IF(R80&gt;=0.7,"Step-Up Candidate",IF(R80&gt;=0.4,"Lateral Move","Stay &amp; Develop"))</f>
        <v>Step-Up Candidate</v>
      </c>
    </row>
    <row r="81" customFormat="false" ht="23.85" hidden="false" customHeight="false" outlineLevel="0" collapsed="false">
      <c r="A81" s="21" t="str">
        <f aca="false">'Player Data'!A81</f>
        <v>Kelvin Tembo</v>
      </c>
      <c r="B81" s="21" t="str">
        <f aca="false">'Player Data'!F81</f>
        <v>MF</v>
      </c>
      <c r="C81" s="21" t="str">
        <f aca="false">'Player Data'!B81</f>
        <v>Zambia</v>
      </c>
      <c r="D81" s="21" t="str">
        <f aca="false">'Player Data'!C81</f>
        <v>Zambia Second Division</v>
      </c>
      <c r="E81" s="21" t="n">
        <f aca="false">'Player Data'!D81</f>
        <v>4</v>
      </c>
      <c r="F81" s="21" t="n">
        <f aca="false">'Player Data'!G81</f>
        <v>18</v>
      </c>
      <c r="G81" s="21" t="n">
        <f aca="false">'Player Data'!H81</f>
        <v>2607</v>
      </c>
      <c r="H81" s="22" t="n">
        <f aca="false">IF(B81="GK",IFERROR(('Player Data'!N81-1.5*'Player Data'!O81)/'Player Data'!H81*90,0),IFERROR(('Player Data'!I81+'Player Data'!J81)/'Player Data'!H81*90,0))</f>
        <v>0.655926352128884</v>
      </c>
      <c r="I81" s="22" t="n">
        <f aca="false">IF(B81="GK",'Player Data'!P81,IFERROR(('Player Data'!K81+'Player Data'!L81)/'Player Data'!H81*90,0))</f>
        <v>8.35443037974684</v>
      </c>
      <c r="J81" s="22" t="n">
        <f aca="false">IF(B81="GK",IFERROR('Player Data'!Q81/'Player Data'!H81*90,0),IFERROR('Player Data'!M81/'Player Data'!H81*90,0))</f>
        <v>1.76064441887227</v>
      </c>
      <c r="K81" s="23" t="n">
        <f aca="false">'Player Data'!S81</f>
        <v>69543</v>
      </c>
      <c r="L81" s="22" t="n">
        <f aca="false">INDEX(Assumptions!$B$13:$B$15,MATCH(E81,Assumptions!$A$13:$A$15,0))</f>
        <v>0.7</v>
      </c>
      <c r="M81" s="24" t="n">
        <f aca="false">IFERROR(SUMPRODUCT(($B$2:$B$1001=B81)*($H$2:$H$1001&lt;=H81))/SUMPRODUCT(($B$2:$B$1001=B81)*1),0)</f>
        <v>0.393939393939394</v>
      </c>
      <c r="N81" s="24" t="n">
        <f aca="false">IFERROR(SUMPRODUCT(($B$2:$B$1001=B81)*($I$2:$I$1001&lt;=I81))/SUMPRODUCT(($B$2:$B$1001=B81)*1),0)</f>
        <v>0.195286195286195</v>
      </c>
      <c r="O81" s="24" t="n">
        <f aca="false">IFERROR(SUMPRODUCT(($B$2:$B$1001=B81)*($J$2:$J$1001&lt;=J81))/SUMPRODUCT(($B$2:$B$1001=B81)*1),0)</f>
        <v>0.296296296296296</v>
      </c>
      <c r="P81" s="24" t="n">
        <f aca="false">IFERROR(SUMPRODUCT(($B$2:$B$1001=B81)*((0-$F$2:$F$1001)&lt;=(0-F81)))/SUMPRODUCT(($B$2:$B$1001=B81)*1),0)</f>
        <v>0.929292929292929</v>
      </c>
      <c r="Q81" s="25" t="n">
        <f aca="false">(M81*Assumptions!$B$5+N81*Assumptions!$B$6+O81*Assumptions!$B$7+P81*Assumptions!$B$8)*L81</f>
        <v>0.288367003367003</v>
      </c>
      <c r="R81" s="24" t="n">
        <f aca="false">IFERROR(SUMPRODUCT(($B$2:$B$1001=B81)*($Q$2:$Q$1001&lt;=Q81))/SUMPRODUCT(($B$2:$B$1001=B81)*1),0)</f>
        <v>0.232323232323232</v>
      </c>
      <c r="S81" s="24" t="n">
        <f aca="false">IFERROR(SUMPRODUCT(($B$2:$B$1001=B81)*($K$2:$K$1001&lt;=K81))/SUMPRODUCT(($B$2:$B$1001=B81)*1),0)</f>
        <v>0.569023569023569</v>
      </c>
      <c r="T81" s="26" t="n">
        <f aca="false">(R81-S81)*100</f>
        <v>-33.6700336700337</v>
      </c>
      <c r="U81" s="21" t="str">
        <f aca="false">'Player Data'!T81</f>
        <v>Yes</v>
      </c>
      <c r="V81" s="27" t="n">
        <f aca="false">'Player Data'!U81</f>
        <v>2028</v>
      </c>
      <c r="W81" s="21" t="str">
        <f aca="false">IF(AND(T81&gt;=Assumptions!$B$19,U81="No"),"High Priority - Unrepresented",IF(T81&gt;=Assumptions!$B$19,"High Priority",IF(AND(T81&gt;=Assumptions!$B$20,U81="No"),"Watchlist - Unrepresented",IF(T81&gt;=Assumptions!$B$20,"Watchlist",""))))</f>
        <v/>
      </c>
      <c r="X81" s="21" t="str">
        <f aca="false">'Player Data'!V81</f>
        <v>info@livingstonetown.zm</v>
      </c>
      <c r="Y81" s="28" t="str">
        <f aca="false">'Player Data'!W81</f>
        <v>Go through the player's agent - ask the club to confirm representation first</v>
      </c>
      <c r="Z81" s="28" t="str">
        <f aca="false">'Player Data'!X81</f>
        <v>FAZ (Football Association of Zambia) player registry</v>
      </c>
      <c r="AA81" s="19" t="str">
        <f aca="false">HYPERLINK("https://www.transfermarkt.com/schnellsuche/ergebnis/schnellsuche?query="&amp;SUBSTITUTE(A81," ","+"),"Search Transfermarkt")</f>
        <v>Search Transfermarkt</v>
      </c>
      <c r="AB81" s="29" t="n">
        <f aca="false">IFERROR('Player Data'!K81/('Player Data'!K81+'Player Data'!L81),0)</f>
        <v>0.611570247933884</v>
      </c>
      <c r="AC81" s="21" t="str">
        <f aca="false">IF(B81="GK",IF(AND(O81&gt;=Assumptions!$B$23,N81&gt;=Assumptions!$B$23),"Sweeper-Keeper / Build-from-the-Back",IF(O81&gt;=Assumptions!$B$23,"Sweeper-Keeper / High Line",IF(M81&gt;=Assumptions!$B$23,"Shot-Stopper / Traditional","Flexible / Multi-System"))),IF(AND(O81&gt;=Assumptions!$B$23,P81&gt;=Assumptions!$B$24),"High Press / Gegenpressing",IF(AND(N81&gt;=Assumptions!$B$23,AB81&gt;=Assumptions!$B$25),"Possession / Build-from-the-Back",IF(N81&gt;=Assumptions!$B$23,"Counter-Attack / Transition",IF(AND(O81&gt;=Assumptions!$B$23,N81&lt;Assumptions!$B$26),"Low Block / Park the Bus",IF(AND(B81="FW",M81&gt;=Assumptions!$B$23,N81&lt;Assumptions!$B$26),"Direct / Target Approach","Flexible / Multi-System"))))))</f>
        <v>Flexible / Multi-System</v>
      </c>
      <c r="AD81" s="21" t="str">
        <f aca="false">'Player Data'!Y81</f>
        <v>2026-07-14</v>
      </c>
      <c r="AE81" s="21" t="str">
        <f aca="false">'Player Data'!Z81</f>
        <v>2026-07-15</v>
      </c>
      <c r="AF81" s="28" t="str">
        <f aca="false">IFERROR(INDEX(Assumptions!$B$30:$B$61,MATCH(C81,Assumptions!$A$30:$A$61,0)),"--")</f>
        <v>Belgium, Portugal</v>
      </c>
      <c r="AG81" s="30" t="str">
        <f aca="false">IF(R81&gt;=0.7,"Step-Up Candidate",IF(R81&gt;=0.4,"Lateral Move","Stay &amp; Develop"))</f>
        <v>Stay &amp; Develop</v>
      </c>
    </row>
    <row r="82" customFormat="false" ht="23.85" hidden="false" customHeight="false" outlineLevel="0" collapsed="false">
      <c r="A82" s="21" t="str">
        <f aca="false">'Player Data'!A82</f>
        <v>Rodrigo Perez</v>
      </c>
      <c r="B82" s="21" t="str">
        <f aca="false">'Player Data'!F82</f>
        <v>FW</v>
      </c>
      <c r="C82" s="21" t="str">
        <f aca="false">'Player Data'!B82</f>
        <v>Paraguay</v>
      </c>
      <c r="D82" s="21" t="str">
        <f aca="false">'Player Data'!C82</f>
        <v>Paraguay Second Division - East</v>
      </c>
      <c r="E82" s="21" t="n">
        <f aca="false">'Player Data'!D82</f>
        <v>3</v>
      </c>
      <c r="F82" s="21" t="n">
        <f aca="false">'Player Data'!G82</f>
        <v>20</v>
      </c>
      <c r="G82" s="21" t="n">
        <f aca="false">'Player Data'!H82</f>
        <v>2016</v>
      </c>
      <c r="H82" s="22" t="n">
        <f aca="false">IF(B82="GK",IFERROR(('Player Data'!N82-1.5*'Player Data'!O82)/'Player Data'!H82*90,0),IFERROR(('Player Data'!I82+'Player Data'!J82)/'Player Data'!H82*90,0))</f>
        <v>1.07142857142857</v>
      </c>
      <c r="I82" s="22" t="n">
        <f aca="false">IF(B82="GK",'Player Data'!P82,IFERROR(('Player Data'!K82+'Player Data'!L82)/'Player Data'!H82*90,0))</f>
        <v>4.91071428571429</v>
      </c>
      <c r="J82" s="22" t="n">
        <f aca="false">IF(B82="GK",IFERROR('Player Data'!Q82/'Player Data'!H82*90,0),IFERROR('Player Data'!M82/'Player Data'!H82*90,0))</f>
        <v>0.491071428571429</v>
      </c>
      <c r="K82" s="23" t="n">
        <f aca="false">'Player Data'!S82</f>
        <v>0</v>
      </c>
      <c r="L82" s="22" t="n">
        <f aca="false">INDEX(Assumptions!$B$13:$B$15,MATCH(E82,Assumptions!$A$13:$A$15,0))</f>
        <v>0.85</v>
      </c>
      <c r="M82" s="24" t="n">
        <f aca="false">IFERROR(SUMPRODUCT(($B$2:$B$1001=B82)*($H$2:$H$1001&lt;=H82))/SUMPRODUCT(($B$2:$B$1001=B82)*1),0)</f>
        <v>0.588495575221239</v>
      </c>
      <c r="N82" s="24" t="n">
        <f aca="false">IFERROR(SUMPRODUCT(($B$2:$B$1001=B82)*($I$2:$I$1001&lt;=I82))/SUMPRODUCT(($B$2:$B$1001=B82)*1),0)</f>
        <v>0.20353982300885</v>
      </c>
      <c r="O82" s="24" t="n">
        <f aca="false">IFERROR(SUMPRODUCT(($B$2:$B$1001=B82)*($J$2:$J$1001&lt;=J82))/SUMPRODUCT(($B$2:$B$1001=B82)*1),0)</f>
        <v>0.495575221238938</v>
      </c>
      <c r="P82" s="24" t="n">
        <f aca="false">IFERROR(SUMPRODUCT(($B$2:$B$1001=B82)*((0-$F$2:$F$1001)&lt;=(0-F82)))/SUMPRODUCT(($B$2:$B$1001=B82)*1),0)</f>
        <v>0.712389380530973</v>
      </c>
      <c r="Q82" s="25" t="n">
        <f aca="false">(M82*Assumptions!$B$5+N82*Assumptions!$B$6+O82*Assumptions!$B$7+P82*Assumptions!$B$8)*L82</f>
        <v>0.390962389380531</v>
      </c>
      <c r="R82" s="24" t="n">
        <f aca="false">IFERROR(SUMPRODUCT(($B$2:$B$1001=B82)*($Q$2:$Q$1001&lt;=Q82))/SUMPRODUCT(($B$2:$B$1001=B82)*1),0)</f>
        <v>0.420353982300885</v>
      </c>
      <c r="S82" s="24" t="n">
        <f aca="false">IFERROR(SUMPRODUCT(($B$2:$B$1001=B82)*($K$2:$K$1001&lt;=K82))/SUMPRODUCT(($B$2:$B$1001=B82)*1),0)</f>
        <v>0.261061946902655</v>
      </c>
      <c r="T82" s="26" t="n">
        <f aca="false">(R82-S82)*100</f>
        <v>15.929203539823</v>
      </c>
      <c r="U82" s="21" t="str">
        <f aca="false">'Player Data'!T82</f>
        <v>Unknown</v>
      </c>
      <c r="V82" s="27" t="n">
        <f aca="false">'Player Data'!U82</f>
        <v>2028</v>
      </c>
      <c r="W82" s="21" t="str">
        <f aca="false">IF(AND(T82&gt;=Assumptions!$B$19,U82="No"),"High Priority - Unrepresented",IF(T82&gt;=Assumptions!$B$19,"High Priority",IF(AND(T82&gt;=Assumptions!$B$20,U82="No"),"Watchlist - Unrepresented",IF(T82&gt;=Assumptions!$B$20,"Watchlist",""))))</f>
        <v/>
      </c>
      <c r="X82" s="21" t="str">
        <f aca="false">'Player Data'!V82</f>
        <v>info@encarnacioncity.py</v>
      </c>
      <c r="Y82" s="28" t="str">
        <f aca="false">'Player Data'!W82</f>
        <v>Club sporting director / first-team office</v>
      </c>
      <c r="Z82" s="28" t="str">
        <f aca="false">'Player Data'!X82</f>
        <v>APF (Paraguayan Football Association) player registry</v>
      </c>
      <c r="AA82" s="19" t="str">
        <f aca="false">HYPERLINK("https://www.transfermarkt.com/schnellsuche/ergebnis/schnellsuche?query="&amp;SUBSTITUTE(A82," ","+"),"Search Transfermarkt")</f>
        <v>Search Transfermarkt</v>
      </c>
      <c r="AB82" s="29" t="n">
        <f aca="false">IFERROR('Player Data'!K82/('Player Data'!K82+'Player Data'!L82),0)</f>
        <v>0.454545454545455</v>
      </c>
      <c r="AC82" s="21" t="str">
        <f aca="false">IF(B82="GK",IF(AND(O82&gt;=Assumptions!$B$23,N82&gt;=Assumptions!$B$23),"Sweeper-Keeper / Build-from-the-Back",IF(O82&gt;=Assumptions!$B$23,"Sweeper-Keeper / High Line",IF(M82&gt;=Assumptions!$B$23,"Shot-Stopper / Traditional","Flexible / Multi-System"))),IF(AND(O82&gt;=Assumptions!$B$23,P82&gt;=Assumptions!$B$24),"High Press / Gegenpressing",IF(AND(N82&gt;=Assumptions!$B$23,AB82&gt;=Assumptions!$B$25),"Possession / Build-from-the-Back",IF(N82&gt;=Assumptions!$B$23,"Counter-Attack / Transition",IF(AND(O82&gt;=Assumptions!$B$23,N82&lt;Assumptions!$B$26),"Low Block / Park the Bus",IF(AND(B82="FW",M82&gt;=Assumptions!$B$23,N82&lt;Assumptions!$B$26),"Direct / Target Approach","Flexible / Multi-System"))))))</f>
        <v>Flexible / Multi-System</v>
      </c>
      <c r="AD82" s="21" t="str">
        <f aca="false">'Player Data'!Y82</f>
        <v>2026-07-14</v>
      </c>
      <c r="AE82" s="21" t="str">
        <f aca="false">'Player Data'!Z82</f>
        <v>2026-07-15</v>
      </c>
      <c r="AF82" s="28" t="str">
        <f aca="false">IFERROR(INDEX(Assumptions!$B$30:$B$61,MATCH(C82,Assumptions!$A$30:$A$61,0)),"--")</f>
        <v>Argentina, Portugal</v>
      </c>
      <c r="AG82" s="30" t="str">
        <f aca="false">IF(R82&gt;=0.7,"Step-Up Candidate",IF(R82&gt;=0.4,"Lateral Move","Stay &amp; Develop"))</f>
        <v>Lateral Move</v>
      </c>
    </row>
    <row r="83" customFormat="false" ht="23.85" hidden="false" customHeight="false" outlineLevel="0" collapsed="false">
      <c r="A83" s="21" t="str">
        <f aca="false">'Player Data'!A83</f>
        <v>Miguel Solano</v>
      </c>
      <c r="B83" s="21" t="str">
        <f aca="false">'Player Data'!F83</f>
        <v>DF</v>
      </c>
      <c r="C83" s="21" t="str">
        <f aca="false">'Player Data'!B83</f>
        <v>Costa Rica</v>
      </c>
      <c r="D83" s="21" t="str">
        <f aca="false">'Player Data'!C83</f>
        <v>Costa Rica Third Tier - South</v>
      </c>
      <c r="E83" s="21" t="n">
        <f aca="false">'Player Data'!D83</f>
        <v>3</v>
      </c>
      <c r="F83" s="21" t="n">
        <f aca="false">'Player Data'!G83</f>
        <v>17</v>
      </c>
      <c r="G83" s="21" t="n">
        <f aca="false">'Player Data'!H83</f>
        <v>2510</v>
      </c>
      <c r="H83" s="22" t="n">
        <f aca="false">IF(B83="GK",IFERROR(('Player Data'!N83-1.5*'Player Data'!O83)/'Player Data'!H83*90,0),IFERROR(('Player Data'!I83+'Player Data'!J83)/'Player Data'!H83*90,0))</f>
        <v>0.250996015936255</v>
      </c>
      <c r="I83" s="22" t="n">
        <f aca="false">IF(B83="GK",'Player Data'!P83,IFERROR(('Player Data'!K83+'Player Data'!L83)/'Player Data'!H83*90,0))</f>
        <v>2.90438247011952</v>
      </c>
      <c r="J83" s="22" t="n">
        <f aca="false">IF(B83="GK",IFERROR('Player Data'!Q83/'Player Data'!H83*90,0),IFERROR('Player Data'!M83/'Player Data'!H83*90,0))</f>
        <v>4.26693227091634</v>
      </c>
      <c r="K83" s="23" t="n">
        <f aca="false">'Player Data'!S83</f>
        <v>123191</v>
      </c>
      <c r="L83" s="22" t="n">
        <f aca="false">INDEX(Assumptions!$B$13:$B$15,MATCH(E83,Assumptions!$A$13:$A$15,0))</f>
        <v>0.85</v>
      </c>
      <c r="M83" s="24" t="n">
        <f aca="false">IFERROR(SUMPRODUCT(($B$2:$B$1001=B83)*($H$2:$H$1001&lt;=H83))/SUMPRODUCT(($B$2:$B$1001=B83)*1),0)</f>
        <v>0.656462585034014</v>
      </c>
      <c r="N83" s="24" t="n">
        <f aca="false">IFERROR(SUMPRODUCT(($B$2:$B$1001=B83)*($I$2:$I$1001&lt;=I83))/SUMPRODUCT(($B$2:$B$1001=B83)*1),0)</f>
        <v>0.0578231292517007</v>
      </c>
      <c r="O83" s="24" t="n">
        <f aca="false">IFERROR(SUMPRODUCT(($B$2:$B$1001=B83)*($J$2:$J$1001&lt;=J83))/SUMPRODUCT(($B$2:$B$1001=B83)*1),0)</f>
        <v>0.316326530612245</v>
      </c>
      <c r="P83" s="24" t="n">
        <f aca="false">IFERROR(SUMPRODUCT(($B$2:$B$1001=B83)*((0-$F$2:$F$1001)&lt;=(0-F83)))/SUMPRODUCT(($B$2:$B$1001=B83)*1),0)</f>
        <v>1</v>
      </c>
      <c r="Q83" s="25" t="n">
        <f aca="false">(M83*Assumptions!$B$5+N83*Assumptions!$B$6+O83*Assumptions!$B$7+P83*Assumptions!$B$8)*L83</f>
        <v>0.38047619047619</v>
      </c>
      <c r="R83" s="24" t="n">
        <f aca="false">IFERROR(SUMPRODUCT(($B$2:$B$1001=B83)*($Q$2:$Q$1001&lt;=Q83))/SUMPRODUCT(($B$2:$B$1001=B83)*1),0)</f>
        <v>0.397959183673469</v>
      </c>
      <c r="S83" s="24" t="n">
        <f aca="false">IFERROR(SUMPRODUCT(($B$2:$B$1001=B83)*($K$2:$K$1001&lt;=K83))/SUMPRODUCT(($B$2:$B$1001=B83)*1),0)</f>
        <v>0.874149659863946</v>
      </c>
      <c r="T83" s="26" t="n">
        <f aca="false">(R83-S83)*100</f>
        <v>-47.6190476190476</v>
      </c>
      <c r="U83" s="21" t="str">
        <f aca="false">'Player Data'!T83</f>
        <v>Yes</v>
      </c>
      <c r="V83" s="27" t="n">
        <f aca="false">'Player Data'!U83</f>
        <v>2027</v>
      </c>
      <c r="W83" s="21" t="str">
        <f aca="false">IF(AND(T83&gt;=Assumptions!$B$19,U83="No"),"High Priority - Unrepresented",IF(T83&gt;=Assumptions!$B$19,"High Priority",IF(AND(T83&gt;=Assumptions!$B$20,U83="No"),"Watchlist - Unrepresented",IF(T83&gt;=Assumptions!$B$20,"Watchlist",""))))</f>
        <v/>
      </c>
      <c r="X83" s="21" t="str">
        <f aca="false">'Player Data'!V83</f>
        <v>info@alajuelafc.cr</v>
      </c>
      <c r="Y83" s="28" t="str">
        <f aca="false">'Player Data'!W83</f>
        <v>Club youth/academy office ONLY - player is a minor, do not contact directly</v>
      </c>
      <c r="Z83" s="28" t="str">
        <f aca="false">'Player Data'!X83</f>
        <v>FEDEFUTBOL (Costa Rican Football Federation) player registry</v>
      </c>
      <c r="AA83" s="19" t="str">
        <f aca="false">HYPERLINK("https://www.transfermarkt.com/schnellsuche/ergebnis/schnellsuche?query="&amp;SUBSTITUTE(A83," ","+"),"Search Transfermarkt")</f>
        <v>Search Transfermarkt</v>
      </c>
      <c r="AB83" s="29" t="n">
        <f aca="false">IFERROR('Player Data'!K83/('Player Data'!K83+'Player Data'!L83),0)</f>
        <v>0.54320987654321</v>
      </c>
      <c r="AC83" s="21" t="str">
        <f aca="false">IF(B83="GK",IF(AND(O83&gt;=Assumptions!$B$23,N83&gt;=Assumptions!$B$23),"Sweeper-Keeper / Build-from-the-Back",IF(O83&gt;=Assumptions!$B$23,"Sweeper-Keeper / High Line",IF(M83&gt;=Assumptions!$B$23,"Shot-Stopper / Traditional","Flexible / Multi-System"))),IF(AND(O83&gt;=Assumptions!$B$23,P83&gt;=Assumptions!$B$24),"High Press / Gegenpressing",IF(AND(N83&gt;=Assumptions!$B$23,AB83&gt;=Assumptions!$B$25),"Possession / Build-from-the-Back",IF(N83&gt;=Assumptions!$B$23,"Counter-Attack / Transition",IF(AND(O83&gt;=Assumptions!$B$23,N83&lt;Assumptions!$B$26),"Low Block / Park the Bus",IF(AND(B83="FW",M83&gt;=Assumptions!$B$23,N83&lt;Assumptions!$B$26),"Direct / Target Approach","Flexible / Multi-System"))))))</f>
        <v>Flexible / Multi-System</v>
      </c>
      <c r="AD83" s="21" t="str">
        <f aca="false">'Player Data'!Y83</f>
        <v>2026-07-14</v>
      </c>
      <c r="AE83" s="21" t="str">
        <f aca="false">'Player Data'!Z83</f>
        <v>2026-07-15</v>
      </c>
      <c r="AF83" s="28" t="str">
        <f aca="false">IFERROR(INDEX(Assumptions!$B$30:$B$61,MATCH(C83,Assumptions!$A$30:$A$61,0)),"--")</f>
        <v>Mexico, United States</v>
      </c>
      <c r="AG83" s="30" t="str">
        <f aca="false">IF(R83&gt;=0.7,"Step-Up Candidate",IF(R83&gt;=0.4,"Lateral Move","Stay &amp; Develop"))</f>
        <v>Stay &amp; Develop</v>
      </c>
    </row>
    <row r="84" customFormat="false" ht="23.85" hidden="false" customHeight="false" outlineLevel="0" collapsed="false">
      <c r="A84" s="21" t="str">
        <f aca="false">'Player Data'!A84</f>
        <v>Jose Solano</v>
      </c>
      <c r="B84" s="21" t="str">
        <f aca="false">'Player Data'!F84</f>
        <v>GK</v>
      </c>
      <c r="C84" s="21" t="str">
        <f aca="false">'Player Data'!B84</f>
        <v>Costa Rica</v>
      </c>
      <c r="D84" s="21" t="str">
        <f aca="false">'Player Data'!C84</f>
        <v>Costa Rica Second Division - West</v>
      </c>
      <c r="E84" s="21" t="n">
        <f aca="false">'Player Data'!D84</f>
        <v>3</v>
      </c>
      <c r="F84" s="21" t="n">
        <f aca="false">'Player Data'!G84</f>
        <v>24</v>
      </c>
      <c r="G84" s="21" t="n">
        <f aca="false">'Player Data'!H84</f>
        <v>1001</v>
      </c>
      <c r="H84" s="22" t="n">
        <f aca="false">IF(B84="GK",IFERROR(('Player Data'!N84-1.5*'Player Data'!O84)/'Player Data'!H84*90,0),IFERROR(('Player Data'!I84+'Player Data'!J84)/'Player Data'!H84*90,0))</f>
        <v>0.17982017982018</v>
      </c>
      <c r="I84" s="22" t="n">
        <f aca="false">IF(B84="GK",'Player Data'!P84,IFERROR(('Player Data'!K84+'Player Data'!L84)/'Player Data'!H84*90,0))</f>
        <v>68.1</v>
      </c>
      <c r="J84" s="22" t="n">
        <f aca="false">IF(B84="GK",IFERROR('Player Data'!Q84/'Player Data'!H84*90,0),IFERROR('Player Data'!M84/'Player Data'!H84*90,0))</f>
        <v>0.683316683316683</v>
      </c>
      <c r="K84" s="23" t="n">
        <f aca="false">'Player Data'!S84</f>
        <v>18753</v>
      </c>
      <c r="L84" s="22" t="n">
        <f aca="false">INDEX(Assumptions!$B$13:$B$15,MATCH(E84,Assumptions!$A$13:$A$15,0))</f>
        <v>0.85</v>
      </c>
      <c r="M84" s="24" t="n">
        <f aca="false">IFERROR(SUMPRODUCT(($B$2:$B$1001=B84)*($H$2:$H$1001&lt;=H84))/SUMPRODUCT(($B$2:$B$1001=B84)*1),0)</f>
        <v>0.229508196721311</v>
      </c>
      <c r="N84" s="24" t="n">
        <f aca="false">IFERROR(SUMPRODUCT(($B$2:$B$1001=B84)*($I$2:$I$1001&lt;=I84))/SUMPRODUCT(($B$2:$B$1001=B84)*1),0)</f>
        <v>0.371584699453552</v>
      </c>
      <c r="O84" s="24" t="n">
        <f aca="false">IFERROR(SUMPRODUCT(($B$2:$B$1001=B84)*($J$2:$J$1001&lt;=J84))/SUMPRODUCT(($B$2:$B$1001=B84)*1),0)</f>
        <v>0.360655737704918</v>
      </c>
      <c r="P84" s="24" t="n">
        <f aca="false">IFERROR(SUMPRODUCT(($B$2:$B$1001=B84)*((0-$F$2:$F$1001)&lt;=(0-F84)))/SUMPRODUCT(($B$2:$B$1001=B84)*1),0)</f>
        <v>0.300546448087432</v>
      </c>
      <c r="Q84" s="25" t="n">
        <f aca="false">(M84*Assumptions!$B$5+N84*Assumptions!$B$6+O84*Assumptions!$B$7+P84*Assumptions!$B$8)*L84</f>
        <v>0.27172131147541</v>
      </c>
      <c r="R84" s="24" t="n">
        <f aca="false">IFERROR(SUMPRODUCT(($B$2:$B$1001=B84)*($Q$2:$Q$1001&lt;=Q84))/SUMPRODUCT(($B$2:$B$1001=B84)*1),0)</f>
        <v>0.087431693989071</v>
      </c>
      <c r="S84" s="24" t="n">
        <f aca="false">IFERROR(SUMPRODUCT(($B$2:$B$1001=B84)*($K$2:$K$1001&lt;=K84))/SUMPRODUCT(($B$2:$B$1001=B84)*1),0)</f>
        <v>0.273224043715847</v>
      </c>
      <c r="T84" s="26" t="n">
        <f aca="false">(R84-S84)*100</f>
        <v>-18.5792349726776</v>
      </c>
      <c r="U84" s="21" t="str">
        <f aca="false">'Player Data'!T84</f>
        <v>No</v>
      </c>
      <c r="V84" s="27" t="n">
        <f aca="false">'Player Data'!U84</f>
        <v>2027</v>
      </c>
      <c r="W84" s="21" t="str">
        <f aca="false">IF(AND(T84&gt;=Assumptions!$B$19,U84="No"),"High Priority - Unrepresented",IF(T84&gt;=Assumptions!$B$19,"High Priority",IF(AND(T84&gt;=Assumptions!$B$20,U84="No"),"Watchlist - Unrepresented",IF(T84&gt;=Assumptions!$B$20,"Watchlist",""))))</f>
        <v/>
      </c>
      <c r="X84" s="21" t="str">
        <f aca="false">'Player Data'!V84</f>
        <v>info@sanjoseunited.cr</v>
      </c>
      <c r="Y84" s="28" t="str">
        <f aca="false">'Player Data'!W84</f>
        <v>Club sporting director / first-team office</v>
      </c>
      <c r="Z84" s="28" t="str">
        <f aca="false">'Player Data'!X84</f>
        <v>FEDEFUTBOL (Costa Rican Football Federation) player registry</v>
      </c>
      <c r="AA84" s="19" t="str">
        <f aca="false">HYPERLINK("https://www.transfermarkt.com/schnellsuche/ergebnis/schnellsuche?query="&amp;SUBSTITUTE(A84," ","+"),"Search Transfermarkt")</f>
        <v>Search Transfermarkt</v>
      </c>
      <c r="AB84" s="29" t="n">
        <f aca="false">IFERROR('Player Data'!K84/('Player Data'!K84+'Player Data'!L84),0)</f>
        <v>0.666666666666667</v>
      </c>
      <c r="AC84" s="21" t="str">
        <f aca="false">IF(B84="GK",IF(AND(O84&gt;=Assumptions!$B$23,N84&gt;=Assumptions!$B$23),"Sweeper-Keeper / Build-from-the-Back",IF(O84&gt;=Assumptions!$B$23,"Sweeper-Keeper / High Line",IF(M84&gt;=Assumptions!$B$23,"Shot-Stopper / Traditional","Flexible / Multi-System"))),IF(AND(O84&gt;=Assumptions!$B$23,P84&gt;=Assumptions!$B$24),"High Press / Gegenpressing",IF(AND(N84&gt;=Assumptions!$B$23,AB84&gt;=Assumptions!$B$25),"Possession / Build-from-the-Back",IF(N84&gt;=Assumptions!$B$23,"Counter-Attack / Transition",IF(AND(O84&gt;=Assumptions!$B$23,N84&lt;Assumptions!$B$26),"Low Block / Park the Bus",IF(AND(B84="FW",M84&gt;=Assumptions!$B$23,N84&lt;Assumptions!$B$26),"Direct / Target Approach","Flexible / Multi-System"))))))</f>
        <v>Flexible / Multi-System</v>
      </c>
      <c r="AD84" s="21" t="str">
        <f aca="false">'Player Data'!Y84</f>
        <v>2026-07-14</v>
      </c>
      <c r="AE84" s="21" t="str">
        <f aca="false">'Player Data'!Z84</f>
        <v>2026-07-15</v>
      </c>
      <c r="AF84" s="28" t="str">
        <f aca="false">IFERROR(INDEX(Assumptions!$B$30:$B$61,MATCH(C84,Assumptions!$A$30:$A$61,0)),"--")</f>
        <v>Mexico, United States</v>
      </c>
      <c r="AG84" s="30" t="str">
        <f aca="false">IF(R84&gt;=0.7,"Step-Up Candidate",IF(R84&gt;=0.4,"Lateral Move","Stay &amp; Develop"))</f>
        <v>Stay &amp; Develop</v>
      </c>
    </row>
    <row r="85" customFormat="false" ht="23.85" hidden="false" customHeight="false" outlineLevel="0" collapsed="false">
      <c r="A85" s="21" t="str">
        <f aca="false">'Player Data'!A85</f>
        <v>Jose Murillo</v>
      </c>
      <c r="B85" s="21" t="str">
        <f aca="false">'Player Data'!F85</f>
        <v>DF</v>
      </c>
      <c r="C85" s="21" t="str">
        <f aca="false">'Player Data'!B85</f>
        <v>Panama</v>
      </c>
      <c r="D85" s="21" t="str">
        <f aca="false">'Player Data'!C85</f>
        <v>Panama Provincial League</v>
      </c>
      <c r="E85" s="21" t="n">
        <f aca="false">'Player Data'!D85</f>
        <v>2</v>
      </c>
      <c r="F85" s="21" t="n">
        <f aca="false">'Player Data'!G85</f>
        <v>24</v>
      </c>
      <c r="G85" s="21" t="n">
        <f aca="false">'Player Data'!H85</f>
        <v>1318</v>
      </c>
      <c r="H85" s="22" t="n">
        <f aca="false">IF(B85="GK",IFERROR(('Player Data'!N85-1.5*'Player Data'!O85)/'Player Data'!H85*90,0),IFERROR(('Player Data'!I85+'Player Data'!J85)/'Player Data'!H85*90,0))</f>
        <v>0.341426403641882</v>
      </c>
      <c r="I85" s="22" t="n">
        <f aca="false">IF(B85="GK",'Player Data'!P85,IFERROR(('Player Data'!K85+'Player Data'!L85)/'Player Data'!H85*90,0))</f>
        <v>5.66767830045524</v>
      </c>
      <c r="J85" s="22" t="n">
        <f aca="false">IF(B85="GK",IFERROR('Player Data'!Q85/'Player Data'!H85*90,0),IFERROR('Player Data'!M85/'Player Data'!H85*90,0))</f>
        <v>8.26251896813354</v>
      </c>
      <c r="K85" s="23" t="n">
        <f aca="false">'Player Data'!S85</f>
        <v>139833</v>
      </c>
      <c r="L85" s="22" t="n">
        <f aca="false">INDEX(Assumptions!$B$13:$B$15,MATCH(E85,Assumptions!$A$13:$A$15,0))</f>
        <v>1</v>
      </c>
      <c r="M85" s="24" t="n">
        <f aca="false">IFERROR(SUMPRODUCT(($B$2:$B$1001=B85)*($H$2:$H$1001&lt;=H85))/SUMPRODUCT(($B$2:$B$1001=B85)*1),0)</f>
        <v>0.846938775510204</v>
      </c>
      <c r="N85" s="24" t="n">
        <f aca="false">IFERROR(SUMPRODUCT(($B$2:$B$1001=B85)*($I$2:$I$1001&lt;=I85))/SUMPRODUCT(($B$2:$B$1001=B85)*1),0)</f>
        <v>0.700680272108844</v>
      </c>
      <c r="O85" s="24" t="n">
        <f aca="false">IFERROR(SUMPRODUCT(($B$2:$B$1001=B85)*($J$2:$J$1001&lt;=J85))/SUMPRODUCT(($B$2:$B$1001=B85)*1),0)</f>
        <v>0.857142857142857</v>
      </c>
      <c r="P85" s="24" t="n">
        <f aca="false">IFERROR(SUMPRODUCT(($B$2:$B$1001=B85)*((0-$F$2:$F$1001)&lt;=(0-F85)))/SUMPRODUCT(($B$2:$B$1001=B85)*1),0)</f>
        <v>0.275510204081633</v>
      </c>
      <c r="Q85" s="25" t="n">
        <f aca="false">(M85*Assumptions!$B$5+N85*Assumptions!$B$6+O85*Assumptions!$B$7+P85*Assumptions!$B$8)*L85</f>
        <v>0.683503401360544</v>
      </c>
      <c r="R85" s="24" t="n">
        <f aca="false">IFERROR(SUMPRODUCT(($B$2:$B$1001=B85)*($Q$2:$Q$1001&lt;=Q85))/SUMPRODUCT(($B$2:$B$1001=B85)*1),0)</f>
        <v>0.86734693877551</v>
      </c>
      <c r="S85" s="24" t="n">
        <f aca="false">IFERROR(SUMPRODUCT(($B$2:$B$1001=B85)*($K$2:$K$1001&lt;=K85))/SUMPRODUCT(($B$2:$B$1001=B85)*1),0)</f>
        <v>0.948979591836735</v>
      </c>
      <c r="T85" s="26" t="n">
        <f aca="false">(R85-S85)*100</f>
        <v>-8.16326530612246</v>
      </c>
      <c r="U85" s="21" t="str">
        <f aca="false">'Player Data'!T85</f>
        <v>Yes</v>
      </c>
      <c r="V85" s="27" t="n">
        <f aca="false">'Player Data'!U85</f>
        <v>2027</v>
      </c>
      <c r="W85" s="21" t="str">
        <f aca="false">IF(AND(T85&gt;=Assumptions!$B$19,U85="No"),"High Priority - Unrepresented",IF(T85&gt;=Assumptions!$B$19,"High Priority",IF(AND(T85&gt;=Assumptions!$B$20,U85="No"),"Watchlist - Unrepresented",IF(T85&gt;=Assumptions!$B$20,"Watchlist",""))))</f>
        <v/>
      </c>
      <c r="X85" s="21" t="str">
        <f aca="false">'Player Data'!V85</f>
        <v>info@santiagosc.pa</v>
      </c>
      <c r="Y85" s="28" t="str">
        <f aca="false">'Player Data'!W85</f>
        <v>Go through the player's agent - ask the club to confirm representation first</v>
      </c>
      <c r="Z85" s="28" t="str">
        <f aca="false">'Player Data'!X85</f>
        <v>FEPAFUT (Panamanian Football Federation) player registry</v>
      </c>
      <c r="AA85" s="19" t="str">
        <f aca="false">HYPERLINK("https://www.transfermarkt.com/schnellsuche/ergebnis/schnellsuche?query="&amp;SUBSTITUTE(A85," ","+"),"Search Transfermarkt")</f>
        <v>Search Transfermarkt</v>
      </c>
      <c r="AB85" s="29" t="n">
        <f aca="false">IFERROR('Player Data'!K85/('Player Data'!K85+'Player Data'!L85),0)</f>
        <v>0.614457831325301</v>
      </c>
      <c r="AC85" s="21" t="str">
        <f aca="false">IF(B85="GK",IF(AND(O85&gt;=Assumptions!$B$23,N85&gt;=Assumptions!$B$23),"Sweeper-Keeper / Build-from-the-Back",IF(O85&gt;=Assumptions!$B$23,"Sweeper-Keeper / High Line",IF(M85&gt;=Assumptions!$B$23,"Shot-Stopper / Traditional","Flexible / Multi-System"))),IF(AND(O85&gt;=Assumptions!$B$23,P85&gt;=Assumptions!$B$24),"High Press / Gegenpressing",IF(AND(N85&gt;=Assumptions!$B$23,AB85&gt;=Assumptions!$B$25),"Possession / Build-from-the-Back",IF(N85&gt;=Assumptions!$B$23,"Counter-Attack / Transition",IF(AND(O85&gt;=Assumptions!$B$23,N85&lt;Assumptions!$B$26),"Low Block / Park the Bus",IF(AND(B85="FW",M85&gt;=Assumptions!$B$23,N85&lt;Assumptions!$B$26),"Direct / Target Approach","Flexible / Multi-System"))))))</f>
        <v>Counter-Attack / Transition</v>
      </c>
      <c r="AD85" s="21" t="str">
        <f aca="false">'Player Data'!Y85</f>
        <v>2026-07-14</v>
      </c>
      <c r="AE85" s="21" t="str">
        <f aca="false">'Player Data'!Z85</f>
        <v>2026-07-15</v>
      </c>
      <c r="AF85" s="28" t="str">
        <f aca="false">IFERROR(INDEX(Assumptions!$B$30:$B$61,MATCH(C85,Assumptions!$A$30:$A$61,0)),"--")</f>
        <v>Mexico, United States</v>
      </c>
      <c r="AG85" s="30" t="str">
        <f aca="false">IF(R85&gt;=0.7,"Step-Up Candidate",IF(R85&gt;=0.4,"Lateral Move","Stay &amp; Develop"))</f>
        <v>Step-Up Candidate</v>
      </c>
    </row>
    <row r="86" customFormat="false" ht="23.85" hidden="false" customHeight="false" outlineLevel="0" collapsed="false">
      <c r="A86" s="21" t="str">
        <f aca="false">'Player Data'!A86</f>
        <v>Milos Stankovic</v>
      </c>
      <c r="B86" s="21" t="str">
        <f aca="false">'Player Data'!F86</f>
        <v>DF</v>
      </c>
      <c r="C86" s="21" t="str">
        <f aca="false">'Player Data'!B86</f>
        <v>Serbia</v>
      </c>
      <c r="D86" s="21" t="str">
        <f aca="false">'Player Data'!C86</f>
        <v>Serbia Regional League</v>
      </c>
      <c r="E86" s="21" t="n">
        <f aca="false">'Player Data'!D86</f>
        <v>2</v>
      </c>
      <c r="F86" s="21" t="n">
        <f aca="false">'Player Data'!G86</f>
        <v>24</v>
      </c>
      <c r="G86" s="21" t="n">
        <f aca="false">'Player Data'!H86</f>
        <v>1214</v>
      </c>
      <c r="H86" s="22" t="n">
        <f aca="false">IF(B86="GK",IFERROR(('Player Data'!N86-1.5*'Player Data'!O86)/'Player Data'!H86*90,0),IFERROR(('Player Data'!I86+'Player Data'!J86)/'Player Data'!H86*90,0))</f>
        <v>0.370675453047776</v>
      </c>
      <c r="I86" s="22" t="n">
        <f aca="false">IF(B86="GK",'Player Data'!P86,IFERROR(('Player Data'!K86+'Player Data'!L86)/'Player Data'!H86*90,0))</f>
        <v>7.63591433278419</v>
      </c>
      <c r="J86" s="22" t="n">
        <f aca="false">IF(B86="GK",IFERROR('Player Data'!Q86/'Player Data'!H86*90,0),IFERROR('Player Data'!M86/'Player Data'!H86*90,0))</f>
        <v>6.07907742998353</v>
      </c>
      <c r="K86" s="23" t="n">
        <f aca="false">'Player Data'!S86</f>
        <v>0</v>
      </c>
      <c r="L86" s="22" t="n">
        <f aca="false">INDEX(Assumptions!$B$13:$B$15,MATCH(E86,Assumptions!$A$13:$A$15,0))</f>
        <v>1</v>
      </c>
      <c r="M86" s="24" t="n">
        <f aca="false">IFERROR(SUMPRODUCT(($B$2:$B$1001=B86)*($H$2:$H$1001&lt;=H86))/SUMPRODUCT(($B$2:$B$1001=B86)*1),0)</f>
        <v>0.874149659863946</v>
      </c>
      <c r="N86" s="24" t="n">
        <f aca="false">IFERROR(SUMPRODUCT(($B$2:$B$1001=B86)*($I$2:$I$1001&lt;=I86))/SUMPRODUCT(($B$2:$B$1001=B86)*1),0)</f>
        <v>0.874149659863946</v>
      </c>
      <c r="O86" s="24" t="n">
        <f aca="false">IFERROR(SUMPRODUCT(($B$2:$B$1001=B86)*($J$2:$J$1001&lt;=J86))/SUMPRODUCT(($B$2:$B$1001=B86)*1),0)</f>
        <v>0.63265306122449</v>
      </c>
      <c r="P86" s="24" t="n">
        <f aca="false">IFERROR(SUMPRODUCT(($B$2:$B$1001=B86)*((0-$F$2:$F$1001)&lt;=(0-F86)))/SUMPRODUCT(($B$2:$B$1001=B86)*1),0)</f>
        <v>0.275510204081633</v>
      </c>
      <c r="Q86" s="25" t="n">
        <f aca="false">(M86*Assumptions!$B$5+N86*Assumptions!$B$6+O86*Assumptions!$B$7+P86*Assumptions!$B$8)*L86</f>
        <v>0.706122448979592</v>
      </c>
      <c r="R86" s="24" t="n">
        <f aca="false">IFERROR(SUMPRODUCT(($B$2:$B$1001=B86)*($Q$2:$Q$1001&lt;=Q86))/SUMPRODUCT(($B$2:$B$1001=B86)*1),0)</f>
        <v>0.880952380952381</v>
      </c>
      <c r="S86" s="24" t="n">
        <f aca="false">IFERROR(SUMPRODUCT(($B$2:$B$1001=B86)*($K$2:$K$1001&lt;=K86))/SUMPRODUCT(($B$2:$B$1001=B86)*1),0)</f>
        <v>0.248299319727891</v>
      </c>
      <c r="T86" s="26" t="n">
        <f aca="false">(R86-S86)*100</f>
        <v>63.265306122449</v>
      </c>
      <c r="U86" s="21" t="str">
        <f aca="false">'Player Data'!T86</f>
        <v>Unknown</v>
      </c>
      <c r="V86" s="27" t="n">
        <f aca="false">'Player Data'!U86</f>
        <v>2026</v>
      </c>
      <c r="W86" s="21" t="str">
        <f aca="false">IF(AND(T86&gt;=Assumptions!$B$19,U86="No"),"High Priority - Unrepresented",IF(T86&gt;=Assumptions!$B$19,"High Priority",IF(AND(T86&gt;=Assumptions!$B$20,U86="No"),"Watchlist - Unrepresented",IF(T86&gt;=Assumptions!$B$20,"Watchlist",""))))</f>
        <v>High Priority</v>
      </c>
      <c r="X86" s="21" t="str">
        <f aca="false">'Player Data'!V86</f>
        <v>info@backatopolatown.rs</v>
      </c>
      <c r="Y86" s="28" t="str">
        <f aca="false">'Player Data'!W86</f>
        <v>Club sporting director / first-team office</v>
      </c>
      <c r="Z86" s="28" t="str">
        <f aca="false">'Player Data'!X86</f>
        <v>FSS (Football Association of Serbia) player registry</v>
      </c>
      <c r="AA86" s="19" t="str">
        <f aca="false">HYPERLINK("https://www.transfermarkt.com/schnellsuche/ergebnis/schnellsuche?query="&amp;SUBSTITUTE(A86," ","+"),"Search Transfermarkt")</f>
        <v>Search Transfermarkt</v>
      </c>
      <c r="AB86" s="29" t="n">
        <f aca="false">IFERROR('Player Data'!K86/('Player Data'!K86+'Player Data'!L86),0)</f>
        <v>0.533980582524272</v>
      </c>
      <c r="AC86" s="21" t="str">
        <f aca="false">IF(B86="GK",IF(AND(O86&gt;=Assumptions!$B$23,N86&gt;=Assumptions!$B$23),"Sweeper-Keeper / Build-from-the-Back",IF(O86&gt;=Assumptions!$B$23,"Sweeper-Keeper / High Line",IF(M86&gt;=Assumptions!$B$23,"Shot-Stopper / Traditional","Flexible / Multi-System"))),IF(AND(O86&gt;=Assumptions!$B$23,P86&gt;=Assumptions!$B$24),"High Press / Gegenpressing",IF(AND(N86&gt;=Assumptions!$B$23,AB86&gt;=Assumptions!$B$25),"Possession / Build-from-the-Back",IF(N86&gt;=Assumptions!$B$23,"Counter-Attack / Transition",IF(AND(O86&gt;=Assumptions!$B$23,N86&lt;Assumptions!$B$26),"Low Block / Park the Bus",IF(AND(B86="FW",M86&gt;=Assumptions!$B$23,N86&lt;Assumptions!$B$26),"Direct / Target Approach","Flexible / Multi-System"))))))</f>
        <v>Counter-Attack / Transition</v>
      </c>
      <c r="AD86" s="21" t="str">
        <f aca="false">'Player Data'!Y86</f>
        <v>2026-07-14</v>
      </c>
      <c r="AE86" s="21" t="str">
        <f aca="false">'Player Data'!Z86</f>
        <v>2026-07-15</v>
      </c>
      <c r="AF86" s="28" t="str">
        <f aca="false">IFERROR(INDEX(Assumptions!$B$30:$B$61,MATCH(C86,Assumptions!$A$30:$A$61,0)),"--")</f>
        <v>Austria, Turkey</v>
      </c>
      <c r="AG86" s="30" t="str">
        <f aca="false">IF(R86&gt;=0.7,"Step-Up Candidate",IF(R86&gt;=0.4,"Lateral Move","Stay &amp; Develop"))</f>
        <v>Step-Up Candidate</v>
      </c>
    </row>
    <row r="87" customFormat="false" ht="23.85" hidden="false" customHeight="false" outlineLevel="0" collapsed="false">
      <c r="A87" s="21" t="str">
        <f aca="false">'Player Data'!A87</f>
        <v>Carlos Suarez</v>
      </c>
      <c r="B87" s="21" t="str">
        <f aca="false">'Player Data'!F87</f>
        <v>DF</v>
      </c>
      <c r="C87" s="21" t="str">
        <f aca="false">'Player Data'!B87</f>
        <v>Ecuador</v>
      </c>
      <c r="D87" s="21" t="str">
        <f aca="false">'Player Data'!C87</f>
        <v>Ecuador Second Division - East</v>
      </c>
      <c r="E87" s="21" t="n">
        <f aca="false">'Player Data'!D87</f>
        <v>2</v>
      </c>
      <c r="F87" s="21" t="n">
        <f aca="false">'Player Data'!G87</f>
        <v>20</v>
      </c>
      <c r="G87" s="21" t="n">
        <f aca="false">'Player Data'!H87</f>
        <v>2050</v>
      </c>
      <c r="H87" s="22" t="n">
        <f aca="false">IF(B87="GK",IFERROR(('Player Data'!N87-1.5*'Player Data'!O87)/'Player Data'!H87*90,0),IFERROR(('Player Data'!I87+'Player Data'!J87)/'Player Data'!H87*90,0))</f>
        <v>0.219512195121951</v>
      </c>
      <c r="I87" s="22" t="n">
        <f aca="false">IF(B87="GK",'Player Data'!P87,IFERROR(('Player Data'!K87+'Player Data'!L87)/'Player Data'!H87*90,0))</f>
        <v>4.56585365853659</v>
      </c>
      <c r="J87" s="22" t="n">
        <f aca="false">IF(B87="GK",IFERROR('Player Data'!Q87/'Player Data'!H87*90,0),IFERROR('Player Data'!M87/'Player Data'!H87*90,0))</f>
        <v>4.65365853658537</v>
      </c>
      <c r="K87" s="23" t="n">
        <f aca="false">'Player Data'!S87</f>
        <v>73903</v>
      </c>
      <c r="L87" s="22" t="n">
        <f aca="false">INDEX(Assumptions!$B$13:$B$15,MATCH(E87,Assumptions!$A$13:$A$15,0))</f>
        <v>1</v>
      </c>
      <c r="M87" s="24" t="n">
        <f aca="false">IFERROR(SUMPRODUCT(($B$2:$B$1001=B87)*($H$2:$H$1001&lt;=H87))/SUMPRODUCT(($B$2:$B$1001=B87)*1),0)</f>
        <v>0.574829931972789</v>
      </c>
      <c r="N87" s="24" t="n">
        <f aca="false">IFERROR(SUMPRODUCT(($B$2:$B$1001=B87)*($I$2:$I$1001&lt;=I87))/SUMPRODUCT(($B$2:$B$1001=B87)*1),0)</f>
        <v>0.513605442176871</v>
      </c>
      <c r="O87" s="24" t="n">
        <f aca="false">IFERROR(SUMPRODUCT(($B$2:$B$1001=B87)*($J$2:$J$1001&lt;=J87))/SUMPRODUCT(($B$2:$B$1001=B87)*1),0)</f>
        <v>0.384353741496599</v>
      </c>
      <c r="P87" s="24" t="n">
        <f aca="false">IFERROR(SUMPRODUCT(($B$2:$B$1001=B87)*((0-$F$2:$F$1001)&lt;=(0-F87)))/SUMPRODUCT(($B$2:$B$1001=B87)*1),0)</f>
        <v>0.656462585034014</v>
      </c>
      <c r="Q87" s="25" t="n">
        <f aca="false">(M87*Assumptions!$B$5+N87*Assumptions!$B$6+O87*Assumptions!$B$7+P87*Assumptions!$B$8)*L87</f>
        <v>0.531632653061225</v>
      </c>
      <c r="R87" s="24" t="n">
        <f aca="false">IFERROR(SUMPRODUCT(($B$2:$B$1001=B87)*($Q$2:$Q$1001&lt;=Q87))/SUMPRODUCT(($B$2:$B$1001=B87)*1),0)</f>
        <v>0.663265306122449</v>
      </c>
      <c r="S87" s="24" t="n">
        <f aca="false">IFERROR(SUMPRODUCT(($B$2:$B$1001=B87)*($K$2:$K$1001&lt;=K87))/SUMPRODUCT(($B$2:$B$1001=B87)*1),0)</f>
        <v>0.578231292517007</v>
      </c>
      <c r="T87" s="26" t="n">
        <f aca="false">(R87-S87)*100</f>
        <v>8.50340136054422</v>
      </c>
      <c r="U87" s="21" t="str">
        <f aca="false">'Player Data'!T87</f>
        <v>No</v>
      </c>
      <c r="V87" s="27" t="n">
        <f aca="false">'Player Data'!U87</f>
        <v>2027</v>
      </c>
      <c r="W87" s="21" t="str">
        <f aca="false">IF(AND(T87&gt;=Assumptions!$B$19,U87="No"),"High Priority - Unrepresented",IF(T87&gt;=Assumptions!$B$19,"High Priority",IF(AND(T87&gt;=Assumptions!$B$20,U87="No"),"Watchlist - Unrepresented",IF(T87&gt;=Assumptions!$B$20,"Watchlist",""))))</f>
        <v/>
      </c>
      <c r="X87" s="21" t="str">
        <f aca="false">'Player Data'!V87</f>
        <v>info@cuencarovers.ec</v>
      </c>
      <c r="Y87" s="28" t="str">
        <f aca="false">'Player Data'!W87</f>
        <v>Club sporting director / first-team office</v>
      </c>
      <c r="Z87" s="28" t="str">
        <f aca="false">'Player Data'!X87</f>
        <v>FEF (Ecuadorian Football Federation) player registry</v>
      </c>
      <c r="AA87" s="19" t="str">
        <f aca="false">HYPERLINK("https://www.transfermarkt.com/schnellsuche/ergebnis/schnellsuche?query="&amp;SUBSTITUTE(A87," ","+"),"Search Transfermarkt")</f>
        <v>Search Transfermarkt</v>
      </c>
      <c r="AB87" s="29" t="n">
        <f aca="false">IFERROR('Player Data'!K87/('Player Data'!K87+'Player Data'!L87),0)</f>
        <v>0.692307692307692</v>
      </c>
      <c r="AC87" s="21" t="str">
        <f aca="false">IF(B87="GK",IF(AND(O87&gt;=Assumptions!$B$23,N87&gt;=Assumptions!$B$23),"Sweeper-Keeper / Build-from-the-Back",IF(O87&gt;=Assumptions!$B$23,"Sweeper-Keeper / High Line",IF(M87&gt;=Assumptions!$B$23,"Shot-Stopper / Traditional","Flexible / Multi-System"))),IF(AND(O87&gt;=Assumptions!$B$23,P87&gt;=Assumptions!$B$24),"High Press / Gegenpressing",IF(AND(N87&gt;=Assumptions!$B$23,AB87&gt;=Assumptions!$B$25),"Possession / Build-from-the-Back",IF(N87&gt;=Assumptions!$B$23,"Counter-Attack / Transition",IF(AND(O87&gt;=Assumptions!$B$23,N87&lt;Assumptions!$B$26),"Low Block / Park the Bus",IF(AND(B87="FW",M87&gt;=Assumptions!$B$23,N87&lt;Assumptions!$B$26),"Direct / Target Approach","Flexible / Multi-System"))))))</f>
        <v>Flexible / Multi-System</v>
      </c>
      <c r="AD87" s="21" t="str">
        <f aca="false">'Player Data'!Y87</f>
        <v>2026-07-14</v>
      </c>
      <c r="AE87" s="21" t="str">
        <f aca="false">'Player Data'!Z87</f>
        <v>2026-07-15</v>
      </c>
      <c r="AF87" s="28" t="str">
        <f aca="false">IFERROR(INDEX(Assumptions!$B$30:$B$61,MATCH(C87,Assumptions!$A$30:$A$61,0)),"--")</f>
        <v>Argentina, Portugal</v>
      </c>
      <c r="AG87" s="30" t="str">
        <f aca="false">IF(R87&gt;=0.7,"Step-Up Candidate",IF(R87&gt;=0.4,"Lateral Move","Stay &amp; Develop"))</f>
        <v>Lateral Move</v>
      </c>
    </row>
    <row r="88" customFormat="false" ht="23.85" hidden="false" customHeight="false" outlineLevel="0" collapsed="false">
      <c r="A88" s="21" t="str">
        <f aca="false">'Player Data'!A88</f>
        <v>Rodrigo Ramirez</v>
      </c>
      <c r="B88" s="21" t="str">
        <f aca="false">'Player Data'!F88</f>
        <v>MF</v>
      </c>
      <c r="C88" s="21" t="str">
        <f aca="false">'Player Data'!B88</f>
        <v>Paraguay</v>
      </c>
      <c r="D88" s="21" t="str">
        <f aca="false">'Player Data'!C88</f>
        <v>Paraguay Second Division - West</v>
      </c>
      <c r="E88" s="21" t="n">
        <f aca="false">'Player Data'!D88</f>
        <v>2</v>
      </c>
      <c r="F88" s="21" t="n">
        <f aca="false">'Player Data'!G88</f>
        <v>20</v>
      </c>
      <c r="G88" s="21" t="n">
        <f aca="false">'Player Data'!H88</f>
        <v>2423</v>
      </c>
      <c r="H88" s="22" t="n">
        <f aca="false">IF(B88="GK",IFERROR(('Player Data'!N88-1.5*'Player Data'!O88)/'Player Data'!H88*90,0),IFERROR(('Player Data'!I88+'Player Data'!J88)/'Player Data'!H88*90,0))</f>
        <v>0.705736690053653</v>
      </c>
      <c r="I88" s="22" t="n">
        <f aca="false">IF(B88="GK",'Player Data'!P88,IFERROR(('Player Data'!K88+'Player Data'!L88)/'Player Data'!H88*90,0))</f>
        <v>7.83739166322741</v>
      </c>
      <c r="J88" s="22" t="n">
        <f aca="false">IF(B88="GK",IFERROR('Player Data'!Q88/'Player Data'!H88*90,0),IFERROR('Player Data'!M88/'Player Data'!H88*90,0))</f>
        <v>2.00577796120512</v>
      </c>
      <c r="K88" s="23" t="n">
        <f aca="false">'Player Data'!S88</f>
        <v>105142</v>
      </c>
      <c r="L88" s="22" t="n">
        <f aca="false">INDEX(Assumptions!$B$13:$B$15,MATCH(E88,Assumptions!$A$13:$A$15,0))</f>
        <v>1</v>
      </c>
      <c r="M88" s="24" t="n">
        <f aca="false">IFERROR(SUMPRODUCT(($B$2:$B$1001=B88)*($H$2:$H$1001&lt;=H88))/SUMPRODUCT(($B$2:$B$1001=B88)*1),0)</f>
        <v>0.468013468013468</v>
      </c>
      <c r="N88" s="24" t="n">
        <f aca="false">IFERROR(SUMPRODUCT(($B$2:$B$1001=B88)*($I$2:$I$1001&lt;=I88))/SUMPRODUCT(($B$2:$B$1001=B88)*1),0)</f>
        <v>0.141414141414141</v>
      </c>
      <c r="O88" s="24" t="n">
        <f aca="false">IFERROR(SUMPRODUCT(($B$2:$B$1001=B88)*($J$2:$J$1001&lt;=J88))/SUMPRODUCT(($B$2:$B$1001=B88)*1),0)</f>
        <v>0.427609427609428</v>
      </c>
      <c r="P88" s="24" t="n">
        <f aca="false">IFERROR(SUMPRODUCT(($B$2:$B$1001=B88)*((0-$F$2:$F$1001)&lt;=(0-F88)))/SUMPRODUCT(($B$2:$B$1001=B88)*1),0)</f>
        <v>0.734006734006734</v>
      </c>
      <c r="Q88" s="25" t="n">
        <f aca="false">(M88*Assumptions!$B$5+N88*Assumptions!$B$6+O88*Assumptions!$B$7+P88*Assumptions!$B$8)*L88</f>
        <v>0.398821548821549</v>
      </c>
      <c r="R88" s="24" t="n">
        <f aca="false">IFERROR(SUMPRODUCT(($B$2:$B$1001=B88)*($Q$2:$Q$1001&lt;=Q88))/SUMPRODUCT(($B$2:$B$1001=B88)*1),0)</f>
        <v>0.417508417508418</v>
      </c>
      <c r="S88" s="24" t="n">
        <f aca="false">IFERROR(SUMPRODUCT(($B$2:$B$1001=B88)*($K$2:$K$1001&lt;=K88))/SUMPRODUCT(($B$2:$B$1001=B88)*1),0)</f>
        <v>0.750841750841751</v>
      </c>
      <c r="T88" s="26" t="n">
        <f aca="false">(R88-S88)*100</f>
        <v>-33.3333333333333</v>
      </c>
      <c r="U88" s="21" t="str">
        <f aca="false">'Player Data'!T88</f>
        <v>No</v>
      </c>
      <c r="V88" s="27" t="n">
        <f aca="false">'Player Data'!U88</f>
        <v>2028</v>
      </c>
      <c r="W88" s="21" t="str">
        <f aca="false">IF(AND(T88&gt;=Assumptions!$B$19,U88="No"),"High Priority - Unrepresented",IF(T88&gt;=Assumptions!$B$19,"High Priority",IF(AND(T88&gt;=Assumptions!$B$20,U88="No"),"Watchlist - Unrepresented",IF(T88&gt;=Assumptions!$B$20,"Watchlist",""))))</f>
        <v/>
      </c>
      <c r="X88" s="21" t="str">
        <f aca="false">'Player Data'!V88</f>
        <v>info@asuncionrovers.py</v>
      </c>
      <c r="Y88" s="28" t="str">
        <f aca="false">'Player Data'!W88</f>
        <v>Club sporting director / first-team office</v>
      </c>
      <c r="Z88" s="28" t="str">
        <f aca="false">'Player Data'!X88</f>
        <v>APF (Paraguayan Football Association) player registry</v>
      </c>
      <c r="AA88" s="19" t="str">
        <f aca="false">HYPERLINK("https://www.transfermarkt.com/schnellsuche/ergebnis/schnellsuche?query="&amp;SUBSTITUTE(A88," ","+"),"Search Transfermarkt")</f>
        <v>Search Transfermarkt</v>
      </c>
      <c r="AB88" s="29" t="n">
        <f aca="false">IFERROR('Player Data'!K88/('Player Data'!K88+'Player Data'!L88),0)</f>
        <v>0.578199052132701</v>
      </c>
      <c r="AC88" s="21" t="str">
        <f aca="false">IF(B88="GK",IF(AND(O88&gt;=Assumptions!$B$23,N88&gt;=Assumptions!$B$23),"Sweeper-Keeper / Build-from-the-Back",IF(O88&gt;=Assumptions!$B$23,"Sweeper-Keeper / High Line",IF(M88&gt;=Assumptions!$B$23,"Shot-Stopper / Traditional","Flexible / Multi-System"))),IF(AND(O88&gt;=Assumptions!$B$23,P88&gt;=Assumptions!$B$24),"High Press / Gegenpressing",IF(AND(N88&gt;=Assumptions!$B$23,AB88&gt;=Assumptions!$B$25),"Possession / Build-from-the-Back",IF(N88&gt;=Assumptions!$B$23,"Counter-Attack / Transition",IF(AND(O88&gt;=Assumptions!$B$23,N88&lt;Assumptions!$B$26),"Low Block / Park the Bus",IF(AND(B88="FW",M88&gt;=Assumptions!$B$23,N88&lt;Assumptions!$B$26),"Direct / Target Approach","Flexible / Multi-System"))))))</f>
        <v>Flexible / Multi-System</v>
      </c>
      <c r="AD88" s="21" t="str">
        <f aca="false">'Player Data'!Y88</f>
        <v>2026-07-14</v>
      </c>
      <c r="AE88" s="21" t="str">
        <f aca="false">'Player Data'!Z88</f>
        <v>2026-07-15</v>
      </c>
      <c r="AF88" s="28" t="str">
        <f aca="false">IFERROR(INDEX(Assumptions!$B$30:$B$61,MATCH(C88,Assumptions!$A$30:$A$61,0)),"--")</f>
        <v>Argentina, Portugal</v>
      </c>
      <c r="AG88" s="30" t="str">
        <f aca="false">IF(R88&gt;=0.7,"Step-Up Candidate",IF(R88&gt;=0.4,"Lateral Move","Stay &amp; Develop"))</f>
        <v>Lateral Move</v>
      </c>
    </row>
    <row r="89" customFormat="false" ht="23.85" hidden="false" customHeight="false" outlineLevel="0" collapsed="false">
      <c r="A89" s="21" t="str">
        <f aca="false">'Player Data'!A89</f>
        <v>Haruto Watanabe</v>
      </c>
      <c r="B89" s="21" t="str">
        <f aca="false">'Player Data'!F89</f>
        <v>DF</v>
      </c>
      <c r="C89" s="21" t="str">
        <f aca="false">'Player Data'!B89</f>
        <v>Japan</v>
      </c>
      <c r="D89" s="21" t="str">
        <f aca="false">'Player Data'!C89</f>
        <v>Japan Second Division - West</v>
      </c>
      <c r="E89" s="21" t="n">
        <f aca="false">'Player Data'!D89</f>
        <v>4</v>
      </c>
      <c r="F89" s="21" t="n">
        <f aca="false">'Player Data'!G89</f>
        <v>20</v>
      </c>
      <c r="G89" s="21" t="n">
        <f aca="false">'Player Data'!H89</f>
        <v>1358</v>
      </c>
      <c r="H89" s="22" t="n">
        <f aca="false">IF(B89="GK",IFERROR(('Player Data'!N89-1.5*'Player Data'!O89)/'Player Data'!H89*90,0),IFERROR(('Player Data'!I89+'Player Data'!J89)/'Player Data'!H89*90,0))</f>
        <v>0.198821796759941</v>
      </c>
      <c r="I89" s="22" t="n">
        <f aca="false">IF(B89="GK",'Player Data'!P89,IFERROR(('Player Data'!K89+'Player Data'!L89)/'Player Data'!H89*90,0))</f>
        <v>4.63917525773196</v>
      </c>
      <c r="J89" s="22" t="n">
        <f aca="false">IF(B89="GK",IFERROR('Player Data'!Q89/'Player Data'!H89*90,0),IFERROR('Player Data'!M89/'Player Data'!H89*90,0))</f>
        <v>9.07952871870398</v>
      </c>
      <c r="K89" s="23" t="n">
        <f aca="false">'Player Data'!S89</f>
        <v>53743</v>
      </c>
      <c r="L89" s="22" t="n">
        <f aca="false">INDEX(Assumptions!$B$13:$B$15,MATCH(E89,Assumptions!$A$13:$A$15,0))</f>
        <v>0.7</v>
      </c>
      <c r="M89" s="24" t="n">
        <f aca="false">IFERROR(SUMPRODUCT(($B$2:$B$1001=B89)*($H$2:$H$1001&lt;=H89))/SUMPRODUCT(($B$2:$B$1001=B89)*1),0)</f>
        <v>0.534013605442177</v>
      </c>
      <c r="N89" s="24" t="n">
        <f aca="false">IFERROR(SUMPRODUCT(($B$2:$B$1001=B89)*($I$2:$I$1001&lt;=I89))/SUMPRODUCT(($B$2:$B$1001=B89)*1),0)</f>
        <v>0.537414965986395</v>
      </c>
      <c r="O89" s="24" t="n">
        <f aca="false">IFERROR(SUMPRODUCT(($B$2:$B$1001=B89)*($J$2:$J$1001&lt;=J89))/SUMPRODUCT(($B$2:$B$1001=B89)*1),0)</f>
        <v>0.901360544217687</v>
      </c>
      <c r="P89" s="24" t="n">
        <f aca="false">IFERROR(SUMPRODUCT(($B$2:$B$1001=B89)*((0-$F$2:$F$1001)&lt;=(0-F89)))/SUMPRODUCT(($B$2:$B$1001=B89)*1),0)</f>
        <v>0.656462585034014</v>
      </c>
      <c r="Q89" s="25" t="n">
        <f aca="false">(M89*Assumptions!$B$5+N89*Assumptions!$B$6+O89*Assumptions!$B$7+P89*Assumptions!$B$8)*L89</f>
        <v>0.443214285714286</v>
      </c>
      <c r="R89" s="24" t="n">
        <f aca="false">IFERROR(SUMPRODUCT(($B$2:$B$1001=B89)*($Q$2:$Q$1001&lt;=Q89))/SUMPRODUCT(($B$2:$B$1001=B89)*1),0)</f>
        <v>0.554421768707483</v>
      </c>
      <c r="S89" s="24" t="n">
        <f aca="false">IFERROR(SUMPRODUCT(($B$2:$B$1001=B89)*($K$2:$K$1001&lt;=K89))/SUMPRODUCT(($B$2:$B$1001=B89)*1),0)</f>
        <v>0.459183673469388</v>
      </c>
      <c r="T89" s="26" t="n">
        <f aca="false">(R89-S89)*100</f>
        <v>9.52380952380952</v>
      </c>
      <c r="U89" s="21" t="str">
        <f aca="false">'Player Data'!T89</f>
        <v>No</v>
      </c>
      <c r="V89" s="27" t="n">
        <f aca="false">'Player Data'!U89</f>
        <v>2026</v>
      </c>
      <c r="W89" s="21" t="str">
        <f aca="false">IF(AND(T89&gt;=Assumptions!$B$19,U89="No"),"High Priority - Unrepresented",IF(T89&gt;=Assumptions!$B$19,"High Priority",IF(AND(T89&gt;=Assumptions!$B$20,U89="No"),"Watchlist - Unrepresented",IF(T89&gt;=Assumptions!$B$20,"Watchlist",""))))</f>
        <v/>
      </c>
      <c r="X89" s="21" t="str">
        <f aca="false">'Player Data'!V89</f>
        <v>info@nagoyacity.jp</v>
      </c>
      <c r="Y89" s="28" t="str">
        <f aca="false">'Player Data'!W89</f>
        <v>Club sporting director / first-team office</v>
      </c>
      <c r="Z89" s="28" t="str">
        <f aca="false">'Player Data'!X89</f>
        <v>JFA (Japan Football Association) player registry</v>
      </c>
      <c r="AA89" s="19" t="str">
        <f aca="false">HYPERLINK("https://www.transfermarkt.com/schnellsuche/ergebnis/schnellsuche?query="&amp;SUBSTITUTE(A89," ","+"),"Search Transfermarkt")</f>
        <v>Search Transfermarkt</v>
      </c>
      <c r="AB89" s="29" t="n">
        <f aca="false">IFERROR('Player Data'!K89/('Player Data'!K89+'Player Data'!L89),0)</f>
        <v>0.571428571428571</v>
      </c>
      <c r="AC89" s="21" t="str">
        <f aca="false">IF(B89="GK",IF(AND(O89&gt;=Assumptions!$B$23,N89&gt;=Assumptions!$B$23),"Sweeper-Keeper / Build-from-the-Back",IF(O89&gt;=Assumptions!$B$23,"Sweeper-Keeper / High Line",IF(M89&gt;=Assumptions!$B$23,"Shot-Stopper / Traditional","Flexible / Multi-System"))),IF(AND(O89&gt;=Assumptions!$B$23,P89&gt;=Assumptions!$B$24),"High Press / Gegenpressing",IF(AND(N89&gt;=Assumptions!$B$23,AB89&gt;=Assumptions!$B$25),"Possession / Build-from-the-Back",IF(N89&gt;=Assumptions!$B$23,"Counter-Attack / Transition",IF(AND(O89&gt;=Assumptions!$B$23,N89&lt;Assumptions!$B$26),"Low Block / Park the Bus",IF(AND(B89="FW",M89&gt;=Assumptions!$B$23,N89&lt;Assumptions!$B$26),"Direct / Target Approach","Flexible / Multi-System"))))))</f>
        <v>High Press / Gegenpressing</v>
      </c>
      <c r="AD89" s="21" t="str">
        <f aca="false">'Player Data'!Y89</f>
        <v>2026-07-14</v>
      </c>
      <c r="AE89" s="21" t="str">
        <f aca="false">'Player Data'!Z89</f>
        <v>2026-07-15</v>
      </c>
      <c r="AF89" s="28" t="str">
        <f aca="false">IFERROR(INDEX(Assumptions!$B$30:$B$61,MATCH(C89,Assumptions!$A$30:$A$61,0)),"--")</f>
        <v>Belgium, Australia</v>
      </c>
      <c r="AG89" s="30" t="str">
        <f aca="false">IF(R89&gt;=0.7,"Step-Up Candidate",IF(R89&gt;=0.4,"Lateral Move","Stay &amp; Develop"))</f>
        <v>Lateral Move</v>
      </c>
    </row>
    <row r="90" customFormat="false" ht="23.85" hidden="false" customHeight="false" outlineLevel="0" collapsed="false">
      <c r="A90" s="21" t="str">
        <f aca="false">'Player Data'!A90</f>
        <v>Bledi Krasniqi</v>
      </c>
      <c r="B90" s="21" t="str">
        <f aca="false">'Player Data'!F90</f>
        <v>DF</v>
      </c>
      <c r="C90" s="21" t="str">
        <f aca="false">'Player Data'!B90</f>
        <v>Albania</v>
      </c>
      <c r="D90" s="21" t="str">
        <f aca="false">'Player Data'!C90</f>
        <v>Albania Provincial League</v>
      </c>
      <c r="E90" s="21" t="n">
        <f aca="false">'Player Data'!D90</f>
        <v>2</v>
      </c>
      <c r="F90" s="21" t="n">
        <f aca="false">'Player Data'!G90</f>
        <v>24</v>
      </c>
      <c r="G90" s="21" t="n">
        <f aca="false">'Player Data'!H90</f>
        <v>2502</v>
      </c>
      <c r="H90" s="22" t="n">
        <f aca="false">IF(B90="GK",IFERROR(('Player Data'!N90-1.5*'Player Data'!O90)/'Player Data'!H90*90,0),IFERROR(('Player Data'!I90+'Player Data'!J90)/'Player Data'!H90*90,0))</f>
        <v>0.0719424460431655</v>
      </c>
      <c r="I90" s="22" t="n">
        <f aca="false">IF(B90="GK",'Player Data'!P90,IFERROR(('Player Data'!K90+'Player Data'!L90)/'Player Data'!H90*90,0))</f>
        <v>2.9136690647482</v>
      </c>
      <c r="J90" s="22" t="n">
        <f aca="false">IF(B90="GK",IFERROR('Player Data'!Q90/'Player Data'!H90*90,0),IFERROR('Player Data'!M90/'Player Data'!H90*90,0))</f>
        <v>3.16546762589928</v>
      </c>
      <c r="K90" s="23" t="n">
        <f aca="false">'Player Data'!S90</f>
        <v>81170</v>
      </c>
      <c r="L90" s="22" t="n">
        <f aca="false">INDEX(Assumptions!$B$13:$B$15,MATCH(E90,Assumptions!$A$13:$A$15,0))</f>
        <v>1</v>
      </c>
      <c r="M90" s="24" t="n">
        <f aca="false">IFERROR(SUMPRODUCT(($B$2:$B$1001=B90)*($H$2:$H$1001&lt;=H90))/SUMPRODUCT(($B$2:$B$1001=B90)*1),0)</f>
        <v>0.108843537414966</v>
      </c>
      <c r="N90" s="24" t="n">
        <f aca="false">IFERROR(SUMPRODUCT(($B$2:$B$1001=B90)*($I$2:$I$1001&lt;=I90))/SUMPRODUCT(($B$2:$B$1001=B90)*1),0)</f>
        <v>0.0612244897959184</v>
      </c>
      <c r="O90" s="24" t="n">
        <f aca="false">IFERROR(SUMPRODUCT(($B$2:$B$1001=B90)*($J$2:$J$1001&lt;=J90))/SUMPRODUCT(($B$2:$B$1001=B90)*1),0)</f>
        <v>0.0374149659863946</v>
      </c>
      <c r="P90" s="24" t="n">
        <f aca="false">IFERROR(SUMPRODUCT(($B$2:$B$1001=B90)*((0-$F$2:$F$1001)&lt;=(0-F90)))/SUMPRODUCT(($B$2:$B$1001=B90)*1),0)</f>
        <v>0.275510204081633</v>
      </c>
      <c r="Q90" s="25" t="n">
        <f aca="false">(M90*Assumptions!$B$5+N90*Assumptions!$B$6+O90*Assumptions!$B$7+P90*Assumptions!$B$8)*L90</f>
        <v>0.111224489795918</v>
      </c>
      <c r="R90" s="24" t="n">
        <f aca="false">IFERROR(SUMPRODUCT(($B$2:$B$1001=B90)*($Q$2:$Q$1001&lt;=Q90))/SUMPRODUCT(($B$2:$B$1001=B90)*1),0)</f>
        <v>0.0204081632653061</v>
      </c>
      <c r="S90" s="24" t="n">
        <f aca="false">IFERROR(SUMPRODUCT(($B$2:$B$1001=B90)*($K$2:$K$1001&lt;=K90))/SUMPRODUCT(($B$2:$B$1001=B90)*1),0)</f>
        <v>0.629251700680272</v>
      </c>
      <c r="T90" s="26" t="n">
        <f aca="false">(R90-S90)*100</f>
        <v>-60.8843537414966</v>
      </c>
      <c r="U90" s="21" t="str">
        <f aca="false">'Player Data'!T90</f>
        <v>No</v>
      </c>
      <c r="V90" s="27" t="n">
        <f aca="false">'Player Data'!U90</f>
        <v>2029</v>
      </c>
      <c r="W90" s="21" t="str">
        <f aca="false">IF(AND(T90&gt;=Assumptions!$B$19,U90="No"),"High Priority - Unrepresented",IF(T90&gt;=Assumptions!$B$19,"High Priority",IF(AND(T90&gt;=Assumptions!$B$20,U90="No"),"Watchlist - Unrepresented",IF(T90&gt;=Assumptions!$B$20,"Watchlist",""))))</f>
        <v/>
      </c>
      <c r="X90" s="21" t="str">
        <f aca="false">'Player Data'!V90</f>
        <v>info@shkoderrovers.al</v>
      </c>
      <c r="Y90" s="28" t="str">
        <f aca="false">'Player Data'!W90</f>
        <v>Club sporting director / first-team office</v>
      </c>
      <c r="Z90" s="28" t="str">
        <f aca="false">'Player Data'!X90</f>
        <v>FSHF (Albanian Football Association) player registry</v>
      </c>
      <c r="AA90" s="19" t="str">
        <f aca="false">HYPERLINK("https://www.transfermarkt.com/schnellsuche/ergebnis/schnellsuche?query="&amp;SUBSTITUTE(A90," ","+"),"Search Transfermarkt")</f>
        <v>Search Transfermarkt</v>
      </c>
      <c r="AB90" s="29" t="n">
        <f aca="false">IFERROR('Player Data'!K90/('Player Data'!K90+'Player Data'!L90),0)</f>
        <v>0.481481481481481</v>
      </c>
      <c r="AC90" s="21" t="str">
        <f aca="false">IF(B90="GK",IF(AND(O90&gt;=Assumptions!$B$23,N90&gt;=Assumptions!$B$23),"Sweeper-Keeper / Build-from-the-Back",IF(O90&gt;=Assumptions!$B$23,"Sweeper-Keeper / High Line",IF(M90&gt;=Assumptions!$B$23,"Shot-Stopper / Traditional","Flexible / Multi-System"))),IF(AND(O90&gt;=Assumptions!$B$23,P90&gt;=Assumptions!$B$24),"High Press / Gegenpressing",IF(AND(N90&gt;=Assumptions!$B$23,AB90&gt;=Assumptions!$B$25),"Possession / Build-from-the-Back",IF(N90&gt;=Assumptions!$B$23,"Counter-Attack / Transition",IF(AND(O90&gt;=Assumptions!$B$23,N90&lt;Assumptions!$B$26),"Low Block / Park the Bus",IF(AND(B90="FW",M90&gt;=Assumptions!$B$23,N90&lt;Assumptions!$B$26),"Direct / Target Approach","Flexible / Multi-System"))))))</f>
        <v>Flexible / Multi-System</v>
      </c>
      <c r="AD90" s="21" t="str">
        <f aca="false">'Player Data'!Y90</f>
        <v>2026-07-14</v>
      </c>
      <c r="AE90" s="21" t="str">
        <f aca="false">'Player Data'!Z90</f>
        <v>2026-07-15</v>
      </c>
      <c r="AF90" s="28" t="str">
        <f aca="false">IFERROR(INDEX(Assumptions!$B$30:$B$61,MATCH(C90,Assumptions!$A$30:$A$61,0)),"--")</f>
        <v>Turkey, Poland</v>
      </c>
      <c r="AG90" s="30" t="str">
        <f aca="false">IF(R90&gt;=0.7,"Step-Up Candidate",IF(R90&gt;=0.4,"Lateral Move","Stay &amp; Develop"))</f>
        <v>Stay &amp; Develop</v>
      </c>
    </row>
    <row r="91" customFormat="false" ht="23.85" hidden="false" customHeight="false" outlineLevel="0" collapsed="false">
      <c r="A91" s="21" t="str">
        <f aca="false">'Player Data'!A91</f>
        <v>Somchai Charoensuk</v>
      </c>
      <c r="B91" s="21" t="str">
        <f aca="false">'Player Data'!F91</f>
        <v>FW</v>
      </c>
      <c r="C91" s="21" t="str">
        <f aca="false">'Player Data'!B91</f>
        <v>Thailand</v>
      </c>
      <c r="D91" s="21" t="str">
        <f aca="false">'Player Data'!C91</f>
        <v>Thailand Second Division - East</v>
      </c>
      <c r="E91" s="21" t="n">
        <f aca="false">'Player Data'!D91</f>
        <v>3</v>
      </c>
      <c r="F91" s="21" t="n">
        <f aca="false">'Player Data'!G91</f>
        <v>26</v>
      </c>
      <c r="G91" s="21" t="n">
        <f aca="false">'Player Data'!H91</f>
        <v>1032</v>
      </c>
      <c r="H91" s="22" t="n">
        <f aca="false">IF(B91="GK",IFERROR(('Player Data'!N91-1.5*'Player Data'!O91)/'Player Data'!H91*90,0),IFERROR(('Player Data'!I91+'Player Data'!J91)/'Player Data'!H91*90,0))</f>
        <v>0.959302325581395</v>
      </c>
      <c r="I91" s="22" t="n">
        <f aca="false">IF(B91="GK",'Player Data'!P91,IFERROR(('Player Data'!K91+'Player Data'!L91)/'Player Data'!H91*90,0))</f>
        <v>12.1220930232558</v>
      </c>
      <c r="J91" s="22" t="n">
        <f aca="false">IF(B91="GK",IFERROR('Player Data'!Q91/'Player Data'!H91*90,0),IFERROR('Player Data'!M91/'Player Data'!H91*90,0))</f>
        <v>0.697674418604651</v>
      </c>
      <c r="K91" s="23" t="n">
        <f aca="false">'Player Data'!S91</f>
        <v>105007</v>
      </c>
      <c r="L91" s="22" t="n">
        <f aca="false">INDEX(Assumptions!$B$13:$B$15,MATCH(E91,Assumptions!$A$13:$A$15,0))</f>
        <v>0.85</v>
      </c>
      <c r="M91" s="24" t="n">
        <f aca="false">IFERROR(SUMPRODUCT(($B$2:$B$1001=B91)*($H$2:$H$1001&lt;=H91))/SUMPRODUCT(($B$2:$B$1001=B91)*1),0)</f>
        <v>0.482300884955752</v>
      </c>
      <c r="N91" s="24" t="n">
        <f aca="false">IFERROR(SUMPRODUCT(($B$2:$B$1001=B91)*($I$2:$I$1001&lt;=I91))/SUMPRODUCT(($B$2:$B$1001=B91)*1),0)</f>
        <v>0.920353982300885</v>
      </c>
      <c r="O91" s="24" t="n">
        <f aca="false">IFERROR(SUMPRODUCT(($B$2:$B$1001=B91)*($J$2:$J$1001&lt;=J91))/SUMPRODUCT(($B$2:$B$1001=B91)*1),0)</f>
        <v>0.730088495575221</v>
      </c>
      <c r="P91" s="24" t="n">
        <f aca="false">IFERROR(SUMPRODUCT(($B$2:$B$1001=B91)*((0-$F$2:$F$1001)&lt;=(0-F91)))/SUMPRODUCT(($B$2:$B$1001=B91)*1),0)</f>
        <v>0.0929203539823009</v>
      </c>
      <c r="Q91" s="25" t="n">
        <f aca="false">(M91*Assumptions!$B$5+N91*Assumptions!$B$6+O91*Assumptions!$B$7+P91*Assumptions!$B$8)*L91</f>
        <v>0.516205752212389</v>
      </c>
      <c r="R91" s="24" t="n">
        <f aca="false">IFERROR(SUMPRODUCT(($B$2:$B$1001=B91)*($Q$2:$Q$1001&lt;=Q91))/SUMPRODUCT(($B$2:$B$1001=B91)*1),0)</f>
        <v>0.641592920353982</v>
      </c>
      <c r="S91" s="24" t="n">
        <f aca="false">IFERROR(SUMPRODUCT(($B$2:$B$1001=B91)*($K$2:$K$1001&lt;=K91))/SUMPRODUCT(($B$2:$B$1001=B91)*1),0)</f>
        <v>0.730088495575221</v>
      </c>
      <c r="T91" s="26" t="n">
        <f aca="false">(R91-S91)*100</f>
        <v>-8.8495575221239</v>
      </c>
      <c r="U91" s="21" t="str">
        <f aca="false">'Player Data'!T91</f>
        <v>No</v>
      </c>
      <c r="V91" s="27" t="n">
        <f aca="false">'Player Data'!U91</f>
        <v>2028</v>
      </c>
      <c r="W91" s="21" t="str">
        <f aca="false">IF(AND(T91&gt;=Assumptions!$B$19,U91="No"),"High Priority - Unrepresented",IF(T91&gt;=Assumptions!$B$19,"High Priority",IF(AND(T91&gt;=Assumptions!$B$20,U91="No"),"Watchlist - Unrepresented",IF(T91&gt;=Assumptions!$B$20,"Watchlist",""))))</f>
        <v/>
      </c>
      <c r="X91" s="21" t="str">
        <f aca="false">'Player Data'!V91</f>
        <v>info@nonthaburiwanderers.th</v>
      </c>
      <c r="Y91" s="28" t="str">
        <f aca="false">'Player Data'!W91</f>
        <v>Club sporting director / first-team office</v>
      </c>
      <c r="Z91" s="28" t="str">
        <f aca="false">'Player Data'!X91</f>
        <v>FAT (Football Association of Thailand) player registry</v>
      </c>
      <c r="AA91" s="19" t="str">
        <f aca="false">HYPERLINK("https://www.transfermarkt.com/schnellsuche/ergebnis/schnellsuche?query="&amp;SUBSTITUTE(A91," ","+"),"Search Transfermarkt")</f>
        <v>Search Transfermarkt</v>
      </c>
      <c r="AB91" s="29" t="n">
        <f aca="false">IFERROR('Player Data'!K91/('Player Data'!K91+'Player Data'!L91),0)</f>
        <v>0.266187050359712</v>
      </c>
      <c r="AC91" s="21" t="str">
        <f aca="false">IF(B91="GK",IF(AND(O91&gt;=Assumptions!$B$23,N91&gt;=Assumptions!$B$23),"Sweeper-Keeper / Build-from-the-Back",IF(O91&gt;=Assumptions!$B$23,"Sweeper-Keeper / High Line",IF(M91&gt;=Assumptions!$B$23,"Shot-Stopper / Traditional","Flexible / Multi-System"))),IF(AND(O91&gt;=Assumptions!$B$23,P91&gt;=Assumptions!$B$24),"High Press / Gegenpressing",IF(AND(N91&gt;=Assumptions!$B$23,AB91&gt;=Assumptions!$B$25),"Possession / Build-from-the-Back",IF(N91&gt;=Assumptions!$B$23,"Counter-Attack / Transition",IF(AND(O91&gt;=Assumptions!$B$23,N91&lt;Assumptions!$B$26),"Low Block / Park the Bus",IF(AND(B91="FW",M91&gt;=Assumptions!$B$23,N91&lt;Assumptions!$B$26),"Direct / Target Approach","Flexible / Multi-System"))))))</f>
        <v>Counter-Attack / Transition</v>
      </c>
      <c r="AD91" s="21" t="str">
        <f aca="false">'Player Data'!Y91</f>
        <v>2026-07-14</v>
      </c>
      <c r="AE91" s="21" t="str">
        <f aca="false">'Player Data'!Z91</f>
        <v>2026-07-15</v>
      </c>
      <c r="AF91" s="28" t="str">
        <f aca="false">IFERROR(INDEX(Assumptions!$B$30:$B$61,MATCH(C91,Assumptions!$A$30:$A$61,0)),"--")</f>
        <v>Australia, Saudi Arabia</v>
      </c>
      <c r="AG91" s="30" t="str">
        <f aca="false">IF(R91&gt;=0.7,"Step-Up Candidate",IF(R91&gt;=0.4,"Lateral Move","Stay &amp; Develop"))</f>
        <v>Lateral Move</v>
      </c>
    </row>
    <row r="92" customFormat="false" ht="23.85" hidden="false" customHeight="false" outlineLevel="0" collapsed="false">
      <c r="A92" s="21" t="str">
        <f aca="false">'Player Data'!A92</f>
        <v>Given Phiri</v>
      </c>
      <c r="B92" s="21" t="str">
        <f aca="false">'Player Data'!F92</f>
        <v>FW</v>
      </c>
      <c r="C92" s="21" t="str">
        <f aca="false">'Player Data'!B92</f>
        <v>Zambia</v>
      </c>
      <c r="D92" s="21" t="str">
        <f aca="false">'Player Data'!C92</f>
        <v>Zambia Reserve League</v>
      </c>
      <c r="E92" s="21" t="n">
        <f aca="false">'Player Data'!D92</f>
        <v>3</v>
      </c>
      <c r="F92" s="21" t="n">
        <f aca="false">'Player Data'!G92</f>
        <v>20</v>
      </c>
      <c r="G92" s="21" t="n">
        <f aca="false">'Player Data'!H92</f>
        <v>1278</v>
      </c>
      <c r="H92" s="22" t="n">
        <f aca="false">IF(B92="GK",IFERROR(('Player Data'!N92-1.5*'Player Data'!O92)/'Player Data'!H92*90,0),IFERROR(('Player Data'!I92+'Player Data'!J92)/'Player Data'!H92*90,0))</f>
        <v>1.90140845070423</v>
      </c>
      <c r="I92" s="22" t="n">
        <f aca="false">IF(B92="GK",'Player Data'!P92,IFERROR(('Player Data'!K92+'Player Data'!L92)/'Player Data'!H92*90,0))</f>
        <v>7.6056338028169</v>
      </c>
      <c r="J92" s="22" t="n">
        <f aca="false">IF(B92="GK",IFERROR('Player Data'!Q92/'Player Data'!H92*90,0),IFERROR('Player Data'!M92/'Player Data'!H92*90,0))</f>
        <v>1.05633802816901</v>
      </c>
      <c r="K92" s="23" t="n">
        <f aca="false">'Player Data'!S92</f>
        <v>47873</v>
      </c>
      <c r="L92" s="22" t="n">
        <f aca="false">INDEX(Assumptions!$B$13:$B$15,MATCH(E92,Assumptions!$A$13:$A$15,0))</f>
        <v>0.85</v>
      </c>
      <c r="M92" s="24" t="n">
        <f aca="false">IFERROR(SUMPRODUCT(($B$2:$B$1001=B92)*($H$2:$H$1001&lt;=H92))/SUMPRODUCT(($B$2:$B$1001=B92)*1),0)</f>
        <v>0.938053097345133</v>
      </c>
      <c r="N92" s="24" t="n">
        <f aca="false">IFERROR(SUMPRODUCT(($B$2:$B$1001=B92)*($I$2:$I$1001&lt;=I92))/SUMPRODUCT(($B$2:$B$1001=B92)*1),0)</f>
        <v>0.641592920353982</v>
      </c>
      <c r="O92" s="24" t="n">
        <f aca="false">IFERROR(SUMPRODUCT(($B$2:$B$1001=B92)*($J$2:$J$1001&lt;=J92))/SUMPRODUCT(($B$2:$B$1001=B92)*1),0)</f>
        <v>0.915929203539823</v>
      </c>
      <c r="P92" s="24" t="n">
        <f aca="false">IFERROR(SUMPRODUCT(($B$2:$B$1001=B92)*((0-$F$2:$F$1001)&lt;=(0-F92)))/SUMPRODUCT(($B$2:$B$1001=B92)*1),0)</f>
        <v>0.712389380530973</v>
      </c>
      <c r="Q92" s="25" t="n">
        <f aca="false">(M92*Assumptions!$B$5+N92*Assumptions!$B$6+O92*Assumptions!$B$7+P92*Assumptions!$B$8)*L92</f>
        <v>0.667024336283186</v>
      </c>
      <c r="R92" s="24" t="n">
        <f aca="false">IFERROR(SUMPRODUCT(($B$2:$B$1001=B92)*($Q$2:$Q$1001&lt;=Q92))/SUMPRODUCT(($B$2:$B$1001=B92)*1),0)</f>
        <v>0.84070796460177</v>
      </c>
      <c r="S92" s="24" t="n">
        <f aca="false">IFERROR(SUMPRODUCT(($B$2:$B$1001=B92)*($K$2:$K$1001&lt;=K92))/SUMPRODUCT(($B$2:$B$1001=B92)*1),0)</f>
        <v>0.442477876106195</v>
      </c>
      <c r="T92" s="26" t="n">
        <f aca="false">(R92-S92)*100</f>
        <v>39.8230088495575</v>
      </c>
      <c r="U92" s="21" t="str">
        <f aca="false">'Player Data'!T92</f>
        <v>Yes</v>
      </c>
      <c r="V92" s="27" t="n">
        <f aca="false">'Player Data'!U92</f>
        <v>2026</v>
      </c>
      <c r="W92" s="21" t="str">
        <f aca="false">IF(AND(T92&gt;=Assumptions!$B$19,U92="No"),"High Priority - Unrepresented",IF(T92&gt;=Assumptions!$B$19,"High Priority",IF(AND(T92&gt;=Assumptions!$B$20,U92="No"),"Watchlist - Unrepresented",IF(T92&gt;=Assumptions!$B$20,"Watchlist",""))))</f>
        <v>Watchlist</v>
      </c>
      <c r="X92" s="21" t="str">
        <f aca="false">'Player Data'!V92</f>
        <v>info@livingstonewanderers.zm</v>
      </c>
      <c r="Y92" s="28" t="str">
        <f aca="false">'Player Data'!W92</f>
        <v>Go through the player's agent - ask the club to confirm representation first</v>
      </c>
      <c r="Z92" s="28" t="str">
        <f aca="false">'Player Data'!X92</f>
        <v>FAZ (Football Association of Zambia) player registry</v>
      </c>
      <c r="AA92" s="19" t="str">
        <f aca="false">HYPERLINK("https://www.transfermarkt.com/schnellsuche/ergebnis/schnellsuche?query="&amp;SUBSTITUTE(A92," ","+"),"Search Transfermarkt")</f>
        <v>Search Transfermarkt</v>
      </c>
      <c r="AB92" s="29" t="n">
        <f aca="false">IFERROR('Player Data'!K92/('Player Data'!K92+'Player Data'!L92),0)</f>
        <v>0.277777777777778</v>
      </c>
      <c r="AC92" s="21" t="str">
        <f aca="false">IF(B92="GK",IF(AND(O92&gt;=Assumptions!$B$23,N92&gt;=Assumptions!$B$23),"Sweeper-Keeper / Build-from-the-Back",IF(O92&gt;=Assumptions!$B$23,"Sweeper-Keeper / High Line",IF(M92&gt;=Assumptions!$B$23,"Shot-Stopper / Traditional","Flexible / Multi-System"))),IF(AND(O92&gt;=Assumptions!$B$23,P92&gt;=Assumptions!$B$24),"High Press / Gegenpressing",IF(AND(N92&gt;=Assumptions!$B$23,AB92&gt;=Assumptions!$B$25),"Possession / Build-from-the-Back",IF(N92&gt;=Assumptions!$B$23,"Counter-Attack / Transition",IF(AND(O92&gt;=Assumptions!$B$23,N92&lt;Assumptions!$B$26),"Low Block / Park the Bus",IF(AND(B92="FW",M92&gt;=Assumptions!$B$23,N92&lt;Assumptions!$B$26),"Direct / Target Approach","Flexible / Multi-System"))))))</f>
        <v>High Press / Gegenpressing</v>
      </c>
      <c r="AD92" s="21" t="str">
        <f aca="false">'Player Data'!Y92</f>
        <v>2026-07-14</v>
      </c>
      <c r="AE92" s="21" t="str">
        <f aca="false">'Player Data'!Z92</f>
        <v>2026-07-15</v>
      </c>
      <c r="AF92" s="28" t="str">
        <f aca="false">IFERROR(INDEX(Assumptions!$B$30:$B$61,MATCH(C92,Assumptions!$A$30:$A$61,0)),"--")</f>
        <v>Belgium, Portugal</v>
      </c>
      <c r="AG92" s="30" t="str">
        <f aca="false">IF(R92&gt;=0.7,"Step-Up Candidate",IF(R92&gt;=0.4,"Lateral Move","Stay &amp; Develop"))</f>
        <v>Step-Up Candidate</v>
      </c>
    </row>
    <row r="93" customFormat="false" ht="23.85" hidden="false" customHeight="false" outlineLevel="0" collapsed="false">
      <c r="A93" s="21" t="str">
        <f aca="false">'Player Data'!A93</f>
        <v>Jose Escobar</v>
      </c>
      <c r="B93" s="21" t="str">
        <f aca="false">'Player Data'!F93</f>
        <v>FW</v>
      </c>
      <c r="C93" s="21" t="str">
        <f aca="false">'Player Data'!B93</f>
        <v>Panama</v>
      </c>
      <c r="D93" s="21" t="str">
        <f aca="false">'Player Data'!C93</f>
        <v>Panama Reserve League</v>
      </c>
      <c r="E93" s="21" t="n">
        <f aca="false">'Player Data'!D93</f>
        <v>4</v>
      </c>
      <c r="F93" s="21" t="n">
        <f aca="false">'Player Data'!G93</f>
        <v>20</v>
      </c>
      <c r="G93" s="21" t="n">
        <f aca="false">'Player Data'!H93</f>
        <v>2678</v>
      </c>
      <c r="H93" s="22" t="n">
        <f aca="false">IF(B93="GK",IFERROR(('Player Data'!N93-1.5*'Player Data'!O93)/'Player Data'!H93*90,0),IFERROR(('Player Data'!I93+'Player Data'!J93)/'Player Data'!H93*90,0))</f>
        <v>0.436893203883495</v>
      </c>
      <c r="I93" s="22" t="n">
        <f aca="false">IF(B93="GK",'Player Data'!P93,IFERROR(('Player Data'!K93+'Player Data'!L93)/'Player Data'!H93*90,0))</f>
        <v>3.96564600448096</v>
      </c>
      <c r="J93" s="22" t="n">
        <f aca="false">IF(B93="GK",IFERROR('Player Data'!Q93/'Player Data'!H93*90,0),IFERROR('Player Data'!M93/'Player Data'!H93*90,0))</f>
        <v>0.336071695294996</v>
      </c>
      <c r="K93" s="23" t="n">
        <f aca="false">'Player Data'!S93</f>
        <v>106281</v>
      </c>
      <c r="L93" s="22" t="n">
        <f aca="false">INDEX(Assumptions!$B$13:$B$15,MATCH(E93,Assumptions!$A$13:$A$15,0))</f>
        <v>0.7</v>
      </c>
      <c r="M93" s="24" t="n">
        <f aca="false">IFERROR(SUMPRODUCT(($B$2:$B$1001=B93)*($H$2:$H$1001&lt;=H93))/SUMPRODUCT(($B$2:$B$1001=B93)*1),0)</f>
        <v>0.0353982300884956</v>
      </c>
      <c r="N93" s="24" t="n">
        <f aca="false">IFERROR(SUMPRODUCT(($B$2:$B$1001=B93)*($I$2:$I$1001&lt;=I93))/SUMPRODUCT(($B$2:$B$1001=B93)*1),0)</f>
        <v>0.0353982300884956</v>
      </c>
      <c r="O93" s="24" t="n">
        <f aca="false">IFERROR(SUMPRODUCT(($B$2:$B$1001=B93)*($J$2:$J$1001&lt;=J93))/SUMPRODUCT(($B$2:$B$1001=B93)*1),0)</f>
        <v>0.225663716814159</v>
      </c>
      <c r="P93" s="24" t="n">
        <f aca="false">IFERROR(SUMPRODUCT(($B$2:$B$1001=B93)*((0-$F$2:$F$1001)&lt;=(0-F93)))/SUMPRODUCT(($B$2:$B$1001=B93)*1),0)</f>
        <v>0.712389380530973</v>
      </c>
      <c r="Q93" s="25" t="n">
        <f aca="false">(M93*Assumptions!$B$5+N93*Assumptions!$B$6+O93*Assumptions!$B$7+P93*Assumptions!$B$8)*L93</f>
        <v>0.146194690265487</v>
      </c>
      <c r="R93" s="24" t="n">
        <f aca="false">IFERROR(SUMPRODUCT(($B$2:$B$1001=B93)*($Q$2:$Q$1001&lt;=Q93))/SUMPRODUCT(($B$2:$B$1001=B93)*1),0)</f>
        <v>0.0353982300884956</v>
      </c>
      <c r="S93" s="24" t="n">
        <f aca="false">IFERROR(SUMPRODUCT(($B$2:$B$1001=B93)*($K$2:$K$1001&lt;=K93))/SUMPRODUCT(($B$2:$B$1001=B93)*1),0)</f>
        <v>0.756637168141593</v>
      </c>
      <c r="T93" s="26" t="n">
        <f aca="false">(R93-S93)*100</f>
        <v>-72.1238938053097</v>
      </c>
      <c r="U93" s="21" t="str">
        <f aca="false">'Player Data'!T93</f>
        <v>No</v>
      </c>
      <c r="V93" s="27" t="n">
        <f aca="false">'Player Data'!U93</f>
        <v>2028</v>
      </c>
      <c r="W93" s="21" t="str">
        <f aca="false">IF(AND(T93&gt;=Assumptions!$B$19,U93="No"),"High Priority - Unrepresented",IF(T93&gt;=Assumptions!$B$19,"High Priority",IF(AND(T93&gt;=Assumptions!$B$20,U93="No"),"Watchlist - Unrepresented",IF(T93&gt;=Assumptions!$B$20,"Watchlist",""))))</f>
        <v/>
      </c>
      <c r="X93" s="21" t="str">
        <f aca="false">'Player Data'!V93</f>
        <v>info@davidathletic.pa</v>
      </c>
      <c r="Y93" s="28" t="str">
        <f aca="false">'Player Data'!W93</f>
        <v>Club sporting director / first-team office</v>
      </c>
      <c r="Z93" s="28" t="str">
        <f aca="false">'Player Data'!X93</f>
        <v>FEPAFUT (Panamanian Football Federation) player registry</v>
      </c>
      <c r="AA93" s="19" t="str">
        <f aca="false">HYPERLINK("https://www.transfermarkt.com/schnellsuche/ergebnis/schnellsuche?query="&amp;SUBSTITUTE(A93," ","+"),"Search Transfermarkt")</f>
        <v>Search Transfermarkt</v>
      </c>
      <c r="AB93" s="29" t="n">
        <f aca="false">IFERROR('Player Data'!K93/('Player Data'!K93+'Player Data'!L93),0)</f>
        <v>0.466101694915254</v>
      </c>
      <c r="AC93" s="21" t="str">
        <f aca="false">IF(B93="GK",IF(AND(O93&gt;=Assumptions!$B$23,N93&gt;=Assumptions!$B$23),"Sweeper-Keeper / Build-from-the-Back",IF(O93&gt;=Assumptions!$B$23,"Sweeper-Keeper / High Line",IF(M93&gt;=Assumptions!$B$23,"Shot-Stopper / Traditional","Flexible / Multi-System"))),IF(AND(O93&gt;=Assumptions!$B$23,P93&gt;=Assumptions!$B$24),"High Press / Gegenpressing",IF(AND(N93&gt;=Assumptions!$B$23,AB93&gt;=Assumptions!$B$25),"Possession / Build-from-the-Back",IF(N93&gt;=Assumptions!$B$23,"Counter-Attack / Transition",IF(AND(O93&gt;=Assumptions!$B$23,N93&lt;Assumptions!$B$26),"Low Block / Park the Bus",IF(AND(B93="FW",M93&gt;=Assumptions!$B$23,N93&lt;Assumptions!$B$26),"Direct / Target Approach","Flexible / Multi-System"))))))</f>
        <v>Flexible / Multi-System</v>
      </c>
      <c r="AD93" s="21" t="str">
        <f aca="false">'Player Data'!Y93</f>
        <v>2026-07-14</v>
      </c>
      <c r="AE93" s="21" t="str">
        <f aca="false">'Player Data'!Z93</f>
        <v>2026-07-15</v>
      </c>
      <c r="AF93" s="28" t="str">
        <f aca="false">IFERROR(INDEX(Assumptions!$B$30:$B$61,MATCH(C93,Assumptions!$A$30:$A$61,0)),"--")</f>
        <v>Mexico, United States</v>
      </c>
      <c r="AG93" s="30" t="str">
        <f aca="false">IF(R93&gt;=0.7,"Step-Up Candidate",IF(R93&gt;=0.4,"Lateral Move","Stay &amp; Develop"))</f>
        <v>Stay &amp; Develop</v>
      </c>
    </row>
    <row r="94" customFormat="false" ht="23.85" hidden="false" customHeight="false" outlineLevel="0" collapsed="false">
      <c r="A94" s="21" t="str">
        <f aca="false">'Player Data'!A94</f>
        <v>Mamadou Ndiaye</v>
      </c>
      <c r="B94" s="21" t="str">
        <f aca="false">'Player Data'!F94</f>
        <v>FW</v>
      </c>
      <c r="C94" s="21" t="str">
        <f aca="false">'Player Data'!B94</f>
        <v>Senegal</v>
      </c>
      <c r="D94" s="21" t="str">
        <f aca="false">'Player Data'!C94</f>
        <v>Senegal Third Tier - North</v>
      </c>
      <c r="E94" s="21" t="n">
        <f aca="false">'Player Data'!D94</f>
        <v>2</v>
      </c>
      <c r="F94" s="21" t="n">
        <f aca="false">'Player Data'!G94</f>
        <v>23</v>
      </c>
      <c r="G94" s="21" t="n">
        <f aca="false">'Player Data'!H94</f>
        <v>2456</v>
      </c>
      <c r="H94" s="22" t="n">
        <f aca="false">IF(B94="GK",IFERROR(('Player Data'!N94-1.5*'Player Data'!O94)/'Player Data'!H94*90,0),IFERROR(('Player Data'!I94+'Player Data'!J94)/'Player Data'!H94*90,0))</f>
        <v>0.732899022801303</v>
      </c>
      <c r="I94" s="22" t="n">
        <f aca="false">IF(B94="GK",'Player Data'!P94,IFERROR(('Player Data'!K94+'Player Data'!L94)/'Player Data'!H94*90,0))</f>
        <v>3.88436482084691</v>
      </c>
      <c r="J94" s="22" t="n">
        <f aca="false">IF(B94="GK",IFERROR('Player Data'!Q94/'Player Data'!H94*90,0),IFERROR('Player Data'!M94/'Player Data'!H94*90,0))</f>
        <v>0.549674267100977</v>
      </c>
      <c r="K94" s="23" t="n">
        <f aca="false">'Player Data'!S94</f>
        <v>134967</v>
      </c>
      <c r="L94" s="22" t="n">
        <f aca="false">INDEX(Assumptions!$B$13:$B$15,MATCH(E94,Assumptions!$A$13:$A$15,0))</f>
        <v>1</v>
      </c>
      <c r="M94" s="24" t="n">
        <f aca="false">IFERROR(SUMPRODUCT(($B$2:$B$1001=B94)*($H$2:$H$1001&lt;=H94))/SUMPRODUCT(($B$2:$B$1001=B94)*1),0)</f>
        <v>0.252212389380531</v>
      </c>
      <c r="N94" s="24" t="n">
        <f aca="false">IFERROR(SUMPRODUCT(($B$2:$B$1001=B94)*($I$2:$I$1001&lt;=I94))/SUMPRODUCT(($B$2:$B$1001=B94)*1),0)</f>
        <v>0.0265486725663717</v>
      </c>
      <c r="O94" s="24" t="n">
        <f aca="false">IFERROR(SUMPRODUCT(($B$2:$B$1001=B94)*($J$2:$J$1001&lt;=J94))/SUMPRODUCT(($B$2:$B$1001=B94)*1),0)</f>
        <v>0.566371681415929</v>
      </c>
      <c r="P94" s="24" t="n">
        <f aca="false">IFERROR(SUMPRODUCT(($B$2:$B$1001=B94)*((0-$F$2:$F$1001)&lt;=(0-F94)))/SUMPRODUCT(($B$2:$B$1001=B94)*1),0)</f>
        <v>0.389380530973451</v>
      </c>
      <c r="Q94" s="25" t="n">
        <f aca="false">(M94*Assumptions!$B$5+N94*Assumptions!$B$6+O94*Assumptions!$B$7+P94*Assumptions!$B$8)*L94</f>
        <v>0.263495575221239</v>
      </c>
      <c r="R94" s="24" t="n">
        <f aca="false">IFERROR(SUMPRODUCT(($B$2:$B$1001=B94)*($Q$2:$Q$1001&lt;=Q94))/SUMPRODUCT(($B$2:$B$1001=B94)*1),0)</f>
        <v>0.225663716814159</v>
      </c>
      <c r="S94" s="24" t="n">
        <f aca="false">IFERROR(SUMPRODUCT(($B$2:$B$1001=B94)*($K$2:$K$1001&lt;=K94))/SUMPRODUCT(($B$2:$B$1001=B94)*1),0)</f>
        <v>0.924778761061947</v>
      </c>
      <c r="T94" s="26" t="n">
        <f aca="false">(R94-S94)*100</f>
        <v>-69.9115044247788</v>
      </c>
      <c r="U94" s="21" t="str">
        <f aca="false">'Player Data'!T94</f>
        <v>No</v>
      </c>
      <c r="V94" s="27" t="n">
        <f aca="false">'Player Data'!U94</f>
        <v>2029</v>
      </c>
      <c r="W94" s="21" t="str">
        <f aca="false">IF(AND(T94&gt;=Assumptions!$B$19,U94="No"),"High Priority - Unrepresented",IF(T94&gt;=Assumptions!$B$19,"High Priority",IF(AND(T94&gt;=Assumptions!$B$20,U94="No"),"Watchlist - Unrepresented",IF(T94&gt;=Assumptions!$B$20,"Watchlist",""))))</f>
        <v/>
      </c>
      <c r="X94" s="21" t="str">
        <f aca="false">'Player Data'!V94</f>
        <v>info@saintlouissc.sn</v>
      </c>
      <c r="Y94" s="28" t="str">
        <f aca="false">'Player Data'!W94</f>
        <v>Club sporting director / first-team office</v>
      </c>
      <c r="Z94" s="28" t="str">
        <f aca="false">'Player Data'!X94</f>
        <v>FSF (Senegalese Football Federation) player registry</v>
      </c>
      <c r="AA94" s="19" t="str">
        <f aca="false">HYPERLINK("https://www.transfermarkt.com/schnellsuche/ergebnis/schnellsuche?query="&amp;SUBSTITUTE(A94," ","+"),"Search Transfermarkt")</f>
        <v>Search Transfermarkt</v>
      </c>
      <c r="AB94" s="29" t="n">
        <f aca="false">IFERROR('Player Data'!K94/('Player Data'!K94+'Player Data'!L94),0)</f>
        <v>0.273584905660377</v>
      </c>
      <c r="AC94" s="21" t="str">
        <f aca="false">IF(B94="GK",IF(AND(O94&gt;=Assumptions!$B$23,N94&gt;=Assumptions!$B$23),"Sweeper-Keeper / Build-from-the-Back",IF(O94&gt;=Assumptions!$B$23,"Sweeper-Keeper / High Line",IF(M94&gt;=Assumptions!$B$23,"Shot-Stopper / Traditional","Flexible / Multi-System"))),IF(AND(O94&gt;=Assumptions!$B$23,P94&gt;=Assumptions!$B$24),"High Press / Gegenpressing",IF(AND(N94&gt;=Assumptions!$B$23,AB94&gt;=Assumptions!$B$25),"Possession / Build-from-the-Back",IF(N94&gt;=Assumptions!$B$23,"Counter-Attack / Transition",IF(AND(O94&gt;=Assumptions!$B$23,N94&lt;Assumptions!$B$26),"Low Block / Park the Bus",IF(AND(B94="FW",M94&gt;=Assumptions!$B$23,N94&lt;Assumptions!$B$26),"Direct / Target Approach","Flexible / Multi-System"))))))</f>
        <v>Flexible / Multi-System</v>
      </c>
      <c r="AD94" s="21" t="str">
        <f aca="false">'Player Data'!Y94</f>
        <v>2026-07-14</v>
      </c>
      <c r="AE94" s="21" t="str">
        <f aca="false">'Player Data'!Z94</f>
        <v>2026-07-15</v>
      </c>
      <c r="AF94" s="28" t="str">
        <f aca="false">IFERROR(INDEX(Assumptions!$B$30:$B$61,MATCH(C94,Assumptions!$A$30:$A$61,0)),"--")</f>
        <v>Belgium, Portugal</v>
      </c>
      <c r="AG94" s="30" t="str">
        <f aca="false">IF(R94&gt;=0.7,"Step-Up Candidate",IF(R94&gt;=0.4,"Lateral Move","Stay &amp; Develop"))</f>
        <v>Stay &amp; Develop</v>
      </c>
    </row>
    <row r="95" customFormat="false" ht="23.85" hidden="false" customHeight="false" outlineLevel="0" collapsed="false">
      <c r="A95" s="21" t="str">
        <f aca="false">'Player Data'!A95</f>
        <v>Josip Radic</v>
      </c>
      <c r="B95" s="21" t="str">
        <f aca="false">'Player Data'!F95</f>
        <v>FW</v>
      </c>
      <c r="C95" s="21" t="str">
        <f aca="false">'Player Data'!B95</f>
        <v>Croatia</v>
      </c>
      <c r="D95" s="21" t="str">
        <f aca="false">'Player Data'!C95</f>
        <v>Croatia Second Division - West</v>
      </c>
      <c r="E95" s="21" t="n">
        <f aca="false">'Player Data'!D95</f>
        <v>2</v>
      </c>
      <c r="F95" s="21" t="n">
        <f aca="false">'Player Data'!G95</f>
        <v>22</v>
      </c>
      <c r="G95" s="21" t="n">
        <f aca="false">'Player Data'!H95</f>
        <v>1936</v>
      </c>
      <c r="H95" s="22" t="n">
        <f aca="false">IF(B95="GK",IFERROR(('Player Data'!N95-1.5*'Player Data'!O95)/'Player Data'!H95*90,0),IFERROR(('Player Data'!I95+'Player Data'!J95)/'Player Data'!H95*90,0))</f>
        <v>0.790289256198347</v>
      </c>
      <c r="I95" s="22" t="n">
        <f aca="false">IF(B95="GK",'Player Data'!P95,IFERROR(('Player Data'!K95+'Player Data'!L95)/'Player Data'!H95*90,0))</f>
        <v>5.625</v>
      </c>
      <c r="J95" s="22" t="n">
        <f aca="false">IF(B95="GK",IFERROR('Player Data'!Q95/'Player Data'!H95*90,0),IFERROR('Player Data'!M95/'Player Data'!H95*90,0))</f>
        <v>0.232438016528926</v>
      </c>
      <c r="K95" s="23" t="n">
        <f aca="false">'Player Data'!S95</f>
        <v>0</v>
      </c>
      <c r="L95" s="22" t="n">
        <f aca="false">INDEX(Assumptions!$B$13:$B$15,MATCH(E95,Assumptions!$A$13:$A$15,0))</f>
        <v>1</v>
      </c>
      <c r="M95" s="24" t="n">
        <f aca="false">IFERROR(SUMPRODUCT(($B$2:$B$1001=B95)*($H$2:$H$1001&lt;=H95))/SUMPRODUCT(($B$2:$B$1001=B95)*1),0)</f>
        <v>0.29646017699115</v>
      </c>
      <c r="N95" s="24" t="n">
        <f aca="false">IFERROR(SUMPRODUCT(($B$2:$B$1001=B95)*($I$2:$I$1001&lt;=I95))/SUMPRODUCT(($B$2:$B$1001=B95)*1),0)</f>
        <v>0.345132743362832</v>
      </c>
      <c r="O95" s="24" t="n">
        <f aca="false">IFERROR(SUMPRODUCT(($B$2:$B$1001=B95)*($J$2:$J$1001&lt;=J95))/SUMPRODUCT(($B$2:$B$1001=B95)*1),0)</f>
        <v>0.0752212389380531</v>
      </c>
      <c r="P95" s="24" t="n">
        <f aca="false">IFERROR(SUMPRODUCT(($B$2:$B$1001=B95)*((0-$F$2:$F$1001)&lt;=(0-F95)))/SUMPRODUCT(($B$2:$B$1001=B95)*1),0)</f>
        <v>0.504424778761062</v>
      </c>
      <c r="Q95" s="25" t="n">
        <f aca="false">(M95*Assumptions!$B$5+N95*Assumptions!$B$6+O95*Assumptions!$B$7+P95*Assumptions!$B$8)*L95</f>
        <v>0.310840707964602</v>
      </c>
      <c r="R95" s="24" t="n">
        <f aca="false">IFERROR(SUMPRODUCT(($B$2:$B$1001=B95)*($Q$2:$Q$1001&lt;=Q95))/SUMPRODUCT(($B$2:$B$1001=B95)*1),0)</f>
        <v>0.292035398230089</v>
      </c>
      <c r="S95" s="24" t="n">
        <f aca="false">IFERROR(SUMPRODUCT(($B$2:$B$1001=B95)*($K$2:$K$1001&lt;=K95))/SUMPRODUCT(($B$2:$B$1001=B95)*1),0)</f>
        <v>0.261061946902655</v>
      </c>
      <c r="T95" s="26" t="n">
        <f aca="false">(R95-S95)*100</f>
        <v>3.09734513274336</v>
      </c>
      <c r="U95" s="21" t="str">
        <f aca="false">'Player Data'!T95</f>
        <v>No</v>
      </c>
      <c r="V95" s="27" t="n">
        <f aca="false">'Player Data'!U95</f>
        <v>2026</v>
      </c>
      <c r="W95" s="21" t="str">
        <f aca="false">IF(AND(T95&gt;=Assumptions!$B$19,U95="No"),"High Priority - Unrepresented",IF(T95&gt;=Assumptions!$B$19,"High Priority",IF(AND(T95&gt;=Assumptions!$B$20,U95="No"),"Watchlist - Unrepresented",IF(T95&gt;=Assumptions!$B$20,"Watchlist",""))))</f>
        <v/>
      </c>
      <c r="X95" s="21" t="str">
        <f aca="false">'Player Data'!V95</f>
        <v>info@rudesfc.hr</v>
      </c>
      <c r="Y95" s="28" t="str">
        <f aca="false">'Player Data'!W95</f>
        <v>Club sporting director / first-team office</v>
      </c>
      <c r="Z95" s="28" t="str">
        <f aca="false">'Player Data'!X95</f>
        <v>HNS (Croatian Football Federation) player registry</v>
      </c>
      <c r="AA95" s="19" t="str">
        <f aca="false">HYPERLINK("https://www.transfermarkt.com/schnellsuche/ergebnis/schnellsuche?query="&amp;SUBSTITUTE(A95," ","+"),"Search Transfermarkt")</f>
        <v>Search Transfermarkt</v>
      </c>
      <c r="AB95" s="29" t="n">
        <f aca="false">IFERROR('Player Data'!K95/('Player Data'!K95+'Player Data'!L95),0)</f>
        <v>0.371900826446281</v>
      </c>
      <c r="AC95" s="21" t="str">
        <f aca="false">IF(B95="GK",IF(AND(O95&gt;=Assumptions!$B$23,N95&gt;=Assumptions!$B$23),"Sweeper-Keeper / Build-from-the-Back",IF(O95&gt;=Assumptions!$B$23,"Sweeper-Keeper / High Line",IF(M95&gt;=Assumptions!$B$23,"Shot-Stopper / Traditional","Flexible / Multi-System"))),IF(AND(O95&gt;=Assumptions!$B$23,P95&gt;=Assumptions!$B$24),"High Press / Gegenpressing",IF(AND(N95&gt;=Assumptions!$B$23,AB95&gt;=Assumptions!$B$25),"Possession / Build-from-the-Back",IF(N95&gt;=Assumptions!$B$23,"Counter-Attack / Transition",IF(AND(O95&gt;=Assumptions!$B$23,N95&lt;Assumptions!$B$26),"Low Block / Park the Bus",IF(AND(B95="FW",M95&gt;=Assumptions!$B$23,N95&lt;Assumptions!$B$26),"Direct / Target Approach","Flexible / Multi-System"))))))</f>
        <v>Flexible / Multi-System</v>
      </c>
      <c r="AD95" s="21" t="str">
        <f aca="false">'Player Data'!Y95</f>
        <v>2026-07-14</v>
      </c>
      <c r="AE95" s="21" t="str">
        <f aca="false">'Player Data'!Z95</f>
        <v>2026-07-15</v>
      </c>
      <c r="AF95" s="28" t="str">
        <f aca="false">IFERROR(INDEX(Assumptions!$B$30:$B$61,MATCH(C95,Assumptions!$A$30:$A$61,0)),"--")</f>
        <v>Austria, Turkey</v>
      </c>
      <c r="AG95" s="30" t="str">
        <f aca="false">IF(R95&gt;=0.7,"Step-Up Candidate",IF(R95&gt;=0.4,"Lateral Move","Stay &amp; Develop"))</f>
        <v>Stay &amp; Develop</v>
      </c>
    </row>
    <row r="96" customFormat="false" ht="23.85" hidden="false" customHeight="false" outlineLevel="0" collapsed="false">
      <c r="A96" s="21" t="str">
        <f aca="false">'Player Data'!A96</f>
        <v>Diego Vargas</v>
      </c>
      <c r="B96" s="21" t="str">
        <f aca="false">'Player Data'!F96</f>
        <v>DF</v>
      </c>
      <c r="C96" s="21" t="str">
        <f aca="false">'Player Data'!B96</f>
        <v>Bolivia</v>
      </c>
      <c r="D96" s="21" t="str">
        <f aca="false">'Player Data'!C96</f>
        <v>Bolivia Provincial League</v>
      </c>
      <c r="E96" s="21" t="n">
        <f aca="false">'Player Data'!D96</f>
        <v>2</v>
      </c>
      <c r="F96" s="21" t="n">
        <f aca="false">'Player Data'!G96</f>
        <v>24</v>
      </c>
      <c r="G96" s="21" t="n">
        <f aca="false">'Player Data'!H96</f>
        <v>1332</v>
      </c>
      <c r="H96" s="22" t="n">
        <f aca="false">IF(B96="GK",IFERROR(('Player Data'!N96-1.5*'Player Data'!O96)/'Player Data'!H96*90,0),IFERROR(('Player Data'!I96+'Player Data'!J96)/'Player Data'!H96*90,0))</f>
        <v>0.337837837837838</v>
      </c>
      <c r="I96" s="22" t="n">
        <f aca="false">IF(B96="GK",'Player Data'!P96,IFERROR(('Player Data'!K96+'Player Data'!L96)/'Player Data'!H96*90,0))</f>
        <v>5.74324324324324</v>
      </c>
      <c r="J96" s="22" t="n">
        <f aca="false">IF(B96="GK",IFERROR('Player Data'!Q96/'Player Data'!H96*90,0),IFERROR('Player Data'!M96/'Player Data'!H96*90,0))</f>
        <v>6.41891891891892</v>
      </c>
      <c r="K96" s="23" t="n">
        <f aca="false">'Player Data'!S96</f>
        <v>118510</v>
      </c>
      <c r="L96" s="22" t="n">
        <f aca="false">INDEX(Assumptions!$B$13:$B$15,MATCH(E96,Assumptions!$A$13:$A$15,0))</f>
        <v>1</v>
      </c>
      <c r="M96" s="24" t="n">
        <f aca="false">IFERROR(SUMPRODUCT(($B$2:$B$1001=B96)*($H$2:$H$1001&lt;=H96))/SUMPRODUCT(($B$2:$B$1001=B96)*1),0)</f>
        <v>0.843537414965986</v>
      </c>
      <c r="N96" s="24" t="n">
        <f aca="false">IFERROR(SUMPRODUCT(($B$2:$B$1001=B96)*($I$2:$I$1001&lt;=I96))/SUMPRODUCT(($B$2:$B$1001=B96)*1),0)</f>
        <v>0.707482993197279</v>
      </c>
      <c r="O96" s="24" t="n">
        <f aca="false">IFERROR(SUMPRODUCT(($B$2:$B$1001=B96)*($J$2:$J$1001&lt;=J96))/SUMPRODUCT(($B$2:$B$1001=B96)*1),0)</f>
        <v>0.680272108843537</v>
      </c>
      <c r="P96" s="24" t="n">
        <f aca="false">IFERROR(SUMPRODUCT(($B$2:$B$1001=B96)*((0-$F$2:$F$1001)&lt;=(0-F96)))/SUMPRODUCT(($B$2:$B$1001=B96)*1),0)</f>
        <v>0.275510204081633</v>
      </c>
      <c r="Q96" s="25" t="n">
        <f aca="false">(M96*Assumptions!$B$5+N96*Assumptions!$B$6+O96*Assumptions!$B$7+P96*Assumptions!$B$8)*L96</f>
        <v>0.649659863945578</v>
      </c>
      <c r="R96" s="24" t="n">
        <f aca="false">IFERROR(SUMPRODUCT(($B$2:$B$1001=B96)*($Q$2:$Q$1001&lt;=Q96))/SUMPRODUCT(($B$2:$B$1001=B96)*1),0)</f>
        <v>0.819727891156463</v>
      </c>
      <c r="S96" s="24" t="n">
        <f aca="false">IFERROR(SUMPRODUCT(($B$2:$B$1001=B96)*($K$2:$K$1001&lt;=K96))/SUMPRODUCT(($B$2:$B$1001=B96)*1),0)</f>
        <v>0.840136054421769</v>
      </c>
      <c r="T96" s="26" t="n">
        <f aca="false">(R96-S96)*100</f>
        <v>-2.04081632653061</v>
      </c>
      <c r="U96" s="21" t="str">
        <f aca="false">'Player Data'!T96</f>
        <v>No</v>
      </c>
      <c r="V96" s="27" t="n">
        <f aca="false">'Player Data'!U96</f>
        <v>2026</v>
      </c>
      <c r="W96" s="21" t="str">
        <f aca="false">IF(AND(T96&gt;=Assumptions!$B$19,U96="No"),"High Priority - Unrepresented",IF(T96&gt;=Assumptions!$B$19,"High Priority",IF(AND(T96&gt;=Assumptions!$B$20,U96="No"),"Watchlist - Unrepresented",IF(T96&gt;=Assumptions!$B$20,"Watchlist",""))))</f>
        <v/>
      </c>
      <c r="X96" s="21" t="str">
        <f aca="false">'Player Data'!V96</f>
        <v>info@cochabambawanderers.bo</v>
      </c>
      <c r="Y96" s="28" t="str">
        <f aca="false">'Player Data'!W96</f>
        <v>Club sporting director / first-team office</v>
      </c>
      <c r="Z96" s="28" t="str">
        <f aca="false">'Player Data'!X96</f>
        <v>FBF (Bolivian Football Federation) player registry</v>
      </c>
      <c r="AA96" s="19" t="str">
        <f aca="false">HYPERLINK("https://www.transfermarkt.com/schnellsuche/ergebnis/schnellsuche?query="&amp;SUBSTITUTE(A96," ","+"),"Search Transfermarkt")</f>
        <v>Search Transfermarkt</v>
      </c>
      <c r="AB96" s="29" t="n">
        <f aca="false">IFERROR('Player Data'!K96/('Player Data'!K96+'Player Data'!L96),0)</f>
        <v>0.6</v>
      </c>
      <c r="AC96" s="21" t="str">
        <f aca="false">IF(B96="GK",IF(AND(O96&gt;=Assumptions!$B$23,N96&gt;=Assumptions!$B$23),"Sweeper-Keeper / Build-from-the-Back",IF(O96&gt;=Assumptions!$B$23,"Sweeper-Keeper / High Line",IF(M96&gt;=Assumptions!$B$23,"Shot-Stopper / Traditional","Flexible / Multi-System"))),IF(AND(O96&gt;=Assumptions!$B$23,P96&gt;=Assumptions!$B$24),"High Press / Gegenpressing",IF(AND(N96&gt;=Assumptions!$B$23,AB96&gt;=Assumptions!$B$25),"Possession / Build-from-the-Back",IF(N96&gt;=Assumptions!$B$23,"Counter-Attack / Transition",IF(AND(O96&gt;=Assumptions!$B$23,N96&lt;Assumptions!$B$26),"Low Block / Park the Bus",IF(AND(B96="FW",M96&gt;=Assumptions!$B$23,N96&lt;Assumptions!$B$26),"Direct / Target Approach","Flexible / Multi-System"))))))</f>
        <v>Counter-Attack / Transition</v>
      </c>
      <c r="AD96" s="21" t="str">
        <f aca="false">'Player Data'!Y96</f>
        <v>2026-07-14</v>
      </c>
      <c r="AE96" s="21" t="str">
        <f aca="false">'Player Data'!Z96</f>
        <v>2026-07-15</v>
      </c>
      <c r="AF96" s="28" t="str">
        <f aca="false">IFERROR(INDEX(Assumptions!$B$30:$B$61,MATCH(C96,Assumptions!$A$30:$A$61,0)),"--")</f>
        <v>Argentina, Portugal</v>
      </c>
      <c r="AG96" s="30" t="str">
        <f aca="false">IF(R96&gt;=0.7,"Step-Up Candidate",IF(R96&gt;=0.4,"Lateral Move","Stay &amp; Develop"))</f>
        <v>Step-Up Candidate</v>
      </c>
    </row>
    <row r="97" customFormat="false" ht="23.85" hidden="false" customHeight="false" outlineLevel="0" collapsed="false">
      <c r="A97" s="21" t="str">
        <f aca="false">'Player Data'!A97</f>
        <v>Samuel Fotso</v>
      </c>
      <c r="B97" s="21" t="str">
        <f aca="false">'Player Data'!F97</f>
        <v>GK</v>
      </c>
      <c r="C97" s="21" t="str">
        <f aca="false">'Player Data'!B97</f>
        <v>Cameroon</v>
      </c>
      <c r="D97" s="21" t="str">
        <f aca="false">'Player Data'!C97</f>
        <v>Cameroon Third Tier - North</v>
      </c>
      <c r="E97" s="21" t="n">
        <f aca="false">'Player Data'!D97</f>
        <v>4</v>
      </c>
      <c r="F97" s="21" t="n">
        <f aca="false">'Player Data'!G97</f>
        <v>17</v>
      </c>
      <c r="G97" s="21" t="n">
        <f aca="false">'Player Data'!H97</f>
        <v>1477</v>
      </c>
      <c r="H97" s="22" t="n">
        <f aca="false">IF(B97="GK",IFERROR(('Player Data'!N97-1.5*'Player Data'!O97)/'Player Data'!H97*90,0),IFERROR(('Player Data'!I97+'Player Data'!J97)/'Player Data'!H97*90,0))</f>
        <v>1.49289099526066</v>
      </c>
      <c r="I97" s="22" t="n">
        <f aca="false">IF(B97="GK",'Player Data'!P97,IFERROR(('Player Data'!K97+'Player Data'!L97)/'Player Data'!H97*90,0))</f>
        <v>71.2</v>
      </c>
      <c r="J97" s="22" t="n">
        <f aca="false">IF(B97="GK",IFERROR('Player Data'!Q97/'Player Data'!H97*90,0),IFERROR('Player Data'!M97/'Player Data'!H97*90,0))</f>
        <v>1.49289099526066</v>
      </c>
      <c r="K97" s="23" t="n">
        <f aca="false">'Player Data'!S97</f>
        <v>105258</v>
      </c>
      <c r="L97" s="22" t="n">
        <f aca="false">INDEX(Assumptions!$B$13:$B$15,MATCH(E97,Assumptions!$A$13:$A$15,0))</f>
        <v>0.7</v>
      </c>
      <c r="M97" s="24" t="n">
        <f aca="false">IFERROR(SUMPRODUCT(($B$2:$B$1001=B97)*($H$2:$H$1001&lt;=H97))/SUMPRODUCT(($B$2:$B$1001=B97)*1),0)</f>
        <v>0.699453551912568</v>
      </c>
      <c r="N97" s="24" t="n">
        <f aca="false">IFERROR(SUMPRODUCT(($B$2:$B$1001=B97)*($I$2:$I$1001&lt;=I97))/SUMPRODUCT(($B$2:$B$1001=B97)*1),0)</f>
        <v>0.448087431693989</v>
      </c>
      <c r="O97" s="24" t="n">
        <f aca="false">IFERROR(SUMPRODUCT(($B$2:$B$1001=B97)*($J$2:$J$1001&lt;=J97))/SUMPRODUCT(($B$2:$B$1001=B97)*1),0)</f>
        <v>0.994535519125683</v>
      </c>
      <c r="P97" s="24" t="n">
        <f aca="false">IFERROR(SUMPRODUCT(($B$2:$B$1001=B97)*((0-$F$2:$F$1001)&lt;=(0-F97)))/SUMPRODUCT(($B$2:$B$1001=B97)*1),0)</f>
        <v>1</v>
      </c>
      <c r="Q97" s="25" t="n">
        <f aca="false">(M97*Assumptions!$B$5+N97*Assumptions!$B$6+O97*Assumptions!$B$7+P97*Assumptions!$B$8)*L97</f>
        <v>0.511420765027322</v>
      </c>
      <c r="R97" s="24" t="n">
        <f aca="false">IFERROR(SUMPRODUCT(($B$2:$B$1001=B97)*($Q$2:$Q$1001&lt;=Q97))/SUMPRODUCT(($B$2:$B$1001=B97)*1),0)</f>
        <v>0.650273224043716</v>
      </c>
      <c r="S97" s="24" t="n">
        <f aca="false">IFERROR(SUMPRODUCT(($B$2:$B$1001=B97)*($K$2:$K$1001&lt;=K97))/SUMPRODUCT(($B$2:$B$1001=B97)*1),0)</f>
        <v>0.737704918032787</v>
      </c>
      <c r="T97" s="26" t="n">
        <f aca="false">(R97-S97)*100</f>
        <v>-8.74316939890711</v>
      </c>
      <c r="U97" s="21" t="str">
        <f aca="false">'Player Data'!T97</f>
        <v>Yes</v>
      </c>
      <c r="V97" s="27" t="n">
        <f aca="false">'Player Data'!U97</f>
        <v>2029</v>
      </c>
      <c r="W97" s="21" t="str">
        <f aca="false">IF(AND(T97&gt;=Assumptions!$B$19,U97="No"),"High Priority - Unrepresented",IF(T97&gt;=Assumptions!$B$19,"High Priority",IF(AND(T97&gt;=Assumptions!$B$20,U97="No"),"Watchlist - Unrepresented",IF(T97&gt;=Assumptions!$B$20,"Watchlist",""))))</f>
        <v/>
      </c>
      <c r="X97" s="21" t="str">
        <f aca="false">'Player Data'!V97</f>
        <v>info@doualatown.cm</v>
      </c>
      <c r="Y97" s="28" t="str">
        <f aca="false">'Player Data'!W97</f>
        <v>Club youth/academy office ONLY - player is a minor, do not contact directly</v>
      </c>
      <c r="Z97" s="28" t="str">
        <f aca="false">'Player Data'!X97</f>
        <v>FECAFOOT (Cameroonian Football Federation) player registry</v>
      </c>
      <c r="AA97" s="19" t="str">
        <f aca="false">HYPERLINK("https://www.transfermarkt.com/schnellsuche/ergebnis/schnellsuche?query="&amp;SUBSTITUTE(A97," ","+"),"Search Transfermarkt")</f>
        <v>Search Transfermarkt</v>
      </c>
      <c r="AB97" s="29" t="n">
        <f aca="false">IFERROR('Player Data'!K97/('Player Data'!K97+'Player Data'!L97),0)</f>
        <v>1</v>
      </c>
      <c r="AC97" s="21" t="str">
        <f aca="false">IF(B97="GK",IF(AND(O97&gt;=Assumptions!$B$23,N97&gt;=Assumptions!$B$23),"Sweeper-Keeper / Build-from-the-Back",IF(O97&gt;=Assumptions!$B$23,"Sweeper-Keeper / High Line",IF(M97&gt;=Assumptions!$B$23,"Shot-Stopper / Traditional","Flexible / Multi-System"))),IF(AND(O97&gt;=Assumptions!$B$23,P97&gt;=Assumptions!$B$24),"High Press / Gegenpressing",IF(AND(N97&gt;=Assumptions!$B$23,AB97&gt;=Assumptions!$B$25),"Possession / Build-from-the-Back",IF(N97&gt;=Assumptions!$B$23,"Counter-Attack / Transition",IF(AND(O97&gt;=Assumptions!$B$23,N97&lt;Assumptions!$B$26),"Low Block / Park the Bus",IF(AND(B97="FW",M97&gt;=Assumptions!$B$23,N97&lt;Assumptions!$B$26),"Direct / Target Approach","Flexible / Multi-System"))))))</f>
        <v>Sweeper-Keeper / High Line</v>
      </c>
      <c r="AD97" s="21" t="str">
        <f aca="false">'Player Data'!Y97</f>
        <v>2026-07-14</v>
      </c>
      <c r="AE97" s="21" t="str">
        <f aca="false">'Player Data'!Z97</f>
        <v>2026-07-15</v>
      </c>
      <c r="AF97" s="28" t="str">
        <f aca="false">IFERROR(INDEX(Assumptions!$B$30:$B$61,MATCH(C97,Assumptions!$A$30:$A$61,0)),"--")</f>
        <v>Belgium, Portugal</v>
      </c>
      <c r="AG97" s="30" t="str">
        <f aca="false">IF(R97&gt;=0.7,"Step-Up Candidate",IF(R97&gt;=0.4,"Lateral Move","Stay &amp; Develop"))</f>
        <v>Lateral Move</v>
      </c>
    </row>
    <row r="98" customFormat="false" ht="23.85" hidden="false" customHeight="false" outlineLevel="0" collapsed="false">
      <c r="A98" s="21" t="str">
        <f aca="false">'Player Data'!A98</f>
        <v>Jesus Perez</v>
      </c>
      <c r="B98" s="21" t="str">
        <f aca="false">'Player Data'!F98</f>
        <v>DF</v>
      </c>
      <c r="C98" s="21" t="str">
        <f aca="false">'Player Data'!B98</f>
        <v>Venezuela</v>
      </c>
      <c r="D98" s="21" t="str">
        <f aca="false">'Player Data'!C98</f>
        <v>Venezuela Third Tier - North</v>
      </c>
      <c r="E98" s="21" t="n">
        <f aca="false">'Player Data'!D98</f>
        <v>3</v>
      </c>
      <c r="F98" s="21" t="n">
        <f aca="false">'Player Data'!G98</f>
        <v>21</v>
      </c>
      <c r="G98" s="21" t="n">
        <f aca="false">'Player Data'!H98</f>
        <v>2135</v>
      </c>
      <c r="H98" s="22" t="n">
        <f aca="false">IF(B98="GK",IFERROR(('Player Data'!N98-1.5*'Player Data'!O98)/'Player Data'!H98*90,0),IFERROR(('Player Data'!I98+'Player Data'!J98)/'Player Data'!H98*90,0))</f>
        <v>0.168618266978923</v>
      </c>
      <c r="I98" s="22" t="n">
        <f aca="false">IF(B98="GK",'Player Data'!P98,IFERROR(('Player Data'!K98+'Player Data'!L98)/'Player Data'!H98*90,0))</f>
        <v>3.54098360655738</v>
      </c>
      <c r="J98" s="22" t="n">
        <f aca="false">IF(B98="GK",IFERROR('Player Data'!Q98/'Player Data'!H98*90,0),IFERROR('Player Data'!M98/'Player Data'!H98*90,0))</f>
        <v>3.87822014051522</v>
      </c>
      <c r="K98" s="23" t="n">
        <f aca="false">'Player Data'!S98</f>
        <v>0</v>
      </c>
      <c r="L98" s="22" t="n">
        <f aca="false">INDEX(Assumptions!$B$13:$B$15,MATCH(E98,Assumptions!$A$13:$A$15,0))</f>
        <v>0.85</v>
      </c>
      <c r="M98" s="24" t="n">
        <f aca="false">IFERROR(SUMPRODUCT(($B$2:$B$1001=B98)*($H$2:$H$1001&lt;=H98))/SUMPRODUCT(($B$2:$B$1001=B98)*1),0)</f>
        <v>0.431972789115646</v>
      </c>
      <c r="N98" s="24" t="n">
        <f aca="false">IFERROR(SUMPRODUCT(($B$2:$B$1001=B98)*($I$2:$I$1001&lt;=I98))/SUMPRODUCT(($B$2:$B$1001=B98)*1),0)</f>
        <v>0.244897959183673</v>
      </c>
      <c r="O98" s="24" t="n">
        <f aca="false">IFERROR(SUMPRODUCT(($B$2:$B$1001=B98)*($J$2:$J$1001&lt;=J98))/SUMPRODUCT(($B$2:$B$1001=B98)*1),0)</f>
        <v>0.200680272108844</v>
      </c>
      <c r="P98" s="24" t="n">
        <f aca="false">IFERROR(SUMPRODUCT(($B$2:$B$1001=B98)*((0-$F$2:$F$1001)&lt;=(0-F98)))/SUMPRODUCT(($B$2:$B$1001=B98)*1),0)</f>
        <v>0.568027210884354</v>
      </c>
      <c r="Q98" s="25" t="n">
        <f aca="false">(M98*Assumptions!$B$5+N98*Assumptions!$B$6+O98*Assumptions!$B$7+P98*Assumptions!$B$8)*L98</f>
        <v>0.295331632653061</v>
      </c>
      <c r="R98" s="24" t="n">
        <f aca="false">IFERROR(SUMPRODUCT(($B$2:$B$1001=B98)*($Q$2:$Q$1001&lt;=Q98))/SUMPRODUCT(($B$2:$B$1001=B98)*1),0)</f>
        <v>0.244897959183673</v>
      </c>
      <c r="S98" s="24" t="n">
        <f aca="false">IFERROR(SUMPRODUCT(($B$2:$B$1001=B98)*($K$2:$K$1001&lt;=K98))/SUMPRODUCT(($B$2:$B$1001=B98)*1),0)</f>
        <v>0.248299319727891</v>
      </c>
      <c r="T98" s="26" t="n">
        <f aca="false">(R98-S98)*100</f>
        <v>-0.340136054421769</v>
      </c>
      <c r="U98" s="21" t="str">
        <f aca="false">'Player Data'!T98</f>
        <v>No</v>
      </c>
      <c r="V98" s="27" t="n">
        <f aca="false">'Player Data'!U98</f>
        <v>2028</v>
      </c>
      <c r="W98" s="21" t="str">
        <f aca="false">IF(AND(T98&gt;=Assumptions!$B$19,U98="No"),"High Priority - Unrepresented",IF(T98&gt;=Assumptions!$B$19,"High Priority",IF(AND(T98&gt;=Assumptions!$B$20,U98="No"),"Watchlist - Unrepresented",IF(T98&gt;=Assumptions!$B$20,"Watchlist",""))))</f>
        <v/>
      </c>
      <c r="X98" s="21" t="str">
        <f aca="false">'Player Data'!V98</f>
        <v>info@maracaiborangers.ve</v>
      </c>
      <c r="Y98" s="28" t="str">
        <f aca="false">'Player Data'!W98</f>
        <v>Club sporting director / first-team office</v>
      </c>
      <c r="Z98" s="28" t="str">
        <f aca="false">'Player Data'!X98</f>
        <v>FVF (Venezuelan Football Federation) player registry</v>
      </c>
      <c r="AA98" s="19" t="str">
        <f aca="false">HYPERLINK("https://www.transfermarkt.com/schnellsuche/ergebnis/schnellsuche?query="&amp;SUBSTITUTE(A98," ","+"),"Search Transfermarkt")</f>
        <v>Search Transfermarkt</v>
      </c>
      <c r="AB98" s="29" t="n">
        <f aca="false">IFERROR('Player Data'!K98/('Player Data'!K98+'Player Data'!L98),0)</f>
        <v>0.547619047619048</v>
      </c>
      <c r="AC98" s="21" t="str">
        <f aca="false">IF(B98="GK",IF(AND(O98&gt;=Assumptions!$B$23,N98&gt;=Assumptions!$B$23),"Sweeper-Keeper / Build-from-the-Back",IF(O98&gt;=Assumptions!$B$23,"Sweeper-Keeper / High Line",IF(M98&gt;=Assumptions!$B$23,"Shot-Stopper / Traditional","Flexible / Multi-System"))),IF(AND(O98&gt;=Assumptions!$B$23,P98&gt;=Assumptions!$B$24),"High Press / Gegenpressing",IF(AND(N98&gt;=Assumptions!$B$23,AB98&gt;=Assumptions!$B$25),"Possession / Build-from-the-Back",IF(N98&gt;=Assumptions!$B$23,"Counter-Attack / Transition",IF(AND(O98&gt;=Assumptions!$B$23,N98&lt;Assumptions!$B$26),"Low Block / Park the Bus",IF(AND(B98="FW",M98&gt;=Assumptions!$B$23,N98&lt;Assumptions!$B$26),"Direct / Target Approach","Flexible / Multi-System"))))))</f>
        <v>Flexible / Multi-System</v>
      </c>
      <c r="AD98" s="21" t="str">
        <f aca="false">'Player Data'!Y98</f>
        <v>2026-07-14</v>
      </c>
      <c r="AE98" s="21" t="str">
        <f aca="false">'Player Data'!Z98</f>
        <v>2026-07-15</v>
      </c>
      <c r="AF98" s="28" t="str">
        <f aca="false">IFERROR(INDEX(Assumptions!$B$30:$B$61,MATCH(C98,Assumptions!$A$30:$A$61,0)),"--")</f>
        <v>Argentina, Portugal</v>
      </c>
      <c r="AG98" s="30" t="str">
        <f aca="false">IF(R98&gt;=0.7,"Step-Up Candidate",IF(R98&gt;=0.4,"Lateral Move","Stay &amp; Develop"))</f>
        <v>Stay &amp; Develop</v>
      </c>
    </row>
    <row r="99" customFormat="false" ht="23.85" hidden="false" customHeight="false" outlineLevel="0" collapsed="false">
      <c r="A99" s="21" t="str">
        <f aca="false">'Player Data'!A99</f>
        <v>Noah Brown</v>
      </c>
      <c r="B99" s="21" t="str">
        <f aca="false">'Player Data'!F99</f>
        <v>DF</v>
      </c>
      <c r="C99" s="21" t="str">
        <f aca="false">'Player Data'!B99</f>
        <v>New Zealand</v>
      </c>
      <c r="D99" s="21" t="str">
        <f aca="false">'Player Data'!C99</f>
        <v>New Zealand Reserve League</v>
      </c>
      <c r="E99" s="21" t="n">
        <f aca="false">'Player Data'!D99</f>
        <v>2</v>
      </c>
      <c r="F99" s="21" t="n">
        <f aca="false">'Player Data'!G99</f>
        <v>20</v>
      </c>
      <c r="G99" s="21" t="n">
        <f aca="false">'Player Data'!H99</f>
        <v>2643</v>
      </c>
      <c r="H99" s="22" t="n">
        <f aca="false">IF(B99="GK",IFERROR(('Player Data'!N99-1.5*'Player Data'!O99)/'Player Data'!H99*90,0),IFERROR(('Player Data'!I99+'Player Data'!J99)/'Player Data'!H99*90,0))</f>
        <v>0.170261066969353</v>
      </c>
      <c r="I99" s="22" t="n">
        <f aca="false">IF(B99="GK",'Player Data'!P99,IFERROR(('Player Data'!K99+'Player Data'!L99)/'Player Data'!H99*90,0))</f>
        <v>3.06469920544835</v>
      </c>
      <c r="J99" s="22" t="n">
        <f aca="false">IF(B99="GK",IFERROR('Player Data'!Q99/'Player Data'!H99*90,0),IFERROR('Player Data'!M99/'Player Data'!H99*90,0))</f>
        <v>2.86038592508513</v>
      </c>
      <c r="K99" s="23" t="n">
        <f aca="false">'Player Data'!S99</f>
        <v>109356</v>
      </c>
      <c r="L99" s="22" t="n">
        <f aca="false">INDEX(Assumptions!$B$13:$B$15,MATCH(E99,Assumptions!$A$13:$A$15,0))</f>
        <v>1</v>
      </c>
      <c r="M99" s="24" t="n">
        <f aca="false">IFERROR(SUMPRODUCT(($B$2:$B$1001=B99)*($H$2:$H$1001&lt;=H99))/SUMPRODUCT(($B$2:$B$1001=B99)*1),0)</f>
        <v>0.438775510204082</v>
      </c>
      <c r="N99" s="24" t="n">
        <f aca="false">IFERROR(SUMPRODUCT(($B$2:$B$1001=B99)*($I$2:$I$1001&lt;=I99))/SUMPRODUCT(($B$2:$B$1001=B99)*1),0)</f>
        <v>0.0918367346938776</v>
      </c>
      <c r="O99" s="24" t="n">
        <f aca="false">IFERROR(SUMPRODUCT(($B$2:$B$1001=B99)*($J$2:$J$1001&lt;=J99))/SUMPRODUCT(($B$2:$B$1001=B99)*1),0)</f>
        <v>0.0170068027210884</v>
      </c>
      <c r="P99" s="24" t="n">
        <f aca="false">IFERROR(SUMPRODUCT(($B$2:$B$1001=B99)*((0-$F$2:$F$1001)&lt;=(0-F99)))/SUMPRODUCT(($B$2:$B$1001=B99)*1),0)</f>
        <v>0.656462585034014</v>
      </c>
      <c r="Q99" s="25" t="n">
        <f aca="false">(M99*Assumptions!$B$5+N99*Assumptions!$B$6+O99*Assumptions!$B$7+P99*Assumptions!$B$8)*L99</f>
        <v>0.276530612244898</v>
      </c>
      <c r="R99" s="24" t="n">
        <f aca="false">IFERROR(SUMPRODUCT(($B$2:$B$1001=B99)*($Q$2:$Q$1001&lt;=Q99))/SUMPRODUCT(($B$2:$B$1001=B99)*1),0)</f>
        <v>0.217687074829932</v>
      </c>
      <c r="S99" s="24" t="n">
        <f aca="false">IFERROR(SUMPRODUCT(($B$2:$B$1001=B99)*($K$2:$K$1001&lt;=K99))/SUMPRODUCT(($B$2:$B$1001=B99)*1),0)</f>
        <v>0.792517006802721</v>
      </c>
      <c r="T99" s="26" t="n">
        <f aca="false">(R99-S99)*100</f>
        <v>-57.4829931972789</v>
      </c>
      <c r="U99" s="21" t="str">
        <f aca="false">'Player Data'!T99</f>
        <v>No</v>
      </c>
      <c r="V99" s="27" t="n">
        <f aca="false">'Player Data'!U99</f>
        <v>2027</v>
      </c>
      <c r="W99" s="21" t="str">
        <f aca="false">IF(AND(T99&gt;=Assumptions!$B$19,U99="No"),"High Priority - Unrepresented",IF(T99&gt;=Assumptions!$B$19,"High Priority",IF(AND(T99&gt;=Assumptions!$B$20,U99="No"),"Watchlist - Unrepresented",IF(T99&gt;=Assumptions!$B$20,"Watchlist",""))))</f>
        <v/>
      </c>
      <c r="X99" s="21" t="str">
        <f aca="false">'Player Data'!V99</f>
        <v>info@christchurchwanderers.nz</v>
      </c>
      <c r="Y99" s="28" t="str">
        <f aca="false">'Player Data'!W99</f>
        <v>Club sporting director / first-team office</v>
      </c>
      <c r="Z99" s="28" t="str">
        <f aca="false">'Player Data'!X99</f>
        <v>NZF (New Zealand Football) player registry</v>
      </c>
      <c r="AA99" s="19" t="str">
        <f aca="false">HYPERLINK("https://www.transfermarkt.com/schnellsuche/ergebnis/schnellsuche?query="&amp;SUBSTITUTE(A99," ","+"),"Search Transfermarkt")</f>
        <v>Search Transfermarkt</v>
      </c>
      <c r="AB99" s="29" t="n">
        <f aca="false">IFERROR('Player Data'!K99/('Player Data'!K99+'Player Data'!L99),0)</f>
        <v>0.677777777777778</v>
      </c>
      <c r="AC99" s="21" t="str">
        <f aca="false">IF(B99="GK",IF(AND(O99&gt;=Assumptions!$B$23,N99&gt;=Assumptions!$B$23),"Sweeper-Keeper / Build-from-the-Back",IF(O99&gt;=Assumptions!$B$23,"Sweeper-Keeper / High Line",IF(M99&gt;=Assumptions!$B$23,"Shot-Stopper / Traditional","Flexible / Multi-System"))),IF(AND(O99&gt;=Assumptions!$B$23,P99&gt;=Assumptions!$B$24),"High Press / Gegenpressing",IF(AND(N99&gt;=Assumptions!$B$23,AB99&gt;=Assumptions!$B$25),"Possession / Build-from-the-Back",IF(N99&gt;=Assumptions!$B$23,"Counter-Attack / Transition",IF(AND(O99&gt;=Assumptions!$B$23,N99&lt;Assumptions!$B$26),"Low Block / Park the Bus",IF(AND(B99="FW",M99&gt;=Assumptions!$B$23,N99&lt;Assumptions!$B$26),"Direct / Target Approach","Flexible / Multi-System"))))))</f>
        <v>Flexible / Multi-System</v>
      </c>
      <c r="AD99" s="21" t="str">
        <f aca="false">'Player Data'!Y99</f>
        <v>2026-07-14</v>
      </c>
      <c r="AE99" s="21" t="str">
        <f aca="false">'Player Data'!Z99</f>
        <v>2026-07-15</v>
      </c>
      <c r="AF99" s="28" t="str">
        <f aca="false">IFERROR(INDEX(Assumptions!$B$30:$B$61,MATCH(C99,Assumptions!$A$30:$A$61,0)),"--")</f>
        <v>Australia, United States</v>
      </c>
      <c r="AG99" s="30" t="str">
        <f aca="false">IF(R99&gt;=0.7,"Step-Up Candidate",IF(R99&gt;=0.4,"Lateral Move","Stay &amp; Develop"))</f>
        <v>Stay &amp; Develop</v>
      </c>
    </row>
    <row r="100" customFormat="false" ht="23.85" hidden="false" customHeight="false" outlineLevel="0" collapsed="false">
      <c r="A100" s="21" t="str">
        <f aca="false">'Player Data'!A100</f>
        <v>Anthony Palacios</v>
      </c>
      <c r="B100" s="21" t="str">
        <f aca="false">'Player Data'!F100</f>
        <v>MF</v>
      </c>
      <c r="C100" s="21" t="str">
        <f aca="false">'Player Data'!B100</f>
        <v>Honduras</v>
      </c>
      <c r="D100" s="21" t="str">
        <f aca="false">'Player Data'!C100</f>
        <v>Honduras Third Tier - North</v>
      </c>
      <c r="E100" s="21" t="n">
        <f aca="false">'Player Data'!D100</f>
        <v>4</v>
      </c>
      <c r="F100" s="21" t="n">
        <f aca="false">'Player Data'!G100</f>
        <v>19</v>
      </c>
      <c r="G100" s="21" t="n">
        <f aca="false">'Player Data'!H100</f>
        <v>1479</v>
      </c>
      <c r="H100" s="22" t="n">
        <f aca="false">IF(B100="GK",IFERROR(('Player Data'!N100-1.5*'Player Data'!O100)/'Player Data'!H100*90,0),IFERROR(('Player Data'!I100+'Player Data'!J100)/'Player Data'!H100*90,0))</f>
        <v>0.791075050709939</v>
      </c>
      <c r="I100" s="22" t="n">
        <f aca="false">IF(B100="GK",'Player Data'!P100,IFERROR(('Player Data'!K100+'Player Data'!L100)/'Player Data'!H100*90,0))</f>
        <v>11.7444219066937</v>
      </c>
      <c r="J100" s="22" t="n">
        <f aca="false">IF(B100="GK",IFERROR('Player Data'!Q100/'Player Data'!H100*90,0),IFERROR('Player Data'!M100/'Player Data'!H100*90,0))</f>
        <v>2.79918864097363</v>
      </c>
      <c r="K100" s="23" t="n">
        <f aca="false">'Player Data'!S100</f>
        <v>145990</v>
      </c>
      <c r="L100" s="22" t="n">
        <f aca="false">INDEX(Assumptions!$B$13:$B$15,MATCH(E100,Assumptions!$A$13:$A$15,0))</f>
        <v>0.7</v>
      </c>
      <c r="M100" s="24" t="n">
        <f aca="false">IFERROR(SUMPRODUCT(($B$2:$B$1001=B100)*($H$2:$H$1001&lt;=H100))/SUMPRODUCT(($B$2:$B$1001=B100)*1),0)</f>
        <v>0.579124579124579</v>
      </c>
      <c r="N100" s="24" t="n">
        <f aca="false">IFERROR(SUMPRODUCT(($B$2:$B$1001=B100)*($I$2:$I$1001&lt;=I100))/SUMPRODUCT(($B$2:$B$1001=B100)*1),0)</f>
        <v>0.565656565656566</v>
      </c>
      <c r="O100" s="24" t="n">
        <f aca="false">IFERROR(SUMPRODUCT(($B$2:$B$1001=B100)*($J$2:$J$1001&lt;=J100))/SUMPRODUCT(($B$2:$B$1001=B100)*1),0)</f>
        <v>0.740740740740741</v>
      </c>
      <c r="P100" s="24" t="n">
        <f aca="false">IFERROR(SUMPRODUCT(($B$2:$B$1001=B100)*((0-$F$2:$F$1001)&lt;=(0-F100)))/SUMPRODUCT(($B$2:$B$1001=B100)*1),0)</f>
        <v>0.868686868686869</v>
      </c>
      <c r="Q100" s="25" t="n">
        <f aca="false">(M100*Assumptions!$B$5+N100*Assumptions!$B$6+O100*Assumptions!$B$7+P100*Assumptions!$B$8)*L100</f>
        <v>0.465252525252525</v>
      </c>
      <c r="R100" s="24" t="n">
        <f aca="false">IFERROR(SUMPRODUCT(($B$2:$B$1001=B100)*($Q$2:$Q$1001&lt;=Q100))/SUMPRODUCT(($B$2:$B$1001=B100)*1),0)</f>
        <v>0.562289562289562</v>
      </c>
      <c r="S100" s="24" t="n">
        <f aca="false">IFERROR(SUMPRODUCT(($B$2:$B$1001=B100)*($K$2:$K$1001&lt;=K100))/SUMPRODUCT(($B$2:$B$1001=B100)*1),0)</f>
        <v>0.98989898989899</v>
      </c>
      <c r="T100" s="26" t="n">
        <f aca="false">(R100-S100)*100</f>
        <v>-42.7609427609428</v>
      </c>
      <c r="U100" s="21" t="str">
        <f aca="false">'Player Data'!T100</f>
        <v>No</v>
      </c>
      <c r="V100" s="27" t="n">
        <f aca="false">'Player Data'!U100</f>
        <v>2029</v>
      </c>
      <c r="W100" s="21" t="str">
        <f aca="false">IF(AND(T100&gt;=Assumptions!$B$19,U100="No"),"High Priority - Unrepresented",IF(T100&gt;=Assumptions!$B$19,"High Priority",IF(AND(T100&gt;=Assumptions!$B$20,U100="No"),"Watchlist - Unrepresented",IF(T100&gt;=Assumptions!$B$20,"Watchlist",""))))</f>
        <v/>
      </c>
      <c r="X100" s="21" t="str">
        <f aca="false">'Player Data'!V100</f>
        <v>info@cholutecarovers.hn</v>
      </c>
      <c r="Y100" s="28" t="str">
        <f aca="false">'Player Data'!W100</f>
        <v>Club sporting director / first-team office</v>
      </c>
      <c r="Z100" s="28" t="str">
        <f aca="false">'Player Data'!X100</f>
        <v>FENAFUTH (Honduran Football Federation) player registry</v>
      </c>
      <c r="AA100" s="19" t="str">
        <f aca="false">HYPERLINK("https://www.transfermarkt.com/schnellsuche/ergebnis/schnellsuche?query="&amp;SUBSTITUTE(A100," ","+"),"Search Transfermarkt")</f>
        <v>Search Transfermarkt</v>
      </c>
      <c r="AB100" s="29" t="n">
        <f aca="false">IFERROR('Player Data'!K100/('Player Data'!K100+'Player Data'!L100),0)</f>
        <v>0.616580310880829</v>
      </c>
      <c r="AC100" s="21" t="str">
        <f aca="false">IF(B100="GK",IF(AND(O100&gt;=Assumptions!$B$23,N100&gt;=Assumptions!$B$23),"Sweeper-Keeper / Build-from-the-Back",IF(O100&gt;=Assumptions!$B$23,"Sweeper-Keeper / High Line",IF(M100&gt;=Assumptions!$B$23,"Shot-Stopper / Traditional","Flexible / Multi-System"))),IF(AND(O100&gt;=Assumptions!$B$23,P100&gt;=Assumptions!$B$24),"High Press / Gegenpressing",IF(AND(N100&gt;=Assumptions!$B$23,AB100&gt;=Assumptions!$B$25),"Possession / Build-from-the-Back",IF(N100&gt;=Assumptions!$B$23,"Counter-Attack / Transition",IF(AND(O100&gt;=Assumptions!$B$23,N100&lt;Assumptions!$B$26),"Low Block / Park the Bus",IF(AND(B100="FW",M100&gt;=Assumptions!$B$23,N100&lt;Assumptions!$B$26),"Direct / Target Approach","Flexible / Multi-System"))))))</f>
        <v>High Press / Gegenpressing</v>
      </c>
      <c r="AD100" s="21" t="str">
        <f aca="false">'Player Data'!Y100</f>
        <v>2026-07-14</v>
      </c>
      <c r="AE100" s="21" t="str">
        <f aca="false">'Player Data'!Z100</f>
        <v>2026-07-15</v>
      </c>
      <c r="AF100" s="28" t="str">
        <f aca="false">IFERROR(INDEX(Assumptions!$B$30:$B$61,MATCH(C100,Assumptions!$A$30:$A$61,0)),"--")</f>
        <v>Mexico, United States</v>
      </c>
      <c r="AG100" s="30" t="str">
        <f aca="false">IF(R100&gt;=0.7,"Step-Up Candidate",IF(R100&gt;=0.4,"Lateral Move","Stay &amp; Develop"))</f>
        <v>Lateral Move</v>
      </c>
    </row>
    <row r="101" customFormat="false" ht="23.85" hidden="false" customHeight="false" outlineLevel="0" collapsed="false">
      <c r="A101" s="21" t="str">
        <f aca="false">'Player Data'!A101</f>
        <v>Amadou Sidibe</v>
      </c>
      <c r="B101" s="21" t="str">
        <f aca="false">'Player Data'!F101</f>
        <v>DF</v>
      </c>
      <c r="C101" s="21" t="str">
        <f aca="false">'Player Data'!B101</f>
        <v>Mali</v>
      </c>
      <c r="D101" s="21" t="str">
        <f aca="false">'Player Data'!C101</f>
        <v>Mali Amateur League</v>
      </c>
      <c r="E101" s="21" t="n">
        <f aca="false">'Player Data'!D101</f>
        <v>2</v>
      </c>
      <c r="F101" s="21" t="n">
        <f aca="false">'Player Data'!G101</f>
        <v>19</v>
      </c>
      <c r="G101" s="21" t="n">
        <f aca="false">'Player Data'!H101</f>
        <v>1472</v>
      </c>
      <c r="H101" s="22" t="n">
        <f aca="false">IF(B101="GK",IFERROR(('Player Data'!N101-1.5*'Player Data'!O101)/'Player Data'!H101*90,0),IFERROR(('Player Data'!I101+'Player Data'!J101)/'Player Data'!H101*90,0))</f>
        <v>0.427989130434783</v>
      </c>
      <c r="I101" s="22" t="n">
        <f aca="false">IF(B101="GK",'Player Data'!P101,IFERROR(('Player Data'!K101+'Player Data'!L101)/'Player Data'!H101*90,0))</f>
        <v>5.74728260869565</v>
      </c>
      <c r="J101" s="22" t="n">
        <f aca="false">IF(B101="GK",IFERROR('Player Data'!Q101/'Player Data'!H101*90,0),IFERROR('Player Data'!M101/'Player Data'!H101*90,0))</f>
        <v>5.56385869565217</v>
      </c>
      <c r="K101" s="23" t="n">
        <f aca="false">'Player Data'!S101</f>
        <v>79441</v>
      </c>
      <c r="L101" s="22" t="n">
        <f aca="false">INDEX(Assumptions!$B$13:$B$15,MATCH(E101,Assumptions!$A$13:$A$15,0))</f>
        <v>1</v>
      </c>
      <c r="M101" s="24" t="n">
        <f aca="false">IFERROR(SUMPRODUCT(($B$2:$B$1001=B101)*($H$2:$H$1001&lt;=H101))/SUMPRODUCT(($B$2:$B$1001=B101)*1),0)</f>
        <v>0.921768707482993</v>
      </c>
      <c r="N101" s="24" t="n">
        <f aca="false">IFERROR(SUMPRODUCT(($B$2:$B$1001=B101)*($I$2:$I$1001&lt;=I101))/SUMPRODUCT(($B$2:$B$1001=B101)*1),0)</f>
        <v>0.710884353741497</v>
      </c>
      <c r="O101" s="24" t="n">
        <f aca="false">IFERROR(SUMPRODUCT(($B$2:$B$1001=B101)*($J$2:$J$1001&lt;=J101))/SUMPRODUCT(($B$2:$B$1001=B101)*1),0)</f>
        <v>0.534013605442177</v>
      </c>
      <c r="P101" s="24" t="n">
        <f aca="false">IFERROR(SUMPRODUCT(($B$2:$B$1001=B101)*((0-$F$2:$F$1001)&lt;=(0-F101)))/SUMPRODUCT(($B$2:$B$1001=B101)*1),0)</f>
        <v>0.738095238095238</v>
      </c>
      <c r="Q101" s="25" t="n">
        <f aca="false">(M101*Assumptions!$B$5+N101*Assumptions!$B$6+O101*Assumptions!$B$7+P101*Assumptions!$B$8)*L101</f>
        <v>0.733673469387755</v>
      </c>
      <c r="R101" s="24" t="n">
        <f aca="false">IFERROR(SUMPRODUCT(($B$2:$B$1001=B101)*($Q$2:$Q$1001&lt;=Q101))/SUMPRODUCT(($B$2:$B$1001=B101)*1),0)</f>
        <v>0.908163265306123</v>
      </c>
      <c r="S101" s="24" t="n">
        <f aca="false">IFERROR(SUMPRODUCT(($B$2:$B$1001=B101)*($K$2:$K$1001&lt;=K101))/SUMPRODUCT(($B$2:$B$1001=B101)*1),0)</f>
        <v>0.608843537414966</v>
      </c>
      <c r="T101" s="26" t="n">
        <f aca="false">(R101-S101)*100</f>
        <v>29.9319727891156</v>
      </c>
      <c r="U101" s="21" t="str">
        <f aca="false">'Player Data'!T101</f>
        <v>Unknown</v>
      </c>
      <c r="V101" s="27" t="n">
        <f aca="false">'Player Data'!U101</f>
        <v>2028</v>
      </c>
      <c r="W101" s="21" t="str">
        <f aca="false">IF(AND(T101&gt;=Assumptions!$B$19,U101="No"),"High Priority - Unrepresented",IF(T101&gt;=Assumptions!$B$19,"High Priority",IF(AND(T101&gt;=Assumptions!$B$20,U101="No"),"Watchlist - Unrepresented",IF(T101&gt;=Assumptions!$B$20,"Watchlist",""))))</f>
        <v>Watchlist</v>
      </c>
      <c r="X101" s="21" t="str">
        <f aca="false">'Player Data'!V101</f>
        <v>info@sikassotown.ml</v>
      </c>
      <c r="Y101" s="28" t="str">
        <f aca="false">'Player Data'!W101</f>
        <v>Club sporting director / first-team office</v>
      </c>
      <c r="Z101" s="28" t="str">
        <f aca="false">'Player Data'!X101</f>
        <v>FEMAFOOT (Malian Football Federation) player registry</v>
      </c>
      <c r="AA101" s="19" t="str">
        <f aca="false">HYPERLINK("https://www.transfermarkt.com/schnellsuche/ergebnis/schnellsuche?query="&amp;SUBSTITUTE(A101," ","+"),"Search Transfermarkt")</f>
        <v>Search Transfermarkt</v>
      </c>
      <c r="AB101" s="29" t="n">
        <f aca="false">IFERROR('Player Data'!K101/('Player Data'!K101+'Player Data'!L101),0)</f>
        <v>0.723404255319149</v>
      </c>
      <c r="AC101" s="21" t="str">
        <f aca="false">IF(B101="GK",IF(AND(O101&gt;=Assumptions!$B$23,N101&gt;=Assumptions!$B$23),"Sweeper-Keeper / Build-from-the-Back",IF(O101&gt;=Assumptions!$B$23,"Sweeper-Keeper / High Line",IF(M101&gt;=Assumptions!$B$23,"Shot-Stopper / Traditional","Flexible / Multi-System"))),IF(AND(O101&gt;=Assumptions!$B$23,P101&gt;=Assumptions!$B$24),"High Press / Gegenpressing",IF(AND(N101&gt;=Assumptions!$B$23,AB101&gt;=Assumptions!$B$25),"Possession / Build-from-the-Back",IF(N101&gt;=Assumptions!$B$23,"Counter-Attack / Transition",IF(AND(O101&gt;=Assumptions!$B$23,N101&lt;Assumptions!$B$26),"Low Block / Park the Bus",IF(AND(B101="FW",M101&gt;=Assumptions!$B$23,N101&lt;Assumptions!$B$26),"Direct / Target Approach","Flexible / Multi-System"))))))</f>
        <v>Possession / Build-from-the-Back</v>
      </c>
      <c r="AD101" s="21" t="str">
        <f aca="false">'Player Data'!Y101</f>
        <v>2026-07-14</v>
      </c>
      <c r="AE101" s="21" t="str">
        <f aca="false">'Player Data'!Z101</f>
        <v>2026-07-15</v>
      </c>
      <c r="AF101" s="28" t="str">
        <f aca="false">IFERROR(INDEX(Assumptions!$B$30:$B$61,MATCH(C101,Assumptions!$A$30:$A$61,0)),"--")</f>
        <v>Belgium, Portugal</v>
      </c>
      <c r="AG101" s="30" t="str">
        <f aca="false">IF(R101&gt;=0.7,"Step-Up Candidate",IF(R101&gt;=0.4,"Lateral Move","Stay &amp; Develop"))</f>
        <v>Step-Up Candidate</v>
      </c>
    </row>
    <row r="102" customFormat="false" ht="23.85" hidden="false" customHeight="false" outlineLevel="0" collapsed="false">
      <c r="A102" s="21" t="str">
        <f aca="false">'Player Data'!A102</f>
        <v>Bruno Acosta</v>
      </c>
      <c r="B102" s="21" t="str">
        <f aca="false">'Player Data'!F102</f>
        <v>DF</v>
      </c>
      <c r="C102" s="21" t="str">
        <f aca="false">'Player Data'!B102</f>
        <v>Uruguay</v>
      </c>
      <c r="D102" s="21" t="str">
        <f aca="false">'Player Data'!C102</f>
        <v>Uruguay Third Tier - South</v>
      </c>
      <c r="E102" s="21" t="n">
        <f aca="false">'Player Data'!D102</f>
        <v>3</v>
      </c>
      <c r="F102" s="21" t="n">
        <f aca="false">'Player Data'!G102</f>
        <v>21</v>
      </c>
      <c r="G102" s="21" t="n">
        <f aca="false">'Player Data'!H102</f>
        <v>960</v>
      </c>
      <c r="H102" s="22" t="n">
        <f aca="false">IF(B102="GK",IFERROR(('Player Data'!N102-1.5*'Player Data'!O102)/'Player Data'!H102*90,0),IFERROR(('Player Data'!I102+'Player Data'!J102)/'Player Data'!H102*90,0))</f>
        <v>0</v>
      </c>
      <c r="I102" s="22" t="n">
        <f aca="false">IF(B102="GK",'Player Data'!P102,IFERROR(('Player Data'!K102+'Player Data'!L102)/'Player Data'!H102*90,0))</f>
        <v>7.6875</v>
      </c>
      <c r="J102" s="22" t="n">
        <f aca="false">IF(B102="GK",IFERROR('Player Data'!Q102/'Player Data'!H102*90,0),IFERROR('Player Data'!M102/'Player Data'!H102*90,0))</f>
        <v>8.34375</v>
      </c>
      <c r="K102" s="23" t="n">
        <f aca="false">'Player Data'!S102</f>
        <v>25128</v>
      </c>
      <c r="L102" s="22" t="n">
        <f aca="false">INDEX(Assumptions!$B$13:$B$15,MATCH(E102,Assumptions!$A$13:$A$15,0))</f>
        <v>0.85</v>
      </c>
      <c r="M102" s="24" t="n">
        <f aca="false">IFERROR(SUMPRODUCT(($B$2:$B$1001=B102)*($H$2:$H$1001&lt;=H102))/SUMPRODUCT(($B$2:$B$1001=B102)*1),0)</f>
        <v>0.0408163265306122</v>
      </c>
      <c r="N102" s="24" t="n">
        <f aca="false">IFERROR(SUMPRODUCT(($B$2:$B$1001=B102)*($I$2:$I$1001&lt;=I102))/SUMPRODUCT(($B$2:$B$1001=B102)*1),0)</f>
        <v>0.877551020408163</v>
      </c>
      <c r="O102" s="24" t="n">
        <f aca="false">IFERROR(SUMPRODUCT(($B$2:$B$1001=B102)*($J$2:$J$1001&lt;=J102))/SUMPRODUCT(($B$2:$B$1001=B102)*1),0)</f>
        <v>0.870748299319728</v>
      </c>
      <c r="P102" s="24" t="n">
        <f aca="false">IFERROR(SUMPRODUCT(($B$2:$B$1001=B102)*((0-$F$2:$F$1001)&lt;=(0-F102)))/SUMPRODUCT(($B$2:$B$1001=B102)*1),0)</f>
        <v>0.568027210884354</v>
      </c>
      <c r="Q102" s="25" t="n">
        <f aca="false">(M102*Assumptions!$B$5+N102*Assumptions!$B$6+O102*Assumptions!$B$7+P102*Assumptions!$B$8)*L102</f>
        <v>0.514336734693878</v>
      </c>
      <c r="R102" s="24" t="n">
        <f aca="false">IFERROR(SUMPRODUCT(($B$2:$B$1001=B102)*($Q$2:$Q$1001&lt;=Q102))/SUMPRODUCT(($B$2:$B$1001=B102)*1),0)</f>
        <v>0.642857142857143</v>
      </c>
      <c r="S102" s="24" t="n">
        <f aca="false">IFERROR(SUMPRODUCT(($B$2:$B$1001=B102)*($K$2:$K$1001&lt;=K102))/SUMPRODUCT(($B$2:$B$1001=B102)*1),0)</f>
        <v>0.336734693877551</v>
      </c>
      <c r="T102" s="26" t="n">
        <f aca="false">(R102-S102)*100</f>
        <v>30.6122448979592</v>
      </c>
      <c r="U102" s="21" t="str">
        <f aca="false">'Player Data'!T102</f>
        <v>Yes</v>
      </c>
      <c r="V102" s="27" t="n">
        <f aca="false">'Player Data'!U102</f>
        <v>2029</v>
      </c>
      <c r="W102" s="21" t="str">
        <f aca="false">IF(AND(T102&gt;=Assumptions!$B$19,U102="No"),"High Priority - Unrepresented",IF(T102&gt;=Assumptions!$B$19,"High Priority",IF(AND(T102&gt;=Assumptions!$B$20,U102="No"),"Watchlist - Unrepresented",IF(T102&gt;=Assumptions!$B$20,"Watchlist",""))))</f>
        <v>Watchlist</v>
      </c>
      <c r="X102" s="21" t="str">
        <f aca="false">'Player Data'!V102</f>
        <v>info@montevideorovers.uy</v>
      </c>
      <c r="Y102" s="28" t="str">
        <f aca="false">'Player Data'!W102</f>
        <v>Go through the player's agent - ask the club to confirm representation first</v>
      </c>
      <c r="Z102" s="28" t="str">
        <f aca="false">'Player Data'!X102</f>
        <v>AUF (Uruguayan Football Association) player registry</v>
      </c>
      <c r="AA102" s="19" t="str">
        <f aca="false">HYPERLINK("https://www.transfermarkt.com/schnellsuche/ergebnis/schnellsuche?query="&amp;SUBSTITUTE(A102," ","+"),"Search Transfermarkt")</f>
        <v>Search Transfermarkt</v>
      </c>
      <c r="AB102" s="29" t="n">
        <f aca="false">IFERROR('Player Data'!K102/('Player Data'!K102+'Player Data'!L102),0)</f>
        <v>0.670731707317073</v>
      </c>
      <c r="AC102" s="21" t="str">
        <f aca="false">IF(B102="GK",IF(AND(O102&gt;=Assumptions!$B$23,N102&gt;=Assumptions!$B$23),"Sweeper-Keeper / Build-from-the-Back",IF(O102&gt;=Assumptions!$B$23,"Sweeper-Keeper / High Line",IF(M102&gt;=Assumptions!$B$23,"Shot-Stopper / Traditional","Flexible / Multi-System"))),IF(AND(O102&gt;=Assumptions!$B$23,P102&gt;=Assumptions!$B$24),"High Press / Gegenpressing",IF(AND(N102&gt;=Assumptions!$B$23,AB102&gt;=Assumptions!$B$25),"Possession / Build-from-the-Back",IF(N102&gt;=Assumptions!$B$23,"Counter-Attack / Transition",IF(AND(O102&gt;=Assumptions!$B$23,N102&lt;Assumptions!$B$26),"Low Block / Park the Bus",IF(AND(B102="FW",M102&gt;=Assumptions!$B$23,N102&lt;Assumptions!$B$26),"Direct / Target Approach","Flexible / Multi-System"))))))</f>
        <v>High Press / Gegenpressing</v>
      </c>
      <c r="AD102" s="21" t="str">
        <f aca="false">'Player Data'!Y102</f>
        <v>2026-07-15</v>
      </c>
      <c r="AE102" s="21" t="str">
        <f aca="false">'Player Data'!Z102</f>
        <v>2026-07-15</v>
      </c>
      <c r="AF102" s="28" t="str">
        <f aca="false">IFERROR(INDEX(Assumptions!$B$30:$B$61,MATCH(C102,Assumptions!$A$30:$A$61,0)),"--")</f>
        <v>Argentina, Portugal</v>
      </c>
      <c r="AG102" s="30" t="str">
        <f aca="false">IF(R102&gt;=0.7,"Step-Up Candidate",IF(R102&gt;=0.4,"Lateral Move","Stay &amp; Develop"))</f>
        <v>Lateral Move</v>
      </c>
    </row>
    <row r="103" customFormat="false" ht="23.85" hidden="false" customHeight="false" outlineLevel="0" collapsed="false">
      <c r="A103" s="21" t="str">
        <f aca="false">'Player Data'!A103</f>
        <v>Anderson Rojas</v>
      </c>
      <c r="B103" s="21" t="str">
        <f aca="false">'Player Data'!F103</f>
        <v>FW</v>
      </c>
      <c r="C103" s="21" t="str">
        <f aca="false">'Player Data'!B103</f>
        <v>Venezuela</v>
      </c>
      <c r="D103" s="21" t="str">
        <f aca="false">'Player Data'!C103</f>
        <v>Venezuela Second Division</v>
      </c>
      <c r="E103" s="21" t="n">
        <f aca="false">'Player Data'!D103</f>
        <v>2</v>
      </c>
      <c r="F103" s="21" t="n">
        <f aca="false">'Player Data'!G103</f>
        <v>26</v>
      </c>
      <c r="G103" s="21" t="n">
        <f aca="false">'Player Data'!H103</f>
        <v>1364</v>
      </c>
      <c r="H103" s="22" t="n">
        <f aca="false">IF(B103="GK",IFERROR(('Player Data'!N103-1.5*'Player Data'!O103)/'Player Data'!H103*90,0),IFERROR(('Player Data'!I103+'Player Data'!J103)/'Player Data'!H103*90,0))</f>
        <v>0.725806451612903</v>
      </c>
      <c r="I103" s="22" t="n">
        <f aca="false">IF(B103="GK",'Player Data'!P103,IFERROR(('Player Data'!K103+'Player Data'!L103)/'Player Data'!H103*90,0))</f>
        <v>8.24780058651026</v>
      </c>
      <c r="J103" s="22" t="n">
        <f aca="false">IF(B103="GK",IFERROR('Player Data'!Q103/'Player Data'!H103*90,0),IFERROR('Player Data'!M103/'Player Data'!H103*90,0))</f>
        <v>0.857771260997068</v>
      </c>
      <c r="K103" s="23" t="n">
        <f aca="false">'Player Data'!S103</f>
        <v>0</v>
      </c>
      <c r="L103" s="22" t="n">
        <f aca="false">INDEX(Assumptions!$B$13:$B$15,MATCH(E103,Assumptions!$A$13:$A$15,0))</f>
        <v>1</v>
      </c>
      <c r="M103" s="24" t="n">
        <f aca="false">IFERROR(SUMPRODUCT(($B$2:$B$1001=B103)*($H$2:$H$1001&lt;=H103))/SUMPRODUCT(($B$2:$B$1001=B103)*1),0)</f>
        <v>0.247787610619469</v>
      </c>
      <c r="N103" s="24" t="n">
        <f aca="false">IFERROR(SUMPRODUCT(($B$2:$B$1001=B103)*($I$2:$I$1001&lt;=I103))/SUMPRODUCT(($B$2:$B$1001=B103)*1),0)</f>
        <v>0.690265486725664</v>
      </c>
      <c r="O103" s="24" t="n">
        <f aca="false">IFERROR(SUMPRODUCT(($B$2:$B$1001=B103)*($J$2:$J$1001&lt;=J103))/SUMPRODUCT(($B$2:$B$1001=B103)*1),0)</f>
        <v>0.836283185840708</v>
      </c>
      <c r="P103" s="24" t="n">
        <f aca="false">IFERROR(SUMPRODUCT(($B$2:$B$1001=B103)*((0-$F$2:$F$1001)&lt;=(0-F103)))/SUMPRODUCT(($B$2:$B$1001=B103)*1),0)</f>
        <v>0.0929203539823009</v>
      </c>
      <c r="Q103" s="25" t="n">
        <f aca="false">(M103*Assumptions!$B$5+N103*Assumptions!$B$6+O103*Assumptions!$B$7+P103*Assumptions!$B$8)*L103</f>
        <v>0.489380530973451</v>
      </c>
      <c r="R103" s="24" t="n">
        <f aca="false">IFERROR(SUMPRODUCT(($B$2:$B$1001=B103)*($Q$2:$Q$1001&lt;=Q103))/SUMPRODUCT(($B$2:$B$1001=B103)*1),0)</f>
        <v>0.597345132743363</v>
      </c>
      <c r="S103" s="24" t="n">
        <f aca="false">IFERROR(SUMPRODUCT(($B$2:$B$1001=B103)*($K$2:$K$1001&lt;=K103))/SUMPRODUCT(($B$2:$B$1001=B103)*1),0)</f>
        <v>0.261061946902655</v>
      </c>
      <c r="T103" s="26" t="n">
        <f aca="false">(R103-S103)*100</f>
        <v>33.6283185840708</v>
      </c>
      <c r="U103" s="21" t="str">
        <f aca="false">'Player Data'!T103</f>
        <v>Unknown</v>
      </c>
      <c r="V103" s="27" t="n">
        <f aca="false">'Player Data'!U103</f>
        <v>2026</v>
      </c>
      <c r="W103" s="21" t="str">
        <f aca="false">IF(AND(T103&gt;=Assumptions!$B$19,U103="No"),"High Priority - Unrepresented",IF(T103&gt;=Assumptions!$B$19,"High Priority",IF(AND(T103&gt;=Assumptions!$B$20,U103="No"),"Watchlist - Unrepresented",IF(T103&gt;=Assumptions!$B$20,"Watchlist",""))))</f>
        <v>Watchlist</v>
      </c>
      <c r="X103" s="21" t="str">
        <f aca="false">'Player Data'!V103</f>
        <v>info@caracastown.ve</v>
      </c>
      <c r="Y103" s="28" t="str">
        <f aca="false">'Player Data'!W103</f>
        <v>Club sporting director / first-team office</v>
      </c>
      <c r="Z103" s="28" t="str">
        <f aca="false">'Player Data'!X103</f>
        <v>FVF (Venezuelan Football Federation) player registry</v>
      </c>
      <c r="AA103" s="19" t="str">
        <f aca="false">HYPERLINK("https://www.transfermarkt.com/schnellsuche/ergebnis/schnellsuche?query="&amp;SUBSTITUTE(A103," ","+"),"Search Transfermarkt")</f>
        <v>Search Transfermarkt</v>
      </c>
      <c r="AB103" s="29" t="n">
        <f aca="false">IFERROR('Player Data'!K103/('Player Data'!K103+'Player Data'!L103),0)</f>
        <v>0.496</v>
      </c>
      <c r="AC103" s="21" t="str">
        <f aca="false">IF(B103="GK",IF(AND(O103&gt;=Assumptions!$B$23,N103&gt;=Assumptions!$B$23),"Sweeper-Keeper / Build-from-the-Back",IF(O103&gt;=Assumptions!$B$23,"Sweeper-Keeper / High Line",IF(M103&gt;=Assumptions!$B$23,"Shot-Stopper / Traditional","Flexible / Multi-System"))),IF(AND(O103&gt;=Assumptions!$B$23,P103&gt;=Assumptions!$B$24),"High Press / Gegenpressing",IF(AND(N103&gt;=Assumptions!$B$23,AB103&gt;=Assumptions!$B$25),"Possession / Build-from-the-Back",IF(N103&gt;=Assumptions!$B$23,"Counter-Attack / Transition",IF(AND(O103&gt;=Assumptions!$B$23,N103&lt;Assumptions!$B$26),"Low Block / Park the Bus",IF(AND(B103="FW",M103&gt;=Assumptions!$B$23,N103&lt;Assumptions!$B$26),"Direct / Target Approach","Flexible / Multi-System"))))))</f>
        <v>Counter-Attack / Transition</v>
      </c>
      <c r="AD103" s="21" t="str">
        <f aca="false">'Player Data'!Y103</f>
        <v>2026-07-15</v>
      </c>
      <c r="AE103" s="21" t="str">
        <f aca="false">'Player Data'!Z103</f>
        <v>2026-07-15</v>
      </c>
      <c r="AF103" s="28" t="str">
        <f aca="false">IFERROR(INDEX(Assumptions!$B$30:$B$61,MATCH(C103,Assumptions!$A$30:$A$61,0)),"--")</f>
        <v>Argentina, Portugal</v>
      </c>
      <c r="AG103" s="30" t="str">
        <f aca="false">IF(R103&gt;=0.7,"Step-Up Candidate",IF(R103&gt;=0.4,"Lateral Move","Stay &amp; Develop"))</f>
        <v>Lateral Move</v>
      </c>
    </row>
    <row r="104" customFormat="false" ht="23.85" hidden="false" customHeight="false" outlineLevel="0" collapsed="false">
      <c r="A104" s="21" t="str">
        <f aca="false">'Player Data'!A104</f>
        <v>Hussein Mahmoud</v>
      </c>
      <c r="B104" s="21" t="str">
        <f aca="false">'Player Data'!F104</f>
        <v>DF</v>
      </c>
      <c r="C104" s="21" t="str">
        <f aca="false">'Player Data'!B104</f>
        <v>Iraq</v>
      </c>
      <c r="D104" s="21" t="str">
        <f aca="false">'Player Data'!C104</f>
        <v>Iraq Second Division</v>
      </c>
      <c r="E104" s="21" t="n">
        <f aca="false">'Player Data'!D104</f>
        <v>4</v>
      </c>
      <c r="F104" s="21" t="n">
        <f aca="false">'Player Data'!G104</f>
        <v>23</v>
      </c>
      <c r="G104" s="21" t="n">
        <f aca="false">'Player Data'!H104</f>
        <v>1426</v>
      </c>
      <c r="H104" s="22" t="n">
        <f aca="false">IF(B104="GK",IFERROR(('Player Data'!N104-1.5*'Player Data'!O104)/'Player Data'!H104*90,0),IFERROR(('Player Data'!I104+'Player Data'!J104)/'Player Data'!H104*90,0))</f>
        <v>0.189340813464236</v>
      </c>
      <c r="I104" s="22" t="n">
        <f aca="false">IF(B104="GK",'Player Data'!P104,IFERROR(('Player Data'!K104+'Player Data'!L104)/'Player Data'!H104*90,0))</f>
        <v>3.84992987377279</v>
      </c>
      <c r="J104" s="22" t="n">
        <f aca="false">IF(B104="GK",IFERROR('Player Data'!Q104/'Player Data'!H104*90,0),IFERROR('Player Data'!M104/'Player Data'!H104*90,0))</f>
        <v>5.55399719495091</v>
      </c>
      <c r="K104" s="23" t="n">
        <f aca="false">'Player Data'!S104</f>
        <v>42732</v>
      </c>
      <c r="L104" s="22" t="n">
        <f aca="false">INDEX(Assumptions!$B$13:$B$15,MATCH(E104,Assumptions!$A$13:$A$15,0))</f>
        <v>0.7</v>
      </c>
      <c r="M104" s="24" t="n">
        <f aca="false">IFERROR(SUMPRODUCT(($B$2:$B$1001=B104)*($H$2:$H$1001&lt;=H104))/SUMPRODUCT(($B$2:$B$1001=B104)*1),0)</f>
        <v>0.506802721088435</v>
      </c>
      <c r="N104" s="24" t="n">
        <f aca="false">IFERROR(SUMPRODUCT(($B$2:$B$1001=B104)*($I$2:$I$1001&lt;=I104))/SUMPRODUCT(($B$2:$B$1001=B104)*1),0)</f>
        <v>0.363945578231293</v>
      </c>
      <c r="O104" s="24" t="n">
        <f aca="false">IFERROR(SUMPRODUCT(($B$2:$B$1001=B104)*($J$2:$J$1001&lt;=J104))/SUMPRODUCT(($B$2:$B$1001=B104)*1),0)</f>
        <v>0.530612244897959</v>
      </c>
      <c r="P104" s="24" t="n">
        <f aca="false">IFERROR(SUMPRODUCT(($B$2:$B$1001=B104)*((0-$F$2:$F$1001)&lt;=(0-F104)))/SUMPRODUCT(($B$2:$B$1001=B104)*1),0)</f>
        <v>0.374149659863946</v>
      </c>
      <c r="Q104" s="25" t="n">
        <f aca="false">(M104*Assumptions!$B$5+N104*Assumptions!$B$6+O104*Assumptions!$B$7+P104*Assumptions!$B$8)*L104</f>
        <v>0.30452380952381</v>
      </c>
      <c r="R104" s="24" t="n">
        <f aca="false">IFERROR(SUMPRODUCT(($B$2:$B$1001=B104)*($Q$2:$Q$1001&lt;=Q104))/SUMPRODUCT(($B$2:$B$1001=B104)*1),0)</f>
        <v>0.258503401360544</v>
      </c>
      <c r="S104" s="24" t="n">
        <f aca="false">IFERROR(SUMPRODUCT(($B$2:$B$1001=B104)*($K$2:$K$1001&lt;=K104))/SUMPRODUCT(($B$2:$B$1001=B104)*1),0)</f>
        <v>0.414965986394558</v>
      </c>
      <c r="T104" s="26" t="n">
        <f aca="false">(R104-S104)*100</f>
        <v>-15.6462585034014</v>
      </c>
      <c r="U104" s="21" t="str">
        <f aca="false">'Player Data'!T104</f>
        <v>Unknown</v>
      </c>
      <c r="V104" s="27" t="n">
        <f aca="false">'Player Data'!U104</f>
        <v>2027</v>
      </c>
      <c r="W104" s="21" t="str">
        <f aca="false">IF(AND(T104&gt;=Assumptions!$B$19,U104="No"),"High Priority - Unrepresented",IF(T104&gt;=Assumptions!$B$19,"High Priority",IF(AND(T104&gt;=Assumptions!$B$20,U104="No"),"Watchlist - Unrepresented",IF(T104&gt;=Assumptions!$B$20,"Watchlist",""))))</f>
        <v/>
      </c>
      <c r="X104" s="21" t="str">
        <f aca="false">'Player Data'!V104</f>
        <v>info@basraunited.iq</v>
      </c>
      <c r="Y104" s="28" t="str">
        <f aca="false">'Player Data'!W104</f>
        <v>Club sporting director / first-team office</v>
      </c>
      <c r="Z104" s="28" t="str">
        <f aca="false">'Player Data'!X104</f>
        <v>IFA (Iraq Football Association) player registry</v>
      </c>
      <c r="AA104" s="19" t="str">
        <f aca="false">HYPERLINK("https://www.transfermarkt.com/schnellsuche/ergebnis/schnellsuche?query="&amp;SUBSTITUTE(A104," ","+"),"Search Transfermarkt")</f>
        <v>Search Transfermarkt</v>
      </c>
      <c r="AB104" s="29" t="n">
        <f aca="false">IFERROR('Player Data'!K104/('Player Data'!K104+'Player Data'!L104),0)</f>
        <v>0.639344262295082</v>
      </c>
      <c r="AC104" s="21" t="str">
        <f aca="false">IF(B104="GK",IF(AND(O104&gt;=Assumptions!$B$23,N104&gt;=Assumptions!$B$23),"Sweeper-Keeper / Build-from-the-Back",IF(O104&gt;=Assumptions!$B$23,"Sweeper-Keeper / High Line",IF(M104&gt;=Assumptions!$B$23,"Shot-Stopper / Traditional","Flexible / Multi-System"))),IF(AND(O104&gt;=Assumptions!$B$23,P104&gt;=Assumptions!$B$24),"High Press / Gegenpressing",IF(AND(N104&gt;=Assumptions!$B$23,AB104&gt;=Assumptions!$B$25),"Possession / Build-from-the-Back",IF(N104&gt;=Assumptions!$B$23,"Counter-Attack / Transition",IF(AND(O104&gt;=Assumptions!$B$23,N104&lt;Assumptions!$B$26),"Low Block / Park the Bus",IF(AND(B104="FW",M104&gt;=Assumptions!$B$23,N104&lt;Assumptions!$B$26),"Direct / Target Approach","Flexible / Multi-System"))))))</f>
        <v>Flexible / Multi-System</v>
      </c>
      <c r="AD104" s="21" t="str">
        <f aca="false">'Player Data'!Y104</f>
        <v>2026-07-15</v>
      </c>
      <c r="AE104" s="21" t="str">
        <f aca="false">'Player Data'!Z104</f>
        <v>2026-07-15</v>
      </c>
      <c r="AF104" s="28" t="str">
        <f aca="false">IFERROR(INDEX(Assumptions!$B$30:$B$61,MATCH(C104,Assumptions!$A$30:$A$61,0)),"--")</f>
        <v>Turkey, Saudi Arabia</v>
      </c>
      <c r="AG104" s="30" t="str">
        <f aca="false">IF(R104&gt;=0.7,"Step-Up Candidate",IF(R104&gt;=0.4,"Lateral Move","Stay &amp; Develop"))</f>
        <v>Stay &amp; Develop</v>
      </c>
    </row>
    <row r="105" customFormat="false" ht="23.85" hidden="false" customHeight="false" outlineLevel="0" collapsed="false">
      <c r="A105" s="21" t="str">
        <f aca="false">'Player Data'!A105</f>
        <v>Bakary Diarra</v>
      </c>
      <c r="B105" s="21" t="str">
        <f aca="false">'Player Data'!F105</f>
        <v>GK</v>
      </c>
      <c r="C105" s="21" t="str">
        <f aca="false">'Player Data'!B105</f>
        <v>Mali</v>
      </c>
      <c r="D105" s="21" t="str">
        <f aca="false">'Player Data'!C105</f>
        <v>Mali Regional League</v>
      </c>
      <c r="E105" s="21" t="n">
        <f aca="false">'Player Data'!D105</f>
        <v>3</v>
      </c>
      <c r="F105" s="21" t="n">
        <f aca="false">'Player Data'!G105</f>
        <v>20</v>
      </c>
      <c r="G105" s="21" t="n">
        <f aca="false">'Player Data'!H105</f>
        <v>2649</v>
      </c>
      <c r="H105" s="22" t="n">
        <f aca="false">IF(B105="GK",IFERROR(('Player Data'!N105-1.5*'Player Data'!O105)/'Player Data'!H105*90,0),IFERROR(('Player Data'!I105+'Player Data'!J105)/'Player Data'!H105*90,0))</f>
        <v>-0.0509626274065685</v>
      </c>
      <c r="I105" s="22" t="n">
        <f aca="false">IF(B105="GK",'Player Data'!P105,IFERROR(('Player Data'!K105+'Player Data'!L105)/'Player Data'!H105*90,0))</f>
        <v>90.9</v>
      </c>
      <c r="J105" s="22" t="n">
        <f aca="false">IF(B105="GK",IFERROR('Player Data'!Q105/'Player Data'!H105*90,0),IFERROR('Player Data'!M105/'Player Data'!H105*90,0))</f>
        <v>0.173272933182333</v>
      </c>
      <c r="K105" s="23" t="n">
        <f aca="false">'Player Data'!S105</f>
        <v>0</v>
      </c>
      <c r="L105" s="22" t="n">
        <f aca="false">INDEX(Assumptions!$B$13:$B$15,MATCH(E105,Assumptions!$A$13:$A$15,0))</f>
        <v>0.85</v>
      </c>
      <c r="M105" s="24" t="n">
        <f aca="false">IFERROR(SUMPRODUCT(($B$2:$B$1001=B105)*($H$2:$H$1001&lt;=H105))/SUMPRODUCT(($B$2:$B$1001=B105)*1),0)</f>
        <v>0.169398907103825</v>
      </c>
      <c r="N105" s="24" t="n">
        <f aca="false">IFERROR(SUMPRODUCT(($B$2:$B$1001=B105)*($I$2:$I$1001&lt;=I105))/SUMPRODUCT(($B$2:$B$1001=B105)*1),0)</f>
        <v>0.989071038251366</v>
      </c>
      <c r="O105" s="24" t="n">
        <f aca="false">IFERROR(SUMPRODUCT(($B$2:$B$1001=B105)*($J$2:$J$1001&lt;=J105))/SUMPRODUCT(($B$2:$B$1001=B105)*1),0)</f>
        <v>0.0491803278688525</v>
      </c>
      <c r="P105" s="24" t="n">
        <f aca="false">IFERROR(SUMPRODUCT(($B$2:$B$1001=B105)*((0-$F$2:$F$1001)&lt;=(0-F105)))/SUMPRODUCT(($B$2:$B$1001=B105)*1),0)</f>
        <v>0.677595628415301</v>
      </c>
      <c r="Q105" s="25" t="n">
        <f aca="false">(M105*Assumptions!$B$5+N105*Assumptions!$B$6+O105*Assumptions!$B$7+P105*Assumptions!$B$8)*L105</f>
        <v>0.45379781420765</v>
      </c>
      <c r="R105" s="24" t="n">
        <f aca="false">IFERROR(SUMPRODUCT(($B$2:$B$1001=B105)*($Q$2:$Q$1001&lt;=Q105))/SUMPRODUCT(($B$2:$B$1001=B105)*1),0)</f>
        <v>0.46448087431694</v>
      </c>
      <c r="S105" s="24" t="n">
        <f aca="false">IFERROR(SUMPRODUCT(($B$2:$B$1001=B105)*($K$2:$K$1001&lt;=K105))/SUMPRODUCT(($B$2:$B$1001=B105)*1),0)</f>
        <v>0.218579234972678</v>
      </c>
      <c r="T105" s="26" t="n">
        <f aca="false">(R105-S105)*100</f>
        <v>24.5901639344262</v>
      </c>
      <c r="U105" s="21" t="str">
        <f aca="false">'Player Data'!T105</f>
        <v>Unknown</v>
      </c>
      <c r="V105" s="27" t="n">
        <f aca="false">'Player Data'!U105</f>
        <v>2026</v>
      </c>
      <c r="W105" s="21" t="str">
        <f aca="false">IF(AND(T105&gt;=Assumptions!$B$19,U105="No"),"High Priority - Unrepresented",IF(T105&gt;=Assumptions!$B$19,"High Priority",IF(AND(T105&gt;=Assumptions!$B$20,U105="No"),"Watchlist - Unrepresented",IF(T105&gt;=Assumptions!$B$20,"Watchlist",""))))</f>
        <v>Watchlist</v>
      </c>
      <c r="X105" s="21" t="str">
        <f aca="false">'Player Data'!V105</f>
        <v>info@bamakowanderers.ml</v>
      </c>
      <c r="Y105" s="28" t="str">
        <f aca="false">'Player Data'!W105</f>
        <v>Club sporting director / first-team office</v>
      </c>
      <c r="Z105" s="28" t="str">
        <f aca="false">'Player Data'!X105</f>
        <v>FEMAFOOT (Malian Football Federation) player registry</v>
      </c>
      <c r="AA105" s="19" t="str">
        <f aca="false">HYPERLINK("https://www.transfermarkt.com/schnellsuche/ergebnis/schnellsuche?query="&amp;SUBSTITUTE(A105," ","+"),"Search Transfermarkt")</f>
        <v>Search Transfermarkt</v>
      </c>
      <c r="AB105" s="29" t="n">
        <f aca="false">IFERROR('Player Data'!K105/('Player Data'!K105+'Player Data'!L105),0)</f>
        <v>0.692307692307692</v>
      </c>
      <c r="AC105" s="21" t="str">
        <f aca="false">IF(B105="GK",IF(AND(O105&gt;=Assumptions!$B$23,N105&gt;=Assumptions!$B$23),"Sweeper-Keeper / Build-from-the-Back",IF(O105&gt;=Assumptions!$B$23,"Sweeper-Keeper / High Line",IF(M105&gt;=Assumptions!$B$23,"Shot-Stopper / Traditional","Flexible / Multi-System"))),IF(AND(O105&gt;=Assumptions!$B$23,P105&gt;=Assumptions!$B$24),"High Press / Gegenpressing",IF(AND(N105&gt;=Assumptions!$B$23,AB105&gt;=Assumptions!$B$25),"Possession / Build-from-the-Back",IF(N105&gt;=Assumptions!$B$23,"Counter-Attack / Transition",IF(AND(O105&gt;=Assumptions!$B$23,N105&lt;Assumptions!$B$26),"Low Block / Park the Bus",IF(AND(B105="FW",M105&gt;=Assumptions!$B$23,N105&lt;Assumptions!$B$26),"Direct / Target Approach","Flexible / Multi-System"))))))</f>
        <v>Flexible / Multi-System</v>
      </c>
      <c r="AD105" s="21" t="str">
        <f aca="false">'Player Data'!Y105</f>
        <v>2026-07-15</v>
      </c>
      <c r="AE105" s="21" t="str">
        <f aca="false">'Player Data'!Z105</f>
        <v>2026-07-15</v>
      </c>
      <c r="AF105" s="28" t="str">
        <f aca="false">IFERROR(INDEX(Assumptions!$B$30:$B$61,MATCH(C105,Assumptions!$A$30:$A$61,0)),"--")</f>
        <v>Belgium, Portugal</v>
      </c>
      <c r="AG105" s="30" t="str">
        <f aca="false">IF(R105&gt;=0.7,"Step-Up Candidate",IF(R105&gt;=0.4,"Lateral Move","Stay &amp; Develop"))</f>
        <v>Lateral Move</v>
      </c>
    </row>
    <row r="106" customFormat="false" ht="23.85" hidden="false" customHeight="false" outlineLevel="0" collapsed="false">
      <c r="A106" s="21" t="str">
        <f aca="false">'Player Data'!A106</f>
        <v>Cristian Gonzalez</v>
      </c>
      <c r="B106" s="21" t="str">
        <f aca="false">'Player Data'!F106</f>
        <v>GK</v>
      </c>
      <c r="C106" s="21" t="str">
        <f aca="false">'Player Data'!B106</f>
        <v>Paraguay</v>
      </c>
      <c r="D106" s="21" t="str">
        <f aca="false">'Player Data'!C106</f>
        <v>Paraguay Second Division - West</v>
      </c>
      <c r="E106" s="21" t="n">
        <f aca="false">'Player Data'!D106</f>
        <v>2</v>
      </c>
      <c r="F106" s="21" t="n">
        <f aca="false">'Player Data'!G106</f>
        <v>20</v>
      </c>
      <c r="G106" s="21" t="n">
        <f aca="false">'Player Data'!H106</f>
        <v>1917</v>
      </c>
      <c r="H106" s="22" t="n">
        <f aca="false">IF(B106="GK",IFERROR(('Player Data'!N106-1.5*'Player Data'!O106)/'Player Data'!H106*90,0),IFERROR(('Player Data'!I106+'Player Data'!J106)/'Player Data'!H106*90,0))</f>
        <v>0.938967136150235</v>
      </c>
      <c r="I106" s="22" t="n">
        <f aca="false">IF(B106="GK",'Player Data'!P106,IFERROR(('Player Data'!K106+'Player Data'!L106)/'Player Data'!H106*90,0))</f>
        <v>83.6</v>
      </c>
      <c r="J106" s="22" t="n">
        <f aca="false">IF(B106="GK",IFERROR('Player Data'!Q106/'Player Data'!H106*90,0),IFERROR('Player Data'!M106/'Player Data'!H106*90,0))</f>
        <v>0.582159624413146</v>
      </c>
      <c r="K106" s="23" t="n">
        <f aca="false">'Player Data'!S106</f>
        <v>120697</v>
      </c>
      <c r="L106" s="22" t="n">
        <f aca="false">INDEX(Assumptions!$B$13:$B$15,MATCH(E106,Assumptions!$A$13:$A$15,0))</f>
        <v>1</v>
      </c>
      <c r="M106" s="24" t="n">
        <f aca="false">IFERROR(SUMPRODUCT(($B$2:$B$1001=B106)*($H$2:$H$1001&lt;=H106))/SUMPRODUCT(($B$2:$B$1001=B106)*1),0)</f>
        <v>0.39344262295082</v>
      </c>
      <c r="N106" s="24" t="n">
        <f aca="false">IFERROR(SUMPRODUCT(($B$2:$B$1001=B106)*($I$2:$I$1001&lt;=I106))/SUMPRODUCT(($B$2:$B$1001=B106)*1),0)</f>
        <v>0.797814207650273</v>
      </c>
      <c r="O106" s="24" t="n">
        <f aca="false">IFERROR(SUMPRODUCT(($B$2:$B$1001=B106)*($J$2:$J$1001&lt;=J106))/SUMPRODUCT(($B$2:$B$1001=B106)*1),0)</f>
        <v>0.316939890710383</v>
      </c>
      <c r="P106" s="24" t="n">
        <f aca="false">IFERROR(SUMPRODUCT(($B$2:$B$1001=B106)*((0-$F$2:$F$1001)&lt;=(0-F106)))/SUMPRODUCT(($B$2:$B$1001=B106)*1),0)</f>
        <v>0.677595628415301</v>
      </c>
      <c r="Q106" s="25" t="n">
        <f aca="false">(M106*Assumptions!$B$5+N106*Assumptions!$B$6+O106*Assumptions!$B$7+P106*Assumptions!$B$8)*L106</f>
        <v>0.576502732240437</v>
      </c>
      <c r="R106" s="24" t="n">
        <f aca="false">IFERROR(SUMPRODUCT(($B$2:$B$1001=B106)*($Q$2:$Q$1001&lt;=Q106))/SUMPRODUCT(($B$2:$B$1001=B106)*1),0)</f>
        <v>0.808743169398907</v>
      </c>
      <c r="S106" s="24" t="n">
        <f aca="false">IFERROR(SUMPRODUCT(($B$2:$B$1001=B106)*($K$2:$K$1001&lt;=K106))/SUMPRODUCT(($B$2:$B$1001=B106)*1),0)</f>
        <v>0.814207650273224</v>
      </c>
      <c r="T106" s="26" t="n">
        <f aca="false">(R106-S106)*100</f>
        <v>-0.546448087431695</v>
      </c>
      <c r="U106" s="21" t="str">
        <f aca="false">'Player Data'!T106</f>
        <v>Unknown</v>
      </c>
      <c r="V106" s="27" t="n">
        <f aca="false">'Player Data'!U106</f>
        <v>2027</v>
      </c>
      <c r="W106" s="21" t="str">
        <f aca="false">IF(AND(T106&gt;=Assumptions!$B$19,U106="No"),"High Priority - Unrepresented",IF(T106&gt;=Assumptions!$B$19,"High Priority",IF(AND(T106&gt;=Assumptions!$B$20,U106="No"),"Watchlist - Unrepresented",IF(T106&gt;=Assumptions!$B$20,"Watchlist",""))))</f>
        <v/>
      </c>
      <c r="X106" s="21" t="str">
        <f aca="false">'Player Data'!V106</f>
        <v>info@encarnacionunited.py</v>
      </c>
      <c r="Y106" s="28" t="str">
        <f aca="false">'Player Data'!W106</f>
        <v>Club sporting director / first-team office</v>
      </c>
      <c r="Z106" s="28" t="str">
        <f aca="false">'Player Data'!X106</f>
        <v>APF (Paraguayan Football Association) player registry</v>
      </c>
      <c r="AA106" s="19" t="str">
        <f aca="false">HYPERLINK("https://www.transfermarkt.com/schnellsuche/ergebnis/schnellsuche?query="&amp;SUBSTITUTE(A106," ","+"),"Search Transfermarkt")</f>
        <v>Search Transfermarkt</v>
      </c>
      <c r="AB106" s="29" t="n">
        <f aca="false">IFERROR('Player Data'!K106/('Player Data'!K106+'Player Data'!L106),0)</f>
        <v>0.933333333333333</v>
      </c>
      <c r="AC106" s="21" t="str">
        <f aca="false">IF(B106="GK",IF(AND(O106&gt;=Assumptions!$B$23,N106&gt;=Assumptions!$B$23),"Sweeper-Keeper / Build-from-the-Back",IF(O106&gt;=Assumptions!$B$23,"Sweeper-Keeper / High Line",IF(M106&gt;=Assumptions!$B$23,"Shot-Stopper / Traditional","Flexible / Multi-System"))),IF(AND(O106&gt;=Assumptions!$B$23,P106&gt;=Assumptions!$B$24),"High Press / Gegenpressing",IF(AND(N106&gt;=Assumptions!$B$23,AB106&gt;=Assumptions!$B$25),"Possession / Build-from-the-Back",IF(N106&gt;=Assumptions!$B$23,"Counter-Attack / Transition",IF(AND(O106&gt;=Assumptions!$B$23,N106&lt;Assumptions!$B$26),"Low Block / Park the Bus",IF(AND(B106="FW",M106&gt;=Assumptions!$B$23,N106&lt;Assumptions!$B$26),"Direct / Target Approach","Flexible / Multi-System"))))))</f>
        <v>Flexible / Multi-System</v>
      </c>
      <c r="AD106" s="21" t="str">
        <f aca="false">'Player Data'!Y106</f>
        <v>2026-07-15</v>
      </c>
      <c r="AE106" s="21" t="str">
        <f aca="false">'Player Data'!Z106</f>
        <v>2026-07-15</v>
      </c>
      <c r="AF106" s="28" t="str">
        <f aca="false">IFERROR(INDEX(Assumptions!$B$30:$B$61,MATCH(C106,Assumptions!$A$30:$A$61,0)),"--")</f>
        <v>Argentina, Portugal</v>
      </c>
      <c r="AG106" s="30" t="str">
        <f aca="false">IF(R106&gt;=0.7,"Step-Up Candidate",IF(R106&gt;=0.4,"Lateral Move","Stay &amp; Develop"))</f>
        <v>Step-Up Candidate</v>
      </c>
    </row>
    <row r="107" customFormat="false" ht="23.85" hidden="false" customHeight="false" outlineLevel="0" collapsed="false">
      <c r="A107" s="21" t="str">
        <f aca="false">'Player Data'!A107</f>
        <v>Erion Duro</v>
      </c>
      <c r="B107" s="21" t="str">
        <f aca="false">'Player Data'!F107</f>
        <v>DF</v>
      </c>
      <c r="C107" s="21" t="str">
        <f aca="false">'Player Data'!B107</f>
        <v>Albania</v>
      </c>
      <c r="D107" s="21" t="str">
        <f aca="false">'Player Data'!C107</f>
        <v>Albania Reserve League</v>
      </c>
      <c r="E107" s="21" t="n">
        <f aca="false">'Player Data'!D107</f>
        <v>3</v>
      </c>
      <c r="F107" s="21" t="n">
        <f aca="false">'Player Data'!G107</f>
        <v>19</v>
      </c>
      <c r="G107" s="21" t="n">
        <f aca="false">'Player Data'!H107</f>
        <v>1623</v>
      </c>
      <c r="H107" s="22" t="n">
        <f aca="false">IF(B107="GK",IFERROR(('Player Data'!N107-1.5*'Player Data'!O107)/'Player Data'!H107*90,0),IFERROR(('Player Data'!I107+'Player Data'!J107)/'Player Data'!H107*90,0))</f>
        <v>0.22181146025878</v>
      </c>
      <c r="I107" s="22" t="n">
        <f aca="false">IF(B107="GK",'Player Data'!P107,IFERROR(('Player Data'!K107+'Player Data'!L107)/'Player Data'!H107*90,0))</f>
        <v>5.5452865064695</v>
      </c>
      <c r="J107" s="22" t="n">
        <f aca="false">IF(B107="GK",IFERROR('Player Data'!Q107/'Player Data'!H107*90,0),IFERROR('Player Data'!M107/'Player Data'!H107*90,0))</f>
        <v>7.20887245841035</v>
      </c>
      <c r="K107" s="23" t="n">
        <f aca="false">'Player Data'!S107</f>
        <v>128215</v>
      </c>
      <c r="L107" s="22" t="n">
        <f aca="false">INDEX(Assumptions!$B$13:$B$15,MATCH(E107,Assumptions!$A$13:$A$15,0))</f>
        <v>0.85</v>
      </c>
      <c r="M107" s="24" t="n">
        <f aca="false">IFERROR(SUMPRODUCT(($B$2:$B$1001=B107)*($H$2:$H$1001&lt;=H107))/SUMPRODUCT(($B$2:$B$1001=B107)*1),0)</f>
        <v>0.578231292517007</v>
      </c>
      <c r="N107" s="24" t="n">
        <f aca="false">IFERROR(SUMPRODUCT(($B$2:$B$1001=B107)*($I$2:$I$1001&lt;=I107))/SUMPRODUCT(($B$2:$B$1001=B107)*1),0)</f>
        <v>0.683673469387755</v>
      </c>
      <c r="O107" s="24" t="n">
        <f aca="false">IFERROR(SUMPRODUCT(($B$2:$B$1001=B107)*($J$2:$J$1001&lt;=J107))/SUMPRODUCT(($B$2:$B$1001=B107)*1),0)</f>
        <v>0.768707482993197</v>
      </c>
      <c r="P107" s="24" t="n">
        <f aca="false">IFERROR(SUMPRODUCT(($B$2:$B$1001=B107)*((0-$F$2:$F$1001)&lt;=(0-F107)))/SUMPRODUCT(($B$2:$B$1001=B107)*1),0)</f>
        <v>0.738095238095238</v>
      </c>
      <c r="Q107" s="25" t="n">
        <f aca="false">(M107*Assumptions!$B$5+N107*Assumptions!$B$6+O107*Assumptions!$B$7+P107*Assumptions!$B$8)*L107</f>
        <v>0.582423469387755</v>
      </c>
      <c r="R107" s="24" t="n">
        <f aca="false">IFERROR(SUMPRODUCT(($B$2:$B$1001=B107)*($Q$2:$Q$1001&lt;=Q107))/SUMPRODUCT(($B$2:$B$1001=B107)*1),0)</f>
        <v>0.72108843537415</v>
      </c>
      <c r="S107" s="24" t="n">
        <f aca="false">IFERROR(SUMPRODUCT(($B$2:$B$1001=B107)*($K$2:$K$1001&lt;=K107))/SUMPRODUCT(($B$2:$B$1001=B107)*1),0)</f>
        <v>0.901360544217687</v>
      </c>
      <c r="T107" s="26" t="n">
        <f aca="false">(R107-S107)*100</f>
        <v>-18.0272108843537</v>
      </c>
      <c r="U107" s="21" t="str">
        <f aca="false">'Player Data'!T107</f>
        <v>Unknown</v>
      </c>
      <c r="V107" s="27" t="n">
        <f aca="false">'Player Data'!U107</f>
        <v>2028</v>
      </c>
      <c r="W107" s="21" t="str">
        <f aca="false">IF(AND(T107&gt;=Assumptions!$B$19,U107="No"),"High Priority - Unrepresented",IF(T107&gt;=Assumptions!$B$19,"High Priority",IF(AND(T107&gt;=Assumptions!$B$20,U107="No"),"Watchlist - Unrepresented",IF(T107&gt;=Assumptions!$B$20,"Watchlist",""))))</f>
        <v/>
      </c>
      <c r="X107" s="21" t="str">
        <f aca="false">'Player Data'!V107</f>
        <v>info@durresathletic.al</v>
      </c>
      <c r="Y107" s="28" t="str">
        <f aca="false">'Player Data'!W107</f>
        <v>Club sporting director / first-team office</v>
      </c>
      <c r="Z107" s="28" t="str">
        <f aca="false">'Player Data'!X107</f>
        <v>FSHF (Albanian Football Association) player registry</v>
      </c>
      <c r="AA107" s="19" t="str">
        <f aca="false">HYPERLINK("https://www.transfermarkt.com/schnellsuche/ergebnis/schnellsuche?query="&amp;SUBSTITUTE(A107," ","+"),"Search Transfermarkt")</f>
        <v>Search Transfermarkt</v>
      </c>
      <c r="AB107" s="29" t="n">
        <f aca="false">IFERROR('Player Data'!K107/('Player Data'!K107+'Player Data'!L107),0)</f>
        <v>0.55</v>
      </c>
      <c r="AC107" s="21" t="str">
        <f aca="false">IF(B107="GK",IF(AND(O107&gt;=Assumptions!$B$23,N107&gt;=Assumptions!$B$23),"Sweeper-Keeper / Build-from-the-Back",IF(O107&gt;=Assumptions!$B$23,"Sweeper-Keeper / High Line",IF(M107&gt;=Assumptions!$B$23,"Shot-Stopper / Traditional","Flexible / Multi-System"))),IF(AND(O107&gt;=Assumptions!$B$23,P107&gt;=Assumptions!$B$24),"High Press / Gegenpressing",IF(AND(N107&gt;=Assumptions!$B$23,AB107&gt;=Assumptions!$B$25),"Possession / Build-from-the-Back",IF(N107&gt;=Assumptions!$B$23,"Counter-Attack / Transition",IF(AND(O107&gt;=Assumptions!$B$23,N107&lt;Assumptions!$B$26),"Low Block / Park the Bus",IF(AND(B107="FW",M107&gt;=Assumptions!$B$23,N107&lt;Assumptions!$B$26),"Direct / Target Approach","Flexible / Multi-System"))))))</f>
        <v>High Press / Gegenpressing</v>
      </c>
      <c r="AD107" s="21" t="str">
        <f aca="false">'Player Data'!Y107</f>
        <v>2026-07-15</v>
      </c>
      <c r="AE107" s="21" t="str">
        <f aca="false">'Player Data'!Z107</f>
        <v>2026-07-15</v>
      </c>
      <c r="AF107" s="28" t="str">
        <f aca="false">IFERROR(INDEX(Assumptions!$B$30:$B$61,MATCH(C107,Assumptions!$A$30:$A$61,0)),"--")</f>
        <v>Turkey, Poland</v>
      </c>
      <c r="AG107" s="30" t="str">
        <f aca="false">IF(R107&gt;=0.7,"Step-Up Candidate",IF(R107&gt;=0.4,"Lateral Move","Stay &amp; Develop"))</f>
        <v>Step-Up Candidate</v>
      </c>
    </row>
    <row r="108" customFormat="false" ht="23.85" hidden="false" customHeight="false" outlineLevel="0" collapsed="false">
      <c r="A108" s="21" t="str">
        <f aca="false">'Player Data'!A108</f>
        <v>Vladimir Stankovic</v>
      </c>
      <c r="B108" s="21" t="str">
        <f aca="false">'Player Data'!F108</f>
        <v>DF</v>
      </c>
      <c r="C108" s="21" t="str">
        <f aca="false">'Player Data'!B108</f>
        <v>Serbia</v>
      </c>
      <c r="D108" s="21" t="str">
        <f aca="false">'Player Data'!C108</f>
        <v>Serbia Third Tier - South</v>
      </c>
      <c r="E108" s="21" t="n">
        <f aca="false">'Player Data'!D108</f>
        <v>2</v>
      </c>
      <c r="F108" s="21" t="n">
        <f aca="false">'Player Data'!G108</f>
        <v>22</v>
      </c>
      <c r="G108" s="21" t="n">
        <f aca="false">'Player Data'!H108</f>
        <v>967</v>
      </c>
      <c r="H108" s="22" t="n">
        <f aca="false">IF(B108="GK",IFERROR(('Player Data'!N108-1.5*'Player Data'!O108)/'Player Data'!H108*90,0),IFERROR(('Player Data'!I108+'Player Data'!J108)/'Player Data'!H108*90,0))</f>
        <v>0.0930713547052741</v>
      </c>
      <c r="I108" s="22" t="n">
        <f aca="false">IF(B108="GK",'Player Data'!P108,IFERROR(('Player Data'!K108+'Player Data'!L108)/'Player Data'!H108*90,0))</f>
        <v>8.84177869700103</v>
      </c>
      <c r="J108" s="22" t="n">
        <f aca="false">IF(B108="GK",IFERROR('Player Data'!Q108/'Player Data'!H108*90,0),IFERROR('Player Data'!M108/'Player Data'!H108*90,0))</f>
        <v>8.56256463288521</v>
      </c>
      <c r="K108" s="23" t="n">
        <f aca="false">'Player Data'!S108</f>
        <v>110314</v>
      </c>
      <c r="L108" s="22" t="n">
        <f aca="false">INDEX(Assumptions!$B$13:$B$15,MATCH(E108,Assumptions!$A$13:$A$15,0))</f>
        <v>1</v>
      </c>
      <c r="M108" s="24" t="n">
        <f aca="false">IFERROR(SUMPRODUCT(($B$2:$B$1001=B108)*($H$2:$H$1001&lt;=H108))/SUMPRODUCT(($B$2:$B$1001=B108)*1),0)</f>
        <v>0.166666666666667</v>
      </c>
      <c r="N108" s="24" t="n">
        <f aca="false">IFERROR(SUMPRODUCT(($B$2:$B$1001=B108)*($I$2:$I$1001&lt;=I108))/SUMPRODUCT(($B$2:$B$1001=B108)*1),0)</f>
        <v>0.925170068027211</v>
      </c>
      <c r="O108" s="24" t="n">
        <f aca="false">IFERROR(SUMPRODUCT(($B$2:$B$1001=B108)*($J$2:$J$1001&lt;=J108))/SUMPRODUCT(($B$2:$B$1001=B108)*1),0)</f>
        <v>0.877551020408163</v>
      </c>
      <c r="P108" s="24" t="n">
        <f aca="false">IFERROR(SUMPRODUCT(($B$2:$B$1001=B108)*((0-$F$2:$F$1001)&lt;=(0-F108)))/SUMPRODUCT(($B$2:$B$1001=B108)*1),0)</f>
        <v>0.493197278911565</v>
      </c>
      <c r="Q108" s="25" t="n">
        <f aca="false">(M108*Assumptions!$B$5+N108*Assumptions!$B$6+O108*Assumptions!$B$7+P108*Assumptions!$B$8)*L108</f>
        <v>0.639625850340136</v>
      </c>
      <c r="R108" s="24" t="n">
        <f aca="false">IFERROR(SUMPRODUCT(($B$2:$B$1001=B108)*($Q$2:$Q$1001&lt;=Q108))/SUMPRODUCT(($B$2:$B$1001=B108)*1),0)</f>
        <v>0.812925170068027</v>
      </c>
      <c r="S108" s="24" t="n">
        <f aca="false">IFERROR(SUMPRODUCT(($B$2:$B$1001=B108)*($K$2:$K$1001&lt;=K108))/SUMPRODUCT(($B$2:$B$1001=B108)*1),0)</f>
        <v>0.795918367346939</v>
      </c>
      <c r="T108" s="26" t="n">
        <f aca="false">(R108-S108)*100</f>
        <v>1.70068027210885</v>
      </c>
      <c r="U108" s="21" t="str">
        <f aca="false">'Player Data'!T108</f>
        <v>No</v>
      </c>
      <c r="V108" s="27" t="n">
        <f aca="false">'Player Data'!U108</f>
        <v>2029</v>
      </c>
      <c r="W108" s="21" t="str">
        <f aca="false">IF(AND(T108&gt;=Assumptions!$B$19,U108="No"),"High Priority - Unrepresented",IF(T108&gt;=Assumptions!$B$19,"High Priority",IF(AND(T108&gt;=Assumptions!$B$20,U108="No"),"Watchlist - Unrepresented",IF(T108&gt;=Assumptions!$B$20,"Watchlist",""))))</f>
        <v/>
      </c>
      <c r="X108" s="21" t="str">
        <f aca="false">'Player Data'!V108</f>
        <v>info@kraljevotown.rs</v>
      </c>
      <c r="Y108" s="28" t="str">
        <f aca="false">'Player Data'!W108</f>
        <v>Club sporting director / first-team office</v>
      </c>
      <c r="Z108" s="28" t="str">
        <f aca="false">'Player Data'!X108</f>
        <v>FSS (Football Association of Serbia) player registry</v>
      </c>
      <c r="AA108" s="19" t="str">
        <f aca="false">HYPERLINK("https://www.transfermarkt.com/schnellsuche/ergebnis/schnellsuche?query="&amp;SUBSTITUTE(A108," ","+"),"Search Transfermarkt")</f>
        <v>Search Transfermarkt</v>
      </c>
      <c r="AB108" s="29" t="n">
        <f aca="false">IFERROR('Player Data'!K108/('Player Data'!K108+'Player Data'!L108),0)</f>
        <v>0.68421052631579</v>
      </c>
      <c r="AC108" s="21" t="str">
        <f aca="false">IF(B108="GK",IF(AND(O108&gt;=Assumptions!$B$23,N108&gt;=Assumptions!$B$23),"Sweeper-Keeper / Build-from-the-Back",IF(O108&gt;=Assumptions!$B$23,"Sweeper-Keeper / High Line",IF(M108&gt;=Assumptions!$B$23,"Shot-Stopper / Traditional","Flexible / Multi-System"))),IF(AND(O108&gt;=Assumptions!$B$23,P108&gt;=Assumptions!$B$24),"High Press / Gegenpressing",IF(AND(N108&gt;=Assumptions!$B$23,AB108&gt;=Assumptions!$B$25),"Possession / Build-from-the-Back",IF(N108&gt;=Assumptions!$B$23,"Counter-Attack / Transition",IF(AND(O108&gt;=Assumptions!$B$23,N108&lt;Assumptions!$B$26),"Low Block / Park the Bus",IF(AND(B108="FW",M108&gt;=Assumptions!$B$23,N108&lt;Assumptions!$B$26),"Direct / Target Approach","Flexible / Multi-System"))))))</f>
        <v>Possession / Build-from-the-Back</v>
      </c>
      <c r="AD108" s="21" t="str">
        <f aca="false">'Player Data'!Y108</f>
        <v>2026-07-15</v>
      </c>
      <c r="AE108" s="21" t="str">
        <f aca="false">'Player Data'!Z108</f>
        <v>2026-07-15</v>
      </c>
      <c r="AF108" s="28" t="str">
        <f aca="false">IFERROR(INDEX(Assumptions!$B$30:$B$61,MATCH(C108,Assumptions!$A$30:$A$61,0)),"--")</f>
        <v>Austria, Turkey</v>
      </c>
      <c r="AG108" s="30" t="str">
        <f aca="false">IF(R108&gt;=0.7,"Step-Up Candidate",IF(R108&gt;=0.4,"Lateral Move","Stay &amp; Develop"))</f>
        <v>Step-Up Candidate</v>
      </c>
    </row>
    <row r="109" customFormat="false" ht="23.85" hidden="false" customHeight="false" outlineLevel="0" collapsed="false">
      <c r="A109" s="21" t="str">
        <f aca="false">'Player Data'!A109</f>
        <v>Filip Vukotic</v>
      </c>
      <c r="B109" s="21" t="str">
        <f aca="false">'Player Data'!F109</f>
        <v>MF</v>
      </c>
      <c r="C109" s="21" t="str">
        <f aca="false">'Player Data'!B109</f>
        <v>Montenegro</v>
      </c>
      <c r="D109" s="21" t="str">
        <f aca="false">'Player Data'!C109</f>
        <v>Montenegro Amateur League</v>
      </c>
      <c r="E109" s="21" t="n">
        <f aca="false">'Player Data'!D109</f>
        <v>2</v>
      </c>
      <c r="F109" s="21" t="n">
        <f aca="false">'Player Data'!G109</f>
        <v>18</v>
      </c>
      <c r="G109" s="21" t="n">
        <f aca="false">'Player Data'!H109</f>
        <v>2061</v>
      </c>
      <c r="H109" s="22" t="n">
        <f aca="false">IF(B109="GK",IFERROR(('Player Data'!N109-1.5*'Player Data'!O109)/'Player Data'!H109*90,0),IFERROR(('Player Data'!I109+'Player Data'!J109)/'Player Data'!H109*90,0))</f>
        <v>0.436681222707424</v>
      </c>
      <c r="I109" s="22" t="n">
        <f aca="false">IF(B109="GK",'Player Data'!P109,IFERROR(('Player Data'!K109+'Player Data'!L109)/'Player Data'!H109*90,0))</f>
        <v>8.99563318777293</v>
      </c>
      <c r="J109" s="22" t="n">
        <f aca="false">IF(B109="GK",IFERROR('Player Data'!Q109/'Player Data'!H109*90,0),IFERROR('Player Data'!M109/'Player Data'!H109*90,0))</f>
        <v>1.31004366812227</v>
      </c>
      <c r="K109" s="23" t="n">
        <f aca="false">'Player Data'!S109</f>
        <v>0</v>
      </c>
      <c r="L109" s="22" t="n">
        <f aca="false">INDEX(Assumptions!$B$13:$B$15,MATCH(E109,Assumptions!$A$13:$A$15,0))</f>
        <v>1</v>
      </c>
      <c r="M109" s="24" t="n">
        <f aca="false">IFERROR(SUMPRODUCT(($B$2:$B$1001=B109)*($H$2:$H$1001&lt;=H109))/SUMPRODUCT(($B$2:$B$1001=B109)*1),0)</f>
        <v>0.141414141414141</v>
      </c>
      <c r="N109" s="24" t="n">
        <f aca="false">IFERROR(SUMPRODUCT(($B$2:$B$1001=B109)*($I$2:$I$1001&lt;=I109))/SUMPRODUCT(($B$2:$B$1001=B109)*1),0)</f>
        <v>0.282828282828283</v>
      </c>
      <c r="O109" s="24" t="n">
        <f aca="false">IFERROR(SUMPRODUCT(($B$2:$B$1001=B109)*($J$2:$J$1001&lt;=J109))/SUMPRODUCT(($B$2:$B$1001=B109)*1),0)</f>
        <v>0.0976430976430976</v>
      </c>
      <c r="P109" s="24" t="n">
        <f aca="false">IFERROR(SUMPRODUCT(($B$2:$B$1001=B109)*((0-$F$2:$F$1001)&lt;=(0-F109)))/SUMPRODUCT(($B$2:$B$1001=B109)*1),0)</f>
        <v>0.929292929292929</v>
      </c>
      <c r="Q109" s="25" t="n">
        <f aca="false">(M109*Assumptions!$B$5+N109*Assumptions!$B$6+O109*Assumptions!$B$7+P109*Assumptions!$B$8)*L109</f>
        <v>0.33973063973064</v>
      </c>
      <c r="R109" s="24" t="n">
        <f aca="false">IFERROR(SUMPRODUCT(($B$2:$B$1001=B109)*($Q$2:$Q$1001&lt;=Q109))/SUMPRODUCT(($B$2:$B$1001=B109)*1),0)</f>
        <v>0.30976430976431</v>
      </c>
      <c r="S109" s="24" t="n">
        <f aca="false">IFERROR(SUMPRODUCT(($B$2:$B$1001=B109)*($K$2:$K$1001&lt;=K109))/SUMPRODUCT(($B$2:$B$1001=B109)*1),0)</f>
        <v>0.228956228956229</v>
      </c>
      <c r="T109" s="26" t="n">
        <f aca="false">(R109-S109)*100</f>
        <v>8.08080808080808</v>
      </c>
      <c r="U109" s="21" t="str">
        <f aca="false">'Player Data'!T109</f>
        <v>Yes</v>
      </c>
      <c r="V109" s="27" t="n">
        <f aca="false">'Player Data'!U109</f>
        <v>2027</v>
      </c>
      <c r="W109" s="21" t="str">
        <f aca="false">IF(AND(T109&gt;=Assumptions!$B$19,U109="No"),"High Priority - Unrepresented",IF(T109&gt;=Assumptions!$B$19,"High Priority",IF(AND(T109&gt;=Assumptions!$B$20,U109="No"),"Watchlist - Unrepresented",IF(T109&gt;=Assumptions!$B$20,"Watchlist",""))))</f>
        <v/>
      </c>
      <c r="X109" s="21" t="str">
        <f aca="false">'Player Data'!V109</f>
        <v>info@niksictown.me</v>
      </c>
      <c r="Y109" s="28" t="str">
        <f aca="false">'Player Data'!W109</f>
        <v>Go through the player's agent - ask the club to confirm representation first</v>
      </c>
      <c r="Z109" s="28" t="str">
        <f aca="false">'Player Data'!X109</f>
        <v>FSCG (Football Association of Montenegro) player registry</v>
      </c>
      <c r="AA109" s="19" t="str">
        <f aca="false">HYPERLINK("https://www.transfermarkt.com/schnellsuche/ergebnis/schnellsuche?query="&amp;SUBSTITUTE(A109," ","+"),"Search Transfermarkt")</f>
        <v>Search Transfermarkt</v>
      </c>
      <c r="AB109" s="29" t="n">
        <f aca="false">IFERROR('Player Data'!K109/('Player Data'!K109+'Player Data'!L109),0)</f>
        <v>0.718446601941748</v>
      </c>
      <c r="AC109" s="21" t="str">
        <f aca="false">IF(B109="GK",IF(AND(O109&gt;=Assumptions!$B$23,N109&gt;=Assumptions!$B$23),"Sweeper-Keeper / Build-from-the-Back",IF(O109&gt;=Assumptions!$B$23,"Sweeper-Keeper / High Line",IF(M109&gt;=Assumptions!$B$23,"Shot-Stopper / Traditional","Flexible / Multi-System"))),IF(AND(O109&gt;=Assumptions!$B$23,P109&gt;=Assumptions!$B$24),"High Press / Gegenpressing",IF(AND(N109&gt;=Assumptions!$B$23,AB109&gt;=Assumptions!$B$25),"Possession / Build-from-the-Back",IF(N109&gt;=Assumptions!$B$23,"Counter-Attack / Transition",IF(AND(O109&gt;=Assumptions!$B$23,N109&lt;Assumptions!$B$26),"Low Block / Park the Bus",IF(AND(B109="FW",M109&gt;=Assumptions!$B$23,N109&lt;Assumptions!$B$26),"Direct / Target Approach","Flexible / Multi-System"))))))</f>
        <v>Flexible / Multi-System</v>
      </c>
      <c r="AD109" s="21" t="str">
        <f aca="false">'Player Data'!Y109</f>
        <v>2026-07-15</v>
      </c>
      <c r="AE109" s="21" t="str">
        <f aca="false">'Player Data'!Z109</f>
        <v>2026-07-15</v>
      </c>
      <c r="AF109" s="28" t="str">
        <f aca="false">IFERROR(INDEX(Assumptions!$B$30:$B$61,MATCH(C109,Assumptions!$A$30:$A$61,0)),"--")</f>
        <v>Austria, Turkey</v>
      </c>
      <c r="AG109" s="30" t="str">
        <f aca="false">IF(R109&gt;=0.7,"Step-Up Candidate",IF(R109&gt;=0.4,"Lateral Move","Stay &amp; Develop"))</f>
        <v>Stay &amp; Develop</v>
      </c>
    </row>
    <row r="110" customFormat="false" ht="23.85" hidden="false" customHeight="false" outlineLevel="0" collapsed="false">
      <c r="A110" s="21" t="str">
        <f aca="false">'Player Data'!A110</f>
        <v>Kemar Campbell</v>
      </c>
      <c r="B110" s="21" t="str">
        <f aca="false">'Player Data'!F110</f>
        <v>MF</v>
      </c>
      <c r="C110" s="21" t="str">
        <f aca="false">'Player Data'!B110</f>
        <v>Jamaica</v>
      </c>
      <c r="D110" s="21" t="str">
        <f aca="false">'Player Data'!C110</f>
        <v>Jamaica Second Division - West</v>
      </c>
      <c r="E110" s="21" t="n">
        <f aca="false">'Player Data'!D110</f>
        <v>2</v>
      </c>
      <c r="F110" s="21" t="n">
        <f aca="false">'Player Data'!G110</f>
        <v>22</v>
      </c>
      <c r="G110" s="21" t="n">
        <f aca="false">'Player Data'!H110</f>
        <v>1722</v>
      </c>
      <c r="H110" s="22" t="n">
        <f aca="false">IF(B110="GK",IFERROR(('Player Data'!N110-1.5*'Player Data'!O110)/'Player Data'!H110*90,0),IFERROR(('Player Data'!I110+'Player Data'!J110)/'Player Data'!H110*90,0))</f>
        <v>0.627177700348432</v>
      </c>
      <c r="I110" s="22" t="n">
        <f aca="false">IF(B110="GK",'Player Data'!P110,IFERROR(('Player Data'!K110+'Player Data'!L110)/'Player Data'!H110*90,0))</f>
        <v>11.7073170731707</v>
      </c>
      <c r="J110" s="22" t="n">
        <f aca="false">IF(B110="GK",IFERROR('Player Data'!Q110/'Player Data'!H110*90,0),IFERROR('Player Data'!M110/'Player Data'!H110*90,0))</f>
        <v>2.45644599303136</v>
      </c>
      <c r="K110" s="23" t="n">
        <f aca="false">'Player Data'!S110</f>
        <v>0</v>
      </c>
      <c r="L110" s="22" t="n">
        <f aca="false">INDEX(Assumptions!$B$13:$B$15,MATCH(E110,Assumptions!$A$13:$A$15,0))</f>
        <v>1</v>
      </c>
      <c r="M110" s="24" t="n">
        <f aca="false">IFERROR(SUMPRODUCT(($B$2:$B$1001=B110)*($H$2:$H$1001&lt;=H110))/SUMPRODUCT(($B$2:$B$1001=B110)*1),0)</f>
        <v>0.356902356902357</v>
      </c>
      <c r="N110" s="24" t="n">
        <f aca="false">IFERROR(SUMPRODUCT(($B$2:$B$1001=B110)*($I$2:$I$1001&lt;=I110))/SUMPRODUCT(($B$2:$B$1001=B110)*1),0)</f>
        <v>0.562289562289562</v>
      </c>
      <c r="O110" s="24" t="n">
        <f aca="false">IFERROR(SUMPRODUCT(($B$2:$B$1001=B110)*($J$2:$J$1001&lt;=J110))/SUMPRODUCT(($B$2:$B$1001=B110)*1),0)</f>
        <v>0.61952861952862</v>
      </c>
      <c r="P110" s="24" t="n">
        <f aca="false">IFERROR(SUMPRODUCT(($B$2:$B$1001=B110)*((0-$F$2:$F$1001)&lt;=(0-F110)))/SUMPRODUCT(($B$2:$B$1001=B110)*1),0)</f>
        <v>0.515151515151515</v>
      </c>
      <c r="Q110" s="25" t="n">
        <f aca="false">(M110*Assumptions!$B$5+N110*Assumptions!$B$6+O110*Assumptions!$B$7+P110*Assumptions!$B$8)*L110</f>
        <v>0.512962962962963</v>
      </c>
      <c r="R110" s="24" t="n">
        <f aca="false">IFERROR(SUMPRODUCT(($B$2:$B$1001=B110)*($Q$2:$Q$1001&lt;=Q110))/SUMPRODUCT(($B$2:$B$1001=B110)*1),0)</f>
        <v>0.636363636363636</v>
      </c>
      <c r="S110" s="24" t="n">
        <f aca="false">IFERROR(SUMPRODUCT(($B$2:$B$1001=B110)*($K$2:$K$1001&lt;=K110))/SUMPRODUCT(($B$2:$B$1001=B110)*1),0)</f>
        <v>0.228956228956229</v>
      </c>
      <c r="T110" s="26" t="n">
        <f aca="false">(R110-S110)*100</f>
        <v>40.7407407407407</v>
      </c>
      <c r="U110" s="21" t="str">
        <f aca="false">'Player Data'!T110</f>
        <v>Unknown</v>
      </c>
      <c r="V110" s="27" t="n">
        <f aca="false">'Player Data'!U110</f>
        <v>2028</v>
      </c>
      <c r="W110" s="21" t="str">
        <f aca="false">IF(AND(T110&gt;=Assumptions!$B$19,U110="No"),"High Priority - Unrepresented",IF(T110&gt;=Assumptions!$B$19,"High Priority",IF(AND(T110&gt;=Assumptions!$B$20,U110="No"),"Watchlist - Unrepresented",IF(T110&gt;=Assumptions!$B$20,"Watchlist",""))))</f>
        <v>High Priority</v>
      </c>
      <c r="X110" s="21" t="str">
        <f aca="false">'Player Data'!V110</f>
        <v>info@kingstonrangers.jm</v>
      </c>
      <c r="Y110" s="28" t="str">
        <f aca="false">'Player Data'!W110</f>
        <v>Club sporting director / first-team office</v>
      </c>
      <c r="Z110" s="28" t="str">
        <f aca="false">'Player Data'!X110</f>
        <v>JFF (Jamaica Football Federation) player registry</v>
      </c>
      <c r="AA110" s="19" t="str">
        <f aca="false">HYPERLINK("https://www.transfermarkt.com/schnellsuche/ergebnis/schnellsuche?query="&amp;SUBSTITUTE(A110," ","+"),"Search Transfermarkt")</f>
        <v>Search Transfermarkt</v>
      </c>
      <c r="AB110" s="29" t="n">
        <f aca="false">IFERROR('Player Data'!K110/('Player Data'!K110+'Player Data'!L110),0)</f>
        <v>0.669642857142857</v>
      </c>
      <c r="AC110" s="21" t="str">
        <f aca="false">IF(B110="GK",IF(AND(O110&gt;=Assumptions!$B$23,N110&gt;=Assumptions!$B$23),"Sweeper-Keeper / Build-from-the-Back",IF(O110&gt;=Assumptions!$B$23,"Sweeper-Keeper / High Line",IF(M110&gt;=Assumptions!$B$23,"Shot-Stopper / Traditional","Flexible / Multi-System"))),IF(AND(O110&gt;=Assumptions!$B$23,P110&gt;=Assumptions!$B$24),"High Press / Gegenpressing",IF(AND(N110&gt;=Assumptions!$B$23,AB110&gt;=Assumptions!$B$25),"Possession / Build-from-the-Back",IF(N110&gt;=Assumptions!$B$23,"Counter-Attack / Transition",IF(AND(O110&gt;=Assumptions!$B$23,N110&lt;Assumptions!$B$26),"Low Block / Park the Bus",IF(AND(B110="FW",M110&gt;=Assumptions!$B$23,N110&lt;Assumptions!$B$26),"Direct / Target Approach","Flexible / Multi-System"))))))</f>
        <v>Flexible / Multi-System</v>
      </c>
      <c r="AD110" s="21" t="str">
        <f aca="false">'Player Data'!Y110</f>
        <v>2026-07-15</v>
      </c>
      <c r="AE110" s="21" t="str">
        <f aca="false">'Player Data'!Z110</f>
        <v>2026-07-15</v>
      </c>
      <c r="AF110" s="28" t="str">
        <f aca="false">IFERROR(INDEX(Assumptions!$B$30:$B$61,MATCH(C110,Assumptions!$A$30:$A$61,0)),"--")</f>
        <v>United States, Mexico</v>
      </c>
      <c r="AG110" s="30" t="str">
        <f aca="false">IF(R110&gt;=0.7,"Step-Up Candidate",IF(R110&gt;=0.4,"Lateral Move","Stay &amp; Develop"))</f>
        <v>Lateral Move</v>
      </c>
    </row>
    <row r="111" customFormat="false" ht="23.85" hidden="false" customHeight="false" outlineLevel="0" collapsed="false">
      <c r="A111" s="21" t="str">
        <f aca="false">'Player Data'!A111</f>
        <v>Jasur Yusupov</v>
      </c>
      <c r="B111" s="21" t="str">
        <f aca="false">'Player Data'!F111</f>
        <v>DF</v>
      </c>
      <c r="C111" s="21" t="str">
        <f aca="false">'Player Data'!B111</f>
        <v>Uzbekistan</v>
      </c>
      <c r="D111" s="21" t="str">
        <f aca="false">'Player Data'!C111</f>
        <v>Uzbekistan Reserve League</v>
      </c>
      <c r="E111" s="21" t="n">
        <f aca="false">'Player Data'!D111</f>
        <v>2</v>
      </c>
      <c r="F111" s="21" t="n">
        <f aca="false">'Player Data'!G111</f>
        <v>19</v>
      </c>
      <c r="G111" s="21" t="n">
        <f aca="false">'Player Data'!H111</f>
        <v>806</v>
      </c>
      <c r="H111" s="22" t="n">
        <f aca="false">IF(B111="GK",IFERROR(('Player Data'!N111-1.5*'Player Data'!O111)/'Player Data'!H111*90,0),IFERROR(('Player Data'!I111+'Player Data'!J111)/'Player Data'!H111*90,0))</f>
        <v>0.223325062034739</v>
      </c>
      <c r="I111" s="22" t="n">
        <f aca="false">IF(B111="GK",'Player Data'!P111,IFERROR(('Player Data'!K111+'Player Data'!L111)/'Player Data'!H111*90,0))</f>
        <v>11.6129032258065</v>
      </c>
      <c r="J111" s="22" t="n">
        <f aca="false">IF(B111="GK",IFERROR('Player Data'!Q111/'Player Data'!H111*90,0),IFERROR('Player Data'!M111/'Player Data'!H111*90,0))</f>
        <v>9.15632754342432</v>
      </c>
      <c r="K111" s="23" t="n">
        <f aca="false">'Player Data'!S111</f>
        <v>139707</v>
      </c>
      <c r="L111" s="22" t="n">
        <f aca="false">INDEX(Assumptions!$B$13:$B$15,MATCH(E111,Assumptions!$A$13:$A$15,0))</f>
        <v>1</v>
      </c>
      <c r="M111" s="24" t="n">
        <f aca="false">IFERROR(SUMPRODUCT(($B$2:$B$1001=B111)*($H$2:$H$1001&lt;=H111))/SUMPRODUCT(($B$2:$B$1001=B111)*1),0)</f>
        <v>0.581632653061225</v>
      </c>
      <c r="N111" s="24" t="n">
        <f aca="false">IFERROR(SUMPRODUCT(($B$2:$B$1001=B111)*($I$2:$I$1001&lt;=I111))/SUMPRODUCT(($B$2:$B$1001=B111)*1),0)</f>
        <v>0.996598639455782</v>
      </c>
      <c r="O111" s="24" t="n">
        <f aca="false">IFERROR(SUMPRODUCT(($B$2:$B$1001=B111)*($J$2:$J$1001&lt;=J111))/SUMPRODUCT(($B$2:$B$1001=B111)*1),0)</f>
        <v>0.904761904761905</v>
      </c>
      <c r="P111" s="24" t="n">
        <f aca="false">IFERROR(SUMPRODUCT(($B$2:$B$1001=B111)*((0-$F$2:$F$1001)&lt;=(0-F111)))/SUMPRODUCT(($B$2:$B$1001=B111)*1),0)</f>
        <v>0.738095238095238</v>
      </c>
      <c r="Q111" s="25" t="n">
        <f aca="false">(M111*Assumptions!$B$5+N111*Assumptions!$B$6+O111*Assumptions!$B$7+P111*Assumptions!$B$8)*L111</f>
        <v>0.822789115646259</v>
      </c>
      <c r="R111" s="24" t="n">
        <f aca="false">IFERROR(SUMPRODUCT(($B$2:$B$1001=B111)*($Q$2:$Q$1001&lt;=Q111))/SUMPRODUCT(($B$2:$B$1001=B111)*1),0)</f>
        <v>0.965986394557823</v>
      </c>
      <c r="S111" s="24" t="n">
        <f aca="false">IFERROR(SUMPRODUCT(($B$2:$B$1001=B111)*($K$2:$K$1001&lt;=K111))/SUMPRODUCT(($B$2:$B$1001=B111)*1),0)</f>
        <v>0.945578231292517</v>
      </c>
      <c r="T111" s="26" t="n">
        <f aca="false">(R111-S111)*100</f>
        <v>2.0408163265306</v>
      </c>
      <c r="U111" s="21" t="str">
        <f aca="false">'Player Data'!T111</f>
        <v>Unknown</v>
      </c>
      <c r="V111" s="27" t="n">
        <f aca="false">'Player Data'!U111</f>
        <v>2029</v>
      </c>
      <c r="W111" s="21" t="str">
        <f aca="false">IF(AND(T111&gt;=Assumptions!$B$19,U111="No"),"High Priority - Unrepresented",IF(T111&gt;=Assumptions!$B$19,"High Priority",IF(AND(T111&gt;=Assumptions!$B$20,U111="No"),"Watchlist - Unrepresented",IF(T111&gt;=Assumptions!$B$20,"Watchlist",""))))</f>
        <v/>
      </c>
      <c r="X111" s="21" t="str">
        <f aca="false">'Player Data'!V111</f>
        <v>info@tashkentcity.uz</v>
      </c>
      <c r="Y111" s="28" t="str">
        <f aca="false">'Player Data'!W111</f>
        <v>Club sporting director / first-team office</v>
      </c>
      <c r="Z111" s="28" t="str">
        <f aca="false">'Player Data'!X111</f>
        <v>UFF (Uzbekistan Football Federation) player registry</v>
      </c>
      <c r="AA111" s="19" t="str">
        <f aca="false">HYPERLINK("https://www.transfermarkt.com/schnellsuche/ergebnis/schnellsuche?query="&amp;SUBSTITUTE(A111," ","+"),"Search Transfermarkt")</f>
        <v>Search Transfermarkt</v>
      </c>
      <c r="AB111" s="29" t="n">
        <f aca="false">IFERROR('Player Data'!K111/('Player Data'!K111+'Player Data'!L111),0)</f>
        <v>0.644230769230769</v>
      </c>
      <c r="AC111" s="21" t="str">
        <f aca="false">IF(B111="GK",IF(AND(O111&gt;=Assumptions!$B$23,N111&gt;=Assumptions!$B$23),"Sweeper-Keeper / Build-from-the-Back",IF(O111&gt;=Assumptions!$B$23,"Sweeper-Keeper / High Line",IF(M111&gt;=Assumptions!$B$23,"Shot-Stopper / Traditional","Flexible / Multi-System"))),IF(AND(O111&gt;=Assumptions!$B$23,P111&gt;=Assumptions!$B$24),"High Press / Gegenpressing",IF(AND(N111&gt;=Assumptions!$B$23,AB111&gt;=Assumptions!$B$25),"Possession / Build-from-the-Back",IF(N111&gt;=Assumptions!$B$23,"Counter-Attack / Transition",IF(AND(O111&gt;=Assumptions!$B$23,N111&lt;Assumptions!$B$26),"Low Block / Park the Bus",IF(AND(B111="FW",M111&gt;=Assumptions!$B$23,N111&lt;Assumptions!$B$26),"Direct / Target Approach","Flexible / Multi-System"))))))</f>
        <v>High Press / Gegenpressing</v>
      </c>
      <c r="AD111" s="21" t="str">
        <f aca="false">'Player Data'!Y111</f>
        <v>2026-07-15</v>
      </c>
      <c r="AE111" s="21" t="str">
        <f aca="false">'Player Data'!Z111</f>
        <v>2026-07-15</v>
      </c>
      <c r="AF111" s="28" t="str">
        <f aca="false">IFERROR(INDEX(Assumptions!$B$30:$B$61,MATCH(C111,Assumptions!$A$30:$A$61,0)),"--")</f>
        <v>Turkey, Saudi Arabia</v>
      </c>
      <c r="AG111" s="30" t="str">
        <f aca="false">IF(R111&gt;=0.7,"Step-Up Candidate",IF(R111&gt;=0.4,"Lateral Move","Stay &amp; Develop"))</f>
        <v>Step-Up Candidate</v>
      </c>
    </row>
    <row r="112" customFormat="false" ht="23.85" hidden="false" customHeight="false" outlineLevel="0" collapsed="false">
      <c r="A112" s="21" t="str">
        <f aca="false">'Player Data'!A112</f>
        <v>Dusan Jovanovic</v>
      </c>
      <c r="B112" s="21" t="str">
        <f aca="false">'Player Data'!F112</f>
        <v>DF</v>
      </c>
      <c r="C112" s="21" t="str">
        <f aca="false">'Player Data'!B112</f>
        <v>Serbia</v>
      </c>
      <c r="D112" s="21" t="str">
        <f aca="false">'Player Data'!C112</f>
        <v>Serbia Provincial League</v>
      </c>
      <c r="E112" s="21" t="n">
        <f aca="false">'Player Data'!D112</f>
        <v>2</v>
      </c>
      <c r="F112" s="21" t="n">
        <f aca="false">'Player Data'!G112</f>
        <v>22</v>
      </c>
      <c r="G112" s="21" t="n">
        <f aca="false">'Player Data'!H112</f>
        <v>1489</v>
      </c>
      <c r="H112" s="22" t="n">
        <f aca="false">IF(B112="GK",IFERROR(('Player Data'!N112-1.5*'Player Data'!O112)/'Player Data'!H112*90,0),IFERROR(('Player Data'!I112+'Player Data'!J112)/'Player Data'!H112*90,0))</f>
        <v>0.181329751511081</v>
      </c>
      <c r="I112" s="22" t="n">
        <f aca="false">IF(B112="GK",'Player Data'!P112,IFERROR(('Player Data'!K112+'Player Data'!L112)/'Player Data'!H112*90,0))</f>
        <v>5.62122229684352</v>
      </c>
      <c r="J112" s="22" t="n">
        <f aca="false">IF(B112="GK",IFERROR('Player Data'!Q112/'Player Data'!H112*90,0),IFERROR('Player Data'!M112/'Player Data'!H112*90,0))</f>
        <v>7.55540631296172</v>
      </c>
      <c r="K112" s="23" t="n">
        <f aca="false">'Player Data'!S112</f>
        <v>0</v>
      </c>
      <c r="L112" s="22" t="n">
        <f aca="false">INDEX(Assumptions!$B$13:$B$15,MATCH(E112,Assumptions!$A$13:$A$15,0))</f>
        <v>1</v>
      </c>
      <c r="M112" s="24" t="n">
        <f aca="false">IFERROR(SUMPRODUCT(($B$2:$B$1001=B112)*($H$2:$H$1001&lt;=H112))/SUMPRODUCT(($B$2:$B$1001=B112)*1),0)</f>
        <v>0.486394557823129</v>
      </c>
      <c r="N112" s="24" t="n">
        <f aca="false">IFERROR(SUMPRODUCT(($B$2:$B$1001=B112)*($I$2:$I$1001&lt;=I112))/SUMPRODUCT(($B$2:$B$1001=B112)*1),0)</f>
        <v>0.690476190476191</v>
      </c>
      <c r="O112" s="24" t="n">
        <f aca="false">IFERROR(SUMPRODUCT(($B$2:$B$1001=B112)*($J$2:$J$1001&lt;=J112))/SUMPRODUCT(($B$2:$B$1001=B112)*1),0)</f>
        <v>0.812925170068027</v>
      </c>
      <c r="P112" s="24" t="n">
        <f aca="false">IFERROR(SUMPRODUCT(($B$2:$B$1001=B112)*((0-$F$2:$F$1001)&lt;=(0-F112)))/SUMPRODUCT(($B$2:$B$1001=B112)*1),0)</f>
        <v>0.493197278911565</v>
      </c>
      <c r="Q112" s="25" t="n">
        <f aca="false">(M112*Assumptions!$B$5+N112*Assumptions!$B$6+O112*Assumptions!$B$7+P112*Assumptions!$B$8)*L112</f>
        <v>0.624489795918367</v>
      </c>
      <c r="R112" s="24" t="n">
        <f aca="false">IFERROR(SUMPRODUCT(($B$2:$B$1001=B112)*($Q$2:$Q$1001&lt;=Q112))/SUMPRODUCT(($B$2:$B$1001=B112)*1),0)</f>
        <v>0.802721088435374</v>
      </c>
      <c r="S112" s="24" t="n">
        <f aca="false">IFERROR(SUMPRODUCT(($B$2:$B$1001=B112)*($K$2:$K$1001&lt;=K112))/SUMPRODUCT(($B$2:$B$1001=B112)*1),0)</f>
        <v>0.248299319727891</v>
      </c>
      <c r="T112" s="26" t="n">
        <f aca="false">(R112-S112)*100</f>
        <v>55.4421768707483</v>
      </c>
      <c r="U112" s="21" t="str">
        <f aca="false">'Player Data'!T112</f>
        <v>Unknown</v>
      </c>
      <c r="V112" s="27" t="n">
        <f aca="false">'Player Data'!U112</f>
        <v>2028</v>
      </c>
      <c r="W112" s="21" t="str">
        <f aca="false">IF(AND(T112&gt;=Assumptions!$B$19,U112="No"),"High Priority - Unrepresented",IF(T112&gt;=Assumptions!$B$19,"High Priority",IF(AND(T112&gt;=Assumptions!$B$20,U112="No"),"Watchlist - Unrepresented",IF(T112&gt;=Assumptions!$B$20,"Watchlist",""))))</f>
        <v>High Priority</v>
      </c>
      <c r="X112" s="21" t="str">
        <f aca="false">'Player Data'!V112</f>
        <v>info@backatopolaunited.rs</v>
      </c>
      <c r="Y112" s="28" t="str">
        <f aca="false">'Player Data'!W112</f>
        <v>Club sporting director / first-team office</v>
      </c>
      <c r="Z112" s="28" t="str">
        <f aca="false">'Player Data'!X112</f>
        <v>FSS (Football Association of Serbia) player registry</v>
      </c>
      <c r="AA112" s="19" t="str">
        <f aca="false">HYPERLINK("https://www.transfermarkt.com/schnellsuche/ergebnis/schnellsuche?query="&amp;SUBSTITUTE(A112," ","+"),"Search Transfermarkt")</f>
        <v>Search Transfermarkt</v>
      </c>
      <c r="AB112" s="29" t="n">
        <f aca="false">IFERROR('Player Data'!K112/('Player Data'!K112+'Player Data'!L112),0)</f>
        <v>0.645161290322581</v>
      </c>
      <c r="AC112" s="21" t="str">
        <f aca="false">IF(B112="GK",IF(AND(O112&gt;=Assumptions!$B$23,N112&gt;=Assumptions!$B$23),"Sweeper-Keeper / Build-from-the-Back",IF(O112&gt;=Assumptions!$B$23,"Sweeper-Keeper / High Line",IF(M112&gt;=Assumptions!$B$23,"Shot-Stopper / Traditional","Flexible / Multi-System"))),IF(AND(O112&gt;=Assumptions!$B$23,P112&gt;=Assumptions!$B$24),"High Press / Gegenpressing",IF(AND(N112&gt;=Assumptions!$B$23,AB112&gt;=Assumptions!$B$25),"Possession / Build-from-the-Back",IF(N112&gt;=Assumptions!$B$23,"Counter-Attack / Transition",IF(AND(O112&gt;=Assumptions!$B$23,N112&lt;Assumptions!$B$26),"Low Block / Park the Bus",IF(AND(B112="FW",M112&gt;=Assumptions!$B$23,N112&lt;Assumptions!$B$26),"Direct / Target Approach","Flexible / Multi-System"))))))</f>
        <v>Possession / Build-from-the-Back</v>
      </c>
      <c r="AD112" s="21" t="str">
        <f aca="false">'Player Data'!Y112</f>
        <v>2026-07-17</v>
      </c>
      <c r="AE112" s="21" t="str">
        <f aca="false">'Player Data'!Z112</f>
        <v>2026-07-17</v>
      </c>
      <c r="AF112" s="28" t="str">
        <f aca="false">IFERROR(INDEX(Assumptions!$B$30:$B$61,MATCH(C112,Assumptions!$A$30:$A$61,0)),"--")</f>
        <v>Austria, Turkey</v>
      </c>
      <c r="AG112" s="30" t="str">
        <f aca="false">IF(R112&gt;=0.7,"Step-Up Candidate",IF(R112&gt;=0.4,"Lateral Move","Stay &amp; Develop"))</f>
        <v>Step-Up Candidate</v>
      </c>
    </row>
    <row r="113" customFormat="false" ht="23.85" hidden="false" customHeight="false" outlineLevel="0" collapsed="false">
      <c r="A113" s="21" t="str">
        <f aca="false">'Player Data'!A113</f>
        <v>Franco Vargas</v>
      </c>
      <c r="B113" s="21" t="str">
        <f aca="false">'Player Data'!F113</f>
        <v>MF</v>
      </c>
      <c r="C113" s="21" t="str">
        <f aca="false">'Player Data'!B113</f>
        <v>Bolivia</v>
      </c>
      <c r="D113" s="21" t="str">
        <f aca="false">'Player Data'!C113</f>
        <v>Bolivia Third Tier - South</v>
      </c>
      <c r="E113" s="21" t="n">
        <f aca="false">'Player Data'!D113</f>
        <v>2</v>
      </c>
      <c r="F113" s="21" t="n">
        <f aca="false">'Player Data'!G113</f>
        <v>21</v>
      </c>
      <c r="G113" s="21" t="n">
        <f aca="false">'Player Data'!H113</f>
        <v>2329</v>
      </c>
      <c r="H113" s="22" t="n">
        <f aca="false">IF(B113="GK",IFERROR(('Player Data'!N113-1.5*'Player Data'!O113)/'Player Data'!H113*90,0),IFERROR(('Player Data'!I113+'Player Data'!J113)/'Player Data'!H113*90,0))</f>
        <v>0.463718334048948</v>
      </c>
      <c r="I113" s="22" t="n">
        <f aca="false">IF(B113="GK",'Player Data'!P113,IFERROR(('Player Data'!K113+'Player Data'!L113)/'Player Data'!H113*90,0))</f>
        <v>9.73808501502791</v>
      </c>
      <c r="J113" s="22" t="n">
        <f aca="false">IF(B113="GK",IFERROR('Player Data'!Q113/'Player Data'!H113*90,0),IFERROR('Player Data'!M113/'Player Data'!H113*90,0))</f>
        <v>1.81623014169171</v>
      </c>
      <c r="K113" s="23" t="n">
        <f aca="false">'Player Data'!S113</f>
        <v>82789</v>
      </c>
      <c r="L113" s="22" t="n">
        <f aca="false">INDEX(Assumptions!$B$13:$B$15,MATCH(E113,Assumptions!$A$13:$A$15,0))</f>
        <v>1</v>
      </c>
      <c r="M113" s="24" t="n">
        <f aca="false">IFERROR(SUMPRODUCT(($B$2:$B$1001=B113)*($H$2:$H$1001&lt;=H113))/SUMPRODUCT(($B$2:$B$1001=B113)*1),0)</f>
        <v>0.168350168350168</v>
      </c>
      <c r="N113" s="24" t="n">
        <f aca="false">IFERROR(SUMPRODUCT(($B$2:$B$1001=B113)*($I$2:$I$1001&lt;=I113))/SUMPRODUCT(($B$2:$B$1001=B113)*1),0)</f>
        <v>0.393939393939394</v>
      </c>
      <c r="O113" s="24" t="n">
        <f aca="false">IFERROR(SUMPRODUCT(($B$2:$B$1001=B113)*($J$2:$J$1001&lt;=J113))/SUMPRODUCT(($B$2:$B$1001=B113)*1),0)</f>
        <v>0.32996632996633</v>
      </c>
      <c r="P113" s="24" t="n">
        <f aca="false">IFERROR(SUMPRODUCT(($B$2:$B$1001=B113)*((0-$F$2:$F$1001)&lt;=(0-F113)))/SUMPRODUCT(($B$2:$B$1001=B113)*1),0)</f>
        <v>0.61952861952862</v>
      </c>
      <c r="Q113" s="25" t="n">
        <f aca="false">(M113*Assumptions!$B$5+N113*Assumptions!$B$6+O113*Assumptions!$B$7+P113*Assumptions!$B$8)*L113</f>
        <v>0.36986531986532</v>
      </c>
      <c r="R113" s="24" t="n">
        <f aca="false">IFERROR(SUMPRODUCT(($B$2:$B$1001=B113)*($Q$2:$Q$1001&lt;=Q113))/SUMPRODUCT(($B$2:$B$1001=B113)*1),0)</f>
        <v>0.373737373737374</v>
      </c>
      <c r="S113" s="24" t="n">
        <f aca="false">IFERROR(SUMPRODUCT(($B$2:$B$1001=B113)*($K$2:$K$1001&lt;=K113))/SUMPRODUCT(($B$2:$B$1001=B113)*1),0)</f>
        <v>0.656565656565657</v>
      </c>
      <c r="T113" s="26" t="n">
        <f aca="false">(R113-S113)*100</f>
        <v>-28.2828282828283</v>
      </c>
      <c r="U113" s="21" t="str">
        <f aca="false">'Player Data'!T113</f>
        <v>Yes</v>
      </c>
      <c r="V113" s="27" t="n">
        <f aca="false">'Player Data'!U113</f>
        <v>2029</v>
      </c>
      <c r="W113" s="21" t="str">
        <f aca="false">IF(AND(T113&gt;=Assumptions!$B$19,U113="No"),"High Priority - Unrepresented",IF(T113&gt;=Assumptions!$B$19,"High Priority",IF(AND(T113&gt;=Assumptions!$B$20,U113="No"),"Watchlist - Unrepresented",IF(T113&gt;=Assumptions!$B$20,"Watchlist",""))))</f>
        <v/>
      </c>
      <c r="X113" s="21" t="str">
        <f aca="false">'Player Data'!V113</f>
        <v>info@cochabambaathletic.bo</v>
      </c>
      <c r="Y113" s="28" t="str">
        <f aca="false">'Player Data'!W113</f>
        <v>Go through the player's agent - ask the club to confirm representation first</v>
      </c>
      <c r="Z113" s="28" t="str">
        <f aca="false">'Player Data'!X113</f>
        <v>FBF (Bolivian Football Federation) player registry</v>
      </c>
      <c r="AA113" s="19" t="str">
        <f aca="false">HYPERLINK("https://www.transfermarkt.com/schnellsuche/ergebnis/schnellsuche?query="&amp;SUBSTITUTE(A113," ","+"),"Search Transfermarkt")</f>
        <v>Search Transfermarkt</v>
      </c>
      <c r="AB113" s="29" t="n">
        <f aca="false">IFERROR('Player Data'!K113/('Player Data'!K113+'Player Data'!L113),0)</f>
        <v>0.619047619047619</v>
      </c>
      <c r="AC113" s="21" t="str">
        <f aca="false">IF(B113="GK",IF(AND(O113&gt;=Assumptions!$B$23,N113&gt;=Assumptions!$B$23),"Sweeper-Keeper / Build-from-the-Back",IF(O113&gt;=Assumptions!$B$23,"Sweeper-Keeper / High Line",IF(M113&gt;=Assumptions!$B$23,"Shot-Stopper / Traditional","Flexible / Multi-System"))),IF(AND(O113&gt;=Assumptions!$B$23,P113&gt;=Assumptions!$B$24),"High Press / Gegenpressing",IF(AND(N113&gt;=Assumptions!$B$23,AB113&gt;=Assumptions!$B$25),"Possession / Build-from-the-Back",IF(N113&gt;=Assumptions!$B$23,"Counter-Attack / Transition",IF(AND(O113&gt;=Assumptions!$B$23,N113&lt;Assumptions!$B$26),"Low Block / Park the Bus",IF(AND(B113="FW",M113&gt;=Assumptions!$B$23,N113&lt;Assumptions!$B$26),"Direct / Target Approach","Flexible / Multi-System"))))))</f>
        <v>Flexible / Multi-System</v>
      </c>
      <c r="AD113" s="21" t="str">
        <f aca="false">'Player Data'!Y113</f>
        <v>2026-07-17</v>
      </c>
      <c r="AE113" s="21" t="str">
        <f aca="false">'Player Data'!Z113</f>
        <v>2026-07-17</v>
      </c>
      <c r="AF113" s="28" t="str">
        <f aca="false">IFERROR(INDEX(Assumptions!$B$30:$B$61,MATCH(C113,Assumptions!$A$30:$A$61,0)),"--")</f>
        <v>Argentina, Portugal</v>
      </c>
      <c r="AG113" s="30" t="str">
        <f aca="false">IF(R113&gt;=0.7,"Step-Up Candidate",IF(R113&gt;=0.4,"Lateral Move","Stay &amp; Develop"))</f>
        <v>Stay &amp; Develop</v>
      </c>
    </row>
    <row r="114" customFormat="false" ht="23.85" hidden="false" customHeight="false" outlineLevel="0" collapsed="false">
      <c r="A114" s="21" t="str">
        <f aca="false">'Player Data'!A114</f>
        <v>Igor Ristovski</v>
      </c>
      <c r="B114" s="21" t="str">
        <f aca="false">'Player Data'!F114</f>
        <v>DF</v>
      </c>
      <c r="C114" s="21" t="str">
        <f aca="false">'Player Data'!B114</f>
        <v>North Macedonia</v>
      </c>
      <c r="D114" s="21" t="str">
        <f aca="false">'Player Data'!C114</f>
        <v>North Macedonia Second Division</v>
      </c>
      <c r="E114" s="21" t="n">
        <f aca="false">'Player Data'!D114</f>
        <v>4</v>
      </c>
      <c r="F114" s="21" t="n">
        <f aca="false">'Player Data'!G114</f>
        <v>23</v>
      </c>
      <c r="G114" s="21" t="n">
        <f aca="false">'Player Data'!H114</f>
        <v>2333</v>
      </c>
      <c r="H114" s="22" t="n">
        <f aca="false">IF(B114="GK",IFERROR(('Player Data'!N114-1.5*'Player Data'!O114)/'Player Data'!H114*90,0),IFERROR(('Player Data'!I114+'Player Data'!J114)/'Player Data'!H114*90,0))</f>
        <v>0.231461637376768</v>
      </c>
      <c r="I114" s="22" t="n">
        <f aca="false">IF(B114="GK",'Player Data'!P114,IFERROR(('Player Data'!K114+'Player Data'!L114)/'Player Data'!H114*90,0))</f>
        <v>3.93484783540506</v>
      </c>
      <c r="J114" s="22" t="n">
        <f aca="false">IF(B114="GK",IFERROR('Player Data'!Q114/'Player Data'!H114*90,0),IFERROR('Player Data'!M114/'Player Data'!H114*90,0))</f>
        <v>4.39777111015859</v>
      </c>
      <c r="K114" s="23" t="n">
        <f aca="false">'Player Data'!S114</f>
        <v>68284</v>
      </c>
      <c r="L114" s="22" t="n">
        <f aca="false">INDEX(Assumptions!$B$13:$B$15,MATCH(E114,Assumptions!$A$13:$A$15,0))</f>
        <v>0.7</v>
      </c>
      <c r="M114" s="24" t="n">
        <f aca="false">IFERROR(SUMPRODUCT(($B$2:$B$1001=B114)*($H$2:$H$1001&lt;=H114))/SUMPRODUCT(($B$2:$B$1001=B114)*1),0)</f>
        <v>0.602040816326531</v>
      </c>
      <c r="N114" s="24" t="n">
        <f aca="false">IFERROR(SUMPRODUCT(($B$2:$B$1001=B114)*($I$2:$I$1001&lt;=I114))/SUMPRODUCT(($B$2:$B$1001=B114)*1),0)</f>
        <v>0.384353741496599</v>
      </c>
      <c r="O114" s="24" t="n">
        <f aca="false">IFERROR(SUMPRODUCT(($B$2:$B$1001=B114)*($J$2:$J$1001&lt;=J114))/SUMPRODUCT(($B$2:$B$1001=B114)*1),0)</f>
        <v>0.340136054421769</v>
      </c>
      <c r="P114" s="24" t="n">
        <f aca="false">IFERROR(SUMPRODUCT(($B$2:$B$1001=B114)*((0-$F$2:$F$1001)&lt;=(0-F114)))/SUMPRODUCT(($B$2:$B$1001=B114)*1),0)</f>
        <v>0.374149659863946</v>
      </c>
      <c r="Q114" s="25" t="n">
        <f aca="false">(M114*Assumptions!$B$5+N114*Assumptions!$B$6+O114*Assumptions!$B$7+P114*Assumptions!$B$8)*L114</f>
        <v>0.29952380952381</v>
      </c>
      <c r="R114" s="24" t="n">
        <f aca="false">IFERROR(SUMPRODUCT(($B$2:$B$1001=B114)*($Q$2:$Q$1001&lt;=Q114))/SUMPRODUCT(($B$2:$B$1001=B114)*1),0)</f>
        <v>0.255102040816327</v>
      </c>
      <c r="S114" s="24" t="n">
        <f aca="false">IFERROR(SUMPRODUCT(($B$2:$B$1001=B114)*($K$2:$K$1001&lt;=K114))/SUMPRODUCT(($B$2:$B$1001=B114)*1),0)</f>
        <v>0.537414965986395</v>
      </c>
      <c r="T114" s="26" t="n">
        <f aca="false">(R114-S114)*100</f>
        <v>-28.2312925170068</v>
      </c>
      <c r="U114" s="21" t="str">
        <f aca="false">'Player Data'!T114</f>
        <v>Yes</v>
      </c>
      <c r="V114" s="27" t="n">
        <f aca="false">'Player Data'!U114</f>
        <v>2026</v>
      </c>
      <c r="W114" s="21" t="str">
        <f aca="false">IF(AND(T114&gt;=Assumptions!$B$19,U114="No"),"High Priority - Unrepresented",IF(T114&gt;=Assumptions!$B$19,"High Priority",IF(AND(T114&gt;=Assumptions!$B$20,U114="No"),"Watchlist - Unrepresented",IF(T114&gt;=Assumptions!$B$20,"Watchlist",""))))</f>
        <v/>
      </c>
      <c r="X114" s="21" t="str">
        <f aca="false">'Player Data'!V114</f>
        <v>info@skopjeunited.mk</v>
      </c>
      <c r="Y114" s="28" t="str">
        <f aca="false">'Player Data'!W114</f>
        <v>Go through the player's agent - ask the club to confirm representation first</v>
      </c>
      <c r="Z114" s="28" t="str">
        <f aca="false">'Player Data'!X114</f>
        <v>FFM (Football Federation of North Macedonia) player registry</v>
      </c>
      <c r="AA114" s="19" t="str">
        <f aca="false">HYPERLINK("https://www.transfermarkt.com/schnellsuche/ergebnis/schnellsuche?query="&amp;SUBSTITUTE(A114," ","+"),"Search Transfermarkt")</f>
        <v>Search Transfermarkt</v>
      </c>
      <c r="AB114" s="29" t="n">
        <f aca="false">IFERROR('Player Data'!K114/('Player Data'!K114+'Player Data'!L114),0)</f>
        <v>0.588235294117647</v>
      </c>
      <c r="AC114" s="21" t="str">
        <f aca="false">IF(B114="GK",IF(AND(O114&gt;=Assumptions!$B$23,N114&gt;=Assumptions!$B$23),"Sweeper-Keeper / Build-from-the-Back",IF(O114&gt;=Assumptions!$B$23,"Sweeper-Keeper / High Line",IF(M114&gt;=Assumptions!$B$23,"Shot-Stopper / Traditional","Flexible / Multi-System"))),IF(AND(O114&gt;=Assumptions!$B$23,P114&gt;=Assumptions!$B$24),"High Press / Gegenpressing",IF(AND(N114&gt;=Assumptions!$B$23,AB114&gt;=Assumptions!$B$25),"Possession / Build-from-the-Back",IF(N114&gt;=Assumptions!$B$23,"Counter-Attack / Transition",IF(AND(O114&gt;=Assumptions!$B$23,N114&lt;Assumptions!$B$26),"Low Block / Park the Bus",IF(AND(B114="FW",M114&gt;=Assumptions!$B$23,N114&lt;Assumptions!$B$26),"Direct / Target Approach","Flexible / Multi-System"))))))</f>
        <v>Flexible / Multi-System</v>
      </c>
      <c r="AD114" s="21" t="str">
        <f aca="false">'Player Data'!Y114</f>
        <v>2026-07-17</v>
      </c>
      <c r="AE114" s="21" t="str">
        <f aca="false">'Player Data'!Z114</f>
        <v>2026-07-17</v>
      </c>
      <c r="AF114" s="28" t="str">
        <f aca="false">IFERROR(INDEX(Assumptions!$B$30:$B$61,MATCH(C114,Assumptions!$A$30:$A$61,0)),"--")</f>
        <v>Austria, Turkey</v>
      </c>
      <c r="AG114" s="30" t="str">
        <f aca="false">IF(R114&gt;=0.7,"Step-Up Candidate",IF(R114&gt;=0.4,"Lateral Move","Stay &amp; Develop"))</f>
        <v>Stay &amp; Develop</v>
      </c>
    </row>
    <row r="115" customFormat="false" ht="23.85" hidden="false" customHeight="false" outlineLevel="0" collapsed="false">
      <c r="A115" s="21" t="str">
        <f aca="false">'Player Data'!A115</f>
        <v>Minh Nguyen</v>
      </c>
      <c r="B115" s="21" t="str">
        <f aca="false">'Player Data'!F115</f>
        <v>MF</v>
      </c>
      <c r="C115" s="21" t="str">
        <f aca="false">'Player Data'!B115</f>
        <v>Vietnam</v>
      </c>
      <c r="D115" s="21" t="str">
        <f aca="false">'Player Data'!C115</f>
        <v>Vietnam Provincial League</v>
      </c>
      <c r="E115" s="21" t="n">
        <f aca="false">'Player Data'!D115</f>
        <v>3</v>
      </c>
      <c r="F115" s="21" t="n">
        <f aca="false">'Player Data'!G115</f>
        <v>17</v>
      </c>
      <c r="G115" s="21" t="n">
        <f aca="false">'Player Data'!H115</f>
        <v>2659</v>
      </c>
      <c r="H115" s="22" t="n">
        <f aca="false">IF(B115="GK",IFERROR(('Player Data'!N115-1.5*'Player Data'!O115)/'Player Data'!H115*90,0),IFERROR(('Player Data'!I115+'Player Data'!J115)/'Player Data'!H115*90,0))</f>
        <v>0.236931177134261</v>
      </c>
      <c r="I115" s="22" t="n">
        <f aca="false">IF(B115="GK",'Player Data'!P115,IFERROR(('Player Data'!K115+'Player Data'!L115)/'Player Data'!H115*90,0))</f>
        <v>7.07408800300865</v>
      </c>
      <c r="J115" s="22" t="n">
        <f aca="false">IF(B115="GK",IFERROR('Player Data'!Q115/'Player Data'!H115*90,0),IFERROR('Player Data'!M115/'Player Data'!H115*90,0))</f>
        <v>0.947724708537044</v>
      </c>
      <c r="K115" s="23" t="n">
        <f aca="false">'Player Data'!S115</f>
        <v>108298</v>
      </c>
      <c r="L115" s="22" t="n">
        <f aca="false">INDEX(Assumptions!$B$13:$B$15,MATCH(E115,Assumptions!$A$13:$A$15,0))</f>
        <v>0.85</v>
      </c>
      <c r="M115" s="24" t="n">
        <f aca="false">IFERROR(SUMPRODUCT(($B$2:$B$1001=B115)*($H$2:$H$1001&lt;=H115))/SUMPRODUCT(($B$2:$B$1001=B115)*1),0)</f>
        <v>0.00673400673400673</v>
      </c>
      <c r="N115" s="24" t="n">
        <f aca="false">IFERROR(SUMPRODUCT(($B$2:$B$1001=B115)*($I$2:$I$1001&lt;=I115))/SUMPRODUCT(($B$2:$B$1001=B115)*1),0)</f>
        <v>0.0740740740740741</v>
      </c>
      <c r="O115" s="24" t="n">
        <f aca="false">IFERROR(SUMPRODUCT(($B$2:$B$1001=B115)*($J$2:$J$1001&lt;=J115))/SUMPRODUCT(($B$2:$B$1001=B115)*1),0)</f>
        <v>0.00336700336700337</v>
      </c>
      <c r="P115" s="24" t="n">
        <f aca="false">IFERROR(SUMPRODUCT(($B$2:$B$1001=B115)*((0-$F$2:$F$1001)&lt;=(0-F115)))/SUMPRODUCT(($B$2:$B$1001=B115)*1),0)</f>
        <v>1</v>
      </c>
      <c r="Q115" s="25" t="n">
        <f aca="false">(M115*Assumptions!$B$5+N115*Assumptions!$B$6+O115*Assumptions!$B$7+P115*Assumptions!$B$8)*L115</f>
        <v>0.194040404040404</v>
      </c>
      <c r="R115" s="24" t="n">
        <f aca="false">IFERROR(SUMPRODUCT(($B$2:$B$1001=B115)*($Q$2:$Q$1001&lt;=Q115))/SUMPRODUCT(($B$2:$B$1001=B115)*1),0)</f>
        <v>0.0808080808080808</v>
      </c>
      <c r="S115" s="24" t="n">
        <f aca="false">IFERROR(SUMPRODUCT(($B$2:$B$1001=B115)*($K$2:$K$1001&lt;=K115))/SUMPRODUCT(($B$2:$B$1001=B115)*1),0)</f>
        <v>0.781144781144781</v>
      </c>
      <c r="T115" s="26" t="n">
        <f aca="false">(R115-S115)*100</f>
        <v>-70.03367003367</v>
      </c>
      <c r="U115" s="21" t="str">
        <f aca="false">'Player Data'!T115</f>
        <v>No</v>
      </c>
      <c r="V115" s="27" t="n">
        <f aca="false">'Player Data'!U115</f>
        <v>2029</v>
      </c>
      <c r="W115" s="21" t="str">
        <f aca="false">IF(AND(T115&gt;=Assumptions!$B$19,U115="No"),"High Priority - Unrepresented",IF(T115&gt;=Assumptions!$B$19,"High Priority",IF(AND(T115&gt;=Assumptions!$B$20,U115="No"),"Watchlist - Unrepresented",IF(T115&gt;=Assumptions!$B$20,"Watchlist",""))))</f>
        <v/>
      </c>
      <c r="X115" s="21" t="str">
        <f aca="false">'Player Data'!V115</f>
        <v>info@danangrangers.vn</v>
      </c>
      <c r="Y115" s="28" t="str">
        <f aca="false">'Player Data'!W115</f>
        <v>Club youth/academy office ONLY - player is a minor, do not contact directly</v>
      </c>
      <c r="Z115" s="28" t="str">
        <f aca="false">'Player Data'!X115</f>
        <v>VFF (Vietnam Football Federation) player registry</v>
      </c>
      <c r="AA115" s="19" t="str">
        <f aca="false">HYPERLINK("https://www.transfermarkt.com/schnellsuche/ergebnis/schnellsuche?query="&amp;SUBSTITUTE(A115," ","+"),"Search Transfermarkt")</f>
        <v>Search Transfermarkt</v>
      </c>
      <c r="AB115" s="29" t="n">
        <f aca="false">IFERROR('Player Data'!K115/('Player Data'!K115+'Player Data'!L115),0)</f>
        <v>0.588516746411483</v>
      </c>
      <c r="AC115" s="21" t="str">
        <f aca="false">IF(B115="GK",IF(AND(O115&gt;=Assumptions!$B$23,N115&gt;=Assumptions!$B$23),"Sweeper-Keeper / Build-from-the-Back",IF(O115&gt;=Assumptions!$B$23,"Sweeper-Keeper / High Line",IF(M115&gt;=Assumptions!$B$23,"Shot-Stopper / Traditional","Flexible / Multi-System"))),IF(AND(O115&gt;=Assumptions!$B$23,P115&gt;=Assumptions!$B$24),"High Press / Gegenpressing",IF(AND(N115&gt;=Assumptions!$B$23,AB115&gt;=Assumptions!$B$25),"Possession / Build-from-the-Back",IF(N115&gt;=Assumptions!$B$23,"Counter-Attack / Transition",IF(AND(O115&gt;=Assumptions!$B$23,N115&lt;Assumptions!$B$26),"Low Block / Park the Bus",IF(AND(B115="FW",M115&gt;=Assumptions!$B$23,N115&lt;Assumptions!$B$26),"Direct / Target Approach","Flexible / Multi-System"))))))</f>
        <v>Flexible / Multi-System</v>
      </c>
      <c r="AD115" s="21" t="str">
        <f aca="false">'Player Data'!Y115</f>
        <v>2026-07-17</v>
      </c>
      <c r="AE115" s="21" t="str">
        <f aca="false">'Player Data'!Z115</f>
        <v>2026-07-17</v>
      </c>
      <c r="AF115" s="28" t="str">
        <f aca="false">IFERROR(INDEX(Assumptions!$B$30:$B$61,MATCH(C115,Assumptions!$A$30:$A$61,0)),"--")</f>
        <v>Australia, Saudi Arabia</v>
      </c>
      <c r="AG115" s="30" t="str">
        <f aca="false">IF(R115&gt;=0.7,"Step-Up Candidate",IF(R115&gt;=0.4,"Lateral Move","Stay &amp; Develop"))</f>
        <v>Stay &amp; Develop</v>
      </c>
    </row>
    <row r="116" customFormat="false" ht="23.85" hidden="false" customHeight="false" outlineLevel="0" collapsed="false">
      <c r="A116" s="21" t="str">
        <f aca="false">'Player Data'!A116</f>
        <v>Sekou Camara</v>
      </c>
      <c r="B116" s="21" t="str">
        <f aca="false">'Player Data'!F116</f>
        <v>FW</v>
      </c>
      <c r="C116" s="21" t="str">
        <f aca="false">'Player Data'!B116</f>
        <v>Mali</v>
      </c>
      <c r="D116" s="21" t="str">
        <f aca="false">'Player Data'!C116</f>
        <v>Mali Third Tier - South</v>
      </c>
      <c r="E116" s="21" t="n">
        <f aca="false">'Player Data'!D116</f>
        <v>4</v>
      </c>
      <c r="F116" s="21" t="n">
        <f aca="false">'Player Data'!G116</f>
        <v>24</v>
      </c>
      <c r="G116" s="21" t="n">
        <f aca="false">'Player Data'!H116</f>
        <v>1380</v>
      </c>
      <c r="H116" s="22" t="n">
        <f aca="false">IF(B116="GK",IFERROR(('Player Data'!N116-1.5*'Player Data'!O116)/'Player Data'!H116*90,0),IFERROR(('Player Data'!I116+'Player Data'!J116)/'Player Data'!H116*90,0))</f>
        <v>1.89130434782609</v>
      </c>
      <c r="I116" s="22" t="n">
        <f aca="false">IF(B116="GK",'Player Data'!P116,IFERROR(('Player Data'!K116+'Player Data'!L116)/'Player Data'!H116*90,0))</f>
        <v>8.93478260869565</v>
      </c>
      <c r="J116" s="22" t="n">
        <f aca="false">IF(B116="GK",IFERROR('Player Data'!Q116/'Player Data'!H116*90,0),IFERROR('Player Data'!M116/'Player Data'!H116*90,0))</f>
        <v>0.847826086956522</v>
      </c>
      <c r="K116" s="23" t="n">
        <f aca="false">'Player Data'!S116</f>
        <v>18851</v>
      </c>
      <c r="L116" s="22" t="n">
        <f aca="false">INDEX(Assumptions!$B$13:$B$15,MATCH(E116,Assumptions!$A$13:$A$15,0))</f>
        <v>0.7</v>
      </c>
      <c r="M116" s="24" t="n">
        <f aca="false">IFERROR(SUMPRODUCT(($B$2:$B$1001=B116)*($H$2:$H$1001&lt;=H116))/SUMPRODUCT(($B$2:$B$1001=B116)*1),0)</f>
        <v>0.933628318584071</v>
      </c>
      <c r="N116" s="24" t="n">
        <f aca="false">IFERROR(SUMPRODUCT(($B$2:$B$1001=B116)*($I$2:$I$1001&lt;=I116))/SUMPRODUCT(($B$2:$B$1001=B116)*1),0)</f>
        <v>0.756637168141593</v>
      </c>
      <c r="O116" s="24" t="n">
        <f aca="false">IFERROR(SUMPRODUCT(($B$2:$B$1001=B116)*($J$2:$J$1001&lt;=J116))/SUMPRODUCT(($B$2:$B$1001=B116)*1),0)</f>
        <v>0.831858407079646</v>
      </c>
      <c r="P116" s="24" t="n">
        <f aca="false">IFERROR(SUMPRODUCT(($B$2:$B$1001=B116)*((0-$F$2:$F$1001)&lt;=(0-F116)))/SUMPRODUCT(($B$2:$B$1001=B116)*1),0)</f>
        <v>0.305309734513274</v>
      </c>
      <c r="Q116" s="25" t="n">
        <f aca="false">(M116*Assumptions!$B$5+N116*Assumptions!$B$6+O116*Assumptions!$B$7+P116*Assumptions!$B$8)*L116</f>
        <v>0.507964601769912</v>
      </c>
      <c r="R116" s="24" t="n">
        <f aca="false">IFERROR(SUMPRODUCT(($B$2:$B$1001=B116)*($Q$2:$Q$1001&lt;=Q116))/SUMPRODUCT(($B$2:$B$1001=B116)*1),0)</f>
        <v>0.619469026548673</v>
      </c>
      <c r="S116" s="24" t="n">
        <f aca="false">IFERROR(SUMPRODUCT(($B$2:$B$1001=B116)*($K$2:$K$1001&lt;=K116))/SUMPRODUCT(($B$2:$B$1001=B116)*1),0)</f>
        <v>0.31858407079646</v>
      </c>
      <c r="T116" s="26" t="n">
        <f aca="false">(R116-S116)*100</f>
        <v>30.0884955752212</v>
      </c>
      <c r="U116" s="21" t="str">
        <f aca="false">'Player Data'!T116</f>
        <v>No</v>
      </c>
      <c r="V116" s="27" t="n">
        <f aca="false">'Player Data'!U116</f>
        <v>2027</v>
      </c>
      <c r="W116" s="21" t="str">
        <f aca="false">IF(AND(T116&gt;=Assumptions!$B$19,U116="No"),"High Priority - Unrepresented",IF(T116&gt;=Assumptions!$B$19,"High Priority",IF(AND(T116&gt;=Assumptions!$B$20,U116="No"),"Watchlist - Unrepresented",IF(T116&gt;=Assumptions!$B$20,"Watchlist",""))))</f>
        <v>Watchlist - Unrepresented</v>
      </c>
      <c r="X116" s="21" t="str">
        <f aca="false">'Player Data'!V116</f>
        <v>info@sikassofc.ml</v>
      </c>
      <c r="Y116" s="28" t="str">
        <f aca="false">'Player Data'!W116</f>
        <v>Club sporting director / first-team office</v>
      </c>
      <c r="Z116" s="28" t="str">
        <f aca="false">'Player Data'!X116</f>
        <v>FEMAFOOT (Malian Football Federation) player registry</v>
      </c>
      <c r="AA116" s="19" t="str">
        <f aca="false">HYPERLINK("https://www.transfermarkt.com/schnellsuche/ergebnis/schnellsuche?query="&amp;SUBSTITUTE(A116," ","+"),"Search Transfermarkt")</f>
        <v>Search Transfermarkt</v>
      </c>
      <c r="AB116" s="29" t="n">
        <f aca="false">IFERROR('Player Data'!K116/('Player Data'!K116+'Player Data'!L116),0)</f>
        <v>0.35036496350365</v>
      </c>
      <c r="AC116" s="21" t="str">
        <f aca="false">IF(B116="GK",IF(AND(O116&gt;=Assumptions!$B$23,N116&gt;=Assumptions!$B$23),"Sweeper-Keeper / Build-from-the-Back",IF(O116&gt;=Assumptions!$B$23,"Sweeper-Keeper / High Line",IF(M116&gt;=Assumptions!$B$23,"Shot-Stopper / Traditional","Flexible / Multi-System"))),IF(AND(O116&gt;=Assumptions!$B$23,P116&gt;=Assumptions!$B$24),"High Press / Gegenpressing",IF(AND(N116&gt;=Assumptions!$B$23,AB116&gt;=Assumptions!$B$25),"Possession / Build-from-the-Back",IF(N116&gt;=Assumptions!$B$23,"Counter-Attack / Transition",IF(AND(O116&gt;=Assumptions!$B$23,N116&lt;Assumptions!$B$26),"Low Block / Park the Bus",IF(AND(B116="FW",M116&gt;=Assumptions!$B$23,N116&lt;Assumptions!$B$26),"Direct / Target Approach","Flexible / Multi-System"))))))</f>
        <v>Counter-Attack / Transition</v>
      </c>
      <c r="AD116" s="21" t="str">
        <f aca="false">'Player Data'!Y116</f>
        <v>2026-07-17</v>
      </c>
      <c r="AE116" s="21" t="str">
        <f aca="false">'Player Data'!Z116</f>
        <v>2026-07-17</v>
      </c>
      <c r="AF116" s="28" t="str">
        <f aca="false">IFERROR(INDEX(Assumptions!$B$30:$B$61,MATCH(C116,Assumptions!$A$30:$A$61,0)),"--")</f>
        <v>Belgium, Portugal</v>
      </c>
      <c r="AG116" s="30" t="str">
        <f aca="false">IF(R116&gt;=0.7,"Step-Up Candidate",IF(R116&gt;=0.4,"Lateral Move","Stay &amp; Develop"))</f>
        <v>Lateral Move</v>
      </c>
    </row>
    <row r="117" customFormat="false" ht="23.85" hidden="false" customHeight="false" outlineLevel="0" collapsed="false">
      <c r="A117" s="21" t="str">
        <f aca="false">'Player Data'!A117</f>
        <v>Luka Beridze</v>
      </c>
      <c r="B117" s="21" t="str">
        <f aca="false">'Player Data'!F117</f>
        <v>MF</v>
      </c>
      <c r="C117" s="21" t="str">
        <f aca="false">'Player Data'!B117</f>
        <v>Georgia</v>
      </c>
      <c r="D117" s="21" t="str">
        <f aca="false">'Player Data'!C117</f>
        <v>Georgia Third Tier - South</v>
      </c>
      <c r="E117" s="21" t="n">
        <f aca="false">'Player Data'!D117</f>
        <v>2</v>
      </c>
      <c r="F117" s="21" t="n">
        <f aca="false">'Player Data'!G117</f>
        <v>26</v>
      </c>
      <c r="G117" s="21" t="n">
        <f aca="false">'Player Data'!H117</f>
        <v>2257</v>
      </c>
      <c r="H117" s="22" t="n">
        <f aca="false">IF(B117="GK",IFERROR(('Player Data'!N117-1.5*'Player Data'!O117)/'Player Data'!H117*90,0),IFERROR(('Player Data'!I117+'Player Data'!J117)/'Player Data'!H117*90,0))</f>
        <v>0.279131590607</v>
      </c>
      <c r="I117" s="22" t="n">
        <f aca="false">IF(B117="GK",'Player Data'!P117,IFERROR(('Player Data'!K117+'Player Data'!L117)/'Player Data'!H117*90,0))</f>
        <v>7.81568453699601</v>
      </c>
      <c r="J117" s="22" t="n">
        <f aca="false">IF(B117="GK",IFERROR('Player Data'!Q117/'Player Data'!H117*90,0),IFERROR('Player Data'!M117/'Player Data'!H117*90,0))</f>
        <v>1.35578201151972</v>
      </c>
      <c r="K117" s="23" t="n">
        <f aca="false">'Player Data'!S117</f>
        <v>31407</v>
      </c>
      <c r="L117" s="22" t="n">
        <f aca="false">INDEX(Assumptions!$B$13:$B$15,MATCH(E117,Assumptions!$A$13:$A$15,0))</f>
        <v>1</v>
      </c>
      <c r="M117" s="24" t="n">
        <f aca="false">IFERROR(SUMPRODUCT(($B$2:$B$1001=B117)*($H$2:$H$1001&lt;=H117))/SUMPRODUCT(($B$2:$B$1001=B117)*1),0)</f>
        <v>0.0269360269360269</v>
      </c>
      <c r="N117" s="24" t="n">
        <f aca="false">IFERROR(SUMPRODUCT(($B$2:$B$1001=B117)*($I$2:$I$1001&lt;=I117))/SUMPRODUCT(($B$2:$B$1001=B117)*1),0)</f>
        <v>0.134680134680135</v>
      </c>
      <c r="O117" s="24" t="n">
        <f aca="false">IFERROR(SUMPRODUCT(($B$2:$B$1001=B117)*($J$2:$J$1001&lt;=J117))/SUMPRODUCT(($B$2:$B$1001=B117)*1),0)</f>
        <v>0.121212121212121</v>
      </c>
      <c r="P117" s="24" t="n">
        <f aca="false">IFERROR(SUMPRODUCT(($B$2:$B$1001=B117)*((0-$F$2:$F$1001)&lt;=(0-F117)))/SUMPRODUCT(($B$2:$B$1001=B117)*1),0)</f>
        <v>0.0909090909090909</v>
      </c>
      <c r="Q117" s="25" t="n">
        <f aca="false">(M117*Assumptions!$B$5+N117*Assumptions!$B$6+O117*Assumptions!$B$7+P117*Assumptions!$B$8)*L117</f>
        <v>0.0962962962962963</v>
      </c>
      <c r="R117" s="24" t="n">
        <f aca="false">IFERROR(SUMPRODUCT(($B$2:$B$1001=B117)*($Q$2:$Q$1001&lt;=Q117))/SUMPRODUCT(($B$2:$B$1001=B117)*1),0)</f>
        <v>0.00336700336700337</v>
      </c>
      <c r="S117" s="24" t="n">
        <f aca="false">IFERROR(SUMPRODUCT(($B$2:$B$1001=B117)*($K$2:$K$1001&lt;=K117))/SUMPRODUCT(($B$2:$B$1001=B117)*1),0)</f>
        <v>0.326599326599327</v>
      </c>
      <c r="T117" s="26" t="n">
        <f aca="false">(R117-S117)*100</f>
        <v>-32.3232323232323</v>
      </c>
      <c r="U117" s="21" t="str">
        <f aca="false">'Player Data'!T117</f>
        <v>Unknown</v>
      </c>
      <c r="V117" s="27" t="n">
        <f aca="false">'Player Data'!U117</f>
        <v>2028</v>
      </c>
      <c r="W117" s="21" t="str">
        <f aca="false">IF(AND(T117&gt;=Assumptions!$B$19,U117="No"),"High Priority - Unrepresented",IF(T117&gt;=Assumptions!$B$19,"High Priority",IF(AND(T117&gt;=Assumptions!$B$20,U117="No"),"Watchlist - Unrepresented",IF(T117&gt;=Assumptions!$B$20,"Watchlist",""))))</f>
        <v/>
      </c>
      <c r="X117" s="21" t="str">
        <f aca="false">'Player Data'!V117</f>
        <v>info@tbilisitown.ge</v>
      </c>
      <c r="Y117" s="28" t="str">
        <f aca="false">'Player Data'!W117</f>
        <v>Club sporting director / first-team office</v>
      </c>
      <c r="Z117" s="28" t="str">
        <f aca="false">'Player Data'!X117</f>
        <v>GFF (Georgian Football Federation) player registry</v>
      </c>
      <c r="AA117" s="19" t="str">
        <f aca="false">HYPERLINK("https://www.transfermarkt.com/schnellsuche/ergebnis/schnellsuche?query="&amp;SUBSTITUTE(A117," ","+"),"Search Transfermarkt")</f>
        <v>Search Transfermarkt</v>
      </c>
      <c r="AB117" s="29" t="n">
        <f aca="false">IFERROR('Player Data'!K117/('Player Data'!K117+'Player Data'!L117),0)</f>
        <v>0.63265306122449</v>
      </c>
      <c r="AC117" s="21" t="str">
        <f aca="false">IF(B117="GK",IF(AND(O117&gt;=Assumptions!$B$23,N117&gt;=Assumptions!$B$23),"Sweeper-Keeper / Build-from-the-Back",IF(O117&gt;=Assumptions!$B$23,"Sweeper-Keeper / High Line",IF(M117&gt;=Assumptions!$B$23,"Shot-Stopper / Traditional","Flexible / Multi-System"))),IF(AND(O117&gt;=Assumptions!$B$23,P117&gt;=Assumptions!$B$24),"High Press / Gegenpressing",IF(AND(N117&gt;=Assumptions!$B$23,AB117&gt;=Assumptions!$B$25),"Possession / Build-from-the-Back",IF(N117&gt;=Assumptions!$B$23,"Counter-Attack / Transition",IF(AND(O117&gt;=Assumptions!$B$23,N117&lt;Assumptions!$B$26),"Low Block / Park the Bus",IF(AND(B117="FW",M117&gt;=Assumptions!$B$23,N117&lt;Assumptions!$B$26),"Direct / Target Approach","Flexible / Multi-System"))))))</f>
        <v>Flexible / Multi-System</v>
      </c>
      <c r="AD117" s="21" t="str">
        <f aca="false">'Player Data'!Y117</f>
        <v>2026-07-17</v>
      </c>
      <c r="AE117" s="21" t="str">
        <f aca="false">'Player Data'!Z117</f>
        <v>2026-07-17</v>
      </c>
      <c r="AF117" s="28" t="str">
        <f aca="false">IFERROR(INDEX(Assumptions!$B$30:$B$61,MATCH(C117,Assumptions!$A$30:$A$61,0)),"--")</f>
        <v>Turkey, Poland</v>
      </c>
      <c r="AG117" s="30" t="str">
        <f aca="false">IF(R117&gt;=0.7,"Step-Up Candidate",IF(R117&gt;=0.4,"Lateral Move","Stay &amp; Develop"))</f>
        <v>Stay &amp; Develop</v>
      </c>
    </row>
    <row r="118" customFormat="false" ht="23.85" hidden="false" customHeight="false" outlineLevel="0" collapsed="false">
      <c r="A118" s="21" t="str">
        <f aca="false">'Player Data'!A118</f>
        <v>Bakary Sidibe</v>
      </c>
      <c r="B118" s="21" t="str">
        <f aca="false">'Player Data'!F118</f>
        <v>FW</v>
      </c>
      <c r="C118" s="21" t="str">
        <f aca="false">'Player Data'!B118</f>
        <v>Mali</v>
      </c>
      <c r="D118" s="21" t="str">
        <f aca="false">'Player Data'!C118</f>
        <v>Mali Regional League</v>
      </c>
      <c r="E118" s="21" t="n">
        <f aca="false">'Player Data'!D118</f>
        <v>2</v>
      </c>
      <c r="F118" s="21" t="n">
        <f aca="false">'Player Data'!G118</f>
        <v>20</v>
      </c>
      <c r="G118" s="21" t="n">
        <f aca="false">'Player Data'!H118</f>
        <v>1194</v>
      </c>
      <c r="H118" s="22" t="n">
        <f aca="false">IF(B118="GK",IFERROR(('Player Data'!N118-1.5*'Player Data'!O118)/'Player Data'!H118*90,0),IFERROR(('Player Data'!I118+'Player Data'!J118)/'Player Data'!H118*90,0))</f>
        <v>1.4321608040201</v>
      </c>
      <c r="I118" s="22" t="n">
        <f aca="false">IF(B118="GK",'Player Data'!P118,IFERROR(('Player Data'!K118+'Player Data'!L118)/'Player Data'!H118*90,0))</f>
        <v>9.12060301507538</v>
      </c>
      <c r="J118" s="22" t="n">
        <f aca="false">IF(B118="GK",IFERROR('Player Data'!Q118/'Player Data'!H118*90,0),IFERROR('Player Data'!M118/'Player Data'!H118*90,0))</f>
        <v>0.376884422110553</v>
      </c>
      <c r="K118" s="23" t="n">
        <f aca="false">'Player Data'!S118</f>
        <v>12707</v>
      </c>
      <c r="L118" s="22" t="n">
        <f aca="false">INDEX(Assumptions!$B$13:$B$15,MATCH(E118,Assumptions!$A$13:$A$15,0))</f>
        <v>1</v>
      </c>
      <c r="M118" s="24" t="n">
        <f aca="false">IFERROR(SUMPRODUCT(($B$2:$B$1001=B118)*($H$2:$H$1001&lt;=H118))/SUMPRODUCT(($B$2:$B$1001=B118)*1),0)</f>
        <v>0.805309734513274</v>
      </c>
      <c r="N118" s="24" t="n">
        <f aca="false">IFERROR(SUMPRODUCT(($B$2:$B$1001=B118)*($I$2:$I$1001&lt;=I118))/SUMPRODUCT(($B$2:$B$1001=B118)*1),0)</f>
        <v>0.778761061946903</v>
      </c>
      <c r="O118" s="24" t="n">
        <f aca="false">IFERROR(SUMPRODUCT(($B$2:$B$1001=B118)*($J$2:$J$1001&lt;=J118))/SUMPRODUCT(($B$2:$B$1001=B118)*1),0)</f>
        <v>0.300884955752212</v>
      </c>
      <c r="P118" s="24" t="n">
        <f aca="false">IFERROR(SUMPRODUCT(($B$2:$B$1001=B118)*((0-$F$2:$F$1001)&lt;=(0-F118)))/SUMPRODUCT(($B$2:$B$1001=B118)*1),0)</f>
        <v>0.712389380530973</v>
      </c>
      <c r="Q118" s="25" t="n">
        <f aca="false">(M118*Assumptions!$B$5+N118*Assumptions!$B$6+O118*Assumptions!$B$7+P118*Assumptions!$B$8)*L118</f>
        <v>0.676548672566372</v>
      </c>
      <c r="R118" s="24" t="n">
        <f aca="false">IFERROR(SUMPRODUCT(($B$2:$B$1001=B118)*($Q$2:$Q$1001&lt;=Q118))/SUMPRODUCT(($B$2:$B$1001=B118)*1),0)</f>
        <v>0.853982300884956</v>
      </c>
      <c r="S118" s="24" t="n">
        <f aca="false">IFERROR(SUMPRODUCT(($B$2:$B$1001=B118)*($K$2:$K$1001&lt;=K118))/SUMPRODUCT(($B$2:$B$1001=B118)*1),0)</f>
        <v>0.292035398230089</v>
      </c>
      <c r="T118" s="26" t="n">
        <f aca="false">(R118-S118)*100</f>
        <v>56.1946902654867</v>
      </c>
      <c r="U118" s="21" t="str">
        <f aca="false">'Player Data'!T118</f>
        <v>Unknown</v>
      </c>
      <c r="V118" s="27" t="n">
        <f aca="false">'Player Data'!U118</f>
        <v>2027</v>
      </c>
      <c r="W118" s="21" t="str">
        <f aca="false">IF(AND(T118&gt;=Assumptions!$B$19,U118="No"),"High Priority - Unrepresented",IF(T118&gt;=Assumptions!$B$19,"High Priority",IF(AND(T118&gt;=Assumptions!$B$20,U118="No"),"Watchlist - Unrepresented",IF(T118&gt;=Assumptions!$B$20,"Watchlist",""))))</f>
        <v>High Priority</v>
      </c>
      <c r="X118" s="21" t="str">
        <f aca="false">'Player Data'!V118</f>
        <v>info@moptiunited.ml</v>
      </c>
      <c r="Y118" s="28" t="str">
        <f aca="false">'Player Data'!W118</f>
        <v>Club sporting director / first-team office</v>
      </c>
      <c r="Z118" s="28" t="str">
        <f aca="false">'Player Data'!X118</f>
        <v>FEMAFOOT (Malian Football Federation) player registry</v>
      </c>
      <c r="AA118" s="19" t="str">
        <f aca="false">HYPERLINK("https://www.transfermarkt.com/schnellsuche/ergebnis/schnellsuche?query="&amp;SUBSTITUTE(A118," ","+"),"Search Transfermarkt")</f>
        <v>Search Transfermarkt</v>
      </c>
      <c r="AB118" s="29" t="n">
        <f aca="false">IFERROR('Player Data'!K118/('Player Data'!K118+'Player Data'!L118),0)</f>
        <v>0.264462809917355</v>
      </c>
      <c r="AC118" s="21" t="str">
        <f aca="false">IF(B118="GK",IF(AND(O118&gt;=Assumptions!$B$23,N118&gt;=Assumptions!$B$23),"Sweeper-Keeper / Build-from-the-Back",IF(O118&gt;=Assumptions!$B$23,"Sweeper-Keeper / High Line",IF(M118&gt;=Assumptions!$B$23,"Shot-Stopper / Traditional","Flexible / Multi-System"))),IF(AND(O118&gt;=Assumptions!$B$23,P118&gt;=Assumptions!$B$24),"High Press / Gegenpressing",IF(AND(N118&gt;=Assumptions!$B$23,AB118&gt;=Assumptions!$B$25),"Possession / Build-from-the-Back",IF(N118&gt;=Assumptions!$B$23,"Counter-Attack / Transition",IF(AND(O118&gt;=Assumptions!$B$23,N118&lt;Assumptions!$B$26),"Low Block / Park the Bus",IF(AND(B118="FW",M118&gt;=Assumptions!$B$23,N118&lt;Assumptions!$B$26),"Direct / Target Approach","Flexible / Multi-System"))))))</f>
        <v>Counter-Attack / Transition</v>
      </c>
      <c r="AD118" s="21" t="str">
        <f aca="false">'Player Data'!Y118</f>
        <v>2026-07-17</v>
      </c>
      <c r="AE118" s="21" t="str">
        <f aca="false">'Player Data'!Z118</f>
        <v>2026-07-17</v>
      </c>
      <c r="AF118" s="28" t="str">
        <f aca="false">IFERROR(INDEX(Assumptions!$B$30:$B$61,MATCH(C118,Assumptions!$A$30:$A$61,0)),"--")</f>
        <v>Belgium, Portugal</v>
      </c>
      <c r="AG118" s="30" t="str">
        <f aca="false">IF(R118&gt;=0.7,"Step-Up Candidate",IF(R118&gt;=0.4,"Lateral Move","Stay &amp; Develop"))</f>
        <v>Step-Up Candidate</v>
      </c>
    </row>
    <row r="119" customFormat="false" ht="23.85" hidden="false" customHeight="false" outlineLevel="0" collapsed="false">
      <c r="A119" s="21" t="str">
        <f aca="false">'Player Data'!A119</f>
        <v>Karim Hassan</v>
      </c>
      <c r="B119" s="21" t="str">
        <f aca="false">'Player Data'!F119</f>
        <v>GK</v>
      </c>
      <c r="C119" s="21" t="str">
        <f aca="false">'Player Data'!B119</f>
        <v>Iraq</v>
      </c>
      <c r="D119" s="21" t="str">
        <f aca="false">'Player Data'!C119</f>
        <v>Iraq Second Division - West</v>
      </c>
      <c r="E119" s="21" t="n">
        <f aca="false">'Player Data'!D119</f>
        <v>3</v>
      </c>
      <c r="F119" s="21" t="n">
        <f aca="false">'Player Data'!G119</f>
        <v>17</v>
      </c>
      <c r="G119" s="21" t="n">
        <f aca="false">'Player Data'!H119</f>
        <v>1439</v>
      </c>
      <c r="H119" s="22" t="n">
        <f aca="false">IF(B119="GK",IFERROR(('Player Data'!N119-1.5*'Player Data'!O119)/'Player Data'!H119*90,0),IFERROR(('Player Data'!I119+'Player Data'!J119)/'Player Data'!H119*90,0))</f>
        <v>2.5642807505212</v>
      </c>
      <c r="I119" s="22" t="n">
        <f aca="false">IF(B119="GK",'Player Data'!P119,IFERROR(('Player Data'!K119+'Player Data'!L119)/'Player Data'!H119*90,0))</f>
        <v>74.1</v>
      </c>
      <c r="J119" s="22" t="n">
        <f aca="false">IF(B119="GK",IFERROR('Player Data'!Q119/'Player Data'!H119*90,0),IFERROR('Player Data'!M119/'Player Data'!H119*90,0))</f>
        <v>0.969423210562891</v>
      </c>
      <c r="K119" s="23" t="n">
        <f aca="false">'Player Data'!S119</f>
        <v>87354</v>
      </c>
      <c r="L119" s="22" t="n">
        <f aca="false">INDEX(Assumptions!$B$13:$B$15,MATCH(E119,Assumptions!$A$13:$A$15,0))</f>
        <v>0.85</v>
      </c>
      <c r="M119" s="24" t="n">
        <f aca="false">IFERROR(SUMPRODUCT(($B$2:$B$1001=B119)*($H$2:$H$1001&lt;=H119))/SUMPRODUCT(($B$2:$B$1001=B119)*1),0)</f>
        <v>0.989071038251366</v>
      </c>
      <c r="N119" s="24" t="n">
        <f aca="false">IFERROR(SUMPRODUCT(($B$2:$B$1001=B119)*($I$2:$I$1001&lt;=I119))/SUMPRODUCT(($B$2:$B$1001=B119)*1),0)</f>
        <v>0.540983606557377</v>
      </c>
      <c r="O119" s="24" t="n">
        <f aca="false">IFERROR(SUMPRODUCT(($B$2:$B$1001=B119)*($J$2:$J$1001&lt;=J119))/SUMPRODUCT(($B$2:$B$1001=B119)*1),0)</f>
        <v>0.595628415300546</v>
      </c>
      <c r="P119" s="24" t="n">
        <f aca="false">IFERROR(SUMPRODUCT(($B$2:$B$1001=B119)*((0-$F$2:$F$1001)&lt;=(0-F119)))/SUMPRODUCT(($B$2:$B$1001=B119)*1),0)</f>
        <v>1</v>
      </c>
      <c r="Q119" s="25" t="n">
        <f aca="false">(M119*Assumptions!$B$5+N119*Assumptions!$B$6+O119*Assumptions!$B$7+P119*Assumptions!$B$8)*L119</f>
        <v>0.642377049180328</v>
      </c>
      <c r="R119" s="24" t="n">
        <f aca="false">IFERROR(SUMPRODUCT(($B$2:$B$1001=B119)*($Q$2:$Q$1001&lt;=Q119))/SUMPRODUCT(($B$2:$B$1001=B119)*1),0)</f>
        <v>0.934426229508197</v>
      </c>
      <c r="S119" s="24" t="n">
        <f aca="false">IFERROR(SUMPRODUCT(($B$2:$B$1001=B119)*($K$2:$K$1001&lt;=K119))/SUMPRODUCT(($B$2:$B$1001=B119)*1),0)</f>
        <v>0.622950819672131</v>
      </c>
      <c r="T119" s="26" t="n">
        <f aca="false">(R119-S119)*100</f>
        <v>31.1475409836066</v>
      </c>
      <c r="U119" s="21" t="str">
        <f aca="false">'Player Data'!T119</f>
        <v>No</v>
      </c>
      <c r="V119" s="27" t="n">
        <f aca="false">'Player Data'!U119</f>
        <v>2027</v>
      </c>
      <c r="W119" s="21" t="str">
        <f aca="false">IF(AND(T119&gt;=Assumptions!$B$19,U119="No"),"High Priority - Unrepresented",IF(T119&gt;=Assumptions!$B$19,"High Priority",IF(AND(T119&gt;=Assumptions!$B$20,U119="No"),"Watchlist - Unrepresented",IF(T119&gt;=Assumptions!$B$20,"Watchlist",""))))</f>
        <v>Watchlist - Unrepresented</v>
      </c>
      <c r="X119" s="21" t="str">
        <f aca="false">'Player Data'!V119</f>
        <v>info@najafcity.iq</v>
      </c>
      <c r="Y119" s="28" t="str">
        <f aca="false">'Player Data'!W119</f>
        <v>Club youth/academy office ONLY - player is a minor, do not contact directly</v>
      </c>
      <c r="Z119" s="28" t="str">
        <f aca="false">'Player Data'!X119</f>
        <v>IFA (Iraq Football Association) player registry</v>
      </c>
      <c r="AA119" s="19" t="str">
        <f aca="false">HYPERLINK("https://www.transfermarkt.com/schnellsuche/ergebnis/schnellsuche?query="&amp;SUBSTITUTE(A119," ","+"),"Search Transfermarkt")</f>
        <v>Search Transfermarkt</v>
      </c>
      <c r="AB119" s="29" t="n">
        <f aca="false">IFERROR('Player Data'!K119/('Player Data'!K119+'Player Data'!L119),0)</f>
        <v>1</v>
      </c>
      <c r="AC119" s="21" t="str">
        <f aca="false">IF(B119="GK",IF(AND(O119&gt;=Assumptions!$B$23,N119&gt;=Assumptions!$B$23),"Sweeper-Keeper / Build-from-the-Back",IF(O119&gt;=Assumptions!$B$23,"Sweeper-Keeper / High Line",IF(M119&gt;=Assumptions!$B$23,"Shot-Stopper / Traditional","Flexible / Multi-System"))),IF(AND(O119&gt;=Assumptions!$B$23,P119&gt;=Assumptions!$B$24),"High Press / Gegenpressing",IF(AND(N119&gt;=Assumptions!$B$23,AB119&gt;=Assumptions!$B$25),"Possession / Build-from-the-Back",IF(N119&gt;=Assumptions!$B$23,"Counter-Attack / Transition",IF(AND(O119&gt;=Assumptions!$B$23,N119&lt;Assumptions!$B$26),"Low Block / Park the Bus",IF(AND(B119="FW",M119&gt;=Assumptions!$B$23,N119&lt;Assumptions!$B$26),"Direct / Target Approach","Flexible / Multi-System"))))))</f>
        <v>Shot-Stopper / Traditional</v>
      </c>
      <c r="AD119" s="21" t="str">
        <f aca="false">'Player Data'!Y119</f>
        <v>2026-07-17</v>
      </c>
      <c r="AE119" s="21" t="str">
        <f aca="false">'Player Data'!Z119</f>
        <v>2026-07-17</v>
      </c>
      <c r="AF119" s="28" t="str">
        <f aca="false">IFERROR(INDEX(Assumptions!$B$30:$B$61,MATCH(C119,Assumptions!$A$30:$A$61,0)),"--")</f>
        <v>Turkey, Saudi Arabia</v>
      </c>
      <c r="AG119" s="30" t="str">
        <f aca="false">IF(R119&gt;=0.7,"Step-Up Candidate",IF(R119&gt;=0.4,"Lateral Move","Stay &amp; Develop"))</f>
        <v>Step-Up Candidate</v>
      </c>
    </row>
    <row r="120" customFormat="false" ht="23.85" hidden="false" customHeight="false" outlineLevel="0" collapsed="false">
      <c r="A120" s="21" t="str">
        <f aca="false">'Player Data'!A120</f>
        <v>Bekzod Yusupov</v>
      </c>
      <c r="B120" s="21" t="str">
        <f aca="false">'Player Data'!F120</f>
        <v>DF</v>
      </c>
      <c r="C120" s="21" t="str">
        <f aca="false">'Player Data'!B120</f>
        <v>Uzbekistan</v>
      </c>
      <c r="D120" s="21" t="str">
        <f aca="false">'Player Data'!C120</f>
        <v>Uzbekistan Provincial League</v>
      </c>
      <c r="E120" s="21" t="n">
        <f aca="false">'Player Data'!D120</f>
        <v>4</v>
      </c>
      <c r="F120" s="21" t="n">
        <f aca="false">'Player Data'!G120</f>
        <v>22</v>
      </c>
      <c r="G120" s="21" t="n">
        <f aca="false">'Player Data'!H120</f>
        <v>1380</v>
      </c>
      <c r="H120" s="22" t="n">
        <f aca="false">IF(B120="GK",IFERROR(('Player Data'!N120-1.5*'Player Data'!O120)/'Player Data'!H120*90,0),IFERROR(('Player Data'!I120+'Player Data'!J120)/'Player Data'!H120*90,0))</f>
        <v>0.260869565217391</v>
      </c>
      <c r="I120" s="22" t="n">
        <f aca="false">IF(B120="GK",'Player Data'!P120,IFERROR(('Player Data'!K120+'Player Data'!L120)/'Player Data'!H120*90,0))</f>
        <v>6</v>
      </c>
      <c r="J120" s="22" t="n">
        <f aca="false">IF(B120="GK",IFERROR('Player Data'!Q120/'Player Data'!H120*90,0),IFERROR('Player Data'!M120/'Player Data'!H120*90,0))</f>
        <v>6.32608695652174</v>
      </c>
      <c r="K120" s="23" t="n">
        <f aca="false">'Player Data'!S120</f>
        <v>0</v>
      </c>
      <c r="L120" s="22" t="n">
        <f aca="false">INDEX(Assumptions!$B$13:$B$15,MATCH(E120,Assumptions!$A$13:$A$15,0))</f>
        <v>0.7</v>
      </c>
      <c r="M120" s="24" t="n">
        <f aca="false">IFERROR(SUMPRODUCT(($B$2:$B$1001=B120)*($H$2:$H$1001&lt;=H120))/SUMPRODUCT(($B$2:$B$1001=B120)*1),0)</f>
        <v>0.683673469387755</v>
      </c>
      <c r="N120" s="24" t="n">
        <f aca="false">IFERROR(SUMPRODUCT(($B$2:$B$1001=B120)*($I$2:$I$1001&lt;=I120))/SUMPRODUCT(($B$2:$B$1001=B120)*1),0)</f>
        <v>0.741496598639456</v>
      </c>
      <c r="O120" s="24" t="n">
        <f aca="false">IFERROR(SUMPRODUCT(($B$2:$B$1001=B120)*($J$2:$J$1001&lt;=J120))/SUMPRODUCT(($B$2:$B$1001=B120)*1),0)</f>
        <v>0.670068027210884</v>
      </c>
      <c r="P120" s="24" t="n">
        <f aca="false">IFERROR(SUMPRODUCT(($B$2:$B$1001=B120)*((0-$F$2:$F$1001)&lt;=(0-F120)))/SUMPRODUCT(($B$2:$B$1001=B120)*1),0)</f>
        <v>0.493197278911565</v>
      </c>
      <c r="Q120" s="25" t="n">
        <f aca="false">(M120*Assumptions!$B$5+N120*Assumptions!$B$6+O120*Assumptions!$B$7+P120*Assumptions!$B$8)*L120</f>
        <v>0.464166666666667</v>
      </c>
      <c r="R120" s="24" t="n">
        <f aca="false">IFERROR(SUMPRODUCT(($B$2:$B$1001=B120)*($Q$2:$Q$1001&lt;=Q120))/SUMPRODUCT(($B$2:$B$1001=B120)*1),0)</f>
        <v>0.595238095238095</v>
      </c>
      <c r="S120" s="24" t="n">
        <f aca="false">IFERROR(SUMPRODUCT(($B$2:$B$1001=B120)*($K$2:$K$1001&lt;=K120))/SUMPRODUCT(($B$2:$B$1001=B120)*1),0)</f>
        <v>0.248299319727891</v>
      </c>
      <c r="T120" s="26" t="n">
        <f aca="false">(R120-S120)*100</f>
        <v>34.6938775510204</v>
      </c>
      <c r="U120" s="21" t="str">
        <f aca="false">'Player Data'!T120</f>
        <v>Yes</v>
      </c>
      <c r="V120" s="27" t="n">
        <f aca="false">'Player Data'!U120</f>
        <v>2029</v>
      </c>
      <c r="W120" s="21" t="str">
        <f aca="false">IF(AND(T120&gt;=Assumptions!$B$19,U120="No"),"High Priority - Unrepresented",IF(T120&gt;=Assumptions!$B$19,"High Priority",IF(AND(T120&gt;=Assumptions!$B$20,U120="No"),"Watchlist - Unrepresented",IF(T120&gt;=Assumptions!$B$20,"Watchlist",""))))</f>
        <v>Watchlist</v>
      </c>
      <c r="X120" s="21" t="str">
        <f aca="false">'Player Data'!V120</f>
        <v>info@bukharasc.uz</v>
      </c>
      <c r="Y120" s="28" t="str">
        <f aca="false">'Player Data'!W120</f>
        <v>Go through the player's agent - ask the club to confirm representation first</v>
      </c>
      <c r="Z120" s="28" t="str">
        <f aca="false">'Player Data'!X120</f>
        <v>UFF (Uzbekistan Football Federation) player registry</v>
      </c>
      <c r="AA120" s="19" t="str">
        <f aca="false">HYPERLINK("https://www.transfermarkt.com/schnellsuche/ergebnis/schnellsuche?query="&amp;SUBSTITUTE(A120," ","+"),"Search Transfermarkt")</f>
        <v>Search Transfermarkt</v>
      </c>
      <c r="AB120" s="29" t="n">
        <f aca="false">IFERROR('Player Data'!K120/('Player Data'!K120+'Player Data'!L120),0)</f>
        <v>0.565217391304348</v>
      </c>
      <c r="AC120" s="21" t="str">
        <f aca="false">IF(B120="GK",IF(AND(O120&gt;=Assumptions!$B$23,N120&gt;=Assumptions!$B$23),"Sweeper-Keeper / Build-from-the-Back",IF(O120&gt;=Assumptions!$B$23,"Sweeper-Keeper / High Line",IF(M120&gt;=Assumptions!$B$23,"Shot-Stopper / Traditional","Flexible / Multi-System"))),IF(AND(O120&gt;=Assumptions!$B$23,P120&gt;=Assumptions!$B$24),"High Press / Gegenpressing",IF(AND(N120&gt;=Assumptions!$B$23,AB120&gt;=Assumptions!$B$25),"Possession / Build-from-the-Back",IF(N120&gt;=Assumptions!$B$23,"Counter-Attack / Transition",IF(AND(O120&gt;=Assumptions!$B$23,N120&lt;Assumptions!$B$26),"Low Block / Park the Bus",IF(AND(B120="FW",M120&gt;=Assumptions!$B$23,N120&lt;Assumptions!$B$26),"Direct / Target Approach","Flexible / Multi-System"))))))</f>
        <v>Counter-Attack / Transition</v>
      </c>
      <c r="AD120" s="21" t="str">
        <f aca="false">'Player Data'!Y120</f>
        <v>2026-07-17</v>
      </c>
      <c r="AE120" s="21" t="str">
        <f aca="false">'Player Data'!Z120</f>
        <v>2026-07-17</v>
      </c>
      <c r="AF120" s="28" t="str">
        <f aca="false">IFERROR(INDEX(Assumptions!$B$30:$B$61,MATCH(C120,Assumptions!$A$30:$A$61,0)),"--")</f>
        <v>Turkey, Saudi Arabia</v>
      </c>
      <c r="AG120" s="30" t="str">
        <f aca="false">IF(R120&gt;=0.7,"Step-Up Candidate",IF(R120&gt;=0.4,"Lateral Move","Stay &amp; Develop"))</f>
        <v>Lateral Move</v>
      </c>
    </row>
    <row r="121" customFormat="false" ht="23.85" hidden="false" customHeight="false" outlineLevel="0" collapsed="false">
      <c r="A121" s="21" t="str">
        <f aca="false">'Player Data'!A121</f>
        <v>Ened Meta</v>
      </c>
      <c r="B121" s="21" t="str">
        <f aca="false">'Player Data'!F121</f>
        <v>FW</v>
      </c>
      <c r="C121" s="21" t="str">
        <f aca="false">'Player Data'!B121</f>
        <v>Albania</v>
      </c>
      <c r="D121" s="21" t="str">
        <f aca="false">'Player Data'!C121</f>
        <v>Albania Second Division - East</v>
      </c>
      <c r="E121" s="21" t="n">
        <f aca="false">'Player Data'!D121</f>
        <v>2</v>
      </c>
      <c r="F121" s="21" t="n">
        <f aca="false">'Player Data'!G121</f>
        <v>24</v>
      </c>
      <c r="G121" s="21" t="n">
        <f aca="false">'Player Data'!H121</f>
        <v>2411</v>
      </c>
      <c r="H121" s="22" t="n">
        <f aca="false">IF(B121="GK",IFERROR(('Player Data'!N121-1.5*'Player Data'!O121)/'Player Data'!H121*90,0),IFERROR(('Player Data'!I121+'Player Data'!J121)/'Player Data'!H121*90,0))</f>
        <v>1.04520945665699</v>
      </c>
      <c r="I121" s="22" t="n">
        <f aca="false">IF(B121="GK",'Player Data'!P121,IFERROR(('Player Data'!K121+'Player Data'!L121)/'Player Data'!H121*90,0))</f>
        <v>5.6739941932808</v>
      </c>
      <c r="J121" s="22" t="n">
        <f aca="false">IF(B121="GK",IFERROR('Player Data'!Q121/'Player Data'!H121*90,0),IFERROR('Player Data'!M121/'Player Data'!H121*90,0))</f>
        <v>0.37328909166321</v>
      </c>
      <c r="K121" s="23" t="n">
        <f aca="false">'Player Data'!S121</f>
        <v>0</v>
      </c>
      <c r="L121" s="22" t="n">
        <f aca="false">INDEX(Assumptions!$B$13:$B$15,MATCH(E121,Assumptions!$A$13:$A$15,0))</f>
        <v>1</v>
      </c>
      <c r="M121" s="24" t="n">
        <f aca="false">IFERROR(SUMPRODUCT(($B$2:$B$1001=B121)*($H$2:$H$1001&lt;=H121))/SUMPRODUCT(($B$2:$B$1001=B121)*1),0)</f>
        <v>0.561946902654867</v>
      </c>
      <c r="N121" s="24" t="n">
        <f aca="false">IFERROR(SUMPRODUCT(($B$2:$B$1001=B121)*($I$2:$I$1001&lt;=I121))/SUMPRODUCT(($B$2:$B$1001=B121)*1),0)</f>
        <v>0.353982300884956</v>
      </c>
      <c r="O121" s="24" t="n">
        <f aca="false">IFERROR(SUMPRODUCT(($B$2:$B$1001=B121)*($J$2:$J$1001&lt;=J121))/SUMPRODUCT(($B$2:$B$1001=B121)*1),0)</f>
        <v>0.292035398230089</v>
      </c>
      <c r="P121" s="24" t="n">
        <f aca="false">IFERROR(SUMPRODUCT(($B$2:$B$1001=B121)*((0-$F$2:$F$1001)&lt;=(0-F121)))/SUMPRODUCT(($B$2:$B$1001=B121)*1),0)</f>
        <v>0.305309734513274</v>
      </c>
      <c r="Q121" s="25" t="n">
        <f aca="false">(M121*Assumptions!$B$5+N121*Assumptions!$B$6+O121*Assumptions!$B$7+P121*Assumptions!$B$8)*L121</f>
        <v>0.383849557522124</v>
      </c>
      <c r="R121" s="24" t="n">
        <f aca="false">IFERROR(SUMPRODUCT(($B$2:$B$1001=B121)*($Q$2:$Q$1001&lt;=Q121))/SUMPRODUCT(($B$2:$B$1001=B121)*1),0)</f>
        <v>0.415929203539823</v>
      </c>
      <c r="S121" s="24" t="n">
        <f aca="false">IFERROR(SUMPRODUCT(($B$2:$B$1001=B121)*($K$2:$K$1001&lt;=K121))/SUMPRODUCT(($B$2:$B$1001=B121)*1),0)</f>
        <v>0.261061946902655</v>
      </c>
      <c r="T121" s="26" t="n">
        <f aca="false">(R121-S121)*100</f>
        <v>15.4867256637168</v>
      </c>
      <c r="U121" s="21" t="str">
        <f aca="false">'Player Data'!T121</f>
        <v>Unknown</v>
      </c>
      <c r="V121" s="27" t="n">
        <f aca="false">'Player Data'!U121</f>
        <v>2027</v>
      </c>
      <c r="W121" s="21" t="str">
        <f aca="false">IF(AND(T121&gt;=Assumptions!$B$19,U121="No"),"High Priority - Unrepresented",IF(T121&gt;=Assumptions!$B$19,"High Priority",IF(AND(T121&gt;=Assumptions!$B$20,U121="No"),"Watchlist - Unrepresented",IF(T121&gt;=Assumptions!$B$20,"Watchlist",""))))</f>
        <v/>
      </c>
      <c r="X121" s="21" t="str">
        <f aca="false">'Player Data'!V121</f>
        <v>info@elbasansc.al</v>
      </c>
      <c r="Y121" s="28" t="str">
        <f aca="false">'Player Data'!W121</f>
        <v>Club sporting director / first-team office</v>
      </c>
      <c r="Z121" s="28" t="str">
        <f aca="false">'Player Data'!X121</f>
        <v>FSHF (Albanian Football Association) player registry</v>
      </c>
      <c r="AA121" s="19" t="str">
        <f aca="false">HYPERLINK("https://www.transfermarkt.com/schnellsuche/ergebnis/schnellsuche?query="&amp;SUBSTITUTE(A121," ","+"),"Search Transfermarkt")</f>
        <v>Search Transfermarkt</v>
      </c>
      <c r="AB121" s="29" t="n">
        <f aca="false">IFERROR('Player Data'!K121/('Player Data'!K121+'Player Data'!L121),0)</f>
        <v>0.407894736842105</v>
      </c>
      <c r="AC121" s="21" t="str">
        <f aca="false">IF(B121="GK",IF(AND(O121&gt;=Assumptions!$B$23,N121&gt;=Assumptions!$B$23),"Sweeper-Keeper / Build-from-the-Back",IF(O121&gt;=Assumptions!$B$23,"Sweeper-Keeper / High Line",IF(M121&gt;=Assumptions!$B$23,"Shot-Stopper / Traditional","Flexible / Multi-System"))),IF(AND(O121&gt;=Assumptions!$B$23,P121&gt;=Assumptions!$B$24),"High Press / Gegenpressing",IF(AND(N121&gt;=Assumptions!$B$23,AB121&gt;=Assumptions!$B$25),"Possession / Build-from-the-Back",IF(N121&gt;=Assumptions!$B$23,"Counter-Attack / Transition",IF(AND(O121&gt;=Assumptions!$B$23,N121&lt;Assumptions!$B$26),"Low Block / Park the Bus",IF(AND(B121="FW",M121&gt;=Assumptions!$B$23,N121&lt;Assumptions!$B$26),"Direct / Target Approach","Flexible / Multi-System"))))))</f>
        <v>Flexible / Multi-System</v>
      </c>
      <c r="AD121" s="21" t="str">
        <f aca="false">'Player Data'!Y121</f>
        <v>2026-07-17</v>
      </c>
      <c r="AE121" s="21" t="str">
        <f aca="false">'Player Data'!Z121</f>
        <v>2026-07-17</v>
      </c>
      <c r="AF121" s="28" t="str">
        <f aca="false">IFERROR(INDEX(Assumptions!$B$30:$B$61,MATCH(C121,Assumptions!$A$30:$A$61,0)),"--")</f>
        <v>Turkey, Poland</v>
      </c>
      <c r="AG121" s="30" t="str">
        <f aca="false">IF(R121&gt;=0.7,"Step-Up Candidate",IF(R121&gt;=0.4,"Lateral Move","Stay &amp; Develop"))</f>
        <v>Lateral Move</v>
      </c>
    </row>
    <row r="122" customFormat="false" ht="23.85" hidden="false" customHeight="false" outlineLevel="0" collapsed="false">
      <c r="A122" s="21" t="str">
        <f aca="false">'Player Data'!A122</f>
        <v>Dusan Nikolic</v>
      </c>
      <c r="B122" s="21" t="str">
        <f aca="false">'Player Data'!F122</f>
        <v>MF</v>
      </c>
      <c r="C122" s="21" t="str">
        <f aca="false">'Player Data'!B122</f>
        <v>Serbia</v>
      </c>
      <c r="D122" s="21" t="str">
        <f aca="false">'Player Data'!C122</f>
        <v>Serbia Amateur League</v>
      </c>
      <c r="E122" s="21" t="n">
        <f aca="false">'Player Data'!D122</f>
        <v>2</v>
      </c>
      <c r="F122" s="21" t="n">
        <f aca="false">'Player Data'!G122</f>
        <v>25</v>
      </c>
      <c r="G122" s="21" t="n">
        <f aca="false">'Player Data'!H122</f>
        <v>1074</v>
      </c>
      <c r="H122" s="22" t="n">
        <f aca="false">IF(B122="GK",IFERROR(('Player Data'!N122-1.5*'Player Data'!O122)/'Player Data'!H122*90,0),IFERROR(('Player Data'!I122+'Player Data'!J122)/'Player Data'!H122*90,0))</f>
        <v>0.418994413407821</v>
      </c>
      <c r="I122" s="22" t="n">
        <f aca="false">IF(B122="GK",'Player Data'!P122,IFERROR(('Player Data'!K122+'Player Data'!L122)/'Player Data'!H122*90,0))</f>
        <v>14.8324022346369</v>
      </c>
      <c r="J122" s="22" t="n">
        <f aca="false">IF(B122="GK",IFERROR('Player Data'!Q122/'Player Data'!H122*90,0),IFERROR('Player Data'!M122/'Player Data'!H122*90,0))</f>
        <v>3.85474860335196</v>
      </c>
      <c r="K122" s="23" t="n">
        <f aca="false">'Player Data'!S122</f>
        <v>69745</v>
      </c>
      <c r="L122" s="22" t="n">
        <f aca="false">INDEX(Assumptions!$B$13:$B$15,MATCH(E122,Assumptions!$A$13:$A$15,0))</f>
        <v>1</v>
      </c>
      <c r="M122" s="24" t="n">
        <f aca="false">IFERROR(SUMPRODUCT(($B$2:$B$1001=B122)*($H$2:$H$1001&lt;=H122))/SUMPRODUCT(($B$2:$B$1001=B122)*1),0)</f>
        <v>0.121212121212121</v>
      </c>
      <c r="N122" s="24" t="n">
        <f aca="false">IFERROR(SUMPRODUCT(($B$2:$B$1001=B122)*($I$2:$I$1001&lt;=I122))/SUMPRODUCT(($B$2:$B$1001=B122)*1),0)</f>
        <v>0.747474747474748</v>
      </c>
      <c r="O122" s="24" t="n">
        <f aca="false">IFERROR(SUMPRODUCT(($B$2:$B$1001=B122)*($J$2:$J$1001&lt;=J122))/SUMPRODUCT(($B$2:$B$1001=B122)*1),0)</f>
        <v>0.912457912457912</v>
      </c>
      <c r="P122" s="24" t="n">
        <f aca="false">IFERROR(SUMPRODUCT(($B$2:$B$1001=B122)*((0-$F$2:$F$1001)&lt;=(0-F122)))/SUMPRODUCT(($B$2:$B$1001=B122)*1),0)</f>
        <v>0.202020202020202</v>
      </c>
      <c r="Q122" s="25" t="n">
        <f aca="false">(M122*Assumptions!$B$5+N122*Assumptions!$B$6+O122*Assumptions!$B$7+P122*Assumptions!$B$8)*L122</f>
        <v>0.514814814814815</v>
      </c>
      <c r="R122" s="24" t="n">
        <f aca="false">IFERROR(SUMPRODUCT(($B$2:$B$1001=B122)*($Q$2:$Q$1001&lt;=Q122))/SUMPRODUCT(($B$2:$B$1001=B122)*1),0)</f>
        <v>0.643097643097643</v>
      </c>
      <c r="S122" s="24" t="n">
        <f aca="false">IFERROR(SUMPRODUCT(($B$2:$B$1001=B122)*($K$2:$K$1001&lt;=K122))/SUMPRODUCT(($B$2:$B$1001=B122)*1),0)</f>
        <v>0.575757575757576</v>
      </c>
      <c r="T122" s="26" t="n">
        <f aca="false">(R122-S122)*100</f>
        <v>6.73400673400673</v>
      </c>
      <c r="U122" s="21" t="str">
        <f aca="false">'Player Data'!T122</f>
        <v>Yes</v>
      </c>
      <c r="V122" s="27" t="n">
        <f aca="false">'Player Data'!U122</f>
        <v>2027</v>
      </c>
      <c r="W122" s="21" t="str">
        <f aca="false">IF(AND(T122&gt;=Assumptions!$B$19,U122="No"),"High Priority - Unrepresented",IF(T122&gt;=Assumptions!$B$19,"High Priority",IF(AND(T122&gt;=Assumptions!$B$20,U122="No"),"Watchlist - Unrepresented",IF(T122&gt;=Assumptions!$B$20,"Watchlist",""))))</f>
        <v/>
      </c>
      <c r="X122" s="21" t="str">
        <f aca="false">'Player Data'!V122</f>
        <v>info@backatopolacity.rs</v>
      </c>
      <c r="Y122" s="28" t="str">
        <f aca="false">'Player Data'!W122</f>
        <v>Go through the player's agent - ask the club to confirm representation first</v>
      </c>
      <c r="Z122" s="28" t="str">
        <f aca="false">'Player Data'!X122</f>
        <v>FSS (Football Association of Serbia) player registry</v>
      </c>
      <c r="AA122" s="19" t="str">
        <f aca="false">HYPERLINK("https://www.transfermarkt.com/schnellsuche/ergebnis/schnellsuche?query="&amp;SUBSTITUTE(A122," ","+"),"Search Transfermarkt")</f>
        <v>Search Transfermarkt</v>
      </c>
      <c r="AB122" s="29" t="n">
        <f aca="false">IFERROR('Player Data'!K122/('Player Data'!K122+'Player Data'!L122),0)</f>
        <v>0.706214689265537</v>
      </c>
      <c r="AC122" s="21" t="str">
        <f aca="false">IF(B122="GK",IF(AND(O122&gt;=Assumptions!$B$23,N122&gt;=Assumptions!$B$23),"Sweeper-Keeper / Build-from-the-Back",IF(O122&gt;=Assumptions!$B$23,"Sweeper-Keeper / High Line",IF(M122&gt;=Assumptions!$B$23,"Shot-Stopper / Traditional","Flexible / Multi-System"))),IF(AND(O122&gt;=Assumptions!$B$23,P122&gt;=Assumptions!$B$24),"High Press / Gegenpressing",IF(AND(N122&gt;=Assumptions!$B$23,AB122&gt;=Assumptions!$B$25),"Possession / Build-from-the-Back",IF(N122&gt;=Assumptions!$B$23,"Counter-Attack / Transition",IF(AND(O122&gt;=Assumptions!$B$23,N122&lt;Assumptions!$B$26),"Low Block / Park the Bus",IF(AND(B122="FW",M122&gt;=Assumptions!$B$23,N122&lt;Assumptions!$B$26),"Direct / Target Approach","Flexible / Multi-System"))))))</f>
        <v>Possession / Build-from-the-Back</v>
      </c>
      <c r="AD122" s="21" t="str">
        <f aca="false">'Player Data'!Y122</f>
        <v>2026-07-17</v>
      </c>
      <c r="AE122" s="21" t="str">
        <f aca="false">'Player Data'!Z122</f>
        <v>2026-07-17</v>
      </c>
      <c r="AF122" s="28" t="str">
        <f aca="false">IFERROR(INDEX(Assumptions!$B$30:$B$61,MATCH(C122,Assumptions!$A$30:$A$61,0)),"--")</f>
        <v>Austria, Turkey</v>
      </c>
      <c r="AG122" s="30" t="str">
        <f aca="false">IF(R122&gt;=0.7,"Step-Up Candidate",IF(R122&gt;=0.4,"Lateral Move","Stay &amp; Develop"))</f>
        <v>Lateral Move</v>
      </c>
    </row>
    <row r="123" customFormat="false" ht="23.85" hidden="false" customHeight="false" outlineLevel="0" collapsed="false">
      <c r="A123" s="21" t="str">
        <f aca="false">'Player Data'!A123</f>
        <v>Blaze Angelovski</v>
      </c>
      <c r="B123" s="21" t="str">
        <f aca="false">'Player Data'!F123</f>
        <v>FW</v>
      </c>
      <c r="C123" s="21" t="str">
        <f aca="false">'Player Data'!B123</f>
        <v>North Macedonia</v>
      </c>
      <c r="D123" s="21" t="str">
        <f aca="false">'Player Data'!C123</f>
        <v>North Macedonia Amateur League</v>
      </c>
      <c r="E123" s="21" t="n">
        <f aca="false">'Player Data'!D123</f>
        <v>2</v>
      </c>
      <c r="F123" s="21" t="n">
        <f aca="false">'Player Data'!G123</f>
        <v>25</v>
      </c>
      <c r="G123" s="21" t="n">
        <f aca="false">'Player Data'!H123</f>
        <v>1121</v>
      </c>
      <c r="H123" s="22" t="n">
        <f aca="false">IF(B123="GK",IFERROR(('Player Data'!N123-1.5*'Player Data'!O123)/'Player Data'!H123*90,0),IFERROR(('Player Data'!I123+'Player Data'!J123)/'Player Data'!H123*90,0))</f>
        <v>1.76628010704728</v>
      </c>
      <c r="I123" s="22" t="n">
        <f aca="false">IF(B123="GK",'Player Data'!P123,IFERROR(('Player Data'!K123+'Player Data'!L123)/'Player Data'!H123*90,0))</f>
        <v>8.51025869759144</v>
      </c>
      <c r="J123" s="22" t="n">
        <f aca="false">IF(B123="GK",IFERROR('Player Data'!Q123/'Player Data'!H123*90,0),IFERROR('Player Data'!M123/'Player Data'!H123*90,0))</f>
        <v>0.48171275646744</v>
      </c>
      <c r="K123" s="23" t="n">
        <f aca="false">'Player Data'!S123</f>
        <v>49874</v>
      </c>
      <c r="L123" s="22" t="n">
        <f aca="false">INDEX(Assumptions!$B$13:$B$15,MATCH(E123,Assumptions!$A$13:$A$15,0))</f>
        <v>1</v>
      </c>
      <c r="M123" s="24" t="n">
        <f aca="false">IFERROR(SUMPRODUCT(($B$2:$B$1001=B123)*($H$2:$H$1001&lt;=H123))/SUMPRODUCT(($B$2:$B$1001=B123)*1),0)</f>
        <v>0.907079646017699</v>
      </c>
      <c r="N123" s="24" t="n">
        <f aca="false">IFERROR(SUMPRODUCT(($B$2:$B$1001=B123)*($I$2:$I$1001&lt;=I123))/SUMPRODUCT(($B$2:$B$1001=B123)*1),0)</f>
        <v>0.707964601769912</v>
      </c>
      <c r="O123" s="24" t="n">
        <f aca="false">IFERROR(SUMPRODUCT(($B$2:$B$1001=B123)*($J$2:$J$1001&lt;=J123))/SUMPRODUCT(($B$2:$B$1001=B123)*1),0)</f>
        <v>0.473451327433628</v>
      </c>
      <c r="P123" s="24" t="n">
        <f aca="false">IFERROR(SUMPRODUCT(($B$2:$B$1001=B123)*((0-$F$2:$F$1001)&lt;=(0-F123)))/SUMPRODUCT(($B$2:$B$1001=B123)*1),0)</f>
        <v>0.194690265486726</v>
      </c>
      <c r="Q123" s="25" t="n">
        <f aca="false">(M123*Assumptions!$B$5+N123*Assumptions!$B$6+O123*Assumptions!$B$7+P123*Assumptions!$B$8)*L123</f>
        <v>0.608185840707965</v>
      </c>
      <c r="R123" s="24" t="n">
        <f aca="false">IFERROR(SUMPRODUCT(($B$2:$B$1001=B123)*($Q$2:$Q$1001&lt;=Q123))/SUMPRODUCT(($B$2:$B$1001=B123)*1),0)</f>
        <v>0.765486725663717</v>
      </c>
      <c r="S123" s="24" t="n">
        <f aca="false">IFERROR(SUMPRODUCT(($B$2:$B$1001=B123)*($K$2:$K$1001&lt;=K123))/SUMPRODUCT(($B$2:$B$1001=B123)*1),0)</f>
        <v>0.464601769911504</v>
      </c>
      <c r="T123" s="26" t="n">
        <f aca="false">(R123-S123)*100</f>
        <v>30.0884955752212</v>
      </c>
      <c r="U123" s="21" t="str">
        <f aca="false">'Player Data'!T123</f>
        <v>No</v>
      </c>
      <c r="V123" s="27" t="n">
        <f aca="false">'Player Data'!U123</f>
        <v>2027</v>
      </c>
      <c r="W123" s="21" t="str">
        <f aca="false">IF(AND(T123&gt;=Assumptions!$B$19,U123="No"),"High Priority - Unrepresented",IF(T123&gt;=Assumptions!$B$19,"High Priority",IF(AND(T123&gt;=Assumptions!$B$20,U123="No"),"Watchlist - Unrepresented",IF(T123&gt;=Assumptions!$B$20,"Watchlist",""))))</f>
        <v>Watchlist - Unrepresented</v>
      </c>
      <c r="X123" s="21" t="str">
        <f aca="false">'Player Data'!V123</f>
        <v>info@negotinotown.mk</v>
      </c>
      <c r="Y123" s="28" t="str">
        <f aca="false">'Player Data'!W123</f>
        <v>Club sporting director / first-team office</v>
      </c>
      <c r="Z123" s="28" t="str">
        <f aca="false">'Player Data'!X123</f>
        <v>FFM (Football Federation of North Macedonia) player registry</v>
      </c>
      <c r="AA123" s="19" t="str">
        <f aca="false">HYPERLINK("https://www.transfermarkt.com/schnellsuche/ergebnis/schnellsuche?query="&amp;SUBSTITUTE(A123," ","+"),"Search Transfermarkt")</f>
        <v>Search Transfermarkt</v>
      </c>
      <c r="AB123" s="29" t="n">
        <f aca="false">IFERROR('Player Data'!K123/('Player Data'!K123+'Player Data'!L123),0)</f>
        <v>0.39622641509434</v>
      </c>
      <c r="AC123" s="21" t="str">
        <f aca="false">IF(B123="GK",IF(AND(O123&gt;=Assumptions!$B$23,N123&gt;=Assumptions!$B$23),"Sweeper-Keeper / Build-from-the-Back",IF(O123&gt;=Assumptions!$B$23,"Sweeper-Keeper / High Line",IF(M123&gt;=Assumptions!$B$23,"Shot-Stopper / Traditional","Flexible / Multi-System"))),IF(AND(O123&gt;=Assumptions!$B$23,P123&gt;=Assumptions!$B$24),"High Press / Gegenpressing",IF(AND(N123&gt;=Assumptions!$B$23,AB123&gt;=Assumptions!$B$25),"Possession / Build-from-the-Back",IF(N123&gt;=Assumptions!$B$23,"Counter-Attack / Transition",IF(AND(O123&gt;=Assumptions!$B$23,N123&lt;Assumptions!$B$26),"Low Block / Park the Bus",IF(AND(B123="FW",M123&gt;=Assumptions!$B$23,N123&lt;Assumptions!$B$26),"Direct / Target Approach","Flexible / Multi-System"))))))</f>
        <v>Counter-Attack / Transition</v>
      </c>
      <c r="AD123" s="21" t="str">
        <f aca="false">'Player Data'!Y123</f>
        <v>2026-07-17</v>
      </c>
      <c r="AE123" s="21" t="str">
        <f aca="false">'Player Data'!Z123</f>
        <v>2026-07-17</v>
      </c>
      <c r="AF123" s="28" t="str">
        <f aca="false">IFERROR(INDEX(Assumptions!$B$30:$B$61,MATCH(C123,Assumptions!$A$30:$A$61,0)),"--")</f>
        <v>Austria, Turkey</v>
      </c>
      <c r="AG123" s="30" t="str">
        <f aca="false">IF(R123&gt;=0.7,"Step-Up Candidate",IF(R123&gt;=0.4,"Lateral Move","Stay &amp; Develop"))</f>
        <v>Step-Up Candidate</v>
      </c>
    </row>
    <row r="124" customFormat="false" ht="23.85" hidden="false" customHeight="false" outlineLevel="0" collapsed="false">
      <c r="A124" s="21" t="str">
        <f aca="false">'Player Data'!A124</f>
        <v>Ronaldo Gonzalez</v>
      </c>
      <c r="B124" s="21" t="str">
        <f aca="false">'Player Data'!F124</f>
        <v>GK</v>
      </c>
      <c r="C124" s="21" t="str">
        <f aca="false">'Player Data'!B124</f>
        <v>Venezuela</v>
      </c>
      <c r="D124" s="21" t="str">
        <f aca="false">'Player Data'!C124</f>
        <v>Venezuela Third Tier - South</v>
      </c>
      <c r="E124" s="21" t="n">
        <f aca="false">'Player Data'!D124</f>
        <v>2</v>
      </c>
      <c r="F124" s="21" t="n">
        <f aca="false">'Player Data'!G124</f>
        <v>20</v>
      </c>
      <c r="G124" s="21" t="n">
        <f aca="false">'Player Data'!H124</f>
        <v>1488</v>
      </c>
      <c r="H124" s="22" t="n">
        <f aca="false">IF(B124="GK",IFERROR(('Player Data'!N124-1.5*'Player Data'!O124)/'Player Data'!H124*90,0),IFERROR(('Player Data'!I124+'Player Data'!J124)/'Player Data'!H124*90,0))</f>
        <v>-0.181451612903226</v>
      </c>
      <c r="I124" s="22" t="n">
        <f aca="false">IF(B124="GK",'Player Data'!P124,IFERROR(('Player Data'!K124+'Player Data'!L124)/'Player Data'!H124*90,0))</f>
        <v>55.2</v>
      </c>
      <c r="J124" s="22" t="n">
        <f aca="false">IF(B124="GK",IFERROR('Player Data'!Q124/'Player Data'!H124*90,0),IFERROR('Player Data'!M124/'Player Data'!H124*90,0))</f>
        <v>0.477822580645161</v>
      </c>
      <c r="K124" s="23" t="n">
        <f aca="false">'Player Data'!S124</f>
        <v>96359</v>
      </c>
      <c r="L124" s="22" t="n">
        <f aca="false">INDEX(Assumptions!$B$13:$B$15,MATCH(E124,Assumptions!$A$13:$A$15,0))</f>
        <v>1</v>
      </c>
      <c r="M124" s="24" t="n">
        <f aca="false">IFERROR(SUMPRODUCT(($B$2:$B$1001=B124)*($H$2:$H$1001&lt;=H124))/SUMPRODUCT(($B$2:$B$1001=B124)*1),0)</f>
        <v>0.131147540983607</v>
      </c>
      <c r="N124" s="24" t="n">
        <f aca="false">IFERROR(SUMPRODUCT(($B$2:$B$1001=B124)*($I$2:$I$1001&lt;=I124))/SUMPRODUCT(($B$2:$B$1001=B124)*1),0)</f>
        <v>0.0109289617486339</v>
      </c>
      <c r="O124" s="24" t="n">
        <f aca="false">IFERROR(SUMPRODUCT(($B$2:$B$1001=B124)*($J$2:$J$1001&lt;=J124))/SUMPRODUCT(($B$2:$B$1001=B124)*1),0)</f>
        <v>0.234972677595628</v>
      </c>
      <c r="P124" s="24" t="n">
        <f aca="false">IFERROR(SUMPRODUCT(($B$2:$B$1001=B124)*((0-$F$2:$F$1001)&lt;=(0-F124)))/SUMPRODUCT(($B$2:$B$1001=B124)*1),0)</f>
        <v>0.677595628415301</v>
      </c>
      <c r="Q124" s="25" t="n">
        <f aca="false">(M124*Assumptions!$B$5+N124*Assumptions!$B$6+O124*Assumptions!$B$7+P124*Assumptions!$B$8)*L124</f>
        <v>0.219125683060109</v>
      </c>
      <c r="R124" s="24" t="n">
        <f aca="false">IFERROR(SUMPRODUCT(($B$2:$B$1001=B124)*($Q$2:$Q$1001&lt;=Q124))/SUMPRODUCT(($B$2:$B$1001=B124)*1),0)</f>
        <v>0.0327868852459016</v>
      </c>
      <c r="S124" s="24" t="n">
        <f aca="false">IFERROR(SUMPRODUCT(($B$2:$B$1001=B124)*($K$2:$K$1001&lt;=K124))/SUMPRODUCT(($B$2:$B$1001=B124)*1),0)</f>
        <v>0.683060109289618</v>
      </c>
      <c r="T124" s="26" t="n">
        <f aca="false">(R124-S124)*100</f>
        <v>-65.0273224043716</v>
      </c>
      <c r="U124" s="21" t="str">
        <f aca="false">'Player Data'!T124</f>
        <v>No</v>
      </c>
      <c r="V124" s="27" t="n">
        <f aca="false">'Player Data'!U124</f>
        <v>2026</v>
      </c>
      <c r="W124" s="21" t="str">
        <f aca="false">IF(AND(T124&gt;=Assumptions!$B$19,U124="No"),"High Priority - Unrepresented",IF(T124&gt;=Assumptions!$B$19,"High Priority",IF(AND(T124&gt;=Assumptions!$B$20,U124="No"),"Watchlist - Unrepresented",IF(T124&gt;=Assumptions!$B$20,"Watchlist",""))))</f>
        <v/>
      </c>
      <c r="X124" s="21" t="str">
        <f aca="false">'Player Data'!V124</f>
        <v>info@barquisimetorangers.ve</v>
      </c>
      <c r="Y124" s="28" t="str">
        <f aca="false">'Player Data'!W124</f>
        <v>Club sporting director / first-team office</v>
      </c>
      <c r="Z124" s="28" t="str">
        <f aca="false">'Player Data'!X124</f>
        <v>FVF (Venezuelan Football Federation) player registry</v>
      </c>
      <c r="AA124" s="19" t="str">
        <f aca="false">HYPERLINK("https://www.transfermarkt.com/schnellsuche/ergebnis/schnellsuche?query="&amp;SUBSTITUTE(A124," ","+"),"Search Transfermarkt")</f>
        <v>Search Transfermarkt</v>
      </c>
      <c r="AB124" s="29" t="n">
        <f aca="false">IFERROR('Player Data'!K124/('Player Data'!K124+'Player Data'!L124),0)</f>
        <v>0.791666666666667</v>
      </c>
      <c r="AC124" s="21" t="str">
        <f aca="false">IF(B124="GK",IF(AND(O124&gt;=Assumptions!$B$23,N124&gt;=Assumptions!$B$23),"Sweeper-Keeper / Build-from-the-Back",IF(O124&gt;=Assumptions!$B$23,"Sweeper-Keeper / High Line",IF(M124&gt;=Assumptions!$B$23,"Shot-Stopper / Traditional","Flexible / Multi-System"))),IF(AND(O124&gt;=Assumptions!$B$23,P124&gt;=Assumptions!$B$24),"High Press / Gegenpressing",IF(AND(N124&gt;=Assumptions!$B$23,AB124&gt;=Assumptions!$B$25),"Possession / Build-from-the-Back",IF(N124&gt;=Assumptions!$B$23,"Counter-Attack / Transition",IF(AND(O124&gt;=Assumptions!$B$23,N124&lt;Assumptions!$B$26),"Low Block / Park the Bus",IF(AND(B124="FW",M124&gt;=Assumptions!$B$23,N124&lt;Assumptions!$B$26),"Direct / Target Approach","Flexible / Multi-System"))))))</f>
        <v>Flexible / Multi-System</v>
      </c>
      <c r="AD124" s="21" t="str">
        <f aca="false">'Player Data'!Y124</f>
        <v>2026-07-17</v>
      </c>
      <c r="AE124" s="21" t="str">
        <f aca="false">'Player Data'!Z124</f>
        <v>2026-07-17</v>
      </c>
      <c r="AF124" s="28" t="str">
        <f aca="false">IFERROR(INDEX(Assumptions!$B$30:$B$61,MATCH(C124,Assumptions!$A$30:$A$61,0)),"--")</f>
        <v>Argentina, Portugal</v>
      </c>
      <c r="AG124" s="30" t="str">
        <f aca="false">IF(R124&gt;=0.7,"Step-Up Candidate",IF(R124&gt;=0.4,"Lateral Move","Stay &amp; Develop"))</f>
        <v>Stay &amp; Develop</v>
      </c>
    </row>
    <row r="125" customFormat="false" ht="23.85" hidden="false" customHeight="false" outlineLevel="0" collapsed="false">
      <c r="A125" s="21" t="str">
        <f aca="false">'Player Data'!A125</f>
        <v>Yeferson Martinez</v>
      </c>
      <c r="B125" s="21" t="str">
        <f aca="false">'Player Data'!F125</f>
        <v>DF</v>
      </c>
      <c r="C125" s="21" t="str">
        <f aca="false">'Player Data'!B125</f>
        <v>Venezuela</v>
      </c>
      <c r="D125" s="21" t="str">
        <f aca="false">'Player Data'!C125</f>
        <v>Venezuela Second Division - West</v>
      </c>
      <c r="E125" s="21" t="n">
        <f aca="false">'Player Data'!D125</f>
        <v>3</v>
      </c>
      <c r="F125" s="21" t="n">
        <f aca="false">'Player Data'!G125</f>
        <v>24</v>
      </c>
      <c r="G125" s="21" t="n">
        <f aca="false">'Player Data'!H125</f>
        <v>2210</v>
      </c>
      <c r="H125" s="22" t="n">
        <f aca="false">IF(B125="GK",IFERROR(('Player Data'!N125-1.5*'Player Data'!O125)/'Player Data'!H125*90,0),IFERROR(('Player Data'!I125+'Player Data'!J125)/'Player Data'!H125*90,0))</f>
        <v>0.285067873303167</v>
      </c>
      <c r="I125" s="22" t="n">
        <f aca="false">IF(B125="GK",'Player Data'!P125,IFERROR(('Player Data'!K125+'Player Data'!L125)/'Player Data'!H125*90,0))</f>
        <v>2.97285067873303</v>
      </c>
      <c r="J125" s="22" t="n">
        <f aca="false">IF(B125="GK",IFERROR('Player Data'!Q125/'Player Data'!H125*90,0),IFERROR('Player Data'!M125/'Player Data'!H125*90,0))</f>
        <v>5.21266968325792</v>
      </c>
      <c r="K125" s="23" t="n">
        <f aca="false">'Player Data'!S125</f>
        <v>102428</v>
      </c>
      <c r="L125" s="22" t="n">
        <f aca="false">INDEX(Assumptions!$B$13:$B$15,MATCH(E125,Assumptions!$A$13:$A$15,0))</f>
        <v>0.85</v>
      </c>
      <c r="M125" s="24" t="n">
        <f aca="false">IFERROR(SUMPRODUCT(($B$2:$B$1001=B125)*($H$2:$H$1001&lt;=H125))/SUMPRODUCT(($B$2:$B$1001=B125)*1),0)</f>
        <v>0.744897959183674</v>
      </c>
      <c r="N125" s="24" t="n">
        <f aca="false">IFERROR(SUMPRODUCT(($B$2:$B$1001=B125)*($I$2:$I$1001&lt;=I125))/SUMPRODUCT(($B$2:$B$1001=B125)*1),0)</f>
        <v>0.0748299319727891</v>
      </c>
      <c r="O125" s="24" t="n">
        <f aca="false">IFERROR(SUMPRODUCT(($B$2:$B$1001=B125)*($J$2:$J$1001&lt;=J125))/SUMPRODUCT(($B$2:$B$1001=B125)*1),0)</f>
        <v>0.479591836734694</v>
      </c>
      <c r="P125" s="24" t="n">
        <f aca="false">IFERROR(SUMPRODUCT(($B$2:$B$1001=B125)*((0-$F$2:$F$1001)&lt;=(0-F125)))/SUMPRODUCT(($B$2:$B$1001=B125)*1),0)</f>
        <v>0.275510204081633</v>
      </c>
      <c r="Q125" s="25" t="n">
        <f aca="false">(M125*Assumptions!$B$5+N125*Assumptions!$B$6+O125*Assumptions!$B$7+P125*Assumptions!$B$8)*L125</f>
        <v>0.308920068027211</v>
      </c>
      <c r="R125" s="24" t="n">
        <f aca="false">IFERROR(SUMPRODUCT(($B$2:$B$1001=B125)*($Q$2:$Q$1001&lt;=Q125))/SUMPRODUCT(($B$2:$B$1001=B125)*1),0)</f>
        <v>0.268707482993197</v>
      </c>
      <c r="S125" s="24" t="n">
        <f aca="false">IFERROR(SUMPRODUCT(($B$2:$B$1001=B125)*($K$2:$K$1001&lt;=K125))/SUMPRODUCT(($B$2:$B$1001=B125)*1),0)</f>
        <v>0.748299319727891</v>
      </c>
      <c r="T125" s="26" t="n">
        <f aca="false">(R125-S125)*100</f>
        <v>-47.9591836734694</v>
      </c>
      <c r="U125" s="21" t="str">
        <f aca="false">'Player Data'!T125</f>
        <v>Yes</v>
      </c>
      <c r="V125" s="27" t="n">
        <f aca="false">'Player Data'!U125</f>
        <v>2027</v>
      </c>
      <c r="W125" s="21" t="str">
        <f aca="false">IF(AND(T125&gt;=Assumptions!$B$19,U125="No"),"High Priority - Unrepresented",IF(T125&gt;=Assumptions!$B$19,"High Priority",IF(AND(T125&gt;=Assumptions!$B$20,U125="No"),"Watchlist - Unrepresented",IF(T125&gt;=Assumptions!$B$20,"Watchlist",""))))</f>
        <v/>
      </c>
      <c r="X125" s="21" t="str">
        <f aca="false">'Player Data'!V125</f>
        <v>info@caracasunited.ve</v>
      </c>
      <c r="Y125" s="28" t="str">
        <f aca="false">'Player Data'!W125</f>
        <v>Go through the player's agent - ask the club to confirm representation first</v>
      </c>
      <c r="Z125" s="28" t="str">
        <f aca="false">'Player Data'!X125</f>
        <v>FVF (Venezuelan Football Federation) player registry</v>
      </c>
      <c r="AA125" s="19" t="str">
        <f aca="false">HYPERLINK("https://www.transfermarkt.com/schnellsuche/ergebnis/schnellsuche?query="&amp;SUBSTITUTE(A125," ","+"),"Search Transfermarkt")</f>
        <v>Search Transfermarkt</v>
      </c>
      <c r="AB125" s="29" t="n">
        <f aca="false">IFERROR('Player Data'!K125/('Player Data'!K125+'Player Data'!L125),0)</f>
        <v>0.561643835616438</v>
      </c>
      <c r="AC125" s="21" t="str">
        <f aca="false">IF(B125="GK",IF(AND(O125&gt;=Assumptions!$B$23,N125&gt;=Assumptions!$B$23),"Sweeper-Keeper / Build-from-the-Back",IF(O125&gt;=Assumptions!$B$23,"Sweeper-Keeper / High Line",IF(M125&gt;=Assumptions!$B$23,"Shot-Stopper / Traditional","Flexible / Multi-System"))),IF(AND(O125&gt;=Assumptions!$B$23,P125&gt;=Assumptions!$B$24),"High Press / Gegenpressing",IF(AND(N125&gt;=Assumptions!$B$23,AB125&gt;=Assumptions!$B$25),"Possession / Build-from-the-Back",IF(N125&gt;=Assumptions!$B$23,"Counter-Attack / Transition",IF(AND(O125&gt;=Assumptions!$B$23,N125&lt;Assumptions!$B$26),"Low Block / Park the Bus",IF(AND(B125="FW",M125&gt;=Assumptions!$B$23,N125&lt;Assumptions!$B$26),"Direct / Target Approach","Flexible / Multi-System"))))))</f>
        <v>Flexible / Multi-System</v>
      </c>
      <c r="AD125" s="21" t="str">
        <f aca="false">'Player Data'!Y125</f>
        <v>2026-07-17</v>
      </c>
      <c r="AE125" s="21" t="str">
        <f aca="false">'Player Data'!Z125</f>
        <v>2026-07-17</v>
      </c>
      <c r="AF125" s="28" t="str">
        <f aca="false">IFERROR(INDEX(Assumptions!$B$30:$B$61,MATCH(C125,Assumptions!$A$30:$A$61,0)),"--")</f>
        <v>Argentina, Portugal</v>
      </c>
      <c r="AG125" s="30" t="str">
        <f aca="false">IF(R125&gt;=0.7,"Step-Up Candidate",IF(R125&gt;=0.4,"Lateral Move","Stay &amp; Develop"))</f>
        <v>Stay &amp; Develop</v>
      </c>
    </row>
    <row r="126" customFormat="false" ht="23.85" hidden="false" customHeight="false" outlineLevel="0" collapsed="false">
      <c r="A126" s="21" t="str">
        <f aca="false">'Player Data'!A126</f>
        <v>Ibrahima Diallo</v>
      </c>
      <c r="B126" s="21" t="str">
        <f aca="false">'Player Data'!F126</f>
        <v>MF</v>
      </c>
      <c r="C126" s="21" t="str">
        <f aca="false">'Player Data'!B126</f>
        <v>Senegal</v>
      </c>
      <c r="D126" s="21" t="str">
        <f aca="false">'Player Data'!C126</f>
        <v>Senegal Third Tier - North</v>
      </c>
      <c r="E126" s="21" t="n">
        <f aca="false">'Player Data'!D126</f>
        <v>4</v>
      </c>
      <c r="F126" s="21" t="n">
        <f aca="false">'Player Data'!G126</f>
        <v>22</v>
      </c>
      <c r="G126" s="21" t="n">
        <f aca="false">'Player Data'!H126</f>
        <v>1046</v>
      </c>
      <c r="H126" s="22" t="n">
        <f aca="false">IF(B126="GK",IFERROR(('Player Data'!N126-1.5*'Player Data'!O126)/'Player Data'!H126*90,0),IFERROR(('Player Data'!I126+'Player Data'!J126)/'Player Data'!H126*90,0))</f>
        <v>1.2906309751434</v>
      </c>
      <c r="I126" s="22" t="n">
        <f aca="false">IF(B126="GK",'Player Data'!P126,IFERROR(('Player Data'!K126+'Player Data'!L126)/'Player Data'!H126*90,0))</f>
        <v>18.4990439770555</v>
      </c>
      <c r="J126" s="22" t="n">
        <f aca="false">IF(B126="GK",IFERROR('Player Data'!Q126/'Player Data'!H126*90,0),IFERROR('Player Data'!M126/'Player Data'!H126*90,0))</f>
        <v>2.75334608030593</v>
      </c>
      <c r="K126" s="23" t="n">
        <f aca="false">'Player Data'!S126</f>
        <v>37335</v>
      </c>
      <c r="L126" s="22" t="n">
        <f aca="false">INDEX(Assumptions!$B$13:$B$15,MATCH(E126,Assumptions!$A$13:$A$15,0))</f>
        <v>0.7</v>
      </c>
      <c r="M126" s="24" t="n">
        <f aca="false">IFERROR(SUMPRODUCT(($B$2:$B$1001=B126)*($H$2:$H$1001&lt;=H126))/SUMPRODUCT(($B$2:$B$1001=B126)*1),0)</f>
        <v>0.875420875420875</v>
      </c>
      <c r="N126" s="24" t="n">
        <f aca="false">IFERROR(SUMPRODUCT(($B$2:$B$1001=B126)*($I$2:$I$1001&lt;=I126))/SUMPRODUCT(($B$2:$B$1001=B126)*1),0)</f>
        <v>0.875420875420875</v>
      </c>
      <c r="O126" s="24" t="n">
        <f aca="false">IFERROR(SUMPRODUCT(($B$2:$B$1001=B126)*($J$2:$J$1001&lt;=J126))/SUMPRODUCT(($B$2:$B$1001=B126)*1),0)</f>
        <v>0.723905723905724</v>
      </c>
      <c r="P126" s="24" t="n">
        <f aca="false">IFERROR(SUMPRODUCT(($B$2:$B$1001=B126)*((0-$F$2:$F$1001)&lt;=(0-F126)))/SUMPRODUCT(($B$2:$B$1001=B126)*1),0)</f>
        <v>0.515151515151515</v>
      </c>
      <c r="Q126" s="25" t="n">
        <f aca="false">(M126*Assumptions!$B$5+N126*Assumptions!$B$6+O126*Assumptions!$B$7+P126*Assumptions!$B$8)*L126</f>
        <v>0.541144781144781</v>
      </c>
      <c r="R126" s="24" t="n">
        <f aca="false">IFERROR(SUMPRODUCT(($B$2:$B$1001=B126)*($Q$2:$Q$1001&lt;=Q126))/SUMPRODUCT(($B$2:$B$1001=B126)*1),0)</f>
        <v>0.693602693602694</v>
      </c>
      <c r="S126" s="24" t="n">
        <f aca="false">IFERROR(SUMPRODUCT(($B$2:$B$1001=B126)*($K$2:$K$1001&lt;=K126))/SUMPRODUCT(($B$2:$B$1001=B126)*1),0)</f>
        <v>0.356902356902357</v>
      </c>
      <c r="T126" s="26" t="n">
        <f aca="false">(R126-S126)*100</f>
        <v>33.6700336700337</v>
      </c>
      <c r="U126" s="21" t="str">
        <f aca="false">'Player Data'!T126</f>
        <v>No</v>
      </c>
      <c r="V126" s="27" t="n">
        <f aca="false">'Player Data'!U126</f>
        <v>2026</v>
      </c>
      <c r="W126" s="21" t="str">
        <f aca="false">IF(AND(T126&gt;=Assumptions!$B$19,U126="No"),"High Priority - Unrepresented",IF(T126&gt;=Assumptions!$B$19,"High Priority",IF(AND(T126&gt;=Assumptions!$B$20,U126="No"),"Watchlist - Unrepresented",IF(T126&gt;=Assumptions!$B$20,"Watchlist",""))))</f>
        <v>Watchlist - Unrepresented</v>
      </c>
      <c r="X126" s="21" t="str">
        <f aca="false">'Player Data'!V126</f>
        <v>info@thiescity.sn</v>
      </c>
      <c r="Y126" s="28" t="str">
        <f aca="false">'Player Data'!W126</f>
        <v>Club sporting director / first-team office</v>
      </c>
      <c r="Z126" s="28" t="str">
        <f aca="false">'Player Data'!X126</f>
        <v>FSF (Senegalese Football Federation) player registry</v>
      </c>
      <c r="AA126" s="19" t="str">
        <f aca="false">HYPERLINK("https://www.transfermarkt.com/schnellsuche/ergebnis/schnellsuche?query="&amp;SUBSTITUTE(A126," ","+"),"Search Transfermarkt")</f>
        <v>Search Transfermarkt</v>
      </c>
      <c r="AB126" s="29" t="n">
        <f aca="false">IFERROR('Player Data'!K126/('Player Data'!K126+'Player Data'!L126),0)</f>
        <v>0.66046511627907</v>
      </c>
      <c r="AC126" s="21" t="str">
        <f aca="false">IF(B126="GK",IF(AND(O126&gt;=Assumptions!$B$23,N126&gt;=Assumptions!$B$23),"Sweeper-Keeper / Build-from-the-Back",IF(O126&gt;=Assumptions!$B$23,"Sweeper-Keeper / High Line",IF(M126&gt;=Assumptions!$B$23,"Shot-Stopper / Traditional","Flexible / Multi-System"))),IF(AND(O126&gt;=Assumptions!$B$23,P126&gt;=Assumptions!$B$24),"High Press / Gegenpressing",IF(AND(N126&gt;=Assumptions!$B$23,AB126&gt;=Assumptions!$B$25),"Possession / Build-from-the-Back",IF(N126&gt;=Assumptions!$B$23,"Counter-Attack / Transition",IF(AND(O126&gt;=Assumptions!$B$23,N126&lt;Assumptions!$B$26),"Low Block / Park the Bus",IF(AND(B126="FW",M126&gt;=Assumptions!$B$23,N126&lt;Assumptions!$B$26),"Direct / Target Approach","Flexible / Multi-System"))))))</f>
        <v>Possession / Build-from-the-Back</v>
      </c>
      <c r="AD126" s="21" t="str">
        <f aca="false">'Player Data'!Y126</f>
        <v>2026-07-17</v>
      </c>
      <c r="AE126" s="21" t="str">
        <f aca="false">'Player Data'!Z126</f>
        <v>2026-07-17</v>
      </c>
      <c r="AF126" s="28" t="str">
        <f aca="false">IFERROR(INDEX(Assumptions!$B$30:$B$61,MATCH(C126,Assumptions!$A$30:$A$61,0)),"--")</f>
        <v>Belgium, Portugal</v>
      </c>
      <c r="AG126" s="30" t="str">
        <f aca="false">IF(R126&gt;=0.7,"Step-Up Candidate",IF(R126&gt;=0.4,"Lateral Move","Stay &amp; Develop"))</f>
        <v>Lateral Move</v>
      </c>
    </row>
    <row r="127" customFormat="false" ht="23.85" hidden="false" customHeight="false" outlineLevel="0" collapsed="false">
      <c r="A127" s="21" t="str">
        <f aca="false">'Player Data'!A127</f>
        <v>Mamadou Gueye</v>
      </c>
      <c r="B127" s="21" t="str">
        <f aca="false">'Player Data'!F127</f>
        <v>FW</v>
      </c>
      <c r="C127" s="21" t="str">
        <f aca="false">'Player Data'!B127</f>
        <v>Senegal</v>
      </c>
      <c r="D127" s="21" t="str">
        <f aca="false">'Player Data'!C127</f>
        <v>Senegal Second Division - East</v>
      </c>
      <c r="E127" s="21" t="n">
        <f aca="false">'Player Data'!D127</f>
        <v>3</v>
      </c>
      <c r="F127" s="21" t="n">
        <f aca="false">'Player Data'!G127</f>
        <v>21</v>
      </c>
      <c r="G127" s="21" t="n">
        <f aca="false">'Player Data'!H127</f>
        <v>1464</v>
      </c>
      <c r="H127" s="22" t="n">
        <f aca="false">IF(B127="GK",IFERROR(('Player Data'!N127-1.5*'Player Data'!O127)/'Player Data'!H127*90,0),IFERROR(('Player Data'!I127+'Player Data'!J127)/'Player Data'!H127*90,0))</f>
        <v>1.53688524590164</v>
      </c>
      <c r="I127" s="22" t="n">
        <f aca="false">IF(B127="GK",'Player Data'!P127,IFERROR(('Player Data'!K127+'Player Data'!L127)/'Player Data'!H127*90,0))</f>
        <v>7.74590163934426</v>
      </c>
      <c r="J127" s="22" t="n">
        <f aca="false">IF(B127="GK",IFERROR('Player Data'!Q127/'Player Data'!H127*90,0),IFERROR('Player Data'!M127/'Player Data'!H127*90,0))</f>
        <v>0.737704918032787</v>
      </c>
      <c r="K127" s="23" t="n">
        <f aca="false">'Player Data'!S127</f>
        <v>111790</v>
      </c>
      <c r="L127" s="22" t="n">
        <f aca="false">INDEX(Assumptions!$B$13:$B$15,MATCH(E127,Assumptions!$A$13:$A$15,0))</f>
        <v>0.85</v>
      </c>
      <c r="M127" s="24" t="n">
        <f aca="false">IFERROR(SUMPRODUCT(($B$2:$B$1001=B127)*($H$2:$H$1001&lt;=H127))/SUMPRODUCT(($B$2:$B$1001=B127)*1),0)</f>
        <v>0.858407079646018</v>
      </c>
      <c r="N127" s="24" t="n">
        <f aca="false">IFERROR(SUMPRODUCT(($B$2:$B$1001=B127)*($I$2:$I$1001&lt;=I127))/SUMPRODUCT(($B$2:$B$1001=B127)*1),0)</f>
        <v>0.646017699115044</v>
      </c>
      <c r="O127" s="24" t="n">
        <f aca="false">IFERROR(SUMPRODUCT(($B$2:$B$1001=B127)*($J$2:$J$1001&lt;=J127))/SUMPRODUCT(($B$2:$B$1001=B127)*1),0)</f>
        <v>0.756637168141593</v>
      </c>
      <c r="P127" s="24" t="n">
        <f aca="false">IFERROR(SUMPRODUCT(($B$2:$B$1001=B127)*((0-$F$2:$F$1001)&lt;=(0-F127)))/SUMPRODUCT(($B$2:$B$1001=B127)*1),0)</f>
        <v>0.579646017699115</v>
      </c>
      <c r="Q127" s="25" t="n">
        <f aca="false">(M127*Assumptions!$B$5+N127*Assumptions!$B$6+O127*Assumptions!$B$7+P127*Assumptions!$B$8)*L127</f>
        <v>0.601769911504425</v>
      </c>
      <c r="R127" s="24" t="n">
        <f aca="false">IFERROR(SUMPRODUCT(($B$2:$B$1001=B127)*($Q$2:$Q$1001&lt;=Q127))/SUMPRODUCT(($B$2:$B$1001=B127)*1),0)</f>
        <v>0.752212389380531</v>
      </c>
      <c r="S127" s="24" t="n">
        <f aca="false">IFERROR(SUMPRODUCT(($B$2:$B$1001=B127)*($K$2:$K$1001&lt;=K127))/SUMPRODUCT(($B$2:$B$1001=B127)*1),0)</f>
        <v>0.792035398230089</v>
      </c>
      <c r="T127" s="26" t="n">
        <f aca="false">(R127-S127)*100</f>
        <v>-3.98230088495576</v>
      </c>
      <c r="U127" s="21" t="str">
        <f aca="false">'Player Data'!T127</f>
        <v>Yes</v>
      </c>
      <c r="V127" s="27" t="n">
        <f aca="false">'Player Data'!U127</f>
        <v>2028</v>
      </c>
      <c r="W127" s="21" t="str">
        <f aca="false">IF(AND(T127&gt;=Assumptions!$B$19,U127="No"),"High Priority - Unrepresented",IF(T127&gt;=Assumptions!$B$19,"High Priority",IF(AND(T127&gt;=Assumptions!$B$20,U127="No"),"Watchlist - Unrepresented",IF(T127&gt;=Assumptions!$B$20,"Watchlist",""))))</f>
        <v/>
      </c>
      <c r="X127" s="21" t="str">
        <f aca="false">'Player Data'!V127</f>
        <v>info@dakarwanderers.sn</v>
      </c>
      <c r="Y127" s="28" t="str">
        <f aca="false">'Player Data'!W127</f>
        <v>Go through the player's agent - ask the club to confirm representation first</v>
      </c>
      <c r="Z127" s="28" t="str">
        <f aca="false">'Player Data'!X127</f>
        <v>FSF (Senegalese Football Federation) player registry</v>
      </c>
      <c r="AA127" s="19" t="str">
        <f aca="false">HYPERLINK("https://www.transfermarkt.com/schnellsuche/ergebnis/schnellsuche?query="&amp;SUBSTITUTE(A127," ","+"),"Search Transfermarkt")</f>
        <v>Search Transfermarkt</v>
      </c>
      <c r="AB127" s="29" t="n">
        <f aca="false">IFERROR('Player Data'!K127/('Player Data'!K127+'Player Data'!L127),0)</f>
        <v>0.5</v>
      </c>
      <c r="AC127" s="21" t="str">
        <f aca="false">IF(B127="GK",IF(AND(O127&gt;=Assumptions!$B$23,N127&gt;=Assumptions!$B$23),"Sweeper-Keeper / Build-from-the-Back",IF(O127&gt;=Assumptions!$B$23,"Sweeper-Keeper / High Line",IF(M127&gt;=Assumptions!$B$23,"Shot-Stopper / Traditional","Flexible / Multi-System"))),IF(AND(O127&gt;=Assumptions!$B$23,P127&gt;=Assumptions!$B$24),"High Press / Gegenpressing",IF(AND(N127&gt;=Assumptions!$B$23,AB127&gt;=Assumptions!$B$25),"Possession / Build-from-the-Back",IF(N127&gt;=Assumptions!$B$23,"Counter-Attack / Transition",IF(AND(O127&gt;=Assumptions!$B$23,N127&lt;Assumptions!$B$26),"Low Block / Park the Bus",IF(AND(B127="FW",M127&gt;=Assumptions!$B$23,N127&lt;Assumptions!$B$26),"Direct / Target Approach","Flexible / Multi-System"))))))</f>
        <v>High Press / Gegenpressing</v>
      </c>
      <c r="AD127" s="21" t="str">
        <f aca="false">'Player Data'!Y127</f>
        <v>2026-07-17</v>
      </c>
      <c r="AE127" s="21" t="str">
        <f aca="false">'Player Data'!Z127</f>
        <v>2026-07-17</v>
      </c>
      <c r="AF127" s="28" t="str">
        <f aca="false">IFERROR(INDEX(Assumptions!$B$30:$B$61,MATCH(C127,Assumptions!$A$30:$A$61,0)),"--")</f>
        <v>Belgium, Portugal</v>
      </c>
      <c r="AG127" s="30" t="str">
        <f aca="false">IF(R127&gt;=0.7,"Step-Up Candidate",IF(R127&gt;=0.4,"Lateral Move","Stay &amp; Develop"))</f>
        <v>Step-Up Candidate</v>
      </c>
    </row>
    <row r="128" customFormat="false" ht="23.85" hidden="false" customHeight="false" outlineLevel="0" collapsed="false">
      <c r="A128" s="21" t="str">
        <f aca="false">'Player Data'!A128</f>
        <v>Phong Le</v>
      </c>
      <c r="B128" s="21" t="str">
        <f aca="false">'Player Data'!F128</f>
        <v>GK</v>
      </c>
      <c r="C128" s="21" t="str">
        <f aca="false">'Player Data'!B128</f>
        <v>Vietnam</v>
      </c>
      <c r="D128" s="21" t="str">
        <f aca="false">'Player Data'!C128</f>
        <v>Vietnam Provincial League</v>
      </c>
      <c r="E128" s="21" t="n">
        <f aca="false">'Player Data'!D128</f>
        <v>3</v>
      </c>
      <c r="F128" s="21" t="n">
        <f aca="false">'Player Data'!G128</f>
        <v>18</v>
      </c>
      <c r="G128" s="21" t="n">
        <f aca="false">'Player Data'!H128</f>
        <v>958</v>
      </c>
      <c r="H128" s="22" t="n">
        <f aca="false">IF(B128="GK",IFERROR(('Player Data'!N128-1.5*'Player Data'!O128)/'Player Data'!H128*90,0),IFERROR(('Player Data'!I128+'Player Data'!J128)/'Player Data'!H128*90,0))</f>
        <v>0.046972860125261</v>
      </c>
      <c r="I128" s="22" t="n">
        <f aca="false">IF(B128="GK",'Player Data'!P128,IFERROR(('Player Data'!K128+'Player Data'!L128)/'Player Data'!H128*90,0))</f>
        <v>58.7</v>
      </c>
      <c r="J128" s="22" t="n">
        <f aca="false">IF(B128="GK",IFERROR('Player Data'!Q128/'Player Data'!H128*90,0),IFERROR('Player Data'!M128/'Player Data'!H128*90,0))</f>
        <v>0.977035490605428</v>
      </c>
      <c r="K128" s="23" t="n">
        <f aca="false">'Player Data'!S128</f>
        <v>94846</v>
      </c>
      <c r="L128" s="22" t="n">
        <f aca="false">INDEX(Assumptions!$B$13:$B$15,MATCH(E128,Assumptions!$A$13:$A$15,0))</f>
        <v>0.85</v>
      </c>
      <c r="M128" s="24" t="n">
        <f aca="false">IFERROR(SUMPRODUCT(($B$2:$B$1001=B128)*($H$2:$H$1001&lt;=H128))/SUMPRODUCT(($B$2:$B$1001=B128)*1),0)</f>
        <v>0.202185792349727</v>
      </c>
      <c r="N128" s="24" t="n">
        <f aca="false">IFERROR(SUMPRODUCT(($B$2:$B$1001=B128)*($I$2:$I$1001&lt;=I128))/SUMPRODUCT(($B$2:$B$1001=B128)*1),0)</f>
        <v>0.103825136612022</v>
      </c>
      <c r="O128" s="24" t="n">
        <f aca="false">IFERROR(SUMPRODUCT(($B$2:$B$1001=B128)*($J$2:$J$1001&lt;=J128))/SUMPRODUCT(($B$2:$B$1001=B128)*1),0)</f>
        <v>0.601092896174863</v>
      </c>
      <c r="P128" s="24" t="n">
        <f aca="false">IFERROR(SUMPRODUCT(($B$2:$B$1001=B128)*((0-$F$2:$F$1001)&lt;=(0-F128)))/SUMPRODUCT(($B$2:$B$1001=B128)*1),0)</f>
        <v>0.907103825136612</v>
      </c>
      <c r="Q128" s="25" t="n">
        <f aca="false">(M128*Assumptions!$B$5+N128*Assumptions!$B$6+O128*Assumptions!$B$7+P128*Assumptions!$B$8)*L128</f>
        <v>0.330245901639344</v>
      </c>
      <c r="R128" s="24" t="n">
        <f aca="false">IFERROR(SUMPRODUCT(($B$2:$B$1001=B128)*($Q$2:$Q$1001&lt;=Q128))/SUMPRODUCT(($B$2:$B$1001=B128)*1),0)</f>
        <v>0.202185792349727</v>
      </c>
      <c r="S128" s="24" t="n">
        <f aca="false">IFERROR(SUMPRODUCT(($B$2:$B$1001=B128)*($K$2:$K$1001&lt;=K128))/SUMPRODUCT(($B$2:$B$1001=B128)*1),0)</f>
        <v>0.666666666666667</v>
      </c>
      <c r="T128" s="26" t="n">
        <f aca="false">(R128-S128)*100</f>
        <v>-46.448087431694</v>
      </c>
      <c r="U128" s="21" t="str">
        <f aca="false">'Player Data'!T128</f>
        <v>No</v>
      </c>
      <c r="V128" s="27" t="n">
        <f aca="false">'Player Data'!U128</f>
        <v>2028</v>
      </c>
      <c r="W128" s="21" t="str">
        <f aca="false">IF(AND(T128&gt;=Assumptions!$B$19,U128="No"),"High Priority - Unrepresented",IF(T128&gt;=Assumptions!$B$19,"High Priority",IF(AND(T128&gt;=Assumptions!$B$20,U128="No"),"Watchlist - Unrepresented",IF(T128&gt;=Assumptions!$B$20,"Watchlist",""))))</f>
        <v/>
      </c>
      <c r="X128" s="21" t="str">
        <f aca="false">'Player Data'!V128</f>
        <v>info@hanoiathletic.vn</v>
      </c>
      <c r="Y128" s="28" t="str">
        <f aca="false">'Player Data'!W128</f>
        <v>Club sporting director / first-team office</v>
      </c>
      <c r="Z128" s="28" t="str">
        <f aca="false">'Player Data'!X128</f>
        <v>VFF (Vietnam Football Federation) player registry</v>
      </c>
      <c r="AA128" s="19" t="str">
        <f aca="false">HYPERLINK("https://www.transfermarkt.com/schnellsuche/ergebnis/schnellsuche?query="&amp;SUBSTITUTE(A128," ","+"),"Search Transfermarkt")</f>
        <v>Search Transfermarkt</v>
      </c>
      <c r="AB128" s="29" t="n">
        <f aca="false">IFERROR('Player Data'!K128/('Player Data'!K128+'Player Data'!L128),0)</f>
        <v>0.583333333333333</v>
      </c>
      <c r="AC128" s="21" t="str">
        <f aca="false">IF(B128="GK",IF(AND(O128&gt;=Assumptions!$B$23,N128&gt;=Assumptions!$B$23),"Sweeper-Keeper / Build-from-the-Back",IF(O128&gt;=Assumptions!$B$23,"Sweeper-Keeper / High Line",IF(M128&gt;=Assumptions!$B$23,"Shot-Stopper / Traditional","Flexible / Multi-System"))),IF(AND(O128&gt;=Assumptions!$B$23,P128&gt;=Assumptions!$B$24),"High Press / Gegenpressing",IF(AND(N128&gt;=Assumptions!$B$23,AB128&gt;=Assumptions!$B$25),"Possession / Build-from-the-Back",IF(N128&gt;=Assumptions!$B$23,"Counter-Attack / Transition",IF(AND(O128&gt;=Assumptions!$B$23,N128&lt;Assumptions!$B$26),"Low Block / Park the Bus",IF(AND(B128="FW",M128&gt;=Assumptions!$B$23,N128&lt;Assumptions!$B$26),"Direct / Target Approach","Flexible / Multi-System"))))))</f>
        <v>Flexible / Multi-System</v>
      </c>
      <c r="AD128" s="21" t="str">
        <f aca="false">'Player Data'!Y128</f>
        <v>2026-07-17</v>
      </c>
      <c r="AE128" s="21" t="str">
        <f aca="false">'Player Data'!Z128</f>
        <v>2026-07-17</v>
      </c>
      <c r="AF128" s="28" t="str">
        <f aca="false">IFERROR(INDEX(Assumptions!$B$30:$B$61,MATCH(C128,Assumptions!$A$30:$A$61,0)),"--")</f>
        <v>Australia, Saudi Arabia</v>
      </c>
      <c r="AG128" s="30" t="str">
        <f aca="false">IF(R128&gt;=0.7,"Step-Up Candidate",IF(R128&gt;=0.4,"Lateral Move","Stay &amp; Develop"))</f>
        <v>Stay &amp; Develop</v>
      </c>
    </row>
    <row r="129" customFormat="false" ht="23.85" hidden="false" customHeight="false" outlineLevel="0" collapsed="false">
      <c r="A129" s="21" t="str">
        <f aca="false">'Player Data'!A129</f>
        <v>Emiliano Ramirez</v>
      </c>
      <c r="B129" s="21" t="str">
        <f aca="false">'Player Data'!F129</f>
        <v>GK</v>
      </c>
      <c r="C129" s="21" t="str">
        <f aca="false">'Player Data'!B129</f>
        <v>Paraguay</v>
      </c>
      <c r="D129" s="21" t="str">
        <f aca="false">'Player Data'!C129</f>
        <v>Paraguay Second Division - East</v>
      </c>
      <c r="E129" s="21" t="n">
        <f aca="false">'Player Data'!D129</f>
        <v>3</v>
      </c>
      <c r="F129" s="21" t="n">
        <f aca="false">'Player Data'!G129</f>
        <v>18</v>
      </c>
      <c r="G129" s="21" t="n">
        <f aca="false">'Player Data'!H129</f>
        <v>1900</v>
      </c>
      <c r="H129" s="22" t="n">
        <f aca="false">IF(B129="GK",IFERROR(('Player Data'!N129-1.5*'Player Data'!O129)/'Player Data'!H129*90,0),IFERROR(('Player Data'!I129+'Player Data'!J129)/'Player Data'!H129*90,0))</f>
        <v>0.781578947368421</v>
      </c>
      <c r="I129" s="22" t="n">
        <f aca="false">IF(B129="GK",'Player Data'!P129,IFERROR(('Player Data'!K129+'Player Data'!L129)/'Player Data'!H129*90,0))</f>
        <v>80.2</v>
      </c>
      <c r="J129" s="22" t="n">
        <f aca="false">IF(B129="GK",IFERROR('Player Data'!Q129/'Player Data'!H129*90,0),IFERROR('Player Data'!M129/'Player Data'!H129*90,0))</f>
        <v>0.705789473684211</v>
      </c>
      <c r="K129" s="23" t="n">
        <f aca="false">'Player Data'!S129</f>
        <v>146562</v>
      </c>
      <c r="L129" s="22" t="n">
        <f aca="false">INDEX(Assumptions!$B$13:$B$15,MATCH(E129,Assumptions!$A$13:$A$15,0))</f>
        <v>0.85</v>
      </c>
      <c r="M129" s="24" t="n">
        <f aca="false">IFERROR(SUMPRODUCT(($B$2:$B$1001=B129)*($H$2:$H$1001&lt;=H129))/SUMPRODUCT(($B$2:$B$1001=B129)*1),0)</f>
        <v>0.327868852459016</v>
      </c>
      <c r="N129" s="24" t="n">
        <f aca="false">IFERROR(SUMPRODUCT(($B$2:$B$1001=B129)*($I$2:$I$1001&lt;=I129))/SUMPRODUCT(($B$2:$B$1001=B129)*1),0)</f>
        <v>0.672131147540984</v>
      </c>
      <c r="O129" s="24" t="n">
        <f aca="false">IFERROR(SUMPRODUCT(($B$2:$B$1001=B129)*($J$2:$J$1001&lt;=J129))/SUMPRODUCT(($B$2:$B$1001=B129)*1),0)</f>
        <v>0.382513661202186</v>
      </c>
      <c r="P129" s="24" t="n">
        <f aca="false">IFERROR(SUMPRODUCT(($B$2:$B$1001=B129)*((0-$F$2:$F$1001)&lt;=(0-F129)))/SUMPRODUCT(($B$2:$B$1001=B129)*1),0)</f>
        <v>0.907103825136612</v>
      </c>
      <c r="Q129" s="25" t="n">
        <f aca="false">(M129*Assumptions!$B$5+N129*Assumptions!$B$6+O129*Assumptions!$B$7+P129*Assumptions!$B$8)*L129</f>
        <v>0.488866120218579</v>
      </c>
      <c r="R129" s="24" t="n">
        <f aca="false">IFERROR(SUMPRODUCT(($B$2:$B$1001=B129)*($Q$2:$Q$1001&lt;=Q129))/SUMPRODUCT(($B$2:$B$1001=B129)*1),0)</f>
        <v>0.59016393442623</v>
      </c>
      <c r="S129" s="24" t="n">
        <f aca="false">IFERROR(SUMPRODUCT(($B$2:$B$1001=B129)*($K$2:$K$1001&lt;=K129))/SUMPRODUCT(($B$2:$B$1001=B129)*1),0)</f>
        <v>0.989071038251366</v>
      </c>
      <c r="T129" s="26" t="n">
        <f aca="false">(R129-S129)*100</f>
        <v>-39.8907103825137</v>
      </c>
      <c r="U129" s="21" t="str">
        <f aca="false">'Player Data'!T129</f>
        <v>Unknown</v>
      </c>
      <c r="V129" s="27" t="n">
        <f aca="false">'Player Data'!U129</f>
        <v>2026</v>
      </c>
      <c r="W129" s="21" t="str">
        <f aca="false">IF(AND(T129&gt;=Assumptions!$B$19,U129="No"),"High Priority - Unrepresented",IF(T129&gt;=Assumptions!$B$19,"High Priority",IF(AND(T129&gt;=Assumptions!$B$20,U129="No"),"Watchlist - Unrepresented",IF(T129&gt;=Assumptions!$B$20,"Watchlist",""))))</f>
        <v/>
      </c>
      <c r="X129" s="21" t="str">
        <f aca="false">'Player Data'!V129</f>
        <v>info@luquewanderers.py</v>
      </c>
      <c r="Y129" s="28" t="str">
        <f aca="false">'Player Data'!W129</f>
        <v>Club sporting director / first-team office</v>
      </c>
      <c r="Z129" s="28" t="str">
        <f aca="false">'Player Data'!X129</f>
        <v>APF (Paraguayan Football Association) player registry</v>
      </c>
      <c r="AA129" s="19" t="str">
        <f aca="false">HYPERLINK("https://www.transfermarkt.com/schnellsuche/ergebnis/schnellsuche?query="&amp;SUBSTITUTE(A129," ","+"),"Search Transfermarkt")</f>
        <v>Search Transfermarkt</v>
      </c>
      <c r="AB129" s="29" t="n">
        <f aca="false">IFERROR('Player Data'!K129/('Player Data'!K129+'Player Data'!L129),0)</f>
        <v>0.714285714285714</v>
      </c>
      <c r="AC129" s="21" t="str">
        <f aca="false">IF(B129="GK",IF(AND(O129&gt;=Assumptions!$B$23,N129&gt;=Assumptions!$B$23),"Sweeper-Keeper / Build-from-the-Back",IF(O129&gt;=Assumptions!$B$23,"Sweeper-Keeper / High Line",IF(M129&gt;=Assumptions!$B$23,"Shot-Stopper / Traditional","Flexible / Multi-System"))),IF(AND(O129&gt;=Assumptions!$B$23,P129&gt;=Assumptions!$B$24),"High Press / Gegenpressing",IF(AND(N129&gt;=Assumptions!$B$23,AB129&gt;=Assumptions!$B$25),"Possession / Build-from-the-Back",IF(N129&gt;=Assumptions!$B$23,"Counter-Attack / Transition",IF(AND(O129&gt;=Assumptions!$B$23,N129&lt;Assumptions!$B$26),"Low Block / Park the Bus",IF(AND(B129="FW",M129&gt;=Assumptions!$B$23,N129&lt;Assumptions!$B$26),"Direct / Target Approach","Flexible / Multi-System"))))))</f>
        <v>Flexible / Multi-System</v>
      </c>
      <c r="AD129" s="21" t="str">
        <f aca="false">'Player Data'!Y129</f>
        <v>2026-07-17</v>
      </c>
      <c r="AE129" s="21" t="str">
        <f aca="false">'Player Data'!Z129</f>
        <v>2026-07-17</v>
      </c>
      <c r="AF129" s="28" t="str">
        <f aca="false">IFERROR(INDEX(Assumptions!$B$30:$B$61,MATCH(C129,Assumptions!$A$30:$A$61,0)),"--")</f>
        <v>Argentina, Portugal</v>
      </c>
      <c r="AG129" s="30" t="str">
        <f aca="false">IF(R129&gt;=0.7,"Step-Up Candidate",IF(R129&gt;=0.4,"Lateral Move","Stay &amp; Develop"))</f>
        <v>Lateral Move</v>
      </c>
    </row>
    <row r="130" customFormat="false" ht="23.85" hidden="false" customHeight="false" outlineLevel="0" collapsed="false">
      <c r="A130" s="21" t="str">
        <f aca="false">'Player Data'!A130</f>
        <v>Karl Saar</v>
      </c>
      <c r="B130" s="21" t="str">
        <f aca="false">'Player Data'!F130</f>
        <v>DF</v>
      </c>
      <c r="C130" s="21" t="str">
        <f aca="false">'Player Data'!B130</f>
        <v>Estonia</v>
      </c>
      <c r="D130" s="21" t="str">
        <f aca="false">'Player Data'!C130</f>
        <v>Estonia Third Tier - North</v>
      </c>
      <c r="E130" s="21" t="n">
        <f aca="false">'Player Data'!D130</f>
        <v>2</v>
      </c>
      <c r="F130" s="21" t="n">
        <f aca="false">'Player Data'!G130</f>
        <v>24</v>
      </c>
      <c r="G130" s="21" t="n">
        <f aca="false">'Player Data'!H130</f>
        <v>1786</v>
      </c>
      <c r="H130" s="22" t="n">
        <f aca="false">IF(B130="GK",IFERROR(('Player Data'!N130-1.5*'Player Data'!O130)/'Player Data'!H130*90,0),IFERROR(('Player Data'!I130+'Player Data'!J130)/'Player Data'!H130*90,0))</f>
        <v>0.352743561030235</v>
      </c>
      <c r="I130" s="22" t="n">
        <f aca="false">IF(B130="GK",'Player Data'!P130,IFERROR(('Player Data'!K130+'Player Data'!L130)/'Player Data'!H130*90,0))</f>
        <v>3.67861142217245</v>
      </c>
      <c r="J130" s="22" t="n">
        <f aca="false">IF(B130="GK",IFERROR('Player Data'!Q130/'Player Data'!H130*90,0),IFERROR('Player Data'!M130/'Player Data'!H130*90,0))</f>
        <v>4.68645016797312</v>
      </c>
      <c r="K130" s="23" t="n">
        <f aca="false">'Player Data'!S130</f>
        <v>110430</v>
      </c>
      <c r="L130" s="22" t="n">
        <f aca="false">INDEX(Assumptions!$B$13:$B$15,MATCH(E130,Assumptions!$A$13:$A$15,0))</f>
        <v>1</v>
      </c>
      <c r="M130" s="24" t="n">
        <f aca="false">IFERROR(SUMPRODUCT(($B$2:$B$1001=B130)*($H$2:$H$1001&lt;=H130))/SUMPRODUCT(($B$2:$B$1001=B130)*1),0)</f>
        <v>0.860544217687075</v>
      </c>
      <c r="N130" s="24" t="n">
        <f aca="false">IFERROR(SUMPRODUCT(($B$2:$B$1001=B130)*($I$2:$I$1001&lt;=I130))/SUMPRODUCT(($B$2:$B$1001=B130)*1),0)</f>
        <v>0.299319727891156</v>
      </c>
      <c r="O130" s="24" t="n">
        <f aca="false">IFERROR(SUMPRODUCT(($B$2:$B$1001=B130)*($J$2:$J$1001&lt;=J130))/SUMPRODUCT(($B$2:$B$1001=B130)*1),0)</f>
        <v>0.387755102040816</v>
      </c>
      <c r="P130" s="24" t="n">
        <f aca="false">IFERROR(SUMPRODUCT(($B$2:$B$1001=B130)*((0-$F$2:$F$1001)&lt;=(0-F130)))/SUMPRODUCT(($B$2:$B$1001=B130)*1),0)</f>
        <v>0.275510204081633</v>
      </c>
      <c r="Q130" s="25" t="n">
        <f aca="false">(M130*Assumptions!$B$5+N130*Assumptions!$B$6+O130*Assumptions!$B$7+P130*Assumptions!$B$8)*L130</f>
        <v>0.452551020408163</v>
      </c>
      <c r="R130" s="24" t="n">
        <f aca="false">IFERROR(SUMPRODUCT(($B$2:$B$1001=B130)*($Q$2:$Q$1001&lt;=Q130))/SUMPRODUCT(($B$2:$B$1001=B130)*1),0)</f>
        <v>0.581632653061225</v>
      </c>
      <c r="S130" s="24" t="n">
        <f aca="false">IFERROR(SUMPRODUCT(($B$2:$B$1001=B130)*($K$2:$K$1001&lt;=K130))/SUMPRODUCT(($B$2:$B$1001=B130)*1),0)</f>
        <v>0.799319727891157</v>
      </c>
      <c r="T130" s="26" t="n">
        <f aca="false">(R130-S130)*100</f>
        <v>-21.7687074829932</v>
      </c>
      <c r="U130" s="21" t="str">
        <f aca="false">'Player Data'!T130</f>
        <v>Unknown</v>
      </c>
      <c r="V130" s="27" t="n">
        <f aca="false">'Player Data'!U130</f>
        <v>2026</v>
      </c>
      <c r="W130" s="21" t="str">
        <f aca="false">IF(AND(T130&gt;=Assumptions!$B$19,U130="No"),"High Priority - Unrepresented",IF(T130&gt;=Assumptions!$B$19,"High Priority",IF(AND(T130&gt;=Assumptions!$B$20,U130="No"),"Watchlist - Unrepresented",IF(T130&gt;=Assumptions!$B$20,"Watchlist",""))))</f>
        <v/>
      </c>
      <c r="X130" s="21" t="str">
        <f aca="false">'Player Data'!V130</f>
        <v>info@tallinncity.ee</v>
      </c>
      <c r="Y130" s="28" t="str">
        <f aca="false">'Player Data'!W130</f>
        <v>Club sporting director / first-team office</v>
      </c>
      <c r="Z130" s="28" t="str">
        <f aca="false">'Player Data'!X130</f>
        <v>EJL (Estonian Football Association) player registry</v>
      </c>
      <c r="AA130" s="19" t="str">
        <f aca="false">HYPERLINK("https://www.transfermarkt.com/schnellsuche/ergebnis/schnellsuche?query="&amp;SUBSTITUTE(A130," ","+"),"Search Transfermarkt")</f>
        <v>Search Transfermarkt</v>
      </c>
      <c r="AB130" s="29" t="n">
        <f aca="false">IFERROR('Player Data'!K130/('Player Data'!K130+'Player Data'!L130),0)</f>
        <v>0.63013698630137</v>
      </c>
      <c r="AC130" s="21" t="str">
        <f aca="false">IF(B130="GK",IF(AND(O130&gt;=Assumptions!$B$23,N130&gt;=Assumptions!$B$23),"Sweeper-Keeper / Build-from-the-Back",IF(O130&gt;=Assumptions!$B$23,"Sweeper-Keeper / High Line",IF(M130&gt;=Assumptions!$B$23,"Shot-Stopper / Traditional","Flexible / Multi-System"))),IF(AND(O130&gt;=Assumptions!$B$23,P130&gt;=Assumptions!$B$24),"High Press / Gegenpressing",IF(AND(N130&gt;=Assumptions!$B$23,AB130&gt;=Assumptions!$B$25),"Possession / Build-from-the-Back",IF(N130&gt;=Assumptions!$B$23,"Counter-Attack / Transition",IF(AND(O130&gt;=Assumptions!$B$23,N130&lt;Assumptions!$B$26),"Low Block / Park the Bus",IF(AND(B130="FW",M130&gt;=Assumptions!$B$23,N130&lt;Assumptions!$B$26),"Direct / Target Approach","Flexible / Multi-System"))))))</f>
        <v>Flexible / Multi-System</v>
      </c>
      <c r="AD130" s="21" t="str">
        <f aca="false">'Player Data'!Y130</f>
        <v>2026-07-17</v>
      </c>
      <c r="AE130" s="21" t="str">
        <f aca="false">'Player Data'!Z130</f>
        <v>2026-07-17</v>
      </c>
      <c r="AF130" s="28" t="str">
        <f aca="false">IFERROR(INDEX(Assumptions!$B$30:$B$61,MATCH(C130,Assumptions!$A$30:$A$61,0)),"--")</f>
        <v>Poland, Norway</v>
      </c>
      <c r="AG130" s="30" t="str">
        <f aca="false">IF(R130&gt;=0.7,"Step-Up Candidate",IF(R130&gt;=0.4,"Lateral Move","Stay &amp; Develop"))</f>
        <v>Lateral Move</v>
      </c>
    </row>
    <row r="131" customFormat="false" ht="23.85" hidden="false" customHeight="false" outlineLevel="0" collapsed="false">
      <c r="A131" s="21" t="str">
        <f aca="false">'Player Data'!A131</f>
        <v>Chai Wongsa</v>
      </c>
      <c r="B131" s="21" t="str">
        <f aca="false">'Player Data'!F131</f>
        <v>DF</v>
      </c>
      <c r="C131" s="21" t="str">
        <f aca="false">'Player Data'!B131</f>
        <v>Thailand</v>
      </c>
      <c r="D131" s="21" t="str">
        <f aca="false">'Player Data'!C131</f>
        <v>Thailand Second Division - West</v>
      </c>
      <c r="E131" s="21" t="n">
        <f aca="false">'Player Data'!D131</f>
        <v>4</v>
      </c>
      <c r="F131" s="21" t="n">
        <f aca="false">'Player Data'!G131</f>
        <v>26</v>
      </c>
      <c r="G131" s="21" t="n">
        <f aca="false">'Player Data'!H131</f>
        <v>2372</v>
      </c>
      <c r="H131" s="22" t="n">
        <f aca="false">IF(B131="GK",IFERROR(('Player Data'!N131-1.5*'Player Data'!O131)/'Player Data'!H131*90,0),IFERROR(('Player Data'!I131+'Player Data'!J131)/'Player Data'!H131*90,0))</f>
        <v>0.113827993254637</v>
      </c>
      <c r="I131" s="22" t="n">
        <f aca="false">IF(B131="GK",'Player Data'!P131,IFERROR(('Player Data'!K131+'Player Data'!L131)/'Player Data'!H131*90,0))</f>
        <v>2.69392917369309</v>
      </c>
      <c r="J131" s="22" t="n">
        <f aca="false">IF(B131="GK",IFERROR('Player Data'!Q131/'Player Data'!H131*90,0),IFERROR('Player Data'!M131/'Player Data'!H131*90,0))</f>
        <v>4.13575042158516</v>
      </c>
      <c r="K131" s="23" t="n">
        <f aca="false">'Player Data'!S131</f>
        <v>66655</v>
      </c>
      <c r="L131" s="22" t="n">
        <f aca="false">INDEX(Assumptions!$B$13:$B$15,MATCH(E131,Assumptions!$A$13:$A$15,0))</f>
        <v>0.7</v>
      </c>
      <c r="M131" s="24" t="n">
        <f aca="false">IFERROR(SUMPRODUCT(($B$2:$B$1001=B131)*($H$2:$H$1001&lt;=H131))/SUMPRODUCT(($B$2:$B$1001=B131)*1),0)</f>
        <v>0.255102040816327</v>
      </c>
      <c r="N131" s="24" t="n">
        <f aca="false">IFERROR(SUMPRODUCT(($B$2:$B$1001=B131)*($I$2:$I$1001&lt;=I131))/SUMPRODUCT(($B$2:$B$1001=B131)*1),0)</f>
        <v>0.0442176870748299</v>
      </c>
      <c r="O131" s="24" t="n">
        <f aca="false">IFERROR(SUMPRODUCT(($B$2:$B$1001=B131)*($J$2:$J$1001&lt;=J131))/SUMPRODUCT(($B$2:$B$1001=B131)*1),0)</f>
        <v>0.261904761904762</v>
      </c>
      <c r="P131" s="24" t="n">
        <f aca="false">IFERROR(SUMPRODUCT(($B$2:$B$1001=B131)*((0-$F$2:$F$1001)&lt;=(0-F131)))/SUMPRODUCT(($B$2:$B$1001=B131)*1),0)</f>
        <v>0.0748299319727891</v>
      </c>
      <c r="Q131" s="25" t="n">
        <f aca="false">(M131*Assumptions!$B$5+N131*Assumptions!$B$6+O131*Assumptions!$B$7+P131*Assumptions!$B$8)*L131</f>
        <v>0.102619047619048</v>
      </c>
      <c r="R131" s="24" t="n">
        <f aca="false">IFERROR(SUMPRODUCT(($B$2:$B$1001=B131)*($Q$2:$Q$1001&lt;=Q131))/SUMPRODUCT(($B$2:$B$1001=B131)*1),0)</f>
        <v>0.0102040816326531</v>
      </c>
      <c r="S131" s="24" t="n">
        <f aca="false">IFERROR(SUMPRODUCT(($B$2:$B$1001=B131)*($K$2:$K$1001&lt;=K131))/SUMPRODUCT(($B$2:$B$1001=B131)*1),0)</f>
        <v>0.517006802721089</v>
      </c>
      <c r="T131" s="26" t="n">
        <f aca="false">(R131-S131)*100</f>
        <v>-50.6802721088435</v>
      </c>
      <c r="U131" s="21" t="str">
        <f aca="false">'Player Data'!T131</f>
        <v>Unknown</v>
      </c>
      <c r="V131" s="27" t="n">
        <f aca="false">'Player Data'!U131</f>
        <v>2026</v>
      </c>
      <c r="W131" s="21" t="str">
        <f aca="false">IF(AND(T131&gt;=Assumptions!$B$19,U131="No"),"High Priority - Unrepresented",IF(T131&gt;=Assumptions!$B$19,"High Priority",IF(AND(T131&gt;=Assumptions!$B$20,U131="No"),"Watchlist - Unrepresented",IF(T131&gt;=Assumptions!$B$20,"Watchlist",""))))</f>
        <v/>
      </c>
      <c r="X131" s="21" t="str">
        <f aca="false">'Player Data'!V131</f>
        <v>info@nonthaburitown.th</v>
      </c>
      <c r="Y131" s="28" t="str">
        <f aca="false">'Player Data'!W131</f>
        <v>Club sporting director / first-team office</v>
      </c>
      <c r="Z131" s="28" t="str">
        <f aca="false">'Player Data'!X131</f>
        <v>FAT (Football Association of Thailand) player registry</v>
      </c>
      <c r="AA131" s="19" t="str">
        <f aca="false">HYPERLINK("https://www.transfermarkt.com/schnellsuche/ergebnis/schnellsuche?query="&amp;SUBSTITUTE(A131," ","+"),"Search Transfermarkt")</f>
        <v>Search Transfermarkt</v>
      </c>
      <c r="AB131" s="29" t="n">
        <f aca="false">IFERROR('Player Data'!K131/('Player Data'!K131+'Player Data'!L131),0)</f>
        <v>0.661971830985916</v>
      </c>
      <c r="AC131" s="21" t="str">
        <f aca="false">IF(B131="GK",IF(AND(O131&gt;=Assumptions!$B$23,N131&gt;=Assumptions!$B$23),"Sweeper-Keeper / Build-from-the-Back",IF(O131&gt;=Assumptions!$B$23,"Sweeper-Keeper / High Line",IF(M131&gt;=Assumptions!$B$23,"Shot-Stopper / Traditional","Flexible / Multi-System"))),IF(AND(O131&gt;=Assumptions!$B$23,P131&gt;=Assumptions!$B$24),"High Press / Gegenpressing",IF(AND(N131&gt;=Assumptions!$B$23,AB131&gt;=Assumptions!$B$25),"Possession / Build-from-the-Back",IF(N131&gt;=Assumptions!$B$23,"Counter-Attack / Transition",IF(AND(O131&gt;=Assumptions!$B$23,N131&lt;Assumptions!$B$26),"Low Block / Park the Bus",IF(AND(B131="FW",M131&gt;=Assumptions!$B$23,N131&lt;Assumptions!$B$26),"Direct / Target Approach","Flexible / Multi-System"))))))</f>
        <v>Flexible / Multi-System</v>
      </c>
      <c r="AD131" s="21" t="str">
        <f aca="false">'Player Data'!Y131</f>
        <v>2026-07-17</v>
      </c>
      <c r="AE131" s="21" t="str">
        <f aca="false">'Player Data'!Z131</f>
        <v>2026-07-17</v>
      </c>
      <c r="AF131" s="28" t="str">
        <f aca="false">IFERROR(INDEX(Assumptions!$B$30:$B$61,MATCH(C131,Assumptions!$A$30:$A$61,0)),"--")</f>
        <v>Australia, Saudi Arabia</v>
      </c>
      <c r="AG131" s="30" t="str">
        <f aca="false">IF(R131&gt;=0.7,"Step-Up Candidate",IF(R131&gt;=0.4,"Lateral Move","Stay &amp; Develop"))</f>
        <v>Stay &amp; Develop</v>
      </c>
    </row>
    <row r="132" customFormat="false" ht="23.85" hidden="false" customHeight="false" outlineLevel="0" collapsed="false">
      <c r="A132" s="21" t="str">
        <f aca="false">'Player Data'!A132</f>
        <v>Mustafa Kareem</v>
      </c>
      <c r="B132" s="21" t="str">
        <f aca="false">'Player Data'!F132</f>
        <v>GK</v>
      </c>
      <c r="C132" s="21" t="str">
        <f aca="false">'Player Data'!B132</f>
        <v>Iraq</v>
      </c>
      <c r="D132" s="21" t="str">
        <f aca="false">'Player Data'!C132</f>
        <v>Iraq Regional League</v>
      </c>
      <c r="E132" s="21" t="n">
        <f aca="false">'Player Data'!D132</f>
        <v>3</v>
      </c>
      <c r="F132" s="21" t="n">
        <f aca="false">'Player Data'!G132</f>
        <v>18</v>
      </c>
      <c r="G132" s="21" t="n">
        <f aca="false">'Player Data'!H132</f>
        <v>2361</v>
      </c>
      <c r="H132" s="22" t="n">
        <f aca="false">IF(B132="GK",IFERROR(('Player Data'!N132-1.5*'Player Data'!O132)/'Player Data'!H132*90,0),IFERROR(('Player Data'!I132+'Player Data'!J132)/'Player Data'!H132*90,0))</f>
        <v>1.35324015247776</v>
      </c>
      <c r="I132" s="22" t="n">
        <f aca="false">IF(B132="GK",'Player Data'!P132,IFERROR(('Player Data'!K132+'Player Data'!L132)/'Player Data'!H132*90,0))</f>
        <v>91.7</v>
      </c>
      <c r="J132" s="22" t="n">
        <f aca="false">IF(B132="GK",IFERROR('Player Data'!Q132/'Player Data'!H132*90,0),IFERROR('Player Data'!M132/'Player Data'!H132*90,0))</f>
        <v>0.350698856416773</v>
      </c>
      <c r="K132" s="23" t="n">
        <f aca="false">'Player Data'!S132</f>
        <v>0</v>
      </c>
      <c r="L132" s="22" t="n">
        <f aca="false">INDEX(Assumptions!$B$13:$B$15,MATCH(E132,Assumptions!$A$13:$A$15,0))</f>
        <v>0.85</v>
      </c>
      <c r="M132" s="24" t="n">
        <f aca="false">IFERROR(SUMPRODUCT(($B$2:$B$1001=B132)*($H$2:$H$1001&lt;=H132))/SUMPRODUCT(($B$2:$B$1001=B132)*1),0)</f>
        <v>0.59016393442623</v>
      </c>
      <c r="N132" s="24" t="n">
        <f aca="false">IFERROR(SUMPRODUCT(($B$2:$B$1001=B132)*($I$2:$I$1001&lt;=I132))/SUMPRODUCT(($B$2:$B$1001=B132)*1),0)</f>
        <v>1</v>
      </c>
      <c r="O132" s="24" t="n">
        <f aca="false">IFERROR(SUMPRODUCT(($B$2:$B$1001=B132)*($J$2:$J$1001&lt;=J132))/SUMPRODUCT(($B$2:$B$1001=B132)*1),0)</f>
        <v>0.158469945355191</v>
      </c>
      <c r="P132" s="24" t="n">
        <f aca="false">IFERROR(SUMPRODUCT(($B$2:$B$1001=B132)*((0-$F$2:$F$1001)&lt;=(0-F132)))/SUMPRODUCT(($B$2:$B$1001=B132)*1),0)</f>
        <v>0.907103825136612</v>
      </c>
      <c r="Q132" s="25" t="n">
        <f aca="false">(M132*Assumptions!$B$5+N132*Assumptions!$B$6+O132*Assumptions!$B$7+P132*Assumptions!$B$8)*L132</f>
        <v>0.60405737704918</v>
      </c>
      <c r="R132" s="24" t="n">
        <f aca="false">IFERROR(SUMPRODUCT(($B$2:$B$1001=B132)*($Q$2:$Q$1001&lt;=Q132))/SUMPRODUCT(($B$2:$B$1001=B132)*1),0)</f>
        <v>0.868852459016393</v>
      </c>
      <c r="S132" s="24" t="n">
        <f aca="false">IFERROR(SUMPRODUCT(($B$2:$B$1001=B132)*($K$2:$K$1001&lt;=K132))/SUMPRODUCT(($B$2:$B$1001=B132)*1),0)</f>
        <v>0.218579234972678</v>
      </c>
      <c r="T132" s="26" t="n">
        <f aca="false">(R132-S132)*100</f>
        <v>65.0273224043716</v>
      </c>
      <c r="U132" s="21" t="str">
        <f aca="false">'Player Data'!T132</f>
        <v>No</v>
      </c>
      <c r="V132" s="27" t="n">
        <f aca="false">'Player Data'!U132</f>
        <v>2028</v>
      </c>
      <c r="W132" s="21" t="str">
        <f aca="false">IF(AND(T132&gt;=Assumptions!$B$19,U132="No"),"High Priority - Unrepresented",IF(T132&gt;=Assumptions!$B$19,"High Priority",IF(AND(T132&gt;=Assumptions!$B$20,U132="No"),"Watchlist - Unrepresented",IF(T132&gt;=Assumptions!$B$20,"Watchlist",""))))</f>
        <v>High Priority - Unrepresented</v>
      </c>
      <c r="X132" s="21" t="str">
        <f aca="false">'Player Data'!V132</f>
        <v>info@najafathletic.iq</v>
      </c>
      <c r="Y132" s="28" t="str">
        <f aca="false">'Player Data'!W132</f>
        <v>Club sporting director / first-team office</v>
      </c>
      <c r="Z132" s="28" t="str">
        <f aca="false">'Player Data'!X132</f>
        <v>IFA (Iraq Football Association) player registry</v>
      </c>
      <c r="AA132" s="19" t="str">
        <f aca="false">HYPERLINK("https://www.transfermarkt.com/schnellsuche/ergebnis/schnellsuche?query="&amp;SUBSTITUTE(A132," ","+"),"Search Transfermarkt")</f>
        <v>Search Transfermarkt</v>
      </c>
      <c r="AB132" s="29" t="n">
        <f aca="false">IFERROR('Player Data'!K132/('Player Data'!K132+'Player Data'!L132),0)</f>
        <v>0.772727272727273</v>
      </c>
      <c r="AC132" s="21" t="str">
        <f aca="false">IF(B132="GK",IF(AND(O132&gt;=Assumptions!$B$23,N132&gt;=Assumptions!$B$23),"Sweeper-Keeper / Build-from-the-Back",IF(O132&gt;=Assumptions!$B$23,"Sweeper-Keeper / High Line",IF(M132&gt;=Assumptions!$B$23,"Shot-Stopper / Traditional","Flexible / Multi-System"))),IF(AND(O132&gt;=Assumptions!$B$23,P132&gt;=Assumptions!$B$24),"High Press / Gegenpressing",IF(AND(N132&gt;=Assumptions!$B$23,AB132&gt;=Assumptions!$B$25),"Possession / Build-from-the-Back",IF(N132&gt;=Assumptions!$B$23,"Counter-Attack / Transition",IF(AND(O132&gt;=Assumptions!$B$23,N132&lt;Assumptions!$B$26),"Low Block / Park the Bus",IF(AND(B132="FW",M132&gt;=Assumptions!$B$23,N132&lt;Assumptions!$B$26),"Direct / Target Approach","Flexible / Multi-System"))))))</f>
        <v>Flexible / Multi-System</v>
      </c>
      <c r="AD132" s="21" t="str">
        <f aca="false">'Player Data'!Y132</f>
        <v>2026-07-17</v>
      </c>
      <c r="AE132" s="21" t="str">
        <f aca="false">'Player Data'!Z132</f>
        <v>2026-07-17</v>
      </c>
      <c r="AF132" s="28" t="str">
        <f aca="false">IFERROR(INDEX(Assumptions!$B$30:$B$61,MATCH(C132,Assumptions!$A$30:$A$61,0)),"--")</f>
        <v>Turkey, Saudi Arabia</v>
      </c>
      <c r="AG132" s="30" t="str">
        <f aca="false">IF(R132&gt;=0.7,"Step-Up Candidate",IF(R132&gt;=0.4,"Lateral Move","Stay &amp; Develop"))</f>
        <v>Step-Up Candidate</v>
      </c>
    </row>
    <row r="133" customFormat="false" ht="23.85" hidden="false" customHeight="false" outlineLevel="0" collapsed="false">
      <c r="A133" s="21" t="str">
        <f aca="false">'Player Data'!A133</f>
        <v>Ardit Meta</v>
      </c>
      <c r="B133" s="21" t="str">
        <f aca="false">'Player Data'!F133</f>
        <v>GK</v>
      </c>
      <c r="C133" s="21" t="str">
        <f aca="false">'Player Data'!B133</f>
        <v>Albania</v>
      </c>
      <c r="D133" s="21" t="str">
        <f aca="false">'Player Data'!C133</f>
        <v>Albania Third Tier - North</v>
      </c>
      <c r="E133" s="21" t="n">
        <f aca="false">'Player Data'!D133</f>
        <v>3</v>
      </c>
      <c r="F133" s="21" t="n">
        <f aca="false">'Player Data'!G133</f>
        <v>17</v>
      </c>
      <c r="G133" s="21" t="n">
        <f aca="false">'Player Data'!H133</f>
        <v>1202</v>
      </c>
      <c r="H133" s="22" t="n">
        <f aca="false">IF(B133="GK",IFERROR(('Player Data'!N133-1.5*'Player Data'!O133)/'Player Data'!H133*90,0),IFERROR(('Player Data'!I133+'Player Data'!J133)/'Player Data'!H133*90,0))</f>
        <v>0.486688851913478</v>
      </c>
      <c r="I133" s="22" t="n">
        <f aca="false">IF(B133="GK",'Player Data'!P133,IFERROR(('Player Data'!K133+'Player Data'!L133)/'Player Data'!H133*90,0))</f>
        <v>69.5</v>
      </c>
      <c r="J133" s="22" t="n">
        <f aca="false">IF(B133="GK",IFERROR('Player Data'!Q133/'Player Data'!H133*90,0),IFERROR('Player Data'!M133/'Player Data'!H133*90,0))</f>
        <v>1.25790349417637</v>
      </c>
      <c r="K133" s="23" t="n">
        <f aca="false">'Player Data'!S133</f>
        <v>89882</v>
      </c>
      <c r="L133" s="22" t="n">
        <f aca="false">INDEX(Assumptions!$B$13:$B$15,MATCH(E133,Assumptions!$A$13:$A$15,0))</f>
        <v>0.85</v>
      </c>
      <c r="M133" s="24" t="n">
        <f aca="false">IFERROR(SUMPRODUCT(($B$2:$B$1001=B133)*($H$2:$H$1001&lt;=H133))/SUMPRODUCT(($B$2:$B$1001=B133)*1),0)</f>
        <v>0.278688524590164</v>
      </c>
      <c r="N133" s="24" t="n">
        <f aca="false">IFERROR(SUMPRODUCT(($B$2:$B$1001=B133)*($I$2:$I$1001&lt;=I133))/SUMPRODUCT(($B$2:$B$1001=B133)*1),0)</f>
        <v>0.387978142076503</v>
      </c>
      <c r="O133" s="24" t="n">
        <f aca="false">IFERROR(SUMPRODUCT(($B$2:$B$1001=B133)*($J$2:$J$1001&lt;=J133))/SUMPRODUCT(($B$2:$B$1001=B133)*1),0)</f>
        <v>0.781420765027322</v>
      </c>
      <c r="P133" s="24" t="n">
        <f aca="false">IFERROR(SUMPRODUCT(($B$2:$B$1001=B133)*((0-$F$2:$F$1001)&lt;=(0-F133)))/SUMPRODUCT(($B$2:$B$1001=B133)*1),0)</f>
        <v>1</v>
      </c>
      <c r="Q133" s="25" t="n">
        <f aca="false">(M133*Assumptions!$B$5+N133*Assumptions!$B$6+O133*Assumptions!$B$7+P133*Assumptions!$B$8)*L133</f>
        <v>0.477486338797814</v>
      </c>
      <c r="R133" s="24" t="n">
        <f aca="false">IFERROR(SUMPRODUCT(($B$2:$B$1001=B133)*($Q$2:$Q$1001&lt;=Q133))/SUMPRODUCT(($B$2:$B$1001=B133)*1),0)</f>
        <v>0.551912568306011</v>
      </c>
      <c r="S133" s="24" t="n">
        <f aca="false">IFERROR(SUMPRODUCT(($B$2:$B$1001=B133)*($K$2:$K$1001&lt;=K133))/SUMPRODUCT(($B$2:$B$1001=B133)*1),0)</f>
        <v>0.639344262295082</v>
      </c>
      <c r="T133" s="26" t="n">
        <f aca="false">(R133-S133)*100</f>
        <v>-8.74316939890711</v>
      </c>
      <c r="U133" s="21" t="str">
        <f aca="false">'Player Data'!T133</f>
        <v>Unknown</v>
      </c>
      <c r="V133" s="27" t="n">
        <f aca="false">'Player Data'!U133</f>
        <v>2027</v>
      </c>
      <c r="W133" s="21" t="str">
        <f aca="false">IF(AND(T133&gt;=Assumptions!$B$19,U133="No"),"High Priority - Unrepresented",IF(T133&gt;=Assumptions!$B$19,"High Priority",IF(AND(T133&gt;=Assumptions!$B$20,U133="No"),"Watchlist - Unrepresented",IF(T133&gt;=Assumptions!$B$20,"Watchlist",""))))</f>
        <v/>
      </c>
      <c r="X133" s="21" t="str">
        <f aca="false">'Player Data'!V133</f>
        <v>info@elbasansc.al</v>
      </c>
      <c r="Y133" s="28" t="str">
        <f aca="false">'Player Data'!W133</f>
        <v>Club youth/academy office ONLY - player is a minor, do not contact directly</v>
      </c>
      <c r="Z133" s="28" t="str">
        <f aca="false">'Player Data'!X133</f>
        <v>FSHF (Albanian Football Association) player registry</v>
      </c>
      <c r="AA133" s="19" t="str">
        <f aca="false">HYPERLINK("https://www.transfermarkt.com/schnellsuche/ergebnis/schnellsuche?query="&amp;SUBSTITUTE(A133," ","+"),"Search Transfermarkt")</f>
        <v>Search Transfermarkt</v>
      </c>
      <c r="AB133" s="29" t="n">
        <f aca="false">IFERROR('Player Data'!K133/('Player Data'!K133+'Player Data'!L133),0)</f>
        <v>0.904761904761905</v>
      </c>
      <c r="AC133" s="21" t="str">
        <f aca="false">IF(B133="GK",IF(AND(O133&gt;=Assumptions!$B$23,N133&gt;=Assumptions!$B$23),"Sweeper-Keeper / Build-from-the-Back",IF(O133&gt;=Assumptions!$B$23,"Sweeper-Keeper / High Line",IF(M133&gt;=Assumptions!$B$23,"Shot-Stopper / Traditional","Flexible / Multi-System"))),IF(AND(O133&gt;=Assumptions!$B$23,P133&gt;=Assumptions!$B$24),"High Press / Gegenpressing",IF(AND(N133&gt;=Assumptions!$B$23,AB133&gt;=Assumptions!$B$25),"Possession / Build-from-the-Back",IF(N133&gt;=Assumptions!$B$23,"Counter-Attack / Transition",IF(AND(O133&gt;=Assumptions!$B$23,N133&lt;Assumptions!$B$26),"Low Block / Park the Bus",IF(AND(B133="FW",M133&gt;=Assumptions!$B$23,N133&lt;Assumptions!$B$26),"Direct / Target Approach","Flexible / Multi-System"))))))</f>
        <v>Sweeper-Keeper / High Line</v>
      </c>
      <c r="AD133" s="21" t="str">
        <f aca="false">'Player Data'!Y133</f>
        <v>2026-07-17</v>
      </c>
      <c r="AE133" s="21" t="str">
        <f aca="false">'Player Data'!Z133</f>
        <v>2026-07-17</v>
      </c>
      <c r="AF133" s="28" t="str">
        <f aca="false">IFERROR(INDEX(Assumptions!$B$30:$B$61,MATCH(C133,Assumptions!$A$30:$A$61,0)),"--")</f>
        <v>Turkey, Poland</v>
      </c>
      <c r="AG133" s="30" t="str">
        <f aca="false">IF(R133&gt;=0.7,"Step-Up Candidate",IF(R133&gt;=0.4,"Lateral Move","Stay &amp; Develop"))</f>
        <v>Lateral Move</v>
      </c>
    </row>
    <row r="134" customFormat="false" ht="23.85" hidden="false" customHeight="false" outlineLevel="0" collapsed="false">
      <c r="A134" s="21" t="str">
        <f aca="false">'Player Data'!A134</f>
        <v>Kittipong Rattanakosin</v>
      </c>
      <c r="B134" s="21" t="str">
        <f aca="false">'Player Data'!F134</f>
        <v>DF</v>
      </c>
      <c r="C134" s="21" t="str">
        <f aca="false">'Player Data'!B134</f>
        <v>Thailand</v>
      </c>
      <c r="D134" s="21" t="str">
        <f aca="false">'Player Data'!C134</f>
        <v>Thailand Reserve League</v>
      </c>
      <c r="E134" s="21" t="n">
        <f aca="false">'Player Data'!D134</f>
        <v>3</v>
      </c>
      <c r="F134" s="21" t="n">
        <f aca="false">'Player Data'!G134</f>
        <v>23</v>
      </c>
      <c r="G134" s="21" t="n">
        <f aca="false">'Player Data'!H134</f>
        <v>835</v>
      </c>
      <c r="H134" s="22" t="n">
        <f aca="false">IF(B134="GK",IFERROR(('Player Data'!N134-1.5*'Player Data'!O134)/'Player Data'!H134*90,0),IFERROR(('Player Data'!I134+'Player Data'!J134)/'Player Data'!H134*90,0))</f>
        <v>0.538922155688623</v>
      </c>
      <c r="I134" s="22" t="n">
        <f aca="false">IF(B134="GK",'Player Data'!P134,IFERROR(('Player Data'!K134+'Player Data'!L134)/'Player Data'!H134*90,0))</f>
        <v>9.80838323353293</v>
      </c>
      <c r="J134" s="22" t="n">
        <f aca="false">IF(B134="GK",IFERROR('Player Data'!Q134/'Player Data'!H134*90,0),IFERROR('Player Data'!M134/'Player Data'!H134*90,0))</f>
        <v>10.1317365269461</v>
      </c>
      <c r="K134" s="23" t="n">
        <f aca="false">'Player Data'!S134</f>
        <v>108958</v>
      </c>
      <c r="L134" s="22" t="n">
        <f aca="false">INDEX(Assumptions!$B$13:$B$15,MATCH(E134,Assumptions!$A$13:$A$15,0))</f>
        <v>0.85</v>
      </c>
      <c r="M134" s="24" t="n">
        <f aca="false">IFERROR(SUMPRODUCT(($B$2:$B$1001=B134)*($H$2:$H$1001&lt;=H134))/SUMPRODUCT(($B$2:$B$1001=B134)*1),0)</f>
        <v>0.962585034013605</v>
      </c>
      <c r="N134" s="24" t="n">
        <f aca="false">IFERROR(SUMPRODUCT(($B$2:$B$1001=B134)*($I$2:$I$1001&lt;=I134))/SUMPRODUCT(($B$2:$B$1001=B134)*1),0)</f>
        <v>0.982993197278912</v>
      </c>
      <c r="O134" s="24" t="n">
        <f aca="false">IFERROR(SUMPRODUCT(($B$2:$B$1001=B134)*($J$2:$J$1001&lt;=J134))/SUMPRODUCT(($B$2:$B$1001=B134)*1),0)</f>
        <v>0.935374149659864</v>
      </c>
      <c r="P134" s="24" t="n">
        <f aca="false">IFERROR(SUMPRODUCT(($B$2:$B$1001=B134)*((0-$F$2:$F$1001)&lt;=(0-F134)))/SUMPRODUCT(($B$2:$B$1001=B134)*1),0)</f>
        <v>0.374149659863946</v>
      </c>
      <c r="Q134" s="25" t="n">
        <f aca="false">(M134*Assumptions!$B$5+N134*Assumptions!$B$6+O134*Assumptions!$B$7+P134*Assumptions!$B$8)*L134</f>
        <v>0.719608843537415</v>
      </c>
      <c r="R134" s="24" t="n">
        <f aca="false">IFERROR(SUMPRODUCT(($B$2:$B$1001=B134)*($Q$2:$Q$1001&lt;=Q134))/SUMPRODUCT(($B$2:$B$1001=B134)*1),0)</f>
        <v>0.894557823129252</v>
      </c>
      <c r="S134" s="24" t="n">
        <f aca="false">IFERROR(SUMPRODUCT(($B$2:$B$1001=B134)*($K$2:$K$1001&lt;=K134))/SUMPRODUCT(($B$2:$B$1001=B134)*1),0)</f>
        <v>0.789115646258503</v>
      </c>
      <c r="T134" s="26" t="n">
        <f aca="false">(R134-S134)*100</f>
        <v>10.5442176870748</v>
      </c>
      <c r="U134" s="21" t="str">
        <f aca="false">'Player Data'!T134</f>
        <v>No</v>
      </c>
      <c r="V134" s="27" t="n">
        <f aca="false">'Player Data'!U134</f>
        <v>2027</v>
      </c>
      <c r="W134" s="21" t="str">
        <f aca="false">IF(AND(T134&gt;=Assumptions!$B$19,U134="No"),"High Priority - Unrepresented",IF(T134&gt;=Assumptions!$B$19,"High Priority",IF(AND(T134&gt;=Assumptions!$B$20,U134="No"),"Watchlist - Unrepresented",IF(T134&gt;=Assumptions!$B$20,"Watchlist",""))))</f>
        <v/>
      </c>
      <c r="X134" s="21" t="str">
        <f aca="false">'Player Data'!V134</f>
        <v>info@bangkokrangers.th</v>
      </c>
      <c r="Y134" s="28" t="str">
        <f aca="false">'Player Data'!W134</f>
        <v>Club sporting director / first-team office</v>
      </c>
      <c r="Z134" s="28" t="str">
        <f aca="false">'Player Data'!X134</f>
        <v>FAT (Football Association of Thailand) player registry</v>
      </c>
      <c r="AA134" s="19" t="str">
        <f aca="false">HYPERLINK("https://www.transfermarkt.com/schnellsuche/ergebnis/schnellsuche?query="&amp;SUBSTITUTE(A134," ","+"),"Search Transfermarkt")</f>
        <v>Search Transfermarkt</v>
      </c>
      <c r="AB134" s="29" t="n">
        <f aca="false">IFERROR('Player Data'!K134/('Player Data'!K134+'Player Data'!L134),0)</f>
        <v>0.637362637362637</v>
      </c>
      <c r="AC134" s="21" t="str">
        <f aca="false">IF(B134="GK",IF(AND(O134&gt;=Assumptions!$B$23,N134&gt;=Assumptions!$B$23),"Sweeper-Keeper / Build-from-the-Back",IF(O134&gt;=Assumptions!$B$23,"Sweeper-Keeper / High Line",IF(M134&gt;=Assumptions!$B$23,"Shot-Stopper / Traditional","Flexible / Multi-System"))),IF(AND(O134&gt;=Assumptions!$B$23,P134&gt;=Assumptions!$B$24),"High Press / Gegenpressing",IF(AND(N134&gt;=Assumptions!$B$23,AB134&gt;=Assumptions!$B$25),"Possession / Build-from-the-Back",IF(N134&gt;=Assumptions!$B$23,"Counter-Attack / Transition",IF(AND(O134&gt;=Assumptions!$B$23,N134&lt;Assumptions!$B$26),"Low Block / Park the Bus",IF(AND(B134="FW",M134&gt;=Assumptions!$B$23,N134&lt;Assumptions!$B$26),"Direct / Target Approach","Flexible / Multi-System"))))))</f>
        <v>Possession / Build-from-the-Back</v>
      </c>
      <c r="AD134" s="21" t="str">
        <f aca="false">'Player Data'!Y134</f>
        <v>2026-07-17</v>
      </c>
      <c r="AE134" s="21" t="str">
        <f aca="false">'Player Data'!Z134</f>
        <v>2026-07-17</v>
      </c>
      <c r="AF134" s="28" t="str">
        <f aca="false">IFERROR(INDEX(Assumptions!$B$30:$B$61,MATCH(C134,Assumptions!$A$30:$A$61,0)),"--")</f>
        <v>Australia, Saudi Arabia</v>
      </c>
      <c r="AG134" s="30" t="str">
        <f aca="false">IF(R134&gt;=0.7,"Step-Up Candidate",IF(R134&gt;=0.4,"Lateral Move","Stay &amp; Develop"))</f>
        <v>Step-Up Candidate</v>
      </c>
    </row>
    <row r="135" customFormat="false" ht="23.85" hidden="false" customHeight="false" outlineLevel="0" collapsed="false">
      <c r="A135" s="21" t="str">
        <f aca="false">'Player Data'!A135</f>
        <v>Ahmed Abbas</v>
      </c>
      <c r="B135" s="21" t="str">
        <f aca="false">'Player Data'!F135</f>
        <v>MF</v>
      </c>
      <c r="C135" s="21" t="str">
        <f aca="false">'Player Data'!B135</f>
        <v>Iraq</v>
      </c>
      <c r="D135" s="21" t="str">
        <f aca="false">'Player Data'!C135</f>
        <v>Iraq Second Division - East</v>
      </c>
      <c r="E135" s="21" t="n">
        <f aca="false">'Player Data'!D135</f>
        <v>4</v>
      </c>
      <c r="F135" s="21" t="n">
        <f aca="false">'Player Data'!G135</f>
        <v>20</v>
      </c>
      <c r="G135" s="21" t="n">
        <f aca="false">'Player Data'!H135</f>
        <v>1014</v>
      </c>
      <c r="H135" s="22" t="n">
        <f aca="false">IF(B135="GK",IFERROR(('Player Data'!N135-1.5*'Player Data'!O135)/'Player Data'!H135*90,0),IFERROR(('Player Data'!I135+'Player Data'!J135)/'Player Data'!H135*90,0))</f>
        <v>1.33136094674556</v>
      </c>
      <c r="I135" s="22" t="n">
        <f aca="false">IF(B135="GK",'Player Data'!P135,IFERROR(('Player Data'!K135+'Player Data'!L135)/'Player Data'!H135*90,0))</f>
        <v>18.4615384615385</v>
      </c>
      <c r="J135" s="22" t="n">
        <f aca="false">IF(B135="GK",IFERROR('Player Data'!Q135/'Player Data'!H135*90,0),IFERROR('Player Data'!M135/'Player Data'!H135*90,0))</f>
        <v>3.81656804733728</v>
      </c>
      <c r="K135" s="23" t="n">
        <f aca="false">'Player Data'!S135</f>
        <v>0</v>
      </c>
      <c r="L135" s="22" t="n">
        <f aca="false">INDEX(Assumptions!$B$13:$B$15,MATCH(E135,Assumptions!$A$13:$A$15,0))</f>
        <v>0.7</v>
      </c>
      <c r="M135" s="24" t="n">
        <f aca="false">IFERROR(SUMPRODUCT(($B$2:$B$1001=B135)*($H$2:$H$1001&lt;=H135))/SUMPRODUCT(($B$2:$B$1001=B135)*1),0)</f>
        <v>0.888888888888889</v>
      </c>
      <c r="N135" s="24" t="n">
        <f aca="false">IFERROR(SUMPRODUCT(($B$2:$B$1001=B135)*($I$2:$I$1001&lt;=I135))/SUMPRODUCT(($B$2:$B$1001=B135)*1),0)</f>
        <v>0.872053872053872</v>
      </c>
      <c r="O135" s="24" t="n">
        <f aca="false">IFERROR(SUMPRODUCT(($B$2:$B$1001=B135)*($J$2:$J$1001&lt;=J135))/SUMPRODUCT(($B$2:$B$1001=B135)*1),0)</f>
        <v>0.909090909090909</v>
      </c>
      <c r="P135" s="24" t="n">
        <f aca="false">IFERROR(SUMPRODUCT(($B$2:$B$1001=B135)*((0-$F$2:$F$1001)&lt;=(0-F135)))/SUMPRODUCT(($B$2:$B$1001=B135)*1),0)</f>
        <v>0.734006734006734</v>
      </c>
      <c r="Q135" s="25" t="n">
        <f aca="false">(M135*Assumptions!$B$5+N135*Assumptions!$B$6+O135*Assumptions!$B$7+P135*Assumptions!$B$8)*L135</f>
        <v>0.599242424242424</v>
      </c>
      <c r="R135" s="24" t="n">
        <f aca="false">IFERROR(SUMPRODUCT(($B$2:$B$1001=B135)*($Q$2:$Q$1001&lt;=Q135))/SUMPRODUCT(($B$2:$B$1001=B135)*1),0)</f>
        <v>0.747474747474748</v>
      </c>
      <c r="S135" s="24" t="n">
        <f aca="false">IFERROR(SUMPRODUCT(($B$2:$B$1001=B135)*($K$2:$K$1001&lt;=K135))/SUMPRODUCT(($B$2:$B$1001=B135)*1),0)</f>
        <v>0.228956228956229</v>
      </c>
      <c r="T135" s="26" t="n">
        <f aca="false">(R135-S135)*100</f>
        <v>51.8518518518519</v>
      </c>
      <c r="U135" s="21" t="str">
        <f aca="false">'Player Data'!T135</f>
        <v>No</v>
      </c>
      <c r="V135" s="27" t="n">
        <f aca="false">'Player Data'!U135</f>
        <v>2027</v>
      </c>
      <c r="W135" s="21" t="str">
        <f aca="false">IF(AND(T135&gt;=Assumptions!$B$19,U135="No"),"High Priority - Unrepresented",IF(T135&gt;=Assumptions!$B$19,"High Priority",IF(AND(T135&gt;=Assumptions!$B$20,U135="No"),"Watchlist - Unrepresented",IF(T135&gt;=Assumptions!$B$20,"Watchlist",""))))</f>
        <v>High Priority - Unrepresented</v>
      </c>
      <c r="X135" s="21" t="str">
        <f aca="false">'Player Data'!V135</f>
        <v>info@baghdadunited.iq</v>
      </c>
      <c r="Y135" s="28" t="str">
        <f aca="false">'Player Data'!W135</f>
        <v>Club sporting director / first-team office</v>
      </c>
      <c r="Z135" s="28" t="str">
        <f aca="false">'Player Data'!X135</f>
        <v>IFA (Iraq Football Association) player registry</v>
      </c>
      <c r="AA135" s="19" t="str">
        <f aca="false">HYPERLINK("https://www.transfermarkt.com/schnellsuche/ergebnis/schnellsuche?query="&amp;SUBSTITUTE(A135," ","+"),"Search Transfermarkt")</f>
        <v>Search Transfermarkt</v>
      </c>
      <c r="AB135" s="29" t="n">
        <f aca="false">IFERROR('Player Data'!K135/('Player Data'!K135+'Player Data'!L135),0)</f>
        <v>0.692307692307692</v>
      </c>
      <c r="AC135" s="21" t="str">
        <f aca="false">IF(B135="GK",IF(AND(O135&gt;=Assumptions!$B$23,N135&gt;=Assumptions!$B$23),"Sweeper-Keeper / Build-from-the-Back",IF(O135&gt;=Assumptions!$B$23,"Sweeper-Keeper / High Line",IF(M135&gt;=Assumptions!$B$23,"Shot-Stopper / Traditional","Flexible / Multi-System"))),IF(AND(O135&gt;=Assumptions!$B$23,P135&gt;=Assumptions!$B$24),"High Press / Gegenpressing",IF(AND(N135&gt;=Assumptions!$B$23,AB135&gt;=Assumptions!$B$25),"Possession / Build-from-the-Back",IF(N135&gt;=Assumptions!$B$23,"Counter-Attack / Transition",IF(AND(O135&gt;=Assumptions!$B$23,N135&lt;Assumptions!$B$26),"Low Block / Park the Bus",IF(AND(B135="FW",M135&gt;=Assumptions!$B$23,N135&lt;Assumptions!$B$26),"Direct / Target Approach","Flexible / Multi-System"))))))</f>
        <v>High Press / Gegenpressing</v>
      </c>
      <c r="AD135" s="21" t="str">
        <f aca="false">'Player Data'!Y135</f>
        <v>2026-07-17</v>
      </c>
      <c r="AE135" s="21" t="str">
        <f aca="false">'Player Data'!Z135</f>
        <v>2026-07-17</v>
      </c>
      <c r="AF135" s="28" t="str">
        <f aca="false">IFERROR(INDEX(Assumptions!$B$30:$B$61,MATCH(C135,Assumptions!$A$30:$A$61,0)),"--")</f>
        <v>Turkey, Saudi Arabia</v>
      </c>
      <c r="AG135" s="30" t="str">
        <f aca="false">IF(R135&gt;=0.7,"Step-Up Candidate",IF(R135&gt;=0.4,"Lateral Move","Stay &amp; Develop"))</f>
        <v>Step-Up Candidate</v>
      </c>
    </row>
    <row r="136" customFormat="false" ht="23.85" hidden="false" customHeight="false" outlineLevel="0" collapsed="false">
      <c r="A136" s="21" t="str">
        <f aca="false">'Player Data'!A136</f>
        <v>Federico Pereira</v>
      </c>
      <c r="B136" s="21" t="str">
        <f aca="false">'Player Data'!F136</f>
        <v>MF</v>
      </c>
      <c r="C136" s="21" t="str">
        <f aca="false">'Player Data'!B136</f>
        <v>Uruguay</v>
      </c>
      <c r="D136" s="21" t="str">
        <f aca="false">'Player Data'!C136</f>
        <v>Uruguay Reserve League</v>
      </c>
      <c r="E136" s="21" t="n">
        <f aca="false">'Player Data'!D136</f>
        <v>2</v>
      </c>
      <c r="F136" s="21" t="n">
        <f aca="false">'Player Data'!G136</f>
        <v>22</v>
      </c>
      <c r="G136" s="21" t="n">
        <f aca="false">'Player Data'!H136</f>
        <v>1845</v>
      </c>
      <c r="H136" s="22" t="n">
        <f aca="false">IF(B136="GK",IFERROR(('Player Data'!N136-1.5*'Player Data'!O136)/'Player Data'!H136*90,0),IFERROR(('Player Data'!I136+'Player Data'!J136)/'Player Data'!H136*90,0))</f>
        <v>0.926829268292683</v>
      </c>
      <c r="I136" s="22" t="n">
        <f aca="false">IF(B136="GK",'Player Data'!P136,IFERROR(('Player Data'!K136+'Player Data'!L136)/'Player Data'!H136*90,0))</f>
        <v>12.5853658536585</v>
      </c>
      <c r="J136" s="22" t="n">
        <f aca="false">IF(B136="GK",IFERROR('Player Data'!Q136/'Player Data'!H136*90,0),IFERROR('Player Data'!M136/'Player Data'!H136*90,0))</f>
        <v>2.39024390243902</v>
      </c>
      <c r="K136" s="23" t="n">
        <f aca="false">'Player Data'!S136</f>
        <v>43468</v>
      </c>
      <c r="L136" s="22" t="n">
        <f aca="false">INDEX(Assumptions!$B$13:$B$15,MATCH(E136,Assumptions!$A$13:$A$15,0))</f>
        <v>1</v>
      </c>
      <c r="M136" s="24" t="n">
        <f aca="false">IFERROR(SUMPRODUCT(($B$2:$B$1001=B136)*($H$2:$H$1001&lt;=H136))/SUMPRODUCT(($B$2:$B$1001=B136)*1),0)</f>
        <v>0.713804713804714</v>
      </c>
      <c r="N136" s="24" t="n">
        <f aca="false">IFERROR(SUMPRODUCT(($B$2:$B$1001=B136)*($I$2:$I$1001&lt;=I136))/SUMPRODUCT(($B$2:$B$1001=B136)*1),0)</f>
        <v>0.63973063973064</v>
      </c>
      <c r="O136" s="24" t="n">
        <f aca="false">IFERROR(SUMPRODUCT(($B$2:$B$1001=B136)*($J$2:$J$1001&lt;=J136))/SUMPRODUCT(($B$2:$B$1001=B136)*1),0)</f>
        <v>0.595959595959596</v>
      </c>
      <c r="P136" s="24" t="n">
        <f aca="false">IFERROR(SUMPRODUCT(($B$2:$B$1001=B136)*((0-$F$2:$F$1001)&lt;=(0-F136)))/SUMPRODUCT(($B$2:$B$1001=B136)*1),0)</f>
        <v>0.515151515151515</v>
      </c>
      <c r="Q136" s="25" t="n">
        <f aca="false">(M136*Assumptions!$B$5+N136*Assumptions!$B$6+O136*Assumptions!$B$7+P136*Assumptions!$B$8)*L136</f>
        <v>0.624579124579125</v>
      </c>
      <c r="R136" s="24" t="n">
        <f aca="false">IFERROR(SUMPRODUCT(($B$2:$B$1001=B136)*($Q$2:$Q$1001&lt;=Q136))/SUMPRODUCT(($B$2:$B$1001=B136)*1),0)</f>
        <v>0.784511784511785</v>
      </c>
      <c r="S136" s="24" t="n">
        <f aca="false">IFERROR(SUMPRODUCT(($B$2:$B$1001=B136)*($K$2:$K$1001&lt;=K136))/SUMPRODUCT(($B$2:$B$1001=B136)*1),0)</f>
        <v>0.387205387205387</v>
      </c>
      <c r="T136" s="26" t="n">
        <f aca="false">(R136-S136)*100</f>
        <v>39.7306397306397</v>
      </c>
      <c r="U136" s="21" t="str">
        <f aca="false">'Player Data'!T136</f>
        <v>No</v>
      </c>
      <c r="V136" s="27" t="n">
        <f aca="false">'Player Data'!U136</f>
        <v>2029</v>
      </c>
      <c r="W136" s="21" t="str">
        <f aca="false">IF(AND(T136&gt;=Assumptions!$B$19,U136="No"),"High Priority - Unrepresented",IF(T136&gt;=Assumptions!$B$19,"High Priority",IF(AND(T136&gt;=Assumptions!$B$20,U136="No"),"Watchlist - Unrepresented",IF(T136&gt;=Assumptions!$B$20,"Watchlist",""))))</f>
        <v>Watchlist - Unrepresented</v>
      </c>
      <c r="X136" s="21" t="str">
        <f aca="false">'Player Data'!V136</f>
        <v>info@riveraathletic.uy</v>
      </c>
      <c r="Y136" s="28" t="str">
        <f aca="false">'Player Data'!W136</f>
        <v>Club sporting director / first-team office</v>
      </c>
      <c r="Z136" s="28" t="str">
        <f aca="false">'Player Data'!X136</f>
        <v>AUF (Uruguayan Football Association) player registry</v>
      </c>
      <c r="AA136" s="19" t="str">
        <f aca="false">HYPERLINK("https://www.transfermarkt.com/schnellsuche/ergebnis/schnellsuche?query="&amp;SUBSTITUTE(A136," ","+"),"Search Transfermarkt")</f>
        <v>Search Transfermarkt</v>
      </c>
      <c r="AB136" s="29" t="n">
        <f aca="false">IFERROR('Player Data'!K136/('Player Data'!K136+'Player Data'!L136),0)</f>
        <v>0.682170542635659</v>
      </c>
      <c r="AC136" s="21" t="str">
        <f aca="false">IF(B136="GK",IF(AND(O136&gt;=Assumptions!$B$23,N136&gt;=Assumptions!$B$23),"Sweeper-Keeper / Build-from-the-Back",IF(O136&gt;=Assumptions!$B$23,"Sweeper-Keeper / High Line",IF(M136&gt;=Assumptions!$B$23,"Shot-Stopper / Traditional","Flexible / Multi-System"))),IF(AND(O136&gt;=Assumptions!$B$23,P136&gt;=Assumptions!$B$24),"High Press / Gegenpressing",IF(AND(N136&gt;=Assumptions!$B$23,AB136&gt;=Assumptions!$B$25),"Possession / Build-from-the-Back",IF(N136&gt;=Assumptions!$B$23,"Counter-Attack / Transition",IF(AND(O136&gt;=Assumptions!$B$23,N136&lt;Assumptions!$B$26),"Low Block / Park the Bus",IF(AND(B136="FW",M136&gt;=Assumptions!$B$23,N136&lt;Assumptions!$B$26),"Direct / Target Approach","Flexible / Multi-System"))))))</f>
        <v>Flexible / Multi-System</v>
      </c>
      <c r="AD136" s="21" t="str">
        <f aca="false">'Player Data'!Y136</f>
        <v>2026-07-17</v>
      </c>
      <c r="AE136" s="21" t="str">
        <f aca="false">'Player Data'!Z136</f>
        <v>2026-07-17</v>
      </c>
      <c r="AF136" s="28" t="str">
        <f aca="false">IFERROR(INDEX(Assumptions!$B$30:$B$61,MATCH(C136,Assumptions!$A$30:$A$61,0)),"--")</f>
        <v>Argentina, Portugal</v>
      </c>
      <c r="AG136" s="30" t="str">
        <f aca="false">IF(R136&gt;=0.7,"Step-Up Candidate",IF(R136&gt;=0.4,"Lateral Move","Stay &amp; Develop"))</f>
        <v>Step-Up Candidate</v>
      </c>
    </row>
    <row r="137" customFormat="false" ht="23.85" hidden="false" customHeight="false" outlineLevel="0" collapsed="false">
      <c r="A137" s="21" t="str">
        <f aca="false">'Player Data'!A137</f>
        <v>Gentian Shala</v>
      </c>
      <c r="B137" s="21" t="str">
        <f aca="false">'Player Data'!F137</f>
        <v>FW</v>
      </c>
      <c r="C137" s="21" t="str">
        <f aca="false">'Player Data'!B137</f>
        <v>Albania</v>
      </c>
      <c r="D137" s="21" t="str">
        <f aca="false">'Player Data'!C137</f>
        <v>Albania Third Tier - North</v>
      </c>
      <c r="E137" s="21" t="n">
        <f aca="false">'Player Data'!D137</f>
        <v>2</v>
      </c>
      <c r="F137" s="21" t="n">
        <f aca="false">'Player Data'!G137</f>
        <v>24</v>
      </c>
      <c r="G137" s="21" t="n">
        <f aca="false">'Player Data'!H137</f>
        <v>1772</v>
      </c>
      <c r="H137" s="22" t="n">
        <f aca="false">IF(B137="GK",IFERROR(('Player Data'!N137-1.5*'Player Data'!O137)/'Player Data'!H137*90,0),IFERROR(('Player Data'!I137+'Player Data'!J137)/'Player Data'!H137*90,0))</f>
        <v>1.21896162528217</v>
      </c>
      <c r="I137" s="22" t="n">
        <f aca="false">IF(B137="GK",'Player Data'!P137,IFERROR(('Player Data'!K137+'Player Data'!L137)/'Player Data'!H137*90,0))</f>
        <v>4.82505643340858</v>
      </c>
      <c r="J137" s="22" t="n">
        <f aca="false">IF(B137="GK",IFERROR('Player Data'!Q137/'Player Data'!H137*90,0),IFERROR('Player Data'!M137/'Player Data'!H137*90,0))</f>
        <v>0.304740406320542</v>
      </c>
      <c r="K137" s="23" t="n">
        <f aca="false">'Player Data'!S137</f>
        <v>0</v>
      </c>
      <c r="L137" s="22" t="n">
        <f aca="false">INDEX(Assumptions!$B$13:$B$15,MATCH(E137,Assumptions!$A$13:$A$15,0))</f>
        <v>1</v>
      </c>
      <c r="M137" s="24" t="n">
        <f aca="false">IFERROR(SUMPRODUCT(($B$2:$B$1001=B137)*($H$2:$H$1001&lt;=H137))/SUMPRODUCT(($B$2:$B$1001=B137)*1),0)</f>
        <v>0.716814159292035</v>
      </c>
      <c r="N137" s="24" t="n">
        <f aca="false">IFERROR(SUMPRODUCT(($B$2:$B$1001=B137)*($I$2:$I$1001&lt;=I137))/SUMPRODUCT(($B$2:$B$1001=B137)*1),0)</f>
        <v>0.176991150442478</v>
      </c>
      <c r="O137" s="24" t="n">
        <f aca="false">IFERROR(SUMPRODUCT(($B$2:$B$1001=B137)*($J$2:$J$1001&lt;=J137))/SUMPRODUCT(($B$2:$B$1001=B137)*1),0)</f>
        <v>0.185840707964602</v>
      </c>
      <c r="P137" s="24" t="n">
        <f aca="false">IFERROR(SUMPRODUCT(($B$2:$B$1001=B137)*((0-$F$2:$F$1001)&lt;=(0-F137)))/SUMPRODUCT(($B$2:$B$1001=B137)*1),0)</f>
        <v>0.305309734513274</v>
      </c>
      <c r="Q137" s="25" t="n">
        <f aca="false">(M137*Assumptions!$B$5+N137*Assumptions!$B$6+O137*Assumptions!$B$7+P137*Assumptions!$B$8)*L137</f>
        <v>0.339380530973451</v>
      </c>
      <c r="R137" s="24" t="n">
        <f aca="false">IFERROR(SUMPRODUCT(($B$2:$B$1001=B137)*($Q$2:$Q$1001&lt;=Q137))/SUMPRODUCT(($B$2:$B$1001=B137)*1),0)</f>
        <v>0.336283185840708</v>
      </c>
      <c r="S137" s="24" t="n">
        <f aca="false">IFERROR(SUMPRODUCT(($B$2:$B$1001=B137)*($K$2:$K$1001&lt;=K137))/SUMPRODUCT(($B$2:$B$1001=B137)*1),0)</f>
        <v>0.261061946902655</v>
      </c>
      <c r="T137" s="26" t="n">
        <f aca="false">(R137-S137)*100</f>
        <v>7.52212389380531</v>
      </c>
      <c r="U137" s="21" t="str">
        <f aca="false">'Player Data'!T137</f>
        <v>Unknown</v>
      </c>
      <c r="V137" s="27" t="n">
        <f aca="false">'Player Data'!U137</f>
        <v>2026</v>
      </c>
      <c r="W137" s="21" t="str">
        <f aca="false">IF(AND(T137&gt;=Assumptions!$B$19,U137="No"),"High Priority - Unrepresented",IF(T137&gt;=Assumptions!$B$19,"High Priority",IF(AND(T137&gt;=Assumptions!$B$20,U137="No"),"Watchlist - Unrepresented",IF(T137&gt;=Assumptions!$B$20,"Watchlist",""))))</f>
        <v/>
      </c>
      <c r="X137" s="21" t="str">
        <f aca="false">'Player Data'!V137</f>
        <v>info@shkoderrovers.al</v>
      </c>
      <c r="Y137" s="28" t="str">
        <f aca="false">'Player Data'!W137</f>
        <v>Club sporting director / first-team office</v>
      </c>
      <c r="Z137" s="28" t="str">
        <f aca="false">'Player Data'!X137</f>
        <v>FSHF (Albanian Football Association) player registry</v>
      </c>
      <c r="AA137" s="19" t="str">
        <f aca="false">HYPERLINK("https://www.transfermarkt.com/schnellsuche/ergebnis/schnellsuche?query="&amp;SUBSTITUTE(A137," ","+"),"Search Transfermarkt")</f>
        <v>Search Transfermarkt</v>
      </c>
      <c r="AB137" s="29" t="n">
        <f aca="false">IFERROR('Player Data'!K137/('Player Data'!K137+'Player Data'!L137),0)</f>
        <v>0.389473684210526</v>
      </c>
      <c r="AC137" s="21" t="str">
        <f aca="false">IF(B137="GK",IF(AND(O137&gt;=Assumptions!$B$23,N137&gt;=Assumptions!$B$23),"Sweeper-Keeper / Build-from-the-Back",IF(O137&gt;=Assumptions!$B$23,"Sweeper-Keeper / High Line",IF(M137&gt;=Assumptions!$B$23,"Shot-Stopper / Traditional","Flexible / Multi-System"))),IF(AND(O137&gt;=Assumptions!$B$23,P137&gt;=Assumptions!$B$24),"High Press / Gegenpressing",IF(AND(N137&gt;=Assumptions!$B$23,AB137&gt;=Assumptions!$B$25),"Possession / Build-from-the-Back",IF(N137&gt;=Assumptions!$B$23,"Counter-Attack / Transition",IF(AND(O137&gt;=Assumptions!$B$23,N137&lt;Assumptions!$B$26),"Low Block / Park the Bus",IF(AND(B137="FW",M137&gt;=Assumptions!$B$23,N137&lt;Assumptions!$B$26),"Direct / Target Approach","Flexible / Multi-System"))))))</f>
        <v>Direct / Target Approach</v>
      </c>
      <c r="AD137" s="21" t="str">
        <f aca="false">'Player Data'!Y137</f>
        <v>2026-07-17</v>
      </c>
      <c r="AE137" s="21" t="str">
        <f aca="false">'Player Data'!Z137</f>
        <v>2026-07-17</v>
      </c>
      <c r="AF137" s="28" t="str">
        <f aca="false">IFERROR(INDEX(Assumptions!$B$30:$B$61,MATCH(C137,Assumptions!$A$30:$A$61,0)),"--")</f>
        <v>Turkey, Poland</v>
      </c>
      <c r="AG137" s="30" t="str">
        <f aca="false">IF(R137&gt;=0.7,"Step-Up Candidate",IF(R137&gt;=0.4,"Lateral Move","Stay &amp; Develop"))</f>
        <v>Stay &amp; Develop</v>
      </c>
    </row>
    <row r="138" customFormat="false" ht="23.85" hidden="false" customHeight="false" outlineLevel="0" collapsed="false">
      <c r="A138" s="21" t="str">
        <f aca="false">'Player Data'!A138</f>
        <v>Eric Mbia</v>
      </c>
      <c r="B138" s="21" t="str">
        <f aca="false">'Player Data'!F138</f>
        <v>DF</v>
      </c>
      <c r="C138" s="21" t="str">
        <f aca="false">'Player Data'!B138</f>
        <v>Cameroon</v>
      </c>
      <c r="D138" s="21" t="str">
        <f aca="false">'Player Data'!C138</f>
        <v>Cameroon Second Division - West</v>
      </c>
      <c r="E138" s="21" t="n">
        <f aca="false">'Player Data'!D138</f>
        <v>2</v>
      </c>
      <c r="F138" s="21" t="n">
        <f aca="false">'Player Data'!G138</f>
        <v>22</v>
      </c>
      <c r="G138" s="21" t="n">
        <f aca="false">'Player Data'!H138</f>
        <v>1571</v>
      </c>
      <c r="H138" s="22" t="n">
        <f aca="false">IF(B138="GK",IFERROR(('Player Data'!N138-1.5*'Player Data'!O138)/'Player Data'!H138*90,0),IFERROR(('Player Data'!I138+'Player Data'!J138)/'Player Data'!H138*90,0))</f>
        <v>0</v>
      </c>
      <c r="I138" s="22" t="n">
        <f aca="false">IF(B138="GK",'Player Data'!P138,IFERROR(('Player Data'!K138+'Player Data'!L138)/'Player Data'!H138*90,0))</f>
        <v>4.58306810948441</v>
      </c>
      <c r="J138" s="22" t="n">
        <f aca="false">IF(B138="GK",IFERROR('Player Data'!Q138/'Player Data'!H138*90,0),IFERROR('Player Data'!M138/'Player Data'!H138*90,0))</f>
        <v>5.90070019096117</v>
      </c>
      <c r="K138" s="23" t="n">
        <f aca="false">'Player Data'!S138</f>
        <v>117667</v>
      </c>
      <c r="L138" s="22" t="n">
        <f aca="false">INDEX(Assumptions!$B$13:$B$15,MATCH(E138,Assumptions!$A$13:$A$15,0))</f>
        <v>1</v>
      </c>
      <c r="M138" s="24" t="n">
        <f aca="false">IFERROR(SUMPRODUCT(($B$2:$B$1001=B138)*($H$2:$H$1001&lt;=H138))/SUMPRODUCT(($B$2:$B$1001=B138)*1),0)</f>
        <v>0.0408163265306122</v>
      </c>
      <c r="N138" s="24" t="n">
        <f aca="false">IFERROR(SUMPRODUCT(($B$2:$B$1001=B138)*($I$2:$I$1001&lt;=I138))/SUMPRODUCT(($B$2:$B$1001=B138)*1),0)</f>
        <v>0.527210884353742</v>
      </c>
      <c r="O138" s="24" t="n">
        <f aca="false">IFERROR(SUMPRODUCT(($B$2:$B$1001=B138)*($J$2:$J$1001&lt;=J138))/SUMPRODUCT(($B$2:$B$1001=B138)*1),0)</f>
        <v>0.598639455782313</v>
      </c>
      <c r="P138" s="24" t="n">
        <f aca="false">IFERROR(SUMPRODUCT(($B$2:$B$1001=B138)*((0-$F$2:$F$1001)&lt;=(0-F138)))/SUMPRODUCT(($B$2:$B$1001=B138)*1),0)</f>
        <v>0.493197278911565</v>
      </c>
      <c r="Q138" s="25" t="n">
        <f aca="false">(M138*Assumptions!$B$5+N138*Assumptions!$B$6+O138*Assumptions!$B$7+P138*Assumptions!$B$8)*L138</f>
        <v>0.413095238095238</v>
      </c>
      <c r="R138" s="24" t="n">
        <f aca="false">IFERROR(SUMPRODUCT(($B$2:$B$1001=B138)*($Q$2:$Q$1001&lt;=Q138))/SUMPRODUCT(($B$2:$B$1001=B138)*1),0)</f>
        <v>0.486394557823129</v>
      </c>
      <c r="S138" s="24" t="n">
        <f aca="false">IFERROR(SUMPRODUCT(($B$2:$B$1001=B138)*($K$2:$K$1001&lt;=K138))/SUMPRODUCT(($B$2:$B$1001=B138)*1),0)</f>
        <v>0.836734693877551</v>
      </c>
      <c r="T138" s="26" t="n">
        <f aca="false">(R138-S138)*100</f>
        <v>-35.0340136054422</v>
      </c>
      <c r="U138" s="21" t="str">
        <f aca="false">'Player Data'!T138</f>
        <v>Unknown</v>
      </c>
      <c r="V138" s="27" t="n">
        <f aca="false">'Player Data'!U138</f>
        <v>2028</v>
      </c>
      <c r="W138" s="21" t="str">
        <f aca="false">IF(AND(T138&gt;=Assumptions!$B$19,U138="No"),"High Priority - Unrepresented",IF(T138&gt;=Assumptions!$B$19,"High Priority",IF(AND(T138&gt;=Assumptions!$B$20,U138="No"),"Watchlist - Unrepresented",IF(T138&gt;=Assumptions!$B$20,"Watchlist",""))))</f>
        <v/>
      </c>
      <c r="X138" s="21" t="str">
        <f aca="false">'Player Data'!V138</f>
        <v>info@garouatown.cm</v>
      </c>
      <c r="Y138" s="28" t="str">
        <f aca="false">'Player Data'!W138</f>
        <v>Club sporting director / first-team office</v>
      </c>
      <c r="Z138" s="28" t="str">
        <f aca="false">'Player Data'!X138</f>
        <v>FECAFOOT (Cameroonian Football Federation) player registry</v>
      </c>
      <c r="AA138" s="19" t="str">
        <f aca="false">HYPERLINK("https://www.transfermarkt.com/schnellsuche/ergebnis/schnellsuche?query="&amp;SUBSTITUTE(A138," ","+"),"Search Transfermarkt")</f>
        <v>Search Transfermarkt</v>
      </c>
      <c r="AB138" s="29" t="n">
        <f aca="false">IFERROR('Player Data'!K138/('Player Data'!K138+'Player Data'!L138),0)</f>
        <v>0.6625</v>
      </c>
      <c r="AC138" s="21" t="str">
        <f aca="false">IF(B138="GK",IF(AND(O138&gt;=Assumptions!$B$23,N138&gt;=Assumptions!$B$23),"Sweeper-Keeper / Build-from-the-Back",IF(O138&gt;=Assumptions!$B$23,"Sweeper-Keeper / High Line",IF(M138&gt;=Assumptions!$B$23,"Shot-Stopper / Traditional","Flexible / Multi-System"))),IF(AND(O138&gt;=Assumptions!$B$23,P138&gt;=Assumptions!$B$24),"High Press / Gegenpressing",IF(AND(N138&gt;=Assumptions!$B$23,AB138&gt;=Assumptions!$B$25),"Possession / Build-from-the-Back",IF(N138&gt;=Assumptions!$B$23,"Counter-Attack / Transition",IF(AND(O138&gt;=Assumptions!$B$23,N138&lt;Assumptions!$B$26),"Low Block / Park the Bus",IF(AND(B138="FW",M138&gt;=Assumptions!$B$23,N138&lt;Assumptions!$B$26),"Direct / Target Approach","Flexible / Multi-System"))))))</f>
        <v>Flexible / Multi-System</v>
      </c>
      <c r="AD138" s="21" t="str">
        <f aca="false">'Player Data'!Y138</f>
        <v>2026-07-17</v>
      </c>
      <c r="AE138" s="21" t="str">
        <f aca="false">'Player Data'!Z138</f>
        <v>2026-07-17</v>
      </c>
      <c r="AF138" s="28" t="str">
        <f aca="false">IFERROR(INDEX(Assumptions!$B$30:$B$61,MATCH(C138,Assumptions!$A$30:$A$61,0)),"--")</f>
        <v>Belgium, Portugal</v>
      </c>
      <c r="AG138" s="30" t="str">
        <f aca="false">IF(R138&gt;=0.7,"Step-Up Candidate",IF(R138&gt;=0.4,"Lateral Move","Stay &amp; Develop"))</f>
        <v>Lateral Move</v>
      </c>
    </row>
    <row r="139" customFormat="false" ht="23.85" hidden="false" customHeight="false" outlineLevel="0" collapsed="false">
      <c r="A139" s="21" t="str">
        <f aca="false">'Player Data'!A139</f>
        <v>Vasil Trajkovski</v>
      </c>
      <c r="B139" s="21" t="str">
        <f aca="false">'Player Data'!F139</f>
        <v>GK</v>
      </c>
      <c r="C139" s="21" t="str">
        <f aca="false">'Player Data'!B139</f>
        <v>North Macedonia</v>
      </c>
      <c r="D139" s="21" t="str">
        <f aca="false">'Player Data'!C139</f>
        <v>North Macedonia Provincial League</v>
      </c>
      <c r="E139" s="21" t="n">
        <f aca="false">'Player Data'!D139</f>
        <v>2</v>
      </c>
      <c r="F139" s="21" t="n">
        <f aca="false">'Player Data'!G139</f>
        <v>24</v>
      </c>
      <c r="G139" s="21" t="n">
        <f aca="false">'Player Data'!H139</f>
        <v>2478</v>
      </c>
      <c r="H139" s="22" t="n">
        <f aca="false">IF(B139="GK",IFERROR(('Player Data'!N139-1.5*'Player Data'!O139)/'Player Data'!H139*90,0),IFERROR(('Player Data'!I139+'Player Data'!J139)/'Player Data'!H139*90,0))</f>
        <v>1.19854721549637</v>
      </c>
      <c r="I139" s="22" t="n">
        <f aca="false">IF(B139="GK",'Player Data'!P139,IFERROR(('Player Data'!K139+'Player Data'!L139)/'Player Data'!H139*90,0))</f>
        <v>87.8</v>
      </c>
      <c r="J139" s="22" t="n">
        <f aca="false">IF(B139="GK",IFERROR('Player Data'!Q139/'Player Data'!H139*90,0),IFERROR('Player Data'!M139/'Player Data'!H139*90,0))</f>
        <v>0.268765133171913</v>
      </c>
      <c r="K139" s="23" t="n">
        <f aca="false">'Player Data'!S139</f>
        <v>17455</v>
      </c>
      <c r="L139" s="22" t="n">
        <f aca="false">INDEX(Assumptions!$B$13:$B$15,MATCH(E139,Assumptions!$A$13:$A$15,0))</f>
        <v>1</v>
      </c>
      <c r="M139" s="24" t="n">
        <f aca="false">IFERROR(SUMPRODUCT(($B$2:$B$1001=B139)*($H$2:$H$1001&lt;=H139))/SUMPRODUCT(($B$2:$B$1001=B139)*1),0)</f>
        <v>0.530054644808743</v>
      </c>
      <c r="N139" s="24" t="n">
        <f aca="false">IFERROR(SUMPRODUCT(($B$2:$B$1001=B139)*($I$2:$I$1001&lt;=I139))/SUMPRODUCT(($B$2:$B$1001=B139)*1),0)</f>
        <v>0.912568306010929</v>
      </c>
      <c r="O139" s="24" t="n">
        <f aca="false">IFERROR(SUMPRODUCT(($B$2:$B$1001=B139)*($J$2:$J$1001&lt;=J139))/SUMPRODUCT(($B$2:$B$1001=B139)*1),0)</f>
        <v>0.114754098360656</v>
      </c>
      <c r="P139" s="24" t="n">
        <f aca="false">IFERROR(SUMPRODUCT(($B$2:$B$1001=B139)*((0-$F$2:$F$1001)&lt;=(0-F139)))/SUMPRODUCT(($B$2:$B$1001=B139)*1),0)</f>
        <v>0.300546448087432</v>
      </c>
      <c r="Q139" s="25" t="n">
        <f aca="false">(M139*Assumptions!$B$5+N139*Assumptions!$B$6+O139*Assumptions!$B$7+P139*Assumptions!$B$8)*L139</f>
        <v>0.534972677595628</v>
      </c>
      <c r="R139" s="24" t="n">
        <f aca="false">IFERROR(SUMPRODUCT(($B$2:$B$1001=B139)*($Q$2:$Q$1001&lt;=Q139))/SUMPRODUCT(($B$2:$B$1001=B139)*1),0)</f>
        <v>0.699453551912568</v>
      </c>
      <c r="S139" s="24" t="n">
        <f aca="false">IFERROR(SUMPRODUCT(($B$2:$B$1001=B139)*($K$2:$K$1001&lt;=K139))/SUMPRODUCT(($B$2:$B$1001=B139)*1),0)</f>
        <v>0.26775956284153</v>
      </c>
      <c r="T139" s="26" t="n">
        <f aca="false">(R139-S139)*100</f>
        <v>43.1693989071038</v>
      </c>
      <c r="U139" s="21" t="str">
        <f aca="false">'Player Data'!T139</f>
        <v>No</v>
      </c>
      <c r="V139" s="27" t="n">
        <f aca="false">'Player Data'!U139</f>
        <v>2027</v>
      </c>
      <c r="W139" s="21" t="str">
        <f aca="false">IF(AND(T139&gt;=Assumptions!$B$19,U139="No"),"High Priority - Unrepresented",IF(T139&gt;=Assumptions!$B$19,"High Priority",IF(AND(T139&gt;=Assumptions!$B$20,U139="No"),"Watchlist - Unrepresented",IF(T139&gt;=Assumptions!$B$20,"Watchlist",""))))</f>
        <v>High Priority - Unrepresented</v>
      </c>
      <c r="X139" s="21" t="str">
        <f aca="false">'Player Data'!V139</f>
        <v>info@bitolacity.mk</v>
      </c>
      <c r="Y139" s="28" t="str">
        <f aca="false">'Player Data'!W139</f>
        <v>Club sporting director / first-team office</v>
      </c>
      <c r="Z139" s="28" t="str">
        <f aca="false">'Player Data'!X139</f>
        <v>FFM (Football Federation of North Macedonia) player registry</v>
      </c>
      <c r="AA139" s="19" t="str">
        <f aca="false">HYPERLINK("https://www.transfermarkt.com/schnellsuche/ergebnis/schnellsuche?query="&amp;SUBSTITUTE(A139," ","+"),"Search Transfermarkt")</f>
        <v>Search Transfermarkt</v>
      </c>
      <c r="AB139" s="29" t="n">
        <f aca="false">IFERROR('Player Data'!K139/('Player Data'!K139+'Player Data'!L139),0)</f>
        <v>0.952380952380952</v>
      </c>
      <c r="AC139" s="21" t="str">
        <f aca="false">IF(B139="GK",IF(AND(O139&gt;=Assumptions!$B$23,N139&gt;=Assumptions!$B$23),"Sweeper-Keeper / Build-from-the-Back",IF(O139&gt;=Assumptions!$B$23,"Sweeper-Keeper / High Line",IF(M139&gt;=Assumptions!$B$23,"Shot-Stopper / Traditional","Flexible / Multi-System"))),IF(AND(O139&gt;=Assumptions!$B$23,P139&gt;=Assumptions!$B$24),"High Press / Gegenpressing",IF(AND(N139&gt;=Assumptions!$B$23,AB139&gt;=Assumptions!$B$25),"Possession / Build-from-the-Back",IF(N139&gt;=Assumptions!$B$23,"Counter-Attack / Transition",IF(AND(O139&gt;=Assumptions!$B$23,N139&lt;Assumptions!$B$26),"Low Block / Park the Bus",IF(AND(B139="FW",M139&gt;=Assumptions!$B$23,N139&lt;Assumptions!$B$26),"Direct / Target Approach","Flexible / Multi-System"))))))</f>
        <v>Flexible / Multi-System</v>
      </c>
      <c r="AD139" s="21" t="str">
        <f aca="false">'Player Data'!Y139</f>
        <v>2026-07-17</v>
      </c>
      <c r="AE139" s="21" t="str">
        <f aca="false">'Player Data'!Z139</f>
        <v>2026-07-17</v>
      </c>
      <c r="AF139" s="28" t="str">
        <f aca="false">IFERROR(INDEX(Assumptions!$B$30:$B$61,MATCH(C139,Assumptions!$A$30:$A$61,0)),"--")</f>
        <v>Austria, Turkey</v>
      </c>
      <c r="AG139" s="30" t="str">
        <f aca="false">IF(R139&gt;=0.7,"Step-Up Candidate",IF(R139&gt;=0.4,"Lateral Move","Stay &amp; Develop"))</f>
        <v>Lateral Move</v>
      </c>
    </row>
    <row r="140" customFormat="false" ht="23.85" hidden="false" customHeight="false" outlineLevel="0" collapsed="false">
      <c r="A140" s="21" t="str">
        <f aca="false">'Player Data'!A140</f>
        <v>Tim Kovac</v>
      </c>
      <c r="B140" s="21" t="str">
        <f aca="false">'Player Data'!F140</f>
        <v>GK</v>
      </c>
      <c r="C140" s="21" t="str">
        <f aca="false">'Player Data'!B140</f>
        <v>Slovenia</v>
      </c>
      <c r="D140" s="21" t="str">
        <f aca="false">'Player Data'!C140</f>
        <v>Slovenia Third Tier - South</v>
      </c>
      <c r="E140" s="21" t="n">
        <f aca="false">'Player Data'!D140</f>
        <v>4</v>
      </c>
      <c r="F140" s="21" t="n">
        <f aca="false">'Player Data'!G140</f>
        <v>20</v>
      </c>
      <c r="G140" s="21" t="n">
        <f aca="false">'Player Data'!H140</f>
        <v>1308</v>
      </c>
      <c r="H140" s="22" t="n">
        <f aca="false">IF(B140="GK",IFERROR(('Player Data'!N140-1.5*'Player Data'!O140)/'Player Data'!H140*90,0),IFERROR(('Player Data'!I140+'Player Data'!J140)/'Player Data'!H140*90,0))</f>
        <v>2.09862385321101</v>
      </c>
      <c r="I140" s="22" t="n">
        <f aca="false">IF(B140="GK",'Player Data'!P140,IFERROR(('Player Data'!K140+'Player Data'!L140)/'Player Data'!H140*90,0))</f>
        <v>76.3</v>
      </c>
      <c r="J140" s="22" t="n">
        <f aca="false">IF(B140="GK",IFERROR('Player Data'!Q140/'Player Data'!H140*90,0),IFERROR('Player Data'!M140/'Player Data'!H140*90,0))</f>
        <v>0.983944954128441</v>
      </c>
      <c r="K140" s="23" t="n">
        <f aca="false">'Player Data'!S140</f>
        <v>126449</v>
      </c>
      <c r="L140" s="22" t="n">
        <f aca="false">INDEX(Assumptions!$B$13:$B$15,MATCH(E140,Assumptions!$A$13:$A$15,0))</f>
        <v>0.7</v>
      </c>
      <c r="M140" s="24" t="n">
        <f aca="false">IFERROR(SUMPRODUCT(($B$2:$B$1001=B140)*($H$2:$H$1001&lt;=H140))/SUMPRODUCT(($B$2:$B$1001=B140)*1),0)</f>
        <v>0.934426229508197</v>
      </c>
      <c r="N140" s="24" t="n">
        <f aca="false">IFERROR(SUMPRODUCT(($B$2:$B$1001=B140)*($I$2:$I$1001&lt;=I140))/SUMPRODUCT(($B$2:$B$1001=B140)*1),0)</f>
        <v>0.59016393442623</v>
      </c>
      <c r="O140" s="24" t="n">
        <f aca="false">IFERROR(SUMPRODUCT(($B$2:$B$1001=B140)*($J$2:$J$1001&lt;=J140))/SUMPRODUCT(($B$2:$B$1001=B140)*1),0)</f>
        <v>0.60655737704918</v>
      </c>
      <c r="P140" s="24" t="n">
        <f aca="false">IFERROR(SUMPRODUCT(($B$2:$B$1001=B140)*((0-$F$2:$F$1001)&lt;=(0-F140)))/SUMPRODUCT(($B$2:$B$1001=B140)*1),0)</f>
        <v>0.677595628415301</v>
      </c>
      <c r="Q140" s="25" t="n">
        <f aca="false">(M140*Assumptions!$B$5+N140*Assumptions!$B$6+O140*Assumptions!$B$7+P140*Assumptions!$B$8)*L140</f>
        <v>0.487896174863388</v>
      </c>
      <c r="R140" s="24" t="n">
        <f aca="false">IFERROR(SUMPRODUCT(($B$2:$B$1001=B140)*($Q$2:$Q$1001&lt;=Q140))/SUMPRODUCT(($B$2:$B$1001=B140)*1),0)</f>
        <v>0.584699453551913</v>
      </c>
      <c r="S140" s="24" t="n">
        <f aca="false">IFERROR(SUMPRODUCT(($B$2:$B$1001=B140)*($K$2:$K$1001&lt;=K140))/SUMPRODUCT(($B$2:$B$1001=B140)*1),0)</f>
        <v>0.852459016393443</v>
      </c>
      <c r="T140" s="26" t="n">
        <f aca="false">(R140-S140)*100</f>
        <v>-26.775956284153</v>
      </c>
      <c r="U140" s="21" t="str">
        <f aca="false">'Player Data'!T140</f>
        <v>Unknown</v>
      </c>
      <c r="V140" s="27" t="n">
        <f aca="false">'Player Data'!U140</f>
        <v>2029</v>
      </c>
      <c r="W140" s="21" t="str">
        <f aca="false">IF(AND(T140&gt;=Assumptions!$B$19,U140="No"),"High Priority - Unrepresented",IF(T140&gt;=Assumptions!$B$19,"High Priority",IF(AND(T140&gt;=Assumptions!$B$20,U140="No"),"Watchlist - Unrepresented",IF(T140&gt;=Assumptions!$B$20,"Watchlist",""))))</f>
        <v/>
      </c>
      <c r="X140" s="21" t="str">
        <f aca="false">'Player Data'!V140</f>
        <v>info@mariborwanderers.si</v>
      </c>
      <c r="Y140" s="28" t="str">
        <f aca="false">'Player Data'!W140</f>
        <v>Club sporting director / first-team office</v>
      </c>
      <c r="Z140" s="28" t="str">
        <f aca="false">'Player Data'!X140</f>
        <v>NZS (Football Association of Slovenia) player registry</v>
      </c>
      <c r="AA140" s="19" t="str">
        <f aca="false">HYPERLINK("https://www.transfermarkt.com/schnellsuche/ergebnis/schnellsuche?query="&amp;SUBSTITUTE(A140," ","+"),"Search Transfermarkt")</f>
        <v>Search Transfermarkt</v>
      </c>
      <c r="AB140" s="29" t="n">
        <f aca="false">IFERROR('Player Data'!K140/('Player Data'!K140+'Player Data'!L140),0)</f>
        <v>0.952380952380952</v>
      </c>
      <c r="AC140" s="21" t="str">
        <f aca="false">IF(B140="GK",IF(AND(O140&gt;=Assumptions!$B$23,N140&gt;=Assumptions!$B$23),"Sweeper-Keeper / Build-from-the-Back",IF(O140&gt;=Assumptions!$B$23,"Sweeper-Keeper / High Line",IF(M140&gt;=Assumptions!$B$23,"Shot-Stopper / Traditional","Flexible / Multi-System"))),IF(AND(O140&gt;=Assumptions!$B$23,P140&gt;=Assumptions!$B$24),"High Press / Gegenpressing",IF(AND(N140&gt;=Assumptions!$B$23,AB140&gt;=Assumptions!$B$25),"Possession / Build-from-the-Back",IF(N140&gt;=Assumptions!$B$23,"Counter-Attack / Transition",IF(AND(O140&gt;=Assumptions!$B$23,N140&lt;Assumptions!$B$26),"Low Block / Park the Bus",IF(AND(B140="FW",M140&gt;=Assumptions!$B$23,N140&lt;Assumptions!$B$26),"Direct / Target Approach","Flexible / Multi-System"))))))</f>
        <v>Shot-Stopper / Traditional</v>
      </c>
      <c r="AD140" s="21" t="str">
        <f aca="false">'Player Data'!Y140</f>
        <v>2026-07-17</v>
      </c>
      <c r="AE140" s="21" t="str">
        <f aca="false">'Player Data'!Z140</f>
        <v>2026-07-17</v>
      </c>
      <c r="AF140" s="28" t="str">
        <f aca="false">IFERROR(INDEX(Assumptions!$B$30:$B$61,MATCH(C140,Assumptions!$A$30:$A$61,0)),"--")</f>
        <v>Austria, Poland</v>
      </c>
      <c r="AG140" s="30" t="str">
        <f aca="false">IF(R140&gt;=0.7,"Step-Up Candidate",IF(R140&gt;=0.4,"Lateral Move","Stay &amp; Develop"))</f>
        <v>Lateral Move</v>
      </c>
    </row>
    <row r="141" customFormat="false" ht="23.85" hidden="false" customHeight="false" outlineLevel="0" collapsed="false">
      <c r="A141" s="21" t="str">
        <f aca="false">'Player Data'!A141</f>
        <v>Kevin Martinez</v>
      </c>
      <c r="B141" s="21" t="str">
        <f aca="false">'Player Data'!F141</f>
        <v>MF</v>
      </c>
      <c r="C141" s="21" t="str">
        <f aca="false">'Player Data'!B141</f>
        <v>Honduras</v>
      </c>
      <c r="D141" s="21" t="str">
        <f aca="false">'Player Data'!C141</f>
        <v>Honduras Amateur League</v>
      </c>
      <c r="E141" s="21" t="n">
        <f aca="false">'Player Data'!D141</f>
        <v>2</v>
      </c>
      <c r="F141" s="21" t="n">
        <f aca="false">'Player Data'!G141</f>
        <v>22</v>
      </c>
      <c r="G141" s="21" t="n">
        <f aca="false">'Player Data'!H141</f>
        <v>2196</v>
      </c>
      <c r="H141" s="22" t="n">
        <f aca="false">IF(B141="GK",IFERROR(('Player Data'!N141-1.5*'Player Data'!O141)/'Player Data'!H141*90,0),IFERROR(('Player Data'!I141+'Player Data'!J141)/'Player Data'!H141*90,0))</f>
        <v>0.819672131147541</v>
      </c>
      <c r="I141" s="22" t="n">
        <f aca="false">IF(B141="GK",'Player Data'!P141,IFERROR(('Player Data'!K141+'Player Data'!L141)/'Player Data'!H141*90,0))</f>
        <v>8.31967213114754</v>
      </c>
      <c r="J141" s="22" t="n">
        <f aca="false">IF(B141="GK",IFERROR('Player Data'!Q141/'Player Data'!H141*90,0),IFERROR('Player Data'!M141/'Player Data'!H141*90,0))</f>
        <v>2.29508196721312</v>
      </c>
      <c r="K141" s="23" t="n">
        <f aca="false">'Player Data'!S141</f>
        <v>37980</v>
      </c>
      <c r="L141" s="22" t="n">
        <f aca="false">INDEX(Assumptions!$B$13:$B$15,MATCH(E141,Assumptions!$A$13:$A$15,0))</f>
        <v>1</v>
      </c>
      <c r="M141" s="24" t="n">
        <f aca="false">IFERROR(SUMPRODUCT(($B$2:$B$1001=B141)*($H$2:$H$1001&lt;=H141))/SUMPRODUCT(($B$2:$B$1001=B141)*1),0)</f>
        <v>0.616161616161616</v>
      </c>
      <c r="N141" s="24" t="n">
        <f aca="false">IFERROR(SUMPRODUCT(($B$2:$B$1001=B141)*($I$2:$I$1001&lt;=I141))/SUMPRODUCT(($B$2:$B$1001=B141)*1),0)</f>
        <v>0.188552188552189</v>
      </c>
      <c r="O141" s="24" t="n">
        <f aca="false">IFERROR(SUMPRODUCT(($B$2:$B$1001=B141)*($J$2:$J$1001&lt;=J141))/SUMPRODUCT(($B$2:$B$1001=B141)*1),0)</f>
        <v>0.565656565656566</v>
      </c>
      <c r="P141" s="24" t="n">
        <f aca="false">IFERROR(SUMPRODUCT(($B$2:$B$1001=B141)*((0-$F$2:$F$1001)&lt;=(0-F141)))/SUMPRODUCT(($B$2:$B$1001=B141)*1),0)</f>
        <v>0.515151515151515</v>
      </c>
      <c r="Q141" s="25" t="n">
        <f aca="false">(M141*Assumptions!$B$5+N141*Assumptions!$B$6+O141*Assumptions!$B$7+P141*Assumptions!$B$8)*L141</f>
        <v>0.436195286195286</v>
      </c>
      <c r="R141" s="24" t="n">
        <f aca="false">IFERROR(SUMPRODUCT(($B$2:$B$1001=B141)*($Q$2:$Q$1001&lt;=Q141))/SUMPRODUCT(($B$2:$B$1001=B141)*1),0)</f>
        <v>0.494949494949495</v>
      </c>
      <c r="S141" s="24" t="n">
        <f aca="false">IFERROR(SUMPRODUCT(($B$2:$B$1001=B141)*($K$2:$K$1001&lt;=K141))/SUMPRODUCT(($B$2:$B$1001=B141)*1),0)</f>
        <v>0.363636363636364</v>
      </c>
      <c r="T141" s="26" t="n">
        <f aca="false">(R141-S141)*100</f>
        <v>13.1313131313131</v>
      </c>
      <c r="U141" s="21" t="str">
        <f aca="false">'Player Data'!T141</f>
        <v>No</v>
      </c>
      <c r="V141" s="27" t="n">
        <f aca="false">'Player Data'!U141</f>
        <v>2029</v>
      </c>
      <c r="W141" s="21" t="str">
        <f aca="false">IF(AND(T141&gt;=Assumptions!$B$19,U141="No"),"High Priority - Unrepresented",IF(T141&gt;=Assumptions!$B$19,"High Priority",IF(AND(T141&gt;=Assumptions!$B$20,U141="No"),"Watchlist - Unrepresented",IF(T141&gt;=Assumptions!$B$20,"Watchlist",""))))</f>
        <v/>
      </c>
      <c r="X141" s="21" t="str">
        <f aca="false">'Player Data'!V141</f>
        <v>info@cholutecaathletic.hn</v>
      </c>
      <c r="Y141" s="28" t="str">
        <f aca="false">'Player Data'!W141</f>
        <v>Club sporting director / first-team office</v>
      </c>
      <c r="Z141" s="28" t="str">
        <f aca="false">'Player Data'!X141</f>
        <v>FENAFUTH (Honduran Football Federation) player registry</v>
      </c>
      <c r="AA141" s="19" t="str">
        <f aca="false">HYPERLINK("https://www.transfermarkt.com/schnellsuche/ergebnis/schnellsuche?query="&amp;SUBSTITUTE(A141," ","+"),"Search Transfermarkt")</f>
        <v>Search Transfermarkt</v>
      </c>
      <c r="AB141" s="29" t="n">
        <f aca="false">IFERROR('Player Data'!K141/('Player Data'!K141+'Player Data'!L141),0)</f>
        <v>0.566502463054187</v>
      </c>
      <c r="AC141" s="21" t="str">
        <f aca="false">IF(B141="GK",IF(AND(O141&gt;=Assumptions!$B$23,N141&gt;=Assumptions!$B$23),"Sweeper-Keeper / Build-from-the-Back",IF(O141&gt;=Assumptions!$B$23,"Sweeper-Keeper / High Line",IF(M141&gt;=Assumptions!$B$23,"Shot-Stopper / Traditional","Flexible / Multi-System"))),IF(AND(O141&gt;=Assumptions!$B$23,P141&gt;=Assumptions!$B$24),"High Press / Gegenpressing",IF(AND(N141&gt;=Assumptions!$B$23,AB141&gt;=Assumptions!$B$25),"Possession / Build-from-the-Back",IF(N141&gt;=Assumptions!$B$23,"Counter-Attack / Transition",IF(AND(O141&gt;=Assumptions!$B$23,N141&lt;Assumptions!$B$26),"Low Block / Park the Bus",IF(AND(B141="FW",M141&gt;=Assumptions!$B$23,N141&lt;Assumptions!$B$26),"Direct / Target Approach","Flexible / Multi-System"))))))</f>
        <v>Flexible / Multi-System</v>
      </c>
      <c r="AD141" s="21" t="str">
        <f aca="false">'Player Data'!Y141</f>
        <v>2026-07-17</v>
      </c>
      <c r="AE141" s="21" t="str">
        <f aca="false">'Player Data'!Z141</f>
        <v>2026-07-17</v>
      </c>
      <c r="AF141" s="28" t="str">
        <f aca="false">IFERROR(INDEX(Assumptions!$B$30:$B$61,MATCH(C141,Assumptions!$A$30:$A$61,0)),"--")</f>
        <v>Mexico, United States</v>
      </c>
      <c r="AG141" s="30" t="str">
        <f aca="false">IF(R141&gt;=0.7,"Step-Up Candidate",IF(R141&gt;=0.4,"Lateral Move","Stay &amp; Develop"))</f>
        <v>Lateral Move</v>
      </c>
    </row>
    <row r="142" customFormat="false" ht="23.85" hidden="false" customHeight="false" outlineLevel="0" collapsed="false">
      <c r="A142" s="21" t="str">
        <f aca="false">'Player Data'!A142</f>
        <v>Franco Martinez</v>
      </c>
      <c r="B142" s="21" t="str">
        <f aca="false">'Player Data'!F142</f>
        <v>DF</v>
      </c>
      <c r="C142" s="21" t="str">
        <f aca="false">'Player Data'!B142</f>
        <v>Bolivia</v>
      </c>
      <c r="D142" s="21" t="str">
        <f aca="false">'Player Data'!C142</f>
        <v>Bolivia Second Division</v>
      </c>
      <c r="E142" s="21" t="n">
        <f aca="false">'Player Data'!D142</f>
        <v>3</v>
      </c>
      <c r="F142" s="21" t="n">
        <f aca="false">'Player Data'!G142</f>
        <v>25</v>
      </c>
      <c r="G142" s="21" t="n">
        <f aca="false">'Player Data'!H142</f>
        <v>1421</v>
      </c>
      <c r="H142" s="22" t="n">
        <f aca="false">IF(B142="GK",IFERROR(('Player Data'!N142-1.5*'Player Data'!O142)/'Player Data'!H142*90,0),IFERROR(('Player Data'!I142+'Player Data'!J142)/'Player Data'!H142*90,0))</f>
        <v>0.126671358198452</v>
      </c>
      <c r="I142" s="22" t="n">
        <f aca="false">IF(B142="GK",'Player Data'!P142,IFERROR(('Player Data'!K142+'Player Data'!L142)/'Player Data'!H142*90,0))</f>
        <v>5.89021815622801</v>
      </c>
      <c r="J142" s="22" t="n">
        <f aca="false">IF(B142="GK",IFERROR('Player Data'!Q142/'Player Data'!H142*90,0),IFERROR('Player Data'!M142/'Player Data'!H142*90,0))</f>
        <v>6.27023223082336</v>
      </c>
      <c r="K142" s="23" t="n">
        <f aca="false">'Player Data'!S142</f>
        <v>94372</v>
      </c>
      <c r="L142" s="22" t="n">
        <f aca="false">INDEX(Assumptions!$B$13:$B$15,MATCH(E142,Assumptions!$A$13:$A$15,0))</f>
        <v>0.85</v>
      </c>
      <c r="M142" s="24" t="n">
        <f aca="false">IFERROR(SUMPRODUCT(($B$2:$B$1001=B142)*($H$2:$H$1001&lt;=H142))/SUMPRODUCT(($B$2:$B$1001=B142)*1),0)</f>
        <v>0.289115646258503</v>
      </c>
      <c r="N142" s="24" t="n">
        <f aca="false">IFERROR(SUMPRODUCT(($B$2:$B$1001=B142)*($I$2:$I$1001&lt;=I142))/SUMPRODUCT(($B$2:$B$1001=B142)*1),0)</f>
        <v>0.727891156462585</v>
      </c>
      <c r="O142" s="24" t="n">
        <f aca="false">IFERROR(SUMPRODUCT(($B$2:$B$1001=B142)*($J$2:$J$1001&lt;=J142))/SUMPRODUCT(($B$2:$B$1001=B142)*1),0)</f>
        <v>0.663265306122449</v>
      </c>
      <c r="P142" s="24" t="n">
        <f aca="false">IFERROR(SUMPRODUCT(($B$2:$B$1001=B142)*((0-$F$2:$F$1001)&lt;=(0-F142)))/SUMPRODUCT(($B$2:$B$1001=B142)*1),0)</f>
        <v>0.146258503401361</v>
      </c>
      <c r="Q142" s="25" t="n">
        <f aca="false">(M142*Assumptions!$B$5+N142*Assumptions!$B$6+O142*Assumptions!$B$7+P142*Assumptions!$B$8)*L142</f>
        <v>0.415603741496599</v>
      </c>
      <c r="R142" s="24" t="n">
        <f aca="false">IFERROR(SUMPRODUCT(($B$2:$B$1001=B142)*($Q$2:$Q$1001&lt;=Q142))/SUMPRODUCT(($B$2:$B$1001=B142)*1),0)</f>
        <v>0.493197278911565</v>
      </c>
      <c r="S142" s="24" t="n">
        <f aca="false">IFERROR(SUMPRODUCT(($B$2:$B$1001=B142)*($K$2:$K$1001&lt;=K142))/SUMPRODUCT(($B$2:$B$1001=B142)*1),0)</f>
        <v>0.700680272108844</v>
      </c>
      <c r="T142" s="26" t="n">
        <f aca="false">(R142-S142)*100</f>
        <v>-20.7482993197279</v>
      </c>
      <c r="U142" s="21" t="str">
        <f aca="false">'Player Data'!T142</f>
        <v>No</v>
      </c>
      <c r="V142" s="27" t="n">
        <f aca="false">'Player Data'!U142</f>
        <v>2028</v>
      </c>
      <c r="W142" s="21" t="str">
        <f aca="false">IF(AND(T142&gt;=Assumptions!$B$19,U142="No"),"High Priority - Unrepresented",IF(T142&gt;=Assumptions!$B$19,"High Priority",IF(AND(T142&gt;=Assumptions!$B$20,U142="No"),"Watchlist - Unrepresented",IF(T142&gt;=Assumptions!$B$20,"Watchlist",""))))</f>
        <v/>
      </c>
      <c r="X142" s="21" t="str">
        <f aca="false">'Player Data'!V142</f>
        <v>info@lapazsc.bo</v>
      </c>
      <c r="Y142" s="28" t="str">
        <f aca="false">'Player Data'!W142</f>
        <v>Club sporting director / first-team office</v>
      </c>
      <c r="Z142" s="28" t="str">
        <f aca="false">'Player Data'!X142</f>
        <v>FBF (Bolivian Football Federation) player registry</v>
      </c>
      <c r="AA142" s="19" t="str">
        <f aca="false">HYPERLINK("https://www.transfermarkt.com/schnellsuche/ergebnis/schnellsuche?query="&amp;SUBSTITUTE(A142," ","+"),"Search Transfermarkt")</f>
        <v>Search Transfermarkt</v>
      </c>
      <c r="AB142" s="29" t="n">
        <f aca="false">IFERROR('Player Data'!K142/('Player Data'!K142+'Player Data'!L142),0)</f>
        <v>0.537634408602151</v>
      </c>
      <c r="AC142" s="21" t="str">
        <f aca="false">IF(B142="GK",IF(AND(O142&gt;=Assumptions!$B$23,N142&gt;=Assumptions!$B$23),"Sweeper-Keeper / Build-from-the-Back",IF(O142&gt;=Assumptions!$B$23,"Sweeper-Keeper / High Line",IF(M142&gt;=Assumptions!$B$23,"Shot-Stopper / Traditional","Flexible / Multi-System"))),IF(AND(O142&gt;=Assumptions!$B$23,P142&gt;=Assumptions!$B$24),"High Press / Gegenpressing",IF(AND(N142&gt;=Assumptions!$B$23,AB142&gt;=Assumptions!$B$25),"Possession / Build-from-the-Back",IF(N142&gt;=Assumptions!$B$23,"Counter-Attack / Transition",IF(AND(O142&gt;=Assumptions!$B$23,N142&lt;Assumptions!$B$26),"Low Block / Park the Bus",IF(AND(B142="FW",M142&gt;=Assumptions!$B$23,N142&lt;Assumptions!$B$26),"Direct / Target Approach","Flexible / Multi-System"))))))</f>
        <v>Counter-Attack / Transition</v>
      </c>
      <c r="AD142" s="21" t="str">
        <f aca="false">'Player Data'!Y142</f>
        <v>2026-07-17</v>
      </c>
      <c r="AE142" s="21" t="str">
        <f aca="false">'Player Data'!Z142</f>
        <v>2026-07-17</v>
      </c>
      <c r="AF142" s="28" t="str">
        <f aca="false">IFERROR(INDEX(Assumptions!$B$30:$B$61,MATCH(C142,Assumptions!$A$30:$A$61,0)),"--")</f>
        <v>Argentina, Portugal</v>
      </c>
      <c r="AG142" s="30" t="str">
        <f aca="false">IF(R142&gt;=0.7,"Step-Up Candidate",IF(R142&gt;=0.4,"Lateral Move","Stay &amp; Develop"))</f>
        <v>Lateral Move</v>
      </c>
    </row>
    <row r="143" customFormat="false" ht="23.85" hidden="false" customHeight="false" outlineLevel="0" collapsed="false">
      <c r="A143" s="21" t="str">
        <f aca="false">'Player Data'!A143</f>
        <v>Bjarni Petursson</v>
      </c>
      <c r="B143" s="21" t="str">
        <f aca="false">'Player Data'!F143</f>
        <v>DF</v>
      </c>
      <c r="C143" s="21" t="str">
        <f aca="false">'Player Data'!B143</f>
        <v>Iceland</v>
      </c>
      <c r="D143" s="21" t="str">
        <f aca="false">'Player Data'!C143</f>
        <v>Iceland Provincial League</v>
      </c>
      <c r="E143" s="21" t="n">
        <f aca="false">'Player Data'!D143</f>
        <v>2</v>
      </c>
      <c r="F143" s="21" t="n">
        <f aca="false">'Player Data'!G143</f>
        <v>17</v>
      </c>
      <c r="G143" s="21" t="n">
        <f aca="false">'Player Data'!H143</f>
        <v>2135</v>
      </c>
      <c r="H143" s="22" t="n">
        <f aca="false">IF(B143="GK",IFERROR(('Player Data'!N143-1.5*'Player Data'!O143)/'Player Data'!H143*90,0),IFERROR(('Player Data'!I143+'Player Data'!J143)/'Player Data'!H143*90,0))</f>
        <v>0.126463700234192</v>
      </c>
      <c r="I143" s="22" t="n">
        <f aca="false">IF(B143="GK",'Player Data'!P143,IFERROR(('Player Data'!K143+'Player Data'!L143)/'Player Data'!H143*90,0))</f>
        <v>4.13114754098361</v>
      </c>
      <c r="J143" s="22" t="n">
        <f aca="false">IF(B143="GK",IFERROR('Player Data'!Q143/'Player Data'!H143*90,0),IFERROR('Player Data'!M143/'Player Data'!H143*90,0))</f>
        <v>3.62529274004684</v>
      </c>
      <c r="K143" s="23" t="n">
        <f aca="false">'Player Data'!S143</f>
        <v>125584</v>
      </c>
      <c r="L143" s="22" t="n">
        <f aca="false">INDEX(Assumptions!$B$13:$B$15,MATCH(E143,Assumptions!$A$13:$A$15,0))</f>
        <v>1</v>
      </c>
      <c r="M143" s="24" t="n">
        <f aca="false">IFERROR(SUMPRODUCT(($B$2:$B$1001=B143)*($H$2:$H$1001&lt;=H143))/SUMPRODUCT(($B$2:$B$1001=B143)*1),0)</f>
        <v>0.285714285714286</v>
      </c>
      <c r="N143" s="24" t="n">
        <f aca="false">IFERROR(SUMPRODUCT(($B$2:$B$1001=B143)*($I$2:$I$1001&lt;=I143))/SUMPRODUCT(($B$2:$B$1001=B143)*1),0)</f>
        <v>0.425170068027211</v>
      </c>
      <c r="O143" s="24" t="n">
        <f aca="false">IFERROR(SUMPRODUCT(($B$2:$B$1001=B143)*($J$2:$J$1001&lt;=J143))/SUMPRODUCT(($B$2:$B$1001=B143)*1),0)</f>
        <v>0.13265306122449</v>
      </c>
      <c r="P143" s="24" t="n">
        <f aca="false">IFERROR(SUMPRODUCT(($B$2:$B$1001=B143)*((0-$F$2:$F$1001)&lt;=(0-F143)))/SUMPRODUCT(($B$2:$B$1001=B143)*1),0)</f>
        <v>1</v>
      </c>
      <c r="Q143" s="25" t="n">
        <f aca="false">(M143*Assumptions!$B$5+N143*Assumptions!$B$6+O143*Assumptions!$B$7+P143*Assumptions!$B$8)*L143</f>
        <v>0.446768707482993</v>
      </c>
      <c r="R143" s="24" t="n">
        <f aca="false">IFERROR(SUMPRODUCT(($B$2:$B$1001=B143)*($Q$2:$Q$1001&lt;=Q143))/SUMPRODUCT(($B$2:$B$1001=B143)*1),0)</f>
        <v>0.568027210884354</v>
      </c>
      <c r="S143" s="24" t="n">
        <f aca="false">IFERROR(SUMPRODUCT(($B$2:$B$1001=B143)*($K$2:$K$1001&lt;=K143))/SUMPRODUCT(($B$2:$B$1001=B143)*1),0)</f>
        <v>0.891156462585034</v>
      </c>
      <c r="T143" s="26" t="n">
        <f aca="false">(R143-S143)*100</f>
        <v>-32.312925170068</v>
      </c>
      <c r="U143" s="21" t="str">
        <f aca="false">'Player Data'!T143</f>
        <v>Yes</v>
      </c>
      <c r="V143" s="27" t="n">
        <f aca="false">'Player Data'!U143</f>
        <v>2028</v>
      </c>
      <c r="W143" s="21" t="str">
        <f aca="false">IF(AND(T143&gt;=Assumptions!$B$19,U143="No"),"High Priority - Unrepresented",IF(T143&gt;=Assumptions!$B$19,"High Priority",IF(AND(T143&gt;=Assumptions!$B$20,U143="No"),"Watchlist - Unrepresented",IF(T143&gt;=Assumptions!$B$20,"Watchlist",""))))</f>
        <v/>
      </c>
      <c r="X143" s="21" t="str">
        <f aca="false">'Player Data'!V143</f>
        <v>info@keflaviksc.is</v>
      </c>
      <c r="Y143" s="28" t="str">
        <f aca="false">'Player Data'!W143</f>
        <v>Club youth/academy office ONLY - player is a minor, do not contact directly</v>
      </c>
      <c r="Z143" s="28" t="str">
        <f aca="false">'Player Data'!X143</f>
        <v>KSI (Icelandic Football Association) player registry</v>
      </c>
      <c r="AA143" s="19" t="str">
        <f aca="false">HYPERLINK("https://www.transfermarkt.com/schnellsuche/ergebnis/schnellsuche?query="&amp;SUBSTITUTE(A143," ","+"),"Search Transfermarkt")</f>
        <v>Search Transfermarkt</v>
      </c>
      <c r="AB143" s="29" t="n">
        <f aca="false">IFERROR('Player Data'!K143/('Player Data'!K143+'Player Data'!L143),0)</f>
        <v>0.540816326530612</v>
      </c>
      <c r="AC143" s="21" t="str">
        <f aca="false">IF(B143="GK",IF(AND(O143&gt;=Assumptions!$B$23,N143&gt;=Assumptions!$B$23),"Sweeper-Keeper / Build-from-the-Back",IF(O143&gt;=Assumptions!$B$23,"Sweeper-Keeper / High Line",IF(M143&gt;=Assumptions!$B$23,"Shot-Stopper / Traditional","Flexible / Multi-System"))),IF(AND(O143&gt;=Assumptions!$B$23,P143&gt;=Assumptions!$B$24),"High Press / Gegenpressing",IF(AND(N143&gt;=Assumptions!$B$23,AB143&gt;=Assumptions!$B$25),"Possession / Build-from-the-Back",IF(N143&gt;=Assumptions!$B$23,"Counter-Attack / Transition",IF(AND(O143&gt;=Assumptions!$B$23,N143&lt;Assumptions!$B$26),"Low Block / Park the Bus",IF(AND(B143="FW",M143&gt;=Assumptions!$B$23,N143&lt;Assumptions!$B$26),"Direct / Target Approach","Flexible / Multi-System"))))))</f>
        <v>Flexible / Multi-System</v>
      </c>
      <c r="AD143" s="21" t="str">
        <f aca="false">'Player Data'!Y143</f>
        <v>2026-07-17</v>
      </c>
      <c r="AE143" s="21" t="str">
        <f aca="false">'Player Data'!Z143</f>
        <v>2026-07-17</v>
      </c>
      <c r="AF143" s="28" t="str">
        <f aca="false">IFERROR(INDEX(Assumptions!$B$30:$B$61,MATCH(C143,Assumptions!$A$30:$A$61,0)),"--")</f>
        <v>Norway, Belgium</v>
      </c>
      <c r="AG143" s="30" t="str">
        <f aca="false">IF(R143&gt;=0.7,"Step-Up Candidate",IF(R143&gt;=0.4,"Lateral Move","Stay &amp; Develop"))</f>
        <v>Lateral Move</v>
      </c>
    </row>
    <row r="144" customFormat="false" ht="23.85" hidden="false" customHeight="false" outlineLevel="0" collapsed="false">
      <c r="A144" s="21" t="str">
        <f aca="false">'Player Data'!A144</f>
        <v>Abdoulaye Ndiaye</v>
      </c>
      <c r="B144" s="21" t="str">
        <f aca="false">'Player Data'!F144</f>
        <v>GK</v>
      </c>
      <c r="C144" s="21" t="str">
        <f aca="false">'Player Data'!B144</f>
        <v>Senegal</v>
      </c>
      <c r="D144" s="21" t="str">
        <f aca="false">'Player Data'!C144</f>
        <v>Senegal Regional League</v>
      </c>
      <c r="E144" s="21" t="n">
        <f aca="false">'Player Data'!D144</f>
        <v>4</v>
      </c>
      <c r="F144" s="21" t="n">
        <f aca="false">'Player Data'!G144</f>
        <v>23</v>
      </c>
      <c r="G144" s="21" t="n">
        <f aca="false">'Player Data'!H144</f>
        <v>1104</v>
      </c>
      <c r="H144" s="22" t="n">
        <f aca="false">IF(B144="GK",IFERROR(('Player Data'!N144-1.5*'Player Data'!O144)/'Player Data'!H144*90,0),IFERROR(('Player Data'!I144+'Player Data'!J144)/'Player Data'!H144*90,0))</f>
        <v>1.71195652173913</v>
      </c>
      <c r="I144" s="22" t="n">
        <f aca="false">IF(B144="GK",'Player Data'!P144,IFERROR(('Player Data'!K144+'Player Data'!L144)/'Player Data'!H144*90,0))</f>
        <v>84.6</v>
      </c>
      <c r="J144" s="22" t="n">
        <f aca="false">IF(B144="GK",IFERROR('Player Data'!Q144/'Player Data'!H144*90,0),IFERROR('Player Data'!M144/'Player Data'!H144*90,0))</f>
        <v>0.880434782608696</v>
      </c>
      <c r="K144" s="23" t="n">
        <f aca="false">'Player Data'!S144</f>
        <v>137302</v>
      </c>
      <c r="L144" s="22" t="n">
        <f aca="false">INDEX(Assumptions!$B$13:$B$15,MATCH(E144,Assumptions!$A$13:$A$15,0))</f>
        <v>0.7</v>
      </c>
      <c r="M144" s="24" t="n">
        <f aca="false">IFERROR(SUMPRODUCT(($B$2:$B$1001=B144)*($H$2:$H$1001&lt;=H144))/SUMPRODUCT(($B$2:$B$1001=B144)*1),0)</f>
        <v>0.770491803278689</v>
      </c>
      <c r="N144" s="24" t="n">
        <f aca="false">IFERROR(SUMPRODUCT(($B$2:$B$1001=B144)*($I$2:$I$1001&lt;=I144))/SUMPRODUCT(($B$2:$B$1001=B144)*1),0)</f>
        <v>0.846994535519126</v>
      </c>
      <c r="O144" s="24" t="n">
        <f aca="false">IFERROR(SUMPRODUCT(($B$2:$B$1001=B144)*($J$2:$J$1001&lt;=J144))/SUMPRODUCT(($B$2:$B$1001=B144)*1),0)</f>
        <v>0.524590163934426</v>
      </c>
      <c r="P144" s="24" t="n">
        <f aca="false">IFERROR(SUMPRODUCT(($B$2:$B$1001=B144)*((0-$F$2:$F$1001)&lt;=(0-F144)))/SUMPRODUCT(($B$2:$B$1001=B144)*1),0)</f>
        <v>0.431693989071038</v>
      </c>
      <c r="Q144" s="25" t="n">
        <f aca="false">(M144*Assumptions!$B$5+N144*Assumptions!$B$6+O144*Assumptions!$B$7+P144*Assumptions!$B$8)*L144</f>
        <v>0.476229508196721</v>
      </c>
      <c r="R144" s="24" t="n">
        <f aca="false">IFERROR(SUMPRODUCT(($B$2:$B$1001=B144)*($Q$2:$Q$1001&lt;=Q144))/SUMPRODUCT(($B$2:$B$1001=B144)*1),0)</f>
        <v>0.546448087431694</v>
      </c>
      <c r="S144" s="24" t="n">
        <f aca="false">IFERROR(SUMPRODUCT(($B$2:$B$1001=B144)*($K$2:$K$1001&lt;=K144))/SUMPRODUCT(($B$2:$B$1001=B144)*1),0)</f>
        <v>0.923497267759563</v>
      </c>
      <c r="T144" s="26" t="n">
        <f aca="false">(R144-S144)*100</f>
        <v>-37.7049180327869</v>
      </c>
      <c r="U144" s="21" t="str">
        <f aca="false">'Player Data'!T144</f>
        <v>Unknown</v>
      </c>
      <c r="V144" s="27" t="n">
        <f aca="false">'Player Data'!U144</f>
        <v>2027</v>
      </c>
      <c r="W144" s="21" t="str">
        <f aca="false">IF(AND(T144&gt;=Assumptions!$B$19,U144="No"),"High Priority - Unrepresented",IF(T144&gt;=Assumptions!$B$19,"High Priority",IF(AND(T144&gt;=Assumptions!$B$20,U144="No"),"Watchlist - Unrepresented",IF(T144&gt;=Assumptions!$B$20,"Watchlist",""))))</f>
        <v/>
      </c>
      <c r="X144" s="21" t="str">
        <f aca="false">'Player Data'!V144</f>
        <v>info@ziguinchorrangers.sn</v>
      </c>
      <c r="Y144" s="28" t="str">
        <f aca="false">'Player Data'!W144</f>
        <v>Club sporting director / first-team office</v>
      </c>
      <c r="Z144" s="28" t="str">
        <f aca="false">'Player Data'!X144</f>
        <v>FSF (Senegalese Football Federation) player registry</v>
      </c>
      <c r="AA144" s="19" t="str">
        <f aca="false">HYPERLINK("https://www.transfermarkt.com/schnellsuche/ergebnis/schnellsuche?query="&amp;SUBSTITUTE(A144," ","+"),"Search Transfermarkt")</f>
        <v>Search Transfermarkt</v>
      </c>
      <c r="AB144" s="29" t="n">
        <f aca="false">IFERROR('Player Data'!K144/('Player Data'!K144+'Player Data'!L144),0)</f>
        <v>0.642857142857143</v>
      </c>
      <c r="AC144" s="21" t="str">
        <f aca="false">IF(B144="GK",IF(AND(O144&gt;=Assumptions!$B$23,N144&gt;=Assumptions!$B$23),"Sweeper-Keeper / Build-from-the-Back",IF(O144&gt;=Assumptions!$B$23,"Sweeper-Keeper / High Line",IF(M144&gt;=Assumptions!$B$23,"Shot-Stopper / Traditional","Flexible / Multi-System"))),IF(AND(O144&gt;=Assumptions!$B$23,P144&gt;=Assumptions!$B$24),"High Press / Gegenpressing",IF(AND(N144&gt;=Assumptions!$B$23,AB144&gt;=Assumptions!$B$25),"Possession / Build-from-the-Back",IF(N144&gt;=Assumptions!$B$23,"Counter-Attack / Transition",IF(AND(O144&gt;=Assumptions!$B$23,N144&lt;Assumptions!$B$26),"Low Block / Park the Bus",IF(AND(B144="FW",M144&gt;=Assumptions!$B$23,N144&lt;Assumptions!$B$26),"Direct / Target Approach","Flexible / Multi-System"))))))</f>
        <v>Shot-Stopper / Traditional</v>
      </c>
      <c r="AD144" s="21" t="str">
        <f aca="false">'Player Data'!Y144</f>
        <v>2026-07-17</v>
      </c>
      <c r="AE144" s="21" t="str">
        <f aca="false">'Player Data'!Z144</f>
        <v>2026-07-17</v>
      </c>
      <c r="AF144" s="28" t="str">
        <f aca="false">IFERROR(INDEX(Assumptions!$B$30:$B$61,MATCH(C144,Assumptions!$A$30:$A$61,0)),"--")</f>
        <v>Belgium, Portugal</v>
      </c>
      <c r="AG144" s="30" t="str">
        <f aca="false">IF(R144&gt;=0.7,"Step-Up Candidate",IF(R144&gt;=0.4,"Lateral Move","Stay &amp; Develop"))</f>
        <v>Lateral Move</v>
      </c>
    </row>
    <row r="145" customFormat="false" ht="23.85" hidden="false" customHeight="false" outlineLevel="0" collapsed="false">
      <c r="A145" s="21" t="str">
        <f aca="false">'Player Data'!A145</f>
        <v>Callum Taylor</v>
      </c>
      <c r="B145" s="21" t="str">
        <f aca="false">'Player Data'!F145</f>
        <v>MF</v>
      </c>
      <c r="C145" s="21" t="str">
        <f aca="false">'Player Data'!B145</f>
        <v>New Zealand</v>
      </c>
      <c r="D145" s="21" t="str">
        <f aca="false">'Player Data'!C145</f>
        <v>New Zealand Third Tier - South</v>
      </c>
      <c r="E145" s="21" t="n">
        <f aca="false">'Player Data'!D145</f>
        <v>2</v>
      </c>
      <c r="F145" s="21" t="n">
        <f aca="false">'Player Data'!G145</f>
        <v>26</v>
      </c>
      <c r="G145" s="21" t="n">
        <f aca="false">'Player Data'!H145</f>
        <v>1192</v>
      </c>
      <c r="H145" s="22" t="n">
        <f aca="false">IF(B145="GK",IFERROR(('Player Data'!N145-1.5*'Player Data'!O145)/'Player Data'!H145*90,0),IFERROR(('Player Data'!I145+'Player Data'!J145)/'Player Data'!H145*90,0))</f>
        <v>0.830536912751678</v>
      </c>
      <c r="I145" s="22" t="n">
        <f aca="false">IF(B145="GK",'Player Data'!P145,IFERROR(('Player Data'!K145+'Player Data'!L145)/'Player Data'!H145*90,0))</f>
        <v>16.3842281879195</v>
      </c>
      <c r="J145" s="22" t="n">
        <f aca="false">IF(B145="GK",IFERROR('Player Data'!Q145/'Player Data'!H145*90,0),IFERROR('Player Data'!M145/'Player Data'!H145*90,0))</f>
        <v>3.09563758389262</v>
      </c>
      <c r="K145" s="23" t="n">
        <f aca="false">'Player Data'!S145</f>
        <v>103552</v>
      </c>
      <c r="L145" s="22" t="n">
        <f aca="false">INDEX(Assumptions!$B$13:$B$15,MATCH(E145,Assumptions!$A$13:$A$15,0))</f>
        <v>1</v>
      </c>
      <c r="M145" s="24" t="n">
        <f aca="false">IFERROR(SUMPRODUCT(($B$2:$B$1001=B145)*($H$2:$H$1001&lt;=H145))/SUMPRODUCT(($B$2:$B$1001=B145)*1),0)</f>
        <v>0.636363636363636</v>
      </c>
      <c r="N145" s="24" t="n">
        <f aca="false">IFERROR(SUMPRODUCT(($B$2:$B$1001=B145)*($I$2:$I$1001&lt;=I145))/SUMPRODUCT(($B$2:$B$1001=B145)*1),0)</f>
        <v>0.818181818181818</v>
      </c>
      <c r="O145" s="24" t="n">
        <f aca="false">IFERROR(SUMPRODUCT(($B$2:$B$1001=B145)*($J$2:$J$1001&lt;=J145))/SUMPRODUCT(($B$2:$B$1001=B145)*1),0)</f>
        <v>0.781144781144781</v>
      </c>
      <c r="P145" s="24" t="n">
        <f aca="false">IFERROR(SUMPRODUCT(($B$2:$B$1001=B145)*((0-$F$2:$F$1001)&lt;=(0-F145)))/SUMPRODUCT(($B$2:$B$1001=B145)*1),0)</f>
        <v>0.0909090909090909</v>
      </c>
      <c r="Q145" s="25" t="n">
        <f aca="false">(M145*Assumptions!$B$5+N145*Assumptions!$B$6+O145*Assumptions!$B$7+P145*Assumptions!$B$8)*L145</f>
        <v>0.61986531986532</v>
      </c>
      <c r="R145" s="24" t="n">
        <f aca="false">IFERROR(SUMPRODUCT(($B$2:$B$1001=B145)*($Q$2:$Q$1001&lt;=Q145))/SUMPRODUCT(($B$2:$B$1001=B145)*1),0)</f>
        <v>0.777777777777778</v>
      </c>
      <c r="S145" s="24" t="n">
        <f aca="false">IFERROR(SUMPRODUCT(($B$2:$B$1001=B145)*($K$2:$K$1001&lt;=K145))/SUMPRODUCT(($B$2:$B$1001=B145)*1),0)</f>
        <v>0.747474747474748</v>
      </c>
      <c r="T145" s="26" t="n">
        <f aca="false">(R145-S145)*100</f>
        <v>3.03030303030303</v>
      </c>
      <c r="U145" s="21" t="str">
        <f aca="false">'Player Data'!T145</f>
        <v>Yes</v>
      </c>
      <c r="V145" s="27" t="n">
        <f aca="false">'Player Data'!U145</f>
        <v>2029</v>
      </c>
      <c r="W145" s="21" t="str">
        <f aca="false">IF(AND(T145&gt;=Assumptions!$B$19,U145="No"),"High Priority - Unrepresented",IF(T145&gt;=Assumptions!$B$19,"High Priority",IF(AND(T145&gt;=Assumptions!$B$20,U145="No"),"Watchlist - Unrepresented",IF(T145&gt;=Assumptions!$B$20,"Watchlist",""))))</f>
        <v/>
      </c>
      <c r="X145" s="21" t="str">
        <f aca="false">'Player Data'!V145</f>
        <v>info@hamiltonfc.nz</v>
      </c>
      <c r="Y145" s="28" t="str">
        <f aca="false">'Player Data'!W145</f>
        <v>Go through the player's agent - ask the club to confirm representation first</v>
      </c>
      <c r="Z145" s="28" t="str">
        <f aca="false">'Player Data'!X145</f>
        <v>NZF (New Zealand Football) player registry</v>
      </c>
      <c r="AA145" s="19" t="str">
        <f aca="false">HYPERLINK("https://www.transfermarkt.com/schnellsuche/ergebnis/schnellsuche?query="&amp;SUBSTITUTE(A145," ","+"),"Search Transfermarkt")</f>
        <v>Search Transfermarkt</v>
      </c>
      <c r="AB145" s="29" t="n">
        <f aca="false">IFERROR('Player Data'!K145/('Player Data'!K145+'Player Data'!L145),0)</f>
        <v>0.686635944700461</v>
      </c>
      <c r="AC145" s="21" t="str">
        <f aca="false">IF(B145="GK",IF(AND(O145&gt;=Assumptions!$B$23,N145&gt;=Assumptions!$B$23),"Sweeper-Keeper / Build-from-the-Back",IF(O145&gt;=Assumptions!$B$23,"Sweeper-Keeper / High Line",IF(M145&gt;=Assumptions!$B$23,"Shot-Stopper / Traditional","Flexible / Multi-System"))),IF(AND(O145&gt;=Assumptions!$B$23,P145&gt;=Assumptions!$B$24),"High Press / Gegenpressing",IF(AND(N145&gt;=Assumptions!$B$23,AB145&gt;=Assumptions!$B$25),"Possession / Build-from-the-Back",IF(N145&gt;=Assumptions!$B$23,"Counter-Attack / Transition",IF(AND(O145&gt;=Assumptions!$B$23,N145&lt;Assumptions!$B$26),"Low Block / Park the Bus",IF(AND(B145="FW",M145&gt;=Assumptions!$B$23,N145&lt;Assumptions!$B$26),"Direct / Target Approach","Flexible / Multi-System"))))))</f>
        <v>Possession / Build-from-the-Back</v>
      </c>
      <c r="AD145" s="21" t="str">
        <f aca="false">'Player Data'!Y145</f>
        <v>2026-07-17</v>
      </c>
      <c r="AE145" s="21" t="str">
        <f aca="false">'Player Data'!Z145</f>
        <v>2026-07-17</v>
      </c>
      <c r="AF145" s="28" t="str">
        <f aca="false">IFERROR(INDEX(Assumptions!$B$30:$B$61,MATCH(C145,Assumptions!$A$30:$A$61,0)),"--")</f>
        <v>Australia, United States</v>
      </c>
      <c r="AG145" s="30" t="str">
        <f aca="false">IF(R145&gt;=0.7,"Step-Up Candidate",IF(R145&gt;=0.4,"Lateral Move","Stay &amp; Develop"))</f>
        <v>Step-Up Candidate</v>
      </c>
    </row>
    <row r="146" customFormat="false" ht="23.85" hidden="false" customHeight="false" outlineLevel="0" collapsed="false">
      <c r="A146" s="21" t="str">
        <f aca="false">'Player Data'!A146</f>
        <v>Ethan Clarke</v>
      </c>
      <c r="B146" s="21" t="str">
        <f aca="false">'Player Data'!F146</f>
        <v>FW</v>
      </c>
      <c r="C146" s="21" t="str">
        <f aca="false">'Player Data'!B146</f>
        <v>New Zealand</v>
      </c>
      <c r="D146" s="21" t="str">
        <f aca="false">'Player Data'!C146</f>
        <v>New Zealand Second Division</v>
      </c>
      <c r="E146" s="21" t="n">
        <f aca="false">'Player Data'!D146</f>
        <v>3</v>
      </c>
      <c r="F146" s="21" t="n">
        <f aca="false">'Player Data'!G146</f>
        <v>20</v>
      </c>
      <c r="G146" s="21" t="n">
        <f aca="false">'Player Data'!H146</f>
        <v>1485</v>
      </c>
      <c r="H146" s="22" t="n">
        <f aca="false">IF(B146="GK",IFERROR(('Player Data'!N146-1.5*'Player Data'!O146)/'Player Data'!H146*90,0),IFERROR(('Player Data'!I146+'Player Data'!J146)/'Player Data'!H146*90,0))</f>
        <v>1.39393939393939</v>
      </c>
      <c r="I146" s="22" t="n">
        <f aca="false">IF(B146="GK",'Player Data'!P146,IFERROR(('Player Data'!K146+'Player Data'!L146)/'Player Data'!H146*90,0))</f>
        <v>8.78787878787879</v>
      </c>
      <c r="J146" s="22" t="n">
        <f aca="false">IF(B146="GK",IFERROR('Player Data'!Q146/'Player Data'!H146*90,0),IFERROR('Player Data'!M146/'Player Data'!H146*90,0))</f>
        <v>0.909090909090909</v>
      </c>
      <c r="K146" s="23" t="n">
        <f aca="false">'Player Data'!S146</f>
        <v>0</v>
      </c>
      <c r="L146" s="22" t="n">
        <f aca="false">INDEX(Assumptions!$B$13:$B$15,MATCH(E146,Assumptions!$A$13:$A$15,0))</f>
        <v>0.85</v>
      </c>
      <c r="M146" s="24" t="n">
        <f aca="false">IFERROR(SUMPRODUCT(($B$2:$B$1001=B146)*($H$2:$H$1001&lt;=H146))/SUMPRODUCT(($B$2:$B$1001=B146)*1),0)</f>
        <v>0.787610619469027</v>
      </c>
      <c r="N146" s="24" t="n">
        <f aca="false">IFERROR(SUMPRODUCT(($B$2:$B$1001=B146)*($I$2:$I$1001&lt;=I146))/SUMPRODUCT(($B$2:$B$1001=B146)*1),0)</f>
        <v>0.743362831858407</v>
      </c>
      <c r="O146" s="24" t="n">
        <f aca="false">IFERROR(SUMPRODUCT(($B$2:$B$1001=B146)*($J$2:$J$1001&lt;=J146))/SUMPRODUCT(($B$2:$B$1001=B146)*1),0)</f>
        <v>0.86283185840708</v>
      </c>
      <c r="P146" s="24" t="n">
        <f aca="false">IFERROR(SUMPRODUCT(($B$2:$B$1001=B146)*((0-$F$2:$F$1001)&lt;=(0-F146)))/SUMPRODUCT(($B$2:$B$1001=B146)*1),0)</f>
        <v>0.712389380530973</v>
      </c>
      <c r="Q146" s="25" t="n">
        <f aca="false">(M146*Assumptions!$B$5+N146*Assumptions!$B$6+O146*Assumptions!$B$7+P146*Assumptions!$B$8)*L146</f>
        <v>0.656305309734513</v>
      </c>
      <c r="R146" s="24" t="n">
        <f aca="false">IFERROR(SUMPRODUCT(($B$2:$B$1001=B146)*($Q$2:$Q$1001&lt;=Q146))/SUMPRODUCT(($B$2:$B$1001=B146)*1),0)</f>
        <v>0.827433628318584</v>
      </c>
      <c r="S146" s="24" t="n">
        <f aca="false">IFERROR(SUMPRODUCT(($B$2:$B$1001=B146)*($K$2:$K$1001&lt;=K146))/SUMPRODUCT(($B$2:$B$1001=B146)*1),0)</f>
        <v>0.261061946902655</v>
      </c>
      <c r="T146" s="26" t="n">
        <f aca="false">(R146-S146)*100</f>
        <v>56.6371681415929</v>
      </c>
      <c r="U146" s="21" t="str">
        <f aca="false">'Player Data'!T146</f>
        <v>Unknown</v>
      </c>
      <c r="V146" s="27" t="n">
        <f aca="false">'Player Data'!U146</f>
        <v>2026</v>
      </c>
      <c r="W146" s="21" t="str">
        <f aca="false">IF(AND(T146&gt;=Assumptions!$B$19,U146="No"),"High Priority - Unrepresented",IF(T146&gt;=Assumptions!$B$19,"High Priority",IF(AND(T146&gt;=Assumptions!$B$20,U146="No"),"Watchlist - Unrepresented",IF(T146&gt;=Assumptions!$B$20,"Watchlist",""))))</f>
        <v>High Priority</v>
      </c>
      <c r="X146" s="21" t="str">
        <f aca="false">'Player Data'!V146</f>
        <v>info@hamiltonwanderers.nz</v>
      </c>
      <c r="Y146" s="28" t="str">
        <f aca="false">'Player Data'!W146</f>
        <v>Club sporting director / first-team office</v>
      </c>
      <c r="Z146" s="28" t="str">
        <f aca="false">'Player Data'!X146</f>
        <v>NZF (New Zealand Football) player registry</v>
      </c>
      <c r="AA146" s="19" t="str">
        <f aca="false">HYPERLINK("https://www.transfermarkt.com/schnellsuche/ergebnis/schnellsuche?query="&amp;SUBSTITUTE(A146," ","+"),"Search Transfermarkt")</f>
        <v>Search Transfermarkt</v>
      </c>
      <c r="AB146" s="29" t="n">
        <f aca="false">IFERROR('Player Data'!K146/('Player Data'!K146+'Player Data'!L146),0)</f>
        <v>0.420689655172414</v>
      </c>
      <c r="AC146" s="21" t="str">
        <f aca="false">IF(B146="GK",IF(AND(O146&gt;=Assumptions!$B$23,N146&gt;=Assumptions!$B$23),"Sweeper-Keeper / Build-from-the-Back",IF(O146&gt;=Assumptions!$B$23,"Sweeper-Keeper / High Line",IF(M146&gt;=Assumptions!$B$23,"Shot-Stopper / Traditional","Flexible / Multi-System"))),IF(AND(O146&gt;=Assumptions!$B$23,P146&gt;=Assumptions!$B$24),"High Press / Gegenpressing",IF(AND(N146&gt;=Assumptions!$B$23,AB146&gt;=Assumptions!$B$25),"Possession / Build-from-the-Back",IF(N146&gt;=Assumptions!$B$23,"Counter-Attack / Transition",IF(AND(O146&gt;=Assumptions!$B$23,N146&lt;Assumptions!$B$26),"Low Block / Park the Bus",IF(AND(B146="FW",M146&gt;=Assumptions!$B$23,N146&lt;Assumptions!$B$26),"Direct / Target Approach","Flexible / Multi-System"))))))</f>
        <v>High Press / Gegenpressing</v>
      </c>
      <c r="AD146" s="21" t="str">
        <f aca="false">'Player Data'!Y146</f>
        <v>2026-07-17</v>
      </c>
      <c r="AE146" s="21" t="str">
        <f aca="false">'Player Data'!Z146</f>
        <v>2026-07-17</v>
      </c>
      <c r="AF146" s="28" t="str">
        <f aca="false">IFERROR(INDEX(Assumptions!$B$30:$B$61,MATCH(C146,Assumptions!$A$30:$A$61,0)),"--")</f>
        <v>Australia, United States</v>
      </c>
      <c r="AG146" s="30" t="str">
        <f aca="false">IF(R146&gt;=0.7,"Step-Up Candidate",IF(R146&gt;=0.4,"Lateral Move","Stay &amp; Develop"))</f>
        <v>Step-Up Candidate</v>
      </c>
    </row>
    <row r="147" customFormat="false" ht="23.85" hidden="false" customHeight="false" outlineLevel="0" collapsed="false">
      <c r="A147" s="21" t="str">
        <f aca="false">'Player Data'!A147</f>
        <v>Cheikh Gueye</v>
      </c>
      <c r="B147" s="21" t="str">
        <f aca="false">'Player Data'!F147</f>
        <v>DF</v>
      </c>
      <c r="C147" s="21" t="str">
        <f aca="false">'Player Data'!B147</f>
        <v>Senegal</v>
      </c>
      <c r="D147" s="21" t="str">
        <f aca="false">'Player Data'!C147</f>
        <v>Senegal Amateur League</v>
      </c>
      <c r="E147" s="21" t="n">
        <f aca="false">'Player Data'!D147</f>
        <v>2</v>
      </c>
      <c r="F147" s="21" t="n">
        <f aca="false">'Player Data'!G147</f>
        <v>25</v>
      </c>
      <c r="G147" s="21" t="n">
        <f aca="false">'Player Data'!H147</f>
        <v>1273</v>
      </c>
      <c r="H147" s="22" t="n">
        <f aca="false">IF(B147="GK",IFERROR(('Player Data'!N147-1.5*'Player Data'!O147)/'Player Data'!H147*90,0),IFERROR(('Player Data'!I147+'Player Data'!J147)/'Player Data'!H147*90,0))</f>
        <v>0.353495679497251</v>
      </c>
      <c r="I147" s="22" t="n">
        <f aca="false">IF(B147="GK",'Player Data'!P147,IFERROR(('Player Data'!K147+'Player Data'!L147)/'Player Data'!H147*90,0))</f>
        <v>7.49410840534171</v>
      </c>
      <c r="J147" s="22" t="n">
        <f aca="false">IF(B147="GK",IFERROR('Player Data'!Q147/'Player Data'!H147*90,0),IFERROR('Player Data'!M147/'Player Data'!H147*90,0))</f>
        <v>7.98900235663786</v>
      </c>
      <c r="K147" s="23" t="n">
        <f aca="false">'Player Data'!S147</f>
        <v>79942</v>
      </c>
      <c r="L147" s="22" t="n">
        <f aca="false">INDEX(Assumptions!$B$13:$B$15,MATCH(E147,Assumptions!$A$13:$A$15,0))</f>
        <v>1</v>
      </c>
      <c r="M147" s="24" t="n">
        <f aca="false">IFERROR(SUMPRODUCT(($B$2:$B$1001=B147)*($H$2:$H$1001&lt;=H147))/SUMPRODUCT(($B$2:$B$1001=B147)*1),0)</f>
        <v>0.863945578231293</v>
      </c>
      <c r="N147" s="24" t="n">
        <f aca="false">IFERROR(SUMPRODUCT(($B$2:$B$1001=B147)*($I$2:$I$1001&lt;=I147))/SUMPRODUCT(($B$2:$B$1001=B147)*1),0)</f>
        <v>0.860544217687075</v>
      </c>
      <c r="O147" s="24" t="n">
        <f aca="false">IFERROR(SUMPRODUCT(($B$2:$B$1001=B147)*($J$2:$J$1001&lt;=J147))/SUMPRODUCT(($B$2:$B$1001=B147)*1),0)</f>
        <v>0.843537414965986</v>
      </c>
      <c r="P147" s="24" t="n">
        <f aca="false">IFERROR(SUMPRODUCT(($B$2:$B$1001=B147)*((0-$F$2:$F$1001)&lt;=(0-F147)))/SUMPRODUCT(($B$2:$B$1001=B147)*1),0)</f>
        <v>0.146258503401361</v>
      </c>
      <c r="Q147" s="25" t="n">
        <f aca="false">(M147*Assumptions!$B$5+N147*Assumptions!$B$6+O147*Assumptions!$B$7+P147*Assumptions!$B$8)*L147</f>
        <v>0.715136054421769</v>
      </c>
      <c r="R147" s="24" t="n">
        <f aca="false">IFERROR(SUMPRODUCT(($B$2:$B$1001=B147)*($Q$2:$Q$1001&lt;=Q147))/SUMPRODUCT(($B$2:$B$1001=B147)*1),0)</f>
        <v>0.884353741496599</v>
      </c>
      <c r="S147" s="24" t="n">
        <f aca="false">IFERROR(SUMPRODUCT(($B$2:$B$1001=B147)*($K$2:$K$1001&lt;=K147))/SUMPRODUCT(($B$2:$B$1001=B147)*1),0)</f>
        <v>0.612244897959184</v>
      </c>
      <c r="T147" s="26" t="n">
        <f aca="false">(R147-S147)*100</f>
        <v>27.2108843537415</v>
      </c>
      <c r="U147" s="21" t="str">
        <f aca="false">'Player Data'!T147</f>
        <v>Yes</v>
      </c>
      <c r="V147" s="27" t="n">
        <f aca="false">'Player Data'!U147</f>
        <v>2029</v>
      </c>
      <c r="W147" s="21" t="str">
        <f aca="false">IF(AND(T147&gt;=Assumptions!$B$19,U147="No"),"High Priority - Unrepresented",IF(T147&gt;=Assumptions!$B$19,"High Priority",IF(AND(T147&gt;=Assumptions!$B$20,U147="No"),"Watchlist - Unrepresented",IF(T147&gt;=Assumptions!$B$20,"Watchlist",""))))</f>
        <v>Watchlist</v>
      </c>
      <c r="X147" s="21" t="str">
        <f aca="false">'Player Data'!V147</f>
        <v>info@saintlouisfc.sn</v>
      </c>
      <c r="Y147" s="28" t="str">
        <f aca="false">'Player Data'!W147</f>
        <v>Go through the player's agent - ask the club to confirm representation first</v>
      </c>
      <c r="Z147" s="28" t="str">
        <f aca="false">'Player Data'!X147</f>
        <v>FSF (Senegalese Football Federation) player registry</v>
      </c>
      <c r="AA147" s="19" t="str">
        <f aca="false">HYPERLINK("https://www.transfermarkt.com/schnellsuche/ergebnis/schnellsuche?query="&amp;SUBSTITUTE(A147," ","+"),"Search Transfermarkt")</f>
        <v>Search Transfermarkt</v>
      </c>
      <c r="AB147" s="29" t="n">
        <f aca="false">IFERROR('Player Data'!K147/('Player Data'!K147+'Player Data'!L147),0)</f>
        <v>0.594339622641509</v>
      </c>
      <c r="AC147" s="21" t="str">
        <f aca="false">IF(B147="GK",IF(AND(O147&gt;=Assumptions!$B$23,N147&gt;=Assumptions!$B$23),"Sweeper-Keeper / Build-from-the-Back",IF(O147&gt;=Assumptions!$B$23,"Sweeper-Keeper / High Line",IF(M147&gt;=Assumptions!$B$23,"Shot-Stopper / Traditional","Flexible / Multi-System"))),IF(AND(O147&gt;=Assumptions!$B$23,P147&gt;=Assumptions!$B$24),"High Press / Gegenpressing",IF(AND(N147&gt;=Assumptions!$B$23,AB147&gt;=Assumptions!$B$25),"Possession / Build-from-the-Back",IF(N147&gt;=Assumptions!$B$23,"Counter-Attack / Transition",IF(AND(O147&gt;=Assumptions!$B$23,N147&lt;Assumptions!$B$26),"Low Block / Park the Bus",IF(AND(B147="FW",M147&gt;=Assumptions!$B$23,N147&lt;Assumptions!$B$26),"Direct / Target Approach","Flexible / Multi-System"))))))</f>
        <v>Counter-Attack / Transition</v>
      </c>
      <c r="AD147" s="21" t="str">
        <f aca="false">'Player Data'!Y147</f>
        <v>2026-07-17</v>
      </c>
      <c r="AE147" s="21" t="str">
        <f aca="false">'Player Data'!Z147</f>
        <v>2026-07-17</v>
      </c>
      <c r="AF147" s="28" t="str">
        <f aca="false">IFERROR(INDEX(Assumptions!$B$30:$B$61,MATCH(C147,Assumptions!$A$30:$A$61,0)),"--")</f>
        <v>Belgium, Portugal</v>
      </c>
      <c r="AG147" s="30" t="str">
        <f aca="false">IF(R147&gt;=0.7,"Step-Up Candidate",IF(R147&gt;=0.4,"Lateral Move","Stay &amp; Develop"))</f>
        <v>Step-Up Candidate</v>
      </c>
    </row>
    <row r="148" customFormat="false" ht="23.85" hidden="false" customHeight="false" outlineLevel="0" collapsed="false">
      <c r="A148" s="21" t="str">
        <f aca="false">'Player Data'!A148</f>
        <v>Ha-joon Kim</v>
      </c>
      <c r="B148" s="21" t="str">
        <f aca="false">'Player Data'!F148</f>
        <v>FW</v>
      </c>
      <c r="C148" s="21" t="str">
        <f aca="false">'Player Data'!B148</f>
        <v>South Korea</v>
      </c>
      <c r="D148" s="21" t="str">
        <f aca="false">'Player Data'!C148</f>
        <v>South Korea Third Tier - South</v>
      </c>
      <c r="E148" s="21" t="n">
        <f aca="false">'Player Data'!D148</f>
        <v>2</v>
      </c>
      <c r="F148" s="21" t="n">
        <f aca="false">'Player Data'!G148</f>
        <v>20</v>
      </c>
      <c r="G148" s="21" t="n">
        <f aca="false">'Player Data'!H148</f>
        <v>970</v>
      </c>
      <c r="H148" s="22" t="n">
        <f aca="false">IF(B148="GK",IFERROR(('Player Data'!N148-1.5*'Player Data'!O148)/'Player Data'!H148*90,0),IFERROR(('Player Data'!I148+'Player Data'!J148)/'Player Data'!H148*90,0))</f>
        <v>0.835051546391753</v>
      </c>
      <c r="I148" s="22" t="n">
        <f aca="false">IF(B148="GK",'Player Data'!P148,IFERROR(('Player Data'!K148+'Player Data'!L148)/'Player Data'!H148*90,0))</f>
        <v>11.9690721649485</v>
      </c>
      <c r="J148" s="22" t="n">
        <f aca="false">IF(B148="GK",IFERROR('Player Data'!Q148/'Player Data'!H148*90,0),IFERROR('Player Data'!M148/'Player Data'!H148*90,0))</f>
        <v>0.371134020618557</v>
      </c>
      <c r="K148" s="23" t="n">
        <f aca="false">'Player Data'!S148</f>
        <v>0</v>
      </c>
      <c r="L148" s="22" t="n">
        <f aca="false">INDEX(Assumptions!$B$13:$B$15,MATCH(E148,Assumptions!$A$13:$A$15,0))</f>
        <v>1</v>
      </c>
      <c r="M148" s="24" t="n">
        <f aca="false">IFERROR(SUMPRODUCT(($B$2:$B$1001=B148)*($H$2:$H$1001&lt;=H148))/SUMPRODUCT(($B$2:$B$1001=B148)*1),0)</f>
        <v>0.34070796460177</v>
      </c>
      <c r="N148" s="24" t="n">
        <f aca="false">IFERROR(SUMPRODUCT(($B$2:$B$1001=B148)*($I$2:$I$1001&lt;=I148))/SUMPRODUCT(($B$2:$B$1001=B148)*1),0)</f>
        <v>0.915929203539823</v>
      </c>
      <c r="O148" s="24" t="n">
        <f aca="false">IFERROR(SUMPRODUCT(($B$2:$B$1001=B148)*($J$2:$J$1001&lt;=J148))/SUMPRODUCT(($B$2:$B$1001=B148)*1),0)</f>
        <v>0.287610619469027</v>
      </c>
      <c r="P148" s="24" t="n">
        <f aca="false">IFERROR(SUMPRODUCT(($B$2:$B$1001=B148)*((0-$F$2:$F$1001)&lt;=(0-F148)))/SUMPRODUCT(($B$2:$B$1001=B148)*1),0)</f>
        <v>0.712389380530973</v>
      </c>
      <c r="Q148" s="25" t="n">
        <f aca="false">(M148*Assumptions!$B$5+N148*Assumptions!$B$6+O148*Assumptions!$B$7+P148*Assumptions!$B$8)*L148</f>
        <v>0.605752212389381</v>
      </c>
      <c r="R148" s="24" t="n">
        <f aca="false">IFERROR(SUMPRODUCT(($B$2:$B$1001=B148)*($Q$2:$Q$1001&lt;=Q148))/SUMPRODUCT(($B$2:$B$1001=B148)*1),0)</f>
        <v>0.761061946902655</v>
      </c>
      <c r="S148" s="24" t="n">
        <f aca="false">IFERROR(SUMPRODUCT(($B$2:$B$1001=B148)*($K$2:$K$1001&lt;=K148))/SUMPRODUCT(($B$2:$B$1001=B148)*1),0)</f>
        <v>0.261061946902655</v>
      </c>
      <c r="T148" s="26" t="n">
        <f aca="false">(R148-S148)*100</f>
        <v>50</v>
      </c>
      <c r="U148" s="21" t="str">
        <f aca="false">'Player Data'!T148</f>
        <v>Yes</v>
      </c>
      <c r="V148" s="27" t="n">
        <f aca="false">'Player Data'!U148</f>
        <v>2026</v>
      </c>
      <c r="W148" s="21" t="str">
        <f aca="false">IF(AND(T148&gt;=Assumptions!$B$19,U148="No"),"High Priority - Unrepresented",IF(T148&gt;=Assumptions!$B$19,"High Priority",IF(AND(T148&gt;=Assumptions!$B$20,U148="No"),"Watchlist - Unrepresented",IF(T148&gt;=Assumptions!$B$20,"Watchlist",""))))</f>
        <v>High Priority</v>
      </c>
      <c r="X148" s="21" t="str">
        <f aca="false">'Player Data'!V148</f>
        <v>info@incheontown.kr</v>
      </c>
      <c r="Y148" s="28" t="str">
        <f aca="false">'Player Data'!W148</f>
        <v>Go through the player's agent - ask the club to confirm representation first</v>
      </c>
      <c r="Z148" s="28" t="str">
        <f aca="false">'Player Data'!X148</f>
        <v>KFA (Korea Football Association) player registry</v>
      </c>
      <c r="AA148" s="19" t="str">
        <f aca="false">HYPERLINK("https://www.transfermarkt.com/schnellsuche/ergebnis/schnellsuche?query="&amp;SUBSTITUTE(A148," ","+"),"Search Transfermarkt")</f>
        <v>Search Transfermarkt</v>
      </c>
      <c r="AB148" s="29" t="n">
        <f aca="false">IFERROR('Player Data'!K148/('Player Data'!K148+'Player Data'!L148),0)</f>
        <v>0.372093023255814</v>
      </c>
      <c r="AC148" s="21" t="str">
        <f aca="false">IF(B148="GK",IF(AND(O148&gt;=Assumptions!$B$23,N148&gt;=Assumptions!$B$23),"Sweeper-Keeper / Build-from-the-Back",IF(O148&gt;=Assumptions!$B$23,"Sweeper-Keeper / High Line",IF(M148&gt;=Assumptions!$B$23,"Shot-Stopper / Traditional","Flexible / Multi-System"))),IF(AND(O148&gt;=Assumptions!$B$23,P148&gt;=Assumptions!$B$24),"High Press / Gegenpressing",IF(AND(N148&gt;=Assumptions!$B$23,AB148&gt;=Assumptions!$B$25),"Possession / Build-from-the-Back",IF(N148&gt;=Assumptions!$B$23,"Counter-Attack / Transition",IF(AND(O148&gt;=Assumptions!$B$23,N148&lt;Assumptions!$B$26),"Low Block / Park the Bus",IF(AND(B148="FW",M148&gt;=Assumptions!$B$23,N148&lt;Assumptions!$B$26),"Direct / Target Approach","Flexible / Multi-System"))))))</f>
        <v>Counter-Attack / Transition</v>
      </c>
      <c r="AD148" s="21" t="str">
        <f aca="false">'Player Data'!Y148</f>
        <v>2026-07-17</v>
      </c>
      <c r="AE148" s="21" t="str">
        <f aca="false">'Player Data'!Z148</f>
        <v>2026-07-17</v>
      </c>
      <c r="AF148" s="28" t="str">
        <f aca="false">IFERROR(INDEX(Assumptions!$B$30:$B$61,MATCH(C148,Assumptions!$A$30:$A$61,0)),"--")</f>
        <v>Belgium, Saudi Arabia</v>
      </c>
      <c r="AG148" s="30" t="str">
        <f aca="false">IF(R148&gt;=0.7,"Step-Up Candidate",IF(R148&gt;=0.4,"Lateral Move","Stay &amp; Develop"))</f>
        <v>Step-Up Candidate</v>
      </c>
    </row>
    <row r="149" customFormat="false" ht="23.85" hidden="false" customHeight="false" outlineLevel="0" collapsed="false">
      <c r="A149" s="21" t="str">
        <f aca="false">'Player Data'!A149</f>
        <v>Miguel Morales</v>
      </c>
      <c r="B149" s="21" t="str">
        <f aca="false">'Player Data'!F149</f>
        <v>GK</v>
      </c>
      <c r="C149" s="21" t="str">
        <f aca="false">'Player Data'!B149</f>
        <v>Costa Rica</v>
      </c>
      <c r="D149" s="21" t="str">
        <f aca="false">'Player Data'!C149</f>
        <v>Costa Rica Second Division - West</v>
      </c>
      <c r="E149" s="21" t="n">
        <f aca="false">'Player Data'!D149</f>
        <v>4</v>
      </c>
      <c r="F149" s="21" t="n">
        <f aca="false">'Player Data'!G149</f>
        <v>18</v>
      </c>
      <c r="G149" s="21" t="n">
        <f aca="false">'Player Data'!H149</f>
        <v>2037</v>
      </c>
      <c r="H149" s="22" t="n">
        <f aca="false">IF(B149="GK",IFERROR(('Player Data'!N149-1.5*'Player Data'!O149)/'Player Data'!H149*90,0),IFERROR(('Player Data'!I149+'Player Data'!J149)/'Player Data'!H149*90,0))</f>
        <v>2.80559646539028</v>
      </c>
      <c r="I149" s="22" t="n">
        <f aca="false">IF(B149="GK",'Player Data'!P149,IFERROR(('Player Data'!K149+'Player Data'!L149)/'Player Data'!H149*90,0))</f>
        <v>74.8</v>
      </c>
      <c r="J149" s="22" t="n">
        <f aca="false">IF(B149="GK",IFERROR('Player Data'!Q149/'Player Data'!H149*90,0),IFERROR('Player Data'!M149/'Player Data'!H149*90,0))</f>
        <v>0.128129602356406</v>
      </c>
      <c r="K149" s="23" t="n">
        <f aca="false">'Player Data'!S149</f>
        <v>88081</v>
      </c>
      <c r="L149" s="22" t="n">
        <f aca="false">INDEX(Assumptions!$B$13:$B$15,MATCH(E149,Assumptions!$A$13:$A$15,0))</f>
        <v>0.7</v>
      </c>
      <c r="M149" s="24" t="n">
        <f aca="false">IFERROR(SUMPRODUCT(($B$2:$B$1001=B149)*($H$2:$H$1001&lt;=H149))/SUMPRODUCT(($B$2:$B$1001=B149)*1),0)</f>
        <v>1</v>
      </c>
      <c r="N149" s="24" t="n">
        <f aca="false">IFERROR(SUMPRODUCT(($B$2:$B$1001=B149)*($I$2:$I$1001&lt;=I149))/SUMPRODUCT(($B$2:$B$1001=B149)*1),0)</f>
        <v>0.557377049180328</v>
      </c>
      <c r="O149" s="24" t="n">
        <f aca="false">IFERROR(SUMPRODUCT(($B$2:$B$1001=B149)*($J$2:$J$1001&lt;=J149))/SUMPRODUCT(($B$2:$B$1001=B149)*1),0)</f>
        <v>0.0273224043715847</v>
      </c>
      <c r="P149" s="24" t="n">
        <f aca="false">IFERROR(SUMPRODUCT(($B$2:$B$1001=B149)*((0-$F$2:$F$1001)&lt;=(0-F149)))/SUMPRODUCT(($B$2:$B$1001=B149)*1),0)</f>
        <v>0.907103825136612</v>
      </c>
      <c r="Q149" s="25" t="n">
        <f aca="false">(M149*Assumptions!$B$5+N149*Assumptions!$B$6+O149*Assumptions!$B$7+P149*Assumptions!$B$8)*L149</f>
        <v>0.442377049180328</v>
      </c>
      <c r="R149" s="24" t="n">
        <f aca="false">IFERROR(SUMPRODUCT(($B$2:$B$1001=B149)*($Q$2:$Q$1001&lt;=Q149))/SUMPRODUCT(($B$2:$B$1001=B149)*1),0)</f>
        <v>0.442622950819672</v>
      </c>
      <c r="S149" s="24" t="n">
        <f aca="false">IFERROR(SUMPRODUCT(($B$2:$B$1001=B149)*($K$2:$K$1001&lt;=K149))/SUMPRODUCT(($B$2:$B$1001=B149)*1),0)</f>
        <v>0.628415300546448</v>
      </c>
      <c r="T149" s="26" t="n">
        <f aca="false">(R149-S149)*100</f>
        <v>-18.5792349726776</v>
      </c>
      <c r="U149" s="21" t="str">
        <f aca="false">'Player Data'!T149</f>
        <v>Unknown</v>
      </c>
      <c r="V149" s="27" t="n">
        <f aca="false">'Player Data'!U149</f>
        <v>2029</v>
      </c>
      <c r="W149" s="21" t="str">
        <f aca="false">IF(AND(T149&gt;=Assumptions!$B$19,U149="No"),"High Priority - Unrepresented",IF(T149&gt;=Assumptions!$B$19,"High Priority",IF(AND(T149&gt;=Assumptions!$B$20,U149="No"),"Watchlist - Unrepresented",IF(T149&gt;=Assumptions!$B$20,"Watchlist",""))))</f>
        <v/>
      </c>
      <c r="X149" s="21" t="str">
        <f aca="false">'Player Data'!V149</f>
        <v>info@sanjoserovers.cr</v>
      </c>
      <c r="Y149" s="28" t="str">
        <f aca="false">'Player Data'!W149</f>
        <v>Club sporting director / first-team office</v>
      </c>
      <c r="Z149" s="28" t="str">
        <f aca="false">'Player Data'!X149</f>
        <v>FEDEFUTBOL (Costa Rican Football Federation) player registry</v>
      </c>
      <c r="AA149" s="19" t="str">
        <f aca="false">HYPERLINK("https://www.transfermarkt.com/schnellsuche/ergebnis/schnellsuche?query="&amp;SUBSTITUTE(A149," ","+"),"Search Transfermarkt")</f>
        <v>Search Transfermarkt</v>
      </c>
      <c r="AB149" s="29" t="n">
        <f aca="false">IFERROR('Player Data'!K149/('Player Data'!K149+'Player Data'!L149),0)</f>
        <v>0.923076923076923</v>
      </c>
      <c r="AC149" s="21" t="str">
        <f aca="false">IF(B149="GK",IF(AND(O149&gt;=Assumptions!$B$23,N149&gt;=Assumptions!$B$23),"Sweeper-Keeper / Build-from-the-Back",IF(O149&gt;=Assumptions!$B$23,"Sweeper-Keeper / High Line",IF(M149&gt;=Assumptions!$B$23,"Shot-Stopper / Traditional","Flexible / Multi-System"))),IF(AND(O149&gt;=Assumptions!$B$23,P149&gt;=Assumptions!$B$24),"High Press / Gegenpressing",IF(AND(N149&gt;=Assumptions!$B$23,AB149&gt;=Assumptions!$B$25),"Possession / Build-from-the-Back",IF(N149&gt;=Assumptions!$B$23,"Counter-Attack / Transition",IF(AND(O149&gt;=Assumptions!$B$23,N149&lt;Assumptions!$B$26),"Low Block / Park the Bus",IF(AND(B149="FW",M149&gt;=Assumptions!$B$23,N149&lt;Assumptions!$B$26),"Direct / Target Approach","Flexible / Multi-System"))))))</f>
        <v>Shot-Stopper / Traditional</v>
      </c>
      <c r="AD149" s="21" t="str">
        <f aca="false">'Player Data'!Y149</f>
        <v>2026-07-17</v>
      </c>
      <c r="AE149" s="21" t="str">
        <f aca="false">'Player Data'!Z149</f>
        <v>2026-07-17</v>
      </c>
      <c r="AF149" s="28" t="str">
        <f aca="false">IFERROR(INDEX(Assumptions!$B$30:$B$61,MATCH(C149,Assumptions!$A$30:$A$61,0)),"--")</f>
        <v>Mexico, United States</v>
      </c>
      <c r="AG149" s="30" t="str">
        <f aca="false">IF(R149&gt;=0.7,"Step-Up Candidate",IF(R149&gt;=0.4,"Lateral Move","Stay &amp; Develop"))</f>
        <v>Lateral Move</v>
      </c>
    </row>
    <row r="150" customFormat="false" ht="23.85" hidden="false" customHeight="false" outlineLevel="0" collapsed="false">
      <c r="A150" s="21" t="str">
        <f aca="false">'Player Data'!A150</f>
        <v>Sebastian Sanchez</v>
      </c>
      <c r="B150" s="21" t="str">
        <f aca="false">'Player Data'!F150</f>
        <v>GK</v>
      </c>
      <c r="C150" s="21" t="str">
        <f aca="false">'Player Data'!B150</f>
        <v>Paraguay</v>
      </c>
      <c r="D150" s="21" t="str">
        <f aca="false">'Player Data'!C150</f>
        <v>Paraguay Second Division - West</v>
      </c>
      <c r="E150" s="21" t="n">
        <f aca="false">'Player Data'!D150</f>
        <v>2</v>
      </c>
      <c r="F150" s="21" t="n">
        <f aca="false">'Player Data'!G150</f>
        <v>19</v>
      </c>
      <c r="G150" s="21" t="n">
        <f aca="false">'Player Data'!H150</f>
        <v>1751</v>
      </c>
      <c r="H150" s="22" t="n">
        <f aca="false">IF(B150="GK",IFERROR(('Player Data'!N150-1.5*'Player Data'!O150)/'Player Data'!H150*90,0),IFERROR(('Player Data'!I150+'Player Data'!J150)/'Player Data'!H150*90,0))</f>
        <v>0.899486007995431</v>
      </c>
      <c r="I150" s="22" t="n">
        <f aca="false">IF(B150="GK",'Player Data'!P150,IFERROR(('Player Data'!K150+'Player Data'!L150)/'Player Data'!H150*90,0))</f>
        <v>63.7</v>
      </c>
      <c r="J150" s="22" t="n">
        <f aca="false">IF(B150="GK",IFERROR('Player Data'!Q150/'Player Data'!H150*90,0),IFERROR('Player Data'!M150/'Player Data'!H150*90,0))</f>
        <v>0.616790405482581</v>
      </c>
      <c r="K150" s="23" t="n">
        <f aca="false">'Player Data'!S150</f>
        <v>0</v>
      </c>
      <c r="L150" s="22" t="n">
        <f aca="false">INDEX(Assumptions!$B$13:$B$15,MATCH(E150,Assumptions!$A$13:$A$15,0))</f>
        <v>1</v>
      </c>
      <c r="M150" s="24" t="n">
        <f aca="false">IFERROR(SUMPRODUCT(($B$2:$B$1001=B150)*($H$2:$H$1001&lt;=H150))/SUMPRODUCT(($B$2:$B$1001=B150)*1),0)</f>
        <v>0.371584699453552</v>
      </c>
      <c r="N150" s="24" t="n">
        <f aca="false">IFERROR(SUMPRODUCT(($B$2:$B$1001=B150)*($I$2:$I$1001&lt;=I150))/SUMPRODUCT(($B$2:$B$1001=B150)*1),0)</f>
        <v>0.273224043715847</v>
      </c>
      <c r="O150" s="24" t="n">
        <f aca="false">IFERROR(SUMPRODUCT(($B$2:$B$1001=B150)*($J$2:$J$1001&lt;=J150))/SUMPRODUCT(($B$2:$B$1001=B150)*1),0)</f>
        <v>0.327868852459016</v>
      </c>
      <c r="P150" s="24" t="n">
        <f aca="false">IFERROR(SUMPRODUCT(($B$2:$B$1001=B150)*((0-$F$2:$F$1001)&lt;=(0-F150)))/SUMPRODUCT(($B$2:$B$1001=B150)*1),0)</f>
        <v>0.770491803278689</v>
      </c>
      <c r="Q150" s="25" t="n">
        <f aca="false">(M150*Assumptions!$B$5+N150*Assumptions!$B$6+O150*Assumptions!$B$7+P150*Assumptions!$B$8)*L150</f>
        <v>0.408196721311475</v>
      </c>
      <c r="R150" s="24" t="n">
        <f aca="false">IFERROR(SUMPRODUCT(($B$2:$B$1001=B150)*($Q$2:$Q$1001&lt;=Q150))/SUMPRODUCT(($B$2:$B$1001=B150)*1),0)</f>
        <v>0.387978142076503</v>
      </c>
      <c r="S150" s="24" t="n">
        <f aca="false">IFERROR(SUMPRODUCT(($B$2:$B$1001=B150)*($K$2:$K$1001&lt;=K150))/SUMPRODUCT(($B$2:$B$1001=B150)*1),0)</f>
        <v>0.218579234972678</v>
      </c>
      <c r="T150" s="26" t="n">
        <f aca="false">(R150-S150)*100</f>
        <v>16.9398907103825</v>
      </c>
      <c r="U150" s="21" t="str">
        <f aca="false">'Player Data'!T150</f>
        <v>No</v>
      </c>
      <c r="V150" s="27" t="n">
        <f aca="false">'Player Data'!U150</f>
        <v>2027</v>
      </c>
      <c r="W150" s="21" t="str">
        <f aca="false">IF(AND(T150&gt;=Assumptions!$B$19,U150="No"),"High Priority - Unrepresented",IF(T150&gt;=Assumptions!$B$19,"High Priority",IF(AND(T150&gt;=Assumptions!$B$20,U150="No"),"Watchlist - Unrepresented",IF(T150&gt;=Assumptions!$B$20,"Watchlist",""))))</f>
        <v/>
      </c>
      <c r="X150" s="21" t="str">
        <f aca="false">'Player Data'!V150</f>
        <v>info@luquetown.py</v>
      </c>
      <c r="Y150" s="28" t="str">
        <f aca="false">'Player Data'!W150</f>
        <v>Club sporting director / first-team office</v>
      </c>
      <c r="Z150" s="28" t="str">
        <f aca="false">'Player Data'!X150</f>
        <v>APF (Paraguayan Football Association) player registry</v>
      </c>
      <c r="AA150" s="19" t="str">
        <f aca="false">HYPERLINK("https://www.transfermarkt.com/schnellsuche/ergebnis/schnellsuche?query="&amp;SUBSTITUTE(A150," ","+"),"Search Transfermarkt")</f>
        <v>Search Transfermarkt</v>
      </c>
      <c r="AB150" s="29" t="n">
        <f aca="false">IFERROR('Player Data'!K150/('Player Data'!K150+'Player Data'!L150),0)</f>
        <v>0.916666666666667</v>
      </c>
      <c r="AC150" s="21" t="str">
        <f aca="false">IF(B150="GK",IF(AND(O150&gt;=Assumptions!$B$23,N150&gt;=Assumptions!$B$23),"Sweeper-Keeper / Build-from-the-Back",IF(O150&gt;=Assumptions!$B$23,"Sweeper-Keeper / High Line",IF(M150&gt;=Assumptions!$B$23,"Shot-Stopper / Traditional","Flexible / Multi-System"))),IF(AND(O150&gt;=Assumptions!$B$23,P150&gt;=Assumptions!$B$24),"High Press / Gegenpressing",IF(AND(N150&gt;=Assumptions!$B$23,AB150&gt;=Assumptions!$B$25),"Possession / Build-from-the-Back",IF(N150&gt;=Assumptions!$B$23,"Counter-Attack / Transition",IF(AND(O150&gt;=Assumptions!$B$23,N150&lt;Assumptions!$B$26),"Low Block / Park the Bus",IF(AND(B150="FW",M150&gt;=Assumptions!$B$23,N150&lt;Assumptions!$B$26),"Direct / Target Approach","Flexible / Multi-System"))))))</f>
        <v>Flexible / Multi-System</v>
      </c>
      <c r="AD150" s="21" t="str">
        <f aca="false">'Player Data'!Y150</f>
        <v>2026-07-17</v>
      </c>
      <c r="AE150" s="21" t="str">
        <f aca="false">'Player Data'!Z150</f>
        <v>2026-07-17</v>
      </c>
      <c r="AF150" s="28" t="str">
        <f aca="false">IFERROR(INDEX(Assumptions!$B$30:$B$61,MATCH(C150,Assumptions!$A$30:$A$61,0)),"--")</f>
        <v>Argentina, Portugal</v>
      </c>
      <c r="AG150" s="30" t="str">
        <f aca="false">IF(R150&gt;=0.7,"Step-Up Candidate",IF(R150&gt;=0.4,"Lateral Move","Stay &amp; Develop"))</f>
        <v>Stay &amp; Develop</v>
      </c>
    </row>
    <row r="151" customFormat="false" ht="23.85" hidden="false" customHeight="false" outlineLevel="0" collapsed="false">
      <c r="A151" s="21" t="str">
        <f aca="false">'Player Data'!A151</f>
        <v>Emiliano Sanchez</v>
      </c>
      <c r="B151" s="21" t="str">
        <f aca="false">'Player Data'!F151</f>
        <v>FW</v>
      </c>
      <c r="C151" s="21" t="str">
        <f aca="false">'Player Data'!B151</f>
        <v>Paraguay</v>
      </c>
      <c r="D151" s="21" t="str">
        <f aca="false">'Player Data'!C151</f>
        <v>Paraguay Second Division - West</v>
      </c>
      <c r="E151" s="21" t="n">
        <f aca="false">'Player Data'!D151</f>
        <v>3</v>
      </c>
      <c r="F151" s="21" t="n">
        <f aca="false">'Player Data'!G151</f>
        <v>17</v>
      </c>
      <c r="G151" s="21" t="n">
        <f aca="false">'Player Data'!H151</f>
        <v>1558</v>
      </c>
      <c r="H151" s="22" t="n">
        <f aca="false">IF(B151="GK",IFERROR(('Player Data'!N151-1.5*'Player Data'!O151)/'Player Data'!H151*90,0),IFERROR(('Player Data'!I151+'Player Data'!J151)/'Player Data'!H151*90,0))</f>
        <v>1.61745827984596</v>
      </c>
      <c r="I151" s="22" t="n">
        <f aca="false">IF(B151="GK",'Player Data'!P151,IFERROR(('Player Data'!K151+'Player Data'!L151)/'Player Data'!H151*90,0))</f>
        <v>5.7188703465982</v>
      </c>
      <c r="J151" s="22" t="n">
        <f aca="false">IF(B151="GK",IFERROR('Player Data'!Q151/'Player Data'!H151*90,0),IFERROR('Player Data'!M151/'Player Data'!H151*90,0))</f>
        <v>0.462130937098845</v>
      </c>
      <c r="K151" s="23" t="n">
        <f aca="false">'Player Data'!S151</f>
        <v>119065</v>
      </c>
      <c r="L151" s="22" t="n">
        <f aca="false">INDEX(Assumptions!$B$13:$B$15,MATCH(E151,Assumptions!$A$13:$A$15,0))</f>
        <v>0.85</v>
      </c>
      <c r="M151" s="24" t="n">
        <f aca="false">IFERROR(SUMPRODUCT(($B$2:$B$1001=B151)*($H$2:$H$1001&lt;=H151))/SUMPRODUCT(($B$2:$B$1001=B151)*1),0)</f>
        <v>0.880530973451328</v>
      </c>
      <c r="N151" s="24" t="n">
        <f aca="false">IFERROR(SUMPRODUCT(($B$2:$B$1001=B151)*($I$2:$I$1001&lt;=I151))/SUMPRODUCT(($B$2:$B$1001=B151)*1),0)</f>
        <v>0.376106194690265</v>
      </c>
      <c r="O151" s="24" t="n">
        <f aca="false">IFERROR(SUMPRODUCT(($B$2:$B$1001=B151)*($J$2:$J$1001&lt;=J151))/SUMPRODUCT(($B$2:$B$1001=B151)*1),0)</f>
        <v>0.433628318584071</v>
      </c>
      <c r="P151" s="24" t="n">
        <f aca="false">IFERROR(SUMPRODUCT(($B$2:$B$1001=B151)*((0-$F$2:$F$1001)&lt;=(0-F151)))/SUMPRODUCT(($B$2:$B$1001=B151)*1),0)</f>
        <v>1</v>
      </c>
      <c r="Q151" s="25" t="n">
        <f aca="false">(M151*Assumptions!$B$5+N151*Assumptions!$B$6+O151*Assumptions!$B$7+P151*Assumptions!$B$8)*L151</f>
        <v>0.542721238938053</v>
      </c>
      <c r="R151" s="24" t="n">
        <f aca="false">IFERROR(SUMPRODUCT(($B$2:$B$1001=B151)*($Q$2:$Q$1001&lt;=Q151))/SUMPRODUCT(($B$2:$B$1001=B151)*1),0)</f>
        <v>0.672566371681416</v>
      </c>
      <c r="S151" s="24" t="n">
        <f aca="false">IFERROR(SUMPRODUCT(($B$2:$B$1001=B151)*($K$2:$K$1001&lt;=K151))/SUMPRODUCT(($B$2:$B$1001=B151)*1),0)</f>
        <v>0.831858407079646</v>
      </c>
      <c r="T151" s="26" t="n">
        <f aca="false">(R151-S151)*100</f>
        <v>-15.929203539823</v>
      </c>
      <c r="U151" s="21" t="str">
        <f aca="false">'Player Data'!T151</f>
        <v>No</v>
      </c>
      <c r="V151" s="27" t="n">
        <f aca="false">'Player Data'!U151</f>
        <v>2028</v>
      </c>
      <c r="W151" s="21" t="str">
        <f aca="false">IF(AND(T151&gt;=Assumptions!$B$19,U151="No"),"High Priority - Unrepresented",IF(T151&gt;=Assumptions!$B$19,"High Priority",IF(AND(T151&gt;=Assumptions!$B$20,U151="No"),"Watchlist - Unrepresented",IF(T151&gt;=Assumptions!$B$20,"Watchlist",""))))</f>
        <v/>
      </c>
      <c r="X151" s="21" t="str">
        <f aca="false">'Player Data'!V151</f>
        <v>info@encarnacionathletic.py</v>
      </c>
      <c r="Y151" s="28" t="str">
        <f aca="false">'Player Data'!W151</f>
        <v>Club youth/academy office ONLY - player is a minor, do not contact directly</v>
      </c>
      <c r="Z151" s="28" t="str">
        <f aca="false">'Player Data'!X151</f>
        <v>APF (Paraguayan Football Association) player registry</v>
      </c>
      <c r="AA151" s="19" t="str">
        <f aca="false">HYPERLINK("https://www.transfermarkt.com/schnellsuche/ergebnis/schnellsuche?query="&amp;SUBSTITUTE(A151," ","+"),"Search Transfermarkt")</f>
        <v>Search Transfermarkt</v>
      </c>
      <c r="AB151" s="29" t="n">
        <f aca="false">IFERROR('Player Data'!K151/('Player Data'!K151+'Player Data'!L151),0)</f>
        <v>0.313131313131313</v>
      </c>
      <c r="AC151" s="21" t="str">
        <f aca="false">IF(B151="GK",IF(AND(O151&gt;=Assumptions!$B$23,N151&gt;=Assumptions!$B$23),"Sweeper-Keeper / Build-from-the-Back",IF(O151&gt;=Assumptions!$B$23,"Sweeper-Keeper / High Line",IF(M151&gt;=Assumptions!$B$23,"Shot-Stopper / Traditional","Flexible / Multi-System"))),IF(AND(O151&gt;=Assumptions!$B$23,P151&gt;=Assumptions!$B$24),"High Press / Gegenpressing",IF(AND(N151&gt;=Assumptions!$B$23,AB151&gt;=Assumptions!$B$25),"Possession / Build-from-the-Back",IF(N151&gt;=Assumptions!$B$23,"Counter-Attack / Transition",IF(AND(O151&gt;=Assumptions!$B$23,N151&lt;Assumptions!$B$26),"Low Block / Park the Bus",IF(AND(B151="FW",M151&gt;=Assumptions!$B$23,N151&lt;Assumptions!$B$26),"Direct / Target Approach","Flexible / Multi-System"))))))</f>
        <v>Direct / Target Approach</v>
      </c>
      <c r="AD151" s="21" t="str">
        <f aca="false">'Player Data'!Y151</f>
        <v>2026-07-17</v>
      </c>
      <c r="AE151" s="21" t="str">
        <f aca="false">'Player Data'!Z151</f>
        <v>2026-07-17</v>
      </c>
      <c r="AF151" s="28" t="str">
        <f aca="false">IFERROR(INDEX(Assumptions!$B$30:$B$61,MATCH(C151,Assumptions!$A$30:$A$61,0)),"--")</f>
        <v>Argentina, Portugal</v>
      </c>
      <c r="AG151" s="30" t="str">
        <f aca="false">IF(R151&gt;=0.7,"Step-Up Candidate",IF(R151&gt;=0.4,"Lateral Move","Stay &amp; Develop"))</f>
        <v>Lateral Move</v>
      </c>
    </row>
    <row r="152" customFormat="false" ht="23.85" hidden="false" customHeight="false" outlineLevel="0" collapsed="false">
      <c r="A152" s="21" t="str">
        <f aca="false">'Player Data'!A152</f>
        <v>Rodrigo Cardozo</v>
      </c>
      <c r="B152" s="21" t="str">
        <f aca="false">'Player Data'!F152</f>
        <v>DF</v>
      </c>
      <c r="C152" s="21" t="str">
        <f aca="false">'Player Data'!B152</f>
        <v>Paraguay</v>
      </c>
      <c r="D152" s="21" t="str">
        <f aca="false">'Player Data'!C152</f>
        <v>Paraguay Reserve League</v>
      </c>
      <c r="E152" s="21" t="n">
        <f aca="false">'Player Data'!D152</f>
        <v>2</v>
      </c>
      <c r="F152" s="21" t="n">
        <f aca="false">'Player Data'!G152</f>
        <v>21</v>
      </c>
      <c r="G152" s="21" t="n">
        <f aca="false">'Player Data'!H152</f>
        <v>824</v>
      </c>
      <c r="H152" s="22" t="n">
        <f aca="false">IF(B152="GK",IFERROR(('Player Data'!N152-1.5*'Player Data'!O152)/'Player Data'!H152*90,0),IFERROR(('Player Data'!I152+'Player Data'!J152)/'Player Data'!H152*90,0))</f>
        <v>0.546116504854369</v>
      </c>
      <c r="I152" s="22" t="n">
        <f aca="false">IF(B152="GK",'Player Data'!P152,IFERROR(('Player Data'!K152+'Player Data'!L152)/'Player Data'!H152*90,0))</f>
        <v>8.95631067961165</v>
      </c>
      <c r="J152" s="22" t="n">
        <f aca="false">IF(B152="GK",IFERROR('Player Data'!Q152/'Player Data'!H152*90,0),IFERROR('Player Data'!M152/'Player Data'!H152*90,0))</f>
        <v>8.51941747572815</v>
      </c>
      <c r="K152" s="23" t="n">
        <f aca="false">'Player Data'!S152</f>
        <v>95653</v>
      </c>
      <c r="L152" s="22" t="n">
        <f aca="false">INDEX(Assumptions!$B$13:$B$15,MATCH(E152,Assumptions!$A$13:$A$15,0))</f>
        <v>1</v>
      </c>
      <c r="M152" s="24" t="n">
        <f aca="false">IFERROR(SUMPRODUCT(($B$2:$B$1001=B152)*($H$2:$H$1001&lt;=H152))/SUMPRODUCT(($B$2:$B$1001=B152)*1),0)</f>
        <v>0.969387755102041</v>
      </c>
      <c r="N152" s="24" t="n">
        <f aca="false">IFERROR(SUMPRODUCT(($B$2:$B$1001=B152)*($I$2:$I$1001&lt;=I152))/SUMPRODUCT(($B$2:$B$1001=B152)*1),0)</f>
        <v>0.938775510204082</v>
      </c>
      <c r="O152" s="24" t="n">
        <f aca="false">IFERROR(SUMPRODUCT(($B$2:$B$1001=B152)*($J$2:$J$1001&lt;=J152))/SUMPRODUCT(($B$2:$B$1001=B152)*1),0)</f>
        <v>0.874149659863946</v>
      </c>
      <c r="P152" s="24" t="n">
        <f aca="false">IFERROR(SUMPRODUCT(($B$2:$B$1001=B152)*((0-$F$2:$F$1001)&lt;=(0-F152)))/SUMPRODUCT(($B$2:$B$1001=B152)*1),0)</f>
        <v>0.568027210884354</v>
      </c>
      <c r="Q152" s="25" t="n">
        <f aca="false">(M152*Assumptions!$B$5+N152*Assumptions!$B$6+O152*Assumptions!$B$7+P152*Assumptions!$B$8)*L152</f>
        <v>0.859353741496599</v>
      </c>
      <c r="R152" s="24" t="n">
        <f aca="false">IFERROR(SUMPRODUCT(($B$2:$B$1001=B152)*($Q$2:$Q$1001&lt;=Q152))/SUMPRODUCT(($B$2:$B$1001=B152)*1),0)</f>
        <v>0.986394557823129</v>
      </c>
      <c r="S152" s="24" t="n">
        <f aca="false">IFERROR(SUMPRODUCT(($B$2:$B$1001=B152)*($K$2:$K$1001&lt;=K152))/SUMPRODUCT(($B$2:$B$1001=B152)*1),0)</f>
        <v>0.707482993197279</v>
      </c>
      <c r="T152" s="26" t="n">
        <f aca="false">(R152-S152)*100</f>
        <v>27.891156462585</v>
      </c>
      <c r="U152" s="21" t="str">
        <f aca="false">'Player Data'!T152</f>
        <v>No</v>
      </c>
      <c r="V152" s="27" t="n">
        <f aca="false">'Player Data'!U152</f>
        <v>2027</v>
      </c>
      <c r="W152" s="21" t="str">
        <f aca="false">IF(AND(T152&gt;=Assumptions!$B$19,U152="No"),"High Priority - Unrepresented",IF(T152&gt;=Assumptions!$B$19,"High Priority",IF(AND(T152&gt;=Assumptions!$B$20,U152="No"),"Watchlist - Unrepresented",IF(T152&gt;=Assumptions!$B$20,"Watchlist",""))))</f>
        <v>Watchlist - Unrepresented</v>
      </c>
      <c r="X152" s="21" t="str">
        <f aca="false">'Player Data'!V152</f>
        <v>info@luquecity.py</v>
      </c>
      <c r="Y152" s="28" t="str">
        <f aca="false">'Player Data'!W152</f>
        <v>Club sporting director / first-team office</v>
      </c>
      <c r="Z152" s="28" t="str">
        <f aca="false">'Player Data'!X152</f>
        <v>APF (Paraguayan Football Association) player registry</v>
      </c>
      <c r="AA152" s="19" t="str">
        <f aca="false">HYPERLINK("https://www.transfermarkt.com/schnellsuche/ergebnis/schnellsuche?query="&amp;SUBSTITUTE(A152," ","+"),"Search Transfermarkt")</f>
        <v>Search Transfermarkt</v>
      </c>
      <c r="AB152" s="29" t="n">
        <f aca="false">IFERROR('Player Data'!K152/('Player Data'!K152+'Player Data'!L152),0)</f>
        <v>0.707317073170732</v>
      </c>
      <c r="AC152" s="21" t="str">
        <f aca="false">IF(B152="GK",IF(AND(O152&gt;=Assumptions!$B$23,N152&gt;=Assumptions!$B$23),"Sweeper-Keeper / Build-from-the-Back",IF(O152&gt;=Assumptions!$B$23,"Sweeper-Keeper / High Line",IF(M152&gt;=Assumptions!$B$23,"Shot-Stopper / Traditional","Flexible / Multi-System"))),IF(AND(O152&gt;=Assumptions!$B$23,P152&gt;=Assumptions!$B$24),"High Press / Gegenpressing",IF(AND(N152&gt;=Assumptions!$B$23,AB152&gt;=Assumptions!$B$25),"Possession / Build-from-the-Back",IF(N152&gt;=Assumptions!$B$23,"Counter-Attack / Transition",IF(AND(O152&gt;=Assumptions!$B$23,N152&lt;Assumptions!$B$26),"Low Block / Park the Bus",IF(AND(B152="FW",M152&gt;=Assumptions!$B$23,N152&lt;Assumptions!$B$26),"Direct / Target Approach","Flexible / Multi-System"))))))</f>
        <v>High Press / Gegenpressing</v>
      </c>
      <c r="AD152" s="21" t="str">
        <f aca="false">'Player Data'!Y152</f>
        <v>2026-07-17</v>
      </c>
      <c r="AE152" s="21" t="str">
        <f aca="false">'Player Data'!Z152</f>
        <v>2026-07-17</v>
      </c>
      <c r="AF152" s="28" t="str">
        <f aca="false">IFERROR(INDEX(Assumptions!$B$30:$B$61,MATCH(C152,Assumptions!$A$30:$A$61,0)),"--")</f>
        <v>Argentina, Portugal</v>
      </c>
      <c r="AG152" s="30" t="str">
        <f aca="false">IF(R152&gt;=0.7,"Step-Up Candidate",IF(R152&gt;=0.4,"Lateral Move","Stay &amp; Develop"))</f>
        <v>Step-Up Candidate</v>
      </c>
    </row>
    <row r="153" customFormat="false" ht="23.85" hidden="false" customHeight="false" outlineLevel="0" collapsed="false">
      <c r="A153" s="21" t="str">
        <f aca="false">'Player Data'!A153</f>
        <v>Janis Berzins</v>
      </c>
      <c r="B153" s="21" t="str">
        <f aca="false">'Player Data'!F153</f>
        <v>GK</v>
      </c>
      <c r="C153" s="21" t="str">
        <f aca="false">'Player Data'!B153</f>
        <v>Latvia</v>
      </c>
      <c r="D153" s="21" t="str">
        <f aca="false">'Player Data'!C153</f>
        <v>Latvia Second Division - East</v>
      </c>
      <c r="E153" s="21" t="n">
        <f aca="false">'Player Data'!D153</f>
        <v>2</v>
      </c>
      <c r="F153" s="21" t="n">
        <f aca="false">'Player Data'!G153</f>
        <v>26</v>
      </c>
      <c r="G153" s="21" t="n">
        <f aca="false">'Player Data'!H153</f>
        <v>2675</v>
      </c>
      <c r="H153" s="22" t="n">
        <f aca="false">IF(B153="GK",IFERROR(('Player Data'!N153-1.5*'Player Data'!O153)/'Player Data'!H153*90,0),IFERROR(('Player Data'!I153+'Player Data'!J153)/'Player Data'!H153*90,0))</f>
        <v>0.807476635514019</v>
      </c>
      <c r="I153" s="22" t="n">
        <f aca="false">IF(B153="GK",'Player Data'!P153,IFERROR(('Player Data'!K153+'Player Data'!L153)/'Player Data'!H153*90,0))</f>
        <v>83.2</v>
      </c>
      <c r="J153" s="22" t="n">
        <f aca="false">IF(B153="GK",IFERROR('Player Data'!Q153/'Player Data'!H153*90,0),IFERROR('Player Data'!M153/'Player Data'!H153*90,0))</f>
        <v>1.38953271028037</v>
      </c>
      <c r="K153" s="23" t="n">
        <f aca="false">'Player Data'!S153</f>
        <v>107426</v>
      </c>
      <c r="L153" s="22" t="n">
        <f aca="false">INDEX(Assumptions!$B$13:$B$15,MATCH(E153,Assumptions!$A$13:$A$15,0))</f>
        <v>1</v>
      </c>
      <c r="M153" s="24" t="n">
        <f aca="false">IFERROR(SUMPRODUCT(($B$2:$B$1001=B153)*($H$2:$H$1001&lt;=H153))/SUMPRODUCT(($B$2:$B$1001=B153)*1),0)</f>
        <v>0.333333333333333</v>
      </c>
      <c r="N153" s="24" t="n">
        <f aca="false">IFERROR(SUMPRODUCT(($B$2:$B$1001=B153)*($I$2:$I$1001&lt;=I153))/SUMPRODUCT(($B$2:$B$1001=B153)*1),0)</f>
        <v>0.781420765027322</v>
      </c>
      <c r="O153" s="24" t="n">
        <f aca="false">IFERROR(SUMPRODUCT(($B$2:$B$1001=B153)*($J$2:$J$1001&lt;=J153))/SUMPRODUCT(($B$2:$B$1001=B153)*1),0)</f>
        <v>0.890710382513661</v>
      </c>
      <c r="P153" s="24" t="n">
        <f aca="false">IFERROR(SUMPRODUCT(($B$2:$B$1001=B153)*((0-$F$2:$F$1001)&lt;=(0-F153)))/SUMPRODUCT(($B$2:$B$1001=B153)*1),0)</f>
        <v>0.131147540983607</v>
      </c>
      <c r="Q153" s="25" t="n">
        <f aca="false">(M153*Assumptions!$B$5+N153*Assumptions!$B$6+O153*Assumptions!$B$7+P153*Assumptions!$B$8)*L153</f>
        <v>0.56120218579235</v>
      </c>
      <c r="R153" s="24" t="n">
        <f aca="false">IFERROR(SUMPRODUCT(($B$2:$B$1001=B153)*($Q$2:$Q$1001&lt;=Q153))/SUMPRODUCT(($B$2:$B$1001=B153)*1),0)</f>
        <v>0.770491803278689</v>
      </c>
      <c r="S153" s="24" t="n">
        <f aca="false">IFERROR(SUMPRODUCT(($B$2:$B$1001=B153)*($K$2:$K$1001&lt;=K153))/SUMPRODUCT(($B$2:$B$1001=B153)*1),0)</f>
        <v>0.743169398907104</v>
      </c>
      <c r="T153" s="26" t="n">
        <f aca="false">(R153-S153)*100</f>
        <v>2.73224043715846</v>
      </c>
      <c r="U153" s="21" t="str">
        <f aca="false">'Player Data'!T153</f>
        <v>Unknown</v>
      </c>
      <c r="V153" s="27" t="n">
        <f aca="false">'Player Data'!U153</f>
        <v>2028</v>
      </c>
      <c r="W153" s="21" t="str">
        <f aca="false">IF(AND(T153&gt;=Assumptions!$B$19,U153="No"),"High Priority - Unrepresented",IF(T153&gt;=Assumptions!$B$19,"High Priority",IF(AND(T153&gt;=Assumptions!$B$20,U153="No"),"Watchlist - Unrepresented",IF(T153&gt;=Assumptions!$B$20,"Watchlist",""))))</f>
        <v/>
      </c>
      <c r="X153" s="21" t="str">
        <f aca="false">'Player Data'!V153</f>
        <v>info@jelgavarovers.lv</v>
      </c>
      <c r="Y153" s="28" t="str">
        <f aca="false">'Player Data'!W153</f>
        <v>Club sporting director / first-team office</v>
      </c>
      <c r="Z153" s="28" t="str">
        <f aca="false">'Player Data'!X153</f>
        <v>LFF (Latvian Football Federation) player registry</v>
      </c>
      <c r="AA153" s="19" t="str">
        <f aca="false">HYPERLINK("https://www.transfermarkt.com/schnellsuche/ergebnis/schnellsuche?query="&amp;SUBSTITUTE(A153," ","+"),"Search Transfermarkt")</f>
        <v>Search Transfermarkt</v>
      </c>
      <c r="AB153" s="29" t="n">
        <f aca="false">IFERROR('Player Data'!K153/('Player Data'!K153+'Player Data'!L153),0)</f>
        <v>0.909090909090909</v>
      </c>
      <c r="AC153" s="21" t="str">
        <f aca="false">IF(B153="GK",IF(AND(O153&gt;=Assumptions!$B$23,N153&gt;=Assumptions!$B$23),"Sweeper-Keeper / Build-from-the-Back",IF(O153&gt;=Assumptions!$B$23,"Sweeper-Keeper / High Line",IF(M153&gt;=Assumptions!$B$23,"Shot-Stopper / Traditional","Flexible / Multi-System"))),IF(AND(O153&gt;=Assumptions!$B$23,P153&gt;=Assumptions!$B$24),"High Press / Gegenpressing",IF(AND(N153&gt;=Assumptions!$B$23,AB153&gt;=Assumptions!$B$25),"Possession / Build-from-the-Back",IF(N153&gt;=Assumptions!$B$23,"Counter-Attack / Transition",IF(AND(O153&gt;=Assumptions!$B$23,N153&lt;Assumptions!$B$26),"Low Block / Park the Bus",IF(AND(B153="FW",M153&gt;=Assumptions!$B$23,N153&lt;Assumptions!$B$26),"Direct / Target Approach","Flexible / Multi-System"))))))</f>
        <v>Sweeper-Keeper / Build-from-the-Back</v>
      </c>
      <c r="AD153" s="21" t="str">
        <f aca="false">'Player Data'!Y153</f>
        <v>2026-07-17</v>
      </c>
      <c r="AE153" s="21" t="str">
        <f aca="false">'Player Data'!Z153</f>
        <v>2026-07-17</v>
      </c>
      <c r="AF153" s="28" t="str">
        <f aca="false">IFERROR(INDEX(Assumptions!$B$30:$B$61,MATCH(C153,Assumptions!$A$30:$A$61,0)),"--")</f>
        <v>Poland, Norway</v>
      </c>
      <c r="AG153" s="30" t="str">
        <f aca="false">IF(R153&gt;=0.7,"Step-Up Candidate",IF(R153&gt;=0.4,"Lateral Move","Stay &amp; Develop"))</f>
        <v>Step-Up Candidate</v>
      </c>
    </row>
    <row r="154" customFormat="false" ht="23.85" hidden="false" customHeight="false" outlineLevel="0" collapsed="false">
      <c r="A154" s="21" t="str">
        <f aca="false">'Player Data'!A154</f>
        <v>Maximiliano Rodriguez</v>
      </c>
      <c r="B154" s="21" t="str">
        <f aca="false">'Player Data'!F154</f>
        <v>MF</v>
      </c>
      <c r="C154" s="21" t="str">
        <f aca="false">'Player Data'!B154</f>
        <v>Uruguay</v>
      </c>
      <c r="D154" s="21" t="str">
        <f aca="false">'Player Data'!C154</f>
        <v>Uruguay Third Tier - North</v>
      </c>
      <c r="E154" s="21" t="n">
        <f aca="false">'Player Data'!D154</f>
        <v>3</v>
      </c>
      <c r="F154" s="21" t="n">
        <f aca="false">'Player Data'!G154</f>
        <v>17</v>
      </c>
      <c r="G154" s="21" t="n">
        <f aca="false">'Player Data'!H154</f>
        <v>2330</v>
      </c>
      <c r="H154" s="22" t="n">
        <f aca="false">IF(B154="GK",IFERROR(('Player Data'!N154-1.5*'Player Data'!O154)/'Player Data'!H154*90,0),IFERROR(('Player Data'!I154+'Player Data'!J154)/'Player Data'!H154*90,0))</f>
        <v>0.270386266094421</v>
      </c>
      <c r="I154" s="22" t="n">
        <f aca="false">IF(B154="GK",'Player Data'!P154,IFERROR(('Player Data'!K154+'Player Data'!L154)/'Player Data'!H154*90,0))</f>
        <v>7.95708154506438</v>
      </c>
      <c r="J154" s="22" t="n">
        <f aca="false">IF(B154="GK",IFERROR('Player Data'!Q154/'Player Data'!H154*90,0),IFERROR('Player Data'!M154/'Player Data'!H154*90,0))</f>
        <v>1.50643776824034</v>
      </c>
      <c r="K154" s="23" t="n">
        <f aca="false">'Player Data'!S154</f>
        <v>108687</v>
      </c>
      <c r="L154" s="22" t="n">
        <f aca="false">INDEX(Assumptions!$B$13:$B$15,MATCH(E154,Assumptions!$A$13:$A$15,0))</f>
        <v>0.85</v>
      </c>
      <c r="M154" s="24" t="n">
        <f aca="false">IFERROR(SUMPRODUCT(($B$2:$B$1001=B154)*($H$2:$H$1001&lt;=H154))/SUMPRODUCT(($B$2:$B$1001=B154)*1),0)</f>
        <v>0.0235690235690236</v>
      </c>
      <c r="N154" s="24" t="n">
        <f aca="false">IFERROR(SUMPRODUCT(($B$2:$B$1001=B154)*($I$2:$I$1001&lt;=I154))/SUMPRODUCT(($B$2:$B$1001=B154)*1),0)</f>
        <v>0.154882154882155</v>
      </c>
      <c r="O154" s="24" t="n">
        <f aca="false">IFERROR(SUMPRODUCT(($B$2:$B$1001=B154)*($J$2:$J$1001&lt;=J154))/SUMPRODUCT(($B$2:$B$1001=B154)*1),0)</f>
        <v>0.178451178451178</v>
      </c>
      <c r="P154" s="24" t="n">
        <f aca="false">IFERROR(SUMPRODUCT(($B$2:$B$1001=B154)*((0-$F$2:$F$1001)&lt;=(0-F154)))/SUMPRODUCT(($B$2:$B$1001=B154)*1),0)</f>
        <v>1</v>
      </c>
      <c r="Q154" s="25" t="n">
        <f aca="false">(M154*Assumptions!$B$5+N154*Assumptions!$B$6+O154*Assumptions!$B$7+P154*Assumptions!$B$8)*L154</f>
        <v>0.251422558922559</v>
      </c>
      <c r="R154" s="24" t="n">
        <f aca="false">IFERROR(SUMPRODUCT(($B$2:$B$1001=B154)*($Q$2:$Q$1001&lt;=Q154))/SUMPRODUCT(($B$2:$B$1001=B154)*1),0)</f>
        <v>0.181818181818182</v>
      </c>
      <c r="S154" s="24" t="n">
        <f aca="false">IFERROR(SUMPRODUCT(($B$2:$B$1001=B154)*($K$2:$K$1001&lt;=K154))/SUMPRODUCT(($B$2:$B$1001=B154)*1),0)</f>
        <v>0.787878787878788</v>
      </c>
      <c r="T154" s="26" t="n">
        <f aca="false">(R154-S154)*100</f>
        <v>-60.6060606060606</v>
      </c>
      <c r="U154" s="21" t="str">
        <f aca="false">'Player Data'!T154</f>
        <v>No</v>
      </c>
      <c r="V154" s="27" t="n">
        <f aca="false">'Player Data'!U154</f>
        <v>2028</v>
      </c>
      <c r="W154" s="21" t="str">
        <f aca="false">IF(AND(T154&gt;=Assumptions!$B$19,U154="No"),"High Priority - Unrepresented",IF(T154&gt;=Assumptions!$B$19,"High Priority",IF(AND(T154&gt;=Assumptions!$B$20,U154="No"),"Watchlist - Unrepresented",IF(T154&gt;=Assumptions!$B$20,"Watchlist",""))))</f>
        <v/>
      </c>
      <c r="X154" s="21" t="str">
        <f aca="false">'Player Data'!V154</f>
        <v>info@riveracity.uy</v>
      </c>
      <c r="Y154" s="28" t="str">
        <f aca="false">'Player Data'!W154</f>
        <v>Club youth/academy office ONLY - player is a minor, do not contact directly</v>
      </c>
      <c r="Z154" s="28" t="str">
        <f aca="false">'Player Data'!X154</f>
        <v>AUF (Uruguayan Football Association) player registry</v>
      </c>
      <c r="AA154" s="19" t="str">
        <f aca="false">HYPERLINK("https://www.transfermarkt.com/schnellsuche/ergebnis/schnellsuche?query="&amp;SUBSTITUTE(A154," ","+"),"Search Transfermarkt")</f>
        <v>Search Transfermarkt</v>
      </c>
      <c r="AB154" s="29" t="n">
        <f aca="false">IFERROR('Player Data'!K154/('Player Data'!K154+'Player Data'!L154),0)</f>
        <v>0.703883495145631</v>
      </c>
      <c r="AC154" s="21" t="str">
        <f aca="false">IF(B154="GK",IF(AND(O154&gt;=Assumptions!$B$23,N154&gt;=Assumptions!$B$23),"Sweeper-Keeper / Build-from-the-Back",IF(O154&gt;=Assumptions!$B$23,"Sweeper-Keeper / High Line",IF(M154&gt;=Assumptions!$B$23,"Shot-Stopper / Traditional","Flexible / Multi-System"))),IF(AND(O154&gt;=Assumptions!$B$23,P154&gt;=Assumptions!$B$24),"High Press / Gegenpressing",IF(AND(N154&gt;=Assumptions!$B$23,AB154&gt;=Assumptions!$B$25),"Possession / Build-from-the-Back",IF(N154&gt;=Assumptions!$B$23,"Counter-Attack / Transition",IF(AND(O154&gt;=Assumptions!$B$23,N154&lt;Assumptions!$B$26),"Low Block / Park the Bus",IF(AND(B154="FW",M154&gt;=Assumptions!$B$23,N154&lt;Assumptions!$B$26),"Direct / Target Approach","Flexible / Multi-System"))))))</f>
        <v>Flexible / Multi-System</v>
      </c>
      <c r="AD154" s="21" t="str">
        <f aca="false">'Player Data'!Y154</f>
        <v>2026-07-17</v>
      </c>
      <c r="AE154" s="21" t="str">
        <f aca="false">'Player Data'!Z154</f>
        <v>2026-07-17</v>
      </c>
      <c r="AF154" s="28" t="str">
        <f aca="false">IFERROR(INDEX(Assumptions!$B$30:$B$61,MATCH(C154,Assumptions!$A$30:$A$61,0)),"--")</f>
        <v>Argentina, Portugal</v>
      </c>
      <c r="AG154" s="30" t="str">
        <f aca="false">IF(R154&gt;=0.7,"Step-Up Candidate",IF(R154&gt;=0.4,"Lateral Move","Stay &amp; Develop"))</f>
        <v>Stay &amp; Develop</v>
      </c>
    </row>
    <row r="155" customFormat="false" ht="23.85" hidden="false" customHeight="false" outlineLevel="0" collapsed="false">
      <c r="A155" s="21" t="str">
        <f aca="false">'Player Data'!A155</f>
        <v>Levan Kiknadze</v>
      </c>
      <c r="B155" s="21" t="str">
        <f aca="false">'Player Data'!F155</f>
        <v>FW</v>
      </c>
      <c r="C155" s="21" t="str">
        <f aca="false">'Player Data'!B155</f>
        <v>Georgia</v>
      </c>
      <c r="D155" s="21" t="str">
        <f aca="false">'Player Data'!C155</f>
        <v>Georgia Second Division - East</v>
      </c>
      <c r="E155" s="21" t="n">
        <f aca="false">'Player Data'!D155</f>
        <v>3</v>
      </c>
      <c r="F155" s="21" t="n">
        <f aca="false">'Player Data'!G155</f>
        <v>19</v>
      </c>
      <c r="G155" s="21" t="n">
        <f aca="false">'Player Data'!H155</f>
        <v>1294</v>
      </c>
      <c r="H155" s="22" t="n">
        <f aca="false">IF(B155="GK",IFERROR(('Player Data'!N155-1.5*'Player Data'!O155)/'Player Data'!H155*90,0),IFERROR(('Player Data'!I155+'Player Data'!J155)/'Player Data'!H155*90,0))</f>
        <v>1.112828438949</v>
      </c>
      <c r="I155" s="22" t="n">
        <f aca="false">IF(B155="GK",'Player Data'!P155,IFERROR(('Player Data'!K155+'Player Data'!L155)/'Player Data'!H155*90,0))</f>
        <v>8.20710973724884</v>
      </c>
      <c r="J155" s="22" t="n">
        <f aca="false">IF(B155="GK",IFERROR('Player Data'!Q155/'Player Data'!H155*90,0),IFERROR('Player Data'!M155/'Player Data'!H155*90,0))</f>
        <v>0.904173106646059</v>
      </c>
      <c r="K155" s="23" t="n">
        <f aca="false">'Player Data'!S155</f>
        <v>50266</v>
      </c>
      <c r="L155" s="22" t="n">
        <f aca="false">INDEX(Assumptions!$B$13:$B$15,MATCH(E155,Assumptions!$A$13:$A$15,0))</f>
        <v>0.85</v>
      </c>
      <c r="M155" s="24" t="n">
        <f aca="false">IFERROR(SUMPRODUCT(($B$2:$B$1001=B155)*($H$2:$H$1001&lt;=H155))/SUMPRODUCT(($B$2:$B$1001=B155)*1),0)</f>
        <v>0.632743362831858</v>
      </c>
      <c r="N155" s="24" t="n">
        <f aca="false">IFERROR(SUMPRODUCT(($B$2:$B$1001=B155)*($I$2:$I$1001&lt;=I155))/SUMPRODUCT(($B$2:$B$1001=B155)*1),0)</f>
        <v>0.676991150442478</v>
      </c>
      <c r="O155" s="24" t="n">
        <f aca="false">IFERROR(SUMPRODUCT(($B$2:$B$1001=B155)*($J$2:$J$1001&lt;=J155))/SUMPRODUCT(($B$2:$B$1001=B155)*1),0)</f>
        <v>0.853982300884956</v>
      </c>
      <c r="P155" s="24" t="n">
        <f aca="false">IFERROR(SUMPRODUCT(($B$2:$B$1001=B155)*((0-$F$2:$F$1001)&lt;=(0-F155)))/SUMPRODUCT(($B$2:$B$1001=B155)*1),0)</f>
        <v>0.831858407079646</v>
      </c>
      <c r="Q155" s="25" t="n">
        <f aca="false">(M155*Assumptions!$B$5+N155*Assumptions!$B$6+O155*Assumptions!$B$7+P155*Assumptions!$B$8)*L155</f>
        <v>0.622455752212389</v>
      </c>
      <c r="R155" s="24" t="n">
        <f aca="false">IFERROR(SUMPRODUCT(($B$2:$B$1001=B155)*($Q$2:$Q$1001&lt;=Q155))/SUMPRODUCT(($B$2:$B$1001=B155)*1),0)</f>
        <v>0.792035398230089</v>
      </c>
      <c r="S155" s="24" t="n">
        <f aca="false">IFERROR(SUMPRODUCT(($B$2:$B$1001=B155)*($K$2:$K$1001&lt;=K155))/SUMPRODUCT(($B$2:$B$1001=B155)*1),0)</f>
        <v>0.469026548672566</v>
      </c>
      <c r="T155" s="26" t="n">
        <f aca="false">(R155-S155)*100</f>
        <v>32.3008849557522</v>
      </c>
      <c r="U155" s="21" t="str">
        <f aca="false">'Player Data'!T155</f>
        <v>No</v>
      </c>
      <c r="V155" s="27" t="n">
        <f aca="false">'Player Data'!U155</f>
        <v>2026</v>
      </c>
      <c r="W155" s="21" t="str">
        <f aca="false">IF(AND(T155&gt;=Assumptions!$B$19,U155="No"),"High Priority - Unrepresented",IF(T155&gt;=Assumptions!$B$19,"High Priority",IF(AND(T155&gt;=Assumptions!$B$20,U155="No"),"Watchlist - Unrepresented",IF(T155&gt;=Assumptions!$B$20,"Watchlist",""))))</f>
        <v>Watchlist - Unrepresented</v>
      </c>
      <c r="X155" s="21" t="str">
        <f aca="false">'Player Data'!V155</f>
        <v>info@kutaisiwanderers.ge</v>
      </c>
      <c r="Y155" s="28" t="str">
        <f aca="false">'Player Data'!W155</f>
        <v>Club sporting director / first-team office</v>
      </c>
      <c r="Z155" s="28" t="str">
        <f aca="false">'Player Data'!X155</f>
        <v>GFF (Georgian Football Federation) player registry</v>
      </c>
      <c r="AA155" s="19" t="str">
        <f aca="false">HYPERLINK("https://www.transfermarkt.com/schnellsuche/ergebnis/schnellsuche?query="&amp;SUBSTITUTE(A155," ","+"),"Search Transfermarkt")</f>
        <v>Search Transfermarkt</v>
      </c>
      <c r="AB155" s="29" t="n">
        <f aca="false">IFERROR('Player Data'!K155/('Player Data'!K155+'Player Data'!L155),0)</f>
        <v>0.372881355932203</v>
      </c>
      <c r="AC155" s="21" t="str">
        <f aca="false">IF(B155="GK",IF(AND(O155&gt;=Assumptions!$B$23,N155&gt;=Assumptions!$B$23),"Sweeper-Keeper / Build-from-the-Back",IF(O155&gt;=Assumptions!$B$23,"Sweeper-Keeper / High Line",IF(M155&gt;=Assumptions!$B$23,"Shot-Stopper / Traditional","Flexible / Multi-System"))),IF(AND(O155&gt;=Assumptions!$B$23,P155&gt;=Assumptions!$B$24),"High Press / Gegenpressing",IF(AND(N155&gt;=Assumptions!$B$23,AB155&gt;=Assumptions!$B$25),"Possession / Build-from-the-Back",IF(N155&gt;=Assumptions!$B$23,"Counter-Attack / Transition",IF(AND(O155&gt;=Assumptions!$B$23,N155&lt;Assumptions!$B$26),"Low Block / Park the Bus",IF(AND(B155="FW",M155&gt;=Assumptions!$B$23,N155&lt;Assumptions!$B$26),"Direct / Target Approach","Flexible / Multi-System"))))))</f>
        <v>High Press / Gegenpressing</v>
      </c>
      <c r="AD155" s="21" t="str">
        <f aca="false">'Player Data'!Y155</f>
        <v>2026-07-17</v>
      </c>
      <c r="AE155" s="21" t="str">
        <f aca="false">'Player Data'!Z155</f>
        <v>2026-07-17</v>
      </c>
      <c r="AF155" s="28" t="str">
        <f aca="false">IFERROR(INDEX(Assumptions!$B$30:$B$61,MATCH(C155,Assumptions!$A$30:$A$61,0)),"--")</f>
        <v>Turkey, Poland</v>
      </c>
      <c r="AG155" s="30" t="str">
        <f aca="false">IF(R155&gt;=0.7,"Step-Up Candidate",IF(R155&gt;=0.4,"Lateral Move","Stay &amp; Develop"))</f>
        <v>Step-Up Candidate</v>
      </c>
    </row>
    <row r="156" customFormat="false" ht="23.85" hidden="false" customHeight="false" outlineLevel="0" collapsed="false">
      <c r="A156" s="21" t="str">
        <f aca="false">'Player Data'!A156</f>
        <v>Goran Stojanovski</v>
      </c>
      <c r="B156" s="21" t="str">
        <f aca="false">'Player Data'!F156</f>
        <v>FW</v>
      </c>
      <c r="C156" s="21" t="str">
        <f aca="false">'Player Data'!B156</f>
        <v>North Macedonia</v>
      </c>
      <c r="D156" s="21" t="str">
        <f aca="false">'Player Data'!C156</f>
        <v>North Macedonia Provincial League</v>
      </c>
      <c r="E156" s="21" t="n">
        <f aca="false">'Player Data'!D156</f>
        <v>4</v>
      </c>
      <c r="F156" s="21" t="n">
        <f aca="false">'Player Data'!G156</f>
        <v>23</v>
      </c>
      <c r="G156" s="21" t="n">
        <f aca="false">'Player Data'!H156</f>
        <v>1850</v>
      </c>
      <c r="H156" s="22" t="n">
        <f aca="false">IF(B156="GK",IFERROR(('Player Data'!N156-1.5*'Player Data'!O156)/'Player Data'!H156*90,0),IFERROR(('Player Data'!I156+'Player Data'!J156)/'Player Data'!H156*90,0))</f>
        <v>0.972972972972973</v>
      </c>
      <c r="I156" s="22" t="n">
        <f aca="false">IF(B156="GK",'Player Data'!P156,IFERROR(('Player Data'!K156+'Player Data'!L156)/'Player Data'!H156*90,0))</f>
        <v>5.3027027027027</v>
      </c>
      <c r="J156" s="22" t="n">
        <f aca="false">IF(B156="GK",IFERROR('Player Data'!Q156/'Player Data'!H156*90,0),IFERROR('Player Data'!M156/'Player Data'!H156*90,0))</f>
        <v>0.437837837837838</v>
      </c>
      <c r="K156" s="23" t="n">
        <f aca="false">'Player Data'!S156</f>
        <v>0</v>
      </c>
      <c r="L156" s="22" t="n">
        <f aca="false">INDEX(Assumptions!$B$13:$B$15,MATCH(E156,Assumptions!$A$13:$A$15,0))</f>
        <v>0.7</v>
      </c>
      <c r="M156" s="24" t="n">
        <f aca="false">IFERROR(SUMPRODUCT(($B$2:$B$1001=B156)*($H$2:$H$1001&lt;=H156))/SUMPRODUCT(($B$2:$B$1001=B156)*1),0)</f>
        <v>0.495575221238938</v>
      </c>
      <c r="N156" s="24" t="n">
        <f aca="false">IFERROR(SUMPRODUCT(($B$2:$B$1001=B156)*($I$2:$I$1001&lt;=I156))/SUMPRODUCT(($B$2:$B$1001=B156)*1),0)</f>
        <v>0.261061946902655</v>
      </c>
      <c r="O156" s="24" t="n">
        <f aca="false">IFERROR(SUMPRODUCT(($B$2:$B$1001=B156)*($J$2:$J$1001&lt;=J156))/SUMPRODUCT(($B$2:$B$1001=B156)*1),0)</f>
        <v>0.393805309734513</v>
      </c>
      <c r="P156" s="24" t="n">
        <f aca="false">IFERROR(SUMPRODUCT(($B$2:$B$1001=B156)*((0-$F$2:$F$1001)&lt;=(0-F156)))/SUMPRODUCT(($B$2:$B$1001=B156)*1),0)</f>
        <v>0.389380530973451</v>
      </c>
      <c r="Q156" s="25" t="n">
        <f aca="false">(M156*Assumptions!$B$5+N156*Assumptions!$B$6+O156*Assumptions!$B$7+P156*Assumptions!$B$8)*L156</f>
        <v>0.26033185840708</v>
      </c>
      <c r="R156" s="24" t="n">
        <f aca="false">IFERROR(SUMPRODUCT(($B$2:$B$1001=B156)*($Q$2:$Q$1001&lt;=Q156))/SUMPRODUCT(($B$2:$B$1001=B156)*1),0)</f>
        <v>0.221238938053097</v>
      </c>
      <c r="S156" s="24" t="n">
        <f aca="false">IFERROR(SUMPRODUCT(($B$2:$B$1001=B156)*($K$2:$K$1001&lt;=K156))/SUMPRODUCT(($B$2:$B$1001=B156)*1),0)</f>
        <v>0.261061946902655</v>
      </c>
      <c r="T156" s="26" t="n">
        <f aca="false">(R156-S156)*100</f>
        <v>-3.98230088495575</v>
      </c>
      <c r="U156" s="21" t="str">
        <f aca="false">'Player Data'!T156</f>
        <v>Yes</v>
      </c>
      <c r="V156" s="27" t="n">
        <f aca="false">'Player Data'!U156</f>
        <v>2028</v>
      </c>
      <c r="W156" s="21" t="str">
        <f aca="false">IF(AND(T156&gt;=Assumptions!$B$19,U156="No"),"High Priority - Unrepresented",IF(T156&gt;=Assumptions!$B$19,"High Priority",IF(AND(T156&gt;=Assumptions!$B$20,U156="No"),"Watchlist - Unrepresented",IF(T156&gt;=Assumptions!$B$20,"Watchlist",""))))</f>
        <v/>
      </c>
      <c r="X156" s="21" t="str">
        <f aca="false">'Player Data'!V156</f>
        <v>info@ohridrangers.mk</v>
      </c>
      <c r="Y156" s="28" t="str">
        <f aca="false">'Player Data'!W156</f>
        <v>Go through the player's agent - ask the club to confirm representation first</v>
      </c>
      <c r="Z156" s="28" t="str">
        <f aca="false">'Player Data'!X156</f>
        <v>FFM (Football Federation of North Macedonia) player registry</v>
      </c>
      <c r="AA156" s="19" t="str">
        <f aca="false">HYPERLINK("https://www.transfermarkt.com/schnellsuche/ergebnis/schnellsuche?query="&amp;SUBSTITUTE(A156," ","+"),"Search Transfermarkt")</f>
        <v>Search Transfermarkt</v>
      </c>
      <c r="AB156" s="29" t="n">
        <f aca="false">IFERROR('Player Data'!K156/('Player Data'!K156+'Player Data'!L156),0)</f>
        <v>0.357798165137615</v>
      </c>
      <c r="AC156" s="21" t="str">
        <f aca="false">IF(B156="GK",IF(AND(O156&gt;=Assumptions!$B$23,N156&gt;=Assumptions!$B$23),"Sweeper-Keeper / Build-from-the-Back",IF(O156&gt;=Assumptions!$B$23,"Sweeper-Keeper / High Line",IF(M156&gt;=Assumptions!$B$23,"Shot-Stopper / Traditional","Flexible / Multi-System"))),IF(AND(O156&gt;=Assumptions!$B$23,P156&gt;=Assumptions!$B$24),"High Press / Gegenpressing",IF(AND(N156&gt;=Assumptions!$B$23,AB156&gt;=Assumptions!$B$25),"Possession / Build-from-the-Back",IF(N156&gt;=Assumptions!$B$23,"Counter-Attack / Transition",IF(AND(O156&gt;=Assumptions!$B$23,N156&lt;Assumptions!$B$26),"Low Block / Park the Bus",IF(AND(B156="FW",M156&gt;=Assumptions!$B$23,N156&lt;Assumptions!$B$26),"Direct / Target Approach","Flexible / Multi-System"))))))</f>
        <v>Flexible / Multi-System</v>
      </c>
      <c r="AD156" s="21" t="str">
        <f aca="false">'Player Data'!Y156</f>
        <v>2026-07-17</v>
      </c>
      <c r="AE156" s="21" t="str">
        <f aca="false">'Player Data'!Z156</f>
        <v>2026-07-17</v>
      </c>
      <c r="AF156" s="28" t="str">
        <f aca="false">IFERROR(INDEX(Assumptions!$B$30:$B$61,MATCH(C156,Assumptions!$A$30:$A$61,0)),"--")</f>
        <v>Austria, Turkey</v>
      </c>
      <c r="AG156" s="30" t="str">
        <f aca="false">IF(R156&gt;=0.7,"Step-Up Candidate",IF(R156&gt;=0.4,"Lateral Move","Stay &amp; Develop"))</f>
        <v>Stay &amp; Develop</v>
      </c>
    </row>
    <row r="157" customFormat="false" ht="23.85" hidden="false" customHeight="false" outlineLevel="0" collapsed="false">
      <c r="A157" s="21" t="str">
        <f aca="false">'Player Data'!A157</f>
        <v>Ronaldo Rojas</v>
      </c>
      <c r="B157" s="21" t="str">
        <f aca="false">'Player Data'!F157</f>
        <v>MF</v>
      </c>
      <c r="C157" s="21" t="str">
        <f aca="false">'Player Data'!B157</f>
        <v>Venezuela</v>
      </c>
      <c r="D157" s="21" t="str">
        <f aca="false">'Player Data'!C157</f>
        <v>Venezuela Provincial League</v>
      </c>
      <c r="E157" s="21" t="n">
        <f aca="false">'Player Data'!D157</f>
        <v>2</v>
      </c>
      <c r="F157" s="21" t="n">
        <f aca="false">'Player Data'!G157</f>
        <v>24</v>
      </c>
      <c r="G157" s="21" t="n">
        <f aca="false">'Player Data'!H157</f>
        <v>952</v>
      </c>
      <c r="H157" s="22" t="n">
        <f aca="false">IF(B157="GK",IFERROR(('Player Data'!N157-1.5*'Player Data'!O157)/'Player Data'!H157*90,0),IFERROR(('Player Data'!I157+'Player Data'!J157)/'Player Data'!H157*90,0))</f>
        <v>1.41806722689076</v>
      </c>
      <c r="I157" s="22" t="n">
        <f aca="false">IF(B157="GK",'Player Data'!P157,IFERROR(('Player Data'!K157+'Player Data'!L157)/'Player Data'!H157*90,0))</f>
        <v>19.8529411764706</v>
      </c>
      <c r="J157" s="22" t="n">
        <f aca="false">IF(B157="GK",IFERROR('Player Data'!Q157/'Player Data'!H157*90,0),IFERROR('Player Data'!M157/'Player Data'!H157*90,0))</f>
        <v>5.01050420168067</v>
      </c>
      <c r="K157" s="23" t="n">
        <f aca="false">'Player Data'!S157</f>
        <v>82820</v>
      </c>
      <c r="L157" s="22" t="n">
        <f aca="false">INDEX(Assumptions!$B$13:$B$15,MATCH(E157,Assumptions!$A$13:$A$15,0))</f>
        <v>1</v>
      </c>
      <c r="M157" s="24" t="n">
        <f aca="false">IFERROR(SUMPRODUCT(($B$2:$B$1001=B157)*($H$2:$H$1001&lt;=H157))/SUMPRODUCT(($B$2:$B$1001=B157)*1),0)</f>
        <v>0.909090909090909</v>
      </c>
      <c r="N157" s="24" t="n">
        <f aca="false">IFERROR(SUMPRODUCT(($B$2:$B$1001=B157)*($I$2:$I$1001&lt;=I157))/SUMPRODUCT(($B$2:$B$1001=B157)*1),0)</f>
        <v>0.898989898989899</v>
      </c>
      <c r="O157" s="24" t="n">
        <f aca="false">IFERROR(SUMPRODUCT(($B$2:$B$1001=B157)*($J$2:$J$1001&lt;=J157))/SUMPRODUCT(($B$2:$B$1001=B157)*1),0)</f>
        <v>0.983164983164983</v>
      </c>
      <c r="P157" s="24" t="n">
        <f aca="false">IFERROR(SUMPRODUCT(($B$2:$B$1001=B157)*((0-$F$2:$F$1001)&lt;=(0-F157)))/SUMPRODUCT(($B$2:$B$1001=B157)*1),0)</f>
        <v>0.326599326599327</v>
      </c>
      <c r="Q157" s="25" t="n">
        <f aca="false">(M157*Assumptions!$B$5+N157*Assumptions!$B$6+O157*Assumptions!$B$7+P157*Assumptions!$B$8)*L157</f>
        <v>0.803872053872054</v>
      </c>
      <c r="R157" s="24" t="n">
        <f aca="false">IFERROR(SUMPRODUCT(($B$2:$B$1001=B157)*($Q$2:$Q$1001&lt;=Q157))/SUMPRODUCT(($B$2:$B$1001=B157)*1),0)</f>
        <v>0.952861952861953</v>
      </c>
      <c r="S157" s="24" t="n">
        <f aca="false">IFERROR(SUMPRODUCT(($B$2:$B$1001=B157)*($K$2:$K$1001&lt;=K157))/SUMPRODUCT(($B$2:$B$1001=B157)*1),0)</f>
        <v>0.65993265993266</v>
      </c>
      <c r="T157" s="26" t="n">
        <f aca="false">(R157-S157)*100</f>
        <v>29.2929292929293</v>
      </c>
      <c r="U157" s="21" t="str">
        <f aca="false">'Player Data'!T157</f>
        <v>Yes</v>
      </c>
      <c r="V157" s="27" t="n">
        <f aca="false">'Player Data'!U157</f>
        <v>2026</v>
      </c>
      <c r="W157" s="21" t="str">
        <f aca="false">IF(AND(T157&gt;=Assumptions!$B$19,U157="No"),"High Priority - Unrepresented",IF(T157&gt;=Assumptions!$B$19,"High Priority",IF(AND(T157&gt;=Assumptions!$B$20,U157="No"),"Watchlist - Unrepresented",IF(T157&gt;=Assumptions!$B$20,"Watchlist",""))))</f>
        <v>Watchlist</v>
      </c>
      <c r="X157" s="21" t="str">
        <f aca="false">'Player Data'!V157</f>
        <v>info@valenciafc.ve</v>
      </c>
      <c r="Y157" s="28" t="str">
        <f aca="false">'Player Data'!W157</f>
        <v>Go through the player's agent - ask the club to confirm representation first</v>
      </c>
      <c r="Z157" s="28" t="str">
        <f aca="false">'Player Data'!X157</f>
        <v>FVF (Venezuelan Football Federation) player registry</v>
      </c>
      <c r="AA157" s="19" t="str">
        <f aca="false">HYPERLINK("https://www.transfermarkt.com/schnellsuche/ergebnis/schnellsuche?query="&amp;SUBSTITUTE(A157," ","+"),"Search Transfermarkt")</f>
        <v>Search Transfermarkt</v>
      </c>
      <c r="AB157" s="29" t="n">
        <f aca="false">IFERROR('Player Data'!K157/('Player Data'!K157+'Player Data'!L157),0)</f>
        <v>0.738095238095238</v>
      </c>
      <c r="AC157" s="21" t="str">
        <f aca="false">IF(B157="GK",IF(AND(O157&gt;=Assumptions!$B$23,N157&gt;=Assumptions!$B$23),"Sweeper-Keeper / Build-from-the-Back",IF(O157&gt;=Assumptions!$B$23,"Sweeper-Keeper / High Line",IF(M157&gt;=Assumptions!$B$23,"Shot-Stopper / Traditional","Flexible / Multi-System"))),IF(AND(O157&gt;=Assumptions!$B$23,P157&gt;=Assumptions!$B$24),"High Press / Gegenpressing",IF(AND(N157&gt;=Assumptions!$B$23,AB157&gt;=Assumptions!$B$25),"Possession / Build-from-the-Back",IF(N157&gt;=Assumptions!$B$23,"Counter-Attack / Transition",IF(AND(O157&gt;=Assumptions!$B$23,N157&lt;Assumptions!$B$26),"Low Block / Park the Bus",IF(AND(B157="FW",M157&gt;=Assumptions!$B$23,N157&lt;Assumptions!$B$26),"Direct / Target Approach","Flexible / Multi-System"))))))</f>
        <v>Possession / Build-from-the-Back</v>
      </c>
      <c r="AD157" s="21" t="str">
        <f aca="false">'Player Data'!Y157</f>
        <v>2026-07-17</v>
      </c>
      <c r="AE157" s="21" t="str">
        <f aca="false">'Player Data'!Z157</f>
        <v>2026-07-17</v>
      </c>
      <c r="AF157" s="28" t="str">
        <f aca="false">IFERROR(INDEX(Assumptions!$B$30:$B$61,MATCH(C157,Assumptions!$A$30:$A$61,0)),"--")</f>
        <v>Argentina, Portugal</v>
      </c>
      <c r="AG157" s="30" t="str">
        <f aca="false">IF(R157&gt;=0.7,"Step-Up Candidate",IF(R157&gt;=0.4,"Lateral Move","Stay &amp; Develop"))</f>
        <v>Step-Up Candidate</v>
      </c>
    </row>
    <row r="158" customFormat="false" ht="23.85" hidden="false" customHeight="false" outlineLevel="0" collapsed="false">
      <c r="A158" s="21" t="str">
        <f aca="false">'Player Data'!A158</f>
        <v>Mateo Rodriguez</v>
      </c>
      <c r="B158" s="21" t="str">
        <f aca="false">'Player Data'!F158</f>
        <v>FW</v>
      </c>
      <c r="C158" s="21" t="str">
        <f aca="false">'Player Data'!B158</f>
        <v>Bolivia</v>
      </c>
      <c r="D158" s="21" t="str">
        <f aca="false">'Player Data'!C158</f>
        <v>Bolivia Second Division</v>
      </c>
      <c r="E158" s="21" t="n">
        <f aca="false">'Player Data'!D158</f>
        <v>2</v>
      </c>
      <c r="F158" s="21" t="n">
        <f aca="false">'Player Data'!G158</f>
        <v>22</v>
      </c>
      <c r="G158" s="21" t="n">
        <f aca="false">'Player Data'!H158</f>
        <v>1193</v>
      </c>
      <c r="H158" s="22" t="n">
        <f aca="false">IF(B158="GK",IFERROR(('Player Data'!N158-1.5*'Player Data'!O158)/'Player Data'!H158*90,0),IFERROR(('Player Data'!I158+'Player Data'!J158)/'Player Data'!H158*90,0))</f>
        <v>1.05616093880972</v>
      </c>
      <c r="I158" s="22" t="n">
        <f aca="false">IF(B158="GK",'Player Data'!P158,IFERROR(('Player Data'!K158+'Player Data'!L158)/'Player Data'!H158*90,0))</f>
        <v>11.1651299245599</v>
      </c>
      <c r="J158" s="22" t="n">
        <f aca="false">IF(B158="GK",IFERROR('Player Data'!Q158/'Player Data'!H158*90,0),IFERROR('Player Data'!M158/'Player Data'!H158*90,0))</f>
        <v>0.603520536462699</v>
      </c>
      <c r="K158" s="23" t="n">
        <f aca="false">'Player Data'!S158</f>
        <v>147033</v>
      </c>
      <c r="L158" s="22" t="n">
        <f aca="false">INDEX(Assumptions!$B$13:$B$15,MATCH(E158,Assumptions!$A$13:$A$15,0))</f>
        <v>1</v>
      </c>
      <c r="M158" s="24" t="n">
        <f aca="false">IFERROR(SUMPRODUCT(($B$2:$B$1001=B158)*($H$2:$H$1001&lt;=H158))/SUMPRODUCT(($B$2:$B$1001=B158)*1),0)</f>
        <v>0.570796460176991</v>
      </c>
      <c r="N158" s="24" t="n">
        <f aca="false">IFERROR(SUMPRODUCT(($B$2:$B$1001=B158)*($I$2:$I$1001&lt;=I158))/SUMPRODUCT(($B$2:$B$1001=B158)*1),0)</f>
        <v>0.889380530973451</v>
      </c>
      <c r="O158" s="24" t="n">
        <f aca="false">IFERROR(SUMPRODUCT(($B$2:$B$1001=B158)*($J$2:$J$1001&lt;=J158))/SUMPRODUCT(($B$2:$B$1001=B158)*1),0)</f>
        <v>0.632743362831858</v>
      </c>
      <c r="P158" s="24" t="n">
        <f aca="false">IFERROR(SUMPRODUCT(($B$2:$B$1001=B158)*((0-$F$2:$F$1001)&lt;=(0-F158)))/SUMPRODUCT(($B$2:$B$1001=B158)*1),0)</f>
        <v>0.504424778761062</v>
      </c>
      <c r="Q158" s="25" t="n">
        <f aca="false">(M158*Assumptions!$B$5+N158*Assumptions!$B$6+O158*Assumptions!$B$7+P158*Assumptions!$B$8)*L158</f>
        <v>0.68141592920354</v>
      </c>
      <c r="R158" s="24" t="n">
        <f aca="false">IFERROR(SUMPRODUCT(($B$2:$B$1001=B158)*($Q$2:$Q$1001&lt;=Q158))/SUMPRODUCT(($B$2:$B$1001=B158)*1),0)</f>
        <v>0.858407079646018</v>
      </c>
      <c r="S158" s="24" t="n">
        <f aca="false">IFERROR(SUMPRODUCT(($B$2:$B$1001=B158)*($K$2:$K$1001&lt;=K158))/SUMPRODUCT(($B$2:$B$1001=B158)*1),0)</f>
        <v>0.982300884955752</v>
      </c>
      <c r="T158" s="26" t="n">
        <f aca="false">(R158-S158)*100</f>
        <v>-12.3893805309734</v>
      </c>
      <c r="U158" s="21" t="str">
        <f aca="false">'Player Data'!T158</f>
        <v>No</v>
      </c>
      <c r="V158" s="27" t="n">
        <f aca="false">'Player Data'!U158</f>
        <v>2028</v>
      </c>
      <c r="W158" s="21" t="str">
        <f aca="false">IF(AND(T158&gt;=Assumptions!$B$19,U158="No"),"High Priority - Unrepresented",IF(T158&gt;=Assumptions!$B$19,"High Priority",IF(AND(T158&gt;=Assumptions!$B$20,U158="No"),"Watchlist - Unrepresented",IF(T158&gt;=Assumptions!$B$20,"Watchlist",""))))</f>
        <v/>
      </c>
      <c r="X158" s="21" t="str">
        <f aca="false">'Player Data'!V158</f>
        <v>info@lapaztown.bo</v>
      </c>
      <c r="Y158" s="28" t="str">
        <f aca="false">'Player Data'!W158</f>
        <v>Club sporting director / first-team office</v>
      </c>
      <c r="Z158" s="28" t="str">
        <f aca="false">'Player Data'!X158</f>
        <v>FBF (Bolivian Football Federation) player registry</v>
      </c>
      <c r="AA158" s="19" t="str">
        <f aca="false">HYPERLINK("https://www.transfermarkt.com/schnellsuche/ergebnis/schnellsuche?query="&amp;SUBSTITUTE(A158," ","+"),"Search Transfermarkt")</f>
        <v>Search Transfermarkt</v>
      </c>
      <c r="AB158" s="29" t="n">
        <f aca="false">IFERROR('Player Data'!K158/('Player Data'!K158+'Player Data'!L158),0)</f>
        <v>0.324324324324324</v>
      </c>
      <c r="AC158" s="21" t="str">
        <f aca="false">IF(B158="GK",IF(AND(O158&gt;=Assumptions!$B$23,N158&gt;=Assumptions!$B$23),"Sweeper-Keeper / Build-from-the-Back",IF(O158&gt;=Assumptions!$B$23,"Sweeper-Keeper / High Line",IF(M158&gt;=Assumptions!$B$23,"Shot-Stopper / Traditional","Flexible / Multi-System"))),IF(AND(O158&gt;=Assumptions!$B$23,P158&gt;=Assumptions!$B$24),"High Press / Gegenpressing",IF(AND(N158&gt;=Assumptions!$B$23,AB158&gt;=Assumptions!$B$25),"Possession / Build-from-the-Back",IF(N158&gt;=Assumptions!$B$23,"Counter-Attack / Transition",IF(AND(O158&gt;=Assumptions!$B$23,N158&lt;Assumptions!$B$26),"Low Block / Park the Bus",IF(AND(B158="FW",M158&gt;=Assumptions!$B$23,N158&lt;Assumptions!$B$26),"Direct / Target Approach","Flexible / Multi-System"))))))</f>
        <v>Counter-Attack / Transition</v>
      </c>
      <c r="AD158" s="21" t="str">
        <f aca="false">'Player Data'!Y158</f>
        <v>2026-07-17</v>
      </c>
      <c r="AE158" s="21" t="str">
        <f aca="false">'Player Data'!Z158</f>
        <v>2026-07-17</v>
      </c>
      <c r="AF158" s="28" t="str">
        <f aca="false">IFERROR(INDEX(Assumptions!$B$30:$B$61,MATCH(C158,Assumptions!$A$30:$A$61,0)),"--")</f>
        <v>Argentina, Portugal</v>
      </c>
      <c r="AG158" s="30" t="str">
        <f aca="false">IF(R158&gt;=0.7,"Step-Up Candidate",IF(R158&gt;=0.4,"Lateral Move","Stay &amp; Develop"))</f>
        <v>Step-Up Candidate</v>
      </c>
    </row>
    <row r="159" customFormat="false" ht="23.85" hidden="false" customHeight="false" outlineLevel="0" collapsed="false">
      <c r="A159" s="21" t="str">
        <f aca="false">'Player Data'!A159</f>
        <v>Goran Angelovski</v>
      </c>
      <c r="B159" s="21" t="str">
        <f aca="false">'Player Data'!F159</f>
        <v>MF</v>
      </c>
      <c r="C159" s="21" t="str">
        <f aca="false">'Player Data'!B159</f>
        <v>North Macedonia</v>
      </c>
      <c r="D159" s="21" t="str">
        <f aca="false">'Player Data'!C159</f>
        <v>North Macedonia Provincial League</v>
      </c>
      <c r="E159" s="21" t="n">
        <f aca="false">'Player Data'!D159</f>
        <v>4</v>
      </c>
      <c r="F159" s="21" t="n">
        <f aca="false">'Player Data'!G159</f>
        <v>22</v>
      </c>
      <c r="G159" s="21" t="n">
        <f aca="false">'Player Data'!H159</f>
        <v>1895</v>
      </c>
      <c r="H159" s="22" t="n">
        <f aca="false">IF(B159="GK",IFERROR(('Player Data'!N159-1.5*'Player Data'!O159)/'Player Data'!H159*90,0),IFERROR(('Player Data'!I159+'Player Data'!J159)/'Player Data'!H159*90,0))</f>
        <v>0.712401055408971</v>
      </c>
      <c r="I159" s="22" t="n">
        <f aca="false">IF(B159="GK",'Player Data'!P159,IFERROR(('Player Data'!K159+'Player Data'!L159)/'Player Data'!H159*90,0))</f>
        <v>9.16622691292876</v>
      </c>
      <c r="J159" s="22" t="n">
        <f aca="false">IF(B159="GK",IFERROR('Player Data'!Q159/'Player Data'!H159*90,0),IFERROR('Player Data'!M159/'Player Data'!H159*90,0))</f>
        <v>1.47229551451187</v>
      </c>
      <c r="K159" s="23" t="n">
        <f aca="false">'Player Data'!S159</f>
        <v>0</v>
      </c>
      <c r="L159" s="22" t="n">
        <f aca="false">INDEX(Assumptions!$B$13:$B$15,MATCH(E159,Assumptions!$A$13:$A$15,0))</f>
        <v>0.7</v>
      </c>
      <c r="M159" s="24" t="n">
        <f aca="false">IFERROR(SUMPRODUCT(($B$2:$B$1001=B159)*($H$2:$H$1001&lt;=H159))/SUMPRODUCT(($B$2:$B$1001=B159)*1),0)</f>
        <v>0.474747474747475</v>
      </c>
      <c r="N159" s="24" t="n">
        <f aca="false">IFERROR(SUMPRODUCT(($B$2:$B$1001=B159)*($I$2:$I$1001&lt;=I159))/SUMPRODUCT(($B$2:$B$1001=B159)*1),0)</f>
        <v>0.323232323232323</v>
      </c>
      <c r="O159" s="24" t="n">
        <f aca="false">IFERROR(SUMPRODUCT(($B$2:$B$1001=B159)*($J$2:$J$1001&lt;=J159))/SUMPRODUCT(($B$2:$B$1001=B159)*1),0)</f>
        <v>0.164983164983165</v>
      </c>
      <c r="P159" s="24" t="n">
        <f aca="false">IFERROR(SUMPRODUCT(($B$2:$B$1001=B159)*((0-$F$2:$F$1001)&lt;=(0-F159)))/SUMPRODUCT(($B$2:$B$1001=B159)*1),0)</f>
        <v>0.515151515151515</v>
      </c>
      <c r="Q159" s="25" t="n">
        <f aca="false">(M159*Assumptions!$B$5+N159*Assumptions!$B$6+O159*Assumptions!$B$7+P159*Assumptions!$B$8)*L159</f>
        <v>0.257491582491583</v>
      </c>
      <c r="R159" s="24" t="n">
        <f aca="false">IFERROR(SUMPRODUCT(($B$2:$B$1001=B159)*($Q$2:$Q$1001&lt;=Q159))/SUMPRODUCT(($B$2:$B$1001=B159)*1),0)</f>
        <v>0.188552188552189</v>
      </c>
      <c r="S159" s="24" t="n">
        <f aca="false">IFERROR(SUMPRODUCT(($B$2:$B$1001=B159)*($K$2:$K$1001&lt;=K159))/SUMPRODUCT(($B$2:$B$1001=B159)*1),0)</f>
        <v>0.228956228956229</v>
      </c>
      <c r="T159" s="26" t="n">
        <f aca="false">(R159-S159)*100</f>
        <v>-4.04040404040404</v>
      </c>
      <c r="U159" s="21" t="str">
        <f aca="false">'Player Data'!T159</f>
        <v>Unknown</v>
      </c>
      <c r="V159" s="27" t="n">
        <f aca="false">'Player Data'!U159</f>
        <v>2028</v>
      </c>
      <c r="W159" s="21" t="str">
        <f aca="false">IF(AND(T159&gt;=Assumptions!$B$19,U159="No"),"High Priority - Unrepresented",IF(T159&gt;=Assumptions!$B$19,"High Priority",IF(AND(T159&gt;=Assumptions!$B$20,U159="No"),"Watchlist - Unrepresented",IF(T159&gt;=Assumptions!$B$20,"Watchlist",""))))</f>
        <v/>
      </c>
      <c r="X159" s="21" t="str">
        <f aca="false">'Player Data'!V159</f>
        <v>info@stipsc.mk</v>
      </c>
      <c r="Y159" s="28" t="str">
        <f aca="false">'Player Data'!W159</f>
        <v>Club sporting director / first-team office</v>
      </c>
      <c r="Z159" s="28" t="str">
        <f aca="false">'Player Data'!X159</f>
        <v>FFM (Football Federation of North Macedonia) player registry</v>
      </c>
      <c r="AA159" s="19" t="str">
        <f aca="false">HYPERLINK("https://www.transfermarkt.com/schnellsuche/ergebnis/schnellsuche?query="&amp;SUBSTITUTE(A159," ","+"),"Search Transfermarkt")</f>
        <v>Search Transfermarkt</v>
      </c>
      <c r="AB159" s="29" t="n">
        <f aca="false">IFERROR('Player Data'!K159/('Player Data'!K159+'Player Data'!L159),0)</f>
        <v>0.632124352331606</v>
      </c>
      <c r="AC159" s="21" t="str">
        <f aca="false">IF(B159="GK",IF(AND(O159&gt;=Assumptions!$B$23,N159&gt;=Assumptions!$B$23),"Sweeper-Keeper / Build-from-the-Back",IF(O159&gt;=Assumptions!$B$23,"Sweeper-Keeper / High Line",IF(M159&gt;=Assumptions!$B$23,"Shot-Stopper / Traditional","Flexible / Multi-System"))),IF(AND(O159&gt;=Assumptions!$B$23,P159&gt;=Assumptions!$B$24),"High Press / Gegenpressing",IF(AND(N159&gt;=Assumptions!$B$23,AB159&gt;=Assumptions!$B$25),"Possession / Build-from-the-Back",IF(N159&gt;=Assumptions!$B$23,"Counter-Attack / Transition",IF(AND(O159&gt;=Assumptions!$B$23,N159&lt;Assumptions!$B$26),"Low Block / Park the Bus",IF(AND(B159="FW",M159&gt;=Assumptions!$B$23,N159&lt;Assumptions!$B$26),"Direct / Target Approach","Flexible / Multi-System"))))))</f>
        <v>Flexible / Multi-System</v>
      </c>
      <c r="AD159" s="21" t="str">
        <f aca="false">'Player Data'!Y159</f>
        <v>2026-07-17</v>
      </c>
      <c r="AE159" s="21" t="str">
        <f aca="false">'Player Data'!Z159</f>
        <v>2026-07-17</v>
      </c>
      <c r="AF159" s="28" t="str">
        <f aca="false">IFERROR(INDEX(Assumptions!$B$30:$B$61,MATCH(C159,Assumptions!$A$30:$A$61,0)),"--")</f>
        <v>Austria, Turkey</v>
      </c>
      <c r="AG159" s="30" t="str">
        <f aca="false">IF(R159&gt;=0.7,"Step-Up Candidate",IF(R159&gt;=0.4,"Lateral Move","Stay &amp; Develop"))</f>
        <v>Stay &amp; Develop</v>
      </c>
    </row>
    <row r="160" customFormat="false" ht="23.85" hidden="false" customHeight="false" outlineLevel="0" collapsed="false">
      <c r="A160" s="21" t="str">
        <f aca="false">'Player Data'!A160</f>
        <v>Andre Ngoy</v>
      </c>
      <c r="B160" s="21" t="str">
        <f aca="false">'Player Data'!F160</f>
        <v>DF</v>
      </c>
      <c r="C160" s="21" t="str">
        <f aca="false">'Player Data'!B160</f>
        <v>Cameroon</v>
      </c>
      <c r="D160" s="21" t="str">
        <f aca="false">'Player Data'!C160</f>
        <v>Cameroon Second Division - West</v>
      </c>
      <c r="E160" s="21" t="n">
        <f aca="false">'Player Data'!D160</f>
        <v>2</v>
      </c>
      <c r="F160" s="21" t="n">
        <f aca="false">'Player Data'!G160</f>
        <v>24</v>
      </c>
      <c r="G160" s="21" t="n">
        <f aca="false">'Player Data'!H160</f>
        <v>2150</v>
      </c>
      <c r="H160" s="22" t="n">
        <f aca="false">IF(B160="GK",IFERROR(('Player Data'!N160-1.5*'Player Data'!O160)/'Player Data'!H160*90,0),IFERROR(('Player Data'!I160+'Player Data'!J160)/'Player Data'!H160*90,0))</f>
        <v>0.209302325581395</v>
      </c>
      <c r="I160" s="22" t="n">
        <f aca="false">IF(B160="GK",'Player Data'!P160,IFERROR(('Player Data'!K160+'Player Data'!L160)/'Player Data'!H160*90,0))</f>
        <v>3.6</v>
      </c>
      <c r="J160" s="22" t="n">
        <f aca="false">IF(B160="GK",IFERROR('Player Data'!Q160/'Player Data'!H160*90,0),IFERROR('Player Data'!M160/'Player Data'!H160*90,0))</f>
        <v>3.64186046511628</v>
      </c>
      <c r="K160" s="23" t="n">
        <f aca="false">'Player Data'!S160</f>
        <v>135237</v>
      </c>
      <c r="L160" s="22" t="n">
        <f aca="false">INDEX(Assumptions!$B$13:$B$15,MATCH(E160,Assumptions!$A$13:$A$15,0))</f>
        <v>1</v>
      </c>
      <c r="M160" s="24" t="n">
        <f aca="false">IFERROR(SUMPRODUCT(($B$2:$B$1001=B160)*($H$2:$H$1001&lt;=H160))/SUMPRODUCT(($B$2:$B$1001=B160)*1),0)</f>
        <v>0.557823129251701</v>
      </c>
      <c r="N160" s="24" t="n">
        <f aca="false">IFERROR(SUMPRODUCT(($B$2:$B$1001=B160)*($I$2:$I$1001&lt;=I160))/SUMPRODUCT(($B$2:$B$1001=B160)*1),0)</f>
        <v>0.272108843537415</v>
      </c>
      <c r="O160" s="24" t="n">
        <f aca="false">IFERROR(SUMPRODUCT(($B$2:$B$1001=B160)*($J$2:$J$1001&lt;=J160))/SUMPRODUCT(($B$2:$B$1001=B160)*1),0)</f>
        <v>0.146258503401361</v>
      </c>
      <c r="P160" s="24" t="n">
        <f aca="false">IFERROR(SUMPRODUCT(($B$2:$B$1001=B160)*((0-$F$2:$F$1001)&lt;=(0-F160)))/SUMPRODUCT(($B$2:$B$1001=B160)*1),0)</f>
        <v>0.275510204081633</v>
      </c>
      <c r="Q160" s="25" t="n">
        <f aca="false">(M160*Assumptions!$B$5+N160*Assumptions!$B$6+O160*Assumptions!$B$7+P160*Assumptions!$B$8)*L160</f>
        <v>0.319047619047619</v>
      </c>
      <c r="R160" s="24" t="n">
        <f aca="false">IFERROR(SUMPRODUCT(($B$2:$B$1001=B160)*($Q$2:$Q$1001&lt;=Q160))/SUMPRODUCT(($B$2:$B$1001=B160)*1),0)</f>
        <v>0.292517006802721</v>
      </c>
      <c r="S160" s="24" t="n">
        <f aca="false">IFERROR(SUMPRODUCT(($B$2:$B$1001=B160)*($K$2:$K$1001&lt;=K160))/SUMPRODUCT(($B$2:$B$1001=B160)*1),0)</f>
        <v>0.931972789115646</v>
      </c>
      <c r="T160" s="26" t="n">
        <f aca="false">(R160-S160)*100</f>
        <v>-63.9455782312925</v>
      </c>
      <c r="U160" s="21" t="str">
        <f aca="false">'Player Data'!T160</f>
        <v>Unknown</v>
      </c>
      <c r="V160" s="27" t="n">
        <f aca="false">'Player Data'!U160</f>
        <v>2027</v>
      </c>
      <c r="W160" s="21" t="str">
        <f aca="false">IF(AND(T160&gt;=Assumptions!$B$19,U160="No"),"High Priority - Unrepresented",IF(T160&gt;=Assumptions!$B$19,"High Priority",IF(AND(T160&gt;=Assumptions!$B$20,U160="No"),"Watchlist - Unrepresented",IF(T160&gt;=Assumptions!$B$20,"Watchlist",""))))</f>
        <v/>
      </c>
      <c r="X160" s="21" t="str">
        <f aca="false">'Player Data'!V160</f>
        <v>info@garouaathletic.cm</v>
      </c>
      <c r="Y160" s="28" t="str">
        <f aca="false">'Player Data'!W160</f>
        <v>Club sporting director / first-team office</v>
      </c>
      <c r="Z160" s="28" t="str">
        <f aca="false">'Player Data'!X160</f>
        <v>FECAFOOT (Cameroonian Football Federation) player registry</v>
      </c>
      <c r="AA160" s="19" t="str">
        <f aca="false">HYPERLINK("https://www.transfermarkt.com/schnellsuche/ergebnis/schnellsuche?query="&amp;SUBSTITUTE(A160," ","+"),"Search Transfermarkt")</f>
        <v>Search Transfermarkt</v>
      </c>
      <c r="AB160" s="29" t="n">
        <f aca="false">IFERROR('Player Data'!K160/('Player Data'!K160+'Player Data'!L160),0)</f>
        <v>0.558139534883721</v>
      </c>
      <c r="AC160" s="21" t="str">
        <f aca="false">IF(B160="GK",IF(AND(O160&gt;=Assumptions!$B$23,N160&gt;=Assumptions!$B$23),"Sweeper-Keeper / Build-from-the-Back",IF(O160&gt;=Assumptions!$B$23,"Sweeper-Keeper / High Line",IF(M160&gt;=Assumptions!$B$23,"Shot-Stopper / Traditional","Flexible / Multi-System"))),IF(AND(O160&gt;=Assumptions!$B$23,P160&gt;=Assumptions!$B$24),"High Press / Gegenpressing",IF(AND(N160&gt;=Assumptions!$B$23,AB160&gt;=Assumptions!$B$25),"Possession / Build-from-the-Back",IF(N160&gt;=Assumptions!$B$23,"Counter-Attack / Transition",IF(AND(O160&gt;=Assumptions!$B$23,N160&lt;Assumptions!$B$26),"Low Block / Park the Bus",IF(AND(B160="FW",M160&gt;=Assumptions!$B$23,N160&lt;Assumptions!$B$26),"Direct / Target Approach","Flexible / Multi-System"))))))</f>
        <v>Flexible / Multi-System</v>
      </c>
      <c r="AD160" s="21" t="str">
        <f aca="false">'Player Data'!Y160</f>
        <v>2026-07-17</v>
      </c>
      <c r="AE160" s="21" t="str">
        <f aca="false">'Player Data'!Z160</f>
        <v>2026-07-17</v>
      </c>
      <c r="AF160" s="28" t="str">
        <f aca="false">IFERROR(INDEX(Assumptions!$B$30:$B$61,MATCH(C160,Assumptions!$A$30:$A$61,0)),"--")</f>
        <v>Belgium, Portugal</v>
      </c>
      <c r="AG160" s="30" t="str">
        <f aca="false">IF(R160&gt;=0.7,"Step-Up Candidate",IF(R160&gt;=0.4,"Lateral Move","Stay &amp; Develop"))</f>
        <v>Stay &amp; Develop</v>
      </c>
    </row>
    <row r="161" customFormat="false" ht="23.85" hidden="false" customHeight="false" outlineLevel="0" collapsed="false">
      <c r="A161" s="21" t="str">
        <f aca="false">'Player Data'!A161</f>
        <v>Roberts Liepa</v>
      </c>
      <c r="B161" s="21" t="str">
        <f aca="false">'Player Data'!F161</f>
        <v>MF</v>
      </c>
      <c r="C161" s="21" t="str">
        <f aca="false">'Player Data'!B161</f>
        <v>Latvia</v>
      </c>
      <c r="D161" s="21" t="str">
        <f aca="false">'Player Data'!C161</f>
        <v>Latvia Second Division - East</v>
      </c>
      <c r="E161" s="21" t="n">
        <f aca="false">'Player Data'!D161</f>
        <v>3</v>
      </c>
      <c r="F161" s="21" t="n">
        <f aca="false">'Player Data'!G161</f>
        <v>19</v>
      </c>
      <c r="G161" s="21" t="n">
        <f aca="false">'Player Data'!H161</f>
        <v>1867</v>
      </c>
      <c r="H161" s="22" t="n">
        <f aca="false">IF(B161="GK",IFERROR(('Player Data'!N161-1.5*'Player Data'!O161)/'Player Data'!H161*90,0),IFERROR(('Player Data'!I161+'Player Data'!J161)/'Player Data'!H161*90,0))</f>
        <v>0.867702196036422</v>
      </c>
      <c r="I161" s="22" t="n">
        <f aca="false">IF(B161="GK",'Player Data'!P161,IFERROR(('Player Data'!K161+'Player Data'!L161)/'Player Data'!H161*90,0))</f>
        <v>11.2801285484735</v>
      </c>
      <c r="J161" s="22" t="n">
        <f aca="false">IF(B161="GK",IFERROR('Player Data'!Q161/'Player Data'!H161*90,0),IFERROR('Player Data'!M161/'Player Data'!H161*90,0))</f>
        <v>2.02463845741832</v>
      </c>
      <c r="K161" s="23" t="n">
        <f aca="false">'Player Data'!S161</f>
        <v>110807</v>
      </c>
      <c r="L161" s="22" t="n">
        <f aca="false">INDEX(Assumptions!$B$13:$B$15,MATCH(E161,Assumptions!$A$13:$A$15,0))</f>
        <v>0.85</v>
      </c>
      <c r="M161" s="24" t="n">
        <f aca="false">IFERROR(SUMPRODUCT(($B$2:$B$1001=B161)*($H$2:$H$1001&lt;=H161))/SUMPRODUCT(($B$2:$B$1001=B161)*1),0)</f>
        <v>0.663299663299663</v>
      </c>
      <c r="N161" s="24" t="n">
        <f aca="false">IFERROR(SUMPRODUCT(($B$2:$B$1001=B161)*($I$2:$I$1001&lt;=I161))/SUMPRODUCT(($B$2:$B$1001=B161)*1),0)</f>
        <v>0.525252525252525</v>
      </c>
      <c r="O161" s="24" t="n">
        <f aca="false">IFERROR(SUMPRODUCT(($B$2:$B$1001=B161)*($J$2:$J$1001&lt;=J161))/SUMPRODUCT(($B$2:$B$1001=B161)*1),0)</f>
        <v>0.437710437710438</v>
      </c>
      <c r="P161" s="24" t="n">
        <f aca="false">IFERROR(SUMPRODUCT(($B$2:$B$1001=B161)*((0-$F$2:$F$1001)&lt;=(0-F161)))/SUMPRODUCT(($B$2:$B$1001=B161)*1),0)</f>
        <v>0.868686868686869</v>
      </c>
      <c r="Q161" s="25" t="n">
        <f aca="false">(M161*Assumptions!$B$5+N161*Assumptions!$B$6+O161*Assumptions!$B$7+P161*Assumptions!$B$8)*L161</f>
        <v>0.519301346801347</v>
      </c>
      <c r="R161" s="24" t="n">
        <f aca="false">IFERROR(SUMPRODUCT(($B$2:$B$1001=B161)*($Q$2:$Q$1001&lt;=Q161))/SUMPRODUCT(($B$2:$B$1001=B161)*1),0)</f>
        <v>0.65993265993266</v>
      </c>
      <c r="S161" s="24" t="n">
        <f aca="false">IFERROR(SUMPRODUCT(($B$2:$B$1001=B161)*($K$2:$K$1001&lt;=K161))/SUMPRODUCT(($B$2:$B$1001=B161)*1),0)</f>
        <v>0.801346801346801</v>
      </c>
      <c r="T161" s="26" t="n">
        <f aca="false">(R161-S161)*100</f>
        <v>-14.1414141414141</v>
      </c>
      <c r="U161" s="21" t="str">
        <f aca="false">'Player Data'!T161</f>
        <v>Yes</v>
      </c>
      <c r="V161" s="27" t="n">
        <f aca="false">'Player Data'!U161</f>
        <v>2029</v>
      </c>
      <c r="W161" s="21" t="str">
        <f aca="false">IF(AND(T161&gt;=Assumptions!$B$19,U161="No"),"High Priority - Unrepresented",IF(T161&gt;=Assumptions!$B$19,"High Priority",IF(AND(T161&gt;=Assumptions!$B$20,U161="No"),"Watchlist - Unrepresented",IF(T161&gt;=Assumptions!$B$20,"Watchlist",""))))</f>
        <v/>
      </c>
      <c r="X161" s="21" t="str">
        <f aca="false">'Player Data'!V161</f>
        <v>info@rigafc.lv</v>
      </c>
      <c r="Y161" s="28" t="str">
        <f aca="false">'Player Data'!W161</f>
        <v>Go through the player's agent - ask the club to confirm representation first</v>
      </c>
      <c r="Z161" s="28" t="str">
        <f aca="false">'Player Data'!X161</f>
        <v>LFF (Latvian Football Federation) player registry</v>
      </c>
      <c r="AA161" s="19" t="str">
        <f aca="false">HYPERLINK("https://www.transfermarkt.com/schnellsuche/ergebnis/schnellsuche?query="&amp;SUBSTITUTE(A161," ","+"),"Search Transfermarkt")</f>
        <v>Search Transfermarkt</v>
      </c>
      <c r="AB161" s="29" t="n">
        <f aca="false">IFERROR('Player Data'!K161/('Player Data'!K161+'Player Data'!L161),0)</f>
        <v>0.606837606837607</v>
      </c>
      <c r="AC161" s="21" t="str">
        <f aca="false">IF(B161="GK",IF(AND(O161&gt;=Assumptions!$B$23,N161&gt;=Assumptions!$B$23),"Sweeper-Keeper / Build-from-the-Back",IF(O161&gt;=Assumptions!$B$23,"Sweeper-Keeper / High Line",IF(M161&gt;=Assumptions!$B$23,"Shot-Stopper / Traditional","Flexible / Multi-System"))),IF(AND(O161&gt;=Assumptions!$B$23,P161&gt;=Assumptions!$B$24),"High Press / Gegenpressing",IF(AND(N161&gt;=Assumptions!$B$23,AB161&gt;=Assumptions!$B$25),"Possession / Build-from-the-Back",IF(N161&gt;=Assumptions!$B$23,"Counter-Attack / Transition",IF(AND(O161&gt;=Assumptions!$B$23,N161&lt;Assumptions!$B$26),"Low Block / Park the Bus",IF(AND(B161="FW",M161&gt;=Assumptions!$B$23,N161&lt;Assumptions!$B$26),"Direct / Target Approach","Flexible / Multi-System"))))))</f>
        <v>Flexible / Multi-System</v>
      </c>
      <c r="AD161" s="21" t="str">
        <f aca="false">'Player Data'!Y161</f>
        <v>2026-07-17</v>
      </c>
      <c r="AE161" s="21" t="str">
        <f aca="false">'Player Data'!Z161</f>
        <v>2026-07-17</v>
      </c>
      <c r="AF161" s="28" t="str">
        <f aca="false">IFERROR(INDEX(Assumptions!$B$30:$B$61,MATCH(C161,Assumptions!$A$30:$A$61,0)),"--")</f>
        <v>Poland, Norway</v>
      </c>
      <c r="AG161" s="30" t="str">
        <f aca="false">IF(R161&gt;=0.7,"Step-Up Candidate",IF(R161&gt;=0.4,"Lateral Move","Stay &amp; Develop"))</f>
        <v>Lateral Move</v>
      </c>
    </row>
    <row r="162" customFormat="false" ht="23.85" hidden="false" customHeight="false" outlineLevel="0" collapsed="false">
      <c r="A162" s="21" t="str">
        <f aca="false">'Player Data'!A162</f>
        <v>Marlon Martinez</v>
      </c>
      <c r="B162" s="21" t="str">
        <f aca="false">'Player Data'!F162</f>
        <v>DF</v>
      </c>
      <c r="C162" s="21" t="str">
        <f aca="false">'Player Data'!B162</f>
        <v>Honduras</v>
      </c>
      <c r="D162" s="21" t="str">
        <f aca="false">'Player Data'!C162</f>
        <v>Honduras Regional League</v>
      </c>
      <c r="E162" s="21" t="n">
        <f aca="false">'Player Data'!D162</f>
        <v>3</v>
      </c>
      <c r="F162" s="21" t="n">
        <f aca="false">'Player Data'!G162</f>
        <v>19</v>
      </c>
      <c r="G162" s="21" t="n">
        <f aca="false">'Player Data'!H162</f>
        <v>1906</v>
      </c>
      <c r="H162" s="22" t="n">
        <f aca="false">IF(B162="GK",IFERROR(('Player Data'!N162-1.5*'Player Data'!O162)/'Player Data'!H162*90,0),IFERROR(('Player Data'!I162+'Player Data'!J162)/'Player Data'!H162*90,0))</f>
        <v>0.330535152151102</v>
      </c>
      <c r="I162" s="22" t="n">
        <f aca="false">IF(B162="GK",'Player Data'!P162,IFERROR(('Player Data'!K162+'Player Data'!L162)/'Player Data'!H162*90,0))</f>
        <v>4.58027282266527</v>
      </c>
      <c r="J162" s="22" t="n">
        <f aca="false">IF(B162="GK",IFERROR('Player Data'!Q162/'Player Data'!H162*90,0),IFERROR('Player Data'!M162/'Player Data'!H162*90,0))</f>
        <v>5.94963273871983</v>
      </c>
      <c r="K162" s="23" t="n">
        <f aca="false">'Player Data'!S162</f>
        <v>0</v>
      </c>
      <c r="L162" s="22" t="n">
        <f aca="false">INDEX(Assumptions!$B$13:$B$15,MATCH(E162,Assumptions!$A$13:$A$15,0))</f>
        <v>0.85</v>
      </c>
      <c r="M162" s="24" t="n">
        <f aca="false">IFERROR(SUMPRODUCT(($B$2:$B$1001=B162)*($H$2:$H$1001&lt;=H162))/SUMPRODUCT(($B$2:$B$1001=B162)*1),0)</f>
        <v>0.82312925170068</v>
      </c>
      <c r="N162" s="24" t="n">
        <f aca="false">IFERROR(SUMPRODUCT(($B$2:$B$1001=B162)*($I$2:$I$1001&lt;=I162))/SUMPRODUCT(($B$2:$B$1001=B162)*1),0)</f>
        <v>0.520408163265306</v>
      </c>
      <c r="O162" s="24" t="n">
        <f aca="false">IFERROR(SUMPRODUCT(($B$2:$B$1001=B162)*($J$2:$J$1001&lt;=J162))/SUMPRODUCT(($B$2:$B$1001=B162)*1),0)</f>
        <v>0.615646258503401</v>
      </c>
      <c r="P162" s="24" t="n">
        <f aca="false">IFERROR(SUMPRODUCT(($B$2:$B$1001=B162)*((0-$F$2:$F$1001)&lt;=(0-F162)))/SUMPRODUCT(($B$2:$B$1001=B162)*1),0)</f>
        <v>0.738095238095238</v>
      </c>
      <c r="Q162" s="25" t="n">
        <f aca="false">(M162*Assumptions!$B$5+N162*Assumptions!$B$6+O162*Assumptions!$B$7+P162*Assumptions!$B$8)*L162</f>
        <v>0.559872448979592</v>
      </c>
      <c r="R162" s="24" t="n">
        <f aca="false">IFERROR(SUMPRODUCT(($B$2:$B$1001=B162)*($Q$2:$Q$1001&lt;=Q162))/SUMPRODUCT(($B$2:$B$1001=B162)*1),0)</f>
        <v>0.697278911564626</v>
      </c>
      <c r="S162" s="24" t="n">
        <f aca="false">IFERROR(SUMPRODUCT(($B$2:$B$1001=B162)*($K$2:$K$1001&lt;=K162))/SUMPRODUCT(($B$2:$B$1001=B162)*1),0)</f>
        <v>0.248299319727891</v>
      </c>
      <c r="T162" s="26" t="n">
        <f aca="false">(R162-S162)*100</f>
        <v>44.8979591836735</v>
      </c>
      <c r="U162" s="21" t="str">
        <f aca="false">'Player Data'!T162</f>
        <v>Yes</v>
      </c>
      <c r="V162" s="27" t="n">
        <f aca="false">'Player Data'!U162</f>
        <v>2026</v>
      </c>
      <c r="W162" s="21" t="str">
        <f aca="false">IF(AND(T162&gt;=Assumptions!$B$19,U162="No"),"High Priority - Unrepresented",IF(T162&gt;=Assumptions!$B$19,"High Priority",IF(AND(T162&gt;=Assumptions!$B$20,U162="No"),"Watchlist - Unrepresented",IF(T162&gt;=Assumptions!$B$20,"Watchlist",""))))</f>
        <v>High Priority</v>
      </c>
      <c r="X162" s="21" t="str">
        <f aca="false">'Player Data'!V162</f>
        <v>info@laceibarangers.hn</v>
      </c>
      <c r="Y162" s="28" t="str">
        <f aca="false">'Player Data'!W162</f>
        <v>Go through the player's agent - ask the club to confirm representation first</v>
      </c>
      <c r="Z162" s="28" t="str">
        <f aca="false">'Player Data'!X162</f>
        <v>FENAFUTH (Honduran Football Federation) player registry</v>
      </c>
      <c r="AA162" s="19" t="str">
        <f aca="false">HYPERLINK("https://www.transfermarkt.com/schnellsuche/ergebnis/schnellsuche?query="&amp;SUBSTITUTE(A162," ","+"),"Search Transfermarkt")</f>
        <v>Search Transfermarkt</v>
      </c>
      <c r="AB162" s="29" t="n">
        <f aca="false">IFERROR('Player Data'!K162/('Player Data'!K162+'Player Data'!L162),0)</f>
        <v>0.701030927835052</v>
      </c>
      <c r="AC162" s="21" t="str">
        <f aca="false">IF(B162="GK",IF(AND(O162&gt;=Assumptions!$B$23,N162&gt;=Assumptions!$B$23),"Sweeper-Keeper / Build-from-the-Back",IF(O162&gt;=Assumptions!$B$23,"Sweeper-Keeper / High Line",IF(M162&gt;=Assumptions!$B$23,"Shot-Stopper / Traditional","Flexible / Multi-System"))),IF(AND(O162&gt;=Assumptions!$B$23,P162&gt;=Assumptions!$B$24),"High Press / Gegenpressing",IF(AND(N162&gt;=Assumptions!$B$23,AB162&gt;=Assumptions!$B$25),"Possession / Build-from-the-Back",IF(N162&gt;=Assumptions!$B$23,"Counter-Attack / Transition",IF(AND(O162&gt;=Assumptions!$B$23,N162&lt;Assumptions!$B$26),"Low Block / Park the Bus",IF(AND(B162="FW",M162&gt;=Assumptions!$B$23,N162&lt;Assumptions!$B$26),"Direct / Target Approach","Flexible / Multi-System"))))))</f>
        <v>Flexible / Multi-System</v>
      </c>
      <c r="AD162" s="21" t="str">
        <f aca="false">'Player Data'!Y162</f>
        <v>2026-07-17</v>
      </c>
      <c r="AE162" s="21" t="str">
        <f aca="false">'Player Data'!Z162</f>
        <v>2026-07-17</v>
      </c>
      <c r="AF162" s="28" t="str">
        <f aca="false">IFERROR(INDEX(Assumptions!$B$30:$B$61,MATCH(C162,Assumptions!$A$30:$A$61,0)),"--")</f>
        <v>Mexico, United States</v>
      </c>
      <c r="AG162" s="30" t="str">
        <f aca="false">IF(R162&gt;=0.7,"Step-Up Candidate",IF(R162&gt;=0.4,"Lateral Move","Stay &amp; Develop"))</f>
        <v>Lateral Move</v>
      </c>
    </row>
    <row r="163" customFormat="false" ht="23.85" hidden="false" customHeight="false" outlineLevel="0" collapsed="false">
      <c r="A163" s="21" t="str">
        <f aca="false">'Player Data'!A163</f>
        <v>Ronaldo Hernandez</v>
      </c>
      <c r="B163" s="21" t="str">
        <f aca="false">'Player Data'!F163</f>
        <v>DF</v>
      </c>
      <c r="C163" s="21" t="str">
        <f aca="false">'Player Data'!B163</f>
        <v>Venezuela</v>
      </c>
      <c r="D163" s="21" t="str">
        <f aca="false">'Player Data'!C163</f>
        <v>Venezuela Third Tier - South</v>
      </c>
      <c r="E163" s="21" t="n">
        <f aca="false">'Player Data'!D163</f>
        <v>4</v>
      </c>
      <c r="F163" s="21" t="n">
        <f aca="false">'Player Data'!G163</f>
        <v>17</v>
      </c>
      <c r="G163" s="21" t="n">
        <f aca="false">'Player Data'!H163</f>
        <v>1344</v>
      </c>
      <c r="H163" s="22" t="n">
        <f aca="false">IF(B163="GK",IFERROR(('Player Data'!N163-1.5*'Player Data'!O163)/'Player Data'!H163*90,0),IFERROR(('Player Data'!I163+'Player Data'!J163)/'Player Data'!H163*90,0))</f>
        <v>0.401785714285714</v>
      </c>
      <c r="I163" s="22" t="n">
        <f aca="false">IF(B163="GK",'Player Data'!P163,IFERROR(('Player Data'!K163+'Player Data'!L163)/'Player Data'!H163*90,0))</f>
        <v>5.95982142857143</v>
      </c>
      <c r="J163" s="22" t="n">
        <f aca="false">IF(B163="GK",IFERROR('Player Data'!Q163/'Player Data'!H163*90,0),IFERROR('Player Data'!M163/'Player Data'!H163*90,0))</f>
        <v>8.16964285714286</v>
      </c>
      <c r="K163" s="23" t="n">
        <f aca="false">'Player Data'!S163</f>
        <v>145246</v>
      </c>
      <c r="L163" s="22" t="n">
        <f aca="false">INDEX(Assumptions!$B$13:$B$15,MATCH(E163,Assumptions!$A$13:$A$15,0))</f>
        <v>0.7</v>
      </c>
      <c r="M163" s="24" t="n">
        <f aca="false">IFERROR(SUMPRODUCT(($B$2:$B$1001=B163)*($H$2:$H$1001&lt;=H163))/SUMPRODUCT(($B$2:$B$1001=B163)*1),0)</f>
        <v>0.897959183673469</v>
      </c>
      <c r="N163" s="24" t="n">
        <f aca="false">IFERROR(SUMPRODUCT(($B$2:$B$1001=B163)*($I$2:$I$1001&lt;=I163))/SUMPRODUCT(($B$2:$B$1001=B163)*1),0)</f>
        <v>0.73469387755102</v>
      </c>
      <c r="O163" s="24" t="n">
        <f aca="false">IFERROR(SUMPRODUCT(($B$2:$B$1001=B163)*($J$2:$J$1001&lt;=J163))/SUMPRODUCT(($B$2:$B$1001=B163)*1),0)</f>
        <v>0.850340136054422</v>
      </c>
      <c r="P163" s="24" t="n">
        <f aca="false">IFERROR(SUMPRODUCT(($B$2:$B$1001=B163)*((0-$F$2:$F$1001)&lt;=(0-F163)))/SUMPRODUCT(($B$2:$B$1001=B163)*1),0)</f>
        <v>1</v>
      </c>
      <c r="Q163" s="25" t="n">
        <f aca="false">(M163*Assumptions!$B$5+N163*Assumptions!$B$6+O163*Assumptions!$B$7+P163*Assumptions!$B$8)*L163</f>
        <v>0.596190476190476</v>
      </c>
      <c r="R163" s="24" t="n">
        <f aca="false">IFERROR(SUMPRODUCT(($B$2:$B$1001=B163)*($Q$2:$Q$1001&lt;=Q163))/SUMPRODUCT(($B$2:$B$1001=B163)*1),0)</f>
        <v>0.755102040816327</v>
      </c>
      <c r="S163" s="24" t="n">
        <f aca="false">IFERROR(SUMPRODUCT(($B$2:$B$1001=B163)*($K$2:$K$1001&lt;=K163))/SUMPRODUCT(($B$2:$B$1001=B163)*1),0)</f>
        <v>0.979591836734694</v>
      </c>
      <c r="T163" s="26" t="n">
        <f aca="false">(R163-S163)*100</f>
        <v>-22.4489795918367</v>
      </c>
      <c r="U163" s="21" t="str">
        <f aca="false">'Player Data'!T163</f>
        <v>No</v>
      </c>
      <c r="V163" s="27" t="n">
        <f aca="false">'Player Data'!U163</f>
        <v>2029</v>
      </c>
      <c r="W163" s="21" t="str">
        <f aca="false">IF(AND(T163&gt;=Assumptions!$B$19,U163="No"),"High Priority - Unrepresented",IF(T163&gt;=Assumptions!$B$19,"High Priority",IF(AND(T163&gt;=Assumptions!$B$20,U163="No"),"Watchlist - Unrepresented",IF(T163&gt;=Assumptions!$B$20,"Watchlist",""))))</f>
        <v/>
      </c>
      <c r="X163" s="21" t="str">
        <f aca="false">'Player Data'!V163</f>
        <v>info@maracaiborovers.ve</v>
      </c>
      <c r="Y163" s="28" t="str">
        <f aca="false">'Player Data'!W163</f>
        <v>Club youth/academy office ONLY - player is a minor, do not contact directly</v>
      </c>
      <c r="Z163" s="28" t="str">
        <f aca="false">'Player Data'!X163</f>
        <v>FVF (Venezuelan Football Federation) player registry</v>
      </c>
      <c r="AA163" s="19" t="str">
        <f aca="false">HYPERLINK("https://www.transfermarkt.com/schnellsuche/ergebnis/schnellsuche?query="&amp;SUBSTITUTE(A163," ","+"),"Search Transfermarkt")</f>
        <v>Search Transfermarkt</v>
      </c>
      <c r="AB163" s="29" t="n">
        <f aca="false">IFERROR('Player Data'!K163/('Player Data'!K163+'Player Data'!L163),0)</f>
        <v>0.595505617977528</v>
      </c>
      <c r="AC163" s="21" t="str">
        <f aca="false">IF(B163="GK",IF(AND(O163&gt;=Assumptions!$B$23,N163&gt;=Assumptions!$B$23),"Sweeper-Keeper / Build-from-the-Back",IF(O163&gt;=Assumptions!$B$23,"Sweeper-Keeper / High Line",IF(M163&gt;=Assumptions!$B$23,"Shot-Stopper / Traditional","Flexible / Multi-System"))),IF(AND(O163&gt;=Assumptions!$B$23,P163&gt;=Assumptions!$B$24),"High Press / Gegenpressing",IF(AND(N163&gt;=Assumptions!$B$23,AB163&gt;=Assumptions!$B$25),"Possession / Build-from-the-Back",IF(N163&gt;=Assumptions!$B$23,"Counter-Attack / Transition",IF(AND(O163&gt;=Assumptions!$B$23,N163&lt;Assumptions!$B$26),"Low Block / Park the Bus",IF(AND(B163="FW",M163&gt;=Assumptions!$B$23,N163&lt;Assumptions!$B$26),"Direct / Target Approach","Flexible / Multi-System"))))))</f>
        <v>High Press / Gegenpressing</v>
      </c>
      <c r="AD163" s="21" t="str">
        <f aca="false">'Player Data'!Y163</f>
        <v>2026-07-17</v>
      </c>
      <c r="AE163" s="21" t="str">
        <f aca="false">'Player Data'!Z163</f>
        <v>2026-07-17</v>
      </c>
      <c r="AF163" s="28" t="str">
        <f aca="false">IFERROR(INDEX(Assumptions!$B$30:$B$61,MATCH(C163,Assumptions!$A$30:$A$61,0)),"--")</f>
        <v>Argentina, Portugal</v>
      </c>
      <c r="AG163" s="30" t="str">
        <f aca="false">IF(R163&gt;=0.7,"Step-Up Candidate",IF(R163&gt;=0.4,"Lateral Move","Stay &amp; Develop"))</f>
        <v>Step-Up Candidate</v>
      </c>
    </row>
    <row r="164" customFormat="false" ht="23.85" hidden="false" customHeight="false" outlineLevel="0" collapsed="false">
      <c r="A164" s="21" t="str">
        <f aca="false">'Player Data'!A164</f>
        <v>Vladimir Jovanovic</v>
      </c>
      <c r="B164" s="21" t="str">
        <f aca="false">'Player Data'!F164</f>
        <v>FW</v>
      </c>
      <c r="C164" s="21" t="str">
        <f aca="false">'Player Data'!B164</f>
        <v>Serbia</v>
      </c>
      <c r="D164" s="21" t="str">
        <f aca="false">'Player Data'!C164</f>
        <v>Serbia Provincial League</v>
      </c>
      <c r="E164" s="21" t="n">
        <f aca="false">'Player Data'!D164</f>
        <v>4</v>
      </c>
      <c r="F164" s="21" t="n">
        <f aca="false">'Player Data'!G164</f>
        <v>25</v>
      </c>
      <c r="G164" s="21" t="n">
        <f aca="false">'Player Data'!H164</f>
        <v>1337</v>
      </c>
      <c r="H164" s="22" t="n">
        <f aca="false">IF(B164="GK",IFERROR(('Player Data'!N164-1.5*'Player Data'!O164)/'Player Data'!H164*90,0),IFERROR(('Player Data'!I164+'Player Data'!J164)/'Player Data'!H164*90,0))</f>
        <v>1.48092744951384</v>
      </c>
      <c r="I164" s="22" t="n">
        <f aca="false">IF(B164="GK",'Player Data'!P164,IFERROR(('Player Data'!K164+'Player Data'!L164)/'Player Data'!H164*90,0))</f>
        <v>9.3567688855647</v>
      </c>
      <c r="J164" s="22" t="n">
        <f aca="false">IF(B164="GK",IFERROR('Player Data'!Q164/'Player Data'!H164*90,0),IFERROR('Player Data'!M164/'Player Data'!H164*90,0))</f>
        <v>0.471204188481675</v>
      </c>
      <c r="K164" s="23" t="n">
        <f aca="false">'Player Data'!S164</f>
        <v>89703</v>
      </c>
      <c r="L164" s="22" t="n">
        <f aca="false">INDEX(Assumptions!$B$13:$B$15,MATCH(E164,Assumptions!$A$13:$A$15,0))</f>
        <v>0.7</v>
      </c>
      <c r="M164" s="24" t="n">
        <f aca="false">IFERROR(SUMPRODUCT(($B$2:$B$1001=B164)*($H$2:$H$1001&lt;=H164))/SUMPRODUCT(($B$2:$B$1001=B164)*1),0)</f>
        <v>0.836283185840708</v>
      </c>
      <c r="N164" s="24" t="n">
        <f aca="false">IFERROR(SUMPRODUCT(($B$2:$B$1001=B164)*($I$2:$I$1001&lt;=I164))/SUMPRODUCT(($B$2:$B$1001=B164)*1),0)</f>
        <v>0.796460176991151</v>
      </c>
      <c r="O164" s="24" t="n">
        <f aca="false">IFERROR(SUMPRODUCT(($B$2:$B$1001=B164)*($J$2:$J$1001&lt;=J164))/SUMPRODUCT(($B$2:$B$1001=B164)*1),0)</f>
        <v>0.455752212389381</v>
      </c>
      <c r="P164" s="24" t="n">
        <f aca="false">IFERROR(SUMPRODUCT(($B$2:$B$1001=B164)*((0-$F$2:$F$1001)&lt;=(0-F164)))/SUMPRODUCT(($B$2:$B$1001=B164)*1),0)</f>
        <v>0.194690265486726</v>
      </c>
      <c r="Q164" s="25" t="n">
        <f aca="false">(M164*Assumptions!$B$5+N164*Assumptions!$B$6+O164*Assumptions!$B$7+P164*Assumptions!$B$8)*L164</f>
        <v>0.432544247787611</v>
      </c>
      <c r="R164" s="24" t="n">
        <f aca="false">IFERROR(SUMPRODUCT(($B$2:$B$1001=B164)*($Q$2:$Q$1001&lt;=Q164))/SUMPRODUCT(($B$2:$B$1001=B164)*1),0)</f>
        <v>0.482300884955752</v>
      </c>
      <c r="S164" s="24" t="n">
        <f aca="false">IFERROR(SUMPRODUCT(($B$2:$B$1001=B164)*($K$2:$K$1001&lt;=K164))/SUMPRODUCT(($B$2:$B$1001=B164)*1),0)</f>
        <v>0.646017699115044</v>
      </c>
      <c r="T164" s="26" t="n">
        <f aca="false">(R164-S164)*100</f>
        <v>-16.3716814159292</v>
      </c>
      <c r="U164" s="21" t="str">
        <f aca="false">'Player Data'!T164</f>
        <v>Yes</v>
      </c>
      <c r="V164" s="27" t="n">
        <f aca="false">'Player Data'!U164</f>
        <v>2029</v>
      </c>
      <c r="W164" s="21" t="str">
        <f aca="false">IF(AND(T164&gt;=Assumptions!$B$19,U164="No"),"High Priority - Unrepresented",IF(T164&gt;=Assumptions!$B$19,"High Priority",IF(AND(T164&gt;=Assumptions!$B$20,U164="No"),"Watchlist - Unrepresented",IF(T164&gt;=Assumptions!$B$20,"Watchlist",""))))</f>
        <v/>
      </c>
      <c r="X164" s="21" t="str">
        <f aca="false">'Player Data'!V164</f>
        <v>info@backatopolatown.rs</v>
      </c>
      <c r="Y164" s="28" t="str">
        <f aca="false">'Player Data'!W164</f>
        <v>Go through the player's agent - ask the club to confirm representation first</v>
      </c>
      <c r="Z164" s="28" t="str">
        <f aca="false">'Player Data'!X164</f>
        <v>FSS (Football Association of Serbia) player registry</v>
      </c>
      <c r="AA164" s="19" t="str">
        <f aca="false">HYPERLINK("https://www.transfermarkt.com/schnellsuche/ergebnis/schnellsuche?query="&amp;SUBSTITUTE(A164," ","+"),"Search Transfermarkt")</f>
        <v>Search Transfermarkt</v>
      </c>
      <c r="AB164" s="29" t="n">
        <f aca="false">IFERROR('Player Data'!K164/('Player Data'!K164+'Player Data'!L164),0)</f>
        <v>0.330935251798561</v>
      </c>
      <c r="AC164" s="21" t="str">
        <f aca="false">IF(B164="GK",IF(AND(O164&gt;=Assumptions!$B$23,N164&gt;=Assumptions!$B$23),"Sweeper-Keeper / Build-from-the-Back",IF(O164&gt;=Assumptions!$B$23,"Sweeper-Keeper / High Line",IF(M164&gt;=Assumptions!$B$23,"Shot-Stopper / Traditional","Flexible / Multi-System"))),IF(AND(O164&gt;=Assumptions!$B$23,P164&gt;=Assumptions!$B$24),"High Press / Gegenpressing",IF(AND(N164&gt;=Assumptions!$B$23,AB164&gt;=Assumptions!$B$25),"Possession / Build-from-the-Back",IF(N164&gt;=Assumptions!$B$23,"Counter-Attack / Transition",IF(AND(O164&gt;=Assumptions!$B$23,N164&lt;Assumptions!$B$26),"Low Block / Park the Bus",IF(AND(B164="FW",M164&gt;=Assumptions!$B$23,N164&lt;Assumptions!$B$26),"Direct / Target Approach","Flexible / Multi-System"))))))</f>
        <v>Counter-Attack / Transition</v>
      </c>
      <c r="AD164" s="21" t="str">
        <f aca="false">'Player Data'!Y164</f>
        <v>2026-07-17</v>
      </c>
      <c r="AE164" s="21" t="str">
        <f aca="false">'Player Data'!Z164</f>
        <v>2026-07-17</v>
      </c>
      <c r="AF164" s="28" t="str">
        <f aca="false">IFERROR(INDEX(Assumptions!$B$30:$B$61,MATCH(C164,Assumptions!$A$30:$A$61,0)),"--")</f>
        <v>Austria, Turkey</v>
      </c>
      <c r="AG164" s="30" t="str">
        <f aca="false">IF(R164&gt;=0.7,"Step-Up Candidate",IF(R164&gt;=0.4,"Lateral Move","Stay &amp; Develop"))</f>
        <v>Lateral Move</v>
      </c>
    </row>
    <row r="165" customFormat="false" ht="23.85" hidden="false" customHeight="false" outlineLevel="0" collapsed="false">
      <c r="A165" s="21" t="str">
        <f aca="false">'Player Data'!A165</f>
        <v>Kevin Elvir</v>
      </c>
      <c r="B165" s="21" t="str">
        <f aca="false">'Player Data'!F165</f>
        <v>MF</v>
      </c>
      <c r="C165" s="21" t="str">
        <f aca="false">'Player Data'!B165</f>
        <v>Honduras</v>
      </c>
      <c r="D165" s="21" t="str">
        <f aca="false">'Player Data'!C165</f>
        <v>Honduras Third Tier - North</v>
      </c>
      <c r="E165" s="21" t="n">
        <f aca="false">'Player Data'!D165</f>
        <v>3</v>
      </c>
      <c r="F165" s="21" t="n">
        <f aca="false">'Player Data'!G165</f>
        <v>19</v>
      </c>
      <c r="G165" s="21" t="n">
        <f aca="false">'Player Data'!H165</f>
        <v>2410</v>
      </c>
      <c r="H165" s="22" t="n">
        <f aca="false">IF(B165="GK",IFERROR(('Player Data'!N165-1.5*'Player Data'!O165)/'Player Data'!H165*90,0),IFERROR(('Player Data'!I165+'Player Data'!J165)/'Player Data'!H165*90,0))</f>
        <v>0.261410788381743</v>
      </c>
      <c r="I165" s="22" t="n">
        <f aca="false">IF(B165="GK",'Player Data'!P165,IFERROR(('Player Data'!K165+'Player Data'!L165)/'Player Data'!H165*90,0))</f>
        <v>6.83402489626556</v>
      </c>
      <c r="J165" s="22" t="n">
        <f aca="false">IF(B165="GK",IFERROR('Player Data'!Q165/'Player Data'!H165*90,0),IFERROR('Player Data'!M165/'Player Data'!H165*90,0))</f>
        <v>1.30705394190871</v>
      </c>
      <c r="K165" s="23" t="n">
        <f aca="false">'Player Data'!S165</f>
        <v>34076</v>
      </c>
      <c r="L165" s="22" t="n">
        <f aca="false">INDEX(Assumptions!$B$13:$B$15,MATCH(E165,Assumptions!$A$13:$A$15,0))</f>
        <v>0.85</v>
      </c>
      <c r="M165" s="24" t="n">
        <f aca="false">IFERROR(SUMPRODUCT(($B$2:$B$1001=B165)*($H$2:$H$1001&lt;=H165))/SUMPRODUCT(($B$2:$B$1001=B165)*1),0)</f>
        <v>0.0134680134680135</v>
      </c>
      <c r="N165" s="24" t="n">
        <f aca="false">IFERROR(SUMPRODUCT(($B$2:$B$1001=B165)*($I$2:$I$1001&lt;=I165))/SUMPRODUCT(($B$2:$B$1001=B165)*1),0)</f>
        <v>0.0404040404040404</v>
      </c>
      <c r="O165" s="24" t="n">
        <f aca="false">IFERROR(SUMPRODUCT(($B$2:$B$1001=B165)*($J$2:$J$1001&lt;=J165))/SUMPRODUCT(($B$2:$B$1001=B165)*1),0)</f>
        <v>0.0942760942760943</v>
      </c>
      <c r="P165" s="24" t="n">
        <f aca="false">IFERROR(SUMPRODUCT(($B$2:$B$1001=B165)*((0-$F$2:$F$1001)&lt;=(0-F165)))/SUMPRODUCT(($B$2:$B$1001=B165)*1),0)</f>
        <v>0.868686868686869</v>
      </c>
      <c r="Q165" s="25" t="n">
        <f aca="false">(M165*Assumptions!$B$5+N165*Assumptions!$B$6+O165*Assumptions!$B$7+P165*Assumptions!$B$8)*L165</f>
        <v>0.178585858585859</v>
      </c>
      <c r="R165" s="24" t="n">
        <f aca="false">IFERROR(SUMPRODUCT(($B$2:$B$1001=B165)*($Q$2:$Q$1001&lt;=Q165))/SUMPRODUCT(($B$2:$B$1001=B165)*1),0)</f>
        <v>0.0572390572390572</v>
      </c>
      <c r="S165" s="24" t="n">
        <f aca="false">IFERROR(SUMPRODUCT(($B$2:$B$1001=B165)*($K$2:$K$1001&lt;=K165))/SUMPRODUCT(($B$2:$B$1001=B165)*1),0)</f>
        <v>0.343434343434343</v>
      </c>
      <c r="T165" s="26" t="n">
        <f aca="false">(R165-S165)*100</f>
        <v>-28.6195286195286</v>
      </c>
      <c r="U165" s="21" t="str">
        <f aca="false">'Player Data'!T165</f>
        <v>No</v>
      </c>
      <c r="V165" s="27" t="n">
        <f aca="false">'Player Data'!U165</f>
        <v>2027</v>
      </c>
      <c r="W165" s="21" t="str">
        <f aca="false">IF(AND(T165&gt;=Assumptions!$B$19,U165="No"),"High Priority - Unrepresented",IF(T165&gt;=Assumptions!$B$19,"High Priority",IF(AND(T165&gt;=Assumptions!$B$20,U165="No"),"Watchlist - Unrepresented",IF(T165&gt;=Assumptions!$B$20,"Watchlist",""))))</f>
        <v/>
      </c>
      <c r="X165" s="21" t="str">
        <f aca="false">'Player Data'!V165</f>
        <v>info@sanpedrosulasc.hn</v>
      </c>
      <c r="Y165" s="28" t="str">
        <f aca="false">'Player Data'!W165</f>
        <v>Club sporting director / first-team office</v>
      </c>
      <c r="Z165" s="28" t="str">
        <f aca="false">'Player Data'!X165</f>
        <v>FENAFUTH (Honduran Football Federation) player registry</v>
      </c>
      <c r="AA165" s="19" t="str">
        <f aca="false">HYPERLINK("https://www.transfermarkt.com/schnellsuche/ergebnis/schnellsuche?query="&amp;SUBSTITUTE(A165," ","+"),"Search Transfermarkt")</f>
        <v>Search Transfermarkt</v>
      </c>
      <c r="AB165" s="29" t="n">
        <f aca="false">IFERROR('Player Data'!K165/('Player Data'!K165+'Player Data'!L165),0)</f>
        <v>0.644808743169399</v>
      </c>
      <c r="AC165" s="21" t="str">
        <f aca="false">IF(B165="GK",IF(AND(O165&gt;=Assumptions!$B$23,N165&gt;=Assumptions!$B$23),"Sweeper-Keeper / Build-from-the-Back",IF(O165&gt;=Assumptions!$B$23,"Sweeper-Keeper / High Line",IF(M165&gt;=Assumptions!$B$23,"Shot-Stopper / Traditional","Flexible / Multi-System"))),IF(AND(O165&gt;=Assumptions!$B$23,P165&gt;=Assumptions!$B$24),"High Press / Gegenpressing",IF(AND(N165&gt;=Assumptions!$B$23,AB165&gt;=Assumptions!$B$25),"Possession / Build-from-the-Back",IF(N165&gt;=Assumptions!$B$23,"Counter-Attack / Transition",IF(AND(O165&gt;=Assumptions!$B$23,N165&lt;Assumptions!$B$26),"Low Block / Park the Bus",IF(AND(B165="FW",M165&gt;=Assumptions!$B$23,N165&lt;Assumptions!$B$26),"Direct / Target Approach","Flexible / Multi-System"))))))</f>
        <v>Flexible / Multi-System</v>
      </c>
      <c r="AD165" s="21" t="str">
        <f aca="false">'Player Data'!Y165</f>
        <v>2026-07-17</v>
      </c>
      <c r="AE165" s="21" t="str">
        <f aca="false">'Player Data'!Z165</f>
        <v>2026-07-17</v>
      </c>
      <c r="AF165" s="28" t="str">
        <f aca="false">IFERROR(INDEX(Assumptions!$B$30:$B$61,MATCH(C165,Assumptions!$A$30:$A$61,0)),"--")</f>
        <v>Mexico, United States</v>
      </c>
      <c r="AG165" s="30" t="str">
        <f aca="false">IF(R165&gt;=0.7,"Step-Up Candidate",IF(R165&gt;=0.4,"Lateral Move","Stay &amp; Develop"))</f>
        <v>Stay &amp; Develop</v>
      </c>
    </row>
    <row r="166" customFormat="false" ht="23.85" hidden="false" customHeight="false" outlineLevel="0" collapsed="false">
      <c r="A166" s="21" t="str">
        <f aca="false">'Player Data'!A166</f>
        <v>Mateo Martinez</v>
      </c>
      <c r="B166" s="21" t="str">
        <f aca="false">'Player Data'!F166</f>
        <v>GK</v>
      </c>
      <c r="C166" s="21" t="str">
        <f aca="false">'Player Data'!B166</f>
        <v>Bolivia</v>
      </c>
      <c r="D166" s="21" t="str">
        <f aca="false">'Player Data'!C166</f>
        <v>Bolivia Reserve League</v>
      </c>
      <c r="E166" s="21" t="n">
        <f aca="false">'Player Data'!D166</f>
        <v>3</v>
      </c>
      <c r="F166" s="21" t="n">
        <f aca="false">'Player Data'!G166</f>
        <v>18</v>
      </c>
      <c r="G166" s="21" t="n">
        <f aca="false">'Player Data'!H166</f>
        <v>1218</v>
      </c>
      <c r="H166" s="22" t="n">
        <f aca="false">IF(B166="GK",IFERROR(('Player Data'!N166-1.5*'Player Data'!O166)/'Player Data'!H166*90,0),IFERROR(('Player Data'!I166+'Player Data'!J166)/'Player Data'!H166*90,0))</f>
        <v>1.25615763546798</v>
      </c>
      <c r="I166" s="22" t="n">
        <f aca="false">IF(B166="GK",'Player Data'!P166,IFERROR(('Player Data'!K166+'Player Data'!L166)/'Player Data'!H166*90,0))</f>
        <v>76.5</v>
      </c>
      <c r="J166" s="22" t="n">
        <f aca="false">IF(B166="GK",IFERROR('Player Data'!Q166/'Player Data'!H166*90,0),IFERROR('Player Data'!M166/'Player Data'!H166*90,0))</f>
        <v>1.38177339901478</v>
      </c>
      <c r="K166" s="23" t="n">
        <f aca="false">'Player Data'!S166</f>
        <v>139912</v>
      </c>
      <c r="L166" s="22" t="n">
        <f aca="false">INDEX(Assumptions!$B$13:$B$15,MATCH(E166,Assumptions!$A$13:$A$15,0))</f>
        <v>0.85</v>
      </c>
      <c r="M166" s="24" t="n">
        <f aca="false">IFERROR(SUMPRODUCT(($B$2:$B$1001=B166)*($H$2:$H$1001&lt;=H166))/SUMPRODUCT(($B$2:$B$1001=B166)*1),0)</f>
        <v>0.551912568306011</v>
      </c>
      <c r="N166" s="24" t="n">
        <f aca="false">IFERROR(SUMPRODUCT(($B$2:$B$1001=B166)*($I$2:$I$1001&lt;=I166))/SUMPRODUCT(($B$2:$B$1001=B166)*1),0)</f>
        <v>0.60655737704918</v>
      </c>
      <c r="O166" s="24" t="n">
        <f aca="false">IFERROR(SUMPRODUCT(($B$2:$B$1001=B166)*($J$2:$J$1001&lt;=J166))/SUMPRODUCT(($B$2:$B$1001=B166)*1),0)</f>
        <v>0.885245901639344</v>
      </c>
      <c r="P166" s="24" t="n">
        <f aca="false">IFERROR(SUMPRODUCT(($B$2:$B$1001=B166)*((0-$F$2:$F$1001)&lt;=(0-F166)))/SUMPRODUCT(($B$2:$B$1001=B166)*1),0)</f>
        <v>0.907103825136612</v>
      </c>
      <c r="Q166" s="25" t="n">
        <f aca="false">(M166*Assumptions!$B$5+N166*Assumptions!$B$6+O166*Assumptions!$B$7+P166*Assumptions!$B$8)*L166</f>
        <v>0.602431693989071</v>
      </c>
      <c r="R166" s="24" t="n">
        <f aca="false">IFERROR(SUMPRODUCT(($B$2:$B$1001=B166)*($Q$2:$Q$1001&lt;=Q166))/SUMPRODUCT(($B$2:$B$1001=B166)*1),0)</f>
        <v>0.863387978142077</v>
      </c>
      <c r="S166" s="24" t="n">
        <f aca="false">IFERROR(SUMPRODUCT(($B$2:$B$1001=B166)*($K$2:$K$1001&lt;=K166))/SUMPRODUCT(($B$2:$B$1001=B166)*1),0)</f>
        <v>0.939890710382514</v>
      </c>
      <c r="T166" s="26" t="n">
        <f aca="false">(R166-S166)*100</f>
        <v>-7.65027322404372</v>
      </c>
      <c r="U166" s="21" t="str">
        <f aca="false">'Player Data'!T166</f>
        <v>Yes</v>
      </c>
      <c r="V166" s="27" t="n">
        <f aca="false">'Player Data'!U166</f>
        <v>2026</v>
      </c>
      <c r="W166" s="21" t="str">
        <f aca="false">IF(AND(T166&gt;=Assumptions!$B$19,U166="No"),"High Priority - Unrepresented",IF(T166&gt;=Assumptions!$B$19,"High Priority",IF(AND(T166&gt;=Assumptions!$B$20,U166="No"),"Watchlist - Unrepresented",IF(T166&gt;=Assumptions!$B$20,"Watchlist",""))))</f>
        <v/>
      </c>
      <c r="X166" s="21" t="str">
        <f aca="false">'Player Data'!V166</f>
        <v>info@santacruzfc.bo</v>
      </c>
      <c r="Y166" s="28" t="str">
        <f aca="false">'Player Data'!W166</f>
        <v>Go through the player's agent - ask the club to confirm representation first</v>
      </c>
      <c r="Z166" s="28" t="str">
        <f aca="false">'Player Data'!X166</f>
        <v>FBF (Bolivian Football Federation) player registry</v>
      </c>
      <c r="AA166" s="19" t="str">
        <f aca="false">HYPERLINK("https://www.transfermarkt.com/schnellsuche/ergebnis/schnellsuche?query="&amp;SUBSTITUTE(A166," ","+"),"Search Transfermarkt")</f>
        <v>Search Transfermarkt</v>
      </c>
      <c r="AB166" s="29" t="n">
        <f aca="false">IFERROR('Player Data'!K166/('Player Data'!K166+'Player Data'!L166),0)</f>
        <v>1</v>
      </c>
      <c r="AC166" s="21" t="str">
        <f aca="false">IF(B166="GK",IF(AND(O166&gt;=Assumptions!$B$23,N166&gt;=Assumptions!$B$23),"Sweeper-Keeper / Build-from-the-Back",IF(O166&gt;=Assumptions!$B$23,"Sweeper-Keeper / High Line",IF(M166&gt;=Assumptions!$B$23,"Shot-Stopper / Traditional","Flexible / Multi-System"))),IF(AND(O166&gt;=Assumptions!$B$23,P166&gt;=Assumptions!$B$24),"High Press / Gegenpressing",IF(AND(N166&gt;=Assumptions!$B$23,AB166&gt;=Assumptions!$B$25),"Possession / Build-from-the-Back",IF(N166&gt;=Assumptions!$B$23,"Counter-Attack / Transition",IF(AND(O166&gt;=Assumptions!$B$23,N166&lt;Assumptions!$B$26),"Low Block / Park the Bus",IF(AND(B166="FW",M166&gt;=Assumptions!$B$23,N166&lt;Assumptions!$B$26),"Direct / Target Approach","Flexible / Multi-System"))))))</f>
        <v>Sweeper-Keeper / High Line</v>
      </c>
      <c r="AD166" s="21" t="str">
        <f aca="false">'Player Data'!Y166</f>
        <v>2026-07-17</v>
      </c>
      <c r="AE166" s="21" t="str">
        <f aca="false">'Player Data'!Z166</f>
        <v>2026-07-17</v>
      </c>
      <c r="AF166" s="28" t="str">
        <f aca="false">IFERROR(INDEX(Assumptions!$B$30:$B$61,MATCH(C166,Assumptions!$A$30:$A$61,0)),"--")</f>
        <v>Argentina, Portugal</v>
      </c>
      <c r="AG166" s="30" t="str">
        <f aca="false">IF(R166&gt;=0.7,"Step-Up Candidate",IF(R166&gt;=0.4,"Lateral Move","Stay &amp; Develop"))</f>
        <v>Step-Up Candidate</v>
      </c>
    </row>
    <row r="167" customFormat="false" ht="23.85" hidden="false" customHeight="false" outlineLevel="0" collapsed="false">
      <c r="A167" s="21" t="str">
        <f aca="false">'Player Data'!A167</f>
        <v>Karim Jabbar</v>
      </c>
      <c r="B167" s="21" t="str">
        <f aca="false">'Player Data'!F167</f>
        <v>FW</v>
      </c>
      <c r="C167" s="21" t="str">
        <f aca="false">'Player Data'!B167</f>
        <v>Iraq</v>
      </c>
      <c r="D167" s="21" t="str">
        <f aca="false">'Player Data'!C167</f>
        <v>Iraq Second Division</v>
      </c>
      <c r="E167" s="21" t="n">
        <f aca="false">'Player Data'!D167</f>
        <v>2</v>
      </c>
      <c r="F167" s="21" t="n">
        <f aca="false">'Player Data'!G167</f>
        <v>19</v>
      </c>
      <c r="G167" s="21" t="n">
        <f aca="false">'Player Data'!H167</f>
        <v>1759</v>
      </c>
      <c r="H167" s="22" t="n">
        <f aca="false">IF(B167="GK",IFERROR(('Player Data'!N167-1.5*'Player Data'!O167)/'Player Data'!H167*90,0),IFERROR(('Player Data'!I167+'Player Data'!J167)/'Player Data'!H167*90,0))</f>
        <v>0.511654349061967</v>
      </c>
      <c r="I167" s="22" t="n">
        <f aca="false">IF(B167="GK",'Player Data'!P167,IFERROR(('Player Data'!K167+'Player Data'!L167)/'Player Data'!H167*90,0))</f>
        <v>6.49801023308698</v>
      </c>
      <c r="J167" s="22" t="n">
        <f aca="false">IF(B167="GK",IFERROR('Player Data'!Q167/'Player Data'!H167*90,0),IFERROR('Player Data'!M167/'Player Data'!H167*90,0))</f>
        <v>0.562819783968164</v>
      </c>
      <c r="K167" s="23" t="n">
        <f aca="false">'Player Data'!S167</f>
        <v>26296</v>
      </c>
      <c r="L167" s="22" t="n">
        <f aca="false">INDEX(Assumptions!$B$13:$B$15,MATCH(E167,Assumptions!$A$13:$A$15,0))</f>
        <v>1</v>
      </c>
      <c r="M167" s="24" t="n">
        <f aca="false">IFERROR(SUMPRODUCT(($B$2:$B$1001=B167)*($H$2:$H$1001&lt;=H167))/SUMPRODUCT(($B$2:$B$1001=B167)*1),0)</f>
        <v>0.0884955752212389</v>
      </c>
      <c r="N167" s="24" t="n">
        <f aca="false">IFERROR(SUMPRODUCT(($B$2:$B$1001=B167)*($I$2:$I$1001&lt;=I167))/SUMPRODUCT(($B$2:$B$1001=B167)*1),0)</f>
        <v>0.495575221238938</v>
      </c>
      <c r="O167" s="24" t="n">
        <f aca="false">IFERROR(SUMPRODUCT(($B$2:$B$1001=B167)*($J$2:$J$1001&lt;=J167))/SUMPRODUCT(($B$2:$B$1001=B167)*1),0)</f>
        <v>0.588495575221239</v>
      </c>
      <c r="P167" s="24" t="n">
        <f aca="false">IFERROR(SUMPRODUCT(($B$2:$B$1001=B167)*((0-$F$2:$F$1001)&lt;=(0-F167)))/SUMPRODUCT(($B$2:$B$1001=B167)*1),0)</f>
        <v>0.831858407079646</v>
      </c>
      <c r="Q167" s="25" t="n">
        <f aca="false">(M167*Assumptions!$B$5+N167*Assumptions!$B$6+O167*Assumptions!$B$7+P167*Assumptions!$B$8)*L167</f>
        <v>0.479646017699115</v>
      </c>
      <c r="R167" s="24" t="n">
        <f aca="false">IFERROR(SUMPRODUCT(($B$2:$B$1001=B167)*($Q$2:$Q$1001&lt;=Q167))/SUMPRODUCT(($B$2:$B$1001=B167)*1),0)</f>
        <v>0.570796460176991</v>
      </c>
      <c r="S167" s="24" t="n">
        <f aca="false">IFERROR(SUMPRODUCT(($B$2:$B$1001=B167)*($K$2:$K$1001&lt;=K167))/SUMPRODUCT(($B$2:$B$1001=B167)*1),0)</f>
        <v>0.353982300884956</v>
      </c>
      <c r="T167" s="26" t="n">
        <f aca="false">(R167-S167)*100</f>
        <v>21.6814159292035</v>
      </c>
      <c r="U167" s="21" t="str">
        <f aca="false">'Player Data'!T167</f>
        <v>Yes</v>
      </c>
      <c r="V167" s="27" t="n">
        <f aca="false">'Player Data'!U167</f>
        <v>2026</v>
      </c>
      <c r="W167" s="21" t="str">
        <f aca="false">IF(AND(T167&gt;=Assumptions!$B$19,U167="No"),"High Priority - Unrepresented",IF(T167&gt;=Assumptions!$B$19,"High Priority",IF(AND(T167&gt;=Assumptions!$B$20,U167="No"),"Watchlist - Unrepresented",IF(T167&gt;=Assumptions!$B$20,"Watchlist",""))))</f>
        <v>Watchlist</v>
      </c>
      <c r="X167" s="21" t="str">
        <f aca="false">'Player Data'!V167</f>
        <v>info@najafathletic.iq</v>
      </c>
      <c r="Y167" s="28" t="str">
        <f aca="false">'Player Data'!W167</f>
        <v>Go through the player's agent - ask the club to confirm representation first</v>
      </c>
      <c r="Z167" s="28" t="str">
        <f aca="false">'Player Data'!X167</f>
        <v>IFA (Iraq Football Association) player registry</v>
      </c>
      <c r="AA167" s="19" t="str">
        <f aca="false">HYPERLINK("https://www.transfermarkt.com/schnellsuche/ergebnis/schnellsuche?query="&amp;SUBSTITUTE(A167," ","+"),"Search Transfermarkt")</f>
        <v>Search Transfermarkt</v>
      </c>
      <c r="AB167" s="29" t="n">
        <f aca="false">IFERROR('Player Data'!K167/('Player Data'!K167+'Player Data'!L167),0)</f>
        <v>0.385826771653543</v>
      </c>
      <c r="AC167" s="21" t="str">
        <f aca="false">IF(B167="GK",IF(AND(O167&gt;=Assumptions!$B$23,N167&gt;=Assumptions!$B$23),"Sweeper-Keeper / Build-from-the-Back",IF(O167&gt;=Assumptions!$B$23,"Sweeper-Keeper / High Line",IF(M167&gt;=Assumptions!$B$23,"Shot-Stopper / Traditional","Flexible / Multi-System"))),IF(AND(O167&gt;=Assumptions!$B$23,P167&gt;=Assumptions!$B$24),"High Press / Gegenpressing",IF(AND(N167&gt;=Assumptions!$B$23,AB167&gt;=Assumptions!$B$25),"Possession / Build-from-the-Back",IF(N167&gt;=Assumptions!$B$23,"Counter-Attack / Transition",IF(AND(O167&gt;=Assumptions!$B$23,N167&lt;Assumptions!$B$26),"Low Block / Park the Bus",IF(AND(B167="FW",M167&gt;=Assumptions!$B$23,N167&lt;Assumptions!$B$26),"Direct / Target Approach","Flexible / Multi-System"))))))</f>
        <v>Flexible / Multi-System</v>
      </c>
      <c r="AD167" s="21" t="str">
        <f aca="false">'Player Data'!Y167</f>
        <v>2026-07-17</v>
      </c>
      <c r="AE167" s="21" t="str">
        <f aca="false">'Player Data'!Z167</f>
        <v>2026-07-17</v>
      </c>
      <c r="AF167" s="28" t="str">
        <f aca="false">IFERROR(INDEX(Assumptions!$B$30:$B$61,MATCH(C167,Assumptions!$A$30:$A$61,0)),"--")</f>
        <v>Turkey, Saudi Arabia</v>
      </c>
      <c r="AG167" s="30" t="str">
        <f aca="false">IF(R167&gt;=0.7,"Step-Up Candidate",IF(R167&gt;=0.4,"Lateral Move","Stay &amp; Develop"))</f>
        <v>Lateral Move</v>
      </c>
    </row>
    <row r="168" customFormat="false" ht="23.85" hidden="false" customHeight="false" outlineLevel="0" collapsed="false">
      <c r="A168" s="21" t="str">
        <f aca="false">'Player Data'!A168</f>
        <v>Souleymane Diarra</v>
      </c>
      <c r="B168" s="21" t="str">
        <f aca="false">'Player Data'!F168</f>
        <v>DF</v>
      </c>
      <c r="C168" s="21" t="str">
        <f aca="false">'Player Data'!B168</f>
        <v>Mali</v>
      </c>
      <c r="D168" s="21" t="str">
        <f aca="false">'Player Data'!C168</f>
        <v>Mali Regional League</v>
      </c>
      <c r="E168" s="21" t="n">
        <f aca="false">'Player Data'!D168</f>
        <v>4</v>
      </c>
      <c r="F168" s="21" t="n">
        <f aca="false">'Player Data'!G168</f>
        <v>18</v>
      </c>
      <c r="G168" s="21" t="n">
        <f aca="false">'Player Data'!H168</f>
        <v>1952</v>
      </c>
      <c r="H168" s="22" t="n">
        <f aca="false">IF(B168="GK",IFERROR(('Player Data'!N168-1.5*'Player Data'!O168)/'Player Data'!H168*90,0),IFERROR(('Player Data'!I168+'Player Data'!J168)/'Player Data'!H168*90,0))</f>
        <v>0.322745901639344</v>
      </c>
      <c r="I168" s="22" t="n">
        <f aca="false">IF(B168="GK",'Player Data'!P168,IFERROR(('Player Data'!K168+'Player Data'!L168)/'Player Data'!H168*90,0))</f>
        <v>3.41188524590164</v>
      </c>
      <c r="J168" s="22" t="n">
        <f aca="false">IF(B168="GK",IFERROR('Player Data'!Q168/'Player Data'!H168*90,0),IFERROR('Player Data'!M168/'Player Data'!H168*90,0))</f>
        <v>3.55020491803279</v>
      </c>
      <c r="K168" s="23" t="n">
        <f aca="false">'Player Data'!S168</f>
        <v>45948</v>
      </c>
      <c r="L168" s="22" t="n">
        <f aca="false">INDEX(Assumptions!$B$13:$B$15,MATCH(E168,Assumptions!$A$13:$A$15,0))</f>
        <v>0.7</v>
      </c>
      <c r="M168" s="24" t="n">
        <f aca="false">IFERROR(SUMPRODUCT(($B$2:$B$1001=B168)*($H$2:$H$1001&lt;=H168))/SUMPRODUCT(($B$2:$B$1001=B168)*1),0)</f>
        <v>0.812925170068027</v>
      </c>
      <c r="N168" s="24" t="n">
        <f aca="false">IFERROR(SUMPRODUCT(($B$2:$B$1001=B168)*($I$2:$I$1001&lt;=I168))/SUMPRODUCT(($B$2:$B$1001=B168)*1),0)</f>
        <v>0.200680272108844</v>
      </c>
      <c r="O168" s="24" t="n">
        <f aca="false">IFERROR(SUMPRODUCT(($B$2:$B$1001=B168)*($J$2:$J$1001&lt;=J168))/SUMPRODUCT(($B$2:$B$1001=B168)*1),0)</f>
        <v>0.105442176870748</v>
      </c>
      <c r="P168" s="24" t="n">
        <f aca="false">IFERROR(SUMPRODUCT(($B$2:$B$1001=B168)*((0-$F$2:$F$1001)&lt;=(0-F168)))/SUMPRODUCT(($B$2:$B$1001=B168)*1),0)</f>
        <v>0.863945578231293</v>
      </c>
      <c r="Q168" s="25" t="n">
        <f aca="false">(M168*Assumptions!$B$5+N168*Assumptions!$B$6+O168*Assumptions!$B$7+P168*Assumptions!$B$8)*L168</f>
        <v>0.327142857142857</v>
      </c>
      <c r="R168" s="24" t="n">
        <f aca="false">IFERROR(SUMPRODUCT(($B$2:$B$1001=B168)*($Q$2:$Q$1001&lt;=Q168))/SUMPRODUCT(($B$2:$B$1001=B168)*1),0)</f>
        <v>0.302721088435374</v>
      </c>
      <c r="S168" s="24" t="n">
        <f aca="false">IFERROR(SUMPRODUCT(($B$2:$B$1001=B168)*($K$2:$K$1001&lt;=K168))/SUMPRODUCT(($B$2:$B$1001=B168)*1),0)</f>
        <v>0.435374149659864</v>
      </c>
      <c r="T168" s="26" t="n">
        <f aca="false">(R168-S168)*100</f>
        <v>-13.265306122449</v>
      </c>
      <c r="U168" s="21" t="str">
        <f aca="false">'Player Data'!T168</f>
        <v>No</v>
      </c>
      <c r="V168" s="27" t="n">
        <f aca="false">'Player Data'!U168</f>
        <v>2029</v>
      </c>
      <c r="W168" s="21" t="str">
        <f aca="false">IF(AND(T168&gt;=Assumptions!$B$19,U168="No"),"High Priority - Unrepresented",IF(T168&gt;=Assumptions!$B$19,"High Priority",IF(AND(T168&gt;=Assumptions!$B$20,U168="No"),"Watchlist - Unrepresented",IF(T168&gt;=Assumptions!$B$20,"Watchlist",""))))</f>
        <v/>
      </c>
      <c r="X168" s="21" t="str">
        <f aca="false">'Player Data'!V168</f>
        <v>info@kayestown.ml</v>
      </c>
      <c r="Y168" s="28" t="str">
        <f aca="false">'Player Data'!W168</f>
        <v>Club sporting director / first-team office</v>
      </c>
      <c r="Z168" s="28" t="str">
        <f aca="false">'Player Data'!X168</f>
        <v>FEMAFOOT (Malian Football Federation) player registry</v>
      </c>
      <c r="AA168" s="19" t="str">
        <f aca="false">HYPERLINK("https://www.transfermarkt.com/schnellsuche/ergebnis/schnellsuche?query="&amp;SUBSTITUTE(A168," ","+"),"Search Transfermarkt")</f>
        <v>Search Transfermarkt</v>
      </c>
      <c r="AB168" s="29" t="n">
        <f aca="false">IFERROR('Player Data'!K168/('Player Data'!K168+'Player Data'!L168),0)</f>
        <v>0.72972972972973</v>
      </c>
      <c r="AC168" s="21" t="str">
        <f aca="false">IF(B168="GK",IF(AND(O168&gt;=Assumptions!$B$23,N168&gt;=Assumptions!$B$23),"Sweeper-Keeper / Build-from-the-Back",IF(O168&gt;=Assumptions!$B$23,"Sweeper-Keeper / High Line",IF(M168&gt;=Assumptions!$B$23,"Shot-Stopper / Traditional","Flexible / Multi-System"))),IF(AND(O168&gt;=Assumptions!$B$23,P168&gt;=Assumptions!$B$24),"High Press / Gegenpressing",IF(AND(N168&gt;=Assumptions!$B$23,AB168&gt;=Assumptions!$B$25),"Possession / Build-from-the-Back",IF(N168&gt;=Assumptions!$B$23,"Counter-Attack / Transition",IF(AND(O168&gt;=Assumptions!$B$23,N168&lt;Assumptions!$B$26),"Low Block / Park the Bus",IF(AND(B168="FW",M168&gt;=Assumptions!$B$23,N168&lt;Assumptions!$B$26),"Direct / Target Approach","Flexible / Multi-System"))))))</f>
        <v>Flexible / Multi-System</v>
      </c>
      <c r="AD168" s="21" t="str">
        <f aca="false">'Player Data'!Y168</f>
        <v>2026-07-17</v>
      </c>
      <c r="AE168" s="21" t="str">
        <f aca="false">'Player Data'!Z168</f>
        <v>2026-07-17</v>
      </c>
      <c r="AF168" s="28" t="str">
        <f aca="false">IFERROR(INDEX(Assumptions!$B$30:$B$61,MATCH(C168,Assumptions!$A$30:$A$61,0)),"--")</f>
        <v>Belgium, Portugal</v>
      </c>
      <c r="AG168" s="30" t="str">
        <f aca="false">IF(R168&gt;=0.7,"Step-Up Candidate",IF(R168&gt;=0.4,"Lateral Move","Stay &amp; Develop"))</f>
        <v>Stay &amp; Develop</v>
      </c>
    </row>
    <row r="169" customFormat="false" ht="23.85" hidden="false" customHeight="false" outlineLevel="0" collapsed="false">
      <c r="A169" s="21" t="str">
        <f aca="false">'Player Data'!A169</f>
        <v>Minh Hoang</v>
      </c>
      <c r="B169" s="21" t="str">
        <f aca="false">'Player Data'!F169</f>
        <v>MF</v>
      </c>
      <c r="C169" s="21" t="str">
        <f aca="false">'Player Data'!B169</f>
        <v>Vietnam</v>
      </c>
      <c r="D169" s="21" t="str">
        <f aca="false">'Player Data'!C169</f>
        <v>Vietnam Third Tier - North</v>
      </c>
      <c r="E169" s="21" t="n">
        <f aca="false">'Player Data'!D169</f>
        <v>2</v>
      </c>
      <c r="F169" s="21" t="n">
        <f aca="false">'Player Data'!G169</f>
        <v>25</v>
      </c>
      <c r="G169" s="21" t="n">
        <f aca="false">'Player Data'!H169</f>
        <v>1540</v>
      </c>
      <c r="H169" s="22" t="n">
        <f aca="false">IF(B169="GK",IFERROR(('Player Data'!N169-1.5*'Player Data'!O169)/'Player Data'!H169*90,0),IFERROR(('Player Data'!I169+'Player Data'!J169)/'Player Data'!H169*90,0))</f>
        <v>0.75974025974026</v>
      </c>
      <c r="I169" s="22" t="n">
        <f aca="false">IF(B169="GK",'Player Data'!P169,IFERROR(('Player Data'!K169+'Player Data'!L169)/'Player Data'!H169*90,0))</f>
        <v>11.6298701298701</v>
      </c>
      <c r="J169" s="22" t="n">
        <f aca="false">IF(B169="GK",IFERROR('Player Data'!Q169/'Player Data'!H169*90,0),IFERROR('Player Data'!M169/'Player Data'!H169*90,0))</f>
        <v>2.04545454545455</v>
      </c>
      <c r="K169" s="23" t="n">
        <f aca="false">'Player Data'!S169</f>
        <v>58360</v>
      </c>
      <c r="L169" s="22" t="n">
        <f aca="false">INDEX(Assumptions!$B$13:$B$15,MATCH(E169,Assumptions!$A$13:$A$15,0))</f>
        <v>1</v>
      </c>
      <c r="M169" s="24" t="n">
        <f aca="false">IFERROR(SUMPRODUCT(($B$2:$B$1001=B169)*($H$2:$H$1001&lt;=H169))/SUMPRODUCT(($B$2:$B$1001=B169)*1),0)</f>
        <v>0.531986531986532</v>
      </c>
      <c r="N169" s="24" t="n">
        <f aca="false">IFERROR(SUMPRODUCT(($B$2:$B$1001=B169)*($I$2:$I$1001&lt;=I169))/SUMPRODUCT(($B$2:$B$1001=B169)*1),0)</f>
        <v>0.548821548821549</v>
      </c>
      <c r="O169" s="24" t="n">
        <f aca="false">IFERROR(SUMPRODUCT(($B$2:$B$1001=B169)*($J$2:$J$1001&lt;=J169))/SUMPRODUCT(($B$2:$B$1001=B169)*1),0)</f>
        <v>0.451178451178451</v>
      </c>
      <c r="P169" s="24" t="n">
        <f aca="false">IFERROR(SUMPRODUCT(($B$2:$B$1001=B169)*((0-$F$2:$F$1001)&lt;=(0-F169)))/SUMPRODUCT(($B$2:$B$1001=B169)*1),0)</f>
        <v>0.202020202020202</v>
      </c>
      <c r="Q169" s="25" t="n">
        <f aca="false">(M169*Assumptions!$B$5+N169*Assumptions!$B$6+O169*Assumptions!$B$7+P169*Assumptions!$B$8)*L169</f>
        <v>0.455723905723906</v>
      </c>
      <c r="R169" s="24" t="n">
        <f aca="false">IFERROR(SUMPRODUCT(($B$2:$B$1001=B169)*($Q$2:$Q$1001&lt;=Q169))/SUMPRODUCT(($B$2:$B$1001=B169)*1),0)</f>
        <v>0.548821548821549</v>
      </c>
      <c r="S169" s="24" t="n">
        <f aca="false">IFERROR(SUMPRODUCT(($B$2:$B$1001=B169)*($K$2:$K$1001&lt;=K169))/SUMPRODUCT(($B$2:$B$1001=B169)*1),0)</f>
        <v>0.491582491582492</v>
      </c>
      <c r="T169" s="26" t="n">
        <f aca="false">(R169-S169)*100</f>
        <v>5.72390572390573</v>
      </c>
      <c r="U169" s="21" t="str">
        <f aca="false">'Player Data'!T169</f>
        <v>Unknown</v>
      </c>
      <c r="V169" s="27" t="n">
        <f aca="false">'Player Data'!U169</f>
        <v>2029</v>
      </c>
      <c r="W169" s="21" t="str">
        <f aca="false">IF(AND(T169&gt;=Assumptions!$B$19,U169="No"),"High Priority - Unrepresented",IF(T169&gt;=Assumptions!$B$19,"High Priority",IF(AND(T169&gt;=Assumptions!$B$20,U169="No"),"Watchlist - Unrepresented",IF(T169&gt;=Assumptions!$B$20,"Watchlist",""))))</f>
        <v/>
      </c>
      <c r="X169" s="21" t="str">
        <f aca="false">'Player Data'!V169</f>
        <v>info@canthosc.vn</v>
      </c>
      <c r="Y169" s="28" t="str">
        <f aca="false">'Player Data'!W169</f>
        <v>Club sporting director / first-team office</v>
      </c>
      <c r="Z169" s="28" t="str">
        <f aca="false">'Player Data'!X169</f>
        <v>VFF (Vietnam Football Federation) player registry</v>
      </c>
      <c r="AA169" s="19" t="str">
        <f aca="false">HYPERLINK("https://www.transfermarkt.com/schnellsuche/ergebnis/schnellsuche?query="&amp;SUBSTITUTE(A169," ","+"),"Search Transfermarkt")</f>
        <v>Search Transfermarkt</v>
      </c>
      <c r="AB169" s="29" t="n">
        <f aca="false">IFERROR('Player Data'!K169/('Player Data'!K169+'Player Data'!L169),0)</f>
        <v>0.527638190954774</v>
      </c>
      <c r="AC169" s="21" t="str">
        <f aca="false">IF(B169="GK",IF(AND(O169&gt;=Assumptions!$B$23,N169&gt;=Assumptions!$B$23),"Sweeper-Keeper / Build-from-the-Back",IF(O169&gt;=Assumptions!$B$23,"Sweeper-Keeper / High Line",IF(M169&gt;=Assumptions!$B$23,"Shot-Stopper / Traditional","Flexible / Multi-System"))),IF(AND(O169&gt;=Assumptions!$B$23,P169&gt;=Assumptions!$B$24),"High Press / Gegenpressing",IF(AND(N169&gt;=Assumptions!$B$23,AB169&gt;=Assumptions!$B$25),"Possession / Build-from-the-Back",IF(N169&gt;=Assumptions!$B$23,"Counter-Attack / Transition",IF(AND(O169&gt;=Assumptions!$B$23,N169&lt;Assumptions!$B$26),"Low Block / Park the Bus",IF(AND(B169="FW",M169&gt;=Assumptions!$B$23,N169&lt;Assumptions!$B$26),"Direct / Target Approach","Flexible / Multi-System"))))))</f>
        <v>Flexible / Multi-System</v>
      </c>
      <c r="AD169" s="21" t="str">
        <f aca="false">'Player Data'!Y169</f>
        <v>2026-07-17</v>
      </c>
      <c r="AE169" s="21" t="str">
        <f aca="false">'Player Data'!Z169</f>
        <v>2026-07-17</v>
      </c>
      <c r="AF169" s="28" t="str">
        <f aca="false">IFERROR(INDEX(Assumptions!$B$30:$B$61,MATCH(C169,Assumptions!$A$30:$A$61,0)),"--")</f>
        <v>Australia, Saudi Arabia</v>
      </c>
      <c r="AG169" s="30" t="str">
        <f aca="false">IF(R169&gt;=0.7,"Step-Up Candidate",IF(R169&gt;=0.4,"Lateral Move","Stay &amp; Develop"))</f>
        <v>Lateral Move</v>
      </c>
    </row>
    <row r="170" customFormat="false" ht="23.85" hidden="false" customHeight="false" outlineLevel="0" collapsed="false">
      <c r="A170" s="21" t="str">
        <f aca="false">'Player Data'!A170</f>
        <v>Maximiliano Silva</v>
      </c>
      <c r="B170" s="21" t="str">
        <f aca="false">'Player Data'!F170</f>
        <v>GK</v>
      </c>
      <c r="C170" s="21" t="str">
        <f aca="false">'Player Data'!B170</f>
        <v>Uruguay</v>
      </c>
      <c r="D170" s="21" t="str">
        <f aca="false">'Player Data'!C170</f>
        <v>Uruguay Third Tier - North</v>
      </c>
      <c r="E170" s="21" t="n">
        <f aca="false">'Player Data'!D170</f>
        <v>2</v>
      </c>
      <c r="F170" s="21" t="n">
        <f aca="false">'Player Data'!G170</f>
        <v>24</v>
      </c>
      <c r="G170" s="21" t="n">
        <f aca="false">'Player Data'!H170</f>
        <v>1232</v>
      </c>
      <c r="H170" s="22" t="n">
        <f aca="false">IF(B170="GK",IFERROR(('Player Data'!N170-1.5*'Player Data'!O170)/'Player Data'!H170*90,0),IFERROR(('Player Data'!I170+'Player Data'!J170)/'Player Data'!H170*90,0))</f>
        <v>1.38798701298701</v>
      </c>
      <c r="I170" s="22" t="n">
        <f aca="false">IF(B170="GK",'Player Data'!P170,IFERROR(('Player Data'!K170+'Player Data'!L170)/'Player Data'!H170*90,0))</f>
        <v>67.6</v>
      </c>
      <c r="J170" s="22" t="n">
        <f aca="false">IF(B170="GK",IFERROR('Player Data'!Q170/'Player Data'!H170*90,0),IFERROR('Player Data'!M170/'Player Data'!H170*90,0))</f>
        <v>0.854707792207792</v>
      </c>
      <c r="K170" s="23" t="n">
        <f aca="false">'Player Data'!S170</f>
        <v>14349</v>
      </c>
      <c r="L170" s="22" t="n">
        <f aca="false">INDEX(Assumptions!$B$13:$B$15,MATCH(E170,Assumptions!$A$13:$A$15,0))</f>
        <v>1</v>
      </c>
      <c r="M170" s="24" t="n">
        <f aca="false">IFERROR(SUMPRODUCT(($B$2:$B$1001=B170)*($H$2:$H$1001&lt;=H170))/SUMPRODUCT(($B$2:$B$1001=B170)*1),0)</f>
        <v>0.622950819672131</v>
      </c>
      <c r="N170" s="24" t="n">
        <f aca="false">IFERROR(SUMPRODUCT(($B$2:$B$1001=B170)*($I$2:$I$1001&lt;=I170))/SUMPRODUCT(($B$2:$B$1001=B170)*1),0)</f>
        <v>0.349726775956284</v>
      </c>
      <c r="O170" s="24" t="n">
        <f aca="false">IFERROR(SUMPRODUCT(($B$2:$B$1001=B170)*($J$2:$J$1001&lt;=J170))/SUMPRODUCT(($B$2:$B$1001=B170)*1),0)</f>
        <v>0.497267759562842</v>
      </c>
      <c r="P170" s="24" t="n">
        <f aca="false">IFERROR(SUMPRODUCT(($B$2:$B$1001=B170)*((0-$F$2:$F$1001)&lt;=(0-F170)))/SUMPRODUCT(($B$2:$B$1001=B170)*1),0)</f>
        <v>0.300546448087432</v>
      </c>
      <c r="Q170" s="25" t="n">
        <f aca="false">(M170*Assumptions!$B$5+N170*Assumptions!$B$6+O170*Assumptions!$B$7+P170*Assumptions!$B$8)*L170</f>
        <v>0.437704918032787</v>
      </c>
      <c r="R170" s="24" t="n">
        <f aca="false">IFERROR(SUMPRODUCT(($B$2:$B$1001=B170)*($Q$2:$Q$1001&lt;=Q170))/SUMPRODUCT(($B$2:$B$1001=B170)*1),0)</f>
        <v>0.431693989071038</v>
      </c>
      <c r="S170" s="24" t="n">
        <f aca="false">IFERROR(SUMPRODUCT(($B$2:$B$1001=B170)*($K$2:$K$1001&lt;=K170))/SUMPRODUCT(($B$2:$B$1001=B170)*1),0)</f>
        <v>0.245901639344262</v>
      </c>
      <c r="T170" s="26" t="n">
        <f aca="false">(R170-S170)*100</f>
        <v>18.5792349726776</v>
      </c>
      <c r="U170" s="21" t="str">
        <f aca="false">'Player Data'!T170</f>
        <v>Yes</v>
      </c>
      <c r="V170" s="27" t="n">
        <f aca="false">'Player Data'!U170</f>
        <v>2027</v>
      </c>
      <c r="W170" s="21" t="str">
        <f aca="false">IF(AND(T170&gt;=Assumptions!$B$19,U170="No"),"High Priority - Unrepresented",IF(T170&gt;=Assumptions!$B$19,"High Priority",IF(AND(T170&gt;=Assumptions!$B$20,U170="No"),"Watchlist - Unrepresented",IF(T170&gt;=Assumptions!$B$20,"Watchlist",""))))</f>
        <v/>
      </c>
      <c r="X170" s="21" t="str">
        <f aca="false">'Player Data'!V170</f>
        <v>info@montevideotown.uy</v>
      </c>
      <c r="Y170" s="28" t="str">
        <f aca="false">'Player Data'!W170</f>
        <v>Go through the player's agent - ask the club to confirm representation first</v>
      </c>
      <c r="Z170" s="28" t="str">
        <f aca="false">'Player Data'!X170</f>
        <v>AUF (Uruguayan Football Association) player registry</v>
      </c>
      <c r="AA170" s="19" t="str">
        <f aca="false">HYPERLINK("https://www.transfermarkt.com/schnellsuche/ergebnis/schnellsuche?query="&amp;SUBSTITUTE(A170," ","+"),"Search Transfermarkt")</f>
        <v>Search Transfermarkt</v>
      </c>
      <c r="AB170" s="29" t="n">
        <f aca="false">IFERROR('Player Data'!K170/('Player Data'!K170+'Player Data'!L170),0)</f>
        <v>1</v>
      </c>
      <c r="AC170" s="21" t="str">
        <f aca="false">IF(B170="GK",IF(AND(O170&gt;=Assumptions!$B$23,N170&gt;=Assumptions!$B$23),"Sweeper-Keeper / Build-from-the-Back",IF(O170&gt;=Assumptions!$B$23,"Sweeper-Keeper / High Line",IF(M170&gt;=Assumptions!$B$23,"Shot-Stopper / Traditional","Flexible / Multi-System"))),IF(AND(O170&gt;=Assumptions!$B$23,P170&gt;=Assumptions!$B$24),"High Press / Gegenpressing",IF(AND(N170&gt;=Assumptions!$B$23,AB170&gt;=Assumptions!$B$25),"Possession / Build-from-the-Back",IF(N170&gt;=Assumptions!$B$23,"Counter-Attack / Transition",IF(AND(O170&gt;=Assumptions!$B$23,N170&lt;Assumptions!$B$26),"Low Block / Park the Bus",IF(AND(B170="FW",M170&gt;=Assumptions!$B$23,N170&lt;Assumptions!$B$26),"Direct / Target Approach","Flexible / Multi-System"))))))</f>
        <v>Flexible / Multi-System</v>
      </c>
      <c r="AD170" s="21" t="str">
        <f aca="false">'Player Data'!Y170</f>
        <v>2026-07-17</v>
      </c>
      <c r="AE170" s="21" t="str">
        <f aca="false">'Player Data'!Z170</f>
        <v>2026-07-17</v>
      </c>
      <c r="AF170" s="28" t="str">
        <f aca="false">IFERROR(INDEX(Assumptions!$B$30:$B$61,MATCH(C170,Assumptions!$A$30:$A$61,0)),"--")</f>
        <v>Argentina, Portugal</v>
      </c>
      <c r="AG170" s="30" t="str">
        <f aca="false">IF(R170&gt;=0.7,"Step-Up Candidate",IF(R170&gt;=0.4,"Lateral Move","Stay &amp; Develop"))</f>
        <v>Lateral Move</v>
      </c>
    </row>
    <row r="171" customFormat="false" ht="23.85" hidden="false" customHeight="false" outlineLevel="0" collapsed="false">
      <c r="A171" s="21" t="str">
        <f aca="false">'Player Data'!A171</f>
        <v>Arturs Vitols</v>
      </c>
      <c r="B171" s="21" t="str">
        <f aca="false">'Player Data'!F171</f>
        <v>MF</v>
      </c>
      <c r="C171" s="21" t="str">
        <f aca="false">'Player Data'!B171</f>
        <v>Latvia</v>
      </c>
      <c r="D171" s="21" t="str">
        <f aca="false">'Player Data'!C171</f>
        <v>Latvia Second Division - West</v>
      </c>
      <c r="E171" s="21" t="n">
        <f aca="false">'Player Data'!D171</f>
        <v>3</v>
      </c>
      <c r="F171" s="21" t="n">
        <f aca="false">'Player Data'!G171</f>
        <v>21</v>
      </c>
      <c r="G171" s="21" t="n">
        <f aca="false">'Player Data'!H171</f>
        <v>1189</v>
      </c>
      <c r="H171" s="22" t="n">
        <f aca="false">IF(B171="GK",IFERROR(('Player Data'!N171-1.5*'Player Data'!O171)/'Player Data'!H171*90,0),IFERROR(('Player Data'!I171+'Player Data'!J171)/'Player Data'!H171*90,0))</f>
        <v>0.984020185029436</v>
      </c>
      <c r="I171" s="22" t="n">
        <f aca="false">IF(B171="GK",'Player Data'!P171,IFERROR(('Player Data'!K171+'Player Data'!L171)/'Player Data'!H171*90,0))</f>
        <v>13.7005887300252</v>
      </c>
      <c r="J171" s="22" t="n">
        <f aca="false">IF(B171="GK",IFERROR('Player Data'!Q171/'Player Data'!H171*90,0),IFERROR('Player Data'!M171/'Player Data'!H171*90,0))</f>
        <v>2.19512195121951</v>
      </c>
      <c r="K171" s="23" t="n">
        <f aca="false">'Player Data'!S171</f>
        <v>71807</v>
      </c>
      <c r="L171" s="22" t="n">
        <f aca="false">INDEX(Assumptions!$B$13:$B$15,MATCH(E171,Assumptions!$A$13:$A$15,0))</f>
        <v>0.85</v>
      </c>
      <c r="M171" s="24" t="n">
        <f aca="false">IFERROR(SUMPRODUCT(($B$2:$B$1001=B171)*($H$2:$H$1001&lt;=H171))/SUMPRODUCT(($B$2:$B$1001=B171)*1),0)</f>
        <v>0.767676767676768</v>
      </c>
      <c r="N171" s="24" t="n">
        <f aca="false">IFERROR(SUMPRODUCT(($B$2:$B$1001=B171)*($I$2:$I$1001&lt;=I171))/SUMPRODUCT(($B$2:$B$1001=B171)*1),0)</f>
        <v>0.693602693602694</v>
      </c>
      <c r="O171" s="24" t="n">
        <f aca="false">IFERROR(SUMPRODUCT(($B$2:$B$1001=B171)*($J$2:$J$1001&lt;=J171))/SUMPRODUCT(($B$2:$B$1001=B171)*1),0)</f>
        <v>0.505050505050505</v>
      </c>
      <c r="P171" s="24" t="n">
        <f aca="false">IFERROR(SUMPRODUCT(($B$2:$B$1001=B171)*((0-$F$2:$F$1001)&lt;=(0-F171)))/SUMPRODUCT(($B$2:$B$1001=B171)*1),0)</f>
        <v>0.61952861952862</v>
      </c>
      <c r="Q171" s="25" t="n">
        <f aca="false">(M171*Assumptions!$B$5+N171*Assumptions!$B$6+O171*Assumptions!$B$7+P171*Assumptions!$B$8)*L171</f>
        <v>0.560656565656566</v>
      </c>
      <c r="R171" s="24" t="n">
        <f aca="false">IFERROR(SUMPRODUCT(($B$2:$B$1001=B171)*($Q$2:$Q$1001&lt;=Q171))/SUMPRODUCT(($B$2:$B$1001=B171)*1),0)</f>
        <v>0.713804713804714</v>
      </c>
      <c r="S171" s="24" t="n">
        <f aca="false">IFERROR(SUMPRODUCT(($B$2:$B$1001=B171)*($K$2:$K$1001&lt;=K171))/SUMPRODUCT(($B$2:$B$1001=B171)*1),0)</f>
        <v>0.589225589225589</v>
      </c>
      <c r="T171" s="26" t="n">
        <f aca="false">(R171-S171)*100</f>
        <v>12.4579124579125</v>
      </c>
      <c r="U171" s="21" t="str">
        <f aca="false">'Player Data'!T171</f>
        <v>Unknown</v>
      </c>
      <c r="V171" s="27" t="n">
        <f aca="false">'Player Data'!U171</f>
        <v>2026</v>
      </c>
      <c r="W171" s="21" t="str">
        <f aca="false">IF(AND(T171&gt;=Assumptions!$B$19,U171="No"),"High Priority - Unrepresented",IF(T171&gt;=Assumptions!$B$19,"High Priority",IF(AND(T171&gt;=Assumptions!$B$20,U171="No"),"Watchlist - Unrepresented",IF(T171&gt;=Assumptions!$B$20,"Watchlist",""))))</f>
        <v/>
      </c>
      <c r="X171" s="21" t="str">
        <f aca="false">'Player Data'!V171</f>
        <v>info@daugavpilswanderers.lv</v>
      </c>
      <c r="Y171" s="28" t="str">
        <f aca="false">'Player Data'!W171</f>
        <v>Club sporting director / first-team office</v>
      </c>
      <c r="Z171" s="28" t="str">
        <f aca="false">'Player Data'!X171</f>
        <v>LFF (Latvian Football Federation) player registry</v>
      </c>
      <c r="AA171" s="19" t="str">
        <f aca="false">HYPERLINK("https://www.transfermarkt.com/schnellsuche/ergebnis/schnellsuche?query="&amp;SUBSTITUTE(A171," ","+"),"Search Transfermarkt")</f>
        <v>Search Transfermarkt</v>
      </c>
      <c r="AB171" s="29" t="n">
        <f aca="false">IFERROR('Player Data'!K171/('Player Data'!K171+'Player Data'!L171),0)</f>
        <v>0.6353591160221</v>
      </c>
      <c r="AC171" s="21" t="str">
        <f aca="false">IF(B171="GK",IF(AND(O171&gt;=Assumptions!$B$23,N171&gt;=Assumptions!$B$23),"Sweeper-Keeper / Build-from-the-Back",IF(O171&gt;=Assumptions!$B$23,"Sweeper-Keeper / High Line",IF(M171&gt;=Assumptions!$B$23,"Shot-Stopper / Traditional","Flexible / Multi-System"))),IF(AND(O171&gt;=Assumptions!$B$23,P171&gt;=Assumptions!$B$24),"High Press / Gegenpressing",IF(AND(N171&gt;=Assumptions!$B$23,AB171&gt;=Assumptions!$B$25),"Possession / Build-from-the-Back",IF(N171&gt;=Assumptions!$B$23,"Counter-Attack / Transition",IF(AND(O171&gt;=Assumptions!$B$23,N171&lt;Assumptions!$B$26),"Low Block / Park the Bus",IF(AND(B171="FW",M171&gt;=Assumptions!$B$23,N171&lt;Assumptions!$B$26),"Direct / Target Approach","Flexible / Multi-System"))))))</f>
        <v>Possession / Build-from-the-Back</v>
      </c>
      <c r="AD171" s="21" t="str">
        <f aca="false">'Player Data'!Y171</f>
        <v>2026-07-17</v>
      </c>
      <c r="AE171" s="21" t="str">
        <f aca="false">'Player Data'!Z171</f>
        <v>2026-07-17</v>
      </c>
      <c r="AF171" s="28" t="str">
        <f aca="false">IFERROR(INDEX(Assumptions!$B$30:$B$61,MATCH(C171,Assumptions!$A$30:$A$61,0)),"--")</f>
        <v>Poland, Norway</v>
      </c>
      <c r="AG171" s="30" t="str">
        <f aca="false">IF(R171&gt;=0.7,"Step-Up Candidate",IF(R171&gt;=0.4,"Lateral Move","Stay &amp; Develop"))</f>
        <v>Step-Up Candidate</v>
      </c>
    </row>
    <row r="172" customFormat="false" ht="23.85" hidden="false" customHeight="false" outlineLevel="0" collapsed="false">
      <c r="A172" s="21" t="str">
        <f aca="false">'Player Data'!A172</f>
        <v>Cole Brown</v>
      </c>
      <c r="B172" s="21" t="str">
        <f aca="false">'Player Data'!F172</f>
        <v>FW</v>
      </c>
      <c r="C172" s="21" t="str">
        <f aca="false">'Player Data'!B172</f>
        <v>New Zealand</v>
      </c>
      <c r="D172" s="21" t="str">
        <f aca="false">'Player Data'!C172</f>
        <v>New Zealand Second Division - East</v>
      </c>
      <c r="E172" s="21" t="n">
        <f aca="false">'Player Data'!D172</f>
        <v>2</v>
      </c>
      <c r="F172" s="21" t="n">
        <f aca="false">'Player Data'!G172</f>
        <v>25</v>
      </c>
      <c r="G172" s="21" t="n">
        <f aca="false">'Player Data'!H172</f>
        <v>846</v>
      </c>
      <c r="H172" s="22" t="n">
        <f aca="false">IF(B172="GK",IFERROR(('Player Data'!N172-1.5*'Player Data'!O172)/'Player Data'!H172*90,0),IFERROR(('Player Data'!I172+'Player Data'!J172)/'Player Data'!H172*90,0))</f>
        <v>2.23404255319149</v>
      </c>
      <c r="I172" s="22" t="n">
        <f aca="false">IF(B172="GK",'Player Data'!P172,IFERROR(('Player Data'!K172+'Player Data'!L172)/'Player Data'!H172*90,0))</f>
        <v>12.5531914893617</v>
      </c>
      <c r="J172" s="22" t="n">
        <f aca="false">IF(B172="GK",IFERROR('Player Data'!Q172/'Player Data'!H172*90,0),IFERROR('Player Data'!M172/'Player Data'!H172*90,0))</f>
        <v>1.27659574468085</v>
      </c>
      <c r="K172" s="23" t="n">
        <f aca="false">'Player Data'!S172</f>
        <v>104443</v>
      </c>
      <c r="L172" s="22" t="n">
        <f aca="false">INDEX(Assumptions!$B$13:$B$15,MATCH(E172,Assumptions!$A$13:$A$15,0))</f>
        <v>1</v>
      </c>
      <c r="M172" s="24" t="n">
        <f aca="false">IFERROR(SUMPRODUCT(($B$2:$B$1001=B172)*($H$2:$H$1001&lt;=H172))/SUMPRODUCT(($B$2:$B$1001=B172)*1),0)</f>
        <v>0.97787610619469</v>
      </c>
      <c r="N172" s="24" t="n">
        <f aca="false">IFERROR(SUMPRODUCT(($B$2:$B$1001=B172)*($I$2:$I$1001&lt;=I172))/SUMPRODUCT(($B$2:$B$1001=B172)*1),0)</f>
        <v>0.924778761061947</v>
      </c>
      <c r="O172" s="24" t="n">
        <f aca="false">IFERROR(SUMPRODUCT(($B$2:$B$1001=B172)*($J$2:$J$1001&lt;=J172))/SUMPRODUCT(($B$2:$B$1001=B172)*1),0)</f>
        <v>0.955752212389381</v>
      </c>
      <c r="P172" s="24" t="n">
        <f aca="false">IFERROR(SUMPRODUCT(($B$2:$B$1001=B172)*((0-$F$2:$F$1001)&lt;=(0-F172)))/SUMPRODUCT(($B$2:$B$1001=B172)*1),0)</f>
        <v>0.194690265486726</v>
      </c>
      <c r="Q172" s="25" t="n">
        <f aca="false">(M172*Assumptions!$B$5+N172*Assumptions!$B$6+O172*Assumptions!$B$7+P172*Assumptions!$B$8)*L172</f>
        <v>0.798230088495575</v>
      </c>
      <c r="R172" s="24" t="n">
        <f aca="false">IFERROR(SUMPRODUCT(($B$2:$B$1001=B172)*($Q$2:$Q$1001&lt;=Q172))/SUMPRODUCT(($B$2:$B$1001=B172)*1),0)</f>
        <v>0.933628318584071</v>
      </c>
      <c r="S172" s="24" t="n">
        <f aca="false">IFERROR(SUMPRODUCT(($B$2:$B$1001=B172)*($K$2:$K$1001&lt;=K172))/SUMPRODUCT(($B$2:$B$1001=B172)*1),0)</f>
        <v>0.725663716814159</v>
      </c>
      <c r="T172" s="26" t="n">
        <f aca="false">(R172-S172)*100</f>
        <v>20.7964601769912</v>
      </c>
      <c r="U172" s="21" t="str">
        <f aca="false">'Player Data'!T172</f>
        <v>Unknown</v>
      </c>
      <c r="V172" s="27" t="n">
        <f aca="false">'Player Data'!U172</f>
        <v>2026</v>
      </c>
      <c r="W172" s="21" t="str">
        <f aca="false">IF(AND(T172&gt;=Assumptions!$B$19,U172="No"),"High Priority - Unrepresented",IF(T172&gt;=Assumptions!$B$19,"High Priority",IF(AND(T172&gt;=Assumptions!$B$20,U172="No"),"Watchlist - Unrepresented",IF(T172&gt;=Assumptions!$B$20,"Watchlist",""))))</f>
        <v>Watchlist</v>
      </c>
      <c r="X172" s="21" t="str">
        <f aca="false">'Player Data'!V172</f>
        <v>info@aucklandathletic.nz</v>
      </c>
      <c r="Y172" s="28" t="str">
        <f aca="false">'Player Data'!W172</f>
        <v>Club sporting director / first-team office</v>
      </c>
      <c r="Z172" s="28" t="str">
        <f aca="false">'Player Data'!X172</f>
        <v>NZF (New Zealand Football) player registry</v>
      </c>
      <c r="AA172" s="19" t="str">
        <f aca="false">HYPERLINK("https://www.transfermarkt.com/schnellsuche/ergebnis/schnellsuche?query="&amp;SUBSTITUTE(A172," ","+"),"Search Transfermarkt")</f>
        <v>Search Transfermarkt</v>
      </c>
      <c r="AB172" s="29" t="n">
        <f aca="false">IFERROR('Player Data'!K172/('Player Data'!K172+'Player Data'!L172),0)</f>
        <v>0.372881355932203</v>
      </c>
      <c r="AC172" s="21" t="str">
        <f aca="false">IF(B172="GK",IF(AND(O172&gt;=Assumptions!$B$23,N172&gt;=Assumptions!$B$23),"Sweeper-Keeper / Build-from-the-Back",IF(O172&gt;=Assumptions!$B$23,"Sweeper-Keeper / High Line",IF(M172&gt;=Assumptions!$B$23,"Shot-Stopper / Traditional","Flexible / Multi-System"))),IF(AND(O172&gt;=Assumptions!$B$23,P172&gt;=Assumptions!$B$24),"High Press / Gegenpressing",IF(AND(N172&gt;=Assumptions!$B$23,AB172&gt;=Assumptions!$B$25),"Possession / Build-from-the-Back",IF(N172&gt;=Assumptions!$B$23,"Counter-Attack / Transition",IF(AND(O172&gt;=Assumptions!$B$23,N172&lt;Assumptions!$B$26),"Low Block / Park the Bus",IF(AND(B172="FW",M172&gt;=Assumptions!$B$23,N172&lt;Assumptions!$B$26),"Direct / Target Approach","Flexible / Multi-System"))))))</f>
        <v>Counter-Attack / Transition</v>
      </c>
      <c r="AD172" s="21" t="str">
        <f aca="false">'Player Data'!Y172</f>
        <v>2026-07-17</v>
      </c>
      <c r="AE172" s="21" t="str">
        <f aca="false">'Player Data'!Z172</f>
        <v>2026-07-17</v>
      </c>
      <c r="AF172" s="28" t="str">
        <f aca="false">IFERROR(INDEX(Assumptions!$B$30:$B$61,MATCH(C172,Assumptions!$A$30:$A$61,0)),"--")</f>
        <v>Australia, United States</v>
      </c>
      <c r="AG172" s="30" t="str">
        <f aca="false">IF(R172&gt;=0.7,"Step-Up Candidate",IF(R172&gt;=0.4,"Lateral Move","Stay &amp; Develop"))</f>
        <v>Step-Up Candidate</v>
      </c>
    </row>
    <row r="173" customFormat="false" ht="23.85" hidden="false" customHeight="false" outlineLevel="0" collapsed="false">
      <c r="A173" s="21" t="str">
        <f aca="false">'Player Data'!A173</f>
        <v>Kittipong Srisawat</v>
      </c>
      <c r="B173" s="21" t="str">
        <f aca="false">'Player Data'!F173</f>
        <v>MF</v>
      </c>
      <c r="C173" s="21" t="str">
        <f aca="false">'Player Data'!B173</f>
        <v>Thailand</v>
      </c>
      <c r="D173" s="21" t="str">
        <f aca="false">'Player Data'!C173</f>
        <v>Thailand Regional League</v>
      </c>
      <c r="E173" s="21" t="n">
        <f aca="false">'Player Data'!D173</f>
        <v>3</v>
      </c>
      <c r="F173" s="21" t="n">
        <f aca="false">'Player Data'!G173</f>
        <v>23</v>
      </c>
      <c r="G173" s="21" t="n">
        <f aca="false">'Player Data'!H173</f>
        <v>1579</v>
      </c>
      <c r="H173" s="22" t="n">
        <f aca="false">IF(B173="GK",IFERROR(('Player Data'!N173-1.5*'Player Data'!O173)/'Player Data'!H173*90,0),IFERROR(('Player Data'!I173+'Player Data'!J173)/'Player Data'!H173*90,0))</f>
        <v>1.13996200126662</v>
      </c>
      <c r="I173" s="22" t="n">
        <f aca="false">IF(B173="GK",'Player Data'!P173,IFERROR(('Player Data'!K173+'Player Data'!L173)/'Player Data'!H173*90,0))</f>
        <v>10.2026599113363</v>
      </c>
      <c r="J173" s="22" t="n">
        <f aca="false">IF(B173="GK",IFERROR('Player Data'!Q173/'Player Data'!H173*90,0),IFERROR('Player Data'!M173/'Player Data'!H173*90,0))</f>
        <v>1.65294490183661</v>
      </c>
      <c r="K173" s="23" t="n">
        <f aca="false">'Player Data'!S173</f>
        <v>114998</v>
      </c>
      <c r="L173" s="22" t="n">
        <f aca="false">INDEX(Assumptions!$B$13:$B$15,MATCH(E173,Assumptions!$A$13:$A$15,0))</f>
        <v>0.85</v>
      </c>
      <c r="M173" s="24" t="n">
        <f aca="false">IFERROR(SUMPRODUCT(($B$2:$B$1001=B173)*($H$2:$H$1001&lt;=H173))/SUMPRODUCT(($B$2:$B$1001=B173)*1),0)</f>
        <v>0.831649831649832</v>
      </c>
      <c r="N173" s="24" t="n">
        <f aca="false">IFERROR(SUMPRODUCT(($B$2:$B$1001=B173)*($I$2:$I$1001&lt;=I173))/SUMPRODUCT(($B$2:$B$1001=B173)*1),0)</f>
        <v>0.437710437710438</v>
      </c>
      <c r="O173" s="24" t="n">
        <f aca="false">IFERROR(SUMPRODUCT(($B$2:$B$1001=B173)*($J$2:$J$1001&lt;=J173))/SUMPRODUCT(($B$2:$B$1001=B173)*1),0)</f>
        <v>0.259259259259259</v>
      </c>
      <c r="P173" s="24" t="n">
        <f aca="false">IFERROR(SUMPRODUCT(($B$2:$B$1001=B173)*((0-$F$2:$F$1001)&lt;=(0-F173)))/SUMPRODUCT(($B$2:$B$1001=B173)*1),0)</f>
        <v>0.390572390572391</v>
      </c>
      <c r="Q173" s="25" t="n">
        <f aca="false">(M173*Assumptions!$B$5+N173*Assumptions!$B$6+O173*Assumptions!$B$7+P173*Assumptions!$B$8)*L173</f>
        <v>0.417415824915825</v>
      </c>
      <c r="R173" s="24" t="n">
        <f aca="false">IFERROR(SUMPRODUCT(($B$2:$B$1001=B173)*($Q$2:$Q$1001&lt;=Q173))/SUMPRODUCT(($B$2:$B$1001=B173)*1),0)</f>
        <v>0.457912457912458</v>
      </c>
      <c r="S173" s="24" t="n">
        <f aca="false">IFERROR(SUMPRODUCT(($B$2:$B$1001=B173)*($K$2:$K$1001&lt;=K173))/SUMPRODUCT(($B$2:$B$1001=B173)*1),0)</f>
        <v>0.831649831649832</v>
      </c>
      <c r="T173" s="26" t="n">
        <f aca="false">(R173-S173)*100</f>
        <v>-37.3737373737374</v>
      </c>
      <c r="U173" s="21" t="str">
        <f aca="false">'Player Data'!T173</f>
        <v>Yes</v>
      </c>
      <c r="V173" s="27" t="n">
        <f aca="false">'Player Data'!U173</f>
        <v>2027</v>
      </c>
      <c r="W173" s="21" t="str">
        <f aca="false">IF(AND(T173&gt;=Assumptions!$B$19,U173="No"),"High Priority - Unrepresented",IF(T173&gt;=Assumptions!$B$19,"High Priority",IF(AND(T173&gt;=Assumptions!$B$20,U173="No"),"Watchlist - Unrepresented",IF(T173&gt;=Assumptions!$B$20,"Watchlist",""))))</f>
        <v/>
      </c>
      <c r="X173" s="21" t="str">
        <f aca="false">'Player Data'!V173</f>
        <v>info@nonthaburirovers.th</v>
      </c>
      <c r="Y173" s="28" t="str">
        <f aca="false">'Player Data'!W173</f>
        <v>Go through the player's agent - ask the club to confirm representation first</v>
      </c>
      <c r="Z173" s="28" t="str">
        <f aca="false">'Player Data'!X173</f>
        <v>FAT (Football Association of Thailand) player registry</v>
      </c>
      <c r="AA173" s="19" t="str">
        <f aca="false">HYPERLINK("https://www.transfermarkt.com/schnellsuche/ergebnis/schnellsuche?query="&amp;SUBSTITUTE(A173," ","+"),"Search Transfermarkt")</f>
        <v>Search Transfermarkt</v>
      </c>
      <c r="AB173" s="29" t="n">
        <f aca="false">IFERROR('Player Data'!K173/('Player Data'!K173+'Player Data'!L173),0)</f>
        <v>0.709497206703911</v>
      </c>
      <c r="AC173" s="21" t="str">
        <f aca="false">IF(B173="GK",IF(AND(O173&gt;=Assumptions!$B$23,N173&gt;=Assumptions!$B$23),"Sweeper-Keeper / Build-from-the-Back",IF(O173&gt;=Assumptions!$B$23,"Sweeper-Keeper / High Line",IF(M173&gt;=Assumptions!$B$23,"Shot-Stopper / Traditional","Flexible / Multi-System"))),IF(AND(O173&gt;=Assumptions!$B$23,P173&gt;=Assumptions!$B$24),"High Press / Gegenpressing",IF(AND(N173&gt;=Assumptions!$B$23,AB173&gt;=Assumptions!$B$25),"Possession / Build-from-the-Back",IF(N173&gt;=Assumptions!$B$23,"Counter-Attack / Transition",IF(AND(O173&gt;=Assumptions!$B$23,N173&lt;Assumptions!$B$26),"Low Block / Park the Bus",IF(AND(B173="FW",M173&gt;=Assumptions!$B$23,N173&lt;Assumptions!$B$26),"Direct / Target Approach","Flexible / Multi-System"))))))</f>
        <v>Flexible / Multi-System</v>
      </c>
      <c r="AD173" s="21" t="str">
        <f aca="false">'Player Data'!Y173</f>
        <v>2026-07-17</v>
      </c>
      <c r="AE173" s="21" t="str">
        <f aca="false">'Player Data'!Z173</f>
        <v>2026-07-17</v>
      </c>
      <c r="AF173" s="28" t="str">
        <f aca="false">IFERROR(INDEX(Assumptions!$B$30:$B$61,MATCH(C173,Assumptions!$A$30:$A$61,0)),"--")</f>
        <v>Australia, Saudi Arabia</v>
      </c>
      <c r="AG173" s="30" t="str">
        <f aca="false">IF(R173&gt;=0.7,"Step-Up Candidate",IF(R173&gt;=0.4,"Lateral Move","Stay &amp; Develop"))</f>
        <v>Lateral Move</v>
      </c>
    </row>
    <row r="174" customFormat="false" ht="23.85" hidden="false" customHeight="false" outlineLevel="0" collapsed="false">
      <c r="A174" s="21" t="str">
        <f aca="false">'Player Data'!A174</f>
        <v>Tim Zupan</v>
      </c>
      <c r="B174" s="21" t="str">
        <f aca="false">'Player Data'!F174</f>
        <v>GK</v>
      </c>
      <c r="C174" s="21" t="str">
        <f aca="false">'Player Data'!B174</f>
        <v>Slovenia</v>
      </c>
      <c r="D174" s="21" t="str">
        <f aca="false">'Player Data'!C174</f>
        <v>Slovenia Third Tier - South</v>
      </c>
      <c r="E174" s="21" t="n">
        <f aca="false">'Player Data'!D174</f>
        <v>4</v>
      </c>
      <c r="F174" s="21" t="n">
        <f aca="false">'Player Data'!G174</f>
        <v>23</v>
      </c>
      <c r="G174" s="21" t="n">
        <f aca="false">'Player Data'!H174</f>
        <v>1139</v>
      </c>
      <c r="H174" s="22" t="n">
        <f aca="false">IF(B174="GK",IFERROR(('Player Data'!N174-1.5*'Player Data'!O174)/'Player Data'!H174*90,0),IFERROR(('Player Data'!I174+'Player Data'!J174)/'Player Data'!H174*90,0))</f>
        <v>1.26426690079017</v>
      </c>
      <c r="I174" s="22" t="n">
        <f aca="false">IF(B174="GK",'Player Data'!P174,IFERROR(('Player Data'!K174+'Player Data'!L174)/'Player Data'!H174*90,0))</f>
        <v>82.1</v>
      </c>
      <c r="J174" s="22" t="n">
        <f aca="false">IF(B174="GK",IFERROR('Player Data'!Q174/'Player Data'!H174*90,0),IFERROR('Player Data'!M174/'Player Data'!H174*90,0))</f>
        <v>1.43020193151888</v>
      </c>
      <c r="K174" s="23" t="n">
        <f aca="false">'Player Data'!S174</f>
        <v>11947</v>
      </c>
      <c r="L174" s="22" t="n">
        <f aca="false">INDEX(Assumptions!$B$13:$B$15,MATCH(E174,Assumptions!$A$13:$A$15,0))</f>
        <v>0.7</v>
      </c>
      <c r="M174" s="24" t="n">
        <f aca="false">IFERROR(SUMPRODUCT(($B$2:$B$1001=B174)*($H$2:$H$1001&lt;=H174))/SUMPRODUCT(($B$2:$B$1001=B174)*1),0)</f>
        <v>0.568306010928962</v>
      </c>
      <c r="N174" s="24" t="n">
        <f aca="false">IFERROR(SUMPRODUCT(($B$2:$B$1001=B174)*($I$2:$I$1001&lt;=I174))/SUMPRODUCT(($B$2:$B$1001=B174)*1),0)</f>
        <v>0.73224043715847</v>
      </c>
      <c r="O174" s="24" t="n">
        <f aca="false">IFERROR(SUMPRODUCT(($B$2:$B$1001=B174)*($J$2:$J$1001&lt;=J174))/SUMPRODUCT(($B$2:$B$1001=B174)*1),0)</f>
        <v>0.945355191256831</v>
      </c>
      <c r="P174" s="24" t="n">
        <f aca="false">IFERROR(SUMPRODUCT(($B$2:$B$1001=B174)*((0-$F$2:$F$1001)&lt;=(0-F174)))/SUMPRODUCT(($B$2:$B$1001=B174)*1),0)</f>
        <v>0.431693989071038</v>
      </c>
      <c r="Q174" s="25" t="n">
        <f aca="false">(M174*Assumptions!$B$5+N174*Assumptions!$B$6+O174*Assumptions!$B$7+P174*Assumptions!$B$8)*L174</f>
        <v>0.471639344262295</v>
      </c>
      <c r="R174" s="24" t="n">
        <f aca="false">IFERROR(SUMPRODUCT(($B$2:$B$1001=B174)*($Q$2:$Q$1001&lt;=Q174))/SUMPRODUCT(($B$2:$B$1001=B174)*1),0)</f>
        <v>0.513661202185792</v>
      </c>
      <c r="S174" s="24" t="n">
        <f aca="false">IFERROR(SUMPRODUCT(($B$2:$B$1001=B174)*($K$2:$K$1001&lt;=K174))/SUMPRODUCT(($B$2:$B$1001=B174)*1),0)</f>
        <v>0.229508196721311</v>
      </c>
      <c r="T174" s="26" t="n">
        <f aca="false">(R174-S174)*100</f>
        <v>28.4153005464481</v>
      </c>
      <c r="U174" s="21" t="str">
        <f aca="false">'Player Data'!T174</f>
        <v>Unknown</v>
      </c>
      <c r="V174" s="27" t="n">
        <f aca="false">'Player Data'!U174</f>
        <v>2027</v>
      </c>
      <c r="W174" s="21" t="str">
        <f aca="false">IF(AND(T174&gt;=Assumptions!$B$19,U174="No"),"High Priority - Unrepresented",IF(T174&gt;=Assumptions!$B$19,"High Priority",IF(AND(T174&gt;=Assumptions!$B$20,U174="No"),"Watchlist - Unrepresented",IF(T174&gt;=Assumptions!$B$20,"Watchlist",""))))</f>
        <v>Watchlist</v>
      </c>
      <c r="X174" s="21" t="str">
        <f aca="false">'Player Data'!V174</f>
        <v>info@ljubljanacity.si</v>
      </c>
      <c r="Y174" s="28" t="str">
        <f aca="false">'Player Data'!W174</f>
        <v>Club sporting director / first-team office</v>
      </c>
      <c r="Z174" s="28" t="str">
        <f aca="false">'Player Data'!X174</f>
        <v>NZS (Football Association of Slovenia) player registry</v>
      </c>
      <c r="AA174" s="19" t="str">
        <f aca="false">HYPERLINK("https://www.transfermarkt.com/schnellsuche/ergebnis/schnellsuche?query="&amp;SUBSTITUTE(A174," ","+"),"Search Transfermarkt")</f>
        <v>Search Transfermarkt</v>
      </c>
      <c r="AB174" s="29" t="n">
        <f aca="false">IFERROR('Player Data'!K174/('Player Data'!K174+'Player Data'!L174),0)</f>
        <v>0.769230769230769</v>
      </c>
      <c r="AC174" s="21" t="str">
        <f aca="false">IF(B174="GK",IF(AND(O174&gt;=Assumptions!$B$23,N174&gt;=Assumptions!$B$23),"Sweeper-Keeper / Build-from-the-Back",IF(O174&gt;=Assumptions!$B$23,"Sweeper-Keeper / High Line",IF(M174&gt;=Assumptions!$B$23,"Shot-Stopper / Traditional","Flexible / Multi-System"))),IF(AND(O174&gt;=Assumptions!$B$23,P174&gt;=Assumptions!$B$24),"High Press / Gegenpressing",IF(AND(N174&gt;=Assumptions!$B$23,AB174&gt;=Assumptions!$B$25),"Possession / Build-from-the-Back",IF(N174&gt;=Assumptions!$B$23,"Counter-Attack / Transition",IF(AND(O174&gt;=Assumptions!$B$23,N174&lt;Assumptions!$B$26),"Low Block / Park the Bus",IF(AND(B174="FW",M174&gt;=Assumptions!$B$23,N174&lt;Assumptions!$B$26),"Direct / Target Approach","Flexible / Multi-System"))))))</f>
        <v>Sweeper-Keeper / Build-from-the-Back</v>
      </c>
      <c r="AD174" s="21" t="str">
        <f aca="false">'Player Data'!Y174</f>
        <v>2026-07-17</v>
      </c>
      <c r="AE174" s="21" t="str">
        <f aca="false">'Player Data'!Z174</f>
        <v>2026-07-17</v>
      </c>
      <c r="AF174" s="28" t="str">
        <f aca="false">IFERROR(INDEX(Assumptions!$B$30:$B$61,MATCH(C174,Assumptions!$A$30:$A$61,0)),"--")</f>
        <v>Austria, Poland</v>
      </c>
      <c r="AG174" s="30" t="str">
        <f aca="false">IF(R174&gt;=0.7,"Step-Up Candidate",IF(R174&gt;=0.4,"Lateral Move","Stay &amp; Develop"))</f>
        <v>Lateral Move</v>
      </c>
    </row>
    <row r="175" customFormat="false" ht="23.85" hidden="false" customHeight="false" outlineLevel="0" collapsed="false">
      <c r="A175" s="21" t="str">
        <f aca="false">'Player Data'!A175</f>
        <v>Vladimir Milic</v>
      </c>
      <c r="B175" s="21" t="str">
        <f aca="false">'Player Data'!F175</f>
        <v>FW</v>
      </c>
      <c r="C175" s="21" t="str">
        <f aca="false">'Player Data'!B175</f>
        <v>Serbia</v>
      </c>
      <c r="D175" s="21" t="str">
        <f aca="false">'Player Data'!C175</f>
        <v>Serbia Second Division - West</v>
      </c>
      <c r="E175" s="21" t="n">
        <f aca="false">'Player Data'!D175</f>
        <v>3</v>
      </c>
      <c r="F175" s="21" t="n">
        <f aca="false">'Player Data'!G175</f>
        <v>21</v>
      </c>
      <c r="G175" s="21" t="n">
        <f aca="false">'Player Data'!H175</f>
        <v>1316</v>
      </c>
      <c r="H175" s="22" t="n">
        <f aca="false">IF(B175="GK",IFERROR(('Player Data'!N175-1.5*'Player Data'!O175)/'Player Data'!H175*90,0),IFERROR(('Player Data'!I175+'Player Data'!J175)/'Player Data'!H175*90,0))</f>
        <v>1.709726443769</v>
      </c>
      <c r="I175" s="22" t="n">
        <f aca="false">IF(B175="GK",'Player Data'!P175,IFERROR(('Player Data'!K175+'Player Data'!L175)/'Player Data'!H175*90,0))</f>
        <v>11.1474164133739</v>
      </c>
      <c r="J175" s="22" t="n">
        <f aca="false">IF(B175="GK",IFERROR('Player Data'!Q175/'Player Data'!H175*90,0),IFERROR('Player Data'!M175/'Player Data'!H175*90,0))</f>
        <v>0.820668693009119</v>
      </c>
      <c r="K175" s="23" t="n">
        <f aca="false">'Player Data'!S175</f>
        <v>75604</v>
      </c>
      <c r="L175" s="22" t="n">
        <f aca="false">INDEX(Assumptions!$B$13:$B$15,MATCH(E175,Assumptions!$A$13:$A$15,0))</f>
        <v>0.85</v>
      </c>
      <c r="M175" s="24" t="n">
        <f aca="false">IFERROR(SUMPRODUCT(($B$2:$B$1001=B175)*($H$2:$H$1001&lt;=H175))/SUMPRODUCT(($B$2:$B$1001=B175)*1),0)</f>
        <v>0.893805309734513</v>
      </c>
      <c r="N175" s="24" t="n">
        <f aca="false">IFERROR(SUMPRODUCT(($B$2:$B$1001=B175)*($I$2:$I$1001&lt;=I175))/SUMPRODUCT(($B$2:$B$1001=B175)*1),0)</f>
        <v>0.884955752212389</v>
      </c>
      <c r="O175" s="24" t="n">
        <f aca="false">IFERROR(SUMPRODUCT(($B$2:$B$1001=B175)*($J$2:$J$1001&lt;=J175))/SUMPRODUCT(($B$2:$B$1001=B175)*1),0)</f>
        <v>0.800884955752212</v>
      </c>
      <c r="P175" s="24" t="n">
        <f aca="false">IFERROR(SUMPRODUCT(($B$2:$B$1001=B175)*((0-$F$2:$F$1001)&lt;=(0-F175)))/SUMPRODUCT(($B$2:$B$1001=B175)*1),0)</f>
        <v>0.579646017699115</v>
      </c>
      <c r="Q175" s="25" t="n">
        <f aca="false">(M175*Assumptions!$B$5+N175*Assumptions!$B$6+O175*Assumptions!$B$7+P175*Assumptions!$B$8)*L175</f>
        <v>0.687898230088496</v>
      </c>
      <c r="R175" s="24" t="n">
        <f aca="false">IFERROR(SUMPRODUCT(($B$2:$B$1001=B175)*($Q$2:$Q$1001&lt;=Q175))/SUMPRODUCT(($B$2:$B$1001=B175)*1),0)</f>
        <v>0.867256637168142</v>
      </c>
      <c r="S175" s="24" t="n">
        <f aca="false">IFERROR(SUMPRODUCT(($B$2:$B$1001=B175)*($K$2:$K$1001&lt;=K175))/SUMPRODUCT(($B$2:$B$1001=B175)*1),0)</f>
        <v>0.579646017699115</v>
      </c>
      <c r="T175" s="26" t="n">
        <f aca="false">(R175-S175)*100</f>
        <v>28.7610619469027</v>
      </c>
      <c r="U175" s="21" t="str">
        <f aca="false">'Player Data'!T175</f>
        <v>Unknown</v>
      </c>
      <c r="V175" s="27" t="n">
        <f aca="false">'Player Data'!U175</f>
        <v>2027</v>
      </c>
      <c r="W175" s="21" t="str">
        <f aca="false">IF(AND(T175&gt;=Assumptions!$B$19,U175="No"),"High Priority - Unrepresented",IF(T175&gt;=Assumptions!$B$19,"High Priority",IF(AND(T175&gt;=Assumptions!$B$20,U175="No"),"Watchlist - Unrepresented",IF(T175&gt;=Assumptions!$B$20,"Watchlist",""))))</f>
        <v>Watchlist</v>
      </c>
      <c r="X175" s="21" t="str">
        <f aca="false">'Player Data'!V175</f>
        <v>info@backatopolasc.rs</v>
      </c>
      <c r="Y175" s="28" t="str">
        <f aca="false">'Player Data'!W175</f>
        <v>Club sporting director / first-team office</v>
      </c>
      <c r="Z175" s="28" t="str">
        <f aca="false">'Player Data'!X175</f>
        <v>FSS (Football Association of Serbia) player registry</v>
      </c>
      <c r="AA175" s="19" t="str">
        <f aca="false">HYPERLINK("https://www.transfermarkt.com/schnellsuche/ergebnis/schnellsuche?query="&amp;SUBSTITUTE(A175," ","+"),"Search Transfermarkt")</f>
        <v>Search Transfermarkt</v>
      </c>
      <c r="AB175" s="29" t="n">
        <f aca="false">IFERROR('Player Data'!K175/('Player Data'!K175+'Player Data'!L175),0)</f>
        <v>0.386503067484663</v>
      </c>
      <c r="AC175" s="21" t="str">
        <f aca="false">IF(B175="GK",IF(AND(O175&gt;=Assumptions!$B$23,N175&gt;=Assumptions!$B$23),"Sweeper-Keeper / Build-from-the-Back",IF(O175&gt;=Assumptions!$B$23,"Sweeper-Keeper / High Line",IF(M175&gt;=Assumptions!$B$23,"Shot-Stopper / Traditional","Flexible / Multi-System"))),IF(AND(O175&gt;=Assumptions!$B$23,P175&gt;=Assumptions!$B$24),"High Press / Gegenpressing",IF(AND(N175&gt;=Assumptions!$B$23,AB175&gt;=Assumptions!$B$25),"Possession / Build-from-the-Back",IF(N175&gt;=Assumptions!$B$23,"Counter-Attack / Transition",IF(AND(O175&gt;=Assumptions!$B$23,N175&lt;Assumptions!$B$26),"Low Block / Park the Bus",IF(AND(B175="FW",M175&gt;=Assumptions!$B$23,N175&lt;Assumptions!$B$26),"Direct / Target Approach","Flexible / Multi-System"))))))</f>
        <v>High Press / Gegenpressing</v>
      </c>
      <c r="AD175" s="21" t="str">
        <f aca="false">'Player Data'!Y175</f>
        <v>2026-07-17</v>
      </c>
      <c r="AE175" s="21" t="str">
        <f aca="false">'Player Data'!Z175</f>
        <v>2026-07-17</v>
      </c>
      <c r="AF175" s="28" t="str">
        <f aca="false">IFERROR(INDEX(Assumptions!$B$30:$B$61,MATCH(C175,Assumptions!$A$30:$A$61,0)),"--")</f>
        <v>Austria, Turkey</v>
      </c>
      <c r="AG175" s="30" t="str">
        <f aca="false">IF(R175&gt;=0.7,"Step-Up Candidate",IF(R175&gt;=0.4,"Lateral Move","Stay &amp; Develop"))</f>
        <v>Step-Up Candidate</v>
      </c>
    </row>
    <row r="176" customFormat="false" ht="23.85" hidden="false" customHeight="false" outlineLevel="0" collapsed="false">
      <c r="A176" s="21" t="str">
        <f aca="false">'Player Data'!A176</f>
        <v>Ibrahim Agyemang</v>
      </c>
      <c r="B176" s="21" t="str">
        <f aca="false">'Player Data'!F176</f>
        <v>MF</v>
      </c>
      <c r="C176" s="21" t="str">
        <f aca="false">'Player Data'!B176</f>
        <v>Ghana</v>
      </c>
      <c r="D176" s="21" t="str">
        <f aca="false">'Player Data'!C176</f>
        <v>Ghana Reserve League</v>
      </c>
      <c r="E176" s="21" t="n">
        <f aca="false">'Player Data'!D176</f>
        <v>3</v>
      </c>
      <c r="F176" s="21" t="n">
        <f aca="false">'Player Data'!G176</f>
        <v>19</v>
      </c>
      <c r="G176" s="21" t="n">
        <f aca="false">'Player Data'!H176</f>
        <v>2543</v>
      </c>
      <c r="H176" s="22" t="n">
        <f aca="false">IF(B176="GK",IFERROR(('Player Data'!N176-1.5*'Player Data'!O176)/'Player Data'!H176*90,0),IFERROR(('Player Data'!I176+'Player Data'!J176)/'Player Data'!H176*90,0))</f>
        <v>0.31852143138026</v>
      </c>
      <c r="I176" s="22" t="n">
        <f aca="false">IF(B176="GK",'Player Data'!P176,IFERROR(('Player Data'!K176+'Player Data'!L176)/'Player Data'!H176*90,0))</f>
        <v>7.39677546205269</v>
      </c>
      <c r="J176" s="22" t="n">
        <f aca="false">IF(B176="GK",IFERROR('Player Data'!Q176/'Player Data'!H176*90,0),IFERROR('Player Data'!M176/'Player Data'!H176*90,0))</f>
        <v>0.990955564294141</v>
      </c>
      <c r="K176" s="23" t="n">
        <f aca="false">'Player Data'!S176</f>
        <v>31060</v>
      </c>
      <c r="L176" s="22" t="n">
        <f aca="false">INDEX(Assumptions!$B$13:$B$15,MATCH(E176,Assumptions!$A$13:$A$15,0))</f>
        <v>0.85</v>
      </c>
      <c r="M176" s="24" t="n">
        <f aca="false">IFERROR(SUMPRODUCT(($B$2:$B$1001=B176)*($H$2:$H$1001&lt;=H176))/SUMPRODUCT(($B$2:$B$1001=B176)*1),0)</f>
        <v>0.0471380471380471</v>
      </c>
      <c r="N176" s="24" t="n">
        <f aca="false">IFERROR(SUMPRODUCT(($B$2:$B$1001=B176)*($I$2:$I$1001&lt;=I176))/SUMPRODUCT(($B$2:$B$1001=B176)*1),0)</f>
        <v>0.0909090909090909</v>
      </c>
      <c r="O176" s="24" t="n">
        <f aca="false">IFERROR(SUMPRODUCT(($B$2:$B$1001=B176)*($J$2:$J$1001&lt;=J176))/SUMPRODUCT(($B$2:$B$1001=B176)*1),0)</f>
        <v>0.0134680134680135</v>
      </c>
      <c r="P176" s="24" t="n">
        <f aca="false">IFERROR(SUMPRODUCT(($B$2:$B$1001=B176)*((0-$F$2:$F$1001)&lt;=(0-F176)))/SUMPRODUCT(($B$2:$B$1001=B176)*1),0)</f>
        <v>0.868686868686869</v>
      </c>
      <c r="Q176" s="25" t="n">
        <f aca="false">(M176*Assumptions!$B$5+N176*Assumptions!$B$6+O176*Assumptions!$B$7+P176*Assumptions!$B$8)*L176</f>
        <v>0.18702861952862</v>
      </c>
      <c r="R176" s="24" t="n">
        <f aca="false">IFERROR(SUMPRODUCT(($B$2:$B$1001=B176)*($Q$2:$Q$1001&lt;=Q176))/SUMPRODUCT(($B$2:$B$1001=B176)*1),0)</f>
        <v>0.0707070707070707</v>
      </c>
      <c r="S176" s="24" t="n">
        <f aca="false">IFERROR(SUMPRODUCT(($B$2:$B$1001=B176)*($K$2:$K$1001&lt;=K176))/SUMPRODUCT(($B$2:$B$1001=B176)*1),0)</f>
        <v>0.323232323232323</v>
      </c>
      <c r="T176" s="26" t="n">
        <f aca="false">(R176-S176)*100</f>
        <v>-25.2525252525253</v>
      </c>
      <c r="U176" s="21" t="str">
        <f aca="false">'Player Data'!T176</f>
        <v>No</v>
      </c>
      <c r="V176" s="27" t="n">
        <f aca="false">'Player Data'!U176</f>
        <v>2026</v>
      </c>
      <c r="W176" s="21" t="str">
        <f aca="false">IF(AND(T176&gt;=Assumptions!$B$19,U176="No"),"High Priority - Unrepresented",IF(T176&gt;=Assumptions!$B$19,"High Priority",IF(AND(T176&gt;=Assumptions!$B$20,U176="No"),"Watchlist - Unrepresented",IF(T176&gt;=Assumptions!$B$20,"Watchlist",""))))</f>
        <v/>
      </c>
      <c r="X176" s="21" t="str">
        <f aca="false">'Player Data'!V176</f>
        <v>info@tamalerangers.gh</v>
      </c>
      <c r="Y176" s="28" t="str">
        <f aca="false">'Player Data'!W176</f>
        <v>Club sporting director / first-team office</v>
      </c>
      <c r="Z176" s="28" t="str">
        <f aca="false">'Player Data'!X176</f>
        <v>GFA (Ghana Football Association) player registry</v>
      </c>
      <c r="AA176" s="19" t="str">
        <f aca="false">HYPERLINK("https://www.transfermarkt.com/schnellsuche/ergebnis/schnellsuche?query="&amp;SUBSTITUTE(A176," ","+"),"Search Transfermarkt")</f>
        <v>Search Transfermarkt</v>
      </c>
      <c r="AB176" s="29" t="n">
        <f aca="false">IFERROR('Player Data'!K176/('Player Data'!K176+'Player Data'!L176),0)</f>
        <v>0.535885167464115</v>
      </c>
      <c r="AC176" s="21" t="str">
        <f aca="false">IF(B176="GK",IF(AND(O176&gt;=Assumptions!$B$23,N176&gt;=Assumptions!$B$23),"Sweeper-Keeper / Build-from-the-Back",IF(O176&gt;=Assumptions!$B$23,"Sweeper-Keeper / High Line",IF(M176&gt;=Assumptions!$B$23,"Shot-Stopper / Traditional","Flexible / Multi-System"))),IF(AND(O176&gt;=Assumptions!$B$23,P176&gt;=Assumptions!$B$24),"High Press / Gegenpressing",IF(AND(N176&gt;=Assumptions!$B$23,AB176&gt;=Assumptions!$B$25),"Possession / Build-from-the-Back",IF(N176&gt;=Assumptions!$B$23,"Counter-Attack / Transition",IF(AND(O176&gt;=Assumptions!$B$23,N176&lt;Assumptions!$B$26),"Low Block / Park the Bus",IF(AND(B176="FW",M176&gt;=Assumptions!$B$23,N176&lt;Assumptions!$B$26),"Direct / Target Approach","Flexible / Multi-System"))))))</f>
        <v>Flexible / Multi-System</v>
      </c>
      <c r="AD176" s="21" t="str">
        <f aca="false">'Player Data'!Y176</f>
        <v>2026-07-17</v>
      </c>
      <c r="AE176" s="21" t="str">
        <f aca="false">'Player Data'!Z176</f>
        <v>2026-07-17</v>
      </c>
      <c r="AF176" s="28" t="str">
        <f aca="false">IFERROR(INDEX(Assumptions!$B$30:$B$61,MATCH(C176,Assumptions!$A$30:$A$61,0)),"--")</f>
        <v>Belgium, Portugal</v>
      </c>
      <c r="AG176" s="30" t="str">
        <f aca="false">IF(R176&gt;=0.7,"Step-Up Candidate",IF(R176&gt;=0.4,"Lateral Move","Stay &amp; Develop"))</f>
        <v>Stay &amp; Develop</v>
      </c>
    </row>
    <row r="177" customFormat="false" ht="23.85" hidden="false" customHeight="false" outlineLevel="0" collapsed="false">
      <c r="A177" s="21" t="str">
        <f aca="false">'Player Data'!A177</f>
        <v>Gonzalo Martinez</v>
      </c>
      <c r="B177" s="21" t="str">
        <f aca="false">'Player Data'!F177</f>
        <v>MF</v>
      </c>
      <c r="C177" s="21" t="str">
        <f aca="false">'Player Data'!B177</f>
        <v>Bolivia</v>
      </c>
      <c r="D177" s="21" t="str">
        <f aca="false">'Player Data'!C177</f>
        <v>Bolivia Provincial League</v>
      </c>
      <c r="E177" s="21" t="n">
        <f aca="false">'Player Data'!D177</f>
        <v>2</v>
      </c>
      <c r="F177" s="21" t="n">
        <f aca="false">'Player Data'!G177</f>
        <v>25</v>
      </c>
      <c r="G177" s="21" t="n">
        <f aca="false">'Player Data'!H177</f>
        <v>1010</v>
      </c>
      <c r="H177" s="22" t="n">
        <f aca="false">IF(B177="GK",IFERROR(('Player Data'!N177-1.5*'Player Data'!O177)/'Player Data'!H177*90,0),IFERROR(('Player Data'!I177+'Player Data'!J177)/'Player Data'!H177*90,0))</f>
        <v>0.712871287128713</v>
      </c>
      <c r="I177" s="22" t="n">
        <f aca="false">IF(B177="GK",'Player Data'!P177,IFERROR(('Player Data'!K177+'Player Data'!L177)/'Player Data'!H177*90,0))</f>
        <v>19.8712871287129</v>
      </c>
      <c r="J177" s="22" t="n">
        <f aca="false">IF(B177="GK",IFERROR('Player Data'!Q177/'Player Data'!H177*90,0),IFERROR('Player Data'!M177/'Player Data'!H177*90,0))</f>
        <v>2.67326732673267</v>
      </c>
      <c r="K177" s="23" t="n">
        <f aca="false">'Player Data'!S177</f>
        <v>58906</v>
      </c>
      <c r="L177" s="22" t="n">
        <f aca="false">INDEX(Assumptions!$B$13:$B$15,MATCH(E177,Assumptions!$A$13:$A$15,0))</f>
        <v>1</v>
      </c>
      <c r="M177" s="24" t="n">
        <f aca="false">IFERROR(SUMPRODUCT(($B$2:$B$1001=B177)*($H$2:$H$1001&lt;=H177))/SUMPRODUCT(($B$2:$B$1001=B177)*1),0)</f>
        <v>0.478114478114478</v>
      </c>
      <c r="N177" s="24" t="n">
        <f aca="false">IFERROR(SUMPRODUCT(($B$2:$B$1001=B177)*($I$2:$I$1001&lt;=I177))/SUMPRODUCT(($B$2:$B$1001=B177)*1),0)</f>
        <v>0.902356902356902</v>
      </c>
      <c r="O177" s="24" t="n">
        <f aca="false">IFERROR(SUMPRODUCT(($B$2:$B$1001=B177)*($J$2:$J$1001&lt;=J177))/SUMPRODUCT(($B$2:$B$1001=B177)*1),0)</f>
        <v>0.693602693602694</v>
      </c>
      <c r="P177" s="24" t="n">
        <f aca="false">IFERROR(SUMPRODUCT(($B$2:$B$1001=B177)*((0-$F$2:$F$1001)&lt;=(0-F177)))/SUMPRODUCT(($B$2:$B$1001=B177)*1),0)</f>
        <v>0.202020202020202</v>
      </c>
      <c r="Q177" s="25" t="n">
        <f aca="false">(M177*Assumptions!$B$5+N177*Assumptions!$B$6+O177*Assumptions!$B$7+P177*Assumptions!$B$8)*L177</f>
        <v>0.614478114478115</v>
      </c>
      <c r="R177" s="24" t="n">
        <f aca="false">IFERROR(SUMPRODUCT(($B$2:$B$1001=B177)*($Q$2:$Q$1001&lt;=Q177))/SUMPRODUCT(($B$2:$B$1001=B177)*1),0)</f>
        <v>0.767676767676768</v>
      </c>
      <c r="S177" s="24" t="n">
        <f aca="false">IFERROR(SUMPRODUCT(($B$2:$B$1001=B177)*($K$2:$K$1001&lt;=K177))/SUMPRODUCT(($B$2:$B$1001=B177)*1),0)</f>
        <v>0.498316498316498</v>
      </c>
      <c r="T177" s="26" t="n">
        <f aca="false">(R177-S177)*100</f>
        <v>26.9360269360269</v>
      </c>
      <c r="U177" s="21" t="str">
        <f aca="false">'Player Data'!T177</f>
        <v>No</v>
      </c>
      <c r="V177" s="27" t="n">
        <f aca="false">'Player Data'!U177</f>
        <v>2026</v>
      </c>
      <c r="W177" s="21" t="str">
        <f aca="false">IF(AND(T177&gt;=Assumptions!$B$19,U177="No"),"High Priority - Unrepresented",IF(T177&gt;=Assumptions!$B$19,"High Priority",IF(AND(T177&gt;=Assumptions!$B$20,U177="No"),"Watchlist - Unrepresented",IF(T177&gt;=Assumptions!$B$20,"Watchlist",""))))</f>
        <v>Watchlist - Unrepresented</v>
      </c>
      <c r="X177" s="21" t="str">
        <f aca="false">'Player Data'!V177</f>
        <v>info@sucreunited.bo</v>
      </c>
      <c r="Y177" s="28" t="str">
        <f aca="false">'Player Data'!W177</f>
        <v>Club sporting director / first-team office</v>
      </c>
      <c r="Z177" s="28" t="str">
        <f aca="false">'Player Data'!X177</f>
        <v>FBF (Bolivian Football Federation) player registry</v>
      </c>
      <c r="AA177" s="19" t="str">
        <f aca="false">HYPERLINK("https://www.transfermarkt.com/schnellsuche/ergebnis/schnellsuche?query="&amp;SUBSTITUTE(A177," ","+"),"Search Transfermarkt")</f>
        <v>Search Transfermarkt</v>
      </c>
      <c r="AB177" s="29" t="n">
        <f aca="false">IFERROR('Player Data'!K177/('Player Data'!K177+'Player Data'!L177),0)</f>
        <v>0.748878923766816</v>
      </c>
      <c r="AC177" s="21" t="str">
        <f aca="false">IF(B177="GK",IF(AND(O177&gt;=Assumptions!$B$23,N177&gt;=Assumptions!$B$23),"Sweeper-Keeper / Build-from-the-Back",IF(O177&gt;=Assumptions!$B$23,"Sweeper-Keeper / High Line",IF(M177&gt;=Assumptions!$B$23,"Shot-Stopper / Traditional","Flexible / Multi-System"))),IF(AND(O177&gt;=Assumptions!$B$23,P177&gt;=Assumptions!$B$24),"High Press / Gegenpressing",IF(AND(N177&gt;=Assumptions!$B$23,AB177&gt;=Assumptions!$B$25),"Possession / Build-from-the-Back",IF(N177&gt;=Assumptions!$B$23,"Counter-Attack / Transition",IF(AND(O177&gt;=Assumptions!$B$23,N177&lt;Assumptions!$B$26),"Low Block / Park the Bus",IF(AND(B177="FW",M177&gt;=Assumptions!$B$23,N177&lt;Assumptions!$B$26),"Direct / Target Approach","Flexible / Multi-System"))))))</f>
        <v>Possession / Build-from-the-Back</v>
      </c>
      <c r="AD177" s="21" t="str">
        <f aca="false">'Player Data'!Y177</f>
        <v>2026-07-17</v>
      </c>
      <c r="AE177" s="21" t="str">
        <f aca="false">'Player Data'!Z177</f>
        <v>2026-07-17</v>
      </c>
      <c r="AF177" s="28" t="str">
        <f aca="false">IFERROR(INDEX(Assumptions!$B$30:$B$61,MATCH(C177,Assumptions!$A$30:$A$61,0)),"--")</f>
        <v>Argentina, Portugal</v>
      </c>
      <c r="AG177" s="30" t="str">
        <f aca="false">IF(R177&gt;=0.7,"Step-Up Candidate",IF(R177&gt;=0.4,"Lateral Move","Stay &amp; Develop"))</f>
        <v>Step-Up Candidate</v>
      </c>
    </row>
    <row r="178" customFormat="false" ht="23.85" hidden="false" customHeight="false" outlineLevel="0" collapsed="false">
      <c r="A178" s="21" t="str">
        <f aca="false">'Player Data'!A178</f>
        <v>Janis Liepa</v>
      </c>
      <c r="B178" s="21" t="str">
        <f aca="false">'Player Data'!F178</f>
        <v>FW</v>
      </c>
      <c r="C178" s="21" t="str">
        <f aca="false">'Player Data'!B178</f>
        <v>Latvia</v>
      </c>
      <c r="D178" s="21" t="str">
        <f aca="false">'Player Data'!C178</f>
        <v>Latvia Second Division</v>
      </c>
      <c r="E178" s="21" t="n">
        <f aca="false">'Player Data'!D178</f>
        <v>2</v>
      </c>
      <c r="F178" s="21" t="n">
        <f aca="false">'Player Data'!G178</f>
        <v>21</v>
      </c>
      <c r="G178" s="21" t="n">
        <f aca="false">'Player Data'!H178</f>
        <v>2442</v>
      </c>
      <c r="H178" s="22" t="n">
        <f aca="false">IF(B178="GK",IFERROR(('Player Data'!N178-1.5*'Player Data'!O178)/'Player Data'!H178*90,0),IFERROR(('Player Data'!I178+'Player Data'!J178)/'Player Data'!H178*90,0))</f>
        <v>0.515970515970516</v>
      </c>
      <c r="I178" s="22" t="n">
        <f aca="false">IF(B178="GK",'Player Data'!P178,IFERROR(('Player Data'!K178+'Player Data'!L178)/'Player Data'!H178*90,0))</f>
        <v>5.30712530712531</v>
      </c>
      <c r="J178" s="22" t="n">
        <f aca="false">IF(B178="GK",IFERROR('Player Data'!Q178/'Player Data'!H178*90,0),IFERROR('Player Data'!M178/'Player Data'!H178*90,0))</f>
        <v>0.257985257985258</v>
      </c>
      <c r="K178" s="23" t="n">
        <f aca="false">'Player Data'!S178</f>
        <v>0</v>
      </c>
      <c r="L178" s="22" t="n">
        <f aca="false">INDEX(Assumptions!$B$13:$B$15,MATCH(E178,Assumptions!$A$13:$A$15,0))</f>
        <v>1</v>
      </c>
      <c r="M178" s="24" t="n">
        <f aca="false">IFERROR(SUMPRODUCT(($B$2:$B$1001=B178)*($H$2:$H$1001&lt;=H178))/SUMPRODUCT(($B$2:$B$1001=B178)*1),0)</f>
        <v>0.0929203539823009</v>
      </c>
      <c r="N178" s="24" t="n">
        <f aca="false">IFERROR(SUMPRODUCT(($B$2:$B$1001=B178)*($I$2:$I$1001&lt;=I178))/SUMPRODUCT(($B$2:$B$1001=B178)*1),0)</f>
        <v>0.265486725663717</v>
      </c>
      <c r="O178" s="24" t="n">
        <f aca="false">IFERROR(SUMPRODUCT(($B$2:$B$1001=B178)*($J$2:$J$1001&lt;=J178))/SUMPRODUCT(($B$2:$B$1001=B178)*1),0)</f>
        <v>0.115044247787611</v>
      </c>
      <c r="P178" s="24" t="n">
        <f aca="false">IFERROR(SUMPRODUCT(($B$2:$B$1001=B178)*((0-$F$2:$F$1001)&lt;=(0-F178)))/SUMPRODUCT(($B$2:$B$1001=B178)*1),0)</f>
        <v>0.579646017699115</v>
      </c>
      <c r="Q178" s="25" t="n">
        <f aca="false">(M178*Assumptions!$B$5+N178*Assumptions!$B$6+O178*Assumptions!$B$7+P178*Assumptions!$B$8)*L178</f>
        <v>0.255088495575221</v>
      </c>
      <c r="R178" s="24" t="n">
        <f aca="false">IFERROR(SUMPRODUCT(($B$2:$B$1001=B178)*($Q$2:$Q$1001&lt;=Q178))/SUMPRODUCT(($B$2:$B$1001=B178)*1),0)</f>
        <v>0.207964601769912</v>
      </c>
      <c r="S178" s="24" t="n">
        <f aca="false">IFERROR(SUMPRODUCT(($B$2:$B$1001=B178)*($K$2:$K$1001&lt;=K178))/SUMPRODUCT(($B$2:$B$1001=B178)*1),0)</f>
        <v>0.261061946902655</v>
      </c>
      <c r="T178" s="26" t="n">
        <f aca="false">(R178-S178)*100</f>
        <v>-5.30973451327434</v>
      </c>
      <c r="U178" s="21" t="str">
        <f aca="false">'Player Data'!T178</f>
        <v>No</v>
      </c>
      <c r="V178" s="27" t="n">
        <f aca="false">'Player Data'!U178</f>
        <v>2029</v>
      </c>
      <c r="W178" s="21" t="str">
        <f aca="false">IF(AND(T178&gt;=Assumptions!$B$19,U178="No"),"High Priority - Unrepresented",IF(T178&gt;=Assumptions!$B$19,"High Priority",IF(AND(T178&gt;=Assumptions!$B$20,U178="No"),"Watchlist - Unrepresented",IF(T178&gt;=Assumptions!$B$20,"Watchlist",""))))</f>
        <v/>
      </c>
      <c r="X178" s="21" t="str">
        <f aca="false">'Player Data'!V178</f>
        <v>info@liepajasc.lv</v>
      </c>
      <c r="Y178" s="28" t="str">
        <f aca="false">'Player Data'!W178</f>
        <v>Club sporting director / first-team office</v>
      </c>
      <c r="Z178" s="28" t="str">
        <f aca="false">'Player Data'!X178</f>
        <v>LFF (Latvian Football Federation) player registry</v>
      </c>
      <c r="AA178" s="19" t="str">
        <f aca="false">HYPERLINK("https://www.transfermarkt.com/schnellsuche/ergebnis/schnellsuche?query="&amp;SUBSTITUTE(A178," ","+"),"Search Transfermarkt")</f>
        <v>Search Transfermarkt</v>
      </c>
      <c r="AB178" s="29" t="n">
        <f aca="false">IFERROR('Player Data'!K178/('Player Data'!K178+'Player Data'!L178),0)</f>
        <v>0.368055555555556</v>
      </c>
      <c r="AC178" s="21" t="str">
        <f aca="false">IF(B178="GK",IF(AND(O178&gt;=Assumptions!$B$23,N178&gt;=Assumptions!$B$23),"Sweeper-Keeper / Build-from-the-Back",IF(O178&gt;=Assumptions!$B$23,"Sweeper-Keeper / High Line",IF(M178&gt;=Assumptions!$B$23,"Shot-Stopper / Traditional","Flexible / Multi-System"))),IF(AND(O178&gt;=Assumptions!$B$23,P178&gt;=Assumptions!$B$24),"High Press / Gegenpressing",IF(AND(N178&gt;=Assumptions!$B$23,AB178&gt;=Assumptions!$B$25),"Possession / Build-from-the-Back",IF(N178&gt;=Assumptions!$B$23,"Counter-Attack / Transition",IF(AND(O178&gt;=Assumptions!$B$23,N178&lt;Assumptions!$B$26),"Low Block / Park the Bus",IF(AND(B178="FW",M178&gt;=Assumptions!$B$23,N178&lt;Assumptions!$B$26),"Direct / Target Approach","Flexible / Multi-System"))))))</f>
        <v>Flexible / Multi-System</v>
      </c>
      <c r="AD178" s="21" t="str">
        <f aca="false">'Player Data'!Y178</f>
        <v>2026-07-17</v>
      </c>
      <c r="AE178" s="21" t="str">
        <f aca="false">'Player Data'!Z178</f>
        <v>2026-07-17</v>
      </c>
      <c r="AF178" s="28" t="str">
        <f aca="false">IFERROR(INDEX(Assumptions!$B$30:$B$61,MATCH(C178,Assumptions!$A$30:$A$61,0)),"--")</f>
        <v>Poland, Norway</v>
      </c>
      <c r="AG178" s="30" t="str">
        <f aca="false">IF(R178&gt;=0.7,"Step-Up Candidate",IF(R178&gt;=0.4,"Lateral Move","Stay &amp; Develop"))</f>
        <v>Stay &amp; Develop</v>
      </c>
    </row>
    <row r="179" customFormat="false" ht="23.85" hidden="false" customHeight="false" outlineLevel="0" collapsed="false">
      <c r="A179" s="21" t="str">
        <f aca="false">'Player Data'!A179</f>
        <v>Nattapong Boonmee</v>
      </c>
      <c r="B179" s="21" t="str">
        <f aca="false">'Player Data'!F179</f>
        <v>DF</v>
      </c>
      <c r="C179" s="21" t="str">
        <f aca="false">'Player Data'!B179</f>
        <v>Thailand</v>
      </c>
      <c r="D179" s="21" t="str">
        <f aca="false">'Player Data'!C179</f>
        <v>Thailand Reserve League</v>
      </c>
      <c r="E179" s="21" t="n">
        <f aca="false">'Player Data'!D179</f>
        <v>2</v>
      </c>
      <c r="F179" s="21" t="n">
        <f aca="false">'Player Data'!G179</f>
        <v>23</v>
      </c>
      <c r="G179" s="21" t="n">
        <f aca="false">'Player Data'!H179</f>
        <v>1649</v>
      </c>
      <c r="H179" s="22" t="n">
        <f aca="false">IF(B179="GK",IFERROR(('Player Data'!N179-1.5*'Player Data'!O179)/'Player Data'!H179*90,0),IFERROR(('Player Data'!I179+'Player Data'!J179)/'Player Data'!H179*90,0))</f>
        <v>0.109157064887811</v>
      </c>
      <c r="I179" s="22" t="n">
        <f aca="false">IF(B179="GK",'Player Data'!P179,IFERROR(('Player Data'!K179+'Player Data'!L179)/'Player Data'!H179*90,0))</f>
        <v>4.42086112795634</v>
      </c>
      <c r="J179" s="22" t="n">
        <f aca="false">IF(B179="GK",IFERROR('Player Data'!Q179/'Player Data'!H179*90,0),IFERROR('Player Data'!M179/'Player Data'!H179*90,0))</f>
        <v>7.0406306852638</v>
      </c>
      <c r="K179" s="23" t="n">
        <f aca="false">'Player Data'!S179</f>
        <v>111907</v>
      </c>
      <c r="L179" s="22" t="n">
        <f aca="false">INDEX(Assumptions!$B$13:$B$15,MATCH(E179,Assumptions!$A$13:$A$15,0))</f>
        <v>1</v>
      </c>
      <c r="M179" s="24" t="n">
        <f aca="false">IFERROR(SUMPRODUCT(($B$2:$B$1001=B179)*($H$2:$H$1001&lt;=H179))/SUMPRODUCT(($B$2:$B$1001=B179)*1),0)</f>
        <v>0.23469387755102</v>
      </c>
      <c r="N179" s="24" t="n">
        <f aca="false">IFERROR(SUMPRODUCT(($B$2:$B$1001=B179)*($I$2:$I$1001&lt;=I179))/SUMPRODUCT(($B$2:$B$1001=B179)*1),0)</f>
        <v>0.489795918367347</v>
      </c>
      <c r="O179" s="24" t="n">
        <f aca="false">IFERROR(SUMPRODUCT(($B$2:$B$1001=B179)*($J$2:$J$1001&lt;=J179))/SUMPRODUCT(($B$2:$B$1001=B179)*1),0)</f>
        <v>0.748299319727891</v>
      </c>
      <c r="P179" s="24" t="n">
        <f aca="false">IFERROR(SUMPRODUCT(($B$2:$B$1001=B179)*((0-$F$2:$F$1001)&lt;=(0-F179)))/SUMPRODUCT(($B$2:$B$1001=B179)*1),0)</f>
        <v>0.374149659863946</v>
      </c>
      <c r="Q179" s="25" t="n">
        <f aca="false">(M179*Assumptions!$B$5+N179*Assumptions!$B$6+O179*Assumptions!$B$7+P179*Assumptions!$B$8)*L179</f>
        <v>0.454591836734694</v>
      </c>
      <c r="R179" s="24" t="n">
        <f aca="false">IFERROR(SUMPRODUCT(($B$2:$B$1001=B179)*($Q$2:$Q$1001&lt;=Q179))/SUMPRODUCT(($B$2:$B$1001=B179)*1),0)</f>
        <v>0.58843537414966</v>
      </c>
      <c r="S179" s="24" t="n">
        <f aca="false">IFERROR(SUMPRODUCT(($B$2:$B$1001=B179)*($K$2:$K$1001&lt;=K179))/SUMPRODUCT(($B$2:$B$1001=B179)*1),0)</f>
        <v>0.806122448979592</v>
      </c>
      <c r="T179" s="26" t="n">
        <f aca="false">(R179-S179)*100</f>
        <v>-21.7687074829932</v>
      </c>
      <c r="U179" s="21" t="str">
        <f aca="false">'Player Data'!T179</f>
        <v>Yes</v>
      </c>
      <c r="V179" s="27" t="n">
        <f aca="false">'Player Data'!U179</f>
        <v>2027</v>
      </c>
      <c r="W179" s="21" t="str">
        <f aca="false">IF(AND(T179&gt;=Assumptions!$B$19,U179="No"),"High Priority - Unrepresented",IF(T179&gt;=Assumptions!$B$19,"High Priority",IF(AND(T179&gt;=Assumptions!$B$20,U179="No"),"Watchlist - Unrepresented",IF(T179&gt;=Assumptions!$B$20,"Watchlist",""))))</f>
        <v/>
      </c>
      <c r="X179" s="21" t="str">
        <f aca="false">'Player Data'!V179</f>
        <v>info@chiangmaiunited.th</v>
      </c>
      <c r="Y179" s="28" t="str">
        <f aca="false">'Player Data'!W179</f>
        <v>Go through the player's agent - ask the club to confirm representation first</v>
      </c>
      <c r="Z179" s="28" t="str">
        <f aca="false">'Player Data'!X179</f>
        <v>FAT (Football Association of Thailand) player registry</v>
      </c>
      <c r="AA179" s="19" t="str">
        <f aca="false">HYPERLINK("https://www.transfermarkt.com/schnellsuche/ergebnis/schnellsuche?query="&amp;SUBSTITUTE(A179," ","+"),"Search Transfermarkt")</f>
        <v>Search Transfermarkt</v>
      </c>
      <c r="AB179" s="29" t="n">
        <f aca="false">IFERROR('Player Data'!K179/('Player Data'!K179+'Player Data'!L179),0)</f>
        <v>0.580246913580247</v>
      </c>
      <c r="AC179" s="21" t="str">
        <f aca="false">IF(B179="GK",IF(AND(O179&gt;=Assumptions!$B$23,N179&gt;=Assumptions!$B$23),"Sweeper-Keeper / Build-from-the-Back",IF(O179&gt;=Assumptions!$B$23,"Sweeper-Keeper / High Line",IF(M179&gt;=Assumptions!$B$23,"Shot-Stopper / Traditional","Flexible / Multi-System"))),IF(AND(O179&gt;=Assumptions!$B$23,P179&gt;=Assumptions!$B$24),"High Press / Gegenpressing",IF(AND(N179&gt;=Assumptions!$B$23,AB179&gt;=Assumptions!$B$25),"Possession / Build-from-the-Back",IF(N179&gt;=Assumptions!$B$23,"Counter-Attack / Transition",IF(AND(O179&gt;=Assumptions!$B$23,N179&lt;Assumptions!$B$26),"Low Block / Park the Bus",IF(AND(B179="FW",M179&gt;=Assumptions!$B$23,N179&lt;Assumptions!$B$26),"Direct / Target Approach","Flexible / Multi-System"))))))</f>
        <v>Flexible / Multi-System</v>
      </c>
      <c r="AD179" s="21" t="str">
        <f aca="false">'Player Data'!Y179</f>
        <v>2026-07-17</v>
      </c>
      <c r="AE179" s="21" t="str">
        <f aca="false">'Player Data'!Z179</f>
        <v>2026-07-17</v>
      </c>
      <c r="AF179" s="28" t="str">
        <f aca="false">IFERROR(INDEX(Assumptions!$B$30:$B$61,MATCH(C179,Assumptions!$A$30:$A$61,0)),"--")</f>
        <v>Australia, Saudi Arabia</v>
      </c>
      <c r="AG179" s="30" t="str">
        <f aca="false">IF(R179&gt;=0.7,"Step-Up Candidate",IF(R179&gt;=0.4,"Lateral Move","Stay &amp; Develop"))</f>
        <v>Lateral Move</v>
      </c>
    </row>
    <row r="180" customFormat="false" ht="23.85" hidden="false" customHeight="false" outlineLevel="0" collapsed="false">
      <c r="A180" s="21" t="str">
        <f aca="false">'Player Data'!A180</f>
        <v>Jose Campos</v>
      </c>
      <c r="B180" s="21" t="str">
        <f aca="false">'Player Data'!F180</f>
        <v>FW</v>
      </c>
      <c r="C180" s="21" t="str">
        <f aca="false">'Player Data'!B180</f>
        <v>Costa Rica</v>
      </c>
      <c r="D180" s="21" t="str">
        <f aca="false">'Player Data'!C180</f>
        <v>Costa Rica Regional League</v>
      </c>
      <c r="E180" s="21" t="n">
        <f aca="false">'Player Data'!D180</f>
        <v>2</v>
      </c>
      <c r="F180" s="21" t="n">
        <f aca="false">'Player Data'!G180</f>
        <v>21</v>
      </c>
      <c r="G180" s="21" t="n">
        <f aca="false">'Player Data'!H180</f>
        <v>2018</v>
      </c>
      <c r="H180" s="22" t="n">
        <f aca="false">IF(B180="GK",IFERROR(('Player Data'!N180-1.5*'Player Data'!O180)/'Player Data'!H180*90,0),IFERROR(('Player Data'!I180+'Player Data'!J180)/'Player Data'!H180*90,0))</f>
        <v>0.579781962338949</v>
      </c>
      <c r="I180" s="22" t="n">
        <f aca="false">IF(B180="GK",'Player Data'!P180,IFERROR(('Player Data'!K180+'Player Data'!L180)/'Player Data'!H180*90,0))</f>
        <v>6.86818632309217</v>
      </c>
      <c r="J180" s="22" t="n">
        <f aca="false">IF(B180="GK",IFERROR('Player Data'!Q180/'Player Data'!H180*90,0),IFERROR('Player Data'!M180/'Player Data'!H180*90,0))</f>
        <v>0.624380574826561</v>
      </c>
      <c r="K180" s="23" t="n">
        <f aca="false">'Player Data'!S180</f>
        <v>67043</v>
      </c>
      <c r="L180" s="22" t="n">
        <f aca="false">INDEX(Assumptions!$B$13:$B$15,MATCH(E180,Assumptions!$A$13:$A$15,0))</f>
        <v>1</v>
      </c>
      <c r="M180" s="24" t="n">
        <f aca="false">IFERROR(SUMPRODUCT(($B$2:$B$1001=B180)*($H$2:$H$1001&lt;=H180))/SUMPRODUCT(($B$2:$B$1001=B180)*1),0)</f>
        <v>0.146017699115044</v>
      </c>
      <c r="N180" s="24" t="n">
        <f aca="false">IFERROR(SUMPRODUCT(($B$2:$B$1001=B180)*($I$2:$I$1001&lt;=I180))/SUMPRODUCT(($B$2:$B$1001=B180)*1),0)</f>
        <v>0.557522123893805</v>
      </c>
      <c r="O180" s="24" t="n">
        <f aca="false">IFERROR(SUMPRODUCT(($B$2:$B$1001=B180)*($J$2:$J$1001&lt;=J180))/SUMPRODUCT(($B$2:$B$1001=B180)*1),0)</f>
        <v>0.663716814159292</v>
      </c>
      <c r="P180" s="24" t="n">
        <f aca="false">IFERROR(SUMPRODUCT(($B$2:$B$1001=B180)*((0-$F$2:$F$1001)&lt;=(0-F180)))/SUMPRODUCT(($B$2:$B$1001=B180)*1),0)</f>
        <v>0.579646017699115</v>
      </c>
      <c r="Q180" s="25" t="n">
        <f aca="false">(M180*Assumptions!$B$5+N180*Assumptions!$B$6+O180*Assumptions!$B$7+P180*Assumptions!$B$8)*L180</f>
        <v>0.480309734513274</v>
      </c>
      <c r="R180" s="24" t="n">
        <f aca="false">IFERROR(SUMPRODUCT(($B$2:$B$1001=B180)*($Q$2:$Q$1001&lt;=Q180))/SUMPRODUCT(($B$2:$B$1001=B180)*1),0)</f>
        <v>0.575221238938053</v>
      </c>
      <c r="S180" s="24" t="n">
        <f aca="false">IFERROR(SUMPRODUCT(($B$2:$B$1001=B180)*($K$2:$K$1001&lt;=K180))/SUMPRODUCT(($B$2:$B$1001=B180)*1),0)</f>
        <v>0.539823008849558</v>
      </c>
      <c r="T180" s="26" t="n">
        <f aca="false">(R180-S180)*100</f>
        <v>3.53982300884956</v>
      </c>
      <c r="U180" s="21" t="str">
        <f aca="false">'Player Data'!T180</f>
        <v>Unknown</v>
      </c>
      <c r="V180" s="27" t="n">
        <f aca="false">'Player Data'!U180</f>
        <v>2027</v>
      </c>
      <c r="W180" s="21" t="str">
        <f aca="false">IF(AND(T180&gt;=Assumptions!$B$19,U180="No"),"High Priority - Unrepresented",IF(T180&gt;=Assumptions!$B$19,"High Priority",IF(AND(T180&gt;=Assumptions!$B$20,U180="No"),"Watchlist - Unrepresented",IF(T180&gt;=Assumptions!$B$20,"Watchlist",""))))</f>
        <v/>
      </c>
      <c r="X180" s="21" t="str">
        <f aca="false">'Player Data'!V180</f>
        <v>info@cartagocity.cr</v>
      </c>
      <c r="Y180" s="28" t="str">
        <f aca="false">'Player Data'!W180</f>
        <v>Club sporting director / first-team office</v>
      </c>
      <c r="Z180" s="28" t="str">
        <f aca="false">'Player Data'!X180</f>
        <v>FEDEFUTBOL (Costa Rican Football Federation) player registry</v>
      </c>
      <c r="AA180" s="19" t="str">
        <f aca="false">HYPERLINK("https://www.transfermarkt.com/schnellsuche/ergebnis/schnellsuche?query="&amp;SUBSTITUTE(A180," ","+"),"Search Transfermarkt")</f>
        <v>Search Transfermarkt</v>
      </c>
      <c r="AB180" s="29" t="n">
        <f aca="false">IFERROR('Player Data'!K180/('Player Data'!K180+'Player Data'!L180),0)</f>
        <v>0.37012987012987</v>
      </c>
      <c r="AC180" s="21" t="str">
        <f aca="false">IF(B180="GK",IF(AND(O180&gt;=Assumptions!$B$23,N180&gt;=Assumptions!$B$23),"Sweeper-Keeper / Build-from-the-Back",IF(O180&gt;=Assumptions!$B$23,"Sweeper-Keeper / High Line",IF(M180&gt;=Assumptions!$B$23,"Shot-Stopper / Traditional","Flexible / Multi-System"))),IF(AND(O180&gt;=Assumptions!$B$23,P180&gt;=Assumptions!$B$24),"High Press / Gegenpressing",IF(AND(N180&gt;=Assumptions!$B$23,AB180&gt;=Assumptions!$B$25),"Possession / Build-from-the-Back",IF(N180&gt;=Assumptions!$B$23,"Counter-Attack / Transition",IF(AND(O180&gt;=Assumptions!$B$23,N180&lt;Assumptions!$B$26),"Low Block / Park the Bus",IF(AND(B180="FW",M180&gt;=Assumptions!$B$23,N180&lt;Assumptions!$B$26),"Direct / Target Approach","Flexible / Multi-System"))))))</f>
        <v>High Press / Gegenpressing</v>
      </c>
      <c r="AD180" s="21" t="str">
        <f aca="false">'Player Data'!Y180</f>
        <v>2026-07-17</v>
      </c>
      <c r="AE180" s="21" t="str">
        <f aca="false">'Player Data'!Z180</f>
        <v>2026-07-17</v>
      </c>
      <c r="AF180" s="28" t="str">
        <f aca="false">IFERROR(INDEX(Assumptions!$B$30:$B$61,MATCH(C180,Assumptions!$A$30:$A$61,0)),"--")</f>
        <v>Mexico, United States</v>
      </c>
      <c r="AG180" s="30" t="str">
        <f aca="false">IF(R180&gt;=0.7,"Step-Up Candidate",IF(R180&gt;=0.4,"Lateral Move","Stay &amp; Develop"))</f>
        <v>Lateral Move</v>
      </c>
    </row>
    <row r="181" customFormat="false" ht="23.85" hidden="false" customHeight="false" outlineLevel="0" collapsed="false">
      <c r="A181" s="21" t="str">
        <f aca="false">'Player Data'!A181</f>
        <v>Michael Perez</v>
      </c>
      <c r="B181" s="21" t="str">
        <f aca="false">'Player Data'!F181</f>
        <v>DF</v>
      </c>
      <c r="C181" s="21" t="str">
        <f aca="false">'Player Data'!B181</f>
        <v>Panama</v>
      </c>
      <c r="D181" s="21" t="str">
        <f aca="false">'Player Data'!C181</f>
        <v>Panama Third Tier - South</v>
      </c>
      <c r="E181" s="21" t="n">
        <f aca="false">'Player Data'!D181</f>
        <v>4</v>
      </c>
      <c r="F181" s="21" t="n">
        <f aca="false">'Player Data'!G181</f>
        <v>19</v>
      </c>
      <c r="G181" s="21" t="n">
        <f aca="false">'Player Data'!H181</f>
        <v>1748</v>
      </c>
      <c r="H181" s="22" t="n">
        <f aca="false">IF(B181="GK",IFERROR(('Player Data'!N181-1.5*'Player Data'!O181)/'Player Data'!H181*90,0),IFERROR(('Player Data'!I181+'Player Data'!J181)/'Player Data'!H181*90,0))</f>
        <v>0</v>
      </c>
      <c r="I181" s="22" t="n">
        <f aca="false">IF(B181="GK",'Player Data'!P181,IFERROR(('Player Data'!K181+'Player Data'!L181)/'Player Data'!H181*90,0))</f>
        <v>5.35469107551487</v>
      </c>
      <c r="J181" s="22" t="n">
        <f aca="false">IF(B181="GK",IFERROR('Player Data'!Q181/'Player Data'!H181*90,0),IFERROR('Player Data'!M181/'Player Data'!H181*90,0))</f>
        <v>4.17048054919909</v>
      </c>
      <c r="K181" s="23" t="n">
        <f aca="false">'Player Data'!S181</f>
        <v>72986</v>
      </c>
      <c r="L181" s="22" t="n">
        <f aca="false">INDEX(Assumptions!$B$13:$B$15,MATCH(E181,Assumptions!$A$13:$A$15,0))</f>
        <v>0.7</v>
      </c>
      <c r="M181" s="24" t="n">
        <f aca="false">IFERROR(SUMPRODUCT(($B$2:$B$1001=B181)*($H$2:$H$1001&lt;=H181))/SUMPRODUCT(($B$2:$B$1001=B181)*1),0)</f>
        <v>0.0408163265306122</v>
      </c>
      <c r="N181" s="24" t="n">
        <f aca="false">IFERROR(SUMPRODUCT(($B$2:$B$1001=B181)*($I$2:$I$1001&lt;=I181))/SUMPRODUCT(($B$2:$B$1001=B181)*1),0)</f>
        <v>0.653061224489796</v>
      </c>
      <c r="O181" s="24" t="n">
        <f aca="false">IFERROR(SUMPRODUCT(($B$2:$B$1001=B181)*($J$2:$J$1001&lt;=J181))/SUMPRODUCT(($B$2:$B$1001=B181)*1),0)</f>
        <v>0.275510204081633</v>
      </c>
      <c r="P181" s="24" t="n">
        <f aca="false">IFERROR(SUMPRODUCT(($B$2:$B$1001=B181)*((0-$F$2:$F$1001)&lt;=(0-F181)))/SUMPRODUCT(($B$2:$B$1001=B181)*1),0)</f>
        <v>0.738095238095238</v>
      </c>
      <c r="Q181" s="25" t="n">
        <f aca="false">(M181*Assumptions!$B$5+N181*Assumptions!$B$6+O181*Assumptions!$B$7+P181*Assumptions!$B$8)*L181</f>
        <v>0.309047619047619</v>
      </c>
      <c r="R181" s="24" t="n">
        <f aca="false">IFERROR(SUMPRODUCT(($B$2:$B$1001=B181)*($Q$2:$Q$1001&lt;=Q181))/SUMPRODUCT(($B$2:$B$1001=B181)*1),0)</f>
        <v>0.272108843537415</v>
      </c>
      <c r="S181" s="24" t="n">
        <f aca="false">IFERROR(SUMPRODUCT(($B$2:$B$1001=B181)*($K$2:$K$1001&lt;=K181))/SUMPRODUCT(($B$2:$B$1001=B181)*1),0)</f>
        <v>0.568027210884354</v>
      </c>
      <c r="T181" s="26" t="n">
        <f aca="false">(R181-S181)*100</f>
        <v>-29.5918367346939</v>
      </c>
      <c r="U181" s="21" t="str">
        <f aca="false">'Player Data'!T181</f>
        <v>Yes</v>
      </c>
      <c r="V181" s="27" t="n">
        <f aca="false">'Player Data'!U181</f>
        <v>2027</v>
      </c>
      <c r="W181" s="21" t="str">
        <f aca="false">IF(AND(T181&gt;=Assumptions!$B$19,U181="No"),"High Priority - Unrepresented",IF(T181&gt;=Assumptions!$B$19,"High Priority",IF(AND(T181&gt;=Assumptions!$B$20,U181="No"),"Watchlist - Unrepresented",IF(T181&gt;=Assumptions!$B$20,"Watchlist",""))))</f>
        <v/>
      </c>
      <c r="X181" s="21" t="str">
        <f aca="false">'Player Data'!V181</f>
        <v>info@colonrovers.pa</v>
      </c>
      <c r="Y181" s="28" t="str">
        <f aca="false">'Player Data'!W181</f>
        <v>Go through the player's agent - ask the club to confirm representation first</v>
      </c>
      <c r="Z181" s="28" t="str">
        <f aca="false">'Player Data'!X181</f>
        <v>FEPAFUT (Panamanian Football Federation) player registry</v>
      </c>
      <c r="AA181" s="19" t="str">
        <f aca="false">HYPERLINK("https://www.transfermarkt.com/schnellsuche/ergebnis/schnellsuche?query="&amp;SUBSTITUTE(A181," ","+"),"Search Transfermarkt")</f>
        <v>Search Transfermarkt</v>
      </c>
      <c r="AB181" s="29" t="n">
        <f aca="false">IFERROR('Player Data'!K181/('Player Data'!K181+'Player Data'!L181),0)</f>
        <v>0.673076923076923</v>
      </c>
      <c r="AC181" s="21" t="str">
        <f aca="false">IF(B181="GK",IF(AND(O181&gt;=Assumptions!$B$23,N181&gt;=Assumptions!$B$23),"Sweeper-Keeper / Build-from-the-Back",IF(O181&gt;=Assumptions!$B$23,"Sweeper-Keeper / High Line",IF(M181&gt;=Assumptions!$B$23,"Shot-Stopper / Traditional","Flexible / Multi-System"))),IF(AND(O181&gt;=Assumptions!$B$23,P181&gt;=Assumptions!$B$24),"High Press / Gegenpressing",IF(AND(N181&gt;=Assumptions!$B$23,AB181&gt;=Assumptions!$B$25),"Possession / Build-from-the-Back",IF(N181&gt;=Assumptions!$B$23,"Counter-Attack / Transition",IF(AND(O181&gt;=Assumptions!$B$23,N181&lt;Assumptions!$B$26),"Low Block / Park the Bus",IF(AND(B181="FW",M181&gt;=Assumptions!$B$23,N181&lt;Assumptions!$B$26),"Direct / Target Approach","Flexible / Multi-System"))))))</f>
        <v>Possession / Build-from-the-Back</v>
      </c>
      <c r="AD181" s="21" t="str">
        <f aca="false">'Player Data'!Y181</f>
        <v>2026-07-17</v>
      </c>
      <c r="AE181" s="21" t="str">
        <f aca="false">'Player Data'!Z181</f>
        <v>2026-07-17</v>
      </c>
      <c r="AF181" s="28" t="str">
        <f aca="false">IFERROR(INDEX(Assumptions!$B$30:$B$61,MATCH(C181,Assumptions!$A$30:$A$61,0)),"--")</f>
        <v>Mexico, United States</v>
      </c>
      <c r="AG181" s="30" t="str">
        <f aca="false">IF(R181&gt;=0.7,"Step-Up Candidate",IF(R181&gt;=0.4,"Lateral Move","Stay &amp; Develop"))</f>
        <v>Stay &amp; Develop</v>
      </c>
    </row>
    <row r="182" customFormat="false" ht="23.85" hidden="false" customHeight="false" outlineLevel="0" collapsed="false">
      <c r="A182" s="21" t="str">
        <f aca="false">'Player Data'!A182</f>
        <v>Emiliano Perez</v>
      </c>
      <c r="B182" s="21" t="str">
        <f aca="false">'Player Data'!F182</f>
        <v>FW</v>
      </c>
      <c r="C182" s="21" t="str">
        <f aca="false">'Player Data'!B182</f>
        <v>Paraguay</v>
      </c>
      <c r="D182" s="21" t="str">
        <f aca="false">'Player Data'!C182</f>
        <v>Paraguay Second Division</v>
      </c>
      <c r="E182" s="21" t="n">
        <f aca="false">'Player Data'!D182</f>
        <v>4</v>
      </c>
      <c r="F182" s="21" t="n">
        <f aca="false">'Player Data'!G182</f>
        <v>20</v>
      </c>
      <c r="G182" s="21" t="n">
        <f aca="false">'Player Data'!H182</f>
        <v>1747</v>
      </c>
      <c r="H182" s="22" t="n">
        <f aca="false">IF(B182="GK",IFERROR(('Player Data'!N182-1.5*'Player Data'!O182)/'Player Data'!H182*90,0),IFERROR(('Player Data'!I182+'Player Data'!J182)/'Player Data'!H182*90,0))</f>
        <v>0.824270177447052</v>
      </c>
      <c r="I182" s="22" t="n">
        <f aca="false">IF(B182="GK",'Player Data'!P182,IFERROR(('Player Data'!K182+'Player Data'!L182)/'Player Data'!H182*90,0))</f>
        <v>4.73955352032055</v>
      </c>
      <c r="J182" s="22" t="n">
        <f aca="false">IF(B182="GK",IFERROR('Player Data'!Q182/'Player Data'!H182*90,0),IFERROR('Player Data'!M182/'Player Data'!H182*90,0))</f>
        <v>0.360618202633085</v>
      </c>
      <c r="K182" s="23" t="n">
        <f aca="false">'Player Data'!S182</f>
        <v>89816</v>
      </c>
      <c r="L182" s="22" t="n">
        <f aca="false">INDEX(Assumptions!$B$13:$B$15,MATCH(E182,Assumptions!$A$13:$A$15,0))</f>
        <v>0.7</v>
      </c>
      <c r="M182" s="24" t="n">
        <f aca="false">IFERROR(SUMPRODUCT(($B$2:$B$1001=B182)*($H$2:$H$1001&lt;=H182))/SUMPRODUCT(($B$2:$B$1001=B182)*1),0)</f>
        <v>0.327433628318584</v>
      </c>
      <c r="N182" s="24" t="n">
        <f aca="false">IFERROR(SUMPRODUCT(($B$2:$B$1001=B182)*($I$2:$I$1001&lt;=I182))/SUMPRODUCT(($B$2:$B$1001=B182)*1),0)</f>
        <v>0.15929203539823</v>
      </c>
      <c r="O182" s="24" t="n">
        <f aca="false">IFERROR(SUMPRODUCT(($B$2:$B$1001=B182)*($J$2:$J$1001&lt;=J182))/SUMPRODUCT(($B$2:$B$1001=B182)*1),0)</f>
        <v>0.269911504424779</v>
      </c>
      <c r="P182" s="24" t="n">
        <f aca="false">IFERROR(SUMPRODUCT(($B$2:$B$1001=B182)*((0-$F$2:$F$1001)&lt;=(0-F182)))/SUMPRODUCT(($B$2:$B$1001=B182)*1),0)</f>
        <v>0.712389380530973</v>
      </c>
      <c r="Q182" s="25" t="n">
        <f aca="false">(M182*Assumptions!$B$5+N182*Assumptions!$B$6+O182*Assumptions!$B$7+P182*Assumptions!$B$8)*L182</f>
        <v>0.233849557522124</v>
      </c>
      <c r="R182" s="24" t="n">
        <f aca="false">IFERROR(SUMPRODUCT(($B$2:$B$1001=B182)*($Q$2:$Q$1001&lt;=Q182))/SUMPRODUCT(($B$2:$B$1001=B182)*1),0)</f>
        <v>0.15929203539823</v>
      </c>
      <c r="S182" s="24" t="n">
        <f aca="false">IFERROR(SUMPRODUCT(($B$2:$B$1001=B182)*($K$2:$K$1001&lt;=K182))/SUMPRODUCT(($B$2:$B$1001=B182)*1),0)</f>
        <v>0.650442477876106</v>
      </c>
      <c r="T182" s="26" t="n">
        <f aca="false">(R182-S182)*100</f>
        <v>-49.1150442477876</v>
      </c>
      <c r="U182" s="21" t="str">
        <f aca="false">'Player Data'!T182</f>
        <v>No</v>
      </c>
      <c r="V182" s="27" t="n">
        <f aca="false">'Player Data'!U182</f>
        <v>2027</v>
      </c>
      <c r="W182" s="21" t="str">
        <f aca="false">IF(AND(T182&gt;=Assumptions!$B$19,U182="No"),"High Priority - Unrepresented",IF(T182&gt;=Assumptions!$B$19,"High Priority",IF(AND(T182&gt;=Assumptions!$B$20,U182="No"),"Watchlist - Unrepresented",IF(T182&gt;=Assumptions!$B$20,"Watchlist",""))))</f>
        <v/>
      </c>
      <c r="X182" s="21" t="str">
        <f aca="false">'Player Data'!V182</f>
        <v>info@ciudaddelestecity.py</v>
      </c>
      <c r="Y182" s="28" t="str">
        <f aca="false">'Player Data'!W182</f>
        <v>Club sporting director / first-team office</v>
      </c>
      <c r="Z182" s="28" t="str">
        <f aca="false">'Player Data'!X182</f>
        <v>APF (Paraguayan Football Association) player registry</v>
      </c>
      <c r="AA182" s="19" t="str">
        <f aca="false">HYPERLINK("https://www.transfermarkt.com/schnellsuche/ergebnis/schnellsuche?query="&amp;SUBSTITUTE(A182," ","+"),"Search Transfermarkt")</f>
        <v>Search Transfermarkt</v>
      </c>
      <c r="AB182" s="29" t="n">
        <f aca="false">IFERROR('Player Data'!K182/('Player Data'!K182+'Player Data'!L182),0)</f>
        <v>0.315217391304348</v>
      </c>
      <c r="AC182" s="21" t="str">
        <f aca="false">IF(B182="GK",IF(AND(O182&gt;=Assumptions!$B$23,N182&gt;=Assumptions!$B$23),"Sweeper-Keeper / Build-from-the-Back",IF(O182&gt;=Assumptions!$B$23,"Sweeper-Keeper / High Line",IF(M182&gt;=Assumptions!$B$23,"Shot-Stopper / Traditional","Flexible / Multi-System"))),IF(AND(O182&gt;=Assumptions!$B$23,P182&gt;=Assumptions!$B$24),"High Press / Gegenpressing",IF(AND(N182&gt;=Assumptions!$B$23,AB182&gt;=Assumptions!$B$25),"Possession / Build-from-the-Back",IF(N182&gt;=Assumptions!$B$23,"Counter-Attack / Transition",IF(AND(O182&gt;=Assumptions!$B$23,N182&lt;Assumptions!$B$26),"Low Block / Park the Bus",IF(AND(B182="FW",M182&gt;=Assumptions!$B$23,N182&lt;Assumptions!$B$26),"Direct / Target Approach","Flexible / Multi-System"))))))</f>
        <v>Flexible / Multi-System</v>
      </c>
      <c r="AD182" s="21" t="str">
        <f aca="false">'Player Data'!Y182</f>
        <v>2026-07-17</v>
      </c>
      <c r="AE182" s="21" t="str">
        <f aca="false">'Player Data'!Z182</f>
        <v>2026-07-17</v>
      </c>
      <c r="AF182" s="28" t="str">
        <f aca="false">IFERROR(INDEX(Assumptions!$B$30:$B$61,MATCH(C182,Assumptions!$A$30:$A$61,0)),"--")</f>
        <v>Argentina, Portugal</v>
      </c>
      <c r="AG182" s="30" t="str">
        <f aca="false">IF(R182&gt;=0.7,"Step-Up Candidate",IF(R182&gt;=0.4,"Lateral Move","Stay &amp; Develop"))</f>
        <v>Stay &amp; Develop</v>
      </c>
    </row>
    <row r="183" customFormat="false" ht="23.85" hidden="false" customHeight="false" outlineLevel="0" collapsed="false">
      <c r="A183" s="21" t="str">
        <f aca="false">'Player Data'!A183</f>
        <v>Souleymane Sidibe</v>
      </c>
      <c r="B183" s="21" t="str">
        <f aca="false">'Player Data'!F183</f>
        <v>FW</v>
      </c>
      <c r="C183" s="21" t="str">
        <f aca="false">'Player Data'!B183</f>
        <v>Mali</v>
      </c>
      <c r="D183" s="21" t="str">
        <f aca="false">'Player Data'!C183</f>
        <v>Mali Amateur League</v>
      </c>
      <c r="E183" s="21" t="n">
        <f aca="false">'Player Data'!D183</f>
        <v>4</v>
      </c>
      <c r="F183" s="21" t="n">
        <f aca="false">'Player Data'!G183</f>
        <v>24</v>
      </c>
      <c r="G183" s="21" t="n">
        <f aca="false">'Player Data'!H183</f>
        <v>1542</v>
      </c>
      <c r="H183" s="22" t="n">
        <f aca="false">IF(B183="GK",IFERROR(('Player Data'!N183-1.5*'Player Data'!O183)/'Player Data'!H183*90,0),IFERROR(('Player Data'!I183+'Player Data'!J183)/'Player Data'!H183*90,0))</f>
        <v>1.40077821011673</v>
      </c>
      <c r="I183" s="22" t="n">
        <f aca="false">IF(B183="GK",'Player Data'!P183,IFERROR(('Player Data'!K183+'Player Data'!L183)/'Player Data'!H183*90,0))</f>
        <v>9.45525291828794</v>
      </c>
      <c r="J183" s="22" t="n">
        <f aca="false">IF(B183="GK",IFERROR('Player Data'!Q183/'Player Data'!H183*90,0),IFERROR('Player Data'!M183/'Player Data'!H183*90,0))</f>
        <v>0.408560311284047</v>
      </c>
      <c r="K183" s="23" t="n">
        <f aca="false">'Player Data'!S183</f>
        <v>38950</v>
      </c>
      <c r="L183" s="22" t="n">
        <f aca="false">INDEX(Assumptions!$B$13:$B$15,MATCH(E183,Assumptions!$A$13:$A$15,0))</f>
        <v>0.7</v>
      </c>
      <c r="M183" s="24" t="n">
        <f aca="false">IFERROR(SUMPRODUCT(($B$2:$B$1001=B183)*($H$2:$H$1001&lt;=H183))/SUMPRODUCT(($B$2:$B$1001=B183)*1),0)</f>
        <v>0.792035398230089</v>
      </c>
      <c r="N183" s="24" t="n">
        <f aca="false">IFERROR(SUMPRODUCT(($B$2:$B$1001=B183)*($I$2:$I$1001&lt;=I183))/SUMPRODUCT(($B$2:$B$1001=B183)*1),0)</f>
        <v>0.800884955752212</v>
      </c>
      <c r="O183" s="24" t="n">
        <f aca="false">IFERROR(SUMPRODUCT(($B$2:$B$1001=B183)*($J$2:$J$1001&lt;=J183))/SUMPRODUCT(($B$2:$B$1001=B183)*1),0)</f>
        <v>0.353982300884956</v>
      </c>
      <c r="P183" s="24" t="n">
        <f aca="false">IFERROR(SUMPRODUCT(($B$2:$B$1001=B183)*((0-$F$2:$F$1001)&lt;=(0-F183)))/SUMPRODUCT(($B$2:$B$1001=B183)*1),0)</f>
        <v>0.305309734513274</v>
      </c>
      <c r="Q183" s="25" t="n">
        <f aca="false">(M183*Assumptions!$B$5+N183*Assumptions!$B$6+O183*Assumptions!$B$7+P183*Assumptions!$B$8)*L183</f>
        <v>0.42712389380531</v>
      </c>
      <c r="R183" s="24" t="n">
        <f aca="false">IFERROR(SUMPRODUCT(($B$2:$B$1001=B183)*($Q$2:$Q$1001&lt;=Q183))/SUMPRODUCT(($B$2:$B$1001=B183)*1),0)</f>
        <v>0.47787610619469</v>
      </c>
      <c r="S183" s="24" t="n">
        <f aca="false">IFERROR(SUMPRODUCT(($B$2:$B$1001=B183)*($K$2:$K$1001&lt;=K183))/SUMPRODUCT(($B$2:$B$1001=B183)*1),0)</f>
        <v>0.424778761061947</v>
      </c>
      <c r="T183" s="26" t="n">
        <f aca="false">(R183-S183)*100</f>
        <v>5.30973451327434</v>
      </c>
      <c r="U183" s="21" t="str">
        <f aca="false">'Player Data'!T183</f>
        <v>No</v>
      </c>
      <c r="V183" s="27" t="n">
        <f aca="false">'Player Data'!U183</f>
        <v>2026</v>
      </c>
      <c r="W183" s="21" t="str">
        <f aca="false">IF(AND(T183&gt;=Assumptions!$B$19,U183="No"),"High Priority - Unrepresented",IF(T183&gt;=Assumptions!$B$19,"High Priority",IF(AND(T183&gt;=Assumptions!$B$20,U183="No"),"Watchlist - Unrepresented",IF(T183&gt;=Assumptions!$B$20,"Watchlist",""))))</f>
        <v/>
      </c>
      <c r="X183" s="21" t="str">
        <f aca="false">'Player Data'!V183</f>
        <v>info@sikassofc.ml</v>
      </c>
      <c r="Y183" s="28" t="str">
        <f aca="false">'Player Data'!W183</f>
        <v>Club sporting director / first-team office</v>
      </c>
      <c r="Z183" s="28" t="str">
        <f aca="false">'Player Data'!X183</f>
        <v>FEMAFOOT (Malian Football Federation) player registry</v>
      </c>
      <c r="AA183" s="19" t="str">
        <f aca="false">HYPERLINK("https://www.transfermarkt.com/schnellsuche/ergebnis/schnellsuche?query="&amp;SUBSTITUTE(A183," ","+"),"Search Transfermarkt")</f>
        <v>Search Transfermarkt</v>
      </c>
      <c r="AB183" s="29" t="n">
        <f aca="false">IFERROR('Player Data'!K183/('Player Data'!K183+'Player Data'!L183),0)</f>
        <v>0.407407407407407</v>
      </c>
      <c r="AC183" s="21" t="str">
        <f aca="false">IF(B183="GK",IF(AND(O183&gt;=Assumptions!$B$23,N183&gt;=Assumptions!$B$23),"Sweeper-Keeper / Build-from-the-Back",IF(O183&gt;=Assumptions!$B$23,"Sweeper-Keeper / High Line",IF(M183&gt;=Assumptions!$B$23,"Shot-Stopper / Traditional","Flexible / Multi-System"))),IF(AND(O183&gt;=Assumptions!$B$23,P183&gt;=Assumptions!$B$24),"High Press / Gegenpressing",IF(AND(N183&gt;=Assumptions!$B$23,AB183&gt;=Assumptions!$B$25),"Possession / Build-from-the-Back",IF(N183&gt;=Assumptions!$B$23,"Counter-Attack / Transition",IF(AND(O183&gt;=Assumptions!$B$23,N183&lt;Assumptions!$B$26),"Low Block / Park the Bus",IF(AND(B183="FW",M183&gt;=Assumptions!$B$23,N183&lt;Assumptions!$B$26),"Direct / Target Approach","Flexible / Multi-System"))))))</f>
        <v>Counter-Attack / Transition</v>
      </c>
      <c r="AD183" s="21" t="str">
        <f aca="false">'Player Data'!Y183</f>
        <v>2026-07-17</v>
      </c>
      <c r="AE183" s="21" t="str">
        <f aca="false">'Player Data'!Z183</f>
        <v>2026-07-17</v>
      </c>
      <c r="AF183" s="28" t="str">
        <f aca="false">IFERROR(INDEX(Assumptions!$B$30:$B$61,MATCH(C183,Assumptions!$A$30:$A$61,0)),"--")</f>
        <v>Belgium, Portugal</v>
      </c>
      <c r="AG183" s="30" t="str">
        <f aca="false">IF(R183&gt;=0.7,"Step-Up Candidate",IF(R183&gt;=0.4,"Lateral Move","Stay &amp; Develop"))</f>
        <v>Lateral Move</v>
      </c>
    </row>
    <row r="184" customFormat="false" ht="23.85" hidden="false" customHeight="false" outlineLevel="0" collapsed="false">
      <c r="A184" s="21" t="str">
        <f aca="false">'Player Data'!A184</f>
        <v>Arturs Liepa</v>
      </c>
      <c r="B184" s="21" t="str">
        <f aca="false">'Player Data'!F184</f>
        <v>FW</v>
      </c>
      <c r="C184" s="21" t="str">
        <f aca="false">'Player Data'!B184</f>
        <v>Latvia</v>
      </c>
      <c r="D184" s="21" t="str">
        <f aca="false">'Player Data'!C184</f>
        <v>Latvia Regional League</v>
      </c>
      <c r="E184" s="21" t="n">
        <f aca="false">'Player Data'!D184</f>
        <v>3</v>
      </c>
      <c r="F184" s="21" t="n">
        <f aca="false">'Player Data'!G184</f>
        <v>21</v>
      </c>
      <c r="G184" s="21" t="n">
        <f aca="false">'Player Data'!H184</f>
        <v>2119</v>
      </c>
      <c r="H184" s="22" t="n">
        <f aca="false">IF(B184="GK",IFERROR(('Player Data'!N184-1.5*'Player Data'!O184)/'Player Data'!H184*90,0),IFERROR(('Player Data'!I184+'Player Data'!J184)/'Player Data'!H184*90,0))</f>
        <v>0.72203869749882</v>
      </c>
      <c r="I184" s="22" t="n">
        <f aca="false">IF(B184="GK",'Player Data'!P184,IFERROR(('Player Data'!K184+'Player Data'!L184)/'Player Data'!H184*90,0))</f>
        <v>6.41340254837187</v>
      </c>
      <c r="J184" s="22" t="n">
        <f aca="false">IF(B184="GK",IFERROR('Player Data'!Q184/'Player Data'!H184*90,0),IFERROR('Player Data'!M184/'Player Data'!H184*90,0))</f>
        <v>0.50967437470505</v>
      </c>
      <c r="K184" s="23" t="n">
        <f aca="false">'Player Data'!S184</f>
        <v>0</v>
      </c>
      <c r="L184" s="22" t="n">
        <f aca="false">INDEX(Assumptions!$B$13:$B$15,MATCH(E184,Assumptions!$A$13:$A$15,0))</f>
        <v>0.85</v>
      </c>
      <c r="M184" s="24" t="n">
        <f aca="false">IFERROR(SUMPRODUCT(($B$2:$B$1001=B184)*($H$2:$H$1001&lt;=H184))/SUMPRODUCT(($B$2:$B$1001=B184)*1),0)</f>
        <v>0.238938053097345</v>
      </c>
      <c r="N184" s="24" t="n">
        <f aca="false">IFERROR(SUMPRODUCT(($B$2:$B$1001=B184)*($I$2:$I$1001&lt;=I184))/SUMPRODUCT(($B$2:$B$1001=B184)*1),0)</f>
        <v>0.482300884955752</v>
      </c>
      <c r="O184" s="24" t="n">
        <f aca="false">IFERROR(SUMPRODUCT(($B$2:$B$1001=B184)*($J$2:$J$1001&lt;=J184))/SUMPRODUCT(($B$2:$B$1001=B184)*1),0)</f>
        <v>0.517699115044248</v>
      </c>
      <c r="P184" s="24" t="n">
        <f aca="false">IFERROR(SUMPRODUCT(($B$2:$B$1001=B184)*((0-$F$2:$F$1001)&lt;=(0-F184)))/SUMPRODUCT(($B$2:$B$1001=B184)*1),0)</f>
        <v>0.579646017699115</v>
      </c>
      <c r="Q184" s="25" t="n">
        <f aca="false">(M184*Assumptions!$B$5+N184*Assumptions!$B$6+O184*Assumptions!$B$7+P184*Assumptions!$B$8)*L184</f>
        <v>0.380807522123894</v>
      </c>
      <c r="R184" s="24" t="n">
        <f aca="false">IFERROR(SUMPRODUCT(($B$2:$B$1001=B184)*($Q$2:$Q$1001&lt;=Q184))/SUMPRODUCT(($B$2:$B$1001=B184)*1),0)</f>
        <v>0.407079646017699</v>
      </c>
      <c r="S184" s="24" t="n">
        <f aca="false">IFERROR(SUMPRODUCT(($B$2:$B$1001=B184)*($K$2:$K$1001&lt;=K184))/SUMPRODUCT(($B$2:$B$1001=B184)*1),0)</f>
        <v>0.261061946902655</v>
      </c>
      <c r="T184" s="26" t="n">
        <f aca="false">(R184-S184)*100</f>
        <v>14.6017699115044</v>
      </c>
      <c r="U184" s="21" t="str">
        <f aca="false">'Player Data'!T184</f>
        <v>Yes</v>
      </c>
      <c r="V184" s="27" t="n">
        <f aca="false">'Player Data'!U184</f>
        <v>2027</v>
      </c>
      <c r="W184" s="21" t="str">
        <f aca="false">IF(AND(T184&gt;=Assumptions!$B$19,U184="No"),"High Priority - Unrepresented",IF(T184&gt;=Assumptions!$B$19,"High Priority",IF(AND(T184&gt;=Assumptions!$B$20,U184="No"),"Watchlist - Unrepresented",IF(T184&gt;=Assumptions!$B$20,"Watchlist",""))))</f>
        <v/>
      </c>
      <c r="X184" s="21" t="str">
        <f aca="false">'Player Data'!V184</f>
        <v>info@liepajaathletic.lv</v>
      </c>
      <c r="Y184" s="28" t="str">
        <f aca="false">'Player Data'!W184</f>
        <v>Go through the player's agent - ask the club to confirm representation first</v>
      </c>
      <c r="Z184" s="28" t="str">
        <f aca="false">'Player Data'!X184</f>
        <v>LFF (Latvian Football Federation) player registry</v>
      </c>
      <c r="AA184" s="19" t="str">
        <f aca="false">HYPERLINK("https://www.transfermarkt.com/schnellsuche/ergebnis/schnellsuche?query="&amp;SUBSTITUTE(A184," ","+"),"Search Transfermarkt")</f>
        <v>Search Transfermarkt</v>
      </c>
      <c r="AB184" s="29" t="n">
        <f aca="false">IFERROR('Player Data'!K184/('Player Data'!K184+'Player Data'!L184),0)</f>
        <v>0.437086092715232</v>
      </c>
      <c r="AC184" s="21" t="str">
        <f aca="false">IF(B184="GK",IF(AND(O184&gt;=Assumptions!$B$23,N184&gt;=Assumptions!$B$23),"Sweeper-Keeper / Build-from-the-Back",IF(O184&gt;=Assumptions!$B$23,"Sweeper-Keeper / High Line",IF(M184&gt;=Assumptions!$B$23,"Shot-Stopper / Traditional","Flexible / Multi-System"))),IF(AND(O184&gt;=Assumptions!$B$23,P184&gt;=Assumptions!$B$24),"High Press / Gegenpressing",IF(AND(N184&gt;=Assumptions!$B$23,AB184&gt;=Assumptions!$B$25),"Possession / Build-from-the-Back",IF(N184&gt;=Assumptions!$B$23,"Counter-Attack / Transition",IF(AND(O184&gt;=Assumptions!$B$23,N184&lt;Assumptions!$B$26),"Low Block / Park the Bus",IF(AND(B184="FW",M184&gt;=Assumptions!$B$23,N184&lt;Assumptions!$B$26),"Direct / Target Approach","Flexible / Multi-System"))))))</f>
        <v>Flexible / Multi-System</v>
      </c>
      <c r="AD184" s="21" t="str">
        <f aca="false">'Player Data'!Y184</f>
        <v>2026-07-17</v>
      </c>
      <c r="AE184" s="21" t="str">
        <f aca="false">'Player Data'!Z184</f>
        <v>2026-07-17</v>
      </c>
      <c r="AF184" s="28" t="str">
        <f aca="false">IFERROR(INDEX(Assumptions!$B$30:$B$61,MATCH(C184,Assumptions!$A$30:$A$61,0)),"--")</f>
        <v>Poland, Norway</v>
      </c>
      <c r="AG184" s="30" t="str">
        <f aca="false">IF(R184&gt;=0.7,"Step-Up Candidate",IF(R184&gt;=0.4,"Lateral Move","Stay &amp; Develop"))</f>
        <v>Lateral Move</v>
      </c>
    </row>
    <row r="185" customFormat="false" ht="23.85" hidden="false" customHeight="false" outlineLevel="0" collapsed="false">
      <c r="A185" s="21" t="str">
        <f aca="false">'Player Data'!A185</f>
        <v>Ousmane Sow</v>
      </c>
      <c r="B185" s="21" t="str">
        <f aca="false">'Player Data'!F185</f>
        <v>DF</v>
      </c>
      <c r="C185" s="21" t="str">
        <f aca="false">'Player Data'!B185</f>
        <v>Senegal</v>
      </c>
      <c r="D185" s="21" t="str">
        <f aca="false">'Player Data'!C185</f>
        <v>Senegal Amateur League</v>
      </c>
      <c r="E185" s="21" t="n">
        <f aca="false">'Player Data'!D185</f>
        <v>3</v>
      </c>
      <c r="F185" s="21" t="n">
        <f aca="false">'Player Data'!G185</f>
        <v>24</v>
      </c>
      <c r="G185" s="21" t="n">
        <f aca="false">'Player Data'!H185</f>
        <v>1033</v>
      </c>
      <c r="H185" s="22" t="n">
        <f aca="false">IF(B185="GK",IFERROR(('Player Data'!N185-1.5*'Player Data'!O185)/'Player Data'!H185*90,0),IFERROR(('Player Data'!I185+'Player Data'!J185)/'Player Data'!H185*90,0))</f>
        <v>0.522749273959342</v>
      </c>
      <c r="I185" s="22" t="n">
        <f aca="false">IF(B185="GK",'Player Data'!P185,IFERROR(('Player Data'!K185+'Player Data'!L185)/'Player Data'!H185*90,0))</f>
        <v>9.14811229428848</v>
      </c>
      <c r="J185" s="22" t="n">
        <f aca="false">IF(B185="GK",IFERROR('Player Data'!Q185/'Player Data'!H185*90,0),IFERROR('Player Data'!M185/'Player Data'!H185*90,0))</f>
        <v>7.31848983543079</v>
      </c>
      <c r="K185" s="23" t="n">
        <f aca="false">'Player Data'!S185</f>
        <v>127042</v>
      </c>
      <c r="L185" s="22" t="n">
        <f aca="false">INDEX(Assumptions!$B$13:$B$15,MATCH(E185,Assumptions!$A$13:$A$15,0))</f>
        <v>0.85</v>
      </c>
      <c r="M185" s="24" t="n">
        <f aca="false">IFERROR(SUMPRODUCT(($B$2:$B$1001=B185)*($H$2:$H$1001&lt;=H185))/SUMPRODUCT(($B$2:$B$1001=B185)*1),0)</f>
        <v>0.952380952380952</v>
      </c>
      <c r="N185" s="24" t="n">
        <f aca="false">IFERROR(SUMPRODUCT(($B$2:$B$1001=B185)*($I$2:$I$1001&lt;=I185))/SUMPRODUCT(($B$2:$B$1001=B185)*1),0)</f>
        <v>0.948979591836735</v>
      </c>
      <c r="O185" s="24" t="n">
        <f aca="false">IFERROR(SUMPRODUCT(($B$2:$B$1001=B185)*($J$2:$J$1001&lt;=J185))/SUMPRODUCT(($B$2:$B$1001=B185)*1),0)</f>
        <v>0.782312925170068</v>
      </c>
      <c r="P185" s="24" t="n">
        <f aca="false">IFERROR(SUMPRODUCT(($B$2:$B$1001=B185)*((0-$F$2:$F$1001)&lt;=(0-F185)))/SUMPRODUCT(($B$2:$B$1001=B185)*1),0)</f>
        <v>0.275510204081633</v>
      </c>
      <c r="Q185" s="25" t="n">
        <f aca="false">(M185*Assumptions!$B$5+N185*Assumptions!$B$6+O185*Assumptions!$B$7+P185*Assumptions!$B$8)*L185</f>
        <v>0.66453231292517</v>
      </c>
      <c r="R185" s="24" t="n">
        <f aca="false">IFERROR(SUMPRODUCT(($B$2:$B$1001=B185)*($Q$2:$Q$1001&lt;=Q185))/SUMPRODUCT(($B$2:$B$1001=B185)*1),0)</f>
        <v>0.836734693877551</v>
      </c>
      <c r="S185" s="24" t="n">
        <f aca="false">IFERROR(SUMPRODUCT(($B$2:$B$1001=B185)*($K$2:$K$1001&lt;=K185))/SUMPRODUCT(($B$2:$B$1001=B185)*1),0)</f>
        <v>0.894557823129252</v>
      </c>
      <c r="T185" s="26" t="n">
        <f aca="false">(R185-S185)*100</f>
        <v>-5.78231292517006</v>
      </c>
      <c r="U185" s="21" t="str">
        <f aca="false">'Player Data'!T185</f>
        <v>Yes</v>
      </c>
      <c r="V185" s="27" t="n">
        <f aca="false">'Player Data'!U185</f>
        <v>2026</v>
      </c>
      <c r="W185" s="21" t="str">
        <f aca="false">IF(AND(T185&gt;=Assumptions!$B$19,U185="No"),"High Priority - Unrepresented",IF(T185&gt;=Assumptions!$B$19,"High Priority",IF(AND(T185&gt;=Assumptions!$B$20,U185="No"),"Watchlist - Unrepresented",IF(T185&gt;=Assumptions!$B$20,"Watchlist",""))))</f>
        <v/>
      </c>
      <c r="X185" s="21" t="str">
        <f aca="false">'Player Data'!V185</f>
        <v>info@thiesfc.sn</v>
      </c>
      <c r="Y185" s="28" t="str">
        <f aca="false">'Player Data'!W185</f>
        <v>Go through the player's agent - ask the club to confirm representation first</v>
      </c>
      <c r="Z185" s="28" t="str">
        <f aca="false">'Player Data'!X185</f>
        <v>FSF (Senegalese Football Federation) player registry</v>
      </c>
      <c r="AA185" s="19" t="str">
        <f aca="false">HYPERLINK("https://www.transfermarkt.com/schnellsuche/ergebnis/schnellsuche?query="&amp;SUBSTITUTE(A185," ","+"),"Search Transfermarkt")</f>
        <v>Search Transfermarkt</v>
      </c>
      <c r="AB185" s="29" t="n">
        <f aca="false">IFERROR('Player Data'!K185/('Player Data'!K185+'Player Data'!L185),0)</f>
        <v>0.647619047619048</v>
      </c>
      <c r="AC185" s="21" t="str">
        <f aca="false">IF(B185="GK",IF(AND(O185&gt;=Assumptions!$B$23,N185&gt;=Assumptions!$B$23),"Sweeper-Keeper / Build-from-the-Back",IF(O185&gt;=Assumptions!$B$23,"Sweeper-Keeper / High Line",IF(M185&gt;=Assumptions!$B$23,"Shot-Stopper / Traditional","Flexible / Multi-System"))),IF(AND(O185&gt;=Assumptions!$B$23,P185&gt;=Assumptions!$B$24),"High Press / Gegenpressing",IF(AND(N185&gt;=Assumptions!$B$23,AB185&gt;=Assumptions!$B$25),"Possession / Build-from-the-Back",IF(N185&gt;=Assumptions!$B$23,"Counter-Attack / Transition",IF(AND(O185&gt;=Assumptions!$B$23,N185&lt;Assumptions!$B$26),"Low Block / Park the Bus",IF(AND(B185="FW",M185&gt;=Assumptions!$B$23,N185&lt;Assumptions!$B$26),"Direct / Target Approach","Flexible / Multi-System"))))))</f>
        <v>Possession / Build-from-the-Back</v>
      </c>
      <c r="AD185" s="21" t="str">
        <f aca="false">'Player Data'!Y185</f>
        <v>2026-07-17</v>
      </c>
      <c r="AE185" s="21" t="str">
        <f aca="false">'Player Data'!Z185</f>
        <v>2026-07-17</v>
      </c>
      <c r="AF185" s="28" t="str">
        <f aca="false">IFERROR(INDEX(Assumptions!$B$30:$B$61,MATCH(C185,Assumptions!$A$30:$A$61,0)),"--")</f>
        <v>Belgium, Portugal</v>
      </c>
      <c r="AG185" s="30" t="str">
        <f aca="false">IF(R185&gt;=0.7,"Step-Up Candidate",IF(R185&gt;=0.4,"Lateral Move","Stay &amp; Develop"))</f>
        <v>Step-Up Candidate</v>
      </c>
    </row>
    <row r="186" customFormat="false" ht="23.85" hidden="false" customHeight="false" outlineLevel="0" collapsed="false">
      <c r="A186" s="21" t="str">
        <f aca="false">'Player Data'!A186</f>
        <v>Nattapong Sanguan</v>
      </c>
      <c r="B186" s="21" t="str">
        <f aca="false">'Player Data'!F186</f>
        <v>GK</v>
      </c>
      <c r="C186" s="21" t="str">
        <f aca="false">'Player Data'!B186</f>
        <v>Thailand</v>
      </c>
      <c r="D186" s="21" t="str">
        <f aca="false">'Player Data'!C186</f>
        <v>Thailand Reserve League</v>
      </c>
      <c r="E186" s="21" t="n">
        <f aca="false">'Player Data'!D186</f>
        <v>2</v>
      </c>
      <c r="F186" s="21" t="n">
        <f aca="false">'Player Data'!G186</f>
        <v>25</v>
      </c>
      <c r="G186" s="21" t="n">
        <f aca="false">'Player Data'!H186</f>
        <v>961</v>
      </c>
      <c r="H186" s="22" t="n">
        <f aca="false">IF(B186="GK",IFERROR(('Player Data'!N186-1.5*'Player Data'!O186)/'Player Data'!H186*90,0),IFERROR(('Player Data'!I186+'Player Data'!J186)/'Player Data'!H186*90,0))</f>
        <v>2.01352757544225</v>
      </c>
      <c r="I186" s="22" t="n">
        <f aca="false">IF(B186="GK",'Player Data'!P186,IFERROR(('Player Data'!K186+'Player Data'!L186)/'Player Data'!H186*90,0))</f>
        <v>90.1</v>
      </c>
      <c r="J186" s="22" t="n">
        <f aca="false">IF(B186="GK",IFERROR('Player Data'!Q186/'Player Data'!H186*90,0),IFERROR('Player Data'!M186/'Player Data'!H186*90,0))</f>
        <v>1.33922996878252</v>
      </c>
      <c r="K186" s="23" t="n">
        <f aca="false">'Player Data'!S186</f>
        <v>22985</v>
      </c>
      <c r="L186" s="22" t="n">
        <f aca="false">INDEX(Assumptions!$B$13:$B$15,MATCH(E186,Assumptions!$A$13:$A$15,0))</f>
        <v>1</v>
      </c>
      <c r="M186" s="24" t="n">
        <f aca="false">IFERROR(SUMPRODUCT(($B$2:$B$1001=B186)*($H$2:$H$1001&lt;=H186))/SUMPRODUCT(($B$2:$B$1001=B186)*1),0)</f>
        <v>0.907103825136612</v>
      </c>
      <c r="N186" s="24" t="n">
        <f aca="false">IFERROR(SUMPRODUCT(($B$2:$B$1001=B186)*($I$2:$I$1001&lt;=I186))/SUMPRODUCT(($B$2:$B$1001=B186)*1),0)</f>
        <v>0.967213114754098</v>
      </c>
      <c r="O186" s="24" t="n">
        <f aca="false">IFERROR(SUMPRODUCT(($B$2:$B$1001=B186)*($J$2:$J$1001&lt;=J186))/SUMPRODUCT(($B$2:$B$1001=B186)*1),0)</f>
        <v>0.852459016393443</v>
      </c>
      <c r="P186" s="24" t="n">
        <f aca="false">IFERROR(SUMPRODUCT(($B$2:$B$1001=B186)*((0-$F$2:$F$1001)&lt;=(0-F186)))/SUMPRODUCT(($B$2:$B$1001=B186)*1),0)</f>
        <v>0.240437158469945</v>
      </c>
      <c r="Q186" s="25" t="n">
        <f aca="false">(M186*Assumptions!$B$5+N186*Assumptions!$B$6+O186*Assumptions!$B$7+P186*Assumptions!$B$8)*L186</f>
        <v>0.783879781420765</v>
      </c>
      <c r="R186" s="24" t="n">
        <f aca="false">IFERROR(SUMPRODUCT(($B$2:$B$1001=B186)*($Q$2:$Q$1001&lt;=Q186))/SUMPRODUCT(($B$2:$B$1001=B186)*1),0)</f>
        <v>1</v>
      </c>
      <c r="S186" s="24" t="n">
        <f aca="false">IFERROR(SUMPRODUCT(($B$2:$B$1001=B186)*($K$2:$K$1001&lt;=K186))/SUMPRODUCT(($B$2:$B$1001=B186)*1),0)</f>
        <v>0.289617486338798</v>
      </c>
      <c r="T186" s="26" t="n">
        <f aca="false">(R186-S186)*100</f>
        <v>71.0382513661202</v>
      </c>
      <c r="U186" s="21" t="str">
        <f aca="false">'Player Data'!T186</f>
        <v>Unknown</v>
      </c>
      <c r="V186" s="27" t="n">
        <f aca="false">'Player Data'!U186</f>
        <v>2026</v>
      </c>
      <c r="W186" s="21" t="str">
        <f aca="false">IF(AND(T186&gt;=Assumptions!$B$19,U186="No"),"High Priority - Unrepresented",IF(T186&gt;=Assumptions!$B$19,"High Priority",IF(AND(T186&gt;=Assumptions!$B$20,U186="No"),"Watchlist - Unrepresented",IF(T186&gt;=Assumptions!$B$20,"Watchlist",""))))</f>
        <v>High Priority</v>
      </c>
      <c r="X186" s="21" t="str">
        <f aca="false">'Player Data'!V186</f>
        <v>info@bangkokathletic.th</v>
      </c>
      <c r="Y186" s="28" t="str">
        <f aca="false">'Player Data'!W186</f>
        <v>Club sporting director / first-team office</v>
      </c>
      <c r="Z186" s="28" t="str">
        <f aca="false">'Player Data'!X186</f>
        <v>FAT (Football Association of Thailand) player registry</v>
      </c>
      <c r="AA186" s="19" t="str">
        <f aca="false">HYPERLINK("https://www.transfermarkt.com/schnellsuche/ergebnis/schnellsuche?query="&amp;SUBSTITUTE(A186," ","+"),"Search Transfermarkt")</f>
        <v>Search Transfermarkt</v>
      </c>
      <c r="AB186" s="29" t="n">
        <f aca="false">IFERROR('Player Data'!K186/('Player Data'!K186+'Player Data'!L186),0)</f>
        <v>0.8</v>
      </c>
      <c r="AC186" s="21" t="str">
        <f aca="false">IF(B186="GK",IF(AND(O186&gt;=Assumptions!$B$23,N186&gt;=Assumptions!$B$23),"Sweeper-Keeper / Build-from-the-Back",IF(O186&gt;=Assumptions!$B$23,"Sweeper-Keeper / High Line",IF(M186&gt;=Assumptions!$B$23,"Shot-Stopper / Traditional","Flexible / Multi-System"))),IF(AND(O186&gt;=Assumptions!$B$23,P186&gt;=Assumptions!$B$24),"High Press / Gegenpressing",IF(AND(N186&gt;=Assumptions!$B$23,AB186&gt;=Assumptions!$B$25),"Possession / Build-from-the-Back",IF(N186&gt;=Assumptions!$B$23,"Counter-Attack / Transition",IF(AND(O186&gt;=Assumptions!$B$23,N186&lt;Assumptions!$B$26),"Low Block / Park the Bus",IF(AND(B186="FW",M186&gt;=Assumptions!$B$23,N186&lt;Assumptions!$B$26),"Direct / Target Approach","Flexible / Multi-System"))))))</f>
        <v>Sweeper-Keeper / Build-from-the-Back</v>
      </c>
      <c r="AD186" s="21" t="str">
        <f aca="false">'Player Data'!Y186</f>
        <v>2026-07-17</v>
      </c>
      <c r="AE186" s="21" t="str">
        <f aca="false">'Player Data'!Z186</f>
        <v>2026-07-17</v>
      </c>
      <c r="AF186" s="28" t="str">
        <f aca="false">IFERROR(INDEX(Assumptions!$B$30:$B$61,MATCH(C186,Assumptions!$A$30:$A$61,0)),"--")</f>
        <v>Australia, Saudi Arabia</v>
      </c>
      <c r="AG186" s="30" t="str">
        <f aca="false">IF(R186&gt;=0.7,"Step-Up Candidate",IF(R186&gt;=0.4,"Lateral Move","Stay &amp; Develop"))</f>
        <v>Step-Up Candidate</v>
      </c>
    </row>
    <row r="187" customFormat="false" ht="23.85" hidden="false" customHeight="false" outlineLevel="0" collapsed="false">
      <c r="A187" s="21" t="str">
        <f aca="false">'Player Data'!A187</f>
        <v>Ahmed Hassan</v>
      </c>
      <c r="B187" s="21" t="str">
        <f aca="false">'Player Data'!F187</f>
        <v>DF</v>
      </c>
      <c r="C187" s="21" t="str">
        <f aca="false">'Player Data'!B187</f>
        <v>Iraq</v>
      </c>
      <c r="D187" s="21" t="str">
        <f aca="false">'Player Data'!C187</f>
        <v>Iraq Second Division</v>
      </c>
      <c r="E187" s="21" t="n">
        <f aca="false">'Player Data'!D187</f>
        <v>4</v>
      </c>
      <c r="F187" s="21" t="n">
        <f aca="false">'Player Data'!G187</f>
        <v>18</v>
      </c>
      <c r="G187" s="21" t="n">
        <f aca="false">'Player Data'!H187</f>
        <v>2155</v>
      </c>
      <c r="H187" s="22" t="n">
        <f aca="false">IF(B187="GK",IFERROR(('Player Data'!N187-1.5*'Player Data'!O187)/'Player Data'!H187*90,0),IFERROR(('Player Data'!I187+'Player Data'!J187)/'Player Data'!H187*90,0))</f>
        <v>0.0835266821345708</v>
      </c>
      <c r="I187" s="22" t="n">
        <f aca="false">IF(B187="GK",'Player Data'!P187,IFERROR(('Player Data'!K187+'Player Data'!L187)/'Player Data'!H187*90,0))</f>
        <v>3.34106728538283</v>
      </c>
      <c r="J187" s="22" t="n">
        <f aca="false">IF(B187="GK",IFERROR('Player Data'!Q187/'Player Data'!H187*90,0),IFERROR('Player Data'!M187/'Player Data'!H187*90,0))</f>
        <v>4.92807424593968</v>
      </c>
      <c r="K187" s="23" t="n">
        <f aca="false">'Player Data'!S187</f>
        <v>0</v>
      </c>
      <c r="L187" s="22" t="n">
        <f aca="false">INDEX(Assumptions!$B$13:$B$15,MATCH(E187,Assumptions!$A$13:$A$15,0))</f>
        <v>0.7</v>
      </c>
      <c r="M187" s="24" t="n">
        <f aca="false">IFERROR(SUMPRODUCT(($B$2:$B$1001=B187)*($H$2:$H$1001&lt;=H187))/SUMPRODUCT(($B$2:$B$1001=B187)*1),0)</f>
        <v>0.13265306122449</v>
      </c>
      <c r="N187" s="24" t="n">
        <f aca="false">IFERROR(SUMPRODUCT(($B$2:$B$1001=B187)*($I$2:$I$1001&lt;=I187))/SUMPRODUCT(($B$2:$B$1001=B187)*1),0)</f>
        <v>0.19047619047619</v>
      </c>
      <c r="O187" s="24" t="n">
        <f aca="false">IFERROR(SUMPRODUCT(($B$2:$B$1001=B187)*($J$2:$J$1001&lt;=J187))/SUMPRODUCT(($B$2:$B$1001=B187)*1),0)</f>
        <v>0.442176870748299</v>
      </c>
      <c r="P187" s="24" t="n">
        <f aca="false">IFERROR(SUMPRODUCT(($B$2:$B$1001=B187)*((0-$F$2:$F$1001)&lt;=(0-F187)))/SUMPRODUCT(($B$2:$B$1001=B187)*1),0)</f>
        <v>0.863945578231293</v>
      </c>
      <c r="Q187" s="25" t="n">
        <f aca="false">(M187*Assumptions!$B$5+N187*Assumptions!$B$6+O187*Assumptions!$B$7+P187*Assumptions!$B$8)*L187</f>
        <v>0.252738095238095</v>
      </c>
      <c r="R187" s="24" t="n">
        <f aca="false">IFERROR(SUMPRODUCT(($B$2:$B$1001=B187)*($Q$2:$Q$1001&lt;=Q187))/SUMPRODUCT(($B$2:$B$1001=B187)*1),0)</f>
        <v>0.170068027210884</v>
      </c>
      <c r="S187" s="24" t="n">
        <f aca="false">IFERROR(SUMPRODUCT(($B$2:$B$1001=B187)*($K$2:$K$1001&lt;=K187))/SUMPRODUCT(($B$2:$B$1001=B187)*1),0)</f>
        <v>0.248299319727891</v>
      </c>
      <c r="T187" s="26" t="n">
        <f aca="false">(R187-S187)*100</f>
        <v>-7.82312925170068</v>
      </c>
      <c r="U187" s="21" t="str">
        <f aca="false">'Player Data'!T187</f>
        <v>Yes</v>
      </c>
      <c r="V187" s="27" t="n">
        <f aca="false">'Player Data'!U187</f>
        <v>2026</v>
      </c>
      <c r="W187" s="21" t="str">
        <f aca="false">IF(AND(T187&gt;=Assumptions!$B$19,U187="No"),"High Priority - Unrepresented",IF(T187&gt;=Assumptions!$B$19,"High Priority",IF(AND(T187&gt;=Assumptions!$B$20,U187="No"),"Watchlist - Unrepresented",IF(T187&gt;=Assumptions!$B$20,"Watchlist",""))))</f>
        <v/>
      </c>
      <c r="X187" s="21" t="str">
        <f aca="false">'Player Data'!V187</f>
        <v>info@basracity.iq</v>
      </c>
      <c r="Y187" s="28" t="str">
        <f aca="false">'Player Data'!W187</f>
        <v>Go through the player's agent - ask the club to confirm representation first</v>
      </c>
      <c r="Z187" s="28" t="str">
        <f aca="false">'Player Data'!X187</f>
        <v>IFA (Iraq Football Association) player registry</v>
      </c>
      <c r="AA187" s="19" t="str">
        <f aca="false">HYPERLINK("https://www.transfermarkt.com/schnellsuche/ergebnis/schnellsuche?query="&amp;SUBSTITUTE(A187," ","+"),"Search Transfermarkt")</f>
        <v>Search Transfermarkt</v>
      </c>
      <c r="AB187" s="29" t="n">
        <f aca="false">IFERROR('Player Data'!K187/('Player Data'!K187+'Player Data'!L187),0)</f>
        <v>0.6875</v>
      </c>
      <c r="AC187" s="21" t="str">
        <f aca="false">IF(B187="GK",IF(AND(O187&gt;=Assumptions!$B$23,N187&gt;=Assumptions!$B$23),"Sweeper-Keeper / Build-from-the-Back",IF(O187&gt;=Assumptions!$B$23,"Sweeper-Keeper / High Line",IF(M187&gt;=Assumptions!$B$23,"Shot-Stopper / Traditional","Flexible / Multi-System"))),IF(AND(O187&gt;=Assumptions!$B$23,P187&gt;=Assumptions!$B$24),"High Press / Gegenpressing",IF(AND(N187&gt;=Assumptions!$B$23,AB187&gt;=Assumptions!$B$25),"Possession / Build-from-the-Back",IF(N187&gt;=Assumptions!$B$23,"Counter-Attack / Transition",IF(AND(O187&gt;=Assumptions!$B$23,N187&lt;Assumptions!$B$26),"Low Block / Park the Bus",IF(AND(B187="FW",M187&gt;=Assumptions!$B$23,N187&lt;Assumptions!$B$26),"Direct / Target Approach","Flexible / Multi-System"))))))</f>
        <v>Flexible / Multi-System</v>
      </c>
      <c r="AD187" s="21" t="str">
        <f aca="false">'Player Data'!Y187</f>
        <v>2026-07-17</v>
      </c>
      <c r="AE187" s="21" t="str">
        <f aca="false">'Player Data'!Z187</f>
        <v>2026-07-17</v>
      </c>
      <c r="AF187" s="28" t="str">
        <f aca="false">IFERROR(INDEX(Assumptions!$B$30:$B$61,MATCH(C187,Assumptions!$A$30:$A$61,0)),"--")</f>
        <v>Turkey, Saudi Arabia</v>
      </c>
      <c r="AG187" s="30" t="str">
        <f aca="false">IF(R187&gt;=0.7,"Step-Up Candidate",IF(R187&gt;=0.4,"Lateral Move","Stay &amp; Develop"))</f>
        <v>Stay &amp; Develop</v>
      </c>
    </row>
    <row r="188" customFormat="false" ht="23.85" hidden="false" customHeight="false" outlineLevel="0" collapsed="false">
      <c r="A188" s="21" t="str">
        <f aca="false">'Player Data'!A188</f>
        <v>Anon Sanguan</v>
      </c>
      <c r="B188" s="21" t="str">
        <f aca="false">'Player Data'!F188</f>
        <v>DF</v>
      </c>
      <c r="C188" s="21" t="str">
        <f aca="false">'Player Data'!B188</f>
        <v>Thailand</v>
      </c>
      <c r="D188" s="21" t="str">
        <f aca="false">'Player Data'!C188</f>
        <v>Thailand Reserve League</v>
      </c>
      <c r="E188" s="21" t="n">
        <f aca="false">'Player Data'!D188</f>
        <v>2</v>
      </c>
      <c r="F188" s="21" t="n">
        <f aca="false">'Player Data'!G188</f>
        <v>23</v>
      </c>
      <c r="G188" s="21" t="n">
        <f aca="false">'Player Data'!H188</f>
        <v>1488</v>
      </c>
      <c r="H188" s="22" t="n">
        <f aca="false">IF(B188="GK",IFERROR(('Player Data'!N188-1.5*'Player Data'!O188)/'Player Data'!H188*90,0),IFERROR(('Player Data'!I188+'Player Data'!J188)/'Player Data'!H188*90,0))</f>
        <v>0.181451612903226</v>
      </c>
      <c r="I188" s="22" t="n">
        <f aca="false">IF(B188="GK",'Player Data'!P188,IFERROR(('Player Data'!K188+'Player Data'!L188)/'Player Data'!H188*90,0))</f>
        <v>5.86693548387097</v>
      </c>
      <c r="J188" s="22" t="n">
        <f aca="false">IF(B188="GK",IFERROR('Player Data'!Q188/'Player Data'!H188*90,0),IFERROR('Player Data'!M188/'Player Data'!H188*90,0))</f>
        <v>7.25806451612903</v>
      </c>
      <c r="K188" s="23" t="n">
        <f aca="false">'Player Data'!S188</f>
        <v>122125</v>
      </c>
      <c r="L188" s="22" t="n">
        <f aca="false">INDEX(Assumptions!$B$13:$B$15,MATCH(E188,Assumptions!$A$13:$A$15,0))</f>
        <v>1</v>
      </c>
      <c r="M188" s="24" t="n">
        <f aca="false">IFERROR(SUMPRODUCT(($B$2:$B$1001=B188)*($H$2:$H$1001&lt;=H188))/SUMPRODUCT(($B$2:$B$1001=B188)*1),0)</f>
        <v>0.489795918367347</v>
      </c>
      <c r="N188" s="24" t="n">
        <f aca="false">IFERROR(SUMPRODUCT(($B$2:$B$1001=B188)*($I$2:$I$1001&lt;=I188))/SUMPRODUCT(($B$2:$B$1001=B188)*1),0)</f>
        <v>0.724489795918367</v>
      </c>
      <c r="O188" s="24" t="n">
        <f aca="false">IFERROR(SUMPRODUCT(($B$2:$B$1001=B188)*($J$2:$J$1001&lt;=J188))/SUMPRODUCT(($B$2:$B$1001=B188)*1),0)</f>
        <v>0.775510204081633</v>
      </c>
      <c r="P188" s="24" t="n">
        <f aca="false">IFERROR(SUMPRODUCT(($B$2:$B$1001=B188)*((0-$F$2:$F$1001)&lt;=(0-F188)))/SUMPRODUCT(($B$2:$B$1001=B188)*1),0)</f>
        <v>0.374149659863946</v>
      </c>
      <c r="Q188" s="25" t="n">
        <f aca="false">(M188*Assumptions!$B$5+N188*Assumptions!$B$6+O188*Assumptions!$B$7+P188*Assumptions!$B$8)*L188</f>
        <v>0.605952380952381</v>
      </c>
      <c r="R188" s="24" t="n">
        <f aca="false">IFERROR(SUMPRODUCT(($B$2:$B$1001=B188)*($Q$2:$Q$1001&lt;=Q188))/SUMPRODUCT(($B$2:$B$1001=B188)*1),0)</f>
        <v>0.77891156462585</v>
      </c>
      <c r="S188" s="24" t="n">
        <f aca="false">IFERROR(SUMPRODUCT(($B$2:$B$1001=B188)*($K$2:$K$1001&lt;=K188))/SUMPRODUCT(($B$2:$B$1001=B188)*1),0)</f>
        <v>0.863945578231293</v>
      </c>
      <c r="T188" s="26" t="n">
        <f aca="false">(R188-S188)*100</f>
        <v>-8.50340136054422</v>
      </c>
      <c r="U188" s="21" t="str">
        <f aca="false">'Player Data'!T188</f>
        <v>No</v>
      </c>
      <c r="V188" s="27" t="n">
        <f aca="false">'Player Data'!U188</f>
        <v>2028</v>
      </c>
      <c r="W188" s="21" t="str">
        <f aca="false">IF(AND(T188&gt;=Assumptions!$B$19,U188="No"),"High Priority - Unrepresented",IF(T188&gt;=Assumptions!$B$19,"High Priority",IF(AND(T188&gt;=Assumptions!$B$20,U188="No"),"Watchlist - Unrepresented",IF(T188&gt;=Assumptions!$B$20,"Watchlist",""))))</f>
        <v/>
      </c>
      <c r="X188" s="21" t="str">
        <f aca="false">'Player Data'!V188</f>
        <v>info@chiangmairangers.th</v>
      </c>
      <c r="Y188" s="28" t="str">
        <f aca="false">'Player Data'!W188</f>
        <v>Club sporting director / first-team office</v>
      </c>
      <c r="Z188" s="28" t="str">
        <f aca="false">'Player Data'!X188</f>
        <v>FAT (Football Association of Thailand) player registry</v>
      </c>
      <c r="AA188" s="19" t="str">
        <f aca="false">HYPERLINK("https://www.transfermarkt.com/schnellsuche/ergebnis/schnellsuche?query="&amp;SUBSTITUTE(A188," ","+"),"Search Transfermarkt")</f>
        <v>Search Transfermarkt</v>
      </c>
      <c r="AB188" s="29" t="n">
        <f aca="false">IFERROR('Player Data'!K188/('Player Data'!K188+'Player Data'!L188),0)</f>
        <v>0.567010309278351</v>
      </c>
      <c r="AC188" s="21" t="str">
        <f aca="false">IF(B188="GK",IF(AND(O188&gt;=Assumptions!$B$23,N188&gt;=Assumptions!$B$23),"Sweeper-Keeper / Build-from-the-Back",IF(O188&gt;=Assumptions!$B$23,"Sweeper-Keeper / High Line",IF(M188&gt;=Assumptions!$B$23,"Shot-Stopper / Traditional","Flexible / Multi-System"))),IF(AND(O188&gt;=Assumptions!$B$23,P188&gt;=Assumptions!$B$24),"High Press / Gegenpressing",IF(AND(N188&gt;=Assumptions!$B$23,AB188&gt;=Assumptions!$B$25),"Possession / Build-from-the-Back",IF(N188&gt;=Assumptions!$B$23,"Counter-Attack / Transition",IF(AND(O188&gt;=Assumptions!$B$23,N188&lt;Assumptions!$B$26),"Low Block / Park the Bus",IF(AND(B188="FW",M188&gt;=Assumptions!$B$23,N188&lt;Assumptions!$B$26),"Direct / Target Approach","Flexible / Multi-System"))))))</f>
        <v>Counter-Attack / Transition</v>
      </c>
      <c r="AD188" s="21" t="str">
        <f aca="false">'Player Data'!Y188</f>
        <v>2026-07-17</v>
      </c>
      <c r="AE188" s="21" t="str">
        <f aca="false">'Player Data'!Z188</f>
        <v>2026-07-17</v>
      </c>
      <c r="AF188" s="28" t="str">
        <f aca="false">IFERROR(INDEX(Assumptions!$B$30:$B$61,MATCH(C188,Assumptions!$A$30:$A$61,0)),"--")</f>
        <v>Australia, Saudi Arabia</v>
      </c>
      <c r="AG188" s="30" t="str">
        <f aca="false">IF(R188&gt;=0.7,"Step-Up Candidate",IF(R188&gt;=0.4,"Lateral Move","Stay &amp; Develop"))</f>
        <v>Step-Up Candidate</v>
      </c>
    </row>
    <row r="189" customFormat="false" ht="23.85" hidden="false" customHeight="false" outlineLevel="0" collapsed="false">
      <c r="A189" s="21" t="str">
        <f aca="false">'Player Data'!A189</f>
        <v>Liam Smith</v>
      </c>
      <c r="B189" s="21" t="str">
        <f aca="false">'Player Data'!F189</f>
        <v>MF</v>
      </c>
      <c r="C189" s="21" t="str">
        <f aca="false">'Player Data'!B189</f>
        <v>New Zealand</v>
      </c>
      <c r="D189" s="21" t="str">
        <f aca="false">'Player Data'!C189</f>
        <v>New Zealand Regional League</v>
      </c>
      <c r="E189" s="21" t="n">
        <f aca="false">'Player Data'!D189</f>
        <v>2</v>
      </c>
      <c r="F189" s="21" t="n">
        <f aca="false">'Player Data'!G189</f>
        <v>22</v>
      </c>
      <c r="G189" s="21" t="n">
        <f aca="false">'Player Data'!H189</f>
        <v>2305</v>
      </c>
      <c r="H189" s="22" t="n">
        <f aca="false">IF(B189="GK",IFERROR(('Player Data'!N189-1.5*'Player Data'!O189)/'Player Data'!H189*90,0),IFERROR(('Player Data'!I189+'Player Data'!J189)/'Player Data'!H189*90,0))</f>
        <v>0.390455531453362</v>
      </c>
      <c r="I189" s="22" t="n">
        <f aca="false">IF(B189="GK",'Player Data'!P189,IFERROR(('Player Data'!K189+'Player Data'!L189)/'Player Data'!H189*90,0))</f>
        <v>9.72234273318872</v>
      </c>
      <c r="J189" s="22" t="n">
        <f aca="false">IF(B189="GK",IFERROR('Player Data'!Q189/'Player Data'!H189*90,0),IFERROR('Player Data'!M189/'Player Data'!H189*90,0))</f>
        <v>1.13232104121475</v>
      </c>
      <c r="K189" s="23" t="n">
        <f aca="false">'Player Data'!S189</f>
        <v>60886</v>
      </c>
      <c r="L189" s="22" t="n">
        <f aca="false">INDEX(Assumptions!$B$13:$B$15,MATCH(E189,Assumptions!$A$13:$A$15,0))</f>
        <v>1</v>
      </c>
      <c r="M189" s="24" t="n">
        <f aca="false">IFERROR(SUMPRODUCT(($B$2:$B$1001=B189)*($H$2:$H$1001&lt;=H189))/SUMPRODUCT(($B$2:$B$1001=B189)*1),0)</f>
        <v>0.0909090909090909</v>
      </c>
      <c r="N189" s="24" t="n">
        <f aca="false">IFERROR(SUMPRODUCT(($B$2:$B$1001=B189)*($I$2:$I$1001&lt;=I189))/SUMPRODUCT(($B$2:$B$1001=B189)*1),0)</f>
        <v>0.390572390572391</v>
      </c>
      <c r="O189" s="24" t="n">
        <f aca="false">IFERROR(SUMPRODUCT(($B$2:$B$1001=B189)*($J$2:$J$1001&lt;=J189))/SUMPRODUCT(($B$2:$B$1001=B189)*1),0)</f>
        <v>0.0404040404040404</v>
      </c>
      <c r="P189" s="24" t="n">
        <f aca="false">IFERROR(SUMPRODUCT(($B$2:$B$1001=B189)*((0-$F$2:$F$1001)&lt;=(0-F189)))/SUMPRODUCT(($B$2:$B$1001=B189)*1),0)</f>
        <v>0.515151515151515</v>
      </c>
      <c r="Q189" s="25" t="n">
        <f aca="false">(M189*Assumptions!$B$5+N189*Assumptions!$B$6+O189*Assumptions!$B$7+P189*Assumptions!$B$8)*L189</f>
        <v>0.270538720538721</v>
      </c>
      <c r="R189" s="24" t="n">
        <f aca="false">IFERROR(SUMPRODUCT(($B$2:$B$1001=B189)*($Q$2:$Q$1001&lt;=Q189))/SUMPRODUCT(($B$2:$B$1001=B189)*1),0)</f>
        <v>0.208754208754209</v>
      </c>
      <c r="S189" s="24" t="n">
        <f aca="false">IFERROR(SUMPRODUCT(($B$2:$B$1001=B189)*($K$2:$K$1001&lt;=K189))/SUMPRODUCT(($B$2:$B$1001=B189)*1),0)</f>
        <v>0.505050505050505</v>
      </c>
      <c r="T189" s="26" t="n">
        <f aca="false">(R189-S189)*100</f>
        <v>-29.6296296296296</v>
      </c>
      <c r="U189" s="21" t="str">
        <f aca="false">'Player Data'!T189</f>
        <v>No</v>
      </c>
      <c r="V189" s="27" t="n">
        <f aca="false">'Player Data'!U189</f>
        <v>2026</v>
      </c>
      <c r="W189" s="21" t="str">
        <f aca="false">IF(AND(T189&gt;=Assumptions!$B$19,U189="No"),"High Priority - Unrepresented",IF(T189&gt;=Assumptions!$B$19,"High Priority",IF(AND(T189&gt;=Assumptions!$B$20,U189="No"),"Watchlist - Unrepresented",IF(T189&gt;=Assumptions!$B$20,"Watchlist",""))))</f>
        <v/>
      </c>
      <c r="X189" s="21" t="str">
        <f aca="false">'Player Data'!V189</f>
        <v>info@aucklandrovers.nz</v>
      </c>
      <c r="Y189" s="28" t="str">
        <f aca="false">'Player Data'!W189</f>
        <v>Club sporting director / first-team office</v>
      </c>
      <c r="Z189" s="28" t="str">
        <f aca="false">'Player Data'!X189</f>
        <v>NZF (New Zealand Football) player registry</v>
      </c>
      <c r="AA189" s="19" t="str">
        <f aca="false">HYPERLINK("https://www.transfermarkt.com/schnellsuche/ergebnis/schnellsuche?query="&amp;SUBSTITUTE(A189," ","+"),"Search Transfermarkt")</f>
        <v>Search Transfermarkt</v>
      </c>
      <c r="AB189" s="29" t="n">
        <f aca="false">IFERROR('Player Data'!K189/('Player Data'!K189+'Player Data'!L189),0)</f>
        <v>0.630522088353414</v>
      </c>
      <c r="AC189" s="21" t="str">
        <f aca="false">IF(B189="GK",IF(AND(O189&gt;=Assumptions!$B$23,N189&gt;=Assumptions!$B$23),"Sweeper-Keeper / Build-from-the-Back",IF(O189&gt;=Assumptions!$B$23,"Sweeper-Keeper / High Line",IF(M189&gt;=Assumptions!$B$23,"Shot-Stopper / Traditional","Flexible / Multi-System"))),IF(AND(O189&gt;=Assumptions!$B$23,P189&gt;=Assumptions!$B$24),"High Press / Gegenpressing",IF(AND(N189&gt;=Assumptions!$B$23,AB189&gt;=Assumptions!$B$25),"Possession / Build-from-the-Back",IF(N189&gt;=Assumptions!$B$23,"Counter-Attack / Transition",IF(AND(O189&gt;=Assumptions!$B$23,N189&lt;Assumptions!$B$26),"Low Block / Park the Bus",IF(AND(B189="FW",M189&gt;=Assumptions!$B$23,N189&lt;Assumptions!$B$26),"Direct / Target Approach","Flexible / Multi-System"))))))</f>
        <v>Flexible / Multi-System</v>
      </c>
      <c r="AD189" s="21" t="str">
        <f aca="false">'Player Data'!Y189</f>
        <v>2026-07-17</v>
      </c>
      <c r="AE189" s="21" t="str">
        <f aca="false">'Player Data'!Z189</f>
        <v>2026-07-17</v>
      </c>
      <c r="AF189" s="28" t="str">
        <f aca="false">IFERROR(INDEX(Assumptions!$B$30:$B$61,MATCH(C189,Assumptions!$A$30:$A$61,0)),"--")</f>
        <v>Australia, United States</v>
      </c>
      <c r="AG189" s="30" t="str">
        <f aca="false">IF(R189&gt;=0.7,"Step-Up Candidate",IF(R189&gt;=0.4,"Lateral Move","Stay &amp; Develop"))</f>
        <v>Stay &amp; Develop</v>
      </c>
    </row>
    <row r="190" customFormat="false" ht="23.85" hidden="false" customHeight="false" outlineLevel="0" collapsed="false">
      <c r="A190" s="21" t="str">
        <f aca="false">'Player Data'!A190</f>
        <v>Esteban Morales</v>
      </c>
      <c r="B190" s="21" t="str">
        <f aca="false">'Player Data'!F190</f>
        <v>DF</v>
      </c>
      <c r="C190" s="21" t="str">
        <f aca="false">'Player Data'!B190</f>
        <v>Costa Rica</v>
      </c>
      <c r="D190" s="21" t="str">
        <f aca="false">'Player Data'!C190</f>
        <v>Costa Rica Second Division - East</v>
      </c>
      <c r="E190" s="21" t="n">
        <f aca="false">'Player Data'!D190</f>
        <v>3</v>
      </c>
      <c r="F190" s="21" t="n">
        <f aca="false">'Player Data'!G190</f>
        <v>17</v>
      </c>
      <c r="G190" s="21" t="n">
        <f aca="false">'Player Data'!H190</f>
        <v>1786</v>
      </c>
      <c r="H190" s="22" t="n">
        <f aca="false">IF(B190="GK",IFERROR(('Player Data'!N190-1.5*'Player Data'!O190)/'Player Data'!H190*90,0),IFERROR(('Player Data'!I190+'Player Data'!J190)/'Player Data'!H190*90,0))</f>
        <v>0.251959686450168</v>
      </c>
      <c r="I190" s="22" t="n">
        <f aca="false">IF(B190="GK",'Player Data'!P190,IFERROR(('Player Data'!K190+'Player Data'!L190)/'Player Data'!H190*90,0))</f>
        <v>3.88017917133259</v>
      </c>
      <c r="J190" s="22" t="n">
        <f aca="false">IF(B190="GK",IFERROR('Player Data'!Q190/'Player Data'!H190*90,0),IFERROR('Player Data'!M190/'Player Data'!H190*90,0))</f>
        <v>6.24860022396417</v>
      </c>
      <c r="K190" s="23" t="n">
        <f aca="false">'Player Data'!S190</f>
        <v>19161</v>
      </c>
      <c r="L190" s="22" t="n">
        <f aca="false">INDEX(Assumptions!$B$13:$B$15,MATCH(E190,Assumptions!$A$13:$A$15,0))</f>
        <v>0.85</v>
      </c>
      <c r="M190" s="24" t="n">
        <f aca="false">IFERROR(SUMPRODUCT(($B$2:$B$1001=B190)*($H$2:$H$1001&lt;=H190))/SUMPRODUCT(($B$2:$B$1001=B190)*1),0)</f>
        <v>0.666666666666667</v>
      </c>
      <c r="N190" s="24" t="n">
        <f aca="false">IFERROR(SUMPRODUCT(($B$2:$B$1001=B190)*($I$2:$I$1001&lt;=I190))/SUMPRODUCT(($B$2:$B$1001=B190)*1),0)</f>
        <v>0.370748299319728</v>
      </c>
      <c r="O190" s="24" t="n">
        <f aca="false">IFERROR(SUMPRODUCT(($B$2:$B$1001=B190)*($J$2:$J$1001&lt;=J190))/SUMPRODUCT(($B$2:$B$1001=B190)*1),0)</f>
        <v>0.659863945578231</v>
      </c>
      <c r="P190" s="24" t="n">
        <f aca="false">IFERROR(SUMPRODUCT(($B$2:$B$1001=B190)*((0-$F$2:$F$1001)&lt;=(0-F190)))/SUMPRODUCT(($B$2:$B$1001=B190)*1),0)</f>
        <v>1</v>
      </c>
      <c r="Q190" s="25" t="n">
        <f aca="false">(M190*Assumptions!$B$5+N190*Assumptions!$B$6+O190*Assumptions!$B$7+P190*Assumptions!$B$8)*L190</f>
        <v>0.534141156462585</v>
      </c>
      <c r="R190" s="24" t="n">
        <f aca="false">IFERROR(SUMPRODUCT(($B$2:$B$1001=B190)*($Q$2:$Q$1001&lt;=Q190))/SUMPRODUCT(($B$2:$B$1001=B190)*1),0)</f>
        <v>0.666666666666667</v>
      </c>
      <c r="S190" s="24" t="n">
        <f aca="false">IFERROR(SUMPRODUCT(($B$2:$B$1001=B190)*($K$2:$K$1001&lt;=K190))/SUMPRODUCT(($B$2:$B$1001=B190)*1),0)</f>
        <v>0.295918367346939</v>
      </c>
      <c r="T190" s="26" t="n">
        <f aca="false">(R190-S190)*100</f>
        <v>37.0748299319728</v>
      </c>
      <c r="U190" s="21" t="str">
        <f aca="false">'Player Data'!T190</f>
        <v>No</v>
      </c>
      <c r="V190" s="27" t="n">
        <f aca="false">'Player Data'!U190</f>
        <v>2028</v>
      </c>
      <c r="W190" s="21" t="str">
        <f aca="false">IF(AND(T190&gt;=Assumptions!$B$19,U190="No"),"High Priority - Unrepresented",IF(T190&gt;=Assumptions!$B$19,"High Priority",IF(AND(T190&gt;=Assumptions!$B$20,U190="No"),"Watchlist - Unrepresented",IF(T190&gt;=Assumptions!$B$20,"Watchlist",""))))</f>
        <v>Watchlist - Unrepresented</v>
      </c>
      <c r="X190" s="21" t="str">
        <f aca="false">'Player Data'!V190</f>
        <v>info@herediarovers.cr</v>
      </c>
      <c r="Y190" s="28" t="str">
        <f aca="false">'Player Data'!W190</f>
        <v>Club youth/academy office ONLY - player is a minor, do not contact directly</v>
      </c>
      <c r="Z190" s="28" t="str">
        <f aca="false">'Player Data'!X190</f>
        <v>FEDEFUTBOL (Costa Rican Football Federation) player registry</v>
      </c>
      <c r="AA190" s="19" t="str">
        <f aca="false">HYPERLINK("https://www.transfermarkt.com/schnellsuche/ergebnis/schnellsuche?query="&amp;SUBSTITUTE(A190," ","+"),"Search Transfermarkt")</f>
        <v>Search Transfermarkt</v>
      </c>
      <c r="AB190" s="29" t="n">
        <f aca="false">IFERROR('Player Data'!K190/('Player Data'!K190+'Player Data'!L190),0)</f>
        <v>0.688311688311688</v>
      </c>
      <c r="AC190" s="21" t="str">
        <f aca="false">IF(B190="GK",IF(AND(O190&gt;=Assumptions!$B$23,N190&gt;=Assumptions!$B$23),"Sweeper-Keeper / Build-from-the-Back",IF(O190&gt;=Assumptions!$B$23,"Sweeper-Keeper / High Line",IF(M190&gt;=Assumptions!$B$23,"Shot-Stopper / Traditional","Flexible / Multi-System"))),IF(AND(O190&gt;=Assumptions!$B$23,P190&gt;=Assumptions!$B$24),"High Press / Gegenpressing",IF(AND(N190&gt;=Assumptions!$B$23,AB190&gt;=Assumptions!$B$25),"Possession / Build-from-the-Back",IF(N190&gt;=Assumptions!$B$23,"Counter-Attack / Transition",IF(AND(O190&gt;=Assumptions!$B$23,N190&lt;Assumptions!$B$26),"Low Block / Park the Bus",IF(AND(B190="FW",M190&gt;=Assumptions!$B$23,N190&lt;Assumptions!$B$26),"Direct / Target Approach","Flexible / Multi-System"))))))</f>
        <v>High Press / Gegenpressing</v>
      </c>
      <c r="AD190" s="21" t="str">
        <f aca="false">'Player Data'!Y190</f>
        <v>2026-07-17</v>
      </c>
      <c r="AE190" s="21" t="str">
        <f aca="false">'Player Data'!Z190</f>
        <v>2026-07-17</v>
      </c>
      <c r="AF190" s="28" t="str">
        <f aca="false">IFERROR(INDEX(Assumptions!$B$30:$B$61,MATCH(C190,Assumptions!$A$30:$A$61,0)),"--")</f>
        <v>Mexico, United States</v>
      </c>
      <c r="AG190" s="30" t="str">
        <f aca="false">IF(R190&gt;=0.7,"Step-Up Candidate",IF(R190&gt;=0.4,"Lateral Move","Stay &amp; Develop"))</f>
        <v>Lateral Move</v>
      </c>
    </row>
    <row r="191" customFormat="false" ht="23.85" hidden="false" customHeight="false" outlineLevel="0" collapsed="false">
      <c r="A191" s="21" t="str">
        <f aca="false">'Player Data'!A191</f>
        <v>Michael Godoy</v>
      </c>
      <c r="B191" s="21" t="str">
        <f aca="false">'Player Data'!F191</f>
        <v>GK</v>
      </c>
      <c r="C191" s="21" t="str">
        <f aca="false">'Player Data'!B191</f>
        <v>Panama</v>
      </c>
      <c r="D191" s="21" t="str">
        <f aca="false">'Player Data'!C191</f>
        <v>Panama Provincial League</v>
      </c>
      <c r="E191" s="21" t="n">
        <f aca="false">'Player Data'!D191</f>
        <v>2</v>
      </c>
      <c r="F191" s="21" t="n">
        <f aca="false">'Player Data'!G191</f>
        <v>19</v>
      </c>
      <c r="G191" s="21" t="n">
        <f aca="false">'Player Data'!H191</f>
        <v>953</v>
      </c>
      <c r="H191" s="22" t="n">
        <f aca="false">IF(B191="GK",IFERROR(('Player Data'!N191-1.5*'Player Data'!O191)/'Player Data'!H191*90,0),IFERROR(('Player Data'!I191+'Player Data'!J191)/'Player Data'!H191*90,0))</f>
        <v>1.98321091290661</v>
      </c>
      <c r="I191" s="22" t="n">
        <f aca="false">IF(B191="GK",'Player Data'!P191,IFERROR(('Player Data'!K191+'Player Data'!L191)/'Player Data'!H191*90,0))</f>
        <v>79.4</v>
      </c>
      <c r="J191" s="22" t="n">
        <f aca="false">IF(B191="GK",IFERROR('Player Data'!Q191/'Player Data'!H191*90,0),IFERROR('Player Data'!M191/'Player Data'!H191*90,0))</f>
        <v>0.122770199370409</v>
      </c>
      <c r="K191" s="23" t="n">
        <f aca="false">'Player Data'!S191</f>
        <v>0</v>
      </c>
      <c r="L191" s="22" t="n">
        <f aca="false">INDEX(Assumptions!$B$13:$B$15,MATCH(E191,Assumptions!$A$13:$A$15,0))</f>
        <v>1</v>
      </c>
      <c r="M191" s="24" t="n">
        <f aca="false">IFERROR(SUMPRODUCT(($B$2:$B$1001=B191)*($H$2:$H$1001&lt;=H191))/SUMPRODUCT(($B$2:$B$1001=B191)*1),0)</f>
        <v>0.896174863387978</v>
      </c>
      <c r="N191" s="24" t="n">
        <f aca="false">IFERROR(SUMPRODUCT(($B$2:$B$1001=B191)*($I$2:$I$1001&lt;=I191))/SUMPRODUCT(($B$2:$B$1001=B191)*1),0)</f>
        <v>0.644808743169399</v>
      </c>
      <c r="O191" s="24" t="n">
        <f aca="false">IFERROR(SUMPRODUCT(($B$2:$B$1001=B191)*($J$2:$J$1001&lt;=J191))/SUMPRODUCT(($B$2:$B$1001=B191)*1),0)</f>
        <v>0.0163934426229508</v>
      </c>
      <c r="P191" s="24" t="n">
        <f aca="false">IFERROR(SUMPRODUCT(($B$2:$B$1001=B191)*((0-$F$2:$F$1001)&lt;=(0-F191)))/SUMPRODUCT(($B$2:$B$1001=B191)*1),0)</f>
        <v>0.770491803278689</v>
      </c>
      <c r="Q191" s="25" t="n">
        <f aca="false">(M191*Assumptions!$B$5+N191*Assumptions!$B$6+O191*Assumptions!$B$7+P191*Assumptions!$B$8)*L191</f>
        <v>0.607103825136612</v>
      </c>
      <c r="R191" s="24" t="n">
        <f aca="false">IFERROR(SUMPRODUCT(($B$2:$B$1001=B191)*($Q$2:$Q$1001&lt;=Q191))/SUMPRODUCT(($B$2:$B$1001=B191)*1),0)</f>
        <v>0.87431693989071</v>
      </c>
      <c r="S191" s="24" t="n">
        <f aca="false">IFERROR(SUMPRODUCT(($B$2:$B$1001=B191)*($K$2:$K$1001&lt;=K191))/SUMPRODUCT(($B$2:$B$1001=B191)*1),0)</f>
        <v>0.218579234972678</v>
      </c>
      <c r="T191" s="26" t="n">
        <f aca="false">(R191-S191)*100</f>
        <v>65.5737704918033</v>
      </c>
      <c r="U191" s="21" t="str">
        <f aca="false">'Player Data'!T191</f>
        <v>No</v>
      </c>
      <c r="V191" s="27" t="n">
        <f aca="false">'Player Data'!U191</f>
        <v>2028</v>
      </c>
      <c r="W191" s="21" t="str">
        <f aca="false">IF(AND(T191&gt;=Assumptions!$B$19,U191="No"),"High Priority - Unrepresented",IF(T191&gt;=Assumptions!$B$19,"High Priority",IF(AND(T191&gt;=Assumptions!$B$20,U191="No"),"Watchlist - Unrepresented",IF(T191&gt;=Assumptions!$B$20,"Watchlist",""))))</f>
        <v>High Priority - Unrepresented</v>
      </c>
      <c r="X191" s="21" t="str">
        <f aca="false">'Player Data'!V191</f>
        <v>info@davidtown.pa</v>
      </c>
      <c r="Y191" s="28" t="str">
        <f aca="false">'Player Data'!W191</f>
        <v>Club sporting director / first-team office</v>
      </c>
      <c r="Z191" s="28" t="str">
        <f aca="false">'Player Data'!X191</f>
        <v>FEPAFUT (Panamanian Football Federation) player registry</v>
      </c>
      <c r="AA191" s="19" t="str">
        <f aca="false">HYPERLINK("https://www.transfermarkt.com/schnellsuche/ergebnis/schnellsuche?query="&amp;SUBSTITUTE(A191," ","+"),"Search Transfermarkt")</f>
        <v>Search Transfermarkt</v>
      </c>
      <c r="AB191" s="29" t="n">
        <f aca="false">IFERROR('Player Data'!K191/('Player Data'!K191+'Player Data'!L191),0)</f>
        <v>0.714285714285714</v>
      </c>
      <c r="AC191" s="21" t="str">
        <f aca="false">IF(B191="GK",IF(AND(O191&gt;=Assumptions!$B$23,N191&gt;=Assumptions!$B$23),"Sweeper-Keeper / Build-from-the-Back",IF(O191&gt;=Assumptions!$B$23,"Sweeper-Keeper / High Line",IF(M191&gt;=Assumptions!$B$23,"Shot-Stopper / Traditional","Flexible / Multi-System"))),IF(AND(O191&gt;=Assumptions!$B$23,P191&gt;=Assumptions!$B$24),"High Press / Gegenpressing",IF(AND(N191&gt;=Assumptions!$B$23,AB191&gt;=Assumptions!$B$25),"Possession / Build-from-the-Back",IF(N191&gt;=Assumptions!$B$23,"Counter-Attack / Transition",IF(AND(O191&gt;=Assumptions!$B$23,N191&lt;Assumptions!$B$26),"Low Block / Park the Bus",IF(AND(B191="FW",M191&gt;=Assumptions!$B$23,N191&lt;Assumptions!$B$26),"Direct / Target Approach","Flexible / Multi-System"))))))</f>
        <v>Shot-Stopper / Traditional</v>
      </c>
      <c r="AD191" s="21" t="str">
        <f aca="false">'Player Data'!Y191</f>
        <v>2026-07-17</v>
      </c>
      <c r="AE191" s="21" t="str">
        <f aca="false">'Player Data'!Z191</f>
        <v>2026-07-17</v>
      </c>
      <c r="AF191" s="28" t="str">
        <f aca="false">IFERROR(INDEX(Assumptions!$B$30:$B$61,MATCH(C191,Assumptions!$A$30:$A$61,0)),"--")</f>
        <v>Mexico, United States</v>
      </c>
      <c r="AG191" s="30" t="str">
        <f aca="false">IF(R191&gt;=0.7,"Step-Up Candidate",IF(R191&gt;=0.4,"Lateral Move","Stay &amp; Develop"))</f>
        <v>Step-Up Candidate</v>
      </c>
    </row>
    <row r="192" customFormat="false" ht="23.85" hidden="false" customHeight="false" outlineLevel="0" collapsed="false">
      <c r="A192" s="21" t="str">
        <f aca="false">'Player Data'!A192</f>
        <v>Yuto Ito</v>
      </c>
      <c r="B192" s="21" t="str">
        <f aca="false">'Player Data'!F192</f>
        <v>MF</v>
      </c>
      <c r="C192" s="21" t="str">
        <f aca="false">'Player Data'!B192</f>
        <v>Japan</v>
      </c>
      <c r="D192" s="21" t="str">
        <f aca="false">'Player Data'!C192</f>
        <v>Japan Regional League</v>
      </c>
      <c r="E192" s="21" t="n">
        <f aca="false">'Player Data'!D192</f>
        <v>2</v>
      </c>
      <c r="F192" s="21" t="n">
        <f aca="false">'Player Data'!G192</f>
        <v>25</v>
      </c>
      <c r="G192" s="21" t="n">
        <f aca="false">'Player Data'!H192</f>
        <v>2445</v>
      </c>
      <c r="H192" s="22" t="n">
        <f aca="false">IF(B192="GK",IFERROR(('Player Data'!N192-1.5*'Player Data'!O192)/'Player Data'!H192*90,0),IFERROR(('Player Data'!I192+'Player Data'!J192)/'Player Data'!H192*90,0))</f>
        <v>0.662576687116564</v>
      </c>
      <c r="I192" s="22" t="n">
        <f aca="false">IF(B192="GK",'Player Data'!P192,IFERROR(('Player Data'!K192+'Player Data'!L192)/'Player Data'!H192*90,0))</f>
        <v>9.2760736196319</v>
      </c>
      <c r="J192" s="22" t="n">
        <f aca="false">IF(B192="GK",IFERROR('Player Data'!Q192/'Player Data'!H192*90,0),IFERROR('Player Data'!M192/'Player Data'!H192*90,0))</f>
        <v>2.09815950920245</v>
      </c>
      <c r="K192" s="23" t="n">
        <f aca="false">'Player Data'!S192</f>
        <v>33319</v>
      </c>
      <c r="L192" s="22" t="n">
        <f aca="false">INDEX(Assumptions!$B$13:$B$15,MATCH(E192,Assumptions!$A$13:$A$15,0))</f>
        <v>1</v>
      </c>
      <c r="M192" s="24" t="n">
        <f aca="false">IFERROR(SUMPRODUCT(($B$2:$B$1001=B192)*($H$2:$H$1001&lt;=H192))/SUMPRODUCT(($B$2:$B$1001=B192)*1),0)</f>
        <v>0.410774410774411</v>
      </c>
      <c r="N192" s="24" t="n">
        <f aca="false">IFERROR(SUMPRODUCT(($B$2:$B$1001=B192)*($I$2:$I$1001&lt;=I192))/SUMPRODUCT(($B$2:$B$1001=B192)*1),0)</f>
        <v>0.336700336700337</v>
      </c>
      <c r="O192" s="24" t="n">
        <f aca="false">IFERROR(SUMPRODUCT(($B$2:$B$1001=B192)*($J$2:$J$1001&lt;=J192))/SUMPRODUCT(($B$2:$B$1001=B192)*1),0)</f>
        <v>0.471380471380471</v>
      </c>
      <c r="P192" s="24" t="n">
        <f aca="false">IFERROR(SUMPRODUCT(($B$2:$B$1001=B192)*((0-$F$2:$F$1001)&lt;=(0-F192)))/SUMPRODUCT(($B$2:$B$1001=B192)*1),0)</f>
        <v>0.202020202020202</v>
      </c>
      <c r="Q192" s="25" t="n">
        <f aca="false">(M192*Assumptions!$B$5+N192*Assumptions!$B$6+O192*Assumptions!$B$7+P192*Assumptions!$B$8)*L192</f>
        <v>0.355218855218855</v>
      </c>
      <c r="R192" s="24" t="n">
        <f aca="false">IFERROR(SUMPRODUCT(($B$2:$B$1001=B192)*($Q$2:$Q$1001&lt;=Q192))/SUMPRODUCT(($B$2:$B$1001=B192)*1),0)</f>
        <v>0.346801346801347</v>
      </c>
      <c r="S192" s="24" t="n">
        <f aca="false">IFERROR(SUMPRODUCT(($B$2:$B$1001=B192)*($K$2:$K$1001&lt;=K192))/SUMPRODUCT(($B$2:$B$1001=B192)*1),0)</f>
        <v>0.34006734006734</v>
      </c>
      <c r="T192" s="26" t="n">
        <f aca="false">(R192-S192)*100</f>
        <v>0.67340067340067</v>
      </c>
      <c r="U192" s="21" t="str">
        <f aca="false">'Player Data'!T192</f>
        <v>No</v>
      </c>
      <c r="V192" s="27" t="n">
        <f aca="false">'Player Data'!U192</f>
        <v>2028</v>
      </c>
      <c r="W192" s="21" t="str">
        <f aca="false">IF(AND(T192&gt;=Assumptions!$B$19,U192="No"),"High Priority - Unrepresented",IF(T192&gt;=Assumptions!$B$19,"High Priority",IF(AND(T192&gt;=Assumptions!$B$20,U192="No"),"Watchlist - Unrepresented",IF(T192&gt;=Assumptions!$B$20,"Watchlist",""))))</f>
        <v/>
      </c>
      <c r="X192" s="21" t="str">
        <f aca="false">'Player Data'!V192</f>
        <v>info@nagoyawanderers.jp</v>
      </c>
      <c r="Y192" s="28" t="str">
        <f aca="false">'Player Data'!W192</f>
        <v>Club sporting director / first-team office</v>
      </c>
      <c r="Z192" s="28" t="str">
        <f aca="false">'Player Data'!X192</f>
        <v>JFA (Japan Football Association) player registry</v>
      </c>
      <c r="AA192" s="19" t="str">
        <f aca="false">HYPERLINK("https://www.transfermarkt.com/schnellsuche/ergebnis/schnellsuche?query="&amp;SUBSTITUTE(A192," ","+"),"Search Transfermarkt")</f>
        <v>Search Transfermarkt</v>
      </c>
      <c r="AB192" s="29" t="n">
        <f aca="false">IFERROR('Player Data'!K192/('Player Data'!K192+'Player Data'!L192),0)</f>
        <v>0.662698412698413</v>
      </c>
      <c r="AC192" s="21" t="str">
        <f aca="false">IF(B192="GK",IF(AND(O192&gt;=Assumptions!$B$23,N192&gt;=Assumptions!$B$23),"Sweeper-Keeper / Build-from-the-Back",IF(O192&gt;=Assumptions!$B$23,"Sweeper-Keeper / High Line",IF(M192&gt;=Assumptions!$B$23,"Shot-Stopper / Traditional","Flexible / Multi-System"))),IF(AND(O192&gt;=Assumptions!$B$23,P192&gt;=Assumptions!$B$24),"High Press / Gegenpressing",IF(AND(N192&gt;=Assumptions!$B$23,AB192&gt;=Assumptions!$B$25),"Possession / Build-from-the-Back",IF(N192&gt;=Assumptions!$B$23,"Counter-Attack / Transition",IF(AND(O192&gt;=Assumptions!$B$23,N192&lt;Assumptions!$B$26),"Low Block / Park the Bus",IF(AND(B192="FW",M192&gt;=Assumptions!$B$23,N192&lt;Assumptions!$B$26),"Direct / Target Approach","Flexible / Multi-System"))))))</f>
        <v>Flexible / Multi-System</v>
      </c>
      <c r="AD192" s="21" t="str">
        <f aca="false">'Player Data'!Y192</f>
        <v>2026-07-17</v>
      </c>
      <c r="AE192" s="21" t="str">
        <f aca="false">'Player Data'!Z192</f>
        <v>2026-07-17</v>
      </c>
      <c r="AF192" s="28" t="str">
        <f aca="false">IFERROR(INDEX(Assumptions!$B$30:$B$61,MATCH(C192,Assumptions!$A$30:$A$61,0)),"--")</f>
        <v>Belgium, Australia</v>
      </c>
      <c r="AG192" s="30" t="str">
        <f aca="false">IF(R192&gt;=0.7,"Step-Up Candidate",IF(R192&gt;=0.4,"Lateral Move","Stay &amp; Develop"))</f>
        <v>Stay &amp; Develop</v>
      </c>
    </row>
    <row r="193" customFormat="false" ht="23.85" hidden="false" customHeight="false" outlineLevel="0" collapsed="false">
      <c r="A193" s="21" t="str">
        <f aca="false">'Player Data'!A193</f>
        <v>Dusan Milic</v>
      </c>
      <c r="B193" s="21" t="str">
        <f aca="false">'Player Data'!F193</f>
        <v>MF</v>
      </c>
      <c r="C193" s="21" t="str">
        <f aca="false">'Player Data'!B193</f>
        <v>Serbia</v>
      </c>
      <c r="D193" s="21" t="str">
        <f aca="false">'Player Data'!C193</f>
        <v>Serbia Provincial League</v>
      </c>
      <c r="E193" s="21" t="n">
        <f aca="false">'Player Data'!D193</f>
        <v>3</v>
      </c>
      <c r="F193" s="21" t="n">
        <f aca="false">'Player Data'!G193</f>
        <v>22</v>
      </c>
      <c r="G193" s="21" t="n">
        <f aca="false">'Player Data'!H193</f>
        <v>1749</v>
      </c>
      <c r="H193" s="22" t="n">
        <f aca="false">IF(B193="GK",IFERROR(('Player Data'!N193-1.5*'Player Data'!O193)/'Player Data'!H193*90,0),IFERROR(('Player Data'!I193+'Player Data'!J193)/'Player Data'!H193*90,0))</f>
        <v>0.823327615780446</v>
      </c>
      <c r="I193" s="22" t="n">
        <f aca="false">IF(B193="GK",'Player Data'!P193,IFERROR(('Player Data'!K193+'Player Data'!L193)/'Player Data'!H193*90,0))</f>
        <v>11.7838765008576</v>
      </c>
      <c r="J193" s="22" t="n">
        <f aca="false">IF(B193="GK",IFERROR('Player Data'!Q193/'Player Data'!H193*90,0),IFERROR('Player Data'!M193/'Player Data'!H193*90,0))</f>
        <v>1.80102915951973</v>
      </c>
      <c r="K193" s="23" t="n">
        <f aca="false">'Player Data'!S193</f>
        <v>0</v>
      </c>
      <c r="L193" s="22" t="n">
        <f aca="false">INDEX(Assumptions!$B$13:$B$15,MATCH(E193,Assumptions!$A$13:$A$15,0))</f>
        <v>0.85</v>
      </c>
      <c r="M193" s="24" t="n">
        <f aca="false">IFERROR(SUMPRODUCT(($B$2:$B$1001=B193)*($H$2:$H$1001&lt;=H193))/SUMPRODUCT(($B$2:$B$1001=B193)*1),0)</f>
        <v>0.622895622895623</v>
      </c>
      <c r="N193" s="24" t="n">
        <f aca="false">IFERROR(SUMPRODUCT(($B$2:$B$1001=B193)*($I$2:$I$1001&lt;=I193))/SUMPRODUCT(($B$2:$B$1001=B193)*1),0)</f>
        <v>0.569023569023569</v>
      </c>
      <c r="O193" s="24" t="n">
        <f aca="false">IFERROR(SUMPRODUCT(($B$2:$B$1001=B193)*($J$2:$J$1001&lt;=J193))/SUMPRODUCT(($B$2:$B$1001=B193)*1),0)</f>
        <v>0.326599326599327</v>
      </c>
      <c r="P193" s="24" t="n">
        <f aca="false">IFERROR(SUMPRODUCT(($B$2:$B$1001=B193)*((0-$F$2:$F$1001)&lt;=(0-F193)))/SUMPRODUCT(($B$2:$B$1001=B193)*1),0)</f>
        <v>0.515151515151515</v>
      </c>
      <c r="Q193" s="25" t="n">
        <f aca="false">(M193*Assumptions!$B$5+N193*Assumptions!$B$6+O193*Assumptions!$B$7+P193*Assumptions!$B$8)*L193</f>
        <v>0.444747474747475</v>
      </c>
      <c r="R193" s="24" t="n">
        <f aca="false">IFERROR(SUMPRODUCT(($B$2:$B$1001=B193)*($Q$2:$Q$1001&lt;=Q193))/SUMPRODUCT(($B$2:$B$1001=B193)*1),0)</f>
        <v>0.525252525252525</v>
      </c>
      <c r="S193" s="24" t="n">
        <f aca="false">IFERROR(SUMPRODUCT(($B$2:$B$1001=B193)*($K$2:$K$1001&lt;=K193))/SUMPRODUCT(($B$2:$B$1001=B193)*1),0)</f>
        <v>0.228956228956229</v>
      </c>
      <c r="T193" s="26" t="n">
        <f aca="false">(R193-S193)*100</f>
        <v>29.6296296296296</v>
      </c>
      <c r="U193" s="21" t="str">
        <f aca="false">'Player Data'!T193</f>
        <v>No</v>
      </c>
      <c r="V193" s="27" t="n">
        <f aca="false">'Player Data'!U193</f>
        <v>2029</v>
      </c>
      <c r="W193" s="21" t="str">
        <f aca="false">IF(AND(T193&gt;=Assumptions!$B$19,U193="No"),"High Priority - Unrepresented",IF(T193&gt;=Assumptions!$B$19,"High Priority",IF(AND(T193&gt;=Assumptions!$B$20,U193="No"),"Watchlist - Unrepresented",IF(T193&gt;=Assumptions!$B$20,"Watchlist",""))))</f>
        <v>Watchlist - Unrepresented</v>
      </c>
      <c r="X193" s="21" t="str">
        <f aca="false">'Player Data'!V193</f>
        <v>info@dobanovciwanderers.rs</v>
      </c>
      <c r="Y193" s="28" t="str">
        <f aca="false">'Player Data'!W193</f>
        <v>Club sporting director / first-team office</v>
      </c>
      <c r="Z193" s="28" t="str">
        <f aca="false">'Player Data'!X193</f>
        <v>FSS (Football Association of Serbia) player registry</v>
      </c>
      <c r="AA193" s="19" t="str">
        <f aca="false">HYPERLINK("https://www.transfermarkt.com/schnellsuche/ergebnis/schnellsuche?query="&amp;SUBSTITUTE(A193," ","+"),"Search Transfermarkt")</f>
        <v>Search Transfermarkt</v>
      </c>
      <c r="AB193" s="29" t="n">
        <f aca="false">IFERROR('Player Data'!K193/('Player Data'!K193+'Player Data'!L193),0)</f>
        <v>0.655021834061135</v>
      </c>
      <c r="AC193" s="21" t="str">
        <f aca="false">IF(B193="GK",IF(AND(O193&gt;=Assumptions!$B$23,N193&gt;=Assumptions!$B$23),"Sweeper-Keeper / Build-from-the-Back",IF(O193&gt;=Assumptions!$B$23,"Sweeper-Keeper / High Line",IF(M193&gt;=Assumptions!$B$23,"Shot-Stopper / Traditional","Flexible / Multi-System"))),IF(AND(O193&gt;=Assumptions!$B$23,P193&gt;=Assumptions!$B$24),"High Press / Gegenpressing",IF(AND(N193&gt;=Assumptions!$B$23,AB193&gt;=Assumptions!$B$25),"Possession / Build-from-the-Back",IF(N193&gt;=Assumptions!$B$23,"Counter-Attack / Transition",IF(AND(O193&gt;=Assumptions!$B$23,N193&lt;Assumptions!$B$26),"Low Block / Park the Bus",IF(AND(B193="FW",M193&gt;=Assumptions!$B$23,N193&lt;Assumptions!$B$26),"Direct / Target Approach","Flexible / Multi-System"))))))</f>
        <v>Flexible / Multi-System</v>
      </c>
      <c r="AD193" s="21" t="str">
        <f aca="false">'Player Data'!Y193</f>
        <v>2026-07-17</v>
      </c>
      <c r="AE193" s="21" t="str">
        <f aca="false">'Player Data'!Z193</f>
        <v>2026-07-17</v>
      </c>
      <c r="AF193" s="28" t="str">
        <f aca="false">IFERROR(INDEX(Assumptions!$B$30:$B$61,MATCH(C193,Assumptions!$A$30:$A$61,0)),"--")</f>
        <v>Austria, Turkey</v>
      </c>
      <c r="AG193" s="30" t="str">
        <f aca="false">IF(R193&gt;=0.7,"Step-Up Candidate",IF(R193&gt;=0.4,"Lateral Move","Stay &amp; Develop"))</f>
        <v>Lateral Move</v>
      </c>
    </row>
    <row r="194" customFormat="false" ht="23.85" hidden="false" customHeight="false" outlineLevel="0" collapsed="false">
      <c r="A194" s="21" t="str">
        <f aca="false">'Player Data'!A194</f>
        <v>Ethan Taylor</v>
      </c>
      <c r="B194" s="21" t="str">
        <f aca="false">'Player Data'!F194</f>
        <v>FW</v>
      </c>
      <c r="C194" s="21" t="str">
        <f aca="false">'Player Data'!B194</f>
        <v>New Zealand</v>
      </c>
      <c r="D194" s="21" t="str">
        <f aca="false">'Player Data'!C194</f>
        <v>New Zealand Third Tier - North</v>
      </c>
      <c r="E194" s="21" t="n">
        <f aca="false">'Player Data'!D194</f>
        <v>2</v>
      </c>
      <c r="F194" s="21" t="n">
        <f aca="false">'Player Data'!G194</f>
        <v>26</v>
      </c>
      <c r="G194" s="21" t="n">
        <f aca="false">'Player Data'!H194</f>
        <v>2487</v>
      </c>
      <c r="H194" s="22" t="n">
        <f aca="false">IF(B194="GK",IFERROR(('Player Data'!N194-1.5*'Player Data'!O194)/'Player Data'!H194*90,0),IFERROR(('Player Data'!I194+'Player Data'!J194)/'Player Data'!H194*90,0))</f>
        <v>0.687575392038601</v>
      </c>
      <c r="I194" s="22" t="n">
        <f aca="false">IF(B194="GK",'Player Data'!P194,IFERROR(('Player Data'!K194+'Player Data'!L194)/'Player Data'!H194*90,0))</f>
        <v>5.03015681544029</v>
      </c>
      <c r="J194" s="22" t="n">
        <f aca="false">IF(B194="GK",IFERROR('Player Data'!Q194/'Player Data'!H194*90,0),IFERROR('Player Data'!M194/'Player Data'!H194*90,0))</f>
        <v>0.579010856453559</v>
      </c>
      <c r="K194" s="23" t="n">
        <f aca="false">'Player Data'!S194</f>
        <v>61946</v>
      </c>
      <c r="L194" s="22" t="n">
        <f aca="false">INDEX(Assumptions!$B$13:$B$15,MATCH(E194,Assumptions!$A$13:$A$15,0))</f>
        <v>1</v>
      </c>
      <c r="M194" s="24" t="n">
        <f aca="false">IFERROR(SUMPRODUCT(($B$2:$B$1001=B194)*($H$2:$H$1001&lt;=H194))/SUMPRODUCT(($B$2:$B$1001=B194)*1),0)</f>
        <v>0.225663716814159</v>
      </c>
      <c r="N194" s="24" t="n">
        <f aca="false">IFERROR(SUMPRODUCT(($B$2:$B$1001=B194)*($I$2:$I$1001&lt;=I194))/SUMPRODUCT(($B$2:$B$1001=B194)*1),0)</f>
        <v>0.234513274336283</v>
      </c>
      <c r="O194" s="24" t="n">
        <f aca="false">IFERROR(SUMPRODUCT(($B$2:$B$1001=B194)*($J$2:$J$1001&lt;=J194))/SUMPRODUCT(($B$2:$B$1001=B194)*1),0)</f>
        <v>0.606194690265487</v>
      </c>
      <c r="P194" s="24" t="n">
        <f aca="false">IFERROR(SUMPRODUCT(($B$2:$B$1001=B194)*((0-$F$2:$F$1001)&lt;=(0-F194)))/SUMPRODUCT(($B$2:$B$1001=B194)*1),0)</f>
        <v>0.0929203539823009</v>
      </c>
      <c r="Q194" s="25" t="n">
        <f aca="false">(M194*Assumptions!$B$5+N194*Assumptions!$B$6+O194*Assumptions!$B$7+P194*Assumptions!$B$8)*L194</f>
        <v>0.278318584070796</v>
      </c>
      <c r="R194" s="24" t="n">
        <f aca="false">IFERROR(SUMPRODUCT(($B$2:$B$1001=B194)*($Q$2:$Q$1001&lt;=Q194))/SUMPRODUCT(($B$2:$B$1001=B194)*1),0)</f>
        <v>0.243362831858407</v>
      </c>
      <c r="S194" s="24" t="n">
        <f aca="false">IFERROR(SUMPRODUCT(($B$2:$B$1001=B194)*($K$2:$K$1001&lt;=K194))/SUMPRODUCT(($B$2:$B$1001=B194)*1),0)</f>
        <v>0.513274336283186</v>
      </c>
      <c r="T194" s="26" t="n">
        <f aca="false">(R194-S194)*100</f>
        <v>-26.9911504424779</v>
      </c>
      <c r="U194" s="21" t="str">
        <f aca="false">'Player Data'!T194</f>
        <v>No</v>
      </c>
      <c r="V194" s="27" t="n">
        <f aca="false">'Player Data'!U194</f>
        <v>2028</v>
      </c>
      <c r="W194" s="21" t="str">
        <f aca="false">IF(AND(T194&gt;=Assumptions!$B$19,U194="No"),"High Priority - Unrepresented",IF(T194&gt;=Assumptions!$B$19,"High Priority",IF(AND(T194&gt;=Assumptions!$B$20,U194="No"),"Watchlist - Unrepresented",IF(T194&gt;=Assumptions!$B$20,"Watchlist",""))))</f>
        <v/>
      </c>
      <c r="X194" s="21" t="str">
        <f aca="false">'Player Data'!V194</f>
        <v>info@hamiltonfc.nz</v>
      </c>
      <c r="Y194" s="28" t="str">
        <f aca="false">'Player Data'!W194</f>
        <v>Club sporting director / first-team office</v>
      </c>
      <c r="Z194" s="28" t="str">
        <f aca="false">'Player Data'!X194</f>
        <v>NZF (New Zealand Football) player registry</v>
      </c>
      <c r="AA194" s="19" t="str">
        <f aca="false">HYPERLINK("https://www.transfermarkt.com/schnellsuche/ergebnis/schnellsuche?query="&amp;SUBSTITUTE(A194," ","+"),"Search Transfermarkt")</f>
        <v>Search Transfermarkt</v>
      </c>
      <c r="AB194" s="29" t="n">
        <f aca="false">IFERROR('Player Data'!K194/('Player Data'!K194+'Player Data'!L194),0)</f>
        <v>0.37410071942446</v>
      </c>
      <c r="AC194" s="21" t="str">
        <f aca="false">IF(B194="GK",IF(AND(O194&gt;=Assumptions!$B$23,N194&gt;=Assumptions!$B$23),"Sweeper-Keeper / Build-from-the-Back",IF(O194&gt;=Assumptions!$B$23,"Sweeper-Keeper / High Line",IF(M194&gt;=Assumptions!$B$23,"Shot-Stopper / Traditional","Flexible / Multi-System"))),IF(AND(O194&gt;=Assumptions!$B$23,P194&gt;=Assumptions!$B$24),"High Press / Gegenpressing",IF(AND(N194&gt;=Assumptions!$B$23,AB194&gt;=Assumptions!$B$25),"Possession / Build-from-the-Back",IF(N194&gt;=Assumptions!$B$23,"Counter-Attack / Transition",IF(AND(O194&gt;=Assumptions!$B$23,N194&lt;Assumptions!$B$26),"Low Block / Park the Bus",IF(AND(B194="FW",M194&gt;=Assumptions!$B$23,N194&lt;Assumptions!$B$26),"Direct / Target Approach","Flexible / Multi-System"))))))</f>
        <v>Flexible / Multi-System</v>
      </c>
      <c r="AD194" s="21" t="str">
        <f aca="false">'Player Data'!Y194</f>
        <v>2026-07-17</v>
      </c>
      <c r="AE194" s="21" t="str">
        <f aca="false">'Player Data'!Z194</f>
        <v>2026-07-17</v>
      </c>
      <c r="AF194" s="28" t="str">
        <f aca="false">IFERROR(INDEX(Assumptions!$B$30:$B$61,MATCH(C194,Assumptions!$A$30:$A$61,0)),"--")</f>
        <v>Australia, United States</v>
      </c>
      <c r="AG194" s="30" t="str">
        <f aca="false">IF(R194&gt;=0.7,"Step-Up Candidate",IF(R194&gt;=0.4,"Lateral Move","Stay &amp; Develop"))</f>
        <v>Stay &amp; Develop</v>
      </c>
    </row>
    <row r="195" customFormat="false" ht="23.85" hidden="false" customHeight="false" outlineLevel="0" collapsed="false">
      <c r="A195" s="21" t="str">
        <f aca="false">'Player Data'!A195</f>
        <v>Saba Kiknadze</v>
      </c>
      <c r="B195" s="21" t="str">
        <f aca="false">'Player Data'!F195</f>
        <v>DF</v>
      </c>
      <c r="C195" s="21" t="str">
        <f aca="false">'Player Data'!B195</f>
        <v>Georgia</v>
      </c>
      <c r="D195" s="21" t="str">
        <f aca="false">'Player Data'!C195</f>
        <v>Georgia Second Division - East</v>
      </c>
      <c r="E195" s="21" t="n">
        <f aca="false">'Player Data'!D195</f>
        <v>2</v>
      </c>
      <c r="F195" s="21" t="n">
        <f aca="false">'Player Data'!G195</f>
        <v>17</v>
      </c>
      <c r="G195" s="21" t="n">
        <f aca="false">'Player Data'!H195</f>
        <v>2168</v>
      </c>
      <c r="H195" s="22" t="n">
        <f aca="false">IF(B195="GK",IFERROR(('Player Data'!N195-1.5*'Player Data'!O195)/'Player Data'!H195*90,0),IFERROR(('Player Data'!I195+'Player Data'!J195)/'Player Data'!H195*90,0))</f>
        <v>0</v>
      </c>
      <c r="I195" s="22" t="n">
        <f aca="false">IF(B195="GK",'Player Data'!P195,IFERROR(('Player Data'!K195+'Player Data'!L195)/'Player Data'!H195*90,0))</f>
        <v>3.90221402214022</v>
      </c>
      <c r="J195" s="22" t="n">
        <f aca="false">IF(B195="GK",IFERROR('Player Data'!Q195/'Player Data'!H195*90,0),IFERROR('Player Data'!M195/'Player Data'!H195*90,0))</f>
        <v>4.15129151291513</v>
      </c>
      <c r="K195" s="23" t="n">
        <f aca="false">'Player Data'!S195</f>
        <v>40369</v>
      </c>
      <c r="L195" s="22" t="n">
        <f aca="false">INDEX(Assumptions!$B$13:$B$15,MATCH(E195,Assumptions!$A$13:$A$15,0))</f>
        <v>1</v>
      </c>
      <c r="M195" s="24" t="n">
        <f aca="false">IFERROR(SUMPRODUCT(($B$2:$B$1001=B195)*($H$2:$H$1001&lt;=H195))/SUMPRODUCT(($B$2:$B$1001=B195)*1),0)</f>
        <v>0.0408163265306122</v>
      </c>
      <c r="N195" s="24" t="n">
        <f aca="false">IFERROR(SUMPRODUCT(($B$2:$B$1001=B195)*($I$2:$I$1001&lt;=I195))/SUMPRODUCT(($B$2:$B$1001=B195)*1),0)</f>
        <v>0.374149659863946</v>
      </c>
      <c r="O195" s="24" t="n">
        <f aca="false">IFERROR(SUMPRODUCT(($B$2:$B$1001=B195)*($J$2:$J$1001&lt;=J195))/SUMPRODUCT(($B$2:$B$1001=B195)*1),0)</f>
        <v>0.268707482993197</v>
      </c>
      <c r="P195" s="24" t="n">
        <f aca="false">IFERROR(SUMPRODUCT(($B$2:$B$1001=B195)*((0-$F$2:$F$1001)&lt;=(0-F195)))/SUMPRODUCT(($B$2:$B$1001=B195)*1),0)</f>
        <v>1</v>
      </c>
      <c r="Q195" s="25" t="n">
        <f aca="false">(M195*Assumptions!$B$5+N195*Assumptions!$B$6+O195*Assumptions!$B$7+P195*Assumptions!$B$8)*L195</f>
        <v>0.394897959183674</v>
      </c>
      <c r="R195" s="24" t="n">
        <f aca="false">IFERROR(SUMPRODUCT(($B$2:$B$1001=B195)*($Q$2:$Q$1001&lt;=Q195))/SUMPRODUCT(($B$2:$B$1001=B195)*1),0)</f>
        <v>0.448979591836735</v>
      </c>
      <c r="S195" s="24" t="n">
        <f aca="false">IFERROR(SUMPRODUCT(($B$2:$B$1001=B195)*($K$2:$K$1001&lt;=K195))/SUMPRODUCT(($B$2:$B$1001=B195)*1),0)</f>
        <v>0.391156462585034</v>
      </c>
      <c r="T195" s="26" t="n">
        <f aca="false">(R195-S195)*100</f>
        <v>5.78231292517007</v>
      </c>
      <c r="U195" s="21" t="str">
        <f aca="false">'Player Data'!T195</f>
        <v>No</v>
      </c>
      <c r="V195" s="27" t="n">
        <f aca="false">'Player Data'!U195</f>
        <v>2029</v>
      </c>
      <c r="W195" s="21" t="str">
        <f aca="false">IF(AND(T195&gt;=Assumptions!$B$19,U195="No"),"High Priority - Unrepresented",IF(T195&gt;=Assumptions!$B$19,"High Priority",IF(AND(T195&gt;=Assumptions!$B$20,U195="No"),"Watchlist - Unrepresented",IF(T195&gt;=Assumptions!$B$20,"Watchlist",""))))</f>
        <v/>
      </c>
      <c r="X195" s="21" t="str">
        <f aca="false">'Player Data'!V195</f>
        <v>info@tbilisiathletic.ge</v>
      </c>
      <c r="Y195" s="28" t="str">
        <f aca="false">'Player Data'!W195</f>
        <v>Club youth/academy office ONLY - player is a minor, do not contact directly</v>
      </c>
      <c r="Z195" s="28" t="str">
        <f aca="false">'Player Data'!X195</f>
        <v>GFF (Georgian Football Federation) player registry</v>
      </c>
      <c r="AA195" s="19" t="str">
        <f aca="false">HYPERLINK("https://www.transfermarkt.com/schnellsuche/ergebnis/schnellsuche?query="&amp;SUBSTITUTE(A195," ","+"),"Search Transfermarkt")</f>
        <v>Search Transfermarkt</v>
      </c>
      <c r="AB195" s="29" t="n">
        <f aca="false">IFERROR('Player Data'!K195/('Player Data'!K195+'Player Data'!L195),0)</f>
        <v>0.617021276595745</v>
      </c>
      <c r="AC195" s="21" t="str">
        <f aca="false">IF(B195="GK",IF(AND(O195&gt;=Assumptions!$B$23,N195&gt;=Assumptions!$B$23),"Sweeper-Keeper / Build-from-the-Back",IF(O195&gt;=Assumptions!$B$23,"Sweeper-Keeper / High Line",IF(M195&gt;=Assumptions!$B$23,"Shot-Stopper / Traditional","Flexible / Multi-System"))),IF(AND(O195&gt;=Assumptions!$B$23,P195&gt;=Assumptions!$B$24),"High Press / Gegenpressing",IF(AND(N195&gt;=Assumptions!$B$23,AB195&gt;=Assumptions!$B$25),"Possession / Build-from-the-Back",IF(N195&gt;=Assumptions!$B$23,"Counter-Attack / Transition",IF(AND(O195&gt;=Assumptions!$B$23,N195&lt;Assumptions!$B$26),"Low Block / Park the Bus",IF(AND(B195="FW",M195&gt;=Assumptions!$B$23,N195&lt;Assumptions!$B$26),"Direct / Target Approach","Flexible / Multi-System"))))))</f>
        <v>Flexible / Multi-System</v>
      </c>
      <c r="AD195" s="21" t="str">
        <f aca="false">'Player Data'!Y195</f>
        <v>2026-07-17</v>
      </c>
      <c r="AE195" s="21" t="str">
        <f aca="false">'Player Data'!Z195</f>
        <v>2026-07-17</v>
      </c>
      <c r="AF195" s="28" t="str">
        <f aca="false">IFERROR(INDEX(Assumptions!$B$30:$B$61,MATCH(C195,Assumptions!$A$30:$A$61,0)),"--")</f>
        <v>Turkey, Poland</v>
      </c>
      <c r="AG195" s="30" t="str">
        <f aca="false">IF(R195&gt;=0.7,"Step-Up Candidate",IF(R195&gt;=0.4,"Lateral Move","Stay &amp; Develop"))</f>
        <v>Lateral Move</v>
      </c>
    </row>
    <row r="196" customFormat="false" ht="23.85" hidden="false" customHeight="false" outlineLevel="0" collapsed="false">
      <c r="A196" s="21" t="str">
        <f aca="false">'Player Data'!A196</f>
        <v>Modibo Camara</v>
      </c>
      <c r="B196" s="21" t="str">
        <f aca="false">'Player Data'!F196</f>
        <v>DF</v>
      </c>
      <c r="C196" s="21" t="str">
        <f aca="false">'Player Data'!B196</f>
        <v>Mali</v>
      </c>
      <c r="D196" s="21" t="str">
        <f aca="false">'Player Data'!C196</f>
        <v>Mali Amateur League</v>
      </c>
      <c r="E196" s="21" t="n">
        <f aca="false">'Player Data'!D196</f>
        <v>4</v>
      </c>
      <c r="F196" s="21" t="n">
        <f aca="false">'Player Data'!G196</f>
        <v>24</v>
      </c>
      <c r="G196" s="21" t="n">
        <f aca="false">'Player Data'!H196</f>
        <v>2082</v>
      </c>
      <c r="H196" s="22" t="n">
        <f aca="false">IF(B196="GK",IFERROR(('Player Data'!N196-1.5*'Player Data'!O196)/'Player Data'!H196*90,0),IFERROR(('Player Data'!I196+'Player Data'!J196)/'Player Data'!H196*90,0))</f>
        <v>0.129682997118156</v>
      </c>
      <c r="I196" s="22" t="n">
        <f aca="false">IF(B196="GK",'Player Data'!P196,IFERROR(('Player Data'!K196+'Player Data'!L196)/'Player Data'!H196*90,0))</f>
        <v>4.32276657060519</v>
      </c>
      <c r="J196" s="22" t="n">
        <f aca="false">IF(B196="GK",IFERROR('Player Data'!Q196/'Player Data'!H196*90,0),IFERROR('Player Data'!M196/'Player Data'!H196*90,0))</f>
        <v>4.10662824207493</v>
      </c>
      <c r="K196" s="23" t="n">
        <f aca="false">'Player Data'!S196</f>
        <v>22663</v>
      </c>
      <c r="L196" s="22" t="n">
        <f aca="false">INDEX(Assumptions!$B$13:$B$15,MATCH(E196,Assumptions!$A$13:$A$15,0))</f>
        <v>0.7</v>
      </c>
      <c r="M196" s="24" t="n">
        <f aca="false">IFERROR(SUMPRODUCT(($B$2:$B$1001=B196)*($H$2:$H$1001&lt;=H196))/SUMPRODUCT(($B$2:$B$1001=B196)*1),0)</f>
        <v>0.292517006802721</v>
      </c>
      <c r="N196" s="24" t="n">
        <f aca="false">IFERROR(SUMPRODUCT(($B$2:$B$1001=B196)*($I$2:$I$1001&lt;=I196))/SUMPRODUCT(($B$2:$B$1001=B196)*1),0)</f>
        <v>0.462585034013605</v>
      </c>
      <c r="O196" s="24" t="n">
        <f aca="false">IFERROR(SUMPRODUCT(($B$2:$B$1001=B196)*($J$2:$J$1001&lt;=J196))/SUMPRODUCT(($B$2:$B$1001=B196)*1),0)</f>
        <v>0.255102040816327</v>
      </c>
      <c r="P196" s="24" t="n">
        <f aca="false">IFERROR(SUMPRODUCT(($B$2:$B$1001=B196)*((0-$F$2:$F$1001)&lt;=(0-F196)))/SUMPRODUCT(($B$2:$B$1001=B196)*1),0)</f>
        <v>0.275510204081633</v>
      </c>
      <c r="Q196" s="25" t="n">
        <f aca="false">(M196*Assumptions!$B$5+N196*Assumptions!$B$6+O196*Assumptions!$B$7+P196*Assumptions!$B$8)*L196</f>
        <v>0.238809523809524</v>
      </c>
      <c r="R196" s="24" t="n">
        <f aca="false">IFERROR(SUMPRODUCT(($B$2:$B$1001=B196)*($Q$2:$Q$1001&lt;=Q196))/SUMPRODUCT(($B$2:$B$1001=B196)*1),0)</f>
        <v>0.13265306122449</v>
      </c>
      <c r="S196" s="24" t="n">
        <f aca="false">IFERROR(SUMPRODUCT(($B$2:$B$1001=B196)*($K$2:$K$1001&lt;=K196))/SUMPRODUCT(($B$2:$B$1001=B196)*1),0)</f>
        <v>0.316326530612245</v>
      </c>
      <c r="T196" s="26" t="n">
        <f aca="false">(R196-S196)*100</f>
        <v>-18.3673469387755</v>
      </c>
      <c r="U196" s="21" t="str">
        <f aca="false">'Player Data'!T196</f>
        <v>No</v>
      </c>
      <c r="V196" s="27" t="n">
        <f aca="false">'Player Data'!U196</f>
        <v>2028</v>
      </c>
      <c r="W196" s="21" t="str">
        <f aca="false">IF(AND(T196&gt;=Assumptions!$B$19,U196="No"),"High Priority - Unrepresented",IF(T196&gt;=Assumptions!$B$19,"High Priority",IF(AND(T196&gt;=Assumptions!$B$20,U196="No"),"Watchlist - Unrepresented",IF(T196&gt;=Assumptions!$B$20,"Watchlist",""))))</f>
        <v/>
      </c>
      <c r="X196" s="21" t="str">
        <f aca="false">'Player Data'!V196</f>
        <v>info@moptitown.ml</v>
      </c>
      <c r="Y196" s="28" t="str">
        <f aca="false">'Player Data'!W196</f>
        <v>Club sporting director / first-team office</v>
      </c>
      <c r="Z196" s="28" t="str">
        <f aca="false">'Player Data'!X196</f>
        <v>FEMAFOOT (Malian Football Federation) player registry</v>
      </c>
      <c r="AA196" s="19" t="str">
        <f aca="false">HYPERLINK("https://www.transfermarkt.com/schnellsuche/ergebnis/schnellsuche?query="&amp;SUBSTITUTE(A196," ","+"),"Search Transfermarkt")</f>
        <v>Search Transfermarkt</v>
      </c>
      <c r="AB196" s="29" t="n">
        <f aca="false">IFERROR('Player Data'!K196/('Player Data'!K196+'Player Data'!L196),0)</f>
        <v>0.57</v>
      </c>
      <c r="AC196" s="21" t="str">
        <f aca="false">IF(B196="GK",IF(AND(O196&gt;=Assumptions!$B$23,N196&gt;=Assumptions!$B$23),"Sweeper-Keeper / Build-from-the-Back",IF(O196&gt;=Assumptions!$B$23,"Sweeper-Keeper / High Line",IF(M196&gt;=Assumptions!$B$23,"Shot-Stopper / Traditional","Flexible / Multi-System"))),IF(AND(O196&gt;=Assumptions!$B$23,P196&gt;=Assumptions!$B$24),"High Press / Gegenpressing",IF(AND(N196&gt;=Assumptions!$B$23,AB196&gt;=Assumptions!$B$25),"Possession / Build-from-the-Back",IF(N196&gt;=Assumptions!$B$23,"Counter-Attack / Transition",IF(AND(O196&gt;=Assumptions!$B$23,N196&lt;Assumptions!$B$26),"Low Block / Park the Bus",IF(AND(B196="FW",M196&gt;=Assumptions!$B$23,N196&lt;Assumptions!$B$26),"Direct / Target Approach","Flexible / Multi-System"))))))</f>
        <v>Flexible / Multi-System</v>
      </c>
      <c r="AD196" s="21" t="str">
        <f aca="false">'Player Data'!Y196</f>
        <v>2026-07-17</v>
      </c>
      <c r="AE196" s="21" t="str">
        <f aca="false">'Player Data'!Z196</f>
        <v>2026-07-17</v>
      </c>
      <c r="AF196" s="28" t="str">
        <f aca="false">IFERROR(INDEX(Assumptions!$B$30:$B$61,MATCH(C196,Assumptions!$A$30:$A$61,0)),"--")</f>
        <v>Belgium, Portugal</v>
      </c>
      <c r="AG196" s="30" t="str">
        <f aca="false">IF(R196&gt;=0.7,"Step-Up Candidate",IF(R196&gt;=0.4,"Lateral Move","Stay &amp; Develop"))</f>
        <v>Stay &amp; Develop</v>
      </c>
    </row>
    <row r="197" customFormat="false" ht="23.85" hidden="false" customHeight="false" outlineLevel="0" collapsed="false">
      <c r="A197" s="21" t="str">
        <f aca="false">'Player Data'!A197</f>
        <v>Cole Mitchell</v>
      </c>
      <c r="B197" s="21" t="str">
        <f aca="false">'Player Data'!F197</f>
        <v>FW</v>
      </c>
      <c r="C197" s="21" t="str">
        <f aca="false">'Player Data'!B197</f>
        <v>New Zealand</v>
      </c>
      <c r="D197" s="21" t="str">
        <f aca="false">'Player Data'!C197</f>
        <v>New Zealand Second Division - West</v>
      </c>
      <c r="E197" s="21" t="n">
        <f aca="false">'Player Data'!D197</f>
        <v>2</v>
      </c>
      <c r="F197" s="21" t="n">
        <f aca="false">'Player Data'!G197</f>
        <v>26</v>
      </c>
      <c r="G197" s="21" t="n">
        <f aca="false">'Player Data'!H197</f>
        <v>2568</v>
      </c>
      <c r="H197" s="22" t="n">
        <f aca="false">IF(B197="GK",IFERROR(('Player Data'!N197-1.5*'Player Data'!O197)/'Player Data'!H197*90,0),IFERROR(('Player Data'!I197+'Player Data'!J197)/'Player Data'!H197*90,0))</f>
        <v>0.525700934579439</v>
      </c>
      <c r="I197" s="22" t="n">
        <f aca="false">IF(B197="GK",'Player Data'!P197,IFERROR(('Player Data'!K197+'Player Data'!L197)/'Player Data'!H197*90,0))</f>
        <v>4.3107476635514</v>
      </c>
      <c r="J197" s="22" t="n">
        <f aca="false">IF(B197="GK",IFERROR('Player Data'!Q197/'Player Data'!H197*90,0),IFERROR('Player Data'!M197/'Player Data'!H197*90,0))</f>
        <v>0.560747663551402</v>
      </c>
      <c r="K197" s="23" t="n">
        <f aca="false">'Player Data'!S197</f>
        <v>142783</v>
      </c>
      <c r="L197" s="22" t="n">
        <f aca="false">INDEX(Assumptions!$B$13:$B$15,MATCH(E197,Assumptions!$A$13:$A$15,0))</f>
        <v>1</v>
      </c>
      <c r="M197" s="24" t="n">
        <f aca="false">IFERROR(SUMPRODUCT(($B$2:$B$1001=B197)*($H$2:$H$1001&lt;=H197))/SUMPRODUCT(($B$2:$B$1001=B197)*1),0)</f>
        <v>0.115044247787611</v>
      </c>
      <c r="N197" s="24" t="n">
        <f aca="false">IFERROR(SUMPRODUCT(($B$2:$B$1001=B197)*($I$2:$I$1001&lt;=I197))/SUMPRODUCT(($B$2:$B$1001=B197)*1),0)</f>
        <v>0.084070796460177</v>
      </c>
      <c r="O197" s="24" t="n">
        <f aca="false">IFERROR(SUMPRODUCT(($B$2:$B$1001=B197)*($J$2:$J$1001&lt;=J197))/SUMPRODUCT(($B$2:$B$1001=B197)*1),0)</f>
        <v>0.584070796460177</v>
      </c>
      <c r="P197" s="24" t="n">
        <f aca="false">IFERROR(SUMPRODUCT(($B$2:$B$1001=B197)*((0-$F$2:$F$1001)&lt;=(0-F197)))/SUMPRODUCT(($B$2:$B$1001=B197)*1),0)</f>
        <v>0.0929203539823009</v>
      </c>
      <c r="Q197" s="25" t="n">
        <f aca="false">(M197*Assumptions!$B$5+N197*Assumptions!$B$6+O197*Assumptions!$B$7+P197*Assumptions!$B$8)*L197</f>
        <v>0.19358407079646</v>
      </c>
      <c r="R197" s="24" t="n">
        <f aca="false">IFERROR(SUMPRODUCT(($B$2:$B$1001=B197)*($Q$2:$Q$1001&lt;=Q197))/SUMPRODUCT(($B$2:$B$1001=B197)*1),0)</f>
        <v>0.0707964601769912</v>
      </c>
      <c r="S197" s="24" t="n">
        <f aca="false">IFERROR(SUMPRODUCT(($B$2:$B$1001=B197)*($K$2:$K$1001&lt;=K197))/SUMPRODUCT(($B$2:$B$1001=B197)*1),0)</f>
        <v>0.960176991150443</v>
      </c>
      <c r="T197" s="26" t="n">
        <f aca="false">(R197-S197)*100</f>
        <v>-88.9380530973451</v>
      </c>
      <c r="U197" s="21" t="str">
        <f aca="false">'Player Data'!T197</f>
        <v>No</v>
      </c>
      <c r="V197" s="27" t="n">
        <f aca="false">'Player Data'!U197</f>
        <v>2028</v>
      </c>
      <c r="W197" s="21" t="str">
        <f aca="false">IF(AND(T197&gt;=Assumptions!$B$19,U197="No"),"High Priority - Unrepresented",IF(T197&gt;=Assumptions!$B$19,"High Priority",IF(AND(T197&gt;=Assumptions!$B$20,U197="No"),"Watchlist - Unrepresented",IF(T197&gt;=Assumptions!$B$20,"Watchlist",""))))</f>
        <v/>
      </c>
      <c r="X197" s="21" t="str">
        <f aca="false">'Player Data'!V197</f>
        <v>info@wellingtonrangers.nz</v>
      </c>
      <c r="Y197" s="28" t="str">
        <f aca="false">'Player Data'!W197</f>
        <v>Club sporting director / first-team office</v>
      </c>
      <c r="Z197" s="28" t="str">
        <f aca="false">'Player Data'!X197</f>
        <v>NZF (New Zealand Football) player registry</v>
      </c>
      <c r="AA197" s="19" t="str">
        <f aca="false">HYPERLINK("https://www.transfermarkt.com/schnellsuche/ergebnis/schnellsuche?query="&amp;SUBSTITUTE(A197," ","+"),"Search Transfermarkt")</f>
        <v>Search Transfermarkt</v>
      </c>
      <c r="AB197" s="29" t="n">
        <f aca="false">IFERROR('Player Data'!K197/('Player Data'!K197+'Player Data'!L197),0)</f>
        <v>0.51219512195122</v>
      </c>
      <c r="AC197" s="21" t="str">
        <f aca="false">IF(B197="GK",IF(AND(O197&gt;=Assumptions!$B$23,N197&gt;=Assumptions!$B$23),"Sweeper-Keeper / Build-from-the-Back",IF(O197&gt;=Assumptions!$B$23,"Sweeper-Keeper / High Line",IF(M197&gt;=Assumptions!$B$23,"Shot-Stopper / Traditional","Flexible / Multi-System"))),IF(AND(O197&gt;=Assumptions!$B$23,P197&gt;=Assumptions!$B$24),"High Press / Gegenpressing",IF(AND(N197&gt;=Assumptions!$B$23,AB197&gt;=Assumptions!$B$25),"Possession / Build-from-the-Back",IF(N197&gt;=Assumptions!$B$23,"Counter-Attack / Transition",IF(AND(O197&gt;=Assumptions!$B$23,N197&lt;Assumptions!$B$26),"Low Block / Park the Bus",IF(AND(B197="FW",M197&gt;=Assumptions!$B$23,N197&lt;Assumptions!$B$26),"Direct / Target Approach","Flexible / Multi-System"))))))</f>
        <v>Flexible / Multi-System</v>
      </c>
      <c r="AD197" s="21" t="str">
        <f aca="false">'Player Data'!Y197</f>
        <v>2026-07-17</v>
      </c>
      <c r="AE197" s="21" t="str">
        <f aca="false">'Player Data'!Z197</f>
        <v>2026-07-17</v>
      </c>
      <c r="AF197" s="28" t="str">
        <f aca="false">IFERROR(INDEX(Assumptions!$B$30:$B$61,MATCH(C197,Assumptions!$A$30:$A$61,0)),"--")</f>
        <v>Australia, United States</v>
      </c>
      <c r="AG197" s="30" t="str">
        <f aca="false">IF(R197&gt;=0.7,"Step-Up Candidate",IF(R197&gt;=0.4,"Lateral Move","Stay &amp; Develop"))</f>
        <v>Stay &amp; Develop</v>
      </c>
    </row>
    <row r="198" customFormat="false" ht="23.85" hidden="false" customHeight="false" outlineLevel="0" collapsed="false">
      <c r="A198" s="21" t="str">
        <f aca="false">'Player Data'!A198</f>
        <v>Wuilker Rojas</v>
      </c>
      <c r="B198" s="21" t="str">
        <f aca="false">'Player Data'!F198</f>
        <v>GK</v>
      </c>
      <c r="C198" s="21" t="str">
        <f aca="false">'Player Data'!B198</f>
        <v>Venezuela</v>
      </c>
      <c r="D198" s="21" t="str">
        <f aca="false">'Player Data'!C198</f>
        <v>Venezuela Provincial League</v>
      </c>
      <c r="E198" s="21" t="n">
        <f aca="false">'Player Data'!D198</f>
        <v>3</v>
      </c>
      <c r="F198" s="21" t="n">
        <f aca="false">'Player Data'!G198</f>
        <v>25</v>
      </c>
      <c r="G198" s="21" t="n">
        <f aca="false">'Player Data'!H198</f>
        <v>1104</v>
      </c>
      <c r="H198" s="22" t="n">
        <f aca="false">IF(B198="GK",IFERROR(('Player Data'!N198-1.5*'Player Data'!O198)/'Player Data'!H198*90,0),IFERROR(('Player Data'!I198+'Player Data'!J198)/'Player Data'!H198*90,0))</f>
        <v>-0.122282608695652</v>
      </c>
      <c r="I198" s="22" t="n">
        <f aca="false">IF(B198="GK",'Player Data'!P198,IFERROR(('Player Data'!K198+'Player Data'!L198)/'Player Data'!H198*90,0))</f>
        <v>66.5</v>
      </c>
      <c r="J198" s="22" t="n">
        <f aca="false">IF(B198="GK",IFERROR('Player Data'!Q198/'Player Data'!H198*90,0),IFERROR('Player Data'!M198/'Player Data'!H198*90,0))</f>
        <v>1.39402173913043</v>
      </c>
      <c r="K198" s="23" t="n">
        <f aca="false">'Player Data'!S198</f>
        <v>21504</v>
      </c>
      <c r="L198" s="22" t="n">
        <f aca="false">INDEX(Assumptions!$B$13:$B$15,MATCH(E198,Assumptions!$A$13:$A$15,0))</f>
        <v>0.85</v>
      </c>
      <c r="M198" s="24" t="n">
        <f aca="false">IFERROR(SUMPRODUCT(($B$2:$B$1001=B198)*($H$2:$H$1001&lt;=H198))/SUMPRODUCT(($B$2:$B$1001=B198)*1),0)</f>
        <v>0.153005464480874</v>
      </c>
      <c r="N198" s="24" t="n">
        <f aca="false">IFERROR(SUMPRODUCT(($B$2:$B$1001=B198)*($I$2:$I$1001&lt;=I198))/SUMPRODUCT(($B$2:$B$1001=B198)*1),0)</f>
        <v>0.33879781420765</v>
      </c>
      <c r="O198" s="24" t="n">
        <f aca="false">IFERROR(SUMPRODUCT(($B$2:$B$1001=B198)*($J$2:$J$1001&lt;=J198))/SUMPRODUCT(($B$2:$B$1001=B198)*1),0)</f>
        <v>0.896174863387978</v>
      </c>
      <c r="P198" s="24" t="n">
        <f aca="false">IFERROR(SUMPRODUCT(($B$2:$B$1001=B198)*((0-$F$2:$F$1001)&lt;=(0-F198)))/SUMPRODUCT(($B$2:$B$1001=B198)*1),0)</f>
        <v>0.240437158469945</v>
      </c>
      <c r="Q198" s="25" t="n">
        <f aca="false">(M198*Assumptions!$B$5+N198*Assumptions!$B$6+O198*Assumptions!$B$7+P198*Assumptions!$B$8)*L198</f>
        <v>0.326530054644809</v>
      </c>
      <c r="R198" s="24" t="n">
        <f aca="false">IFERROR(SUMPRODUCT(($B$2:$B$1001=B198)*($Q$2:$Q$1001&lt;=Q198))/SUMPRODUCT(($B$2:$B$1001=B198)*1),0)</f>
        <v>0.185792349726776</v>
      </c>
      <c r="S198" s="24" t="n">
        <f aca="false">IFERROR(SUMPRODUCT(($B$2:$B$1001=B198)*($K$2:$K$1001&lt;=K198))/SUMPRODUCT(($B$2:$B$1001=B198)*1),0)</f>
        <v>0.278688524590164</v>
      </c>
      <c r="T198" s="26" t="n">
        <f aca="false">(R198-S198)*100</f>
        <v>-9.2896174863388</v>
      </c>
      <c r="U198" s="21" t="str">
        <f aca="false">'Player Data'!T198</f>
        <v>Unknown</v>
      </c>
      <c r="V198" s="27" t="n">
        <f aca="false">'Player Data'!U198</f>
        <v>2026</v>
      </c>
      <c r="W198" s="21" t="str">
        <f aca="false">IF(AND(T198&gt;=Assumptions!$B$19,U198="No"),"High Priority - Unrepresented",IF(T198&gt;=Assumptions!$B$19,"High Priority",IF(AND(T198&gt;=Assumptions!$B$20,U198="No"),"Watchlist - Unrepresented",IF(T198&gt;=Assumptions!$B$20,"Watchlist",""))))</f>
        <v/>
      </c>
      <c r="X198" s="21" t="str">
        <f aca="false">'Player Data'!V198</f>
        <v>info@maracaiborovers.ve</v>
      </c>
      <c r="Y198" s="28" t="str">
        <f aca="false">'Player Data'!W198</f>
        <v>Club sporting director / first-team office</v>
      </c>
      <c r="Z198" s="28" t="str">
        <f aca="false">'Player Data'!X198</f>
        <v>FVF (Venezuelan Football Federation) player registry</v>
      </c>
      <c r="AA198" s="19" t="str">
        <f aca="false">HYPERLINK("https://www.transfermarkt.com/schnellsuche/ergebnis/schnellsuche?query="&amp;SUBSTITUTE(A198," ","+"),"Search Transfermarkt")</f>
        <v>Search Transfermarkt</v>
      </c>
      <c r="AB198" s="29" t="n">
        <f aca="false">IFERROR('Player Data'!K198/('Player Data'!K198+'Player Data'!L198),0)</f>
        <v>0.888888888888889</v>
      </c>
      <c r="AC198" s="21" t="str">
        <f aca="false">IF(B198="GK",IF(AND(O198&gt;=Assumptions!$B$23,N198&gt;=Assumptions!$B$23),"Sweeper-Keeper / Build-from-the-Back",IF(O198&gt;=Assumptions!$B$23,"Sweeper-Keeper / High Line",IF(M198&gt;=Assumptions!$B$23,"Shot-Stopper / Traditional","Flexible / Multi-System"))),IF(AND(O198&gt;=Assumptions!$B$23,P198&gt;=Assumptions!$B$24),"High Press / Gegenpressing",IF(AND(N198&gt;=Assumptions!$B$23,AB198&gt;=Assumptions!$B$25),"Possession / Build-from-the-Back",IF(N198&gt;=Assumptions!$B$23,"Counter-Attack / Transition",IF(AND(O198&gt;=Assumptions!$B$23,N198&lt;Assumptions!$B$26),"Low Block / Park the Bus",IF(AND(B198="FW",M198&gt;=Assumptions!$B$23,N198&lt;Assumptions!$B$26),"Direct / Target Approach","Flexible / Multi-System"))))))</f>
        <v>Sweeper-Keeper / High Line</v>
      </c>
      <c r="AD198" s="21" t="str">
        <f aca="false">'Player Data'!Y198</f>
        <v>2026-07-17</v>
      </c>
      <c r="AE198" s="21" t="str">
        <f aca="false">'Player Data'!Z198</f>
        <v>2026-07-17</v>
      </c>
      <c r="AF198" s="28" t="str">
        <f aca="false">IFERROR(INDEX(Assumptions!$B$30:$B$61,MATCH(C198,Assumptions!$A$30:$A$61,0)),"--")</f>
        <v>Argentina, Portugal</v>
      </c>
      <c r="AG198" s="30" t="str">
        <f aca="false">IF(R198&gt;=0.7,"Step-Up Candidate",IF(R198&gt;=0.4,"Lateral Move","Stay &amp; Develop"))</f>
        <v>Stay &amp; Develop</v>
      </c>
    </row>
    <row r="199" customFormat="false" ht="23.85" hidden="false" customHeight="false" outlineLevel="0" collapsed="false">
      <c r="A199" s="21" t="str">
        <f aca="false">'Player Data'!A199</f>
        <v>Jose Castillo</v>
      </c>
      <c r="B199" s="21" t="str">
        <f aca="false">'Player Data'!F199</f>
        <v>FW</v>
      </c>
      <c r="C199" s="21" t="str">
        <f aca="false">'Player Data'!B199</f>
        <v>Costa Rica</v>
      </c>
      <c r="D199" s="21" t="str">
        <f aca="false">'Player Data'!C199</f>
        <v>Costa Rica Second Division - East</v>
      </c>
      <c r="E199" s="21" t="n">
        <f aca="false">'Player Data'!D199</f>
        <v>3</v>
      </c>
      <c r="F199" s="21" t="n">
        <f aca="false">'Player Data'!G199</f>
        <v>18</v>
      </c>
      <c r="G199" s="21" t="n">
        <f aca="false">'Player Data'!H199</f>
        <v>911</v>
      </c>
      <c r="H199" s="22" t="n">
        <f aca="false">IF(B199="GK",IFERROR(('Player Data'!N199-1.5*'Player Data'!O199)/'Player Data'!H199*90,0),IFERROR(('Player Data'!I199+'Player Data'!J199)/'Player Data'!H199*90,0))</f>
        <v>1.38309549945115</v>
      </c>
      <c r="I199" s="22" t="n">
        <f aca="false">IF(B199="GK",'Player Data'!P199,IFERROR(('Player Data'!K199+'Player Data'!L199)/'Player Data'!H199*90,0))</f>
        <v>13.5345773874863</v>
      </c>
      <c r="J199" s="22" t="n">
        <f aca="false">IF(B199="GK",IFERROR('Player Data'!Q199/'Player Data'!H199*90,0),IFERROR('Player Data'!M199/'Player Data'!H199*90,0))</f>
        <v>0.987925356750823</v>
      </c>
      <c r="K199" s="23" t="n">
        <f aca="false">'Player Data'!S199</f>
        <v>148050</v>
      </c>
      <c r="L199" s="22" t="n">
        <f aca="false">INDEX(Assumptions!$B$13:$B$15,MATCH(E199,Assumptions!$A$13:$A$15,0))</f>
        <v>0.85</v>
      </c>
      <c r="M199" s="24" t="n">
        <f aca="false">IFERROR(SUMPRODUCT(($B$2:$B$1001=B199)*($H$2:$H$1001&lt;=H199))/SUMPRODUCT(($B$2:$B$1001=B199)*1),0)</f>
        <v>0.783185840707965</v>
      </c>
      <c r="N199" s="24" t="n">
        <f aca="false">IFERROR(SUMPRODUCT(($B$2:$B$1001=B199)*($I$2:$I$1001&lt;=I199))/SUMPRODUCT(($B$2:$B$1001=B199)*1),0)</f>
        <v>0.946902654867257</v>
      </c>
      <c r="O199" s="24" t="n">
        <f aca="false">IFERROR(SUMPRODUCT(($B$2:$B$1001=B199)*($J$2:$J$1001&lt;=J199))/SUMPRODUCT(($B$2:$B$1001=B199)*1),0)</f>
        <v>0.889380530973451</v>
      </c>
      <c r="P199" s="24" t="n">
        <f aca="false">IFERROR(SUMPRODUCT(($B$2:$B$1001=B199)*((0-$F$2:$F$1001)&lt;=(0-F199)))/SUMPRODUCT(($B$2:$B$1001=B199)*1),0)</f>
        <v>0.915929203539823</v>
      </c>
      <c r="Q199" s="25" t="n">
        <f aca="false">(M199*Assumptions!$B$5+N199*Assumptions!$B$6+O199*Assumptions!$B$7+P199*Assumptions!$B$8)*L199</f>
        <v>0.755033185840708</v>
      </c>
      <c r="R199" s="24" t="n">
        <f aca="false">IFERROR(SUMPRODUCT(($B$2:$B$1001=B199)*($Q$2:$Q$1001&lt;=Q199))/SUMPRODUCT(($B$2:$B$1001=B199)*1),0)</f>
        <v>0.907079646017699</v>
      </c>
      <c r="S199" s="24" t="n">
        <f aca="false">IFERROR(SUMPRODUCT(($B$2:$B$1001=B199)*($K$2:$K$1001&lt;=K199))/SUMPRODUCT(($B$2:$B$1001=B199)*1),0)</f>
        <v>1</v>
      </c>
      <c r="T199" s="26" t="n">
        <f aca="false">(R199-S199)*100</f>
        <v>-9.29203539823009</v>
      </c>
      <c r="U199" s="21" t="str">
        <f aca="false">'Player Data'!T199</f>
        <v>No</v>
      </c>
      <c r="V199" s="27" t="n">
        <f aca="false">'Player Data'!U199</f>
        <v>2028</v>
      </c>
      <c r="W199" s="21" t="str">
        <f aca="false">IF(AND(T199&gt;=Assumptions!$B$19,U199="No"),"High Priority - Unrepresented",IF(T199&gt;=Assumptions!$B$19,"High Priority",IF(AND(T199&gt;=Assumptions!$B$20,U199="No"),"Watchlist - Unrepresented",IF(T199&gt;=Assumptions!$B$20,"Watchlist",""))))</f>
        <v/>
      </c>
      <c r="X199" s="21" t="str">
        <f aca="false">'Player Data'!V199</f>
        <v>info@cartagotown.cr</v>
      </c>
      <c r="Y199" s="28" t="str">
        <f aca="false">'Player Data'!W199</f>
        <v>Club sporting director / first-team office</v>
      </c>
      <c r="Z199" s="28" t="str">
        <f aca="false">'Player Data'!X199</f>
        <v>FEDEFUTBOL (Costa Rican Football Federation) player registry</v>
      </c>
      <c r="AA199" s="19" t="str">
        <f aca="false">HYPERLINK("https://www.transfermarkt.com/schnellsuche/ergebnis/schnellsuche?query="&amp;SUBSTITUTE(A199," ","+"),"Search Transfermarkt")</f>
        <v>Search Transfermarkt</v>
      </c>
      <c r="AB199" s="29" t="n">
        <f aca="false">IFERROR('Player Data'!K199/('Player Data'!K199+'Player Data'!L199),0)</f>
        <v>0.37956204379562</v>
      </c>
      <c r="AC199" s="21" t="str">
        <f aca="false">IF(B199="GK",IF(AND(O199&gt;=Assumptions!$B$23,N199&gt;=Assumptions!$B$23),"Sweeper-Keeper / Build-from-the-Back",IF(O199&gt;=Assumptions!$B$23,"Sweeper-Keeper / High Line",IF(M199&gt;=Assumptions!$B$23,"Shot-Stopper / Traditional","Flexible / Multi-System"))),IF(AND(O199&gt;=Assumptions!$B$23,P199&gt;=Assumptions!$B$24),"High Press / Gegenpressing",IF(AND(N199&gt;=Assumptions!$B$23,AB199&gt;=Assumptions!$B$25),"Possession / Build-from-the-Back",IF(N199&gt;=Assumptions!$B$23,"Counter-Attack / Transition",IF(AND(O199&gt;=Assumptions!$B$23,N199&lt;Assumptions!$B$26),"Low Block / Park the Bus",IF(AND(B199="FW",M199&gt;=Assumptions!$B$23,N199&lt;Assumptions!$B$26),"Direct / Target Approach","Flexible / Multi-System"))))))</f>
        <v>High Press / Gegenpressing</v>
      </c>
      <c r="AD199" s="21" t="str">
        <f aca="false">'Player Data'!Y199</f>
        <v>2026-07-17</v>
      </c>
      <c r="AE199" s="21" t="str">
        <f aca="false">'Player Data'!Z199</f>
        <v>2026-07-17</v>
      </c>
      <c r="AF199" s="28" t="str">
        <f aca="false">IFERROR(INDEX(Assumptions!$B$30:$B$61,MATCH(C199,Assumptions!$A$30:$A$61,0)),"--")</f>
        <v>Mexico, United States</v>
      </c>
      <c r="AG199" s="30" t="str">
        <f aca="false">IF(R199&gt;=0.7,"Step-Up Candidate",IF(R199&gt;=0.4,"Lateral Move","Stay &amp; Develop"))</f>
        <v>Step-Up Candidate</v>
      </c>
    </row>
    <row r="200" customFormat="false" ht="23.85" hidden="false" customHeight="false" outlineLevel="0" collapsed="false">
      <c r="A200" s="21" t="str">
        <f aca="false">'Player Data'!A200</f>
        <v>Nicolas Vargas</v>
      </c>
      <c r="B200" s="21" t="str">
        <f aca="false">'Player Data'!F200</f>
        <v>MF</v>
      </c>
      <c r="C200" s="21" t="str">
        <f aca="false">'Player Data'!B200</f>
        <v>Bolivia</v>
      </c>
      <c r="D200" s="21" t="str">
        <f aca="false">'Player Data'!C200</f>
        <v>Bolivia Second Division</v>
      </c>
      <c r="E200" s="21" t="n">
        <f aca="false">'Player Data'!D200</f>
        <v>2</v>
      </c>
      <c r="F200" s="21" t="n">
        <f aca="false">'Player Data'!G200</f>
        <v>21</v>
      </c>
      <c r="G200" s="21" t="n">
        <f aca="false">'Player Data'!H200</f>
        <v>2441</v>
      </c>
      <c r="H200" s="22" t="n">
        <f aca="false">IF(B200="GK",IFERROR(('Player Data'!N200-1.5*'Player Data'!O200)/'Player Data'!H200*90,0),IFERROR(('Player Data'!I200+'Player Data'!J200)/'Player Data'!H200*90,0))</f>
        <v>0.479311757476444</v>
      </c>
      <c r="I200" s="22" t="n">
        <f aca="false">IF(B200="GK",'Player Data'!P200,IFERROR(('Player Data'!K200+'Player Data'!L200)/'Player Data'!H200*90,0))</f>
        <v>6.26792298238427</v>
      </c>
      <c r="J200" s="22" t="n">
        <f aca="false">IF(B200="GK",IFERROR('Player Data'!Q200/'Player Data'!H200*90,0),IFERROR('Player Data'!M200/'Player Data'!H200*90,0))</f>
        <v>1.21671446128636</v>
      </c>
      <c r="K200" s="23" t="n">
        <f aca="false">'Player Data'!S200</f>
        <v>0</v>
      </c>
      <c r="L200" s="22" t="n">
        <f aca="false">INDEX(Assumptions!$B$13:$B$15,MATCH(E200,Assumptions!$A$13:$A$15,0))</f>
        <v>1</v>
      </c>
      <c r="M200" s="24" t="n">
        <f aca="false">IFERROR(SUMPRODUCT(($B$2:$B$1001=B200)*($H$2:$H$1001&lt;=H200))/SUMPRODUCT(($B$2:$B$1001=B200)*1),0)</f>
        <v>0.195286195286195</v>
      </c>
      <c r="N200" s="24" t="n">
        <f aca="false">IFERROR(SUMPRODUCT(($B$2:$B$1001=B200)*($I$2:$I$1001&lt;=I200))/SUMPRODUCT(($B$2:$B$1001=B200)*1),0)</f>
        <v>0.0101010101010101</v>
      </c>
      <c r="O200" s="24" t="n">
        <f aca="false">IFERROR(SUMPRODUCT(($B$2:$B$1001=B200)*($J$2:$J$1001&lt;=J200))/SUMPRODUCT(($B$2:$B$1001=B200)*1),0)</f>
        <v>0.063973063973064</v>
      </c>
      <c r="P200" s="24" t="n">
        <f aca="false">IFERROR(SUMPRODUCT(($B$2:$B$1001=B200)*((0-$F$2:$F$1001)&lt;=(0-F200)))/SUMPRODUCT(($B$2:$B$1001=B200)*1),0)</f>
        <v>0.61952861952862</v>
      </c>
      <c r="Q200" s="25" t="n">
        <f aca="false">(M200*Assumptions!$B$5+N200*Assumptions!$B$6+O200*Assumptions!$B$7+P200*Assumptions!$B$8)*L200</f>
        <v>0.189057239057239</v>
      </c>
      <c r="R200" s="24" t="n">
        <f aca="false">IFERROR(SUMPRODUCT(($B$2:$B$1001=B200)*($Q$2:$Q$1001&lt;=Q200))/SUMPRODUCT(($B$2:$B$1001=B200)*1),0)</f>
        <v>0.0740740740740741</v>
      </c>
      <c r="S200" s="24" t="n">
        <f aca="false">IFERROR(SUMPRODUCT(($B$2:$B$1001=B200)*($K$2:$K$1001&lt;=K200))/SUMPRODUCT(($B$2:$B$1001=B200)*1),0)</f>
        <v>0.228956228956229</v>
      </c>
      <c r="T200" s="26" t="n">
        <f aca="false">(R200-S200)*100</f>
        <v>-15.4882154882155</v>
      </c>
      <c r="U200" s="21" t="str">
        <f aca="false">'Player Data'!T200</f>
        <v>Unknown</v>
      </c>
      <c r="V200" s="27" t="n">
        <f aca="false">'Player Data'!U200</f>
        <v>2028</v>
      </c>
      <c r="W200" s="21" t="str">
        <f aca="false">IF(AND(T200&gt;=Assumptions!$B$19,U200="No"),"High Priority - Unrepresented",IF(T200&gt;=Assumptions!$B$19,"High Priority",IF(AND(T200&gt;=Assumptions!$B$20,U200="No"),"Watchlist - Unrepresented",IF(T200&gt;=Assumptions!$B$20,"Watchlist",""))))</f>
        <v/>
      </c>
      <c r="X200" s="21" t="str">
        <f aca="false">'Player Data'!V200</f>
        <v>info@cochabambarovers.bo</v>
      </c>
      <c r="Y200" s="28" t="str">
        <f aca="false">'Player Data'!W200</f>
        <v>Club sporting director / first-team office</v>
      </c>
      <c r="Z200" s="28" t="str">
        <f aca="false">'Player Data'!X200</f>
        <v>FBF (Bolivian Football Federation) player registry</v>
      </c>
      <c r="AA200" s="19" t="str">
        <f aca="false">HYPERLINK("https://www.transfermarkt.com/schnellsuche/ergebnis/schnellsuche?query="&amp;SUBSTITUTE(A200," ","+"),"Search Transfermarkt")</f>
        <v>Search Transfermarkt</v>
      </c>
      <c r="AB200" s="29" t="n">
        <f aca="false">IFERROR('Player Data'!K200/('Player Data'!K200+'Player Data'!L200),0)</f>
        <v>0.623529411764706</v>
      </c>
      <c r="AC200" s="21" t="str">
        <f aca="false">IF(B200="GK",IF(AND(O200&gt;=Assumptions!$B$23,N200&gt;=Assumptions!$B$23),"Sweeper-Keeper / Build-from-the-Back",IF(O200&gt;=Assumptions!$B$23,"Sweeper-Keeper / High Line",IF(M200&gt;=Assumptions!$B$23,"Shot-Stopper / Traditional","Flexible / Multi-System"))),IF(AND(O200&gt;=Assumptions!$B$23,P200&gt;=Assumptions!$B$24),"High Press / Gegenpressing",IF(AND(N200&gt;=Assumptions!$B$23,AB200&gt;=Assumptions!$B$25),"Possession / Build-from-the-Back",IF(N200&gt;=Assumptions!$B$23,"Counter-Attack / Transition",IF(AND(O200&gt;=Assumptions!$B$23,N200&lt;Assumptions!$B$26),"Low Block / Park the Bus",IF(AND(B200="FW",M200&gt;=Assumptions!$B$23,N200&lt;Assumptions!$B$26),"Direct / Target Approach","Flexible / Multi-System"))))))</f>
        <v>Flexible / Multi-System</v>
      </c>
      <c r="AD200" s="21" t="str">
        <f aca="false">'Player Data'!Y200</f>
        <v>2026-07-17</v>
      </c>
      <c r="AE200" s="21" t="str">
        <f aca="false">'Player Data'!Z200</f>
        <v>2026-07-17</v>
      </c>
      <c r="AF200" s="28" t="str">
        <f aca="false">IFERROR(INDEX(Assumptions!$B$30:$B$61,MATCH(C200,Assumptions!$A$30:$A$61,0)),"--")</f>
        <v>Argentina, Portugal</v>
      </c>
      <c r="AG200" s="30" t="str">
        <f aca="false">IF(R200&gt;=0.7,"Step-Up Candidate",IF(R200&gt;=0.4,"Lateral Move","Stay &amp; Develop"))</f>
        <v>Stay &amp; Develop</v>
      </c>
    </row>
    <row r="201" customFormat="false" ht="23.85" hidden="false" customHeight="false" outlineLevel="0" collapsed="false">
      <c r="A201" s="21" t="str">
        <f aca="false">'Player Data'!A201</f>
        <v>Filip Radovic</v>
      </c>
      <c r="B201" s="21" t="str">
        <f aca="false">'Player Data'!F201</f>
        <v>DF</v>
      </c>
      <c r="C201" s="21" t="str">
        <f aca="false">'Player Data'!B201</f>
        <v>Montenegro</v>
      </c>
      <c r="D201" s="21" t="str">
        <f aca="false">'Player Data'!C201</f>
        <v>Montenegro Reserve League</v>
      </c>
      <c r="E201" s="21" t="n">
        <f aca="false">'Player Data'!D201</f>
        <v>2</v>
      </c>
      <c r="F201" s="21" t="n">
        <f aca="false">'Player Data'!G201</f>
        <v>26</v>
      </c>
      <c r="G201" s="21" t="n">
        <f aca="false">'Player Data'!H201</f>
        <v>2612</v>
      </c>
      <c r="H201" s="22" t="n">
        <f aca="false">IF(B201="GK",IFERROR(('Player Data'!N201-1.5*'Player Data'!O201)/'Player Data'!H201*90,0),IFERROR(('Player Data'!I201+'Player Data'!J201)/'Player Data'!H201*90,0))</f>
        <v>0.172281776416539</v>
      </c>
      <c r="I201" s="22" t="n">
        <f aca="false">IF(B201="GK",'Player Data'!P201,IFERROR(('Player Data'!K201+'Player Data'!L201)/'Player Data'!H201*90,0))</f>
        <v>2.48085758039816</v>
      </c>
      <c r="J201" s="22" t="n">
        <f aca="false">IF(B201="GK",IFERROR('Player Data'!Q201/'Player Data'!H201*90,0),IFERROR('Player Data'!M201/'Player Data'!H201*90,0))</f>
        <v>3.89356814701378</v>
      </c>
      <c r="K201" s="23" t="n">
        <f aca="false">'Player Data'!S201</f>
        <v>15017</v>
      </c>
      <c r="L201" s="22" t="n">
        <f aca="false">INDEX(Assumptions!$B$13:$B$15,MATCH(E201,Assumptions!$A$13:$A$15,0))</f>
        <v>1</v>
      </c>
      <c r="M201" s="24" t="n">
        <f aca="false">IFERROR(SUMPRODUCT(($B$2:$B$1001=B201)*($H$2:$H$1001&lt;=H201))/SUMPRODUCT(($B$2:$B$1001=B201)*1),0)</f>
        <v>0.452380952380952</v>
      </c>
      <c r="N201" s="24" t="n">
        <f aca="false">IFERROR(SUMPRODUCT(($B$2:$B$1001=B201)*($I$2:$I$1001&lt;=I201))/SUMPRODUCT(($B$2:$B$1001=B201)*1),0)</f>
        <v>0.0136054421768707</v>
      </c>
      <c r="O201" s="24" t="n">
        <f aca="false">IFERROR(SUMPRODUCT(($B$2:$B$1001=B201)*($J$2:$J$1001&lt;=J201))/SUMPRODUCT(($B$2:$B$1001=B201)*1),0)</f>
        <v>0.204081632653061</v>
      </c>
      <c r="P201" s="24" t="n">
        <f aca="false">IFERROR(SUMPRODUCT(($B$2:$B$1001=B201)*((0-$F$2:$F$1001)&lt;=(0-F201)))/SUMPRODUCT(($B$2:$B$1001=B201)*1),0)</f>
        <v>0.0748299319727891</v>
      </c>
      <c r="Q201" s="25" t="n">
        <f aca="false">(M201*Assumptions!$B$5+N201*Assumptions!$B$6+O201*Assumptions!$B$7+P201*Assumptions!$B$8)*L201</f>
        <v>0.173639455782313</v>
      </c>
      <c r="R201" s="24" t="n">
        <f aca="false">IFERROR(SUMPRODUCT(($B$2:$B$1001=B201)*($Q$2:$Q$1001&lt;=Q201))/SUMPRODUCT(($B$2:$B$1001=B201)*1),0)</f>
        <v>0.0578231292517007</v>
      </c>
      <c r="S201" s="24" t="n">
        <f aca="false">IFERROR(SUMPRODUCT(($B$2:$B$1001=B201)*($K$2:$K$1001&lt;=K201))/SUMPRODUCT(($B$2:$B$1001=B201)*1),0)</f>
        <v>0.27891156462585</v>
      </c>
      <c r="T201" s="26" t="n">
        <f aca="false">(R201-S201)*100</f>
        <v>-22.108843537415</v>
      </c>
      <c r="U201" s="21" t="str">
        <f aca="false">'Player Data'!T201</f>
        <v>Unknown</v>
      </c>
      <c r="V201" s="27" t="n">
        <f aca="false">'Player Data'!U201</f>
        <v>2028</v>
      </c>
      <c r="W201" s="21" t="str">
        <f aca="false">IF(AND(T201&gt;=Assumptions!$B$19,U201="No"),"High Priority - Unrepresented",IF(T201&gt;=Assumptions!$B$19,"High Priority",IF(AND(T201&gt;=Assumptions!$B$20,U201="No"),"Watchlist - Unrepresented",IF(T201&gt;=Assumptions!$B$20,"Watchlist",""))))</f>
        <v/>
      </c>
      <c r="X201" s="21" t="str">
        <f aca="false">'Player Data'!V201</f>
        <v>info@podgoricasc.me</v>
      </c>
      <c r="Y201" s="28" t="str">
        <f aca="false">'Player Data'!W201</f>
        <v>Club sporting director / first-team office</v>
      </c>
      <c r="Z201" s="28" t="str">
        <f aca="false">'Player Data'!X201</f>
        <v>FSCG (Football Association of Montenegro) player registry</v>
      </c>
      <c r="AA201" s="19" t="str">
        <f aca="false">HYPERLINK("https://www.transfermarkt.com/schnellsuche/ergebnis/schnellsuche?query="&amp;SUBSTITUTE(A201," ","+"),"Search Transfermarkt")</f>
        <v>Search Transfermarkt</v>
      </c>
      <c r="AB201" s="29" t="n">
        <f aca="false">IFERROR('Player Data'!K201/('Player Data'!K201+'Player Data'!L201),0)</f>
        <v>0.541666666666667</v>
      </c>
      <c r="AC201" s="21" t="str">
        <f aca="false">IF(B201="GK",IF(AND(O201&gt;=Assumptions!$B$23,N201&gt;=Assumptions!$B$23),"Sweeper-Keeper / Build-from-the-Back",IF(O201&gt;=Assumptions!$B$23,"Sweeper-Keeper / High Line",IF(M201&gt;=Assumptions!$B$23,"Shot-Stopper / Traditional","Flexible / Multi-System"))),IF(AND(O201&gt;=Assumptions!$B$23,P201&gt;=Assumptions!$B$24),"High Press / Gegenpressing",IF(AND(N201&gt;=Assumptions!$B$23,AB201&gt;=Assumptions!$B$25),"Possession / Build-from-the-Back",IF(N201&gt;=Assumptions!$B$23,"Counter-Attack / Transition",IF(AND(O201&gt;=Assumptions!$B$23,N201&lt;Assumptions!$B$26),"Low Block / Park the Bus",IF(AND(B201="FW",M201&gt;=Assumptions!$B$23,N201&lt;Assumptions!$B$26),"Direct / Target Approach","Flexible / Multi-System"))))))</f>
        <v>Flexible / Multi-System</v>
      </c>
      <c r="AD201" s="21" t="str">
        <f aca="false">'Player Data'!Y201</f>
        <v>2026-07-17</v>
      </c>
      <c r="AE201" s="21" t="str">
        <f aca="false">'Player Data'!Z201</f>
        <v>2026-07-17</v>
      </c>
      <c r="AF201" s="28" t="str">
        <f aca="false">IFERROR(INDEX(Assumptions!$B$30:$B$61,MATCH(C201,Assumptions!$A$30:$A$61,0)),"--")</f>
        <v>Austria, Turkey</v>
      </c>
      <c r="AG201" s="30" t="str">
        <f aca="false">IF(R201&gt;=0.7,"Step-Up Candidate",IF(R201&gt;=0.4,"Lateral Move","Stay &amp; Develop"))</f>
        <v>Stay &amp; Develop</v>
      </c>
    </row>
    <row r="202" customFormat="false" ht="23.85" hidden="false" customHeight="false" outlineLevel="0" collapsed="false">
      <c r="A202" s="21" t="str">
        <f aca="false">'Player Data'!A202</f>
        <v>Carlos Ramirez</v>
      </c>
      <c r="B202" s="21" t="str">
        <f aca="false">'Player Data'!F202</f>
        <v>MF</v>
      </c>
      <c r="C202" s="21" t="str">
        <f aca="false">'Player Data'!B202</f>
        <v>Costa Rica</v>
      </c>
      <c r="D202" s="21" t="str">
        <f aca="false">'Player Data'!C202</f>
        <v>Costa Rica Regional League</v>
      </c>
      <c r="E202" s="21" t="n">
        <f aca="false">'Player Data'!D202</f>
        <v>3</v>
      </c>
      <c r="F202" s="21" t="n">
        <f aca="false">'Player Data'!G202</f>
        <v>25</v>
      </c>
      <c r="G202" s="21" t="n">
        <f aca="false">'Player Data'!H202</f>
        <v>2087</v>
      </c>
      <c r="H202" s="22" t="n">
        <f aca="false">IF(B202="GK",IFERROR(('Player Data'!N202-1.5*'Player Data'!O202)/'Player Data'!H202*90,0),IFERROR(('Player Data'!I202+'Player Data'!J202)/'Player Data'!H202*90,0))</f>
        <v>0.603737422137039</v>
      </c>
      <c r="I202" s="22" t="n">
        <f aca="false">IF(B202="GK",'Player Data'!P202,IFERROR(('Player Data'!K202+'Player Data'!L202)/'Player Data'!H202*90,0))</f>
        <v>8.8404408241495</v>
      </c>
      <c r="J202" s="22" t="n">
        <f aca="false">IF(B202="GK",IFERROR('Player Data'!Q202/'Player Data'!H202*90,0),IFERROR('Player Data'!M202/'Player Data'!H202*90,0))</f>
        <v>1.42309535218016</v>
      </c>
      <c r="K202" s="23" t="n">
        <f aca="false">'Player Data'!S202</f>
        <v>0</v>
      </c>
      <c r="L202" s="22" t="n">
        <f aca="false">INDEX(Assumptions!$B$13:$B$15,MATCH(E202,Assumptions!$A$13:$A$15,0))</f>
        <v>0.85</v>
      </c>
      <c r="M202" s="24" t="n">
        <f aca="false">IFERROR(SUMPRODUCT(($B$2:$B$1001=B202)*($H$2:$H$1001&lt;=H202))/SUMPRODUCT(($B$2:$B$1001=B202)*1),0)</f>
        <v>0.326599326599327</v>
      </c>
      <c r="N202" s="24" t="n">
        <f aca="false">IFERROR(SUMPRODUCT(($B$2:$B$1001=B202)*($I$2:$I$1001&lt;=I202))/SUMPRODUCT(($B$2:$B$1001=B202)*1),0)</f>
        <v>0.265993265993266</v>
      </c>
      <c r="O202" s="24" t="n">
        <f aca="false">IFERROR(SUMPRODUCT(($B$2:$B$1001=B202)*($J$2:$J$1001&lt;=J202))/SUMPRODUCT(($B$2:$B$1001=B202)*1),0)</f>
        <v>0.148148148148148</v>
      </c>
      <c r="P202" s="24" t="n">
        <f aca="false">IFERROR(SUMPRODUCT(($B$2:$B$1001=B202)*((0-$F$2:$F$1001)&lt;=(0-F202)))/SUMPRODUCT(($B$2:$B$1001=B202)*1),0)</f>
        <v>0.202020202020202</v>
      </c>
      <c r="Q202" s="25" t="n">
        <f aca="false">(M202*Assumptions!$B$5+N202*Assumptions!$B$6+O202*Assumptions!$B$7+P202*Assumptions!$B$8)*L202</f>
        <v>0.208063973063973</v>
      </c>
      <c r="R202" s="24" t="n">
        <f aca="false">IFERROR(SUMPRODUCT(($B$2:$B$1001=B202)*($Q$2:$Q$1001&lt;=Q202))/SUMPRODUCT(($B$2:$B$1001=B202)*1),0)</f>
        <v>0.0976430976430976</v>
      </c>
      <c r="S202" s="24" t="n">
        <f aca="false">IFERROR(SUMPRODUCT(($B$2:$B$1001=B202)*($K$2:$K$1001&lt;=K202))/SUMPRODUCT(($B$2:$B$1001=B202)*1),0)</f>
        <v>0.228956228956229</v>
      </c>
      <c r="T202" s="26" t="n">
        <f aca="false">(R202-S202)*100</f>
        <v>-13.1313131313131</v>
      </c>
      <c r="U202" s="21" t="str">
        <f aca="false">'Player Data'!T202</f>
        <v>No</v>
      </c>
      <c r="V202" s="27" t="n">
        <f aca="false">'Player Data'!U202</f>
        <v>2026</v>
      </c>
      <c r="W202" s="21" t="str">
        <f aca="false">IF(AND(T202&gt;=Assumptions!$B$19,U202="No"),"High Priority - Unrepresented",IF(T202&gt;=Assumptions!$B$19,"High Priority",IF(AND(T202&gt;=Assumptions!$B$20,U202="No"),"Watchlist - Unrepresented",IF(T202&gt;=Assumptions!$B$20,"Watchlist",""))))</f>
        <v/>
      </c>
      <c r="X202" s="21" t="str">
        <f aca="false">'Player Data'!V202</f>
        <v>info@sanjosetown.cr</v>
      </c>
      <c r="Y202" s="28" t="str">
        <f aca="false">'Player Data'!W202</f>
        <v>Club sporting director / first-team office</v>
      </c>
      <c r="Z202" s="28" t="str">
        <f aca="false">'Player Data'!X202</f>
        <v>FEDEFUTBOL (Costa Rican Football Federation) player registry</v>
      </c>
      <c r="AA202" s="19" t="str">
        <f aca="false">HYPERLINK("https://www.transfermarkt.com/schnellsuche/ergebnis/schnellsuche?query="&amp;SUBSTITUTE(A202," ","+"),"Search Transfermarkt")</f>
        <v>Search Transfermarkt</v>
      </c>
      <c r="AB202" s="29" t="n">
        <f aca="false">IFERROR('Player Data'!K202/('Player Data'!K202+'Player Data'!L202),0)</f>
        <v>0.726829268292683</v>
      </c>
      <c r="AC202" s="21" t="str">
        <f aca="false">IF(B202="GK",IF(AND(O202&gt;=Assumptions!$B$23,N202&gt;=Assumptions!$B$23),"Sweeper-Keeper / Build-from-the-Back",IF(O202&gt;=Assumptions!$B$23,"Sweeper-Keeper / High Line",IF(M202&gt;=Assumptions!$B$23,"Shot-Stopper / Traditional","Flexible / Multi-System"))),IF(AND(O202&gt;=Assumptions!$B$23,P202&gt;=Assumptions!$B$24),"High Press / Gegenpressing",IF(AND(N202&gt;=Assumptions!$B$23,AB202&gt;=Assumptions!$B$25),"Possession / Build-from-the-Back",IF(N202&gt;=Assumptions!$B$23,"Counter-Attack / Transition",IF(AND(O202&gt;=Assumptions!$B$23,N202&lt;Assumptions!$B$26),"Low Block / Park the Bus",IF(AND(B202="FW",M202&gt;=Assumptions!$B$23,N202&lt;Assumptions!$B$26),"Direct / Target Approach","Flexible / Multi-System"))))))</f>
        <v>Flexible / Multi-System</v>
      </c>
      <c r="AD202" s="21" t="str">
        <f aca="false">'Player Data'!Y202</f>
        <v>2026-07-17</v>
      </c>
      <c r="AE202" s="21" t="str">
        <f aca="false">'Player Data'!Z202</f>
        <v>2026-07-17</v>
      </c>
      <c r="AF202" s="28" t="str">
        <f aca="false">IFERROR(INDEX(Assumptions!$B$30:$B$61,MATCH(C202,Assumptions!$A$30:$A$61,0)),"--")</f>
        <v>Mexico, United States</v>
      </c>
      <c r="AG202" s="30" t="str">
        <f aca="false">IF(R202&gt;=0.7,"Step-Up Candidate",IF(R202&gt;=0.4,"Lateral Move","Stay &amp; Develop"))</f>
        <v>Stay &amp; Develop</v>
      </c>
    </row>
    <row r="203" customFormat="false" ht="23.85" hidden="false" customHeight="false" outlineLevel="0" collapsed="false">
      <c r="A203" s="21" t="str">
        <f aca="false">'Player Data'!A203</f>
        <v>Sherzod Karimov</v>
      </c>
      <c r="B203" s="21" t="str">
        <f aca="false">'Player Data'!F203</f>
        <v>MF</v>
      </c>
      <c r="C203" s="21" t="str">
        <f aca="false">'Player Data'!B203</f>
        <v>Uzbekistan</v>
      </c>
      <c r="D203" s="21" t="str">
        <f aca="false">'Player Data'!C203</f>
        <v>Uzbekistan Second Division - East</v>
      </c>
      <c r="E203" s="21" t="n">
        <f aca="false">'Player Data'!D203</f>
        <v>3</v>
      </c>
      <c r="F203" s="21" t="n">
        <f aca="false">'Player Data'!G203</f>
        <v>19</v>
      </c>
      <c r="G203" s="21" t="n">
        <f aca="false">'Player Data'!H203</f>
        <v>1900</v>
      </c>
      <c r="H203" s="22" t="n">
        <f aca="false">IF(B203="GK",IFERROR(('Player Data'!N203-1.5*'Player Data'!O203)/'Player Data'!H203*90,0),IFERROR(('Player Data'!I203+'Player Data'!J203)/'Player Data'!H203*90,0))</f>
        <v>0.757894736842105</v>
      </c>
      <c r="I203" s="22" t="n">
        <f aca="false">IF(B203="GK",'Player Data'!P203,IFERROR(('Player Data'!K203+'Player Data'!L203)/'Player Data'!H203*90,0))</f>
        <v>10.7526315789474</v>
      </c>
      <c r="J203" s="22" t="n">
        <f aca="false">IF(B203="GK",IFERROR('Player Data'!Q203/'Player Data'!H203*90,0),IFERROR('Player Data'!M203/'Player Data'!H203*90,0))</f>
        <v>2.17894736842105</v>
      </c>
      <c r="K203" s="23" t="n">
        <f aca="false">'Player Data'!S203</f>
        <v>59698</v>
      </c>
      <c r="L203" s="22" t="n">
        <f aca="false">INDEX(Assumptions!$B$13:$B$15,MATCH(E203,Assumptions!$A$13:$A$15,0))</f>
        <v>0.85</v>
      </c>
      <c r="M203" s="24" t="n">
        <f aca="false">IFERROR(SUMPRODUCT(($B$2:$B$1001=B203)*($H$2:$H$1001&lt;=H203))/SUMPRODUCT(($B$2:$B$1001=B203)*1),0)</f>
        <v>0.521885521885522</v>
      </c>
      <c r="N203" s="24" t="n">
        <f aca="false">IFERROR(SUMPRODUCT(($B$2:$B$1001=B203)*($I$2:$I$1001&lt;=I203))/SUMPRODUCT(($B$2:$B$1001=B203)*1),0)</f>
        <v>0.488215488215488</v>
      </c>
      <c r="O203" s="24" t="n">
        <f aca="false">IFERROR(SUMPRODUCT(($B$2:$B$1001=B203)*($J$2:$J$1001&lt;=J203))/SUMPRODUCT(($B$2:$B$1001=B203)*1),0)</f>
        <v>0.491582491582492</v>
      </c>
      <c r="P203" s="24" t="n">
        <f aca="false">IFERROR(SUMPRODUCT(($B$2:$B$1001=B203)*((0-$F$2:$F$1001)&lt;=(0-F203)))/SUMPRODUCT(($B$2:$B$1001=B203)*1),0)</f>
        <v>0.868686868686869</v>
      </c>
      <c r="Q203" s="25" t="n">
        <f aca="false">(M203*Assumptions!$B$5+N203*Assumptions!$B$6+O203*Assumptions!$B$7+P203*Assumptions!$B$8)*L203</f>
        <v>0.487390572390572</v>
      </c>
      <c r="R203" s="24" t="n">
        <f aca="false">IFERROR(SUMPRODUCT(($B$2:$B$1001=B203)*($Q$2:$Q$1001&lt;=Q203))/SUMPRODUCT(($B$2:$B$1001=B203)*1),0)</f>
        <v>0.595959595959596</v>
      </c>
      <c r="S203" s="24" t="n">
        <f aca="false">IFERROR(SUMPRODUCT(($B$2:$B$1001=B203)*($K$2:$K$1001&lt;=K203))/SUMPRODUCT(($B$2:$B$1001=B203)*1),0)</f>
        <v>0.501683501683502</v>
      </c>
      <c r="T203" s="26" t="n">
        <f aca="false">(R203-S203)*100</f>
        <v>9.42760942760942</v>
      </c>
      <c r="U203" s="21" t="str">
        <f aca="false">'Player Data'!T203</f>
        <v>Yes</v>
      </c>
      <c r="V203" s="27" t="n">
        <f aca="false">'Player Data'!U203</f>
        <v>2028</v>
      </c>
      <c r="W203" s="21" t="str">
        <f aca="false">IF(AND(T203&gt;=Assumptions!$B$19,U203="No"),"High Priority - Unrepresented",IF(T203&gt;=Assumptions!$B$19,"High Priority",IF(AND(T203&gt;=Assumptions!$B$20,U203="No"),"Watchlist - Unrepresented",IF(T203&gt;=Assumptions!$B$20,"Watchlist",""))))</f>
        <v/>
      </c>
      <c r="X203" s="21" t="str">
        <f aca="false">'Player Data'!V203</f>
        <v>info@bukharawanderers.uz</v>
      </c>
      <c r="Y203" s="28" t="str">
        <f aca="false">'Player Data'!W203</f>
        <v>Go through the player's agent - ask the club to confirm representation first</v>
      </c>
      <c r="Z203" s="28" t="str">
        <f aca="false">'Player Data'!X203</f>
        <v>UFF (Uzbekistan Football Federation) player registry</v>
      </c>
      <c r="AA203" s="19" t="str">
        <f aca="false">HYPERLINK("https://www.transfermarkt.com/schnellsuche/ergebnis/schnellsuche?query="&amp;SUBSTITUTE(A203," ","+"),"Search Transfermarkt")</f>
        <v>Search Transfermarkt</v>
      </c>
      <c r="AB203" s="29" t="n">
        <f aca="false">IFERROR('Player Data'!K203/('Player Data'!K203+'Player Data'!L203),0)</f>
        <v>0.766519823788546</v>
      </c>
      <c r="AC203" s="21" t="str">
        <f aca="false">IF(B203="GK",IF(AND(O203&gt;=Assumptions!$B$23,N203&gt;=Assumptions!$B$23),"Sweeper-Keeper / Build-from-the-Back",IF(O203&gt;=Assumptions!$B$23,"Sweeper-Keeper / High Line",IF(M203&gt;=Assumptions!$B$23,"Shot-Stopper / Traditional","Flexible / Multi-System"))),IF(AND(O203&gt;=Assumptions!$B$23,P203&gt;=Assumptions!$B$24),"High Press / Gegenpressing",IF(AND(N203&gt;=Assumptions!$B$23,AB203&gt;=Assumptions!$B$25),"Possession / Build-from-the-Back",IF(N203&gt;=Assumptions!$B$23,"Counter-Attack / Transition",IF(AND(O203&gt;=Assumptions!$B$23,N203&lt;Assumptions!$B$26),"Low Block / Park the Bus",IF(AND(B203="FW",M203&gt;=Assumptions!$B$23,N203&lt;Assumptions!$B$26),"Direct / Target Approach","Flexible / Multi-System"))))))</f>
        <v>Flexible / Multi-System</v>
      </c>
      <c r="AD203" s="21" t="str">
        <f aca="false">'Player Data'!Y203</f>
        <v>2026-07-17</v>
      </c>
      <c r="AE203" s="21" t="str">
        <f aca="false">'Player Data'!Z203</f>
        <v>2026-07-17</v>
      </c>
      <c r="AF203" s="28" t="str">
        <f aca="false">IFERROR(INDEX(Assumptions!$B$30:$B$61,MATCH(C203,Assumptions!$A$30:$A$61,0)),"--")</f>
        <v>Turkey, Saudi Arabia</v>
      </c>
      <c r="AG203" s="30" t="str">
        <f aca="false">IF(R203&gt;=0.7,"Step-Up Candidate",IF(R203&gt;=0.4,"Lateral Move","Stay &amp; Develop"))</f>
        <v>Lateral Move</v>
      </c>
    </row>
    <row r="204" customFormat="false" ht="23.85" hidden="false" customHeight="false" outlineLevel="0" collapsed="false">
      <c r="A204" s="21" t="str">
        <f aca="false">'Player Data'!A204</f>
        <v>Luis Castillo</v>
      </c>
      <c r="B204" s="21" t="str">
        <f aca="false">'Player Data'!F204</f>
        <v>FW</v>
      </c>
      <c r="C204" s="21" t="str">
        <f aca="false">'Player Data'!B204</f>
        <v>Costa Rica</v>
      </c>
      <c r="D204" s="21" t="str">
        <f aca="false">'Player Data'!C204</f>
        <v>Costa Rica Provincial League</v>
      </c>
      <c r="E204" s="21" t="n">
        <f aca="false">'Player Data'!D204</f>
        <v>4</v>
      </c>
      <c r="F204" s="21" t="n">
        <f aca="false">'Player Data'!G204</f>
        <v>17</v>
      </c>
      <c r="G204" s="21" t="n">
        <f aca="false">'Player Data'!H204</f>
        <v>1529</v>
      </c>
      <c r="H204" s="22" t="n">
        <f aca="false">IF(B204="GK",IFERROR(('Player Data'!N204-1.5*'Player Data'!O204)/'Player Data'!H204*90,0),IFERROR(('Player Data'!I204+'Player Data'!J204)/'Player Data'!H204*90,0))</f>
        <v>1.53041203400916</v>
      </c>
      <c r="I204" s="22" t="n">
        <f aca="false">IF(B204="GK",'Player Data'!P204,IFERROR(('Player Data'!K204+'Player Data'!L204)/'Player Data'!H204*90,0))</f>
        <v>8.94702419882276</v>
      </c>
      <c r="J204" s="22" t="n">
        <f aca="false">IF(B204="GK",IFERROR('Player Data'!Q204/'Player Data'!H204*90,0),IFERROR('Player Data'!M204/'Player Data'!H204*90,0))</f>
        <v>0.824068018312623</v>
      </c>
      <c r="K204" s="23" t="n">
        <f aca="false">'Player Data'!S204</f>
        <v>8639</v>
      </c>
      <c r="L204" s="22" t="n">
        <f aca="false">INDEX(Assumptions!$B$13:$B$15,MATCH(E204,Assumptions!$A$13:$A$15,0))</f>
        <v>0.7</v>
      </c>
      <c r="M204" s="24" t="n">
        <f aca="false">IFERROR(SUMPRODUCT(($B$2:$B$1001=B204)*($H$2:$H$1001&lt;=H204))/SUMPRODUCT(($B$2:$B$1001=B204)*1),0)</f>
        <v>0.849557522123894</v>
      </c>
      <c r="N204" s="24" t="n">
        <f aca="false">IFERROR(SUMPRODUCT(($B$2:$B$1001=B204)*($I$2:$I$1001&lt;=I204))/SUMPRODUCT(($B$2:$B$1001=B204)*1),0)</f>
        <v>0.765486725663717</v>
      </c>
      <c r="O204" s="24" t="n">
        <f aca="false">IFERROR(SUMPRODUCT(($B$2:$B$1001=B204)*($J$2:$J$1001&lt;=J204))/SUMPRODUCT(($B$2:$B$1001=B204)*1),0)</f>
        <v>0.805309734513274</v>
      </c>
      <c r="P204" s="24" t="n">
        <f aca="false">IFERROR(SUMPRODUCT(($B$2:$B$1001=B204)*((0-$F$2:$F$1001)&lt;=(0-F204)))/SUMPRODUCT(($B$2:$B$1001=B204)*1),0)</f>
        <v>1</v>
      </c>
      <c r="Q204" s="25" t="n">
        <f aca="false">(M204*Assumptions!$B$5+N204*Assumptions!$B$6+O204*Assumptions!$B$7+P204*Assumptions!$B$8)*L204</f>
        <v>0.58896017699115</v>
      </c>
      <c r="R204" s="24" t="n">
        <f aca="false">IFERROR(SUMPRODUCT(($B$2:$B$1001=B204)*($Q$2:$Q$1001&lt;=Q204))/SUMPRODUCT(($B$2:$B$1001=B204)*1),0)</f>
        <v>0.730088495575221</v>
      </c>
      <c r="S204" s="24" t="n">
        <f aca="false">IFERROR(SUMPRODUCT(($B$2:$B$1001=B204)*($K$2:$K$1001&lt;=K204))/SUMPRODUCT(($B$2:$B$1001=B204)*1),0)</f>
        <v>0.265486725663717</v>
      </c>
      <c r="T204" s="26" t="n">
        <f aca="false">(R204-S204)*100</f>
        <v>46.4601769911504</v>
      </c>
      <c r="U204" s="21" t="str">
        <f aca="false">'Player Data'!T204</f>
        <v>Unknown</v>
      </c>
      <c r="V204" s="27" t="n">
        <f aca="false">'Player Data'!U204</f>
        <v>2027</v>
      </c>
      <c r="W204" s="21" t="str">
        <f aca="false">IF(AND(T204&gt;=Assumptions!$B$19,U204="No"),"High Priority - Unrepresented",IF(T204&gt;=Assumptions!$B$19,"High Priority",IF(AND(T204&gt;=Assumptions!$B$20,U204="No"),"Watchlist - Unrepresented",IF(T204&gt;=Assumptions!$B$20,"Watchlist",""))))</f>
        <v>High Priority</v>
      </c>
      <c r="X204" s="21" t="str">
        <f aca="false">'Player Data'!V204</f>
        <v>info@cartagosc.cr</v>
      </c>
      <c r="Y204" s="28" t="str">
        <f aca="false">'Player Data'!W204</f>
        <v>Club youth/academy office ONLY - player is a minor, do not contact directly</v>
      </c>
      <c r="Z204" s="28" t="str">
        <f aca="false">'Player Data'!X204</f>
        <v>FEDEFUTBOL (Costa Rican Football Federation) player registry</v>
      </c>
      <c r="AA204" s="19" t="str">
        <f aca="false">HYPERLINK("https://www.transfermarkt.com/schnellsuche/ergebnis/schnellsuche?query="&amp;SUBSTITUTE(A204," ","+"),"Search Transfermarkt")</f>
        <v>Search Transfermarkt</v>
      </c>
      <c r="AB204" s="29" t="n">
        <f aca="false">IFERROR('Player Data'!K204/('Player Data'!K204+'Player Data'!L204),0)</f>
        <v>0.414473684210526</v>
      </c>
      <c r="AC204" s="21" t="str">
        <f aca="false">IF(B204="GK",IF(AND(O204&gt;=Assumptions!$B$23,N204&gt;=Assumptions!$B$23),"Sweeper-Keeper / Build-from-the-Back",IF(O204&gt;=Assumptions!$B$23,"Sweeper-Keeper / High Line",IF(M204&gt;=Assumptions!$B$23,"Shot-Stopper / Traditional","Flexible / Multi-System"))),IF(AND(O204&gt;=Assumptions!$B$23,P204&gt;=Assumptions!$B$24),"High Press / Gegenpressing",IF(AND(N204&gt;=Assumptions!$B$23,AB204&gt;=Assumptions!$B$25),"Possession / Build-from-the-Back",IF(N204&gt;=Assumptions!$B$23,"Counter-Attack / Transition",IF(AND(O204&gt;=Assumptions!$B$23,N204&lt;Assumptions!$B$26),"Low Block / Park the Bus",IF(AND(B204="FW",M204&gt;=Assumptions!$B$23,N204&lt;Assumptions!$B$26),"Direct / Target Approach","Flexible / Multi-System"))))))</f>
        <v>High Press / Gegenpressing</v>
      </c>
      <c r="AD204" s="21" t="str">
        <f aca="false">'Player Data'!Y204</f>
        <v>2026-07-17</v>
      </c>
      <c r="AE204" s="21" t="str">
        <f aca="false">'Player Data'!Z204</f>
        <v>2026-07-17</v>
      </c>
      <c r="AF204" s="28" t="str">
        <f aca="false">IFERROR(INDEX(Assumptions!$B$30:$B$61,MATCH(C204,Assumptions!$A$30:$A$61,0)),"--")</f>
        <v>Mexico, United States</v>
      </c>
      <c r="AG204" s="30" t="str">
        <f aca="false">IF(R204&gt;=0.7,"Step-Up Candidate",IF(R204&gt;=0.4,"Lateral Move","Stay &amp; Develop"))</f>
        <v>Step-Up Candidate</v>
      </c>
    </row>
    <row r="205" customFormat="false" ht="23.85" hidden="false" customHeight="false" outlineLevel="0" collapsed="false">
      <c r="A205" s="21" t="str">
        <f aca="false">'Player Data'!A205</f>
        <v>Luka Kovacevic</v>
      </c>
      <c r="B205" s="21" t="str">
        <f aca="false">'Player Data'!F205</f>
        <v>DF</v>
      </c>
      <c r="C205" s="21" t="str">
        <f aca="false">'Player Data'!B205</f>
        <v>Croatia</v>
      </c>
      <c r="D205" s="21" t="str">
        <f aca="false">'Player Data'!C205</f>
        <v>Croatia Third Tier - South</v>
      </c>
      <c r="E205" s="21" t="n">
        <f aca="false">'Player Data'!D205</f>
        <v>4</v>
      </c>
      <c r="F205" s="21" t="n">
        <f aca="false">'Player Data'!G205</f>
        <v>25</v>
      </c>
      <c r="G205" s="21" t="n">
        <f aca="false">'Player Data'!H205</f>
        <v>942</v>
      </c>
      <c r="H205" s="22" t="n">
        <f aca="false">IF(B205="GK",IFERROR(('Player Data'!N205-1.5*'Player Data'!O205)/'Player Data'!H205*90,0),IFERROR(('Player Data'!I205+'Player Data'!J205)/'Player Data'!H205*90,0))</f>
        <v>0.382165605095541</v>
      </c>
      <c r="I205" s="22" t="n">
        <f aca="false">IF(B205="GK",'Player Data'!P205,IFERROR(('Player Data'!K205+'Player Data'!L205)/'Player Data'!H205*90,0))</f>
        <v>6.97452229299363</v>
      </c>
      <c r="J205" s="22" t="n">
        <f aca="false">IF(B205="GK",IFERROR('Player Data'!Q205/'Player Data'!H205*90,0),IFERROR('Player Data'!M205/'Player Data'!H205*90,0))</f>
        <v>11.5605095541401</v>
      </c>
      <c r="K205" s="23" t="n">
        <f aca="false">'Player Data'!S205</f>
        <v>0</v>
      </c>
      <c r="L205" s="22" t="n">
        <f aca="false">INDEX(Assumptions!$B$13:$B$15,MATCH(E205,Assumptions!$A$13:$A$15,0))</f>
        <v>0.7</v>
      </c>
      <c r="M205" s="24" t="n">
        <f aca="false">IFERROR(SUMPRODUCT(($B$2:$B$1001=B205)*($H$2:$H$1001&lt;=H205))/SUMPRODUCT(($B$2:$B$1001=B205)*1),0)</f>
        <v>0.887755102040816</v>
      </c>
      <c r="N205" s="24" t="n">
        <f aca="false">IFERROR(SUMPRODUCT(($B$2:$B$1001=B205)*($I$2:$I$1001&lt;=I205))/SUMPRODUCT(($B$2:$B$1001=B205)*1),0)</f>
        <v>0.819727891156463</v>
      </c>
      <c r="O205" s="24" t="n">
        <f aca="false">IFERROR(SUMPRODUCT(($B$2:$B$1001=B205)*($J$2:$J$1001&lt;=J205))/SUMPRODUCT(($B$2:$B$1001=B205)*1),0)</f>
        <v>0.976190476190476</v>
      </c>
      <c r="P205" s="24" t="n">
        <f aca="false">IFERROR(SUMPRODUCT(($B$2:$B$1001=B205)*((0-$F$2:$F$1001)&lt;=(0-F205)))/SUMPRODUCT(($B$2:$B$1001=B205)*1),0)</f>
        <v>0.146258503401361</v>
      </c>
      <c r="Q205" s="25" t="n">
        <f aca="false">(M205*Assumptions!$B$5+N205*Assumptions!$B$6+O205*Assumptions!$B$7+P205*Assumptions!$B$8)*L205</f>
        <v>0.513333333333333</v>
      </c>
      <c r="R205" s="24" t="n">
        <f aca="false">IFERROR(SUMPRODUCT(($B$2:$B$1001=B205)*($Q$2:$Q$1001&lt;=Q205))/SUMPRODUCT(($B$2:$B$1001=B205)*1),0)</f>
        <v>0.639455782312925</v>
      </c>
      <c r="S205" s="24" t="n">
        <f aca="false">IFERROR(SUMPRODUCT(($B$2:$B$1001=B205)*($K$2:$K$1001&lt;=K205))/SUMPRODUCT(($B$2:$B$1001=B205)*1),0)</f>
        <v>0.248299319727891</v>
      </c>
      <c r="T205" s="26" t="n">
        <f aca="false">(R205-S205)*100</f>
        <v>39.1156462585034</v>
      </c>
      <c r="U205" s="21" t="str">
        <f aca="false">'Player Data'!T205</f>
        <v>No</v>
      </c>
      <c r="V205" s="27" t="n">
        <f aca="false">'Player Data'!U205</f>
        <v>2028</v>
      </c>
      <c r="W205" s="21" t="str">
        <f aca="false">IF(AND(T205&gt;=Assumptions!$B$19,U205="No"),"High Priority - Unrepresented",IF(T205&gt;=Assumptions!$B$19,"High Priority",IF(AND(T205&gt;=Assumptions!$B$20,U205="No"),"Watchlist - Unrepresented",IF(T205&gt;=Assumptions!$B$20,"Watchlist",""))))</f>
        <v>Watchlist - Unrepresented</v>
      </c>
      <c r="X205" s="21" t="str">
        <f aca="false">'Player Data'!V205</f>
        <v>info@medimurjesc.hr</v>
      </c>
      <c r="Y205" s="28" t="str">
        <f aca="false">'Player Data'!W205</f>
        <v>Club sporting director / first-team office</v>
      </c>
      <c r="Z205" s="28" t="str">
        <f aca="false">'Player Data'!X205</f>
        <v>HNS (Croatian Football Federation) player registry</v>
      </c>
      <c r="AA205" s="19" t="str">
        <f aca="false">HYPERLINK("https://www.transfermarkt.com/schnellsuche/ergebnis/schnellsuche?query="&amp;SUBSTITUTE(A205," ","+"),"Search Transfermarkt")</f>
        <v>Search Transfermarkt</v>
      </c>
      <c r="AB205" s="29" t="n">
        <f aca="false">IFERROR('Player Data'!K205/('Player Data'!K205+'Player Data'!L205),0)</f>
        <v>0.671232876712329</v>
      </c>
      <c r="AC205" s="21" t="str">
        <f aca="false">IF(B205="GK",IF(AND(O205&gt;=Assumptions!$B$23,N205&gt;=Assumptions!$B$23),"Sweeper-Keeper / Build-from-the-Back",IF(O205&gt;=Assumptions!$B$23,"Sweeper-Keeper / High Line",IF(M205&gt;=Assumptions!$B$23,"Shot-Stopper / Traditional","Flexible / Multi-System"))),IF(AND(O205&gt;=Assumptions!$B$23,P205&gt;=Assumptions!$B$24),"High Press / Gegenpressing",IF(AND(N205&gt;=Assumptions!$B$23,AB205&gt;=Assumptions!$B$25),"Possession / Build-from-the-Back",IF(N205&gt;=Assumptions!$B$23,"Counter-Attack / Transition",IF(AND(O205&gt;=Assumptions!$B$23,N205&lt;Assumptions!$B$26),"Low Block / Park the Bus",IF(AND(B205="FW",M205&gt;=Assumptions!$B$23,N205&lt;Assumptions!$B$26),"Direct / Target Approach","Flexible / Multi-System"))))))</f>
        <v>Possession / Build-from-the-Back</v>
      </c>
      <c r="AD205" s="21" t="str">
        <f aca="false">'Player Data'!Y205</f>
        <v>2026-07-17</v>
      </c>
      <c r="AE205" s="21" t="str">
        <f aca="false">'Player Data'!Z205</f>
        <v>2026-07-17</v>
      </c>
      <c r="AF205" s="28" t="str">
        <f aca="false">IFERROR(INDEX(Assumptions!$B$30:$B$61,MATCH(C205,Assumptions!$A$30:$A$61,0)),"--")</f>
        <v>Austria, Turkey</v>
      </c>
      <c r="AG205" s="30" t="str">
        <f aca="false">IF(R205&gt;=0.7,"Step-Up Candidate",IF(R205&gt;=0.4,"Lateral Move","Stay &amp; Develop"))</f>
        <v>Lateral Move</v>
      </c>
    </row>
    <row r="206" customFormat="false" ht="23.85" hidden="false" customHeight="false" outlineLevel="0" collapsed="false">
      <c r="A206" s="21" t="str">
        <f aca="false">'Player Data'!A206</f>
        <v>Gentian Bardhi</v>
      </c>
      <c r="B206" s="21" t="str">
        <f aca="false">'Player Data'!F206</f>
        <v>MF</v>
      </c>
      <c r="C206" s="21" t="str">
        <f aca="false">'Player Data'!B206</f>
        <v>Albania</v>
      </c>
      <c r="D206" s="21" t="str">
        <f aca="false">'Player Data'!C206</f>
        <v>Albania Third Tier - North</v>
      </c>
      <c r="E206" s="21" t="n">
        <f aca="false">'Player Data'!D206</f>
        <v>3</v>
      </c>
      <c r="F206" s="21" t="n">
        <f aca="false">'Player Data'!G206</f>
        <v>23</v>
      </c>
      <c r="G206" s="21" t="n">
        <f aca="false">'Player Data'!H206</f>
        <v>1815</v>
      </c>
      <c r="H206" s="22" t="n">
        <f aca="false">IF(B206="GK",IFERROR(('Player Data'!N206-1.5*'Player Data'!O206)/'Player Data'!H206*90,0),IFERROR(('Player Data'!I206+'Player Data'!J206)/'Player Data'!H206*90,0))</f>
        <v>0.347107438016529</v>
      </c>
      <c r="I206" s="22" t="n">
        <f aca="false">IF(B206="GK",'Player Data'!P206,IFERROR(('Player Data'!K206+'Player Data'!L206)/'Player Data'!H206*90,0))</f>
        <v>12.099173553719</v>
      </c>
      <c r="J206" s="22" t="n">
        <f aca="false">IF(B206="GK",IFERROR('Player Data'!Q206/'Player Data'!H206*90,0),IFERROR('Player Data'!M206/'Player Data'!H206*90,0))</f>
        <v>1.93388429752066</v>
      </c>
      <c r="K206" s="23" t="n">
        <f aca="false">'Player Data'!S206</f>
        <v>105205</v>
      </c>
      <c r="L206" s="22" t="n">
        <f aca="false">INDEX(Assumptions!$B$13:$B$15,MATCH(E206,Assumptions!$A$13:$A$15,0))</f>
        <v>0.85</v>
      </c>
      <c r="M206" s="24" t="n">
        <f aca="false">IFERROR(SUMPRODUCT(($B$2:$B$1001=B206)*($H$2:$H$1001&lt;=H206))/SUMPRODUCT(($B$2:$B$1001=B206)*1),0)</f>
        <v>0.063973063973064</v>
      </c>
      <c r="N206" s="24" t="n">
        <f aca="false">IFERROR(SUMPRODUCT(($B$2:$B$1001=B206)*($I$2:$I$1001&lt;=I206))/SUMPRODUCT(($B$2:$B$1001=B206)*1),0)</f>
        <v>0.595959595959596</v>
      </c>
      <c r="O206" s="24" t="n">
        <f aca="false">IFERROR(SUMPRODUCT(($B$2:$B$1001=B206)*($J$2:$J$1001&lt;=J206))/SUMPRODUCT(($B$2:$B$1001=B206)*1),0)</f>
        <v>0.387205387205387</v>
      </c>
      <c r="P206" s="24" t="n">
        <f aca="false">IFERROR(SUMPRODUCT(($B$2:$B$1001=B206)*((0-$F$2:$F$1001)&lt;=(0-F206)))/SUMPRODUCT(($B$2:$B$1001=B206)*1),0)</f>
        <v>0.390572390572391</v>
      </c>
      <c r="Q206" s="25" t="n">
        <f aca="false">(M206*Assumptions!$B$5+N206*Assumptions!$B$6+O206*Assumptions!$B$7+P206*Assumptions!$B$8)*L206</f>
        <v>0.323114478114478</v>
      </c>
      <c r="R206" s="24" t="n">
        <f aca="false">IFERROR(SUMPRODUCT(($B$2:$B$1001=B206)*($Q$2:$Q$1001&lt;=Q206))/SUMPRODUCT(($B$2:$B$1001=B206)*1),0)</f>
        <v>0.292929292929293</v>
      </c>
      <c r="S206" s="24" t="n">
        <f aca="false">IFERROR(SUMPRODUCT(($B$2:$B$1001=B206)*($K$2:$K$1001&lt;=K206))/SUMPRODUCT(($B$2:$B$1001=B206)*1),0)</f>
        <v>0.754208754208754</v>
      </c>
      <c r="T206" s="26" t="n">
        <f aca="false">(R206-S206)*100</f>
        <v>-46.1279461279461</v>
      </c>
      <c r="U206" s="21" t="str">
        <f aca="false">'Player Data'!T206</f>
        <v>Unknown</v>
      </c>
      <c r="V206" s="27" t="n">
        <f aca="false">'Player Data'!U206</f>
        <v>2027</v>
      </c>
      <c r="W206" s="21" t="str">
        <f aca="false">IF(AND(T206&gt;=Assumptions!$B$19,U206="No"),"High Priority - Unrepresented",IF(T206&gt;=Assumptions!$B$19,"High Priority",IF(AND(T206&gt;=Assumptions!$B$20,U206="No"),"Watchlist - Unrepresented",IF(T206&gt;=Assumptions!$B$20,"Watchlist",""))))</f>
        <v/>
      </c>
      <c r="X206" s="21" t="str">
        <f aca="false">'Player Data'!V206</f>
        <v>info@vlorerovers.al</v>
      </c>
      <c r="Y206" s="28" t="str">
        <f aca="false">'Player Data'!W206</f>
        <v>Club sporting director / first-team office</v>
      </c>
      <c r="Z206" s="28" t="str">
        <f aca="false">'Player Data'!X206</f>
        <v>FSHF (Albanian Football Association) player registry</v>
      </c>
      <c r="AA206" s="19" t="str">
        <f aca="false">HYPERLINK("https://www.transfermarkt.com/schnellsuche/ergebnis/schnellsuche?query="&amp;SUBSTITUTE(A206," ","+"),"Search Transfermarkt")</f>
        <v>Search Transfermarkt</v>
      </c>
      <c r="AB206" s="29" t="n">
        <f aca="false">IFERROR('Player Data'!K206/('Player Data'!K206+'Player Data'!L206),0)</f>
        <v>0.610655737704918</v>
      </c>
      <c r="AC206" s="21" t="str">
        <f aca="false">IF(B206="GK",IF(AND(O206&gt;=Assumptions!$B$23,N206&gt;=Assumptions!$B$23),"Sweeper-Keeper / Build-from-the-Back",IF(O206&gt;=Assumptions!$B$23,"Sweeper-Keeper / High Line",IF(M206&gt;=Assumptions!$B$23,"Shot-Stopper / Traditional","Flexible / Multi-System"))),IF(AND(O206&gt;=Assumptions!$B$23,P206&gt;=Assumptions!$B$24),"High Press / Gegenpressing",IF(AND(N206&gt;=Assumptions!$B$23,AB206&gt;=Assumptions!$B$25),"Possession / Build-from-the-Back",IF(N206&gt;=Assumptions!$B$23,"Counter-Attack / Transition",IF(AND(O206&gt;=Assumptions!$B$23,N206&lt;Assumptions!$B$26),"Low Block / Park the Bus",IF(AND(B206="FW",M206&gt;=Assumptions!$B$23,N206&lt;Assumptions!$B$26),"Direct / Target Approach","Flexible / Multi-System"))))))</f>
        <v>Flexible / Multi-System</v>
      </c>
      <c r="AD206" s="21" t="str">
        <f aca="false">'Player Data'!Y206</f>
        <v>2026-07-17</v>
      </c>
      <c r="AE206" s="21" t="str">
        <f aca="false">'Player Data'!Z206</f>
        <v>2026-07-17</v>
      </c>
      <c r="AF206" s="28" t="str">
        <f aca="false">IFERROR(INDEX(Assumptions!$B$30:$B$61,MATCH(C206,Assumptions!$A$30:$A$61,0)),"--")</f>
        <v>Turkey, Poland</v>
      </c>
      <c r="AG206" s="30" t="str">
        <f aca="false">IF(R206&gt;=0.7,"Step-Up Candidate",IF(R206&gt;=0.4,"Lateral Move","Stay &amp; Develop"))</f>
        <v>Stay &amp; Develop</v>
      </c>
    </row>
    <row r="207" customFormat="false" ht="23.85" hidden="false" customHeight="false" outlineLevel="0" collapsed="false">
      <c r="A207" s="21" t="str">
        <f aca="false">'Player Data'!A207</f>
        <v>Aleksandar Milic</v>
      </c>
      <c r="B207" s="21" t="str">
        <f aca="false">'Player Data'!F207</f>
        <v>DF</v>
      </c>
      <c r="C207" s="21" t="str">
        <f aca="false">'Player Data'!B207</f>
        <v>Serbia</v>
      </c>
      <c r="D207" s="21" t="str">
        <f aca="false">'Player Data'!C207</f>
        <v>Serbia Second Division - West</v>
      </c>
      <c r="E207" s="21" t="n">
        <f aca="false">'Player Data'!D207</f>
        <v>2</v>
      </c>
      <c r="F207" s="21" t="n">
        <f aca="false">'Player Data'!G207</f>
        <v>23</v>
      </c>
      <c r="G207" s="21" t="n">
        <f aca="false">'Player Data'!H207</f>
        <v>2573</v>
      </c>
      <c r="H207" s="22" t="n">
        <f aca="false">IF(B207="GK",IFERROR(('Player Data'!N207-1.5*'Player Data'!O207)/'Player Data'!H207*90,0),IFERROR(('Player Data'!I207+'Player Data'!J207)/'Player Data'!H207*90,0))</f>
        <v>0.104935872522347</v>
      </c>
      <c r="I207" s="22" t="n">
        <f aca="false">IF(B207="GK",'Player Data'!P207,IFERROR(('Player Data'!K207+'Player Data'!L207)/'Player Data'!H207*90,0))</f>
        <v>3.25301204819277</v>
      </c>
      <c r="J207" s="22" t="n">
        <f aca="false">IF(B207="GK",IFERROR('Player Data'!Q207/'Player Data'!H207*90,0),IFERROR('Player Data'!M207/'Player Data'!H207*90,0))</f>
        <v>4.47726389428683</v>
      </c>
      <c r="K207" s="23" t="n">
        <f aca="false">'Player Data'!S207</f>
        <v>95869</v>
      </c>
      <c r="L207" s="22" t="n">
        <f aca="false">INDEX(Assumptions!$B$13:$B$15,MATCH(E207,Assumptions!$A$13:$A$15,0))</f>
        <v>1</v>
      </c>
      <c r="M207" s="24" t="n">
        <f aca="false">IFERROR(SUMPRODUCT(($B$2:$B$1001=B207)*($H$2:$H$1001&lt;=H207))/SUMPRODUCT(($B$2:$B$1001=B207)*1),0)</f>
        <v>0.210884353741497</v>
      </c>
      <c r="N207" s="24" t="n">
        <f aca="false">IFERROR(SUMPRODUCT(($B$2:$B$1001=B207)*($I$2:$I$1001&lt;=I207))/SUMPRODUCT(($B$2:$B$1001=B207)*1),0)</f>
        <v>0.156462585034014</v>
      </c>
      <c r="O207" s="24" t="n">
        <f aca="false">IFERROR(SUMPRODUCT(($B$2:$B$1001=B207)*($J$2:$J$1001&lt;=J207))/SUMPRODUCT(($B$2:$B$1001=B207)*1),0)</f>
        <v>0.350340136054422</v>
      </c>
      <c r="P207" s="24" t="n">
        <f aca="false">IFERROR(SUMPRODUCT(($B$2:$B$1001=B207)*((0-$F$2:$F$1001)&lt;=(0-F207)))/SUMPRODUCT(($B$2:$B$1001=B207)*1),0)</f>
        <v>0.374149659863946</v>
      </c>
      <c r="Q207" s="25" t="n">
        <f aca="false">(M207*Assumptions!$B$5+N207*Assumptions!$B$6+O207*Assumptions!$B$7+P207*Assumptions!$B$8)*L207</f>
        <v>0.252380952380952</v>
      </c>
      <c r="R207" s="24" t="n">
        <f aca="false">IFERROR(SUMPRODUCT(($B$2:$B$1001=B207)*($Q$2:$Q$1001&lt;=Q207))/SUMPRODUCT(($B$2:$B$1001=B207)*1),0)</f>
        <v>0.166666666666667</v>
      </c>
      <c r="S207" s="24" t="n">
        <f aca="false">IFERROR(SUMPRODUCT(($B$2:$B$1001=B207)*($K$2:$K$1001&lt;=K207))/SUMPRODUCT(($B$2:$B$1001=B207)*1),0)</f>
        <v>0.710884353741497</v>
      </c>
      <c r="T207" s="26" t="n">
        <f aca="false">(R207-S207)*100</f>
        <v>-54.421768707483</v>
      </c>
      <c r="U207" s="21" t="str">
        <f aca="false">'Player Data'!T207</f>
        <v>Yes</v>
      </c>
      <c r="V207" s="27" t="n">
        <f aca="false">'Player Data'!U207</f>
        <v>2029</v>
      </c>
      <c r="W207" s="21" t="str">
        <f aca="false">IF(AND(T207&gt;=Assumptions!$B$19,U207="No"),"High Priority - Unrepresented",IF(T207&gt;=Assumptions!$B$19,"High Priority",IF(AND(T207&gt;=Assumptions!$B$20,U207="No"),"Watchlist - Unrepresented",IF(T207&gt;=Assumptions!$B$20,"Watchlist",""))))</f>
        <v/>
      </c>
      <c r="X207" s="21" t="str">
        <f aca="false">'Player Data'!V207</f>
        <v>info@nisunited.rs</v>
      </c>
      <c r="Y207" s="28" t="str">
        <f aca="false">'Player Data'!W207</f>
        <v>Go through the player's agent - ask the club to confirm representation first</v>
      </c>
      <c r="Z207" s="28" t="str">
        <f aca="false">'Player Data'!X207</f>
        <v>FSS (Football Association of Serbia) player registry</v>
      </c>
      <c r="AA207" s="19" t="str">
        <f aca="false">HYPERLINK("https://www.transfermarkt.com/schnellsuche/ergebnis/schnellsuche?query="&amp;SUBSTITUTE(A207," ","+"),"Search Transfermarkt")</f>
        <v>Search Transfermarkt</v>
      </c>
      <c r="AB207" s="29" t="n">
        <f aca="false">IFERROR('Player Data'!K207/('Player Data'!K207+'Player Data'!L207),0)</f>
        <v>0.580645161290323</v>
      </c>
      <c r="AC207" s="21" t="str">
        <f aca="false">IF(B207="GK",IF(AND(O207&gt;=Assumptions!$B$23,N207&gt;=Assumptions!$B$23),"Sweeper-Keeper / Build-from-the-Back",IF(O207&gt;=Assumptions!$B$23,"Sweeper-Keeper / High Line",IF(M207&gt;=Assumptions!$B$23,"Shot-Stopper / Traditional","Flexible / Multi-System"))),IF(AND(O207&gt;=Assumptions!$B$23,P207&gt;=Assumptions!$B$24),"High Press / Gegenpressing",IF(AND(N207&gt;=Assumptions!$B$23,AB207&gt;=Assumptions!$B$25),"Possession / Build-from-the-Back",IF(N207&gt;=Assumptions!$B$23,"Counter-Attack / Transition",IF(AND(O207&gt;=Assumptions!$B$23,N207&lt;Assumptions!$B$26),"Low Block / Park the Bus",IF(AND(B207="FW",M207&gt;=Assumptions!$B$23,N207&lt;Assumptions!$B$26),"Direct / Target Approach","Flexible / Multi-System"))))))</f>
        <v>Flexible / Multi-System</v>
      </c>
      <c r="AD207" s="21" t="str">
        <f aca="false">'Player Data'!Y207</f>
        <v>2026-07-17</v>
      </c>
      <c r="AE207" s="21" t="str">
        <f aca="false">'Player Data'!Z207</f>
        <v>2026-07-17</v>
      </c>
      <c r="AF207" s="28" t="str">
        <f aca="false">IFERROR(INDEX(Assumptions!$B$30:$B$61,MATCH(C207,Assumptions!$A$30:$A$61,0)),"--")</f>
        <v>Austria, Turkey</v>
      </c>
      <c r="AG207" s="30" t="str">
        <f aca="false">IF(R207&gt;=0.7,"Step-Up Candidate",IF(R207&gt;=0.4,"Lateral Move","Stay &amp; Develop"))</f>
        <v>Stay &amp; Develop</v>
      </c>
    </row>
    <row r="208" customFormat="false" ht="23.85" hidden="false" customHeight="false" outlineLevel="0" collapsed="false">
      <c r="A208" s="21" t="str">
        <f aca="false">'Player Data'!A208</f>
        <v>Yuto Suzuki</v>
      </c>
      <c r="B208" s="21" t="str">
        <f aca="false">'Player Data'!F208</f>
        <v>FW</v>
      </c>
      <c r="C208" s="21" t="str">
        <f aca="false">'Player Data'!B208</f>
        <v>Japan</v>
      </c>
      <c r="D208" s="21" t="str">
        <f aca="false">'Player Data'!C208</f>
        <v>Japan Provincial League</v>
      </c>
      <c r="E208" s="21" t="n">
        <f aca="false">'Player Data'!D208</f>
        <v>2</v>
      </c>
      <c r="F208" s="21" t="n">
        <f aca="false">'Player Data'!G208</f>
        <v>26</v>
      </c>
      <c r="G208" s="21" t="n">
        <f aca="false">'Player Data'!H208</f>
        <v>1128</v>
      </c>
      <c r="H208" s="22" t="n">
        <f aca="false">IF(B208="GK",IFERROR(('Player Data'!N208-1.5*'Player Data'!O208)/'Player Data'!H208*90,0),IFERROR(('Player Data'!I208+'Player Data'!J208)/'Player Data'!H208*90,0))</f>
        <v>2.07446808510638</v>
      </c>
      <c r="I208" s="22" t="n">
        <f aca="false">IF(B208="GK",'Player Data'!P208,IFERROR(('Player Data'!K208+'Player Data'!L208)/'Player Data'!H208*90,0))</f>
        <v>8.53723404255319</v>
      </c>
      <c r="J208" s="22" t="n">
        <f aca="false">IF(B208="GK",IFERROR('Player Data'!Q208/'Player Data'!H208*90,0),IFERROR('Player Data'!M208/'Player Data'!H208*90,0))</f>
        <v>0.398936170212766</v>
      </c>
      <c r="K208" s="23" t="n">
        <f aca="false">'Player Data'!S208</f>
        <v>67622</v>
      </c>
      <c r="L208" s="22" t="n">
        <f aca="false">INDEX(Assumptions!$B$13:$B$15,MATCH(E208,Assumptions!$A$13:$A$15,0))</f>
        <v>1</v>
      </c>
      <c r="M208" s="24" t="n">
        <f aca="false">IFERROR(SUMPRODUCT(($B$2:$B$1001=B208)*($H$2:$H$1001&lt;=H208))/SUMPRODUCT(($B$2:$B$1001=B208)*1),0)</f>
        <v>0.951327433628319</v>
      </c>
      <c r="N208" s="24" t="n">
        <f aca="false">IFERROR(SUMPRODUCT(($B$2:$B$1001=B208)*($I$2:$I$1001&lt;=I208))/SUMPRODUCT(($B$2:$B$1001=B208)*1),0)</f>
        <v>0.716814159292035</v>
      </c>
      <c r="O208" s="24" t="n">
        <f aca="false">IFERROR(SUMPRODUCT(($B$2:$B$1001=B208)*($J$2:$J$1001&lt;=J208))/SUMPRODUCT(($B$2:$B$1001=B208)*1),0)</f>
        <v>0.336283185840708</v>
      </c>
      <c r="P208" s="24" t="n">
        <f aca="false">IFERROR(SUMPRODUCT(($B$2:$B$1001=B208)*((0-$F$2:$F$1001)&lt;=(0-F208)))/SUMPRODUCT(($B$2:$B$1001=B208)*1),0)</f>
        <v>0.0929203539823009</v>
      </c>
      <c r="Q208" s="25" t="n">
        <f aca="false">(M208*Assumptions!$B$5+N208*Assumptions!$B$6+O208*Assumptions!$B$7+P208*Assumptions!$B$8)*L208</f>
        <v>0.574557522123894</v>
      </c>
      <c r="R208" s="24" t="n">
        <f aca="false">IFERROR(SUMPRODUCT(($B$2:$B$1001=B208)*($Q$2:$Q$1001&lt;=Q208))/SUMPRODUCT(($B$2:$B$1001=B208)*1),0)</f>
        <v>0.721238938053097</v>
      </c>
      <c r="S208" s="24" t="n">
        <f aca="false">IFERROR(SUMPRODUCT(($B$2:$B$1001=B208)*($K$2:$K$1001&lt;=K208))/SUMPRODUCT(($B$2:$B$1001=B208)*1),0)</f>
        <v>0.548672566371681</v>
      </c>
      <c r="T208" s="26" t="n">
        <f aca="false">(R208-S208)*100</f>
        <v>17.2566371681416</v>
      </c>
      <c r="U208" s="21" t="str">
        <f aca="false">'Player Data'!T208</f>
        <v>Yes</v>
      </c>
      <c r="V208" s="27" t="n">
        <f aca="false">'Player Data'!U208</f>
        <v>2029</v>
      </c>
      <c r="W208" s="21" t="str">
        <f aca="false">IF(AND(T208&gt;=Assumptions!$B$19,U208="No"),"High Priority - Unrepresented",IF(T208&gt;=Assumptions!$B$19,"High Priority",IF(AND(T208&gt;=Assumptions!$B$20,U208="No"),"Watchlist - Unrepresented",IF(T208&gt;=Assumptions!$B$20,"Watchlist",""))))</f>
        <v/>
      </c>
      <c r="X208" s="21" t="str">
        <f aca="false">'Player Data'!V208</f>
        <v>info@fukuokaunited.jp</v>
      </c>
      <c r="Y208" s="28" t="str">
        <f aca="false">'Player Data'!W208</f>
        <v>Go through the player's agent - ask the club to confirm representation first</v>
      </c>
      <c r="Z208" s="28" t="str">
        <f aca="false">'Player Data'!X208</f>
        <v>JFA (Japan Football Association) player registry</v>
      </c>
      <c r="AA208" s="19" t="str">
        <f aca="false">HYPERLINK("https://www.transfermarkt.com/schnellsuche/ergebnis/schnellsuche?query="&amp;SUBSTITUTE(A208," ","+"),"Search Transfermarkt")</f>
        <v>Search Transfermarkt</v>
      </c>
      <c r="AB208" s="29" t="n">
        <f aca="false">IFERROR('Player Data'!K208/('Player Data'!K208+'Player Data'!L208),0)</f>
        <v>0.457943925233645</v>
      </c>
      <c r="AC208" s="21" t="str">
        <f aca="false">IF(B208="GK",IF(AND(O208&gt;=Assumptions!$B$23,N208&gt;=Assumptions!$B$23),"Sweeper-Keeper / Build-from-the-Back",IF(O208&gt;=Assumptions!$B$23,"Sweeper-Keeper / High Line",IF(M208&gt;=Assumptions!$B$23,"Shot-Stopper / Traditional","Flexible / Multi-System"))),IF(AND(O208&gt;=Assumptions!$B$23,P208&gt;=Assumptions!$B$24),"High Press / Gegenpressing",IF(AND(N208&gt;=Assumptions!$B$23,AB208&gt;=Assumptions!$B$25),"Possession / Build-from-the-Back",IF(N208&gt;=Assumptions!$B$23,"Counter-Attack / Transition",IF(AND(O208&gt;=Assumptions!$B$23,N208&lt;Assumptions!$B$26),"Low Block / Park the Bus",IF(AND(B208="FW",M208&gt;=Assumptions!$B$23,N208&lt;Assumptions!$B$26),"Direct / Target Approach","Flexible / Multi-System"))))))</f>
        <v>Counter-Attack / Transition</v>
      </c>
      <c r="AD208" s="21" t="str">
        <f aca="false">'Player Data'!Y208</f>
        <v>2026-07-17</v>
      </c>
      <c r="AE208" s="21" t="str">
        <f aca="false">'Player Data'!Z208</f>
        <v>2026-07-17</v>
      </c>
      <c r="AF208" s="28" t="str">
        <f aca="false">IFERROR(INDEX(Assumptions!$B$30:$B$61,MATCH(C208,Assumptions!$A$30:$A$61,0)),"--")</f>
        <v>Belgium, Australia</v>
      </c>
      <c r="AG208" s="30" t="str">
        <f aca="false">IF(R208&gt;=0.7,"Step-Up Candidate",IF(R208&gt;=0.4,"Lateral Move","Stay &amp; Develop"))</f>
        <v>Step-Up Candidate</v>
      </c>
    </row>
    <row r="209" customFormat="false" ht="23.85" hidden="false" customHeight="false" outlineLevel="0" collapsed="false">
      <c r="A209" s="21" t="str">
        <f aca="false">'Player Data'!A209</f>
        <v>Ethan Wilson</v>
      </c>
      <c r="B209" s="21" t="str">
        <f aca="false">'Player Data'!F209</f>
        <v>FW</v>
      </c>
      <c r="C209" s="21" t="str">
        <f aca="false">'Player Data'!B209</f>
        <v>New Zealand</v>
      </c>
      <c r="D209" s="21" t="str">
        <f aca="false">'Player Data'!C209</f>
        <v>New Zealand Regional League</v>
      </c>
      <c r="E209" s="21" t="n">
        <f aca="false">'Player Data'!D209</f>
        <v>2</v>
      </c>
      <c r="F209" s="21" t="n">
        <f aca="false">'Player Data'!G209</f>
        <v>17</v>
      </c>
      <c r="G209" s="21" t="n">
        <f aca="false">'Player Data'!H209</f>
        <v>1572</v>
      </c>
      <c r="H209" s="22" t="n">
        <f aca="false">IF(B209="GK",IFERROR(('Player Data'!N209-1.5*'Player Data'!O209)/'Player Data'!H209*90,0),IFERROR(('Player Data'!I209+'Player Data'!J209)/'Player Data'!H209*90,0))</f>
        <v>1.14503816793893</v>
      </c>
      <c r="I209" s="22" t="n">
        <f aca="false">IF(B209="GK",'Player Data'!P209,IFERROR(('Player Data'!K209+'Player Data'!L209)/'Player Data'!H209*90,0))</f>
        <v>8.87404580152672</v>
      </c>
      <c r="J209" s="22" t="n">
        <f aca="false">IF(B209="GK",IFERROR('Player Data'!Q209/'Player Data'!H209*90,0),IFERROR('Player Data'!M209/'Player Data'!H209*90,0))</f>
        <v>0.801526717557252</v>
      </c>
      <c r="K209" s="23" t="n">
        <f aca="false">'Player Data'!S209</f>
        <v>122361</v>
      </c>
      <c r="L209" s="22" t="n">
        <f aca="false">INDEX(Assumptions!$B$13:$B$15,MATCH(E209,Assumptions!$A$13:$A$15,0))</f>
        <v>1</v>
      </c>
      <c r="M209" s="24" t="n">
        <f aca="false">IFERROR(SUMPRODUCT(($B$2:$B$1001=B209)*($H$2:$H$1001&lt;=H209))/SUMPRODUCT(($B$2:$B$1001=B209)*1),0)</f>
        <v>0.650442477876106</v>
      </c>
      <c r="N209" s="24" t="n">
        <f aca="false">IFERROR(SUMPRODUCT(($B$2:$B$1001=B209)*($I$2:$I$1001&lt;=I209))/SUMPRODUCT(($B$2:$B$1001=B209)*1),0)</f>
        <v>0.752212389380531</v>
      </c>
      <c r="O209" s="24" t="n">
        <f aca="false">IFERROR(SUMPRODUCT(($B$2:$B$1001=B209)*($J$2:$J$1001&lt;=J209))/SUMPRODUCT(($B$2:$B$1001=B209)*1),0)</f>
        <v>0.778761061946903</v>
      </c>
      <c r="P209" s="24" t="n">
        <f aca="false">IFERROR(SUMPRODUCT(($B$2:$B$1001=B209)*((0-$F$2:$F$1001)&lt;=(0-F209)))/SUMPRODUCT(($B$2:$B$1001=B209)*1),0)</f>
        <v>1</v>
      </c>
      <c r="Q209" s="25" t="n">
        <f aca="false">(M209*Assumptions!$B$5+N209*Assumptions!$B$6+O209*Assumptions!$B$7+P209*Assumptions!$B$8)*L209</f>
        <v>0.781637168141593</v>
      </c>
      <c r="R209" s="24" t="n">
        <f aca="false">IFERROR(SUMPRODUCT(($B$2:$B$1001=B209)*($Q$2:$Q$1001&lt;=Q209))/SUMPRODUCT(($B$2:$B$1001=B209)*1),0)</f>
        <v>0.920353982300885</v>
      </c>
      <c r="S209" s="24" t="n">
        <f aca="false">IFERROR(SUMPRODUCT(($B$2:$B$1001=B209)*($K$2:$K$1001&lt;=K209))/SUMPRODUCT(($B$2:$B$1001=B209)*1),0)</f>
        <v>0.858407079646018</v>
      </c>
      <c r="T209" s="26" t="n">
        <f aca="false">(R209-S209)*100</f>
        <v>6.19469026548672</v>
      </c>
      <c r="U209" s="21" t="str">
        <f aca="false">'Player Data'!T209</f>
        <v>Unknown</v>
      </c>
      <c r="V209" s="27" t="n">
        <f aca="false">'Player Data'!U209</f>
        <v>2029</v>
      </c>
      <c r="W209" s="21" t="str">
        <f aca="false">IF(AND(T209&gt;=Assumptions!$B$19,U209="No"),"High Priority - Unrepresented",IF(T209&gt;=Assumptions!$B$19,"High Priority",IF(AND(T209&gt;=Assumptions!$B$20,U209="No"),"Watchlist - Unrepresented",IF(T209&gt;=Assumptions!$B$20,"Watchlist",""))))</f>
        <v/>
      </c>
      <c r="X209" s="21" t="str">
        <f aca="false">'Player Data'!V209</f>
        <v>info@hamiltonrovers.nz</v>
      </c>
      <c r="Y209" s="28" t="str">
        <f aca="false">'Player Data'!W209</f>
        <v>Club youth/academy office ONLY - player is a minor, do not contact directly</v>
      </c>
      <c r="Z209" s="28" t="str">
        <f aca="false">'Player Data'!X209</f>
        <v>NZF (New Zealand Football) player registry</v>
      </c>
      <c r="AA209" s="19" t="str">
        <f aca="false">HYPERLINK("https://www.transfermarkt.com/schnellsuche/ergebnis/schnellsuche?query="&amp;SUBSTITUTE(A209," ","+"),"Search Transfermarkt")</f>
        <v>Search Transfermarkt</v>
      </c>
      <c r="AB209" s="29" t="n">
        <f aca="false">IFERROR('Player Data'!K209/('Player Data'!K209+'Player Data'!L209),0)</f>
        <v>0.393548387096774</v>
      </c>
      <c r="AC209" s="21" t="str">
        <f aca="false">IF(B209="GK",IF(AND(O209&gt;=Assumptions!$B$23,N209&gt;=Assumptions!$B$23),"Sweeper-Keeper / Build-from-the-Back",IF(O209&gt;=Assumptions!$B$23,"Sweeper-Keeper / High Line",IF(M209&gt;=Assumptions!$B$23,"Shot-Stopper / Traditional","Flexible / Multi-System"))),IF(AND(O209&gt;=Assumptions!$B$23,P209&gt;=Assumptions!$B$24),"High Press / Gegenpressing",IF(AND(N209&gt;=Assumptions!$B$23,AB209&gt;=Assumptions!$B$25),"Possession / Build-from-the-Back",IF(N209&gt;=Assumptions!$B$23,"Counter-Attack / Transition",IF(AND(O209&gt;=Assumptions!$B$23,N209&lt;Assumptions!$B$26),"Low Block / Park the Bus",IF(AND(B209="FW",M209&gt;=Assumptions!$B$23,N209&lt;Assumptions!$B$26),"Direct / Target Approach","Flexible / Multi-System"))))))</f>
        <v>High Press / Gegenpressing</v>
      </c>
      <c r="AD209" s="21" t="str">
        <f aca="false">'Player Data'!Y209</f>
        <v>2026-07-17</v>
      </c>
      <c r="AE209" s="21" t="str">
        <f aca="false">'Player Data'!Z209</f>
        <v>2026-07-17</v>
      </c>
      <c r="AF209" s="28" t="str">
        <f aca="false">IFERROR(INDEX(Assumptions!$B$30:$B$61,MATCH(C209,Assumptions!$A$30:$A$61,0)),"--")</f>
        <v>Australia, United States</v>
      </c>
      <c r="AG209" s="30" t="str">
        <f aca="false">IF(R209&gt;=0.7,"Step-Up Candidate",IF(R209&gt;=0.4,"Lateral Move","Stay &amp; Develop"))</f>
        <v>Step-Up Candidate</v>
      </c>
    </row>
    <row r="210" customFormat="false" ht="23.85" hidden="false" customHeight="false" outlineLevel="0" collapsed="false">
      <c r="A210" s="21" t="str">
        <f aca="false">'Player Data'!A210</f>
        <v>Wuilker Gonzalez</v>
      </c>
      <c r="B210" s="21" t="str">
        <f aca="false">'Player Data'!F210</f>
        <v>MF</v>
      </c>
      <c r="C210" s="21" t="str">
        <f aca="false">'Player Data'!B210</f>
        <v>Venezuela</v>
      </c>
      <c r="D210" s="21" t="str">
        <f aca="false">'Player Data'!C210</f>
        <v>Venezuela Third Tier - South</v>
      </c>
      <c r="E210" s="21" t="n">
        <f aca="false">'Player Data'!D210</f>
        <v>3</v>
      </c>
      <c r="F210" s="21" t="n">
        <f aca="false">'Player Data'!G210</f>
        <v>21</v>
      </c>
      <c r="G210" s="21" t="n">
        <f aca="false">'Player Data'!H210</f>
        <v>2353</v>
      </c>
      <c r="H210" s="22" t="n">
        <f aca="false">IF(B210="GK",IFERROR(('Player Data'!N210-1.5*'Player Data'!O210)/'Player Data'!H210*90,0),IFERROR(('Player Data'!I210+'Player Data'!J210)/'Player Data'!H210*90,0))</f>
        <v>0.573735656608585</v>
      </c>
      <c r="I210" s="22" t="n">
        <f aca="false">IF(B210="GK",'Player Data'!P210,IFERROR(('Player Data'!K210+'Player Data'!L210)/'Player Data'!H210*90,0))</f>
        <v>7.03782405439864</v>
      </c>
      <c r="J210" s="22" t="n">
        <f aca="false">IF(B210="GK",IFERROR('Player Data'!Q210/'Player Data'!H210*90,0),IFERROR('Player Data'!M210/'Player Data'!H210*90,0))</f>
        <v>1.83595410114747</v>
      </c>
      <c r="K210" s="23" t="n">
        <f aca="false">'Player Data'!S210</f>
        <v>9609</v>
      </c>
      <c r="L210" s="22" t="n">
        <f aca="false">INDEX(Assumptions!$B$13:$B$15,MATCH(E210,Assumptions!$A$13:$A$15,0))</f>
        <v>0.85</v>
      </c>
      <c r="M210" s="24" t="n">
        <f aca="false">IFERROR(SUMPRODUCT(($B$2:$B$1001=B210)*($H$2:$H$1001&lt;=H210))/SUMPRODUCT(($B$2:$B$1001=B210)*1),0)</f>
        <v>0.296296296296296</v>
      </c>
      <c r="N210" s="24" t="n">
        <f aca="false">IFERROR(SUMPRODUCT(($B$2:$B$1001=B210)*($I$2:$I$1001&lt;=I210))/SUMPRODUCT(($B$2:$B$1001=B210)*1),0)</f>
        <v>0.063973063973064</v>
      </c>
      <c r="O210" s="24" t="n">
        <f aca="false">IFERROR(SUMPRODUCT(($B$2:$B$1001=B210)*($J$2:$J$1001&lt;=J210))/SUMPRODUCT(($B$2:$B$1001=B210)*1),0)</f>
        <v>0.346801346801347</v>
      </c>
      <c r="P210" s="24" t="n">
        <f aca="false">IFERROR(SUMPRODUCT(($B$2:$B$1001=B210)*((0-$F$2:$F$1001)&lt;=(0-F210)))/SUMPRODUCT(($B$2:$B$1001=B210)*1),0)</f>
        <v>0.61952861952862</v>
      </c>
      <c r="Q210" s="25" t="n">
        <f aca="false">(M210*Assumptions!$B$5+N210*Assumptions!$B$6+O210*Assumptions!$B$7+P210*Assumptions!$B$8)*L210</f>
        <v>0.246271043771044</v>
      </c>
      <c r="R210" s="24" t="n">
        <f aca="false">IFERROR(SUMPRODUCT(($B$2:$B$1001=B210)*($Q$2:$Q$1001&lt;=Q210))/SUMPRODUCT(($B$2:$B$1001=B210)*1),0)</f>
        <v>0.171717171717172</v>
      </c>
      <c r="S210" s="24" t="n">
        <f aca="false">IFERROR(SUMPRODUCT(($B$2:$B$1001=B210)*($K$2:$K$1001&lt;=K210))/SUMPRODUCT(($B$2:$B$1001=B210)*1),0)</f>
        <v>0.239057239057239</v>
      </c>
      <c r="T210" s="26" t="n">
        <f aca="false">(R210-S210)*100</f>
        <v>-6.73400673400673</v>
      </c>
      <c r="U210" s="21" t="str">
        <f aca="false">'Player Data'!T210</f>
        <v>No</v>
      </c>
      <c r="V210" s="27" t="n">
        <f aca="false">'Player Data'!U210</f>
        <v>2027</v>
      </c>
      <c r="W210" s="21" t="str">
        <f aca="false">IF(AND(T210&gt;=Assumptions!$B$19,U210="No"),"High Priority - Unrepresented",IF(T210&gt;=Assumptions!$B$19,"High Priority",IF(AND(T210&gt;=Assumptions!$B$20,U210="No"),"Watchlist - Unrepresented",IF(T210&gt;=Assumptions!$B$20,"Watchlist",""))))</f>
        <v/>
      </c>
      <c r="X210" s="21" t="str">
        <f aca="false">'Player Data'!V210</f>
        <v>info@barquisimetowanderers.ve</v>
      </c>
      <c r="Y210" s="28" t="str">
        <f aca="false">'Player Data'!W210</f>
        <v>Club sporting director / first-team office</v>
      </c>
      <c r="Z210" s="28" t="str">
        <f aca="false">'Player Data'!X210</f>
        <v>FVF (Venezuelan Football Federation) player registry</v>
      </c>
      <c r="AA210" s="19" t="str">
        <f aca="false">HYPERLINK("https://www.transfermarkt.com/schnellsuche/ergebnis/schnellsuche?query="&amp;SUBSTITUTE(A210," ","+"),"Search Transfermarkt")</f>
        <v>Search Transfermarkt</v>
      </c>
      <c r="AB210" s="29" t="n">
        <f aca="false">IFERROR('Player Data'!K210/('Player Data'!K210+'Player Data'!L210),0)</f>
        <v>0.711956521739131</v>
      </c>
      <c r="AC210" s="21" t="str">
        <f aca="false">IF(B210="GK",IF(AND(O210&gt;=Assumptions!$B$23,N210&gt;=Assumptions!$B$23),"Sweeper-Keeper / Build-from-the-Back",IF(O210&gt;=Assumptions!$B$23,"Sweeper-Keeper / High Line",IF(M210&gt;=Assumptions!$B$23,"Shot-Stopper / Traditional","Flexible / Multi-System"))),IF(AND(O210&gt;=Assumptions!$B$23,P210&gt;=Assumptions!$B$24),"High Press / Gegenpressing",IF(AND(N210&gt;=Assumptions!$B$23,AB210&gt;=Assumptions!$B$25),"Possession / Build-from-the-Back",IF(N210&gt;=Assumptions!$B$23,"Counter-Attack / Transition",IF(AND(O210&gt;=Assumptions!$B$23,N210&lt;Assumptions!$B$26),"Low Block / Park the Bus",IF(AND(B210="FW",M210&gt;=Assumptions!$B$23,N210&lt;Assumptions!$B$26),"Direct / Target Approach","Flexible / Multi-System"))))))</f>
        <v>Flexible / Multi-System</v>
      </c>
      <c r="AD210" s="21" t="str">
        <f aca="false">'Player Data'!Y210</f>
        <v>2026-07-17</v>
      </c>
      <c r="AE210" s="21" t="str">
        <f aca="false">'Player Data'!Z210</f>
        <v>2026-07-17</v>
      </c>
      <c r="AF210" s="28" t="str">
        <f aca="false">IFERROR(INDEX(Assumptions!$B$30:$B$61,MATCH(C210,Assumptions!$A$30:$A$61,0)),"--")</f>
        <v>Argentina, Portugal</v>
      </c>
      <c r="AG210" s="30" t="str">
        <f aca="false">IF(R210&gt;=0.7,"Step-Up Candidate",IF(R210&gt;=0.4,"Lateral Move","Stay &amp; Develop"))</f>
        <v>Stay &amp; Develop</v>
      </c>
    </row>
    <row r="211" customFormat="false" ht="23.85" hidden="false" customHeight="false" outlineLevel="0" collapsed="false">
      <c r="A211" s="21" t="str">
        <f aca="false">'Player Data'!A211</f>
        <v>Aron Halldorsson</v>
      </c>
      <c r="B211" s="21" t="str">
        <f aca="false">'Player Data'!F211</f>
        <v>DF</v>
      </c>
      <c r="C211" s="21" t="str">
        <f aca="false">'Player Data'!B211</f>
        <v>Iceland</v>
      </c>
      <c r="D211" s="21" t="str">
        <f aca="false">'Player Data'!C211</f>
        <v>Iceland Second Division - East</v>
      </c>
      <c r="E211" s="21" t="n">
        <f aca="false">'Player Data'!D211</f>
        <v>2</v>
      </c>
      <c r="F211" s="21" t="n">
        <f aca="false">'Player Data'!G211</f>
        <v>17</v>
      </c>
      <c r="G211" s="21" t="n">
        <f aca="false">'Player Data'!H211</f>
        <v>1861</v>
      </c>
      <c r="H211" s="22" t="n">
        <f aca="false">IF(B211="GK",IFERROR(('Player Data'!N211-1.5*'Player Data'!O211)/'Player Data'!H211*90,0),IFERROR(('Player Data'!I211+'Player Data'!J211)/'Player Data'!H211*90,0))</f>
        <v>0.145083288554541</v>
      </c>
      <c r="I211" s="22" t="n">
        <f aca="false">IF(B211="GK",'Player Data'!P211,IFERROR(('Player Data'!K211+'Player Data'!L211)/'Player Data'!H211*90,0))</f>
        <v>4.35249865663622</v>
      </c>
      <c r="J211" s="22" t="n">
        <f aca="false">IF(B211="GK",IFERROR('Player Data'!Q211/'Player Data'!H211*90,0),IFERROR('Player Data'!M211/'Player Data'!H211*90,0))</f>
        <v>4.78774852229984</v>
      </c>
      <c r="K211" s="23" t="n">
        <f aca="false">'Player Data'!S211</f>
        <v>0</v>
      </c>
      <c r="L211" s="22" t="n">
        <f aca="false">INDEX(Assumptions!$B$13:$B$15,MATCH(E211,Assumptions!$A$13:$A$15,0))</f>
        <v>1</v>
      </c>
      <c r="M211" s="24" t="n">
        <f aca="false">IFERROR(SUMPRODUCT(($B$2:$B$1001=B211)*($H$2:$H$1001&lt;=H211))/SUMPRODUCT(($B$2:$B$1001=B211)*1),0)</f>
        <v>0.350340136054422</v>
      </c>
      <c r="N211" s="24" t="n">
        <f aca="false">IFERROR(SUMPRODUCT(($B$2:$B$1001=B211)*($I$2:$I$1001&lt;=I211))/SUMPRODUCT(($B$2:$B$1001=B211)*1),0)</f>
        <v>0.469387755102041</v>
      </c>
      <c r="O211" s="24" t="n">
        <f aca="false">IFERROR(SUMPRODUCT(($B$2:$B$1001=B211)*($J$2:$J$1001&lt;=J211))/SUMPRODUCT(($B$2:$B$1001=B211)*1),0)</f>
        <v>0.414965986394558</v>
      </c>
      <c r="P211" s="24" t="n">
        <f aca="false">IFERROR(SUMPRODUCT(($B$2:$B$1001=B211)*((0-$F$2:$F$1001)&lt;=(0-F211)))/SUMPRODUCT(($B$2:$B$1001=B211)*1),0)</f>
        <v>1</v>
      </c>
      <c r="Q211" s="25" t="n">
        <f aca="false">(M211*Assumptions!$B$5+N211*Assumptions!$B$6+O211*Assumptions!$B$7+P211*Assumptions!$B$8)*L211</f>
        <v>0.534863945578231</v>
      </c>
      <c r="R211" s="24" t="n">
        <f aca="false">IFERROR(SUMPRODUCT(($B$2:$B$1001=B211)*($Q$2:$Q$1001&lt;=Q211))/SUMPRODUCT(($B$2:$B$1001=B211)*1),0)</f>
        <v>0.670068027210884</v>
      </c>
      <c r="S211" s="24" t="n">
        <f aca="false">IFERROR(SUMPRODUCT(($B$2:$B$1001=B211)*($K$2:$K$1001&lt;=K211))/SUMPRODUCT(($B$2:$B$1001=B211)*1),0)</f>
        <v>0.248299319727891</v>
      </c>
      <c r="T211" s="26" t="n">
        <f aca="false">(R211-S211)*100</f>
        <v>42.1768707482993</v>
      </c>
      <c r="U211" s="21" t="str">
        <f aca="false">'Player Data'!T211</f>
        <v>No</v>
      </c>
      <c r="V211" s="27" t="n">
        <f aca="false">'Player Data'!U211</f>
        <v>2029</v>
      </c>
      <c r="W211" s="21" t="str">
        <f aca="false">IF(AND(T211&gt;=Assumptions!$B$19,U211="No"),"High Priority - Unrepresented",IF(T211&gt;=Assumptions!$B$19,"High Priority",IF(AND(T211&gt;=Assumptions!$B$20,U211="No"),"Watchlist - Unrepresented",IF(T211&gt;=Assumptions!$B$20,"Watchlist",""))))</f>
        <v>High Priority - Unrepresented</v>
      </c>
      <c r="X211" s="21" t="str">
        <f aca="false">'Player Data'!V211</f>
        <v>info@selfosswanderers.is</v>
      </c>
      <c r="Y211" s="28" t="str">
        <f aca="false">'Player Data'!W211</f>
        <v>Club youth/academy office ONLY - player is a minor, do not contact directly</v>
      </c>
      <c r="Z211" s="28" t="str">
        <f aca="false">'Player Data'!X211</f>
        <v>KSI (Icelandic Football Association) player registry</v>
      </c>
      <c r="AA211" s="19" t="str">
        <f aca="false">HYPERLINK("https://www.transfermarkt.com/schnellsuche/ergebnis/schnellsuche?query="&amp;SUBSTITUTE(A211," ","+"),"Search Transfermarkt")</f>
        <v>Search Transfermarkt</v>
      </c>
      <c r="AB211" s="29" t="n">
        <f aca="false">IFERROR('Player Data'!K211/('Player Data'!K211+'Player Data'!L211),0)</f>
        <v>0.777777777777778</v>
      </c>
      <c r="AC211" s="21" t="str">
        <f aca="false">IF(B211="GK",IF(AND(O211&gt;=Assumptions!$B$23,N211&gt;=Assumptions!$B$23),"Sweeper-Keeper / Build-from-the-Back",IF(O211&gt;=Assumptions!$B$23,"Sweeper-Keeper / High Line",IF(M211&gt;=Assumptions!$B$23,"Shot-Stopper / Traditional","Flexible / Multi-System"))),IF(AND(O211&gt;=Assumptions!$B$23,P211&gt;=Assumptions!$B$24),"High Press / Gegenpressing",IF(AND(N211&gt;=Assumptions!$B$23,AB211&gt;=Assumptions!$B$25),"Possession / Build-from-the-Back",IF(N211&gt;=Assumptions!$B$23,"Counter-Attack / Transition",IF(AND(O211&gt;=Assumptions!$B$23,N211&lt;Assumptions!$B$26),"Low Block / Park the Bus",IF(AND(B211="FW",M211&gt;=Assumptions!$B$23,N211&lt;Assumptions!$B$26),"Direct / Target Approach","Flexible / Multi-System"))))))</f>
        <v>Flexible / Multi-System</v>
      </c>
      <c r="AD211" s="21" t="str">
        <f aca="false">'Player Data'!Y211</f>
        <v>2026-07-17</v>
      </c>
      <c r="AE211" s="21" t="str">
        <f aca="false">'Player Data'!Z211</f>
        <v>2026-07-17</v>
      </c>
      <c r="AF211" s="28" t="str">
        <f aca="false">IFERROR(INDEX(Assumptions!$B$30:$B$61,MATCH(C211,Assumptions!$A$30:$A$61,0)),"--")</f>
        <v>Norway, Belgium</v>
      </c>
      <c r="AG211" s="30" t="str">
        <f aca="false">IF(R211&gt;=0.7,"Step-Up Candidate",IF(R211&gt;=0.4,"Lateral Move","Stay &amp; Develop"))</f>
        <v>Lateral Move</v>
      </c>
    </row>
    <row r="212" customFormat="false" ht="23.85" hidden="false" customHeight="false" outlineLevel="0" collapsed="false">
      <c r="A212" s="21" t="str">
        <f aca="false">'Player Data'!A212</f>
        <v>Kristers Kalns</v>
      </c>
      <c r="B212" s="21" t="str">
        <f aca="false">'Player Data'!F212</f>
        <v>DF</v>
      </c>
      <c r="C212" s="21" t="str">
        <f aca="false">'Player Data'!B212</f>
        <v>Latvia</v>
      </c>
      <c r="D212" s="21" t="str">
        <f aca="false">'Player Data'!C212</f>
        <v>Latvia Third Tier - North</v>
      </c>
      <c r="E212" s="21" t="n">
        <f aca="false">'Player Data'!D212</f>
        <v>4</v>
      </c>
      <c r="F212" s="21" t="n">
        <f aca="false">'Player Data'!G212</f>
        <v>20</v>
      </c>
      <c r="G212" s="21" t="n">
        <f aca="false">'Player Data'!H212</f>
        <v>1193</v>
      </c>
      <c r="H212" s="22" t="n">
        <f aca="false">IF(B212="GK",IFERROR(('Player Data'!N212-1.5*'Player Data'!O212)/'Player Data'!H212*90,0),IFERROR(('Player Data'!I212+'Player Data'!J212)/'Player Data'!H212*90,0))</f>
        <v>0.452640402347024</v>
      </c>
      <c r="I212" s="22" t="n">
        <f aca="false">IF(B212="GK",'Player Data'!P212,IFERROR(('Player Data'!K212+'Player Data'!L212)/'Player Data'!H212*90,0))</f>
        <v>7.69488683989941</v>
      </c>
      <c r="J212" s="22" t="n">
        <f aca="false">IF(B212="GK",IFERROR('Player Data'!Q212/'Player Data'!H212*90,0),IFERROR('Player Data'!M212/'Player Data'!H212*90,0))</f>
        <v>6.78960603520537</v>
      </c>
      <c r="K212" s="23" t="n">
        <f aca="false">'Player Data'!S212</f>
        <v>75925</v>
      </c>
      <c r="L212" s="22" t="n">
        <f aca="false">INDEX(Assumptions!$B$13:$B$15,MATCH(E212,Assumptions!$A$13:$A$15,0))</f>
        <v>0.7</v>
      </c>
      <c r="M212" s="24" t="n">
        <f aca="false">IFERROR(SUMPRODUCT(($B$2:$B$1001=B212)*($H$2:$H$1001&lt;=H212))/SUMPRODUCT(($B$2:$B$1001=B212)*1),0)</f>
        <v>0.935374149659864</v>
      </c>
      <c r="N212" s="24" t="n">
        <f aca="false">IFERROR(SUMPRODUCT(($B$2:$B$1001=B212)*($I$2:$I$1001&lt;=I212))/SUMPRODUCT(($B$2:$B$1001=B212)*1),0)</f>
        <v>0.880952380952381</v>
      </c>
      <c r="O212" s="24" t="n">
        <f aca="false">IFERROR(SUMPRODUCT(($B$2:$B$1001=B212)*($J$2:$J$1001&lt;=J212))/SUMPRODUCT(($B$2:$B$1001=B212)*1),0)</f>
        <v>0.72108843537415</v>
      </c>
      <c r="P212" s="24" t="n">
        <f aca="false">IFERROR(SUMPRODUCT(($B$2:$B$1001=B212)*((0-$F$2:$F$1001)&lt;=(0-F212)))/SUMPRODUCT(($B$2:$B$1001=B212)*1),0)</f>
        <v>0.656462585034014</v>
      </c>
      <c r="Q212" s="25" t="n">
        <f aca="false">(M212*Assumptions!$B$5+N212*Assumptions!$B$6+O212*Assumptions!$B$7+P212*Assumptions!$B$8)*L212</f>
        <v>0.572380952380952</v>
      </c>
      <c r="R212" s="24" t="n">
        <f aca="false">IFERROR(SUMPRODUCT(($B$2:$B$1001=B212)*($Q$2:$Q$1001&lt;=Q212))/SUMPRODUCT(($B$2:$B$1001=B212)*1),0)</f>
        <v>0.710884353741497</v>
      </c>
      <c r="S212" s="24" t="n">
        <f aca="false">IFERROR(SUMPRODUCT(($B$2:$B$1001=B212)*($K$2:$K$1001&lt;=K212))/SUMPRODUCT(($B$2:$B$1001=B212)*1),0)</f>
        <v>0.598639455782313</v>
      </c>
      <c r="T212" s="26" t="n">
        <f aca="false">(R212-S212)*100</f>
        <v>11.2244897959184</v>
      </c>
      <c r="U212" s="21" t="str">
        <f aca="false">'Player Data'!T212</f>
        <v>No</v>
      </c>
      <c r="V212" s="27" t="n">
        <f aca="false">'Player Data'!U212</f>
        <v>2029</v>
      </c>
      <c r="W212" s="21" t="str">
        <f aca="false">IF(AND(T212&gt;=Assumptions!$B$19,U212="No"),"High Priority - Unrepresented",IF(T212&gt;=Assumptions!$B$19,"High Priority",IF(AND(T212&gt;=Assumptions!$B$20,U212="No"),"Watchlist - Unrepresented",IF(T212&gt;=Assumptions!$B$20,"Watchlist",""))))</f>
        <v/>
      </c>
      <c r="X212" s="21" t="str">
        <f aca="false">'Player Data'!V212</f>
        <v>info@daugavpilscity.lv</v>
      </c>
      <c r="Y212" s="28" t="str">
        <f aca="false">'Player Data'!W212</f>
        <v>Club sporting director / first-team office</v>
      </c>
      <c r="Z212" s="28" t="str">
        <f aca="false">'Player Data'!X212</f>
        <v>LFF (Latvian Football Federation) player registry</v>
      </c>
      <c r="AA212" s="19" t="str">
        <f aca="false">HYPERLINK("https://www.transfermarkt.com/schnellsuche/ergebnis/schnellsuche?query="&amp;SUBSTITUTE(A212," ","+"),"Search Transfermarkt")</f>
        <v>Search Transfermarkt</v>
      </c>
      <c r="AB212" s="29" t="n">
        <f aca="false">IFERROR('Player Data'!K212/('Player Data'!K212+'Player Data'!L212),0)</f>
        <v>0.666666666666667</v>
      </c>
      <c r="AC212" s="21" t="str">
        <f aca="false">IF(B212="GK",IF(AND(O212&gt;=Assumptions!$B$23,N212&gt;=Assumptions!$B$23),"Sweeper-Keeper / Build-from-the-Back",IF(O212&gt;=Assumptions!$B$23,"Sweeper-Keeper / High Line",IF(M212&gt;=Assumptions!$B$23,"Shot-Stopper / Traditional","Flexible / Multi-System"))),IF(AND(O212&gt;=Assumptions!$B$23,P212&gt;=Assumptions!$B$24),"High Press / Gegenpressing",IF(AND(N212&gt;=Assumptions!$B$23,AB212&gt;=Assumptions!$B$25),"Possession / Build-from-the-Back",IF(N212&gt;=Assumptions!$B$23,"Counter-Attack / Transition",IF(AND(O212&gt;=Assumptions!$B$23,N212&lt;Assumptions!$B$26),"Low Block / Park the Bus",IF(AND(B212="FW",M212&gt;=Assumptions!$B$23,N212&lt;Assumptions!$B$26),"Direct / Target Approach","Flexible / Multi-System"))))))</f>
        <v>High Press / Gegenpressing</v>
      </c>
      <c r="AD212" s="21" t="str">
        <f aca="false">'Player Data'!Y212</f>
        <v>2026-07-17</v>
      </c>
      <c r="AE212" s="21" t="str">
        <f aca="false">'Player Data'!Z212</f>
        <v>2026-07-17</v>
      </c>
      <c r="AF212" s="28" t="str">
        <f aca="false">IFERROR(INDEX(Assumptions!$B$30:$B$61,MATCH(C212,Assumptions!$A$30:$A$61,0)),"--")</f>
        <v>Poland, Norway</v>
      </c>
      <c r="AG212" s="30" t="str">
        <f aca="false">IF(R212&gt;=0.7,"Step-Up Candidate",IF(R212&gt;=0.4,"Lateral Move","Stay &amp; Develop"))</f>
        <v>Step-Up Candidate</v>
      </c>
    </row>
    <row r="213" customFormat="false" ht="23.85" hidden="false" customHeight="false" outlineLevel="0" collapsed="false">
      <c r="A213" s="21" t="str">
        <f aca="false">'Player Data'!A213</f>
        <v>Klodian Bardhi</v>
      </c>
      <c r="B213" s="21" t="str">
        <f aca="false">'Player Data'!F213</f>
        <v>DF</v>
      </c>
      <c r="C213" s="21" t="str">
        <f aca="false">'Player Data'!B213</f>
        <v>Albania</v>
      </c>
      <c r="D213" s="21" t="str">
        <f aca="false">'Player Data'!C213</f>
        <v>Albania Amateur League</v>
      </c>
      <c r="E213" s="21" t="n">
        <f aca="false">'Player Data'!D213</f>
        <v>2</v>
      </c>
      <c r="F213" s="21" t="n">
        <f aca="false">'Player Data'!G213</f>
        <v>17</v>
      </c>
      <c r="G213" s="21" t="n">
        <f aca="false">'Player Data'!H213</f>
        <v>2074</v>
      </c>
      <c r="H213" s="22" t="n">
        <f aca="false">IF(B213="GK",IFERROR(('Player Data'!N213-1.5*'Player Data'!O213)/'Player Data'!H213*90,0),IFERROR(('Player Data'!I213+'Player Data'!J213)/'Player Data'!H213*90,0))</f>
        <v>0.216972034715526</v>
      </c>
      <c r="I213" s="22" t="n">
        <f aca="false">IF(B213="GK",'Player Data'!P213,IFERROR(('Player Data'!K213+'Player Data'!L213)/'Player Data'!H213*90,0))</f>
        <v>2.64705882352941</v>
      </c>
      <c r="J213" s="22" t="n">
        <f aca="false">IF(B213="GK",IFERROR('Player Data'!Q213/'Player Data'!H213*90,0),IFERROR('Player Data'!M213/'Player Data'!H213*90,0))</f>
        <v>4.99035679845709</v>
      </c>
      <c r="K213" s="23" t="n">
        <f aca="false">'Player Data'!S213</f>
        <v>74353</v>
      </c>
      <c r="L213" s="22" t="n">
        <f aca="false">INDEX(Assumptions!$B$13:$B$15,MATCH(E213,Assumptions!$A$13:$A$15,0))</f>
        <v>1</v>
      </c>
      <c r="M213" s="24" t="n">
        <f aca="false">IFERROR(SUMPRODUCT(($B$2:$B$1001=B213)*($H$2:$H$1001&lt;=H213))/SUMPRODUCT(($B$2:$B$1001=B213)*1),0)</f>
        <v>0.564625850340136</v>
      </c>
      <c r="N213" s="24" t="n">
        <f aca="false">IFERROR(SUMPRODUCT(($B$2:$B$1001=B213)*($I$2:$I$1001&lt;=I213))/SUMPRODUCT(($B$2:$B$1001=B213)*1),0)</f>
        <v>0.0340136054421769</v>
      </c>
      <c r="O213" s="24" t="n">
        <f aca="false">IFERROR(SUMPRODUCT(($B$2:$B$1001=B213)*($J$2:$J$1001&lt;=J213))/SUMPRODUCT(($B$2:$B$1001=B213)*1),0)</f>
        <v>0.448979591836735</v>
      </c>
      <c r="P213" s="24" t="n">
        <f aca="false">IFERROR(SUMPRODUCT(($B$2:$B$1001=B213)*((0-$F$2:$F$1001)&lt;=(0-F213)))/SUMPRODUCT(($B$2:$B$1001=B213)*1),0)</f>
        <v>1</v>
      </c>
      <c r="Q213" s="25" t="n">
        <f aca="false">(M213*Assumptions!$B$5+N213*Assumptions!$B$6+O213*Assumptions!$B$7+P213*Assumptions!$B$8)*L213</f>
        <v>0.442857142857143</v>
      </c>
      <c r="R213" s="24" t="n">
        <f aca="false">IFERROR(SUMPRODUCT(($B$2:$B$1001=B213)*($Q$2:$Q$1001&lt;=Q213))/SUMPRODUCT(($B$2:$B$1001=B213)*1),0)</f>
        <v>0.551020408163265</v>
      </c>
      <c r="S213" s="24" t="n">
        <f aca="false">IFERROR(SUMPRODUCT(($B$2:$B$1001=B213)*($K$2:$K$1001&lt;=K213))/SUMPRODUCT(($B$2:$B$1001=B213)*1),0)</f>
        <v>0.585034013605442</v>
      </c>
      <c r="T213" s="26" t="n">
        <f aca="false">(R213-S213)*100</f>
        <v>-3.40136054421769</v>
      </c>
      <c r="U213" s="21" t="str">
        <f aca="false">'Player Data'!T213</f>
        <v>Unknown</v>
      </c>
      <c r="V213" s="27" t="n">
        <f aca="false">'Player Data'!U213</f>
        <v>2028</v>
      </c>
      <c r="W213" s="21" t="str">
        <f aca="false">IF(AND(T213&gt;=Assumptions!$B$19,U213="No"),"High Priority - Unrepresented",IF(T213&gt;=Assumptions!$B$19,"High Priority",IF(AND(T213&gt;=Assumptions!$B$20,U213="No"),"Watchlist - Unrepresented",IF(T213&gt;=Assumptions!$B$20,"Watchlist",""))))</f>
        <v/>
      </c>
      <c r="X213" s="21" t="str">
        <f aca="false">'Player Data'!V213</f>
        <v>info@vlorerovers.al</v>
      </c>
      <c r="Y213" s="28" t="str">
        <f aca="false">'Player Data'!W213</f>
        <v>Club youth/academy office ONLY - player is a minor, do not contact directly</v>
      </c>
      <c r="Z213" s="28" t="str">
        <f aca="false">'Player Data'!X213</f>
        <v>FSHF (Albanian Football Association) player registry</v>
      </c>
      <c r="AA213" s="19" t="str">
        <f aca="false">HYPERLINK("https://www.transfermarkt.com/schnellsuche/ergebnis/schnellsuche?query="&amp;SUBSTITUTE(A213," ","+"),"Search Transfermarkt")</f>
        <v>Search Transfermarkt</v>
      </c>
      <c r="AB213" s="29" t="n">
        <f aca="false">IFERROR('Player Data'!K213/('Player Data'!K213+'Player Data'!L213),0)</f>
        <v>0.639344262295082</v>
      </c>
      <c r="AC213" s="21" t="str">
        <f aca="false">IF(B213="GK",IF(AND(O213&gt;=Assumptions!$B$23,N213&gt;=Assumptions!$B$23),"Sweeper-Keeper / Build-from-the-Back",IF(O213&gt;=Assumptions!$B$23,"Sweeper-Keeper / High Line",IF(M213&gt;=Assumptions!$B$23,"Shot-Stopper / Traditional","Flexible / Multi-System"))),IF(AND(O213&gt;=Assumptions!$B$23,P213&gt;=Assumptions!$B$24),"High Press / Gegenpressing",IF(AND(N213&gt;=Assumptions!$B$23,AB213&gt;=Assumptions!$B$25),"Possession / Build-from-the-Back",IF(N213&gt;=Assumptions!$B$23,"Counter-Attack / Transition",IF(AND(O213&gt;=Assumptions!$B$23,N213&lt;Assumptions!$B$26),"Low Block / Park the Bus",IF(AND(B213="FW",M213&gt;=Assumptions!$B$23,N213&lt;Assumptions!$B$26),"Direct / Target Approach","Flexible / Multi-System"))))))</f>
        <v>Flexible / Multi-System</v>
      </c>
      <c r="AD213" s="21" t="str">
        <f aca="false">'Player Data'!Y213</f>
        <v>2026-07-17</v>
      </c>
      <c r="AE213" s="21" t="str">
        <f aca="false">'Player Data'!Z213</f>
        <v>2026-07-17</v>
      </c>
      <c r="AF213" s="28" t="str">
        <f aca="false">IFERROR(INDEX(Assumptions!$B$30:$B$61,MATCH(C213,Assumptions!$A$30:$A$61,0)),"--")</f>
        <v>Turkey, Poland</v>
      </c>
      <c r="AG213" s="30" t="str">
        <f aca="false">IF(R213&gt;=0.7,"Step-Up Candidate",IF(R213&gt;=0.4,"Lateral Move","Stay &amp; Develop"))</f>
        <v>Lateral Move</v>
      </c>
    </row>
    <row r="214" customFormat="false" ht="23.85" hidden="false" customHeight="false" outlineLevel="0" collapsed="false">
      <c r="A214" s="21" t="str">
        <f aca="false">'Player Data'!A214</f>
        <v>Samuel Etoo</v>
      </c>
      <c r="B214" s="21" t="str">
        <f aca="false">'Player Data'!F214</f>
        <v>MF</v>
      </c>
      <c r="C214" s="21" t="str">
        <f aca="false">'Player Data'!B214</f>
        <v>Cameroon</v>
      </c>
      <c r="D214" s="21" t="str">
        <f aca="false">'Player Data'!C214</f>
        <v>Cameroon Amateur League</v>
      </c>
      <c r="E214" s="21" t="n">
        <f aca="false">'Player Data'!D214</f>
        <v>2</v>
      </c>
      <c r="F214" s="21" t="n">
        <f aca="false">'Player Data'!G214</f>
        <v>19</v>
      </c>
      <c r="G214" s="21" t="n">
        <f aca="false">'Player Data'!H214</f>
        <v>1813</v>
      </c>
      <c r="H214" s="22" t="n">
        <f aca="false">IF(B214="GK",IFERROR(('Player Data'!N214-1.5*'Player Data'!O214)/'Player Data'!H214*90,0),IFERROR(('Player Data'!I214+'Player Data'!J214)/'Player Data'!H214*90,0))</f>
        <v>0.893546607832322</v>
      </c>
      <c r="I214" s="22" t="n">
        <f aca="false">IF(B214="GK",'Player Data'!P214,IFERROR(('Player Data'!K214+'Player Data'!L214)/'Player Data'!H214*90,0))</f>
        <v>9.77937120794264</v>
      </c>
      <c r="J214" s="22" t="n">
        <f aca="false">IF(B214="GK",IFERROR('Player Data'!Q214/'Player Data'!H214*90,0),IFERROR('Player Data'!M214/'Player Data'!H214*90,0))</f>
        <v>2.73028130170987</v>
      </c>
      <c r="K214" s="23" t="n">
        <f aca="false">'Player Data'!S214</f>
        <v>47166</v>
      </c>
      <c r="L214" s="22" t="n">
        <f aca="false">INDEX(Assumptions!$B$13:$B$15,MATCH(E214,Assumptions!$A$13:$A$15,0))</f>
        <v>1</v>
      </c>
      <c r="M214" s="24" t="n">
        <f aca="false">IFERROR(SUMPRODUCT(($B$2:$B$1001=B214)*($H$2:$H$1001&lt;=H214))/SUMPRODUCT(($B$2:$B$1001=B214)*1),0)</f>
        <v>0.676767676767677</v>
      </c>
      <c r="N214" s="24" t="n">
        <f aca="false">IFERROR(SUMPRODUCT(($B$2:$B$1001=B214)*($I$2:$I$1001&lt;=I214))/SUMPRODUCT(($B$2:$B$1001=B214)*1),0)</f>
        <v>0.400673400673401</v>
      </c>
      <c r="O214" s="24" t="n">
        <f aca="false">IFERROR(SUMPRODUCT(($B$2:$B$1001=B214)*($J$2:$J$1001&lt;=J214))/SUMPRODUCT(($B$2:$B$1001=B214)*1),0)</f>
        <v>0.717171717171717</v>
      </c>
      <c r="P214" s="24" t="n">
        <f aca="false">IFERROR(SUMPRODUCT(($B$2:$B$1001=B214)*((0-$F$2:$F$1001)&lt;=(0-F214)))/SUMPRODUCT(($B$2:$B$1001=B214)*1),0)</f>
        <v>0.868686868686869</v>
      </c>
      <c r="Q214" s="25" t="n">
        <f aca="false">(M214*Assumptions!$B$5+N214*Assumptions!$B$6+O214*Assumptions!$B$7+P214*Assumptions!$B$8)*L214</f>
        <v>0.626599326599327</v>
      </c>
      <c r="R214" s="24" t="n">
        <f aca="false">IFERROR(SUMPRODUCT(($B$2:$B$1001=B214)*($Q$2:$Q$1001&lt;=Q214))/SUMPRODUCT(($B$2:$B$1001=B214)*1),0)</f>
        <v>0.794612794612795</v>
      </c>
      <c r="S214" s="24" t="n">
        <f aca="false">IFERROR(SUMPRODUCT(($B$2:$B$1001=B214)*($K$2:$K$1001&lt;=K214))/SUMPRODUCT(($B$2:$B$1001=B214)*1),0)</f>
        <v>0.430976430976431</v>
      </c>
      <c r="T214" s="26" t="n">
        <f aca="false">(R214-S214)*100</f>
        <v>36.3636363636364</v>
      </c>
      <c r="U214" s="21" t="str">
        <f aca="false">'Player Data'!T214</f>
        <v>Unknown</v>
      </c>
      <c r="V214" s="27" t="n">
        <f aca="false">'Player Data'!U214</f>
        <v>2029</v>
      </c>
      <c r="W214" s="21" t="str">
        <f aca="false">IF(AND(T214&gt;=Assumptions!$B$19,U214="No"),"High Priority - Unrepresented",IF(T214&gt;=Assumptions!$B$19,"High Priority",IF(AND(T214&gt;=Assumptions!$B$20,U214="No"),"Watchlist - Unrepresented",IF(T214&gt;=Assumptions!$B$20,"Watchlist",""))))</f>
        <v>Watchlist</v>
      </c>
      <c r="X214" s="21" t="str">
        <f aca="false">'Player Data'!V214</f>
        <v>info@doualafc.cm</v>
      </c>
      <c r="Y214" s="28" t="str">
        <f aca="false">'Player Data'!W214</f>
        <v>Club sporting director / first-team office</v>
      </c>
      <c r="Z214" s="28" t="str">
        <f aca="false">'Player Data'!X214</f>
        <v>FECAFOOT (Cameroonian Football Federation) player registry</v>
      </c>
      <c r="AA214" s="19" t="str">
        <f aca="false">HYPERLINK("https://www.transfermarkt.com/schnellsuche/ergebnis/schnellsuche?query="&amp;SUBSTITUTE(A214," ","+"),"Search Transfermarkt")</f>
        <v>Search Transfermarkt</v>
      </c>
      <c r="AB214" s="29" t="n">
        <f aca="false">IFERROR('Player Data'!K214/('Player Data'!K214+'Player Data'!L214),0)</f>
        <v>0.65989847715736</v>
      </c>
      <c r="AC214" s="21" t="str">
        <f aca="false">IF(B214="GK",IF(AND(O214&gt;=Assumptions!$B$23,N214&gt;=Assumptions!$B$23),"Sweeper-Keeper / Build-from-the-Back",IF(O214&gt;=Assumptions!$B$23,"Sweeper-Keeper / High Line",IF(M214&gt;=Assumptions!$B$23,"Shot-Stopper / Traditional","Flexible / Multi-System"))),IF(AND(O214&gt;=Assumptions!$B$23,P214&gt;=Assumptions!$B$24),"High Press / Gegenpressing",IF(AND(N214&gt;=Assumptions!$B$23,AB214&gt;=Assumptions!$B$25),"Possession / Build-from-the-Back",IF(N214&gt;=Assumptions!$B$23,"Counter-Attack / Transition",IF(AND(O214&gt;=Assumptions!$B$23,N214&lt;Assumptions!$B$26),"Low Block / Park the Bus",IF(AND(B214="FW",M214&gt;=Assumptions!$B$23,N214&lt;Assumptions!$B$26),"Direct / Target Approach","Flexible / Multi-System"))))))</f>
        <v>High Press / Gegenpressing</v>
      </c>
      <c r="AD214" s="21" t="str">
        <f aca="false">'Player Data'!Y214</f>
        <v>2026-07-17</v>
      </c>
      <c r="AE214" s="21" t="str">
        <f aca="false">'Player Data'!Z214</f>
        <v>2026-07-17</v>
      </c>
      <c r="AF214" s="28" t="str">
        <f aca="false">IFERROR(INDEX(Assumptions!$B$30:$B$61,MATCH(C214,Assumptions!$A$30:$A$61,0)),"--")</f>
        <v>Belgium, Portugal</v>
      </c>
      <c r="AG214" s="30" t="str">
        <f aca="false">IF(R214&gt;=0.7,"Step-Up Candidate",IF(R214&gt;=0.4,"Lateral Move","Stay &amp; Develop"))</f>
        <v>Step-Up Candidate</v>
      </c>
    </row>
    <row r="215" customFormat="false" ht="23.85" hidden="false" customHeight="false" outlineLevel="0" collapsed="false">
      <c r="A215" s="21" t="str">
        <f aca="false">'Player Data'!A215</f>
        <v>Bryan Mejia</v>
      </c>
      <c r="B215" s="21" t="str">
        <f aca="false">'Player Data'!F215</f>
        <v>MF</v>
      </c>
      <c r="C215" s="21" t="str">
        <f aca="false">'Player Data'!B215</f>
        <v>Honduras</v>
      </c>
      <c r="D215" s="21" t="str">
        <f aca="false">'Player Data'!C215</f>
        <v>Honduras Provincial League</v>
      </c>
      <c r="E215" s="21" t="n">
        <f aca="false">'Player Data'!D215</f>
        <v>2</v>
      </c>
      <c r="F215" s="21" t="n">
        <f aca="false">'Player Data'!G215</f>
        <v>19</v>
      </c>
      <c r="G215" s="21" t="n">
        <f aca="false">'Player Data'!H215</f>
        <v>1729</v>
      </c>
      <c r="H215" s="22" t="n">
        <f aca="false">IF(B215="GK",IFERROR(('Player Data'!N215-1.5*'Player Data'!O215)/'Player Data'!H215*90,0),IFERROR(('Player Data'!I215+'Player Data'!J215)/'Player Data'!H215*90,0))</f>
        <v>0.989010989010989</v>
      </c>
      <c r="I215" s="22" t="n">
        <f aca="false">IF(B215="GK",'Player Data'!P215,IFERROR(('Player Data'!K215+'Player Data'!L215)/'Player Data'!H215*90,0))</f>
        <v>10.6709080393291</v>
      </c>
      <c r="J215" s="22" t="n">
        <f aca="false">IF(B215="GK",IFERROR('Player Data'!Q215/'Player Data'!H215*90,0),IFERROR('Player Data'!M215/'Player Data'!H215*90,0))</f>
        <v>2.49855407750145</v>
      </c>
      <c r="K215" s="23" t="n">
        <f aca="false">'Player Data'!S215</f>
        <v>50169</v>
      </c>
      <c r="L215" s="22" t="n">
        <f aca="false">INDEX(Assumptions!$B$13:$B$15,MATCH(E215,Assumptions!$A$13:$A$15,0))</f>
        <v>1</v>
      </c>
      <c r="M215" s="24" t="n">
        <f aca="false">IFERROR(SUMPRODUCT(($B$2:$B$1001=B215)*($H$2:$H$1001&lt;=H215))/SUMPRODUCT(($B$2:$B$1001=B215)*1),0)</f>
        <v>0.774410774410774</v>
      </c>
      <c r="N215" s="24" t="n">
        <f aca="false">IFERROR(SUMPRODUCT(($B$2:$B$1001=B215)*($I$2:$I$1001&lt;=I215))/SUMPRODUCT(($B$2:$B$1001=B215)*1),0)</f>
        <v>0.478114478114478</v>
      </c>
      <c r="O215" s="24" t="n">
        <f aca="false">IFERROR(SUMPRODUCT(($B$2:$B$1001=B215)*($J$2:$J$1001&lt;=J215))/SUMPRODUCT(($B$2:$B$1001=B215)*1),0)</f>
        <v>0.63973063973064</v>
      </c>
      <c r="P215" s="24" t="n">
        <f aca="false">IFERROR(SUMPRODUCT(($B$2:$B$1001=B215)*((0-$F$2:$F$1001)&lt;=(0-F215)))/SUMPRODUCT(($B$2:$B$1001=B215)*1),0)</f>
        <v>0.868686868686869</v>
      </c>
      <c r="Q215" s="25" t="n">
        <f aca="false">(M215*Assumptions!$B$5+N215*Assumptions!$B$6+O215*Assumptions!$B$7+P215*Assumptions!$B$8)*L215</f>
        <v>0.662626262626263</v>
      </c>
      <c r="R215" s="24" t="n">
        <f aca="false">IFERROR(SUMPRODUCT(($B$2:$B$1001=B215)*($Q$2:$Q$1001&lt;=Q215))/SUMPRODUCT(($B$2:$B$1001=B215)*1),0)</f>
        <v>0.848484848484849</v>
      </c>
      <c r="S215" s="24" t="n">
        <f aca="false">IFERROR(SUMPRODUCT(($B$2:$B$1001=B215)*($K$2:$K$1001&lt;=K215))/SUMPRODUCT(($B$2:$B$1001=B215)*1),0)</f>
        <v>0.457912457912458</v>
      </c>
      <c r="T215" s="26" t="n">
        <f aca="false">(R215-S215)*100</f>
        <v>39.0572390572391</v>
      </c>
      <c r="U215" s="21" t="str">
        <f aca="false">'Player Data'!T215</f>
        <v>No</v>
      </c>
      <c r="V215" s="27" t="n">
        <f aca="false">'Player Data'!U215</f>
        <v>2029</v>
      </c>
      <c r="W215" s="21" t="str">
        <f aca="false">IF(AND(T215&gt;=Assumptions!$B$19,U215="No"),"High Priority - Unrepresented",IF(T215&gt;=Assumptions!$B$19,"High Priority",IF(AND(T215&gt;=Assumptions!$B$20,U215="No"),"Watchlist - Unrepresented",IF(T215&gt;=Assumptions!$B$20,"Watchlist",""))))</f>
        <v>Watchlist - Unrepresented</v>
      </c>
      <c r="X215" s="21" t="str">
        <f aca="false">'Player Data'!V215</f>
        <v>info@tegucigalpatown.hn</v>
      </c>
      <c r="Y215" s="28" t="str">
        <f aca="false">'Player Data'!W215</f>
        <v>Club sporting director / first-team office</v>
      </c>
      <c r="Z215" s="28" t="str">
        <f aca="false">'Player Data'!X215</f>
        <v>FENAFUTH (Honduran Football Federation) player registry</v>
      </c>
      <c r="AA215" s="19" t="str">
        <f aca="false">HYPERLINK("https://www.transfermarkt.com/schnellsuche/ergebnis/schnellsuche?query="&amp;SUBSTITUTE(A215," ","+"),"Search Transfermarkt")</f>
        <v>Search Transfermarkt</v>
      </c>
      <c r="AB215" s="29" t="n">
        <f aca="false">IFERROR('Player Data'!K215/('Player Data'!K215+'Player Data'!L215),0)</f>
        <v>0.68780487804878</v>
      </c>
      <c r="AC215" s="21" t="str">
        <f aca="false">IF(B215="GK",IF(AND(O215&gt;=Assumptions!$B$23,N215&gt;=Assumptions!$B$23),"Sweeper-Keeper / Build-from-the-Back",IF(O215&gt;=Assumptions!$B$23,"Sweeper-Keeper / High Line",IF(M215&gt;=Assumptions!$B$23,"Shot-Stopper / Traditional","Flexible / Multi-System"))),IF(AND(O215&gt;=Assumptions!$B$23,P215&gt;=Assumptions!$B$24),"High Press / Gegenpressing",IF(AND(N215&gt;=Assumptions!$B$23,AB215&gt;=Assumptions!$B$25),"Possession / Build-from-the-Back",IF(N215&gt;=Assumptions!$B$23,"Counter-Attack / Transition",IF(AND(O215&gt;=Assumptions!$B$23,N215&lt;Assumptions!$B$26),"Low Block / Park the Bus",IF(AND(B215="FW",M215&gt;=Assumptions!$B$23,N215&lt;Assumptions!$B$26),"Direct / Target Approach","Flexible / Multi-System"))))))</f>
        <v>Flexible / Multi-System</v>
      </c>
      <c r="AD215" s="21" t="str">
        <f aca="false">'Player Data'!Y215</f>
        <v>2026-07-17</v>
      </c>
      <c r="AE215" s="21" t="str">
        <f aca="false">'Player Data'!Z215</f>
        <v>2026-07-17</v>
      </c>
      <c r="AF215" s="28" t="str">
        <f aca="false">IFERROR(INDEX(Assumptions!$B$30:$B$61,MATCH(C215,Assumptions!$A$30:$A$61,0)),"--")</f>
        <v>Mexico, United States</v>
      </c>
      <c r="AG215" s="30" t="str">
        <f aca="false">IF(R215&gt;=0.7,"Step-Up Candidate",IF(R215&gt;=0.4,"Lateral Move","Stay &amp; Develop"))</f>
        <v>Step-Up Candidate</v>
      </c>
    </row>
    <row r="216" customFormat="false" ht="23.85" hidden="false" customHeight="false" outlineLevel="0" collapsed="false">
      <c r="A216" s="21" t="str">
        <f aca="false">'Player Data'!A216</f>
        <v>Karim Salim</v>
      </c>
      <c r="B216" s="21" t="str">
        <f aca="false">'Player Data'!F216</f>
        <v>MF</v>
      </c>
      <c r="C216" s="21" t="str">
        <f aca="false">'Player Data'!B216</f>
        <v>Iraq</v>
      </c>
      <c r="D216" s="21" t="str">
        <f aca="false">'Player Data'!C216</f>
        <v>Iraq Provincial League</v>
      </c>
      <c r="E216" s="21" t="n">
        <f aca="false">'Player Data'!D216</f>
        <v>3</v>
      </c>
      <c r="F216" s="21" t="n">
        <f aca="false">'Player Data'!G216</f>
        <v>23</v>
      </c>
      <c r="G216" s="21" t="n">
        <f aca="false">'Player Data'!H216</f>
        <v>1229</v>
      </c>
      <c r="H216" s="22" t="n">
        <f aca="false">IF(B216="GK",IFERROR(('Player Data'!N216-1.5*'Player Data'!O216)/'Player Data'!H216*90,0),IFERROR(('Player Data'!I216+'Player Data'!J216)/'Player Data'!H216*90,0))</f>
        <v>0.512611879576892</v>
      </c>
      <c r="I216" s="22" t="n">
        <f aca="false">IF(B216="GK",'Player Data'!P216,IFERROR(('Player Data'!K216+'Player Data'!L216)/'Player Data'!H216*90,0))</f>
        <v>16.3303498779496</v>
      </c>
      <c r="J216" s="22" t="n">
        <f aca="false">IF(B216="GK",IFERROR('Player Data'!Q216/'Player Data'!H216*90,0),IFERROR('Player Data'!M216/'Player Data'!H216*90,0))</f>
        <v>2.19690805532954</v>
      </c>
      <c r="K216" s="23" t="n">
        <f aca="false">'Player Data'!S216</f>
        <v>70356</v>
      </c>
      <c r="L216" s="22" t="n">
        <f aca="false">INDEX(Assumptions!$B$13:$B$15,MATCH(E216,Assumptions!$A$13:$A$15,0))</f>
        <v>0.85</v>
      </c>
      <c r="M216" s="24" t="n">
        <f aca="false">IFERROR(SUMPRODUCT(($B$2:$B$1001=B216)*($H$2:$H$1001&lt;=H216))/SUMPRODUCT(($B$2:$B$1001=B216)*1),0)</f>
        <v>0.228956228956229</v>
      </c>
      <c r="N216" s="24" t="n">
        <f aca="false">IFERROR(SUMPRODUCT(($B$2:$B$1001=B216)*($I$2:$I$1001&lt;=I216))/SUMPRODUCT(($B$2:$B$1001=B216)*1),0)</f>
        <v>0.808080808080808</v>
      </c>
      <c r="O216" s="24" t="n">
        <f aca="false">IFERROR(SUMPRODUCT(($B$2:$B$1001=B216)*($J$2:$J$1001&lt;=J216))/SUMPRODUCT(($B$2:$B$1001=B216)*1),0)</f>
        <v>0.508417508417508</v>
      </c>
      <c r="P216" s="24" t="n">
        <f aca="false">IFERROR(SUMPRODUCT(($B$2:$B$1001=B216)*((0-$F$2:$F$1001)&lt;=(0-F216)))/SUMPRODUCT(($B$2:$B$1001=B216)*1),0)</f>
        <v>0.390572390572391</v>
      </c>
      <c r="Q216" s="25" t="n">
        <f aca="false">(M216*Assumptions!$B$5+N216*Assumptions!$B$6+O216*Assumptions!$B$7+P216*Assumptions!$B$8)*L216</f>
        <v>0.441885521885522</v>
      </c>
      <c r="R216" s="24" t="n">
        <f aca="false">IFERROR(SUMPRODUCT(($B$2:$B$1001=B216)*($Q$2:$Q$1001&lt;=Q216))/SUMPRODUCT(($B$2:$B$1001=B216)*1),0)</f>
        <v>0.518518518518519</v>
      </c>
      <c r="S216" s="24" t="n">
        <f aca="false">IFERROR(SUMPRODUCT(($B$2:$B$1001=B216)*($K$2:$K$1001&lt;=K216))/SUMPRODUCT(($B$2:$B$1001=B216)*1),0)</f>
        <v>0.585858585858586</v>
      </c>
      <c r="T216" s="26" t="n">
        <f aca="false">(R216-S216)*100</f>
        <v>-6.73400673400674</v>
      </c>
      <c r="U216" s="21" t="str">
        <f aca="false">'Player Data'!T216</f>
        <v>Yes</v>
      </c>
      <c r="V216" s="27" t="n">
        <f aca="false">'Player Data'!U216</f>
        <v>2027</v>
      </c>
      <c r="W216" s="21" t="str">
        <f aca="false">IF(AND(T216&gt;=Assumptions!$B$19,U216="No"),"High Priority - Unrepresented",IF(T216&gt;=Assumptions!$B$19,"High Priority",IF(AND(T216&gt;=Assumptions!$B$20,U216="No"),"Watchlist - Unrepresented",IF(T216&gt;=Assumptions!$B$20,"Watchlist",""))))</f>
        <v/>
      </c>
      <c r="X216" s="21" t="str">
        <f aca="false">'Player Data'!V216</f>
        <v>info@erbilfc.iq</v>
      </c>
      <c r="Y216" s="28" t="str">
        <f aca="false">'Player Data'!W216</f>
        <v>Go through the player's agent - ask the club to confirm representation first</v>
      </c>
      <c r="Z216" s="28" t="str">
        <f aca="false">'Player Data'!X216</f>
        <v>IFA (Iraq Football Association) player registry</v>
      </c>
      <c r="AA216" s="19" t="str">
        <f aca="false">HYPERLINK("https://www.transfermarkt.com/schnellsuche/ergebnis/schnellsuche?query="&amp;SUBSTITUTE(A216," ","+"),"Search Transfermarkt")</f>
        <v>Search Transfermarkt</v>
      </c>
      <c r="AB216" s="29" t="n">
        <f aca="false">IFERROR('Player Data'!K216/('Player Data'!K216+'Player Data'!L216),0)</f>
        <v>0.677130044843049</v>
      </c>
      <c r="AC216" s="21" t="str">
        <f aca="false">IF(B216="GK",IF(AND(O216&gt;=Assumptions!$B$23,N216&gt;=Assumptions!$B$23),"Sweeper-Keeper / Build-from-the-Back",IF(O216&gt;=Assumptions!$B$23,"Sweeper-Keeper / High Line",IF(M216&gt;=Assumptions!$B$23,"Shot-Stopper / Traditional","Flexible / Multi-System"))),IF(AND(O216&gt;=Assumptions!$B$23,P216&gt;=Assumptions!$B$24),"High Press / Gegenpressing",IF(AND(N216&gt;=Assumptions!$B$23,AB216&gt;=Assumptions!$B$25),"Possession / Build-from-the-Back",IF(N216&gt;=Assumptions!$B$23,"Counter-Attack / Transition",IF(AND(O216&gt;=Assumptions!$B$23,N216&lt;Assumptions!$B$26),"Low Block / Park the Bus",IF(AND(B216="FW",M216&gt;=Assumptions!$B$23,N216&lt;Assumptions!$B$26),"Direct / Target Approach","Flexible / Multi-System"))))))</f>
        <v>Possession / Build-from-the-Back</v>
      </c>
      <c r="AD216" s="21" t="str">
        <f aca="false">'Player Data'!Y216</f>
        <v>2026-07-17</v>
      </c>
      <c r="AE216" s="21" t="str">
        <f aca="false">'Player Data'!Z216</f>
        <v>2026-07-17</v>
      </c>
      <c r="AF216" s="28" t="str">
        <f aca="false">IFERROR(INDEX(Assumptions!$B$30:$B$61,MATCH(C216,Assumptions!$A$30:$A$61,0)),"--")</f>
        <v>Turkey, Saudi Arabia</v>
      </c>
      <c r="AG216" s="30" t="str">
        <f aca="false">IF(R216&gt;=0.7,"Step-Up Candidate",IF(R216&gt;=0.4,"Lateral Move","Stay &amp; Develop"))</f>
        <v>Lateral Move</v>
      </c>
    </row>
    <row r="217" customFormat="false" ht="23.85" hidden="false" customHeight="false" outlineLevel="0" collapsed="false">
      <c r="A217" s="21" t="str">
        <f aca="false">'Player Data'!A217</f>
        <v>Ibrahim Owusu</v>
      </c>
      <c r="B217" s="21" t="str">
        <f aca="false">'Player Data'!F217</f>
        <v>MF</v>
      </c>
      <c r="C217" s="21" t="str">
        <f aca="false">'Player Data'!B217</f>
        <v>Ghana</v>
      </c>
      <c r="D217" s="21" t="str">
        <f aca="false">'Player Data'!C217</f>
        <v>Ghana Reserve League</v>
      </c>
      <c r="E217" s="21" t="n">
        <f aca="false">'Player Data'!D217</f>
        <v>4</v>
      </c>
      <c r="F217" s="21" t="n">
        <f aca="false">'Player Data'!G217</f>
        <v>25</v>
      </c>
      <c r="G217" s="21" t="n">
        <f aca="false">'Player Data'!H217</f>
        <v>1060</v>
      </c>
      <c r="H217" s="22" t="n">
        <f aca="false">IF(B217="GK",IFERROR(('Player Data'!N217-1.5*'Player Data'!O217)/'Player Data'!H217*90,0),IFERROR(('Player Data'!I217+'Player Data'!J217)/'Player Data'!H217*90,0))</f>
        <v>1.0188679245283</v>
      </c>
      <c r="I217" s="22" t="n">
        <f aca="false">IF(B217="GK",'Player Data'!P217,IFERROR(('Player Data'!K217+'Player Data'!L217)/'Player Data'!H217*90,0))</f>
        <v>15.2830188679245</v>
      </c>
      <c r="J217" s="22" t="n">
        <f aca="false">IF(B217="GK",IFERROR('Player Data'!Q217/'Player Data'!H217*90,0),IFERROR('Player Data'!M217/'Player Data'!H217*90,0))</f>
        <v>2.4622641509434</v>
      </c>
      <c r="K217" s="23" t="n">
        <f aca="false">'Player Data'!S217</f>
        <v>122541</v>
      </c>
      <c r="L217" s="22" t="n">
        <f aca="false">INDEX(Assumptions!$B$13:$B$15,MATCH(E217,Assumptions!$A$13:$A$15,0))</f>
        <v>0.7</v>
      </c>
      <c r="M217" s="24" t="n">
        <f aca="false">IFERROR(SUMPRODUCT(($B$2:$B$1001=B217)*($H$2:$H$1001&lt;=H217))/SUMPRODUCT(($B$2:$B$1001=B217)*1),0)</f>
        <v>0.787878787878788</v>
      </c>
      <c r="N217" s="24" t="n">
        <f aca="false">IFERROR(SUMPRODUCT(($B$2:$B$1001=B217)*($I$2:$I$1001&lt;=I217))/SUMPRODUCT(($B$2:$B$1001=B217)*1),0)</f>
        <v>0.757575757575758</v>
      </c>
      <c r="O217" s="24" t="n">
        <f aca="false">IFERROR(SUMPRODUCT(($B$2:$B$1001=B217)*($J$2:$J$1001&lt;=J217))/SUMPRODUCT(($B$2:$B$1001=B217)*1),0)</f>
        <v>0.622895622895623</v>
      </c>
      <c r="P217" s="24" t="n">
        <f aca="false">IFERROR(SUMPRODUCT(($B$2:$B$1001=B217)*((0-$F$2:$F$1001)&lt;=(0-F217)))/SUMPRODUCT(($B$2:$B$1001=B217)*1),0)</f>
        <v>0.202020202020202</v>
      </c>
      <c r="Q217" s="25" t="n">
        <f aca="false">(M217*Assumptions!$B$5+N217*Assumptions!$B$6+O217*Assumptions!$B$7+P217*Assumptions!$B$8)*L217</f>
        <v>0.438973063973064</v>
      </c>
      <c r="R217" s="24" t="n">
        <f aca="false">IFERROR(SUMPRODUCT(($B$2:$B$1001=B217)*($Q$2:$Q$1001&lt;=Q217))/SUMPRODUCT(($B$2:$B$1001=B217)*1),0)</f>
        <v>0.505050505050505</v>
      </c>
      <c r="S217" s="24" t="n">
        <f aca="false">IFERROR(SUMPRODUCT(($B$2:$B$1001=B217)*($K$2:$K$1001&lt;=K217))/SUMPRODUCT(($B$2:$B$1001=B217)*1),0)</f>
        <v>0.868686868686869</v>
      </c>
      <c r="T217" s="26" t="n">
        <f aca="false">(R217-S217)*100</f>
        <v>-36.3636363636364</v>
      </c>
      <c r="U217" s="21" t="str">
        <f aca="false">'Player Data'!T217</f>
        <v>No</v>
      </c>
      <c r="V217" s="27" t="n">
        <f aca="false">'Player Data'!U217</f>
        <v>2028</v>
      </c>
      <c r="W217" s="21" t="str">
        <f aca="false">IF(AND(T217&gt;=Assumptions!$B$19,U217="No"),"High Priority - Unrepresented",IF(T217&gt;=Assumptions!$B$19,"High Priority",IF(AND(T217&gt;=Assumptions!$B$20,U217="No"),"Watchlist - Unrepresented",IF(T217&gt;=Assumptions!$B$20,"Watchlist",""))))</f>
        <v/>
      </c>
      <c r="X217" s="21" t="str">
        <f aca="false">'Player Data'!V217</f>
        <v>info@kumasifc.gh</v>
      </c>
      <c r="Y217" s="28" t="str">
        <f aca="false">'Player Data'!W217</f>
        <v>Club sporting director / first-team office</v>
      </c>
      <c r="Z217" s="28" t="str">
        <f aca="false">'Player Data'!X217</f>
        <v>GFA (Ghana Football Association) player registry</v>
      </c>
      <c r="AA217" s="19" t="str">
        <f aca="false">HYPERLINK("https://www.transfermarkt.com/schnellsuche/ergebnis/schnellsuche?query="&amp;SUBSTITUTE(A217," ","+"),"Search Transfermarkt")</f>
        <v>Search Transfermarkt</v>
      </c>
      <c r="AB217" s="29" t="n">
        <f aca="false">IFERROR('Player Data'!K217/('Player Data'!K217+'Player Data'!L217),0)</f>
        <v>0.683333333333333</v>
      </c>
      <c r="AC217" s="21" t="str">
        <f aca="false">IF(B217="GK",IF(AND(O217&gt;=Assumptions!$B$23,N217&gt;=Assumptions!$B$23),"Sweeper-Keeper / Build-from-the-Back",IF(O217&gt;=Assumptions!$B$23,"Sweeper-Keeper / High Line",IF(M217&gt;=Assumptions!$B$23,"Shot-Stopper / Traditional","Flexible / Multi-System"))),IF(AND(O217&gt;=Assumptions!$B$23,P217&gt;=Assumptions!$B$24),"High Press / Gegenpressing",IF(AND(N217&gt;=Assumptions!$B$23,AB217&gt;=Assumptions!$B$25),"Possession / Build-from-the-Back",IF(N217&gt;=Assumptions!$B$23,"Counter-Attack / Transition",IF(AND(O217&gt;=Assumptions!$B$23,N217&lt;Assumptions!$B$26),"Low Block / Park the Bus",IF(AND(B217="FW",M217&gt;=Assumptions!$B$23,N217&lt;Assumptions!$B$26),"Direct / Target Approach","Flexible / Multi-System"))))))</f>
        <v>Possession / Build-from-the-Back</v>
      </c>
      <c r="AD217" s="21" t="str">
        <f aca="false">'Player Data'!Y217</f>
        <v>2026-07-17</v>
      </c>
      <c r="AE217" s="21" t="str">
        <f aca="false">'Player Data'!Z217</f>
        <v>2026-07-17</v>
      </c>
      <c r="AF217" s="28" t="str">
        <f aca="false">IFERROR(INDEX(Assumptions!$B$30:$B$61,MATCH(C217,Assumptions!$A$30:$A$61,0)),"--")</f>
        <v>Belgium, Portugal</v>
      </c>
      <c r="AG217" s="30" t="str">
        <f aca="false">IF(R217&gt;=0.7,"Step-Up Candidate",IF(R217&gt;=0.4,"Lateral Move","Stay &amp; Develop"))</f>
        <v>Lateral Move</v>
      </c>
    </row>
    <row r="218" customFormat="false" ht="23.85" hidden="false" customHeight="false" outlineLevel="0" collapsed="false">
      <c r="A218" s="21" t="str">
        <f aca="false">'Player Data'!A218</f>
        <v>Ivan Perez</v>
      </c>
      <c r="B218" s="21" t="str">
        <f aca="false">'Player Data'!F218</f>
        <v>MF</v>
      </c>
      <c r="C218" s="21" t="str">
        <f aca="false">'Player Data'!B218</f>
        <v>Paraguay</v>
      </c>
      <c r="D218" s="21" t="str">
        <f aca="false">'Player Data'!C218</f>
        <v>Paraguay Reserve League</v>
      </c>
      <c r="E218" s="21" t="n">
        <f aca="false">'Player Data'!D218</f>
        <v>2</v>
      </c>
      <c r="F218" s="21" t="n">
        <f aca="false">'Player Data'!G218</f>
        <v>25</v>
      </c>
      <c r="G218" s="21" t="n">
        <f aca="false">'Player Data'!H218</f>
        <v>1806</v>
      </c>
      <c r="H218" s="22" t="n">
        <f aca="false">IF(B218="GK",IFERROR(('Player Data'!N218-1.5*'Player Data'!O218)/'Player Data'!H218*90,0),IFERROR(('Player Data'!I218+'Player Data'!J218)/'Player Data'!H218*90,0))</f>
        <v>0.697674418604651</v>
      </c>
      <c r="I218" s="22" t="n">
        <f aca="false">IF(B218="GK",'Player Data'!P218,IFERROR(('Player Data'!K218+'Player Data'!L218)/'Player Data'!H218*90,0))</f>
        <v>8.97009966777409</v>
      </c>
      <c r="J218" s="22" t="n">
        <f aca="false">IF(B218="GK",IFERROR('Player Data'!Q218/'Player Data'!H218*90,0),IFERROR('Player Data'!M218/'Player Data'!H218*90,0))</f>
        <v>2.84053156146179</v>
      </c>
      <c r="K218" s="23" t="n">
        <f aca="false">'Player Data'!S218</f>
        <v>122184</v>
      </c>
      <c r="L218" s="22" t="n">
        <f aca="false">INDEX(Assumptions!$B$13:$B$15,MATCH(E218,Assumptions!$A$13:$A$15,0))</f>
        <v>1</v>
      </c>
      <c r="M218" s="24" t="n">
        <f aca="false">IFERROR(SUMPRODUCT(($B$2:$B$1001=B218)*($H$2:$H$1001&lt;=H218))/SUMPRODUCT(($B$2:$B$1001=B218)*1),0)</f>
        <v>0.457912457912458</v>
      </c>
      <c r="N218" s="24" t="n">
        <f aca="false">IFERROR(SUMPRODUCT(($B$2:$B$1001=B218)*($I$2:$I$1001&lt;=I218))/SUMPRODUCT(($B$2:$B$1001=B218)*1),0)</f>
        <v>0.279461279461279</v>
      </c>
      <c r="O218" s="24" t="n">
        <f aca="false">IFERROR(SUMPRODUCT(($B$2:$B$1001=B218)*($J$2:$J$1001&lt;=J218))/SUMPRODUCT(($B$2:$B$1001=B218)*1),0)</f>
        <v>0.754208754208754</v>
      </c>
      <c r="P218" s="24" t="n">
        <f aca="false">IFERROR(SUMPRODUCT(($B$2:$B$1001=B218)*((0-$F$2:$F$1001)&lt;=(0-F218)))/SUMPRODUCT(($B$2:$B$1001=B218)*1),0)</f>
        <v>0.202020202020202</v>
      </c>
      <c r="Q218" s="25" t="n">
        <f aca="false">(M218*Assumptions!$B$5+N218*Assumptions!$B$6+O218*Assumptions!$B$7+P218*Assumptions!$B$8)*L218</f>
        <v>0.403535353535354</v>
      </c>
      <c r="R218" s="24" t="n">
        <f aca="false">IFERROR(SUMPRODUCT(($B$2:$B$1001=B218)*($Q$2:$Q$1001&lt;=Q218))/SUMPRODUCT(($B$2:$B$1001=B218)*1),0)</f>
        <v>0.427609427609428</v>
      </c>
      <c r="S218" s="24" t="n">
        <f aca="false">IFERROR(SUMPRODUCT(($B$2:$B$1001=B218)*($K$2:$K$1001&lt;=K218))/SUMPRODUCT(($B$2:$B$1001=B218)*1),0)</f>
        <v>0.865319865319865</v>
      </c>
      <c r="T218" s="26" t="n">
        <f aca="false">(R218-S218)*100</f>
        <v>-43.7710437710438</v>
      </c>
      <c r="U218" s="21" t="str">
        <f aca="false">'Player Data'!T218</f>
        <v>No</v>
      </c>
      <c r="V218" s="27" t="n">
        <f aca="false">'Player Data'!U218</f>
        <v>2026</v>
      </c>
      <c r="W218" s="21" t="str">
        <f aca="false">IF(AND(T218&gt;=Assumptions!$B$19,U218="No"),"High Priority - Unrepresented",IF(T218&gt;=Assumptions!$B$19,"High Priority",IF(AND(T218&gt;=Assumptions!$B$20,U218="No"),"Watchlist - Unrepresented",IF(T218&gt;=Assumptions!$B$20,"Watchlist",""))))</f>
        <v/>
      </c>
      <c r="X218" s="21" t="str">
        <f aca="false">'Player Data'!V218</f>
        <v>info@ciudaddelestetown.py</v>
      </c>
      <c r="Y218" s="28" t="str">
        <f aca="false">'Player Data'!W218</f>
        <v>Club sporting director / first-team office</v>
      </c>
      <c r="Z218" s="28" t="str">
        <f aca="false">'Player Data'!X218</f>
        <v>APF (Paraguayan Football Association) player registry</v>
      </c>
      <c r="AA218" s="19" t="str">
        <f aca="false">HYPERLINK("https://www.transfermarkt.com/schnellsuche/ergebnis/schnellsuche?query="&amp;SUBSTITUTE(A218," ","+"),"Search Transfermarkt")</f>
        <v>Search Transfermarkt</v>
      </c>
      <c r="AB218" s="29" t="n">
        <f aca="false">IFERROR('Player Data'!K218/('Player Data'!K218+'Player Data'!L218),0)</f>
        <v>0.605555555555556</v>
      </c>
      <c r="AC218" s="21" t="str">
        <f aca="false">IF(B218="GK",IF(AND(O218&gt;=Assumptions!$B$23,N218&gt;=Assumptions!$B$23),"Sweeper-Keeper / Build-from-the-Back",IF(O218&gt;=Assumptions!$B$23,"Sweeper-Keeper / High Line",IF(M218&gt;=Assumptions!$B$23,"Shot-Stopper / Traditional","Flexible / Multi-System"))),IF(AND(O218&gt;=Assumptions!$B$23,P218&gt;=Assumptions!$B$24),"High Press / Gegenpressing",IF(AND(N218&gt;=Assumptions!$B$23,AB218&gt;=Assumptions!$B$25),"Possession / Build-from-the-Back",IF(N218&gt;=Assumptions!$B$23,"Counter-Attack / Transition",IF(AND(O218&gt;=Assumptions!$B$23,N218&lt;Assumptions!$B$26),"Low Block / Park the Bus",IF(AND(B218="FW",M218&gt;=Assumptions!$B$23,N218&lt;Assumptions!$B$26),"Direct / Target Approach","Flexible / Multi-System"))))))</f>
        <v>Low Block / Park the Bus</v>
      </c>
      <c r="AD218" s="21" t="str">
        <f aca="false">'Player Data'!Y218</f>
        <v>2026-07-17</v>
      </c>
      <c r="AE218" s="21" t="str">
        <f aca="false">'Player Data'!Z218</f>
        <v>2026-07-17</v>
      </c>
      <c r="AF218" s="28" t="str">
        <f aca="false">IFERROR(INDEX(Assumptions!$B$30:$B$61,MATCH(C218,Assumptions!$A$30:$A$61,0)),"--")</f>
        <v>Argentina, Portugal</v>
      </c>
      <c r="AG218" s="30" t="str">
        <f aca="false">IF(R218&gt;=0.7,"Step-Up Candidate",IF(R218&gt;=0.4,"Lateral Move","Stay &amp; Develop"))</f>
        <v>Lateral Move</v>
      </c>
    </row>
    <row r="219" customFormat="false" ht="23.85" hidden="false" customHeight="false" outlineLevel="0" collapsed="false">
      <c r="A219" s="21" t="str">
        <f aca="false">'Player Data'!A219</f>
        <v>Otabek Yusupov</v>
      </c>
      <c r="B219" s="21" t="str">
        <f aca="false">'Player Data'!F219</f>
        <v>FW</v>
      </c>
      <c r="C219" s="21" t="str">
        <f aca="false">'Player Data'!B219</f>
        <v>Uzbekistan</v>
      </c>
      <c r="D219" s="21" t="str">
        <f aca="false">'Player Data'!C219</f>
        <v>Uzbekistan Reserve League</v>
      </c>
      <c r="E219" s="21" t="n">
        <f aca="false">'Player Data'!D219</f>
        <v>3</v>
      </c>
      <c r="F219" s="21" t="n">
        <f aca="false">'Player Data'!G219</f>
        <v>23</v>
      </c>
      <c r="G219" s="21" t="n">
        <f aca="false">'Player Data'!H219</f>
        <v>2058</v>
      </c>
      <c r="H219" s="22" t="n">
        <f aca="false">IF(B219="GK",IFERROR(('Player Data'!N219-1.5*'Player Data'!O219)/'Player Data'!H219*90,0),IFERROR(('Player Data'!I219+'Player Data'!J219)/'Player Data'!H219*90,0))</f>
        <v>1.04956268221574</v>
      </c>
      <c r="I219" s="22" t="n">
        <f aca="false">IF(B219="GK",'Player Data'!P219,IFERROR(('Player Data'!K219+'Player Data'!L219)/'Player Data'!H219*90,0))</f>
        <v>7.21574344023324</v>
      </c>
      <c r="J219" s="22" t="n">
        <f aca="false">IF(B219="GK",IFERROR('Player Data'!Q219/'Player Data'!H219*90,0),IFERROR('Player Data'!M219/'Player Data'!H219*90,0))</f>
        <v>0.699708454810496</v>
      </c>
      <c r="K219" s="23" t="n">
        <f aca="false">'Player Data'!S219</f>
        <v>39347</v>
      </c>
      <c r="L219" s="22" t="n">
        <f aca="false">INDEX(Assumptions!$B$13:$B$15,MATCH(E219,Assumptions!$A$13:$A$15,0))</f>
        <v>0.85</v>
      </c>
      <c r="M219" s="24" t="n">
        <f aca="false">IFERROR(SUMPRODUCT(($B$2:$B$1001=B219)*($H$2:$H$1001&lt;=H219))/SUMPRODUCT(($B$2:$B$1001=B219)*1),0)</f>
        <v>0.566371681415929</v>
      </c>
      <c r="N219" s="24" t="n">
        <f aca="false">IFERROR(SUMPRODUCT(($B$2:$B$1001=B219)*($I$2:$I$1001&lt;=I219))/SUMPRODUCT(($B$2:$B$1001=B219)*1),0)</f>
        <v>0.615044247787611</v>
      </c>
      <c r="O219" s="24" t="n">
        <f aca="false">IFERROR(SUMPRODUCT(($B$2:$B$1001=B219)*($J$2:$J$1001&lt;=J219))/SUMPRODUCT(($B$2:$B$1001=B219)*1),0)</f>
        <v>0.734513274336283</v>
      </c>
      <c r="P219" s="24" t="n">
        <f aca="false">IFERROR(SUMPRODUCT(($B$2:$B$1001=B219)*((0-$F$2:$F$1001)&lt;=(0-F219)))/SUMPRODUCT(($B$2:$B$1001=B219)*1),0)</f>
        <v>0.389380530973451</v>
      </c>
      <c r="Q219" s="25" t="n">
        <f aca="false">(M219*Assumptions!$B$5+N219*Assumptions!$B$6+O219*Assumptions!$B$7+P219*Assumptions!$B$8)*L219</f>
        <v>0.494391592920354</v>
      </c>
      <c r="R219" s="24" t="n">
        <f aca="false">IFERROR(SUMPRODUCT(($B$2:$B$1001=B219)*($Q$2:$Q$1001&lt;=Q219))/SUMPRODUCT(($B$2:$B$1001=B219)*1),0)</f>
        <v>0.601769911504425</v>
      </c>
      <c r="S219" s="24" t="n">
        <f aca="false">IFERROR(SUMPRODUCT(($B$2:$B$1001=B219)*($K$2:$K$1001&lt;=K219))/SUMPRODUCT(($B$2:$B$1001=B219)*1),0)</f>
        <v>0.429203539823009</v>
      </c>
      <c r="T219" s="26" t="n">
        <f aca="false">(R219-S219)*100</f>
        <v>17.2566371681416</v>
      </c>
      <c r="U219" s="21" t="str">
        <f aca="false">'Player Data'!T219</f>
        <v>No</v>
      </c>
      <c r="V219" s="27" t="n">
        <f aca="false">'Player Data'!U219</f>
        <v>2029</v>
      </c>
      <c r="W219" s="21" t="str">
        <f aca="false">IF(AND(T219&gt;=Assumptions!$B$19,U219="No"),"High Priority - Unrepresented",IF(T219&gt;=Assumptions!$B$19,"High Priority",IF(AND(T219&gt;=Assumptions!$B$20,U219="No"),"Watchlist - Unrepresented",IF(T219&gt;=Assumptions!$B$20,"Watchlist",""))))</f>
        <v/>
      </c>
      <c r="X219" s="21" t="str">
        <f aca="false">'Player Data'!V219</f>
        <v>info@samarkandrangers.uz</v>
      </c>
      <c r="Y219" s="28" t="str">
        <f aca="false">'Player Data'!W219</f>
        <v>Club sporting director / first-team office</v>
      </c>
      <c r="Z219" s="28" t="str">
        <f aca="false">'Player Data'!X219</f>
        <v>UFF (Uzbekistan Football Federation) player registry</v>
      </c>
      <c r="AA219" s="19" t="str">
        <f aca="false">HYPERLINK("https://www.transfermarkt.com/schnellsuche/ergebnis/schnellsuche?query="&amp;SUBSTITUTE(A219," ","+"),"Search Transfermarkt")</f>
        <v>Search Transfermarkt</v>
      </c>
      <c r="AB219" s="29" t="n">
        <f aca="false">IFERROR('Player Data'!K219/('Player Data'!K219+'Player Data'!L219),0)</f>
        <v>0.406060606060606</v>
      </c>
      <c r="AC219" s="21" t="str">
        <f aca="false">IF(B219="GK",IF(AND(O219&gt;=Assumptions!$B$23,N219&gt;=Assumptions!$B$23),"Sweeper-Keeper / Build-from-the-Back",IF(O219&gt;=Assumptions!$B$23,"Sweeper-Keeper / High Line",IF(M219&gt;=Assumptions!$B$23,"Shot-Stopper / Traditional","Flexible / Multi-System"))),IF(AND(O219&gt;=Assumptions!$B$23,P219&gt;=Assumptions!$B$24),"High Press / Gegenpressing",IF(AND(N219&gt;=Assumptions!$B$23,AB219&gt;=Assumptions!$B$25),"Possession / Build-from-the-Back",IF(N219&gt;=Assumptions!$B$23,"Counter-Attack / Transition",IF(AND(O219&gt;=Assumptions!$B$23,N219&lt;Assumptions!$B$26),"Low Block / Park the Bus",IF(AND(B219="FW",M219&gt;=Assumptions!$B$23,N219&lt;Assumptions!$B$26),"Direct / Target Approach","Flexible / Multi-System"))))))</f>
        <v>Flexible / Multi-System</v>
      </c>
      <c r="AD219" s="21" t="str">
        <f aca="false">'Player Data'!Y219</f>
        <v>2026-07-17</v>
      </c>
      <c r="AE219" s="21" t="str">
        <f aca="false">'Player Data'!Z219</f>
        <v>2026-07-17</v>
      </c>
      <c r="AF219" s="28" t="str">
        <f aca="false">IFERROR(INDEX(Assumptions!$B$30:$B$61,MATCH(C219,Assumptions!$A$30:$A$61,0)),"--")</f>
        <v>Turkey, Saudi Arabia</v>
      </c>
      <c r="AG219" s="30" t="str">
        <f aca="false">IF(R219&gt;=0.7,"Step-Up Candidate",IF(R219&gt;=0.4,"Lateral Move","Stay &amp; Develop"))</f>
        <v>Lateral Move</v>
      </c>
    </row>
    <row r="220" customFormat="false" ht="23.85" hidden="false" customHeight="false" outlineLevel="0" collapsed="false">
      <c r="A220" s="21" t="str">
        <f aca="false">'Player Data'!A220</f>
        <v>Karl Petursson</v>
      </c>
      <c r="B220" s="21" t="str">
        <f aca="false">'Player Data'!F220</f>
        <v>MF</v>
      </c>
      <c r="C220" s="21" t="str">
        <f aca="false">'Player Data'!B220</f>
        <v>Iceland</v>
      </c>
      <c r="D220" s="21" t="str">
        <f aca="false">'Player Data'!C220</f>
        <v>Iceland Regional League</v>
      </c>
      <c r="E220" s="21" t="n">
        <f aca="false">'Player Data'!D220</f>
        <v>2</v>
      </c>
      <c r="F220" s="21" t="n">
        <f aca="false">'Player Data'!G220</f>
        <v>26</v>
      </c>
      <c r="G220" s="21" t="n">
        <f aca="false">'Player Data'!H220</f>
        <v>2419</v>
      </c>
      <c r="H220" s="22" t="n">
        <f aca="false">IF(B220="GK",IFERROR(('Player Data'!N220-1.5*'Player Data'!O220)/'Player Data'!H220*90,0),IFERROR(('Player Data'!I220+'Player Data'!J220)/'Player Data'!H220*90,0))</f>
        <v>0.334849111202976</v>
      </c>
      <c r="I220" s="22" t="n">
        <f aca="false">IF(B220="GK",'Player Data'!P220,IFERROR(('Player Data'!K220+'Player Data'!L220)/'Player Data'!H220*90,0))</f>
        <v>7.5155022736668</v>
      </c>
      <c r="J220" s="22" t="n">
        <f aca="false">IF(B220="GK",IFERROR('Player Data'!Q220/'Player Data'!H220*90,0),IFERROR('Player Data'!M220/'Player Data'!H220*90,0))</f>
        <v>2.08350558081852</v>
      </c>
      <c r="K220" s="23" t="n">
        <f aca="false">'Player Data'!S220</f>
        <v>122820</v>
      </c>
      <c r="L220" s="22" t="n">
        <f aca="false">INDEX(Assumptions!$B$13:$B$15,MATCH(E220,Assumptions!$A$13:$A$15,0))</f>
        <v>1</v>
      </c>
      <c r="M220" s="24" t="n">
        <f aca="false">IFERROR(SUMPRODUCT(($B$2:$B$1001=B220)*($H$2:$H$1001&lt;=H220))/SUMPRODUCT(($B$2:$B$1001=B220)*1),0)</f>
        <v>0.0538720538720539</v>
      </c>
      <c r="N220" s="24" t="n">
        <f aca="false">IFERROR(SUMPRODUCT(($B$2:$B$1001=B220)*($I$2:$I$1001&lt;=I220))/SUMPRODUCT(($B$2:$B$1001=B220)*1),0)</f>
        <v>0.104377104377104</v>
      </c>
      <c r="O220" s="24" t="n">
        <f aca="false">IFERROR(SUMPRODUCT(($B$2:$B$1001=B220)*($J$2:$J$1001&lt;=J220))/SUMPRODUCT(($B$2:$B$1001=B220)*1),0)</f>
        <v>0.461279461279461</v>
      </c>
      <c r="P220" s="24" t="n">
        <f aca="false">IFERROR(SUMPRODUCT(($B$2:$B$1001=B220)*((0-$F$2:$F$1001)&lt;=(0-F220)))/SUMPRODUCT(($B$2:$B$1001=B220)*1),0)</f>
        <v>0.0909090909090909</v>
      </c>
      <c r="Q220" s="25" t="n">
        <f aca="false">(M220*Assumptions!$B$5+N220*Assumptions!$B$6+O220*Assumptions!$B$7+P220*Assumptions!$B$8)*L220</f>
        <v>0.16043771043771</v>
      </c>
      <c r="R220" s="24" t="n">
        <f aca="false">IFERROR(SUMPRODUCT(($B$2:$B$1001=B220)*($Q$2:$Q$1001&lt;=Q220))/SUMPRODUCT(($B$2:$B$1001=B220)*1),0)</f>
        <v>0.0404040404040404</v>
      </c>
      <c r="S220" s="24" t="n">
        <f aca="false">IFERROR(SUMPRODUCT(($B$2:$B$1001=B220)*($K$2:$K$1001&lt;=K220))/SUMPRODUCT(($B$2:$B$1001=B220)*1),0)</f>
        <v>0.872053872053872</v>
      </c>
      <c r="T220" s="26" t="n">
        <f aca="false">(R220-S220)*100</f>
        <v>-83.1649831649832</v>
      </c>
      <c r="U220" s="21" t="str">
        <f aca="false">'Player Data'!T220</f>
        <v>Yes</v>
      </c>
      <c r="V220" s="27" t="n">
        <f aca="false">'Player Data'!U220</f>
        <v>2028</v>
      </c>
      <c r="W220" s="21" t="str">
        <f aca="false">IF(AND(T220&gt;=Assumptions!$B$19,U220="No"),"High Priority - Unrepresented",IF(T220&gt;=Assumptions!$B$19,"High Priority",IF(AND(T220&gt;=Assumptions!$B$20,U220="No"),"Watchlist - Unrepresented",IF(T220&gt;=Assumptions!$B$20,"Watchlist",""))))</f>
        <v/>
      </c>
      <c r="X220" s="21" t="str">
        <f aca="false">'Player Data'!V220</f>
        <v>info@reykjavikfc.is</v>
      </c>
      <c r="Y220" s="28" t="str">
        <f aca="false">'Player Data'!W220</f>
        <v>Go through the player's agent - ask the club to confirm representation first</v>
      </c>
      <c r="Z220" s="28" t="str">
        <f aca="false">'Player Data'!X220</f>
        <v>KSI (Icelandic Football Association) player registry</v>
      </c>
      <c r="AA220" s="19" t="str">
        <f aca="false">HYPERLINK("https://www.transfermarkt.com/schnellsuche/ergebnis/schnellsuche?query="&amp;SUBSTITUTE(A220," ","+"),"Search Transfermarkt")</f>
        <v>Search Transfermarkt</v>
      </c>
      <c r="AB220" s="29" t="n">
        <f aca="false">IFERROR('Player Data'!K220/('Player Data'!K220+'Player Data'!L220),0)</f>
        <v>0.608910891089109</v>
      </c>
      <c r="AC220" s="21" t="str">
        <f aca="false">IF(B220="GK",IF(AND(O220&gt;=Assumptions!$B$23,N220&gt;=Assumptions!$B$23),"Sweeper-Keeper / Build-from-the-Back",IF(O220&gt;=Assumptions!$B$23,"Sweeper-Keeper / High Line",IF(M220&gt;=Assumptions!$B$23,"Shot-Stopper / Traditional","Flexible / Multi-System"))),IF(AND(O220&gt;=Assumptions!$B$23,P220&gt;=Assumptions!$B$24),"High Press / Gegenpressing",IF(AND(N220&gt;=Assumptions!$B$23,AB220&gt;=Assumptions!$B$25),"Possession / Build-from-the-Back",IF(N220&gt;=Assumptions!$B$23,"Counter-Attack / Transition",IF(AND(O220&gt;=Assumptions!$B$23,N220&lt;Assumptions!$B$26),"Low Block / Park the Bus",IF(AND(B220="FW",M220&gt;=Assumptions!$B$23,N220&lt;Assumptions!$B$26),"Direct / Target Approach","Flexible / Multi-System"))))))</f>
        <v>Flexible / Multi-System</v>
      </c>
      <c r="AD220" s="21" t="str">
        <f aca="false">'Player Data'!Y220</f>
        <v>2026-07-17</v>
      </c>
      <c r="AE220" s="21" t="str">
        <f aca="false">'Player Data'!Z220</f>
        <v>2026-07-17</v>
      </c>
      <c r="AF220" s="28" t="str">
        <f aca="false">IFERROR(INDEX(Assumptions!$B$30:$B$61,MATCH(C220,Assumptions!$A$30:$A$61,0)),"--")</f>
        <v>Norway, Belgium</v>
      </c>
      <c r="AG220" s="30" t="str">
        <f aca="false">IF(R220&gt;=0.7,"Step-Up Candidate",IF(R220&gt;=0.4,"Lateral Move","Stay &amp; Develop"))</f>
        <v>Stay &amp; Develop</v>
      </c>
    </row>
    <row r="221" customFormat="false" ht="23.85" hidden="false" customHeight="false" outlineLevel="0" collapsed="false">
      <c r="A221" s="21" t="str">
        <f aca="false">'Player Data'!A221</f>
        <v>Emmanuel Mensah</v>
      </c>
      <c r="B221" s="21" t="str">
        <f aca="false">'Player Data'!F221</f>
        <v>FW</v>
      </c>
      <c r="C221" s="21" t="str">
        <f aca="false">'Player Data'!B221</f>
        <v>Ghana</v>
      </c>
      <c r="D221" s="21" t="str">
        <f aca="false">'Player Data'!C221</f>
        <v>Ghana Amateur League</v>
      </c>
      <c r="E221" s="21" t="n">
        <f aca="false">'Player Data'!D221</f>
        <v>2</v>
      </c>
      <c r="F221" s="21" t="n">
        <f aca="false">'Player Data'!G221</f>
        <v>18</v>
      </c>
      <c r="G221" s="21" t="n">
        <f aca="false">'Player Data'!H221</f>
        <v>1864</v>
      </c>
      <c r="H221" s="22" t="n">
        <f aca="false">IF(B221="GK",IFERROR(('Player Data'!N221-1.5*'Player Data'!O221)/'Player Data'!H221*90,0),IFERROR(('Player Data'!I221+'Player Data'!J221)/'Player Data'!H221*90,0))</f>
        <v>1.06223175965665</v>
      </c>
      <c r="I221" s="22" t="n">
        <f aca="false">IF(B221="GK",'Player Data'!P221,IFERROR(('Player Data'!K221+'Player Data'!L221)/'Player Data'!H221*90,0))</f>
        <v>6.03540772532189</v>
      </c>
      <c r="J221" s="22" t="n">
        <f aca="false">IF(B221="GK",IFERROR('Player Data'!Q221/'Player Data'!H221*90,0),IFERROR('Player Data'!M221/'Player Data'!H221*90,0))</f>
        <v>0.337982832618026</v>
      </c>
      <c r="K221" s="23" t="n">
        <f aca="false">'Player Data'!S221</f>
        <v>0</v>
      </c>
      <c r="L221" s="22" t="n">
        <f aca="false">INDEX(Assumptions!$B$13:$B$15,MATCH(E221,Assumptions!$A$13:$A$15,0))</f>
        <v>1</v>
      </c>
      <c r="M221" s="24" t="n">
        <f aca="false">IFERROR(SUMPRODUCT(($B$2:$B$1001=B221)*($H$2:$H$1001&lt;=H221))/SUMPRODUCT(($B$2:$B$1001=B221)*1),0)</f>
        <v>0.584070796460177</v>
      </c>
      <c r="N221" s="24" t="n">
        <f aca="false">IFERROR(SUMPRODUCT(($B$2:$B$1001=B221)*($I$2:$I$1001&lt;=I221))/SUMPRODUCT(($B$2:$B$1001=B221)*1),0)</f>
        <v>0.420353982300885</v>
      </c>
      <c r="O221" s="24" t="n">
        <f aca="false">IFERROR(SUMPRODUCT(($B$2:$B$1001=B221)*($J$2:$J$1001&lt;=J221))/SUMPRODUCT(($B$2:$B$1001=B221)*1),0)</f>
        <v>0.234513274336283</v>
      </c>
      <c r="P221" s="24" t="n">
        <f aca="false">IFERROR(SUMPRODUCT(($B$2:$B$1001=B221)*((0-$F$2:$F$1001)&lt;=(0-F221)))/SUMPRODUCT(($B$2:$B$1001=B221)*1),0)</f>
        <v>0.915929203539823</v>
      </c>
      <c r="Q221" s="25" t="n">
        <f aca="false">(M221*Assumptions!$B$5+N221*Assumptions!$B$6+O221*Assumptions!$B$7+P221*Assumptions!$B$8)*L221</f>
        <v>0.523230088495575</v>
      </c>
      <c r="R221" s="24" t="n">
        <f aca="false">IFERROR(SUMPRODUCT(($B$2:$B$1001=B221)*($Q$2:$Q$1001&lt;=Q221))/SUMPRODUCT(($B$2:$B$1001=B221)*1),0)</f>
        <v>0.646017699115044</v>
      </c>
      <c r="S221" s="24" t="n">
        <f aca="false">IFERROR(SUMPRODUCT(($B$2:$B$1001=B221)*($K$2:$K$1001&lt;=K221))/SUMPRODUCT(($B$2:$B$1001=B221)*1),0)</f>
        <v>0.261061946902655</v>
      </c>
      <c r="T221" s="26" t="n">
        <f aca="false">(R221-S221)*100</f>
        <v>38.4955752212389</v>
      </c>
      <c r="U221" s="21" t="str">
        <f aca="false">'Player Data'!T221</f>
        <v>Yes</v>
      </c>
      <c r="V221" s="27" t="n">
        <f aca="false">'Player Data'!U221</f>
        <v>2029</v>
      </c>
      <c r="W221" s="21" t="str">
        <f aca="false">IF(AND(T221&gt;=Assumptions!$B$19,U221="No"),"High Priority - Unrepresented",IF(T221&gt;=Assumptions!$B$19,"High Priority",IF(AND(T221&gt;=Assumptions!$B$20,U221="No"),"Watchlist - Unrepresented",IF(T221&gt;=Assumptions!$B$20,"Watchlist",""))))</f>
        <v>Watchlist</v>
      </c>
      <c r="X221" s="21" t="str">
        <f aca="false">'Player Data'!V221</f>
        <v>info@kumasiwanderers.gh</v>
      </c>
      <c r="Y221" s="28" t="str">
        <f aca="false">'Player Data'!W221</f>
        <v>Go through the player's agent - ask the club to confirm representation first</v>
      </c>
      <c r="Z221" s="28" t="str">
        <f aca="false">'Player Data'!X221</f>
        <v>GFA (Ghana Football Association) player registry</v>
      </c>
      <c r="AA221" s="19" t="str">
        <f aca="false">HYPERLINK("https://www.transfermarkt.com/schnellsuche/ergebnis/schnellsuche?query="&amp;SUBSTITUTE(A221," ","+"),"Search Transfermarkt")</f>
        <v>Search Transfermarkt</v>
      </c>
      <c r="AB221" s="29" t="n">
        <f aca="false">IFERROR('Player Data'!K221/('Player Data'!K221+'Player Data'!L221),0)</f>
        <v>0.504</v>
      </c>
      <c r="AC221" s="21" t="str">
        <f aca="false">IF(B221="GK",IF(AND(O221&gt;=Assumptions!$B$23,N221&gt;=Assumptions!$B$23),"Sweeper-Keeper / Build-from-the-Back",IF(O221&gt;=Assumptions!$B$23,"Sweeper-Keeper / High Line",IF(M221&gt;=Assumptions!$B$23,"Shot-Stopper / Traditional","Flexible / Multi-System"))),IF(AND(O221&gt;=Assumptions!$B$23,P221&gt;=Assumptions!$B$24),"High Press / Gegenpressing",IF(AND(N221&gt;=Assumptions!$B$23,AB221&gt;=Assumptions!$B$25),"Possession / Build-from-the-Back",IF(N221&gt;=Assumptions!$B$23,"Counter-Attack / Transition",IF(AND(O221&gt;=Assumptions!$B$23,N221&lt;Assumptions!$B$26),"Low Block / Park the Bus",IF(AND(B221="FW",M221&gt;=Assumptions!$B$23,N221&lt;Assumptions!$B$26),"Direct / Target Approach","Flexible / Multi-System"))))))</f>
        <v>Flexible / Multi-System</v>
      </c>
      <c r="AD221" s="21" t="str">
        <f aca="false">'Player Data'!Y221</f>
        <v>2026-07-17</v>
      </c>
      <c r="AE221" s="21" t="str">
        <f aca="false">'Player Data'!Z221</f>
        <v>2026-07-17</v>
      </c>
      <c r="AF221" s="28" t="str">
        <f aca="false">IFERROR(INDEX(Assumptions!$B$30:$B$61,MATCH(C221,Assumptions!$A$30:$A$61,0)),"--")</f>
        <v>Belgium, Portugal</v>
      </c>
      <c r="AG221" s="30" t="str">
        <f aca="false">IF(R221&gt;=0.7,"Step-Up Candidate",IF(R221&gt;=0.4,"Lateral Move","Stay &amp; Develop"))</f>
        <v>Lateral Move</v>
      </c>
    </row>
    <row r="222" customFormat="false" ht="23.85" hidden="false" customHeight="false" outlineLevel="0" collapsed="false">
      <c r="A222" s="21" t="str">
        <f aca="false">'Player Data'!A222</f>
        <v>Yves Diabate</v>
      </c>
      <c r="B222" s="21" t="str">
        <f aca="false">'Player Data'!F222</f>
        <v>MF</v>
      </c>
      <c r="C222" s="21" t="str">
        <f aca="false">'Player Data'!B222</f>
        <v>Ivory Coast</v>
      </c>
      <c r="D222" s="21" t="str">
        <f aca="false">'Player Data'!C222</f>
        <v>Ivory Coast Third Tier - South</v>
      </c>
      <c r="E222" s="21" t="n">
        <f aca="false">'Player Data'!D222</f>
        <v>2</v>
      </c>
      <c r="F222" s="21" t="n">
        <f aca="false">'Player Data'!G222</f>
        <v>26</v>
      </c>
      <c r="G222" s="21" t="n">
        <f aca="false">'Player Data'!H222</f>
        <v>1092</v>
      </c>
      <c r="H222" s="22" t="n">
        <f aca="false">IF(B222="GK",IFERROR(('Player Data'!N222-1.5*'Player Data'!O222)/'Player Data'!H222*90,0),IFERROR(('Player Data'!I222+'Player Data'!J222)/'Player Data'!H222*90,0))</f>
        <v>1.23626373626374</v>
      </c>
      <c r="I222" s="22" t="n">
        <f aca="false">IF(B222="GK",'Player Data'!P222,IFERROR(('Player Data'!K222+'Player Data'!L222)/'Player Data'!H222*90,0))</f>
        <v>21.0989010989011</v>
      </c>
      <c r="J222" s="22" t="n">
        <f aca="false">IF(B222="GK",IFERROR('Player Data'!Q222/'Player Data'!H222*90,0),IFERROR('Player Data'!M222/'Player Data'!H222*90,0))</f>
        <v>3.13186813186813</v>
      </c>
      <c r="K222" s="23" t="n">
        <f aca="false">'Player Data'!S222</f>
        <v>0</v>
      </c>
      <c r="L222" s="22" t="n">
        <f aca="false">INDEX(Assumptions!$B$13:$B$15,MATCH(E222,Assumptions!$A$13:$A$15,0))</f>
        <v>1</v>
      </c>
      <c r="M222" s="24" t="n">
        <f aca="false">IFERROR(SUMPRODUCT(($B$2:$B$1001=B222)*($H$2:$H$1001&lt;=H222))/SUMPRODUCT(($B$2:$B$1001=B222)*1),0)</f>
        <v>0.855218855218855</v>
      </c>
      <c r="N222" s="24" t="n">
        <f aca="false">IFERROR(SUMPRODUCT(($B$2:$B$1001=B222)*($I$2:$I$1001&lt;=I222))/SUMPRODUCT(($B$2:$B$1001=B222)*1),0)</f>
        <v>0.922558922558923</v>
      </c>
      <c r="O222" s="24" t="n">
        <f aca="false">IFERROR(SUMPRODUCT(($B$2:$B$1001=B222)*($J$2:$J$1001&lt;=J222))/SUMPRODUCT(($B$2:$B$1001=B222)*1),0)</f>
        <v>0.791245791245791</v>
      </c>
      <c r="P222" s="24" t="n">
        <f aca="false">IFERROR(SUMPRODUCT(($B$2:$B$1001=B222)*((0-$F$2:$F$1001)&lt;=(0-F222)))/SUMPRODUCT(($B$2:$B$1001=B222)*1),0)</f>
        <v>0.0909090909090909</v>
      </c>
      <c r="Q222" s="25" t="n">
        <f aca="false">(M222*Assumptions!$B$5+N222*Assumptions!$B$6+O222*Assumptions!$B$7+P222*Assumptions!$B$8)*L222</f>
        <v>0.713131313131313</v>
      </c>
      <c r="R222" s="24" t="n">
        <f aca="false">IFERROR(SUMPRODUCT(($B$2:$B$1001=B222)*($Q$2:$Q$1001&lt;=Q222))/SUMPRODUCT(($B$2:$B$1001=B222)*1),0)</f>
        <v>0.882154882154882</v>
      </c>
      <c r="S222" s="24" t="n">
        <f aca="false">IFERROR(SUMPRODUCT(($B$2:$B$1001=B222)*($K$2:$K$1001&lt;=K222))/SUMPRODUCT(($B$2:$B$1001=B222)*1),0)</f>
        <v>0.228956228956229</v>
      </c>
      <c r="T222" s="26" t="n">
        <f aca="false">(R222-S222)*100</f>
        <v>65.3198653198653</v>
      </c>
      <c r="U222" s="21" t="str">
        <f aca="false">'Player Data'!T222</f>
        <v>Yes</v>
      </c>
      <c r="V222" s="27" t="n">
        <f aca="false">'Player Data'!U222</f>
        <v>2029</v>
      </c>
      <c r="W222" s="21" t="str">
        <f aca="false">IF(AND(T222&gt;=Assumptions!$B$19,U222="No"),"High Priority - Unrepresented",IF(T222&gt;=Assumptions!$B$19,"High Priority",IF(AND(T222&gt;=Assumptions!$B$20,U222="No"),"Watchlist - Unrepresented",IF(T222&gt;=Assumptions!$B$20,"Watchlist",""))))</f>
        <v>High Priority</v>
      </c>
      <c r="X222" s="21" t="str">
        <f aca="false">'Player Data'!V222</f>
        <v>info@bouakefc.ci</v>
      </c>
      <c r="Y222" s="28" t="str">
        <f aca="false">'Player Data'!W222</f>
        <v>Go through the player's agent - ask the club to confirm representation first</v>
      </c>
      <c r="Z222" s="28" t="str">
        <f aca="false">'Player Data'!X222</f>
        <v>FIF (Ivorian Football Federation) player registry</v>
      </c>
      <c r="AA222" s="19" t="str">
        <f aca="false">HYPERLINK("https://www.transfermarkt.com/schnellsuche/ergebnis/schnellsuche?query="&amp;SUBSTITUTE(A222," ","+"),"Search Transfermarkt")</f>
        <v>Search Transfermarkt</v>
      </c>
      <c r="AB222" s="29" t="n">
        <f aca="false">IFERROR('Player Data'!K222/('Player Data'!K222+'Player Data'!L222),0)</f>
        <v>0.68359375</v>
      </c>
      <c r="AC222" s="21" t="str">
        <f aca="false">IF(B222="GK",IF(AND(O222&gt;=Assumptions!$B$23,N222&gt;=Assumptions!$B$23),"Sweeper-Keeper / Build-from-the-Back",IF(O222&gt;=Assumptions!$B$23,"Sweeper-Keeper / High Line",IF(M222&gt;=Assumptions!$B$23,"Shot-Stopper / Traditional","Flexible / Multi-System"))),IF(AND(O222&gt;=Assumptions!$B$23,P222&gt;=Assumptions!$B$24),"High Press / Gegenpressing",IF(AND(N222&gt;=Assumptions!$B$23,AB222&gt;=Assumptions!$B$25),"Possession / Build-from-the-Back",IF(N222&gt;=Assumptions!$B$23,"Counter-Attack / Transition",IF(AND(O222&gt;=Assumptions!$B$23,N222&lt;Assumptions!$B$26),"Low Block / Park the Bus",IF(AND(B222="FW",M222&gt;=Assumptions!$B$23,N222&lt;Assumptions!$B$26),"Direct / Target Approach","Flexible / Multi-System"))))))</f>
        <v>Possession / Build-from-the-Back</v>
      </c>
      <c r="AD222" s="21" t="str">
        <f aca="false">'Player Data'!Y222</f>
        <v>2026-07-17</v>
      </c>
      <c r="AE222" s="21" t="str">
        <f aca="false">'Player Data'!Z222</f>
        <v>2026-07-17</v>
      </c>
      <c r="AF222" s="28" t="str">
        <f aca="false">IFERROR(INDEX(Assumptions!$B$30:$B$61,MATCH(C222,Assumptions!$A$30:$A$61,0)),"--")</f>
        <v>Belgium, Portugal</v>
      </c>
      <c r="AG222" s="30" t="str">
        <f aca="false">IF(R222&gt;=0.7,"Step-Up Candidate",IF(R222&gt;=0.4,"Lateral Move","Stay &amp; Develop"))</f>
        <v>Step-Up Candidate</v>
      </c>
    </row>
    <row r="223" customFormat="false" ht="23.85" hidden="false" customHeight="false" outlineLevel="0" collapsed="false">
      <c r="A223" s="21" t="str">
        <f aca="false">'Player Data'!A223</f>
        <v>Phong Tran</v>
      </c>
      <c r="B223" s="21" t="str">
        <f aca="false">'Player Data'!F223</f>
        <v>DF</v>
      </c>
      <c r="C223" s="21" t="str">
        <f aca="false">'Player Data'!B223</f>
        <v>Vietnam</v>
      </c>
      <c r="D223" s="21" t="str">
        <f aca="false">'Player Data'!C223</f>
        <v>Vietnam Second Division</v>
      </c>
      <c r="E223" s="21" t="n">
        <f aca="false">'Player Data'!D223</f>
        <v>4</v>
      </c>
      <c r="F223" s="21" t="n">
        <f aca="false">'Player Data'!G223</f>
        <v>22</v>
      </c>
      <c r="G223" s="21" t="n">
        <f aca="false">'Player Data'!H223</f>
        <v>1699</v>
      </c>
      <c r="H223" s="22" t="n">
        <f aca="false">IF(B223="GK",IFERROR(('Player Data'!N223-1.5*'Player Data'!O223)/'Player Data'!H223*90,0),IFERROR(('Player Data'!I223+'Player Data'!J223)/'Player Data'!H223*90,0))</f>
        <v>0.158917010005886</v>
      </c>
      <c r="I223" s="22" t="n">
        <f aca="false">IF(B223="GK",'Player Data'!P223,IFERROR(('Player Data'!K223+'Player Data'!L223)/'Player Data'!H223*90,0))</f>
        <v>4.92642731018246</v>
      </c>
      <c r="J223" s="22" t="n">
        <f aca="false">IF(B223="GK",IFERROR('Player Data'!Q223/'Player Data'!H223*90,0),IFERROR('Player Data'!M223/'Player Data'!H223*90,0))</f>
        <v>5.03237198351972</v>
      </c>
      <c r="K223" s="23" t="n">
        <f aca="false">'Player Data'!S223</f>
        <v>24030</v>
      </c>
      <c r="L223" s="22" t="n">
        <f aca="false">INDEX(Assumptions!$B$13:$B$15,MATCH(E223,Assumptions!$A$13:$A$15,0))</f>
        <v>0.7</v>
      </c>
      <c r="M223" s="24" t="n">
        <f aca="false">IFERROR(SUMPRODUCT(($B$2:$B$1001=B223)*($H$2:$H$1001&lt;=H223))/SUMPRODUCT(($B$2:$B$1001=B223)*1),0)</f>
        <v>0.380952380952381</v>
      </c>
      <c r="N223" s="24" t="n">
        <f aca="false">IFERROR(SUMPRODUCT(($B$2:$B$1001=B223)*($I$2:$I$1001&lt;=I223))/SUMPRODUCT(($B$2:$B$1001=B223)*1),0)</f>
        <v>0.581632653061225</v>
      </c>
      <c r="O223" s="24" t="n">
        <f aca="false">IFERROR(SUMPRODUCT(($B$2:$B$1001=B223)*($J$2:$J$1001&lt;=J223))/SUMPRODUCT(($B$2:$B$1001=B223)*1),0)</f>
        <v>0.45578231292517</v>
      </c>
      <c r="P223" s="24" t="n">
        <f aca="false">IFERROR(SUMPRODUCT(($B$2:$B$1001=B223)*((0-$F$2:$F$1001)&lt;=(0-F223)))/SUMPRODUCT(($B$2:$B$1001=B223)*1),0)</f>
        <v>0.493197278911565</v>
      </c>
      <c r="Q223" s="25" t="n">
        <f aca="false">(M223*Assumptions!$B$5+N223*Assumptions!$B$6+O223*Assumptions!$B$7+P223*Assumptions!$B$8)*L223</f>
        <v>0.342023809523809</v>
      </c>
      <c r="R223" s="24" t="n">
        <f aca="false">IFERROR(SUMPRODUCT(($B$2:$B$1001=B223)*($Q$2:$Q$1001&lt;=Q223))/SUMPRODUCT(($B$2:$B$1001=B223)*1),0)</f>
        <v>0.333333333333333</v>
      </c>
      <c r="S223" s="24" t="n">
        <f aca="false">IFERROR(SUMPRODUCT(($B$2:$B$1001=B223)*($K$2:$K$1001&lt;=K223))/SUMPRODUCT(($B$2:$B$1001=B223)*1),0)</f>
        <v>0.333333333333333</v>
      </c>
      <c r="T223" s="26" t="n">
        <f aca="false">(R223-S223)*100</f>
        <v>0</v>
      </c>
      <c r="U223" s="21" t="str">
        <f aca="false">'Player Data'!T223</f>
        <v>No</v>
      </c>
      <c r="V223" s="27" t="n">
        <f aca="false">'Player Data'!U223</f>
        <v>2029</v>
      </c>
      <c r="W223" s="21" t="str">
        <f aca="false">IF(AND(T223&gt;=Assumptions!$B$19,U223="No"),"High Priority - Unrepresented",IF(T223&gt;=Assumptions!$B$19,"High Priority",IF(AND(T223&gt;=Assumptions!$B$20,U223="No"),"Watchlist - Unrepresented",IF(T223&gt;=Assumptions!$B$20,"Watchlist",""))))</f>
        <v/>
      </c>
      <c r="X223" s="21" t="str">
        <f aca="false">'Player Data'!V223</f>
        <v>info@haiphongathletic.vn</v>
      </c>
      <c r="Y223" s="28" t="str">
        <f aca="false">'Player Data'!W223</f>
        <v>Club sporting director / first-team office</v>
      </c>
      <c r="Z223" s="28" t="str">
        <f aca="false">'Player Data'!X223</f>
        <v>VFF (Vietnam Football Federation) player registry</v>
      </c>
      <c r="AA223" s="19" t="str">
        <f aca="false">HYPERLINK("https://www.transfermarkt.com/schnellsuche/ergebnis/schnellsuche?query="&amp;SUBSTITUTE(A223," ","+"),"Search Transfermarkt")</f>
        <v>Search Transfermarkt</v>
      </c>
      <c r="AB223" s="29" t="n">
        <f aca="false">IFERROR('Player Data'!K223/('Player Data'!K223+'Player Data'!L223),0)</f>
        <v>0.763440860215054</v>
      </c>
      <c r="AC223" s="21" t="str">
        <f aca="false">IF(B223="GK",IF(AND(O223&gt;=Assumptions!$B$23,N223&gt;=Assumptions!$B$23),"Sweeper-Keeper / Build-from-the-Back",IF(O223&gt;=Assumptions!$B$23,"Sweeper-Keeper / High Line",IF(M223&gt;=Assumptions!$B$23,"Shot-Stopper / Traditional","Flexible / Multi-System"))),IF(AND(O223&gt;=Assumptions!$B$23,P223&gt;=Assumptions!$B$24),"High Press / Gegenpressing",IF(AND(N223&gt;=Assumptions!$B$23,AB223&gt;=Assumptions!$B$25),"Possession / Build-from-the-Back",IF(N223&gt;=Assumptions!$B$23,"Counter-Attack / Transition",IF(AND(O223&gt;=Assumptions!$B$23,N223&lt;Assumptions!$B$26),"Low Block / Park the Bus",IF(AND(B223="FW",M223&gt;=Assumptions!$B$23,N223&lt;Assumptions!$B$26),"Direct / Target Approach","Flexible / Multi-System"))))))</f>
        <v>Flexible / Multi-System</v>
      </c>
      <c r="AD223" s="21" t="str">
        <f aca="false">'Player Data'!Y223</f>
        <v>2026-07-17</v>
      </c>
      <c r="AE223" s="21" t="str">
        <f aca="false">'Player Data'!Z223</f>
        <v>2026-07-17</v>
      </c>
      <c r="AF223" s="28" t="str">
        <f aca="false">IFERROR(INDEX(Assumptions!$B$30:$B$61,MATCH(C223,Assumptions!$A$30:$A$61,0)),"--")</f>
        <v>Australia, Saudi Arabia</v>
      </c>
      <c r="AG223" s="30" t="str">
        <f aca="false">IF(R223&gt;=0.7,"Step-Up Candidate",IF(R223&gt;=0.4,"Lateral Move","Stay &amp; Develop"))</f>
        <v>Stay &amp; Develop</v>
      </c>
    </row>
    <row r="224" customFormat="false" ht="23.85" hidden="false" customHeight="false" outlineLevel="0" collapsed="false">
      <c r="A224" s="21" t="str">
        <f aca="false">'Player Data'!A224</f>
        <v>Vasil Ristovski</v>
      </c>
      <c r="B224" s="21" t="str">
        <f aca="false">'Player Data'!F224</f>
        <v>DF</v>
      </c>
      <c r="C224" s="21" t="str">
        <f aca="false">'Player Data'!B224</f>
        <v>North Macedonia</v>
      </c>
      <c r="D224" s="21" t="str">
        <f aca="false">'Player Data'!C224</f>
        <v>North Macedonia Second Division - West</v>
      </c>
      <c r="E224" s="21" t="n">
        <f aca="false">'Player Data'!D224</f>
        <v>3</v>
      </c>
      <c r="F224" s="21" t="n">
        <f aca="false">'Player Data'!G224</f>
        <v>18</v>
      </c>
      <c r="G224" s="21" t="n">
        <f aca="false">'Player Data'!H224</f>
        <v>1023</v>
      </c>
      <c r="H224" s="22" t="n">
        <f aca="false">IF(B224="GK",IFERROR(('Player Data'!N224-1.5*'Player Data'!O224)/'Player Data'!H224*90,0),IFERROR(('Player Data'!I224+'Player Data'!J224)/'Player Data'!H224*90,0))</f>
        <v>0.351906158357771</v>
      </c>
      <c r="I224" s="22" t="n">
        <f aca="false">IF(B224="GK",'Player Data'!P224,IFERROR(('Player Data'!K224+'Player Data'!L224)/'Player Data'!H224*90,0))</f>
        <v>6.51026392961877</v>
      </c>
      <c r="J224" s="22" t="n">
        <f aca="false">IF(B224="GK",IFERROR('Player Data'!Q224/'Player Data'!H224*90,0),IFERROR('Player Data'!M224/'Player Data'!H224*90,0))</f>
        <v>8.88563049853372</v>
      </c>
      <c r="K224" s="23" t="n">
        <f aca="false">'Player Data'!S224</f>
        <v>38953</v>
      </c>
      <c r="L224" s="22" t="n">
        <f aca="false">INDEX(Assumptions!$B$13:$B$15,MATCH(E224,Assumptions!$A$13:$A$15,0))</f>
        <v>0.85</v>
      </c>
      <c r="M224" s="24" t="n">
        <f aca="false">IFERROR(SUMPRODUCT(($B$2:$B$1001=B224)*($H$2:$H$1001&lt;=H224))/SUMPRODUCT(($B$2:$B$1001=B224)*1),0)</f>
        <v>0.857142857142857</v>
      </c>
      <c r="N224" s="24" t="n">
        <f aca="false">IFERROR(SUMPRODUCT(($B$2:$B$1001=B224)*($I$2:$I$1001&lt;=I224))/SUMPRODUCT(($B$2:$B$1001=B224)*1),0)</f>
        <v>0.795918367346939</v>
      </c>
      <c r="O224" s="24" t="n">
        <f aca="false">IFERROR(SUMPRODUCT(($B$2:$B$1001=B224)*($J$2:$J$1001&lt;=J224))/SUMPRODUCT(($B$2:$B$1001=B224)*1),0)</f>
        <v>0.897959183673469</v>
      </c>
      <c r="P224" s="24" t="n">
        <f aca="false">IFERROR(SUMPRODUCT(($B$2:$B$1001=B224)*((0-$F$2:$F$1001)&lt;=(0-F224)))/SUMPRODUCT(($B$2:$B$1001=B224)*1),0)</f>
        <v>0.863945578231293</v>
      </c>
      <c r="Q224" s="25" t="n">
        <f aca="false">(M224*Assumptions!$B$5+N224*Assumptions!$B$6+O224*Assumptions!$B$7+P224*Assumptions!$B$8)*L224</f>
        <v>0.718452380952381</v>
      </c>
      <c r="R224" s="24" t="n">
        <f aca="false">IFERROR(SUMPRODUCT(($B$2:$B$1001=B224)*($Q$2:$Q$1001&lt;=Q224))/SUMPRODUCT(($B$2:$B$1001=B224)*1),0)</f>
        <v>0.891156462585034</v>
      </c>
      <c r="S224" s="24" t="n">
        <f aca="false">IFERROR(SUMPRODUCT(($B$2:$B$1001=B224)*($K$2:$K$1001&lt;=K224))/SUMPRODUCT(($B$2:$B$1001=B224)*1),0)</f>
        <v>0.380952380952381</v>
      </c>
      <c r="T224" s="26" t="n">
        <f aca="false">(R224-S224)*100</f>
        <v>51.0204081632653</v>
      </c>
      <c r="U224" s="21" t="str">
        <f aca="false">'Player Data'!T224</f>
        <v>Yes</v>
      </c>
      <c r="V224" s="27" t="n">
        <f aca="false">'Player Data'!U224</f>
        <v>2027</v>
      </c>
      <c r="W224" s="21" t="str">
        <f aca="false">IF(AND(T224&gt;=Assumptions!$B$19,U224="No"),"High Priority - Unrepresented",IF(T224&gt;=Assumptions!$B$19,"High Priority",IF(AND(T224&gt;=Assumptions!$B$20,U224="No"),"Watchlist - Unrepresented",IF(T224&gt;=Assumptions!$B$20,"Watchlist",""))))</f>
        <v>High Priority</v>
      </c>
      <c r="X224" s="21" t="str">
        <f aca="false">'Player Data'!V224</f>
        <v>info@ohridcity.mk</v>
      </c>
      <c r="Y224" s="28" t="str">
        <f aca="false">'Player Data'!W224</f>
        <v>Go through the player's agent - ask the club to confirm representation first</v>
      </c>
      <c r="Z224" s="28" t="str">
        <f aca="false">'Player Data'!X224</f>
        <v>FFM (Football Federation of North Macedonia) player registry</v>
      </c>
      <c r="AA224" s="19" t="str">
        <f aca="false">HYPERLINK("https://www.transfermarkt.com/schnellsuche/ergebnis/schnellsuche?query="&amp;SUBSTITUTE(A224," ","+"),"Search Transfermarkt")</f>
        <v>Search Transfermarkt</v>
      </c>
      <c r="AB224" s="29" t="n">
        <f aca="false">IFERROR('Player Data'!K224/('Player Data'!K224+'Player Data'!L224),0)</f>
        <v>0.581081081081081</v>
      </c>
      <c r="AC224" s="21" t="str">
        <f aca="false">IF(B224="GK",IF(AND(O224&gt;=Assumptions!$B$23,N224&gt;=Assumptions!$B$23),"Sweeper-Keeper / Build-from-the-Back",IF(O224&gt;=Assumptions!$B$23,"Sweeper-Keeper / High Line",IF(M224&gt;=Assumptions!$B$23,"Shot-Stopper / Traditional","Flexible / Multi-System"))),IF(AND(O224&gt;=Assumptions!$B$23,P224&gt;=Assumptions!$B$24),"High Press / Gegenpressing",IF(AND(N224&gt;=Assumptions!$B$23,AB224&gt;=Assumptions!$B$25),"Possession / Build-from-the-Back",IF(N224&gt;=Assumptions!$B$23,"Counter-Attack / Transition",IF(AND(O224&gt;=Assumptions!$B$23,N224&lt;Assumptions!$B$26),"Low Block / Park the Bus",IF(AND(B224="FW",M224&gt;=Assumptions!$B$23,N224&lt;Assumptions!$B$26),"Direct / Target Approach","Flexible / Multi-System"))))))</f>
        <v>High Press / Gegenpressing</v>
      </c>
      <c r="AD224" s="21" t="str">
        <f aca="false">'Player Data'!Y224</f>
        <v>2026-07-17</v>
      </c>
      <c r="AE224" s="21" t="str">
        <f aca="false">'Player Data'!Z224</f>
        <v>2026-07-17</v>
      </c>
      <c r="AF224" s="28" t="str">
        <f aca="false">IFERROR(INDEX(Assumptions!$B$30:$B$61,MATCH(C224,Assumptions!$A$30:$A$61,0)),"--")</f>
        <v>Austria, Turkey</v>
      </c>
      <c r="AG224" s="30" t="str">
        <f aca="false">IF(R224&gt;=0.7,"Step-Up Candidate",IF(R224&gt;=0.4,"Lateral Move","Stay &amp; Develop"))</f>
        <v>Step-Up Candidate</v>
      </c>
    </row>
    <row r="225" customFormat="false" ht="23.85" hidden="false" customHeight="false" outlineLevel="0" collapsed="false">
      <c r="A225" s="21" t="str">
        <f aca="false">'Player Data'!A225</f>
        <v>Jesus Rondon</v>
      </c>
      <c r="B225" s="21" t="str">
        <f aca="false">'Player Data'!F225</f>
        <v>DF</v>
      </c>
      <c r="C225" s="21" t="str">
        <f aca="false">'Player Data'!B225</f>
        <v>Venezuela</v>
      </c>
      <c r="D225" s="21" t="str">
        <f aca="false">'Player Data'!C225</f>
        <v>Venezuela Third Tier - North</v>
      </c>
      <c r="E225" s="21" t="n">
        <f aca="false">'Player Data'!D225</f>
        <v>2</v>
      </c>
      <c r="F225" s="21" t="n">
        <f aca="false">'Player Data'!G225</f>
        <v>20</v>
      </c>
      <c r="G225" s="21" t="n">
        <f aca="false">'Player Data'!H225</f>
        <v>1921</v>
      </c>
      <c r="H225" s="22" t="n">
        <f aca="false">IF(B225="GK",IFERROR(('Player Data'!N225-1.5*'Player Data'!O225)/'Player Data'!H225*90,0),IFERROR(('Player Data'!I225+'Player Data'!J225)/'Player Data'!H225*90,0))</f>
        <v>0.28110359187923</v>
      </c>
      <c r="I225" s="22" t="n">
        <f aca="false">IF(B225="GK",'Player Data'!P225,IFERROR(('Player Data'!K225+'Player Data'!L225)/'Player Data'!H225*90,0))</f>
        <v>4.7787610619469</v>
      </c>
      <c r="J225" s="22" t="n">
        <f aca="false">IF(B225="GK",IFERROR('Player Data'!Q225/'Player Data'!H225*90,0),IFERROR('Player Data'!M225/'Player Data'!H225*90,0))</f>
        <v>4.96616345653306</v>
      </c>
      <c r="K225" s="23" t="n">
        <f aca="false">'Player Data'!S225</f>
        <v>57390</v>
      </c>
      <c r="L225" s="22" t="n">
        <f aca="false">INDEX(Assumptions!$B$13:$B$15,MATCH(E225,Assumptions!$A$13:$A$15,0))</f>
        <v>1</v>
      </c>
      <c r="M225" s="24" t="n">
        <f aca="false">IFERROR(SUMPRODUCT(($B$2:$B$1001=B225)*($H$2:$H$1001&lt;=H225))/SUMPRODUCT(($B$2:$B$1001=B225)*1),0)</f>
        <v>0.724489795918367</v>
      </c>
      <c r="N225" s="24" t="n">
        <f aca="false">IFERROR(SUMPRODUCT(($B$2:$B$1001=B225)*($I$2:$I$1001&lt;=I225))/SUMPRODUCT(($B$2:$B$1001=B225)*1),0)</f>
        <v>0.568027210884354</v>
      </c>
      <c r="O225" s="24" t="n">
        <f aca="false">IFERROR(SUMPRODUCT(($B$2:$B$1001=B225)*($J$2:$J$1001&lt;=J225))/SUMPRODUCT(($B$2:$B$1001=B225)*1),0)</f>
        <v>0.445578231292517</v>
      </c>
      <c r="P225" s="24" t="n">
        <f aca="false">IFERROR(SUMPRODUCT(($B$2:$B$1001=B225)*((0-$F$2:$F$1001)&lt;=(0-F225)))/SUMPRODUCT(($B$2:$B$1001=B225)*1),0)</f>
        <v>0.656462585034014</v>
      </c>
      <c r="Q225" s="25" t="n">
        <f aca="false">(M225*Assumptions!$B$5+N225*Assumptions!$B$6+O225*Assumptions!$B$7+P225*Assumptions!$B$8)*L225</f>
        <v>0.600340136054422</v>
      </c>
      <c r="R225" s="24" t="n">
        <f aca="false">IFERROR(SUMPRODUCT(($B$2:$B$1001=B225)*($Q$2:$Q$1001&lt;=Q225))/SUMPRODUCT(($B$2:$B$1001=B225)*1),0)</f>
        <v>0.76530612244898</v>
      </c>
      <c r="S225" s="24" t="n">
        <f aca="false">IFERROR(SUMPRODUCT(($B$2:$B$1001=B225)*($K$2:$K$1001&lt;=K225))/SUMPRODUCT(($B$2:$B$1001=B225)*1),0)</f>
        <v>0.469387755102041</v>
      </c>
      <c r="T225" s="26" t="n">
        <f aca="false">(R225-S225)*100</f>
        <v>29.5918367346939</v>
      </c>
      <c r="U225" s="21" t="str">
        <f aca="false">'Player Data'!T225</f>
        <v>Unknown</v>
      </c>
      <c r="V225" s="27" t="n">
        <f aca="false">'Player Data'!U225</f>
        <v>2026</v>
      </c>
      <c r="W225" s="21" t="str">
        <f aca="false">IF(AND(T225&gt;=Assumptions!$B$19,U225="No"),"High Priority - Unrepresented",IF(T225&gt;=Assumptions!$B$19,"High Priority",IF(AND(T225&gt;=Assumptions!$B$20,U225="No"),"Watchlist - Unrepresented",IF(T225&gt;=Assumptions!$B$20,"Watchlist",""))))</f>
        <v>Watchlist</v>
      </c>
      <c r="X225" s="21" t="str">
        <f aca="false">'Player Data'!V225</f>
        <v>info@barquisimetowanderers.ve</v>
      </c>
      <c r="Y225" s="28" t="str">
        <f aca="false">'Player Data'!W225</f>
        <v>Club sporting director / first-team office</v>
      </c>
      <c r="Z225" s="28" t="str">
        <f aca="false">'Player Data'!X225</f>
        <v>FVF (Venezuelan Football Federation) player registry</v>
      </c>
      <c r="AA225" s="19" t="str">
        <f aca="false">HYPERLINK("https://www.transfermarkt.com/schnellsuche/ergebnis/schnellsuche?query="&amp;SUBSTITUTE(A225," ","+"),"Search Transfermarkt")</f>
        <v>Search Transfermarkt</v>
      </c>
      <c r="AB225" s="29" t="n">
        <f aca="false">IFERROR('Player Data'!K225/('Player Data'!K225+'Player Data'!L225),0)</f>
        <v>0.656862745098039</v>
      </c>
      <c r="AC225" s="21" t="str">
        <f aca="false">IF(B225="GK",IF(AND(O225&gt;=Assumptions!$B$23,N225&gt;=Assumptions!$B$23),"Sweeper-Keeper / Build-from-the-Back",IF(O225&gt;=Assumptions!$B$23,"Sweeper-Keeper / High Line",IF(M225&gt;=Assumptions!$B$23,"Shot-Stopper / Traditional","Flexible / Multi-System"))),IF(AND(O225&gt;=Assumptions!$B$23,P225&gt;=Assumptions!$B$24),"High Press / Gegenpressing",IF(AND(N225&gt;=Assumptions!$B$23,AB225&gt;=Assumptions!$B$25),"Possession / Build-from-the-Back",IF(N225&gt;=Assumptions!$B$23,"Counter-Attack / Transition",IF(AND(O225&gt;=Assumptions!$B$23,N225&lt;Assumptions!$B$26),"Low Block / Park the Bus",IF(AND(B225="FW",M225&gt;=Assumptions!$B$23,N225&lt;Assumptions!$B$26),"Direct / Target Approach","Flexible / Multi-System"))))))</f>
        <v>Flexible / Multi-System</v>
      </c>
      <c r="AD225" s="21" t="str">
        <f aca="false">'Player Data'!Y225</f>
        <v>2026-07-17</v>
      </c>
      <c r="AE225" s="21" t="str">
        <f aca="false">'Player Data'!Z225</f>
        <v>2026-07-17</v>
      </c>
      <c r="AF225" s="28" t="str">
        <f aca="false">IFERROR(INDEX(Assumptions!$B$30:$B$61,MATCH(C225,Assumptions!$A$30:$A$61,0)),"--")</f>
        <v>Argentina, Portugal</v>
      </c>
      <c r="AG225" s="30" t="str">
        <f aca="false">IF(R225&gt;=0.7,"Step-Up Candidate",IF(R225&gt;=0.4,"Lateral Move","Stay &amp; Develop"))</f>
        <v>Step-Up Candidate</v>
      </c>
    </row>
    <row r="226" customFormat="false" ht="23.85" hidden="false" customHeight="false" outlineLevel="0" collapsed="false">
      <c r="A226" s="21" t="str">
        <f aca="false">'Player Data'!A226</f>
        <v>Didier Diabate</v>
      </c>
      <c r="B226" s="21" t="str">
        <f aca="false">'Player Data'!F226</f>
        <v>DF</v>
      </c>
      <c r="C226" s="21" t="str">
        <f aca="false">'Player Data'!B226</f>
        <v>Ivory Coast</v>
      </c>
      <c r="D226" s="21" t="str">
        <f aca="false">'Player Data'!C226</f>
        <v>Ivory Coast Provincial League</v>
      </c>
      <c r="E226" s="21" t="n">
        <f aca="false">'Player Data'!D226</f>
        <v>4</v>
      </c>
      <c r="F226" s="21" t="n">
        <f aca="false">'Player Data'!G226</f>
        <v>24</v>
      </c>
      <c r="G226" s="21" t="n">
        <f aca="false">'Player Data'!H226</f>
        <v>1368</v>
      </c>
      <c r="H226" s="22" t="n">
        <f aca="false">IF(B226="GK",IFERROR(('Player Data'!N226-1.5*'Player Data'!O226)/'Player Data'!H226*90,0),IFERROR(('Player Data'!I226+'Player Data'!J226)/'Player Data'!H226*90,0))</f>
        <v>0.263157894736842</v>
      </c>
      <c r="I226" s="22" t="n">
        <f aca="false">IF(B226="GK",'Player Data'!P226,IFERROR(('Player Data'!K226+'Player Data'!L226)/'Player Data'!H226*90,0))</f>
        <v>4.27631578947368</v>
      </c>
      <c r="J226" s="22" t="n">
        <f aca="false">IF(B226="GK",IFERROR('Player Data'!Q226/'Player Data'!H226*90,0),IFERROR('Player Data'!M226/'Player Data'!H226*90,0))</f>
        <v>5.98684210526316</v>
      </c>
      <c r="K226" s="23" t="n">
        <f aca="false">'Player Data'!S226</f>
        <v>124535</v>
      </c>
      <c r="L226" s="22" t="n">
        <f aca="false">INDEX(Assumptions!$B$13:$B$15,MATCH(E226,Assumptions!$A$13:$A$15,0))</f>
        <v>0.7</v>
      </c>
      <c r="M226" s="24" t="n">
        <f aca="false">IFERROR(SUMPRODUCT(($B$2:$B$1001=B226)*($H$2:$H$1001&lt;=H226))/SUMPRODUCT(($B$2:$B$1001=B226)*1),0)</f>
        <v>0.687074829931973</v>
      </c>
      <c r="N226" s="24" t="n">
        <f aca="false">IFERROR(SUMPRODUCT(($B$2:$B$1001=B226)*($I$2:$I$1001&lt;=I226))/SUMPRODUCT(($B$2:$B$1001=B226)*1),0)</f>
        <v>0.445578231292517</v>
      </c>
      <c r="O226" s="24" t="n">
        <f aca="false">IFERROR(SUMPRODUCT(($B$2:$B$1001=B226)*($J$2:$J$1001&lt;=J226))/SUMPRODUCT(($B$2:$B$1001=B226)*1),0)</f>
        <v>0.622448979591837</v>
      </c>
      <c r="P226" s="24" t="n">
        <f aca="false">IFERROR(SUMPRODUCT(($B$2:$B$1001=B226)*((0-$F$2:$F$1001)&lt;=(0-F226)))/SUMPRODUCT(($B$2:$B$1001=B226)*1),0)</f>
        <v>0.275510204081633</v>
      </c>
      <c r="Q226" s="25" t="n">
        <f aca="false">(M226*Assumptions!$B$5+N226*Assumptions!$B$6+O226*Assumptions!$B$7+P226*Assumptions!$B$8)*L226</f>
        <v>0.355119047619048</v>
      </c>
      <c r="R226" s="24" t="n">
        <f aca="false">IFERROR(SUMPRODUCT(($B$2:$B$1001=B226)*($Q$2:$Q$1001&lt;=Q226))/SUMPRODUCT(($B$2:$B$1001=B226)*1),0)</f>
        <v>0.363945578231293</v>
      </c>
      <c r="S226" s="24" t="n">
        <f aca="false">IFERROR(SUMPRODUCT(($B$2:$B$1001=B226)*($K$2:$K$1001&lt;=K226))/SUMPRODUCT(($B$2:$B$1001=B226)*1),0)</f>
        <v>0.887755102040816</v>
      </c>
      <c r="T226" s="26" t="n">
        <f aca="false">(R226-S226)*100</f>
        <v>-52.3809523809524</v>
      </c>
      <c r="U226" s="21" t="str">
        <f aca="false">'Player Data'!T226</f>
        <v>Unknown</v>
      </c>
      <c r="V226" s="27" t="n">
        <f aca="false">'Player Data'!U226</f>
        <v>2026</v>
      </c>
      <c r="W226" s="21" t="str">
        <f aca="false">IF(AND(T226&gt;=Assumptions!$B$19,U226="No"),"High Priority - Unrepresented",IF(T226&gt;=Assumptions!$B$19,"High Priority",IF(AND(T226&gt;=Assumptions!$B$20,U226="No"),"Watchlist - Unrepresented",IF(T226&gt;=Assumptions!$B$20,"Watchlist",""))))</f>
        <v/>
      </c>
      <c r="X226" s="21" t="str">
        <f aca="false">'Player Data'!V226</f>
        <v>info@abidjanathletic.ci</v>
      </c>
      <c r="Y226" s="28" t="str">
        <f aca="false">'Player Data'!W226</f>
        <v>Club sporting director / first-team office</v>
      </c>
      <c r="Z226" s="28" t="str">
        <f aca="false">'Player Data'!X226</f>
        <v>FIF (Ivorian Football Federation) player registry</v>
      </c>
      <c r="AA226" s="19" t="str">
        <f aca="false">HYPERLINK("https://www.transfermarkt.com/schnellsuche/ergebnis/schnellsuche?query="&amp;SUBSTITUTE(A226," ","+"),"Search Transfermarkt")</f>
        <v>Search Transfermarkt</v>
      </c>
      <c r="AB226" s="29" t="n">
        <f aca="false">IFERROR('Player Data'!K226/('Player Data'!K226+'Player Data'!L226),0)</f>
        <v>0.692307692307692</v>
      </c>
      <c r="AC226" s="21" t="str">
        <f aca="false">IF(B226="GK",IF(AND(O226&gt;=Assumptions!$B$23,N226&gt;=Assumptions!$B$23),"Sweeper-Keeper / Build-from-the-Back",IF(O226&gt;=Assumptions!$B$23,"Sweeper-Keeper / High Line",IF(M226&gt;=Assumptions!$B$23,"Shot-Stopper / Traditional","Flexible / Multi-System"))),IF(AND(O226&gt;=Assumptions!$B$23,P226&gt;=Assumptions!$B$24),"High Press / Gegenpressing",IF(AND(N226&gt;=Assumptions!$B$23,AB226&gt;=Assumptions!$B$25),"Possession / Build-from-the-Back",IF(N226&gt;=Assumptions!$B$23,"Counter-Attack / Transition",IF(AND(O226&gt;=Assumptions!$B$23,N226&lt;Assumptions!$B$26),"Low Block / Park the Bus",IF(AND(B226="FW",M226&gt;=Assumptions!$B$23,N226&lt;Assumptions!$B$26),"Direct / Target Approach","Flexible / Multi-System"))))))</f>
        <v>Flexible / Multi-System</v>
      </c>
      <c r="AD226" s="21" t="str">
        <f aca="false">'Player Data'!Y226</f>
        <v>2026-07-17</v>
      </c>
      <c r="AE226" s="21" t="str">
        <f aca="false">'Player Data'!Z226</f>
        <v>2026-07-17</v>
      </c>
      <c r="AF226" s="28" t="str">
        <f aca="false">IFERROR(INDEX(Assumptions!$B$30:$B$61,MATCH(C226,Assumptions!$A$30:$A$61,0)),"--")</f>
        <v>Belgium, Portugal</v>
      </c>
      <c r="AG226" s="30" t="str">
        <f aca="false">IF(R226&gt;=0.7,"Step-Up Candidate",IF(R226&gt;=0.4,"Lateral Move","Stay &amp; Develop"))</f>
        <v>Stay &amp; Develop</v>
      </c>
    </row>
    <row r="227" customFormat="false" ht="23.85" hidden="false" customHeight="false" outlineLevel="0" collapsed="false">
      <c r="A227" s="21" t="str">
        <f aca="false">'Player Data'!A227</f>
        <v>Milos Krstic</v>
      </c>
      <c r="B227" s="21" t="str">
        <f aca="false">'Player Data'!F227</f>
        <v>MF</v>
      </c>
      <c r="C227" s="21" t="str">
        <f aca="false">'Player Data'!B227</f>
        <v>Serbia</v>
      </c>
      <c r="D227" s="21" t="str">
        <f aca="false">'Player Data'!C227</f>
        <v>Serbia Third Tier - South</v>
      </c>
      <c r="E227" s="21" t="n">
        <f aca="false">'Player Data'!D227</f>
        <v>3</v>
      </c>
      <c r="F227" s="21" t="n">
        <f aca="false">'Player Data'!G227</f>
        <v>19</v>
      </c>
      <c r="G227" s="21" t="n">
        <f aca="false">'Player Data'!H227</f>
        <v>2478</v>
      </c>
      <c r="H227" s="22" t="n">
        <f aca="false">IF(B227="GK",IFERROR(('Player Data'!N227-1.5*'Player Data'!O227)/'Player Data'!H227*90,0),IFERROR(('Player Data'!I227+'Player Data'!J227)/'Player Data'!H227*90,0))</f>
        <v>0.799031476997579</v>
      </c>
      <c r="I227" s="22" t="n">
        <f aca="false">IF(B227="GK",'Player Data'!P227,IFERROR(('Player Data'!K227+'Player Data'!L227)/'Player Data'!H227*90,0))</f>
        <v>9.15254237288136</v>
      </c>
      <c r="J227" s="22" t="n">
        <f aca="false">IF(B227="GK",IFERROR('Player Data'!Q227/'Player Data'!H227*90,0),IFERROR('Player Data'!M227/'Player Data'!H227*90,0))</f>
        <v>1.96125907990315</v>
      </c>
      <c r="K227" s="23" t="n">
        <f aca="false">'Player Data'!S227</f>
        <v>37160</v>
      </c>
      <c r="L227" s="22" t="n">
        <f aca="false">INDEX(Assumptions!$B$13:$B$15,MATCH(E227,Assumptions!$A$13:$A$15,0))</f>
        <v>0.85</v>
      </c>
      <c r="M227" s="24" t="n">
        <f aca="false">IFERROR(SUMPRODUCT(($B$2:$B$1001=B227)*($H$2:$H$1001&lt;=H227))/SUMPRODUCT(($B$2:$B$1001=B227)*1),0)</f>
        <v>0.595959595959596</v>
      </c>
      <c r="N227" s="24" t="n">
        <f aca="false">IFERROR(SUMPRODUCT(($B$2:$B$1001=B227)*($I$2:$I$1001&lt;=I227))/SUMPRODUCT(($B$2:$B$1001=B227)*1),0)</f>
        <v>0.316498316498317</v>
      </c>
      <c r="O227" s="24" t="n">
        <f aca="false">IFERROR(SUMPRODUCT(($B$2:$B$1001=B227)*($J$2:$J$1001&lt;=J227))/SUMPRODUCT(($B$2:$B$1001=B227)*1),0)</f>
        <v>0.393939393939394</v>
      </c>
      <c r="P227" s="24" t="n">
        <f aca="false">IFERROR(SUMPRODUCT(($B$2:$B$1001=B227)*((0-$F$2:$F$1001)&lt;=(0-F227)))/SUMPRODUCT(($B$2:$B$1001=B227)*1),0)</f>
        <v>0.868686868686869</v>
      </c>
      <c r="Q227" s="25" t="n">
        <f aca="false">(M227*Assumptions!$B$5+N227*Assumptions!$B$6+O227*Assumptions!$B$7+P227*Assumptions!$B$8)*L227</f>
        <v>0.435446127946128</v>
      </c>
      <c r="R227" s="24" t="n">
        <f aca="false">IFERROR(SUMPRODUCT(($B$2:$B$1001=B227)*($Q$2:$Q$1001&lt;=Q227))/SUMPRODUCT(($B$2:$B$1001=B227)*1),0)</f>
        <v>0.491582491582492</v>
      </c>
      <c r="S227" s="24" t="n">
        <f aca="false">IFERROR(SUMPRODUCT(($B$2:$B$1001=B227)*($K$2:$K$1001&lt;=K227))/SUMPRODUCT(($B$2:$B$1001=B227)*1),0)</f>
        <v>0.35016835016835</v>
      </c>
      <c r="T227" s="26" t="n">
        <f aca="false">(R227-S227)*100</f>
        <v>14.1414141414141</v>
      </c>
      <c r="U227" s="21" t="str">
        <f aca="false">'Player Data'!T227</f>
        <v>Yes</v>
      </c>
      <c r="V227" s="27" t="n">
        <f aca="false">'Player Data'!U227</f>
        <v>2027</v>
      </c>
      <c r="W227" s="21" t="str">
        <f aca="false">IF(AND(T227&gt;=Assumptions!$B$19,U227="No"),"High Priority - Unrepresented",IF(T227&gt;=Assumptions!$B$19,"High Priority",IF(AND(T227&gt;=Assumptions!$B$20,U227="No"),"Watchlist - Unrepresented",IF(T227&gt;=Assumptions!$B$20,"Watchlist",""))))</f>
        <v/>
      </c>
      <c r="X227" s="21" t="str">
        <f aca="false">'Player Data'!V227</f>
        <v>info@nisathletic.rs</v>
      </c>
      <c r="Y227" s="28" t="str">
        <f aca="false">'Player Data'!W227</f>
        <v>Go through the player's agent - ask the club to confirm representation first</v>
      </c>
      <c r="Z227" s="28" t="str">
        <f aca="false">'Player Data'!X227</f>
        <v>FSS (Football Association of Serbia) player registry</v>
      </c>
      <c r="AA227" s="19" t="str">
        <f aca="false">HYPERLINK("https://www.transfermarkt.com/schnellsuche/ergebnis/schnellsuche?query="&amp;SUBSTITUTE(A227," ","+"),"Search Transfermarkt")</f>
        <v>Search Transfermarkt</v>
      </c>
      <c r="AB227" s="29" t="n">
        <f aca="false">IFERROR('Player Data'!K227/('Player Data'!K227+'Player Data'!L227),0)</f>
        <v>0.678571428571429</v>
      </c>
      <c r="AC227" s="21" t="str">
        <f aca="false">IF(B227="GK",IF(AND(O227&gt;=Assumptions!$B$23,N227&gt;=Assumptions!$B$23),"Sweeper-Keeper / Build-from-the-Back",IF(O227&gt;=Assumptions!$B$23,"Sweeper-Keeper / High Line",IF(M227&gt;=Assumptions!$B$23,"Shot-Stopper / Traditional","Flexible / Multi-System"))),IF(AND(O227&gt;=Assumptions!$B$23,P227&gt;=Assumptions!$B$24),"High Press / Gegenpressing",IF(AND(N227&gt;=Assumptions!$B$23,AB227&gt;=Assumptions!$B$25),"Possession / Build-from-the-Back",IF(N227&gt;=Assumptions!$B$23,"Counter-Attack / Transition",IF(AND(O227&gt;=Assumptions!$B$23,N227&lt;Assumptions!$B$26),"Low Block / Park the Bus",IF(AND(B227="FW",M227&gt;=Assumptions!$B$23,N227&lt;Assumptions!$B$26),"Direct / Target Approach","Flexible / Multi-System"))))))</f>
        <v>Flexible / Multi-System</v>
      </c>
      <c r="AD227" s="21" t="str">
        <f aca="false">'Player Data'!Y227</f>
        <v>2026-07-17</v>
      </c>
      <c r="AE227" s="21" t="str">
        <f aca="false">'Player Data'!Z227</f>
        <v>2026-07-17</v>
      </c>
      <c r="AF227" s="28" t="str">
        <f aca="false">IFERROR(INDEX(Assumptions!$B$30:$B$61,MATCH(C227,Assumptions!$A$30:$A$61,0)),"--")</f>
        <v>Austria, Turkey</v>
      </c>
      <c r="AG227" s="30" t="str">
        <f aca="false">IF(R227&gt;=0.7,"Step-Up Candidate",IF(R227&gt;=0.4,"Lateral Move","Stay &amp; Develop"))</f>
        <v>Lateral Move</v>
      </c>
    </row>
    <row r="228" customFormat="false" ht="23.85" hidden="false" customHeight="false" outlineLevel="0" collapsed="false">
      <c r="A228" s="21" t="str">
        <f aca="false">'Player Data'!A228</f>
        <v>Luka Kiknadze</v>
      </c>
      <c r="B228" s="21" t="str">
        <f aca="false">'Player Data'!F228</f>
        <v>GK</v>
      </c>
      <c r="C228" s="21" t="str">
        <f aca="false">'Player Data'!B228</f>
        <v>Georgia</v>
      </c>
      <c r="D228" s="21" t="str">
        <f aca="false">'Player Data'!C228</f>
        <v>Georgia Second Division - East</v>
      </c>
      <c r="E228" s="21" t="n">
        <f aca="false">'Player Data'!D228</f>
        <v>2</v>
      </c>
      <c r="F228" s="21" t="n">
        <f aca="false">'Player Data'!G228</f>
        <v>23</v>
      </c>
      <c r="G228" s="21" t="n">
        <f aca="false">'Player Data'!H228</f>
        <v>1212</v>
      </c>
      <c r="H228" s="22" t="n">
        <f aca="false">IF(B228="GK",IFERROR(('Player Data'!N228-1.5*'Player Data'!O228)/'Player Data'!H228*90,0),IFERROR(('Player Data'!I228+'Player Data'!J228)/'Player Data'!H228*90,0))</f>
        <v>1.41089108910891</v>
      </c>
      <c r="I228" s="22" t="n">
        <f aca="false">IF(B228="GK",'Player Data'!P228,IFERROR(('Player Data'!K228+'Player Data'!L228)/'Player Data'!H228*90,0))</f>
        <v>59.5</v>
      </c>
      <c r="J228" s="22" t="n">
        <f aca="false">IF(B228="GK",IFERROR('Player Data'!Q228/'Player Data'!H228*90,0),IFERROR('Player Data'!M228/'Player Data'!H228*90,0))</f>
        <v>0.698019801980198</v>
      </c>
      <c r="K228" s="23" t="n">
        <f aca="false">'Player Data'!S228</f>
        <v>48813</v>
      </c>
      <c r="L228" s="22" t="n">
        <f aca="false">INDEX(Assumptions!$B$13:$B$15,MATCH(E228,Assumptions!$A$13:$A$15,0))</f>
        <v>1</v>
      </c>
      <c r="M228" s="24" t="n">
        <f aca="false">IFERROR(SUMPRODUCT(($B$2:$B$1001=B228)*($H$2:$H$1001&lt;=H228))/SUMPRODUCT(($B$2:$B$1001=B228)*1),0)</f>
        <v>0.633879781420765</v>
      </c>
      <c r="N228" s="24" t="n">
        <f aca="false">IFERROR(SUMPRODUCT(($B$2:$B$1001=B228)*($I$2:$I$1001&lt;=I228))/SUMPRODUCT(($B$2:$B$1001=B228)*1),0)</f>
        <v>0.136612021857924</v>
      </c>
      <c r="O228" s="24" t="n">
        <f aca="false">IFERROR(SUMPRODUCT(($B$2:$B$1001=B228)*($J$2:$J$1001&lt;=J228))/SUMPRODUCT(($B$2:$B$1001=B228)*1),0)</f>
        <v>0.377049180327869</v>
      </c>
      <c r="P228" s="24" t="n">
        <f aca="false">IFERROR(SUMPRODUCT(($B$2:$B$1001=B228)*((0-$F$2:$F$1001)&lt;=(0-F228)))/SUMPRODUCT(($B$2:$B$1001=B228)*1),0)</f>
        <v>0.431693989071038</v>
      </c>
      <c r="Q228" s="25" t="n">
        <f aca="false">(M228*Assumptions!$B$5+N228*Assumptions!$B$6+O228*Assumptions!$B$7+P228*Assumptions!$B$8)*L228</f>
        <v>0.368032786885246</v>
      </c>
      <c r="R228" s="24" t="n">
        <f aca="false">IFERROR(SUMPRODUCT(($B$2:$B$1001=B228)*($Q$2:$Q$1001&lt;=Q228))/SUMPRODUCT(($B$2:$B$1001=B228)*1),0)</f>
        <v>0.311475409836066</v>
      </c>
      <c r="S228" s="24" t="n">
        <f aca="false">IFERROR(SUMPRODUCT(($B$2:$B$1001=B228)*($K$2:$K$1001&lt;=K228))/SUMPRODUCT(($B$2:$B$1001=B228)*1),0)</f>
        <v>0.39344262295082</v>
      </c>
      <c r="T228" s="26" t="n">
        <f aca="false">(R228-S228)*100</f>
        <v>-8.19672131147541</v>
      </c>
      <c r="U228" s="21" t="str">
        <f aca="false">'Player Data'!T228</f>
        <v>No</v>
      </c>
      <c r="V228" s="27" t="n">
        <f aca="false">'Player Data'!U228</f>
        <v>2026</v>
      </c>
      <c r="W228" s="21" t="str">
        <f aca="false">IF(AND(T228&gt;=Assumptions!$B$19,U228="No"),"High Priority - Unrepresented",IF(T228&gt;=Assumptions!$B$19,"High Priority",IF(AND(T228&gt;=Assumptions!$B$20,U228="No"),"Watchlist - Unrepresented",IF(T228&gt;=Assumptions!$B$20,"Watchlist",""))))</f>
        <v/>
      </c>
      <c r="X228" s="21" t="str">
        <f aca="false">'Player Data'!V228</f>
        <v>info@tbilisifc.ge</v>
      </c>
      <c r="Y228" s="28" t="str">
        <f aca="false">'Player Data'!W228</f>
        <v>Club sporting director / first-team office</v>
      </c>
      <c r="Z228" s="28" t="str">
        <f aca="false">'Player Data'!X228</f>
        <v>GFF (Georgian Football Federation) player registry</v>
      </c>
      <c r="AA228" s="19" t="str">
        <f aca="false">HYPERLINK("https://www.transfermarkt.com/schnellsuche/ergebnis/schnellsuche?query="&amp;SUBSTITUTE(A228," ","+"),"Search Transfermarkt")</f>
        <v>Search Transfermarkt</v>
      </c>
      <c r="AB228" s="29" t="n">
        <f aca="false">IFERROR('Player Data'!K228/('Player Data'!K228+'Player Data'!L228),0)</f>
        <v>0.95</v>
      </c>
      <c r="AC228" s="21" t="str">
        <f aca="false">IF(B228="GK",IF(AND(O228&gt;=Assumptions!$B$23,N228&gt;=Assumptions!$B$23),"Sweeper-Keeper / Build-from-the-Back",IF(O228&gt;=Assumptions!$B$23,"Sweeper-Keeper / High Line",IF(M228&gt;=Assumptions!$B$23,"Shot-Stopper / Traditional","Flexible / Multi-System"))),IF(AND(O228&gt;=Assumptions!$B$23,P228&gt;=Assumptions!$B$24),"High Press / Gegenpressing",IF(AND(N228&gt;=Assumptions!$B$23,AB228&gt;=Assumptions!$B$25),"Possession / Build-from-the-Back",IF(N228&gt;=Assumptions!$B$23,"Counter-Attack / Transition",IF(AND(O228&gt;=Assumptions!$B$23,N228&lt;Assumptions!$B$26),"Low Block / Park the Bus",IF(AND(B228="FW",M228&gt;=Assumptions!$B$23,N228&lt;Assumptions!$B$26),"Direct / Target Approach","Flexible / Multi-System"))))))</f>
        <v>Flexible / Multi-System</v>
      </c>
      <c r="AD228" s="21" t="str">
        <f aca="false">'Player Data'!Y228</f>
        <v>2026-07-17</v>
      </c>
      <c r="AE228" s="21" t="str">
        <f aca="false">'Player Data'!Z228</f>
        <v>2026-07-17</v>
      </c>
      <c r="AF228" s="28" t="str">
        <f aca="false">IFERROR(INDEX(Assumptions!$B$30:$B$61,MATCH(C228,Assumptions!$A$30:$A$61,0)),"--")</f>
        <v>Turkey, Poland</v>
      </c>
      <c r="AG228" s="30" t="str">
        <f aca="false">IF(R228&gt;=0.7,"Step-Up Candidate",IF(R228&gt;=0.4,"Lateral Move","Stay &amp; Develop"))</f>
        <v>Stay &amp; Develop</v>
      </c>
    </row>
    <row r="229" customFormat="false" ht="23.85" hidden="false" customHeight="false" outlineLevel="0" collapsed="false">
      <c r="A229" s="21" t="str">
        <f aca="false">'Player Data'!A229</f>
        <v>Jean Onana</v>
      </c>
      <c r="B229" s="21" t="str">
        <f aca="false">'Player Data'!F229</f>
        <v>DF</v>
      </c>
      <c r="C229" s="21" t="str">
        <f aca="false">'Player Data'!B229</f>
        <v>Cameroon</v>
      </c>
      <c r="D229" s="21" t="str">
        <f aca="false">'Player Data'!C229</f>
        <v>Cameroon Second Division</v>
      </c>
      <c r="E229" s="21" t="n">
        <f aca="false">'Player Data'!D229</f>
        <v>2</v>
      </c>
      <c r="F229" s="21" t="n">
        <f aca="false">'Player Data'!G229</f>
        <v>20</v>
      </c>
      <c r="G229" s="21" t="n">
        <f aca="false">'Player Data'!H229</f>
        <v>1243</v>
      </c>
      <c r="H229" s="22" t="n">
        <f aca="false">IF(B229="GK",IFERROR(('Player Data'!N229-1.5*'Player Data'!O229)/'Player Data'!H229*90,0),IFERROR(('Player Data'!I229+'Player Data'!J229)/'Player Data'!H229*90,0))</f>
        <v>0.579243765084473</v>
      </c>
      <c r="I229" s="22" t="n">
        <f aca="false">IF(B229="GK",'Player Data'!P229,IFERROR(('Player Data'!K229+'Player Data'!L229)/'Player Data'!H229*90,0))</f>
        <v>6.66130329847144</v>
      </c>
      <c r="J229" s="22" t="n">
        <f aca="false">IF(B229="GK",IFERROR('Player Data'!Q229/'Player Data'!H229*90,0),IFERROR('Player Data'!M229/'Player Data'!H229*90,0))</f>
        <v>7.53016894609815</v>
      </c>
      <c r="K229" s="23" t="n">
        <f aca="false">'Player Data'!S229</f>
        <v>0</v>
      </c>
      <c r="L229" s="22" t="n">
        <f aca="false">INDEX(Assumptions!$B$13:$B$15,MATCH(E229,Assumptions!$A$13:$A$15,0))</f>
        <v>1</v>
      </c>
      <c r="M229" s="24" t="n">
        <f aca="false">IFERROR(SUMPRODUCT(($B$2:$B$1001=B229)*($H$2:$H$1001&lt;=H229))/SUMPRODUCT(($B$2:$B$1001=B229)*1),0)</f>
        <v>0.979591836734694</v>
      </c>
      <c r="N229" s="24" t="n">
        <f aca="false">IFERROR(SUMPRODUCT(($B$2:$B$1001=B229)*($I$2:$I$1001&lt;=I229))/SUMPRODUCT(($B$2:$B$1001=B229)*1),0)</f>
        <v>0.80952380952381</v>
      </c>
      <c r="O229" s="24" t="n">
        <f aca="false">IFERROR(SUMPRODUCT(($B$2:$B$1001=B229)*($J$2:$J$1001&lt;=J229))/SUMPRODUCT(($B$2:$B$1001=B229)*1),0)</f>
        <v>0.80952380952381</v>
      </c>
      <c r="P229" s="24" t="n">
        <f aca="false">IFERROR(SUMPRODUCT(($B$2:$B$1001=B229)*((0-$F$2:$F$1001)&lt;=(0-F229)))/SUMPRODUCT(($B$2:$B$1001=B229)*1),0)</f>
        <v>0.656462585034014</v>
      </c>
      <c r="Q229" s="25" t="n">
        <f aca="false">(M229*Assumptions!$B$5+N229*Assumptions!$B$6+O229*Assumptions!$B$7+P229*Assumptions!$B$8)*L229</f>
        <v>0.821428571428571</v>
      </c>
      <c r="R229" s="24" t="n">
        <f aca="false">IFERROR(SUMPRODUCT(($B$2:$B$1001=B229)*($Q$2:$Q$1001&lt;=Q229))/SUMPRODUCT(($B$2:$B$1001=B229)*1),0)</f>
        <v>0.962585034013605</v>
      </c>
      <c r="S229" s="24" t="n">
        <f aca="false">IFERROR(SUMPRODUCT(($B$2:$B$1001=B229)*($K$2:$K$1001&lt;=K229))/SUMPRODUCT(($B$2:$B$1001=B229)*1),0)</f>
        <v>0.248299319727891</v>
      </c>
      <c r="T229" s="26" t="n">
        <f aca="false">(R229-S229)*100</f>
        <v>71.4285714285714</v>
      </c>
      <c r="U229" s="21" t="str">
        <f aca="false">'Player Data'!T229</f>
        <v>Unknown</v>
      </c>
      <c r="V229" s="27" t="n">
        <f aca="false">'Player Data'!U229</f>
        <v>2028</v>
      </c>
      <c r="W229" s="21" t="str">
        <f aca="false">IF(AND(T229&gt;=Assumptions!$B$19,U229="No"),"High Priority - Unrepresented",IF(T229&gt;=Assumptions!$B$19,"High Priority",IF(AND(T229&gt;=Assumptions!$B$20,U229="No"),"Watchlist - Unrepresented",IF(T229&gt;=Assumptions!$B$20,"Watchlist",""))))</f>
        <v>High Priority</v>
      </c>
      <c r="X229" s="21" t="str">
        <f aca="false">'Player Data'!V229</f>
        <v>info@doualaunited.cm</v>
      </c>
      <c r="Y229" s="28" t="str">
        <f aca="false">'Player Data'!W229</f>
        <v>Club sporting director / first-team office</v>
      </c>
      <c r="Z229" s="28" t="str">
        <f aca="false">'Player Data'!X229</f>
        <v>FECAFOOT (Cameroonian Football Federation) player registry</v>
      </c>
      <c r="AA229" s="19" t="str">
        <f aca="false">HYPERLINK("https://www.transfermarkt.com/schnellsuche/ergebnis/schnellsuche?query="&amp;SUBSTITUTE(A229," ","+"),"Search Transfermarkt")</f>
        <v>Search Transfermarkt</v>
      </c>
      <c r="AB229" s="29" t="n">
        <f aca="false">IFERROR('Player Data'!K229/('Player Data'!K229+'Player Data'!L229),0)</f>
        <v>0.75</v>
      </c>
      <c r="AC229" s="21" t="str">
        <f aca="false">IF(B229="GK",IF(AND(O229&gt;=Assumptions!$B$23,N229&gt;=Assumptions!$B$23),"Sweeper-Keeper / Build-from-the-Back",IF(O229&gt;=Assumptions!$B$23,"Sweeper-Keeper / High Line",IF(M229&gt;=Assumptions!$B$23,"Shot-Stopper / Traditional","Flexible / Multi-System"))),IF(AND(O229&gt;=Assumptions!$B$23,P229&gt;=Assumptions!$B$24),"High Press / Gegenpressing",IF(AND(N229&gt;=Assumptions!$B$23,AB229&gt;=Assumptions!$B$25),"Possession / Build-from-the-Back",IF(N229&gt;=Assumptions!$B$23,"Counter-Attack / Transition",IF(AND(O229&gt;=Assumptions!$B$23,N229&lt;Assumptions!$B$26),"Low Block / Park the Bus",IF(AND(B229="FW",M229&gt;=Assumptions!$B$23,N229&lt;Assumptions!$B$26),"Direct / Target Approach","Flexible / Multi-System"))))))</f>
        <v>High Press / Gegenpressing</v>
      </c>
      <c r="AD229" s="21" t="str">
        <f aca="false">'Player Data'!Y229</f>
        <v>2026-07-17</v>
      </c>
      <c r="AE229" s="21" t="str">
        <f aca="false">'Player Data'!Z229</f>
        <v>2026-07-17</v>
      </c>
      <c r="AF229" s="28" t="str">
        <f aca="false">IFERROR(INDEX(Assumptions!$B$30:$B$61,MATCH(C229,Assumptions!$A$30:$A$61,0)),"--")</f>
        <v>Belgium, Portugal</v>
      </c>
      <c r="AG229" s="30" t="str">
        <f aca="false">IF(R229&gt;=0.7,"Step-Up Candidate",IF(R229&gt;=0.4,"Lateral Move","Stay &amp; Develop"))</f>
        <v>Step-Up Candidate</v>
      </c>
    </row>
    <row r="230" customFormat="false" ht="23.85" hidden="false" customHeight="false" outlineLevel="0" collapsed="false">
      <c r="A230" s="21" t="str">
        <f aca="false">'Player Data'!A230</f>
        <v>Wesly Martinez</v>
      </c>
      <c r="B230" s="21" t="str">
        <f aca="false">'Player Data'!F230</f>
        <v>DF</v>
      </c>
      <c r="C230" s="21" t="str">
        <f aca="false">'Player Data'!B230</f>
        <v>Honduras</v>
      </c>
      <c r="D230" s="21" t="str">
        <f aca="false">'Player Data'!C230</f>
        <v>Honduras Third Tier - North</v>
      </c>
      <c r="E230" s="21" t="n">
        <f aca="false">'Player Data'!D230</f>
        <v>3</v>
      </c>
      <c r="F230" s="21" t="n">
        <f aca="false">'Player Data'!G230</f>
        <v>24</v>
      </c>
      <c r="G230" s="21" t="n">
        <f aca="false">'Player Data'!H230</f>
        <v>1529</v>
      </c>
      <c r="H230" s="22" t="n">
        <f aca="false">IF(B230="GK",IFERROR(('Player Data'!N230-1.5*'Player Data'!O230)/'Player Data'!H230*90,0),IFERROR(('Player Data'!I230+'Player Data'!J230)/'Player Data'!H230*90,0))</f>
        <v>0.235448005232178</v>
      </c>
      <c r="I230" s="22" t="n">
        <f aca="false">IF(B230="GK",'Player Data'!P230,IFERROR(('Player Data'!K230+'Player Data'!L230)/'Player Data'!H230*90,0))</f>
        <v>5.65075212557227</v>
      </c>
      <c r="J230" s="22" t="n">
        <f aca="false">IF(B230="GK",IFERROR('Player Data'!Q230/'Player Data'!H230*90,0),IFERROR('Player Data'!M230/'Player Data'!H230*90,0))</f>
        <v>5.94506213211249</v>
      </c>
      <c r="K230" s="23" t="n">
        <f aca="false">'Player Data'!S230</f>
        <v>81332</v>
      </c>
      <c r="L230" s="22" t="n">
        <f aca="false">INDEX(Assumptions!$B$13:$B$15,MATCH(E230,Assumptions!$A$13:$A$15,0))</f>
        <v>0.85</v>
      </c>
      <c r="M230" s="24" t="n">
        <f aca="false">IFERROR(SUMPRODUCT(($B$2:$B$1001=B230)*($H$2:$H$1001&lt;=H230))/SUMPRODUCT(($B$2:$B$1001=B230)*1),0)</f>
        <v>0.625850340136055</v>
      </c>
      <c r="N230" s="24" t="n">
        <f aca="false">IFERROR(SUMPRODUCT(($B$2:$B$1001=B230)*($I$2:$I$1001&lt;=I230))/SUMPRODUCT(($B$2:$B$1001=B230)*1),0)</f>
        <v>0.697278911564626</v>
      </c>
      <c r="O230" s="24" t="n">
        <f aca="false">IFERROR(SUMPRODUCT(($B$2:$B$1001=B230)*($J$2:$J$1001&lt;=J230))/SUMPRODUCT(($B$2:$B$1001=B230)*1),0)</f>
        <v>0.612244897959184</v>
      </c>
      <c r="P230" s="24" t="n">
        <f aca="false">IFERROR(SUMPRODUCT(($B$2:$B$1001=B230)*((0-$F$2:$F$1001)&lt;=(0-F230)))/SUMPRODUCT(($B$2:$B$1001=B230)*1),0)</f>
        <v>0.275510204081633</v>
      </c>
      <c r="Q230" s="25" t="n">
        <f aca="false">(M230*Assumptions!$B$5+N230*Assumptions!$B$6+O230*Assumptions!$B$7+P230*Assumptions!$B$8)*L230</f>
        <v>0.491352040816327</v>
      </c>
      <c r="R230" s="24" t="n">
        <f aca="false">IFERROR(SUMPRODUCT(($B$2:$B$1001=B230)*($Q$2:$Q$1001&lt;=Q230))/SUMPRODUCT(($B$2:$B$1001=B230)*1),0)</f>
        <v>0.619047619047619</v>
      </c>
      <c r="S230" s="24" t="n">
        <f aca="false">IFERROR(SUMPRODUCT(($B$2:$B$1001=B230)*($K$2:$K$1001&lt;=K230))/SUMPRODUCT(($B$2:$B$1001=B230)*1),0)</f>
        <v>0.63265306122449</v>
      </c>
      <c r="T230" s="26" t="n">
        <f aca="false">(R230-S230)*100</f>
        <v>-1.36054421768708</v>
      </c>
      <c r="U230" s="21" t="str">
        <f aca="false">'Player Data'!T230</f>
        <v>Unknown</v>
      </c>
      <c r="V230" s="27" t="n">
        <f aca="false">'Player Data'!U230</f>
        <v>2029</v>
      </c>
      <c r="W230" s="21" t="str">
        <f aca="false">IF(AND(T230&gt;=Assumptions!$B$19,U230="No"),"High Priority - Unrepresented",IF(T230&gt;=Assumptions!$B$19,"High Priority",IF(AND(T230&gt;=Assumptions!$B$20,U230="No"),"Watchlist - Unrepresented",IF(T230&gt;=Assumptions!$B$20,"Watchlist",""))))</f>
        <v/>
      </c>
      <c r="X230" s="21" t="str">
        <f aca="false">'Player Data'!V230</f>
        <v>info@cholutecasc.hn</v>
      </c>
      <c r="Y230" s="28" t="str">
        <f aca="false">'Player Data'!W230</f>
        <v>Club sporting director / first-team office</v>
      </c>
      <c r="Z230" s="28" t="str">
        <f aca="false">'Player Data'!X230</f>
        <v>FENAFUTH (Honduran Football Federation) player registry</v>
      </c>
      <c r="AA230" s="19" t="str">
        <f aca="false">HYPERLINK("https://www.transfermarkt.com/schnellsuche/ergebnis/schnellsuche?query="&amp;SUBSTITUTE(A230," ","+"),"Search Transfermarkt")</f>
        <v>Search Transfermarkt</v>
      </c>
      <c r="AB230" s="29" t="n">
        <f aca="false">IFERROR('Player Data'!K230/('Player Data'!K230+'Player Data'!L230),0)</f>
        <v>0.541666666666667</v>
      </c>
      <c r="AC230" s="21" t="str">
        <f aca="false">IF(B230="GK",IF(AND(O230&gt;=Assumptions!$B$23,N230&gt;=Assumptions!$B$23),"Sweeper-Keeper / Build-from-the-Back",IF(O230&gt;=Assumptions!$B$23,"Sweeper-Keeper / High Line",IF(M230&gt;=Assumptions!$B$23,"Shot-Stopper / Traditional","Flexible / Multi-System"))),IF(AND(O230&gt;=Assumptions!$B$23,P230&gt;=Assumptions!$B$24),"High Press / Gegenpressing",IF(AND(N230&gt;=Assumptions!$B$23,AB230&gt;=Assumptions!$B$25),"Possession / Build-from-the-Back",IF(N230&gt;=Assumptions!$B$23,"Counter-Attack / Transition",IF(AND(O230&gt;=Assumptions!$B$23,N230&lt;Assumptions!$B$26),"Low Block / Park the Bus",IF(AND(B230="FW",M230&gt;=Assumptions!$B$23,N230&lt;Assumptions!$B$26),"Direct / Target Approach","Flexible / Multi-System"))))))</f>
        <v>Counter-Attack / Transition</v>
      </c>
      <c r="AD230" s="21" t="str">
        <f aca="false">'Player Data'!Y230</f>
        <v>2026-07-17</v>
      </c>
      <c r="AE230" s="21" t="str">
        <f aca="false">'Player Data'!Z230</f>
        <v>2026-07-17</v>
      </c>
      <c r="AF230" s="28" t="str">
        <f aca="false">IFERROR(INDEX(Assumptions!$B$30:$B$61,MATCH(C230,Assumptions!$A$30:$A$61,0)),"--")</f>
        <v>Mexico, United States</v>
      </c>
      <c r="AG230" s="30" t="str">
        <f aca="false">IF(R230&gt;=0.7,"Step-Up Candidate",IF(R230&gt;=0.4,"Lateral Move","Stay &amp; Develop"))</f>
        <v>Lateral Move</v>
      </c>
    </row>
    <row r="231" customFormat="false" ht="23.85" hidden="false" customHeight="false" outlineLevel="0" collapsed="false">
      <c r="A231" s="21" t="str">
        <f aca="false">'Player Data'!A231</f>
        <v>Duc Le</v>
      </c>
      <c r="B231" s="21" t="str">
        <f aca="false">'Player Data'!F231</f>
        <v>MF</v>
      </c>
      <c r="C231" s="21" t="str">
        <f aca="false">'Player Data'!B231</f>
        <v>Vietnam</v>
      </c>
      <c r="D231" s="21" t="str">
        <f aca="false">'Player Data'!C231</f>
        <v>Vietnam Regional League</v>
      </c>
      <c r="E231" s="21" t="n">
        <f aca="false">'Player Data'!D231</f>
        <v>2</v>
      </c>
      <c r="F231" s="21" t="n">
        <f aca="false">'Player Data'!G231</f>
        <v>24</v>
      </c>
      <c r="G231" s="21" t="n">
        <f aca="false">'Player Data'!H231</f>
        <v>825</v>
      </c>
      <c r="H231" s="22" t="n">
        <f aca="false">IF(B231="GK",IFERROR(('Player Data'!N231-1.5*'Player Data'!O231)/'Player Data'!H231*90,0),IFERROR(('Player Data'!I231+'Player Data'!J231)/'Player Data'!H231*90,0))</f>
        <v>1.2</v>
      </c>
      <c r="I231" s="22" t="n">
        <f aca="false">IF(B231="GK",'Player Data'!P231,IFERROR(('Player Data'!K231+'Player Data'!L231)/'Player Data'!H231*90,0))</f>
        <v>23.2363636363636</v>
      </c>
      <c r="J231" s="22" t="n">
        <f aca="false">IF(B231="GK",IFERROR('Player Data'!Q231/'Player Data'!H231*90,0),IFERROR('Player Data'!M231/'Player Data'!H231*90,0))</f>
        <v>4.69090909090909</v>
      </c>
      <c r="K231" s="23" t="n">
        <f aca="false">'Player Data'!S231</f>
        <v>92732</v>
      </c>
      <c r="L231" s="22" t="n">
        <f aca="false">INDEX(Assumptions!$B$13:$B$15,MATCH(E231,Assumptions!$A$13:$A$15,0))</f>
        <v>1</v>
      </c>
      <c r="M231" s="24" t="n">
        <f aca="false">IFERROR(SUMPRODUCT(($B$2:$B$1001=B231)*($H$2:$H$1001&lt;=H231))/SUMPRODUCT(($B$2:$B$1001=B231)*1),0)</f>
        <v>0.848484848484849</v>
      </c>
      <c r="N231" s="24" t="n">
        <f aca="false">IFERROR(SUMPRODUCT(($B$2:$B$1001=B231)*($I$2:$I$1001&lt;=I231))/SUMPRODUCT(($B$2:$B$1001=B231)*1),0)</f>
        <v>0.962962962962963</v>
      </c>
      <c r="O231" s="24" t="n">
        <f aca="false">IFERROR(SUMPRODUCT(($B$2:$B$1001=B231)*($J$2:$J$1001&lt;=J231))/SUMPRODUCT(($B$2:$B$1001=B231)*1),0)</f>
        <v>0.96969696969697</v>
      </c>
      <c r="P231" s="24" t="n">
        <f aca="false">IFERROR(SUMPRODUCT(($B$2:$B$1001=B231)*((0-$F$2:$F$1001)&lt;=(0-F231)))/SUMPRODUCT(($B$2:$B$1001=B231)*1),0)</f>
        <v>0.326599326599327</v>
      </c>
      <c r="Q231" s="25" t="n">
        <f aca="false">(M231*Assumptions!$B$5+N231*Assumptions!$B$6+O231*Assumptions!$B$7+P231*Assumptions!$B$8)*L231</f>
        <v>0.808417508417509</v>
      </c>
      <c r="R231" s="24" t="n">
        <f aca="false">IFERROR(SUMPRODUCT(($B$2:$B$1001=B231)*($Q$2:$Q$1001&lt;=Q231))/SUMPRODUCT(($B$2:$B$1001=B231)*1),0)</f>
        <v>0.956228956228956</v>
      </c>
      <c r="S231" s="24" t="n">
        <f aca="false">IFERROR(SUMPRODUCT(($B$2:$B$1001=B231)*($K$2:$K$1001&lt;=K231))/SUMPRODUCT(($B$2:$B$1001=B231)*1),0)</f>
        <v>0.707070707070707</v>
      </c>
      <c r="T231" s="26" t="n">
        <f aca="false">(R231-S231)*100</f>
        <v>24.9158249158249</v>
      </c>
      <c r="U231" s="21" t="str">
        <f aca="false">'Player Data'!T231</f>
        <v>No</v>
      </c>
      <c r="V231" s="27" t="n">
        <f aca="false">'Player Data'!U231</f>
        <v>2026</v>
      </c>
      <c r="W231" s="21" t="str">
        <f aca="false">IF(AND(T231&gt;=Assumptions!$B$19,U231="No"),"High Priority - Unrepresented",IF(T231&gt;=Assumptions!$B$19,"High Priority",IF(AND(T231&gt;=Assumptions!$B$20,U231="No"),"Watchlist - Unrepresented",IF(T231&gt;=Assumptions!$B$20,"Watchlist",""))))</f>
        <v>Watchlist - Unrepresented</v>
      </c>
      <c r="X231" s="21" t="str">
        <f aca="false">'Player Data'!V231</f>
        <v>info@haiphongwanderers.vn</v>
      </c>
      <c r="Y231" s="28" t="str">
        <f aca="false">'Player Data'!W231</f>
        <v>Club sporting director / first-team office</v>
      </c>
      <c r="Z231" s="28" t="str">
        <f aca="false">'Player Data'!X231</f>
        <v>VFF (Vietnam Football Federation) player registry</v>
      </c>
      <c r="AA231" s="19" t="str">
        <f aca="false">HYPERLINK("https://www.transfermarkt.com/schnellsuche/ergebnis/schnellsuche?query="&amp;SUBSTITUTE(A231," ","+"),"Search Transfermarkt")</f>
        <v>Search Transfermarkt</v>
      </c>
      <c r="AB231" s="29" t="n">
        <f aca="false">IFERROR('Player Data'!K231/('Player Data'!K231+'Player Data'!L231),0)</f>
        <v>0.751173708920188</v>
      </c>
      <c r="AC231" s="21" t="str">
        <f aca="false">IF(B231="GK",IF(AND(O231&gt;=Assumptions!$B$23,N231&gt;=Assumptions!$B$23),"Sweeper-Keeper / Build-from-the-Back",IF(O231&gt;=Assumptions!$B$23,"Sweeper-Keeper / High Line",IF(M231&gt;=Assumptions!$B$23,"Shot-Stopper / Traditional","Flexible / Multi-System"))),IF(AND(O231&gt;=Assumptions!$B$23,P231&gt;=Assumptions!$B$24),"High Press / Gegenpressing",IF(AND(N231&gt;=Assumptions!$B$23,AB231&gt;=Assumptions!$B$25),"Possession / Build-from-the-Back",IF(N231&gt;=Assumptions!$B$23,"Counter-Attack / Transition",IF(AND(O231&gt;=Assumptions!$B$23,N231&lt;Assumptions!$B$26),"Low Block / Park the Bus",IF(AND(B231="FW",M231&gt;=Assumptions!$B$23,N231&lt;Assumptions!$B$26),"Direct / Target Approach","Flexible / Multi-System"))))))</f>
        <v>Possession / Build-from-the-Back</v>
      </c>
      <c r="AD231" s="21" t="str">
        <f aca="false">'Player Data'!Y231</f>
        <v>2026-07-17</v>
      </c>
      <c r="AE231" s="21" t="str">
        <f aca="false">'Player Data'!Z231</f>
        <v>2026-07-17</v>
      </c>
      <c r="AF231" s="28" t="str">
        <f aca="false">IFERROR(INDEX(Assumptions!$B$30:$B$61,MATCH(C231,Assumptions!$A$30:$A$61,0)),"--")</f>
        <v>Australia, Saudi Arabia</v>
      </c>
      <c r="AG231" s="30" t="str">
        <f aca="false">IF(R231&gt;=0.7,"Step-Up Candidate",IF(R231&gt;=0.4,"Lateral Move","Stay &amp; Develop"))</f>
        <v>Step-Up Candidate</v>
      </c>
    </row>
    <row r="232" customFormat="false" ht="23.85" hidden="false" customHeight="false" outlineLevel="0" collapsed="false">
      <c r="A232" s="21" t="str">
        <f aca="false">'Player Data'!A232</f>
        <v>Amadou Camara</v>
      </c>
      <c r="B232" s="21" t="str">
        <f aca="false">'Player Data'!F232</f>
        <v>DF</v>
      </c>
      <c r="C232" s="21" t="str">
        <f aca="false">'Player Data'!B232</f>
        <v>Mali</v>
      </c>
      <c r="D232" s="21" t="str">
        <f aca="false">'Player Data'!C232</f>
        <v>Mali Amateur League</v>
      </c>
      <c r="E232" s="21" t="n">
        <f aca="false">'Player Data'!D232</f>
        <v>3</v>
      </c>
      <c r="F232" s="21" t="n">
        <f aca="false">'Player Data'!G232</f>
        <v>23</v>
      </c>
      <c r="G232" s="21" t="n">
        <f aca="false">'Player Data'!H232</f>
        <v>2405</v>
      </c>
      <c r="H232" s="22" t="n">
        <f aca="false">IF(B232="GK",IFERROR(('Player Data'!N232-1.5*'Player Data'!O232)/'Player Data'!H232*90,0),IFERROR(('Player Data'!I232+'Player Data'!J232)/'Player Data'!H232*90,0))</f>
        <v>0.299376299376299</v>
      </c>
      <c r="I232" s="22" t="n">
        <f aca="false">IF(B232="GK",'Player Data'!P232,IFERROR(('Player Data'!K232+'Player Data'!L232)/'Player Data'!H232*90,0))</f>
        <v>3.40540540540541</v>
      </c>
      <c r="J232" s="22" t="n">
        <f aca="false">IF(B232="GK",IFERROR('Player Data'!Q232/'Player Data'!H232*90,0),IFERROR('Player Data'!M232/'Player Data'!H232*90,0))</f>
        <v>4.15384615384615</v>
      </c>
      <c r="K232" s="23" t="n">
        <f aca="false">'Player Data'!S232</f>
        <v>0</v>
      </c>
      <c r="L232" s="22" t="n">
        <f aca="false">INDEX(Assumptions!$B$13:$B$15,MATCH(E232,Assumptions!$A$13:$A$15,0))</f>
        <v>0.85</v>
      </c>
      <c r="M232" s="24" t="n">
        <f aca="false">IFERROR(SUMPRODUCT(($B$2:$B$1001=B232)*($H$2:$H$1001&lt;=H232))/SUMPRODUCT(($B$2:$B$1001=B232)*1),0)</f>
        <v>0.772108843537415</v>
      </c>
      <c r="N232" s="24" t="n">
        <f aca="false">IFERROR(SUMPRODUCT(($B$2:$B$1001=B232)*($I$2:$I$1001&lt;=I232))/SUMPRODUCT(($B$2:$B$1001=B232)*1),0)</f>
        <v>0.197278911564626</v>
      </c>
      <c r="O232" s="24" t="n">
        <f aca="false">IFERROR(SUMPRODUCT(($B$2:$B$1001=B232)*($J$2:$J$1001&lt;=J232))/SUMPRODUCT(($B$2:$B$1001=B232)*1),0)</f>
        <v>0.272108843537415</v>
      </c>
      <c r="P232" s="24" t="n">
        <f aca="false">IFERROR(SUMPRODUCT(($B$2:$B$1001=B232)*((0-$F$2:$F$1001)&lt;=(0-F232)))/SUMPRODUCT(($B$2:$B$1001=B232)*1),0)</f>
        <v>0.374149659863946</v>
      </c>
      <c r="Q232" s="25" t="n">
        <f aca="false">(M232*Assumptions!$B$5+N232*Assumptions!$B$6+O232*Assumptions!$B$7+P232*Assumptions!$B$8)*L232</f>
        <v>0.332627551020408</v>
      </c>
      <c r="R232" s="24" t="n">
        <f aca="false">IFERROR(SUMPRODUCT(($B$2:$B$1001=B232)*($Q$2:$Q$1001&lt;=Q232))/SUMPRODUCT(($B$2:$B$1001=B232)*1),0)</f>
        <v>0.319727891156463</v>
      </c>
      <c r="S232" s="24" t="n">
        <f aca="false">IFERROR(SUMPRODUCT(($B$2:$B$1001=B232)*($K$2:$K$1001&lt;=K232))/SUMPRODUCT(($B$2:$B$1001=B232)*1),0)</f>
        <v>0.248299319727891</v>
      </c>
      <c r="T232" s="26" t="n">
        <f aca="false">(R232-S232)*100</f>
        <v>7.14285714285715</v>
      </c>
      <c r="U232" s="21" t="str">
        <f aca="false">'Player Data'!T232</f>
        <v>No</v>
      </c>
      <c r="V232" s="27" t="n">
        <f aca="false">'Player Data'!U232</f>
        <v>2027</v>
      </c>
      <c r="W232" s="21" t="str">
        <f aca="false">IF(AND(T232&gt;=Assumptions!$B$19,U232="No"),"High Priority - Unrepresented",IF(T232&gt;=Assumptions!$B$19,"High Priority",IF(AND(T232&gt;=Assumptions!$B$20,U232="No"),"Watchlist - Unrepresented",IF(T232&gt;=Assumptions!$B$20,"Watchlist",""))))</f>
        <v/>
      </c>
      <c r="X232" s="21" t="str">
        <f aca="false">'Player Data'!V232</f>
        <v>info@sikassocity.ml</v>
      </c>
      <c r="Y232" s="28" t="str">
        <f aca="false">'Player Data'!W232</f>
        <v>Club sporting director / first-team office</v>
      </c>
      <c r="Z232" s="28" t="str">
        <f aca="false">'Player Data'!X232</f>
        <v>FEMAFOOT (Malian Football Federation) player registry</v>
      </c>
      <c r="AA232" s="19" t="str">
        <f aca="false">HYPERLINK("https://www.transfermarkt.com/schnellsuche/ergebnis/schnellsuche?query="&amp;SUBSTITUTE(A232," ","+"),"Search Transfermarkt")</f>
        <v>Search Transfermarkt</v>
      </c>
      <c r="AB232" s="29" t="n">
        <f aca="false">IFERROR('Player Data'!K232/('Player Data'!K232+'Player Data'!L232),0)</f>
        <v>0.626373626373626</v>
      </c>
      <c r="AC232" s="21" t="str">
        <f aca="false">IF(B232="GK",IF(AND(O232&gt;=Assumptions!$B$23,N232&gt;=Assumptions!$B$23),"Sweeper-Keeper / Build-from-the-Back",IF(O232&gt;=Assumptions!$B$23,"Sweeper-Keeper / High Line",IF(M232&gt;=Assumptions!$B$23,"Shot-Stopper / Traditional","Flexible / Multi-System"))),IF(AND(O232&gt;=Assumptions!$B$23,P232&gt;=Assumptions!$B$24),"High Press / Gegenpressing",IF(AND(N232&gt;=Assumptions!$B$23,AB232&gt;=Assumptions!$B$25),"Possession / Build-from-the-Back",IF(N232&gt;=Assumptions!$B$23,"Counter-Attack / Transition",IF(AND(O232&gt;=Assumptions!$B$23,N232&lt;Assumptions!$B$26),"Low Block / Park the Bus",IF(AND(B232="FW",M232&gt;=Assumptions!$B$23,N232&lt;Assumptions!$B$26),"Direct / Target Approach","Flexible / Multi-System"))))))</f>
        <v>Flexible / Multi-System</v>
      </c>
      <c r="AD232" s="21" t="str">
        <f aca="false">'Player Data'!Y232</f>
        <v>2026-07-17</v>
      </c>
      <c r="AE232" s="21" t="str">
        <f aca="false">'Player Data'!Z232</f>
        <v>2026-07-17</v>
      </c>
      <c r="AF232" s="28" t="str">
        <f aca="false">IFERROR(INDEX(Assumptions!$B$30:$B$61,MATCH(C232,Assumptions!$A$30:$A$61,0)),"--")</f>
        <v>Belgium, Portugal</v>
      </c>
      <c r="AG232" s="30" t="str">
        <f aca="false">IF(R232&gt;=0.7,"Step-Up Candidate",IF(R232&gt;=0.4,"Lateral Move","Stay &amp; Develop"))</f>
        <v>Stay &amp; Develop</v>
      </c>
    </row>
    <row r="233" customFormat="false" ht="23.85" hidden="false" customHeight="false" outlineLevel="0" collapsed="false">
      <c r="A233" s="21" t="str">
        <f aca="false">'Player Data'!A233</f>
        <v>Omar Abbas</v>
      </c>
      <c r="B233" s="21" t="str">
        <f aca="false">'Player Data'!F233</f>
        <v>MF</v>
      </c>
      <c r="C233" s="21" t="str">
        <f aca="false">'Player Data'!B233</f>
        <v>Iraq</v>
      </c>
      <c r="D233" s="21" t="str">
        <f aca="false">'Player Data'!C233</f>
        <v>Iraq Third Tier - North</v>
      </c>
      <c r="E233" s="21" t="n">
        <f aca="false">'Player Data'!D233</f>
        <v>4</v>
      </c>
      <c r="F233" s="21" t="n">
        <f aca="false">'Player Data'!G233</f>
        <v>20</v>
      </c>
      <c r="G233" s="21" t="n">
        <f aca="false">'Player Data'!H233</f>
        <v>2534</v>
      </c>
      <c r="H233" s="22" t="n">
        <f aca="false">IF(B233="GK",IFERROR(('Player Data'!N233-1.5*'Player Data'!O233)/'Player Data'!H233*90,0),IFERROR(('Player Data'!I233+'Player Data'!J233)/'Player Data'!H233*90,0))</f>
        <v>0.248618784530387</v>
      </c>
      <c r="I233" s="22" t="n">
        <f aca="false">IF(B233="GK",'Player Data'!P233,IFERROR(('Player Data'!K233+'Player Data'!L233)/'Player Data'!H233*90,0))</f>
        <v>7.38752959747435</v>
      </c>
      <c r="J233" s="22" t="n">
        <f aca="false">IF(B233="GK",IFERROR('Player Data'!Q233/'Player Data'!H233*90,0),IFERROR('Player Data'!M233/'Player Data'!H233*90,0))</f>
        <v>2.05998421468035</v>
      </c>
      <c r="K233" s="23" t="n">
        <f aca="false">'Player Data'!S233</f>
        <v>0</v>
      </c>
      <c r="L233" s="22" t="n">
        <f aca="false">INDEX(Assumptions!$B$13:$B$15,MATCH(E233,Assumptions!$A$13:$A$15,0))</f>
        <v>0.7</v>
      </c>
      <c r="M233" s="24" t="n">
        <f aca="false">IFERROR(SUMPRODUCT(($B$2:$B$1001=B233)*($H$2:$H$1001&lt;=H233))/SUMPRODUCT(($B$2:$B$1001=B233)*1),0)</f>
        <v>0.0101010101010101</v>
      </c>
      <c r="N233" s="24" t="n">
        <f aca="false">IFERROR(SUMPRODUCT(($B$2:$B$1001=B233)*($I$2:$I$1001&lt;=I233))/SUMPRODUCT(($B$2:$B$1001=B233)*1),0)</f>
        <v>0.0875420875420876</v>
      </c>
      <c r="O233" s="24" t="n">
        <f aca="false">IFERROR(SUMPRODUCT(($B$2:$B$1001=B233)*($J$2:$J$1001&lt;=J233))/SUMPRODUCT(($B$2:$B$1001=B233)*1),0)</f>
        <v>0.454545454545455</v>
      </c>
      <c r="P233" s="24" t="n">
        <f aca="false">IFERROR(SUMPRODUCT(($B$2:$B$1001=B233)*((0-$F$2:$F$1001)&lt;=(0-F233)))/SUMPRODUCT(($B$2:$B$1001=B233)*1),0)</f>
        <v>0.734006734006734</v>
      </c>
      <c r="Q233" s="25" t="n">
        <f aca="false">(M233*Assumptions!$B$5+N233*Assumptions!$B$6+O233*Assumptions!$B$7+P233*Assumptions!$B$8)*L233</f>
        <v>0.189612794612795</v>
      </c>
      <c r="R233" s="24" t="n">
        <f aca="false">IFERROR(SUMPRODUCT(($B$2:$B$1001=B233)*($Q$2:$Q$1001&lt;=Q233))/SUMPRODUCT(($B$2:$B$1001=B233)*1),0)</f>
        <v>0.0774410774410774</v>
      </c>
      <c r="S233" s="24" t="n">
        <f aca="false">IFERROR(SUMPRODUCT(($B$2:$B$1001=B233)*($K$2:$K$1001&lt;=K233))/SUMPRODUCT(($B$2:$B$1001=B233)*1),0)</f>
        <v>0.228956228956229</v>
      </c>
      <c r="T233" s="26" t="n">
        <f aca="false">(R233-S233)*100</f>
        <v>-15.1515151515152</v>
      </c>
      <c r="U233" s="21" t="str">
        <f aca="false">'Player Data'!T233</f>
        <v>Yes</v>
      </c>
      <c r="V233" s="27" t="n">
        <f aca="false">'Player Data'!U233</f>
        <v>2028</v>
      </c>
      <c r="W233" s="21" t="str">
        <f aca="false">IF(AND(T233&gt;=Assumptions!$B$19,U233="No"),"High Priority - Unrepresented",IF(T233&gt;=Assumptions!$B$19,"High Priority",IF(AND(T233&gt;=Assumptions!$B$20,U233="No"),"Watchlist - Unrepresented",IF(T233&gt;=Assumptions!$B$20,"Watchlist",""))))</f>
        <v/>
      </c>
      <c r="X233" s="21" t="str">
        <f aca="false">'Player Data'!V233</f>
        <v>info@basrarovers.iq</v>
      </c>
      <c r="Y233" s="28" t="str">
        <f aca="false">'Player Data'!W233</f>
        <v>Go through the player's agent - ask the club to confirm representation first</v>
      </c>
      <c r="Z233" s="28" t="str">
        <f aca="false">'Player Data'!X233</f>
        <v>IFA (Iraq Football Association) player registry</v>
      </c>
      <c r="AA233" s="19" t="str">
        <f aca="false">HYPERLINK("https://www.transfermarkt.com/schnellsuche/ergebnis/schnellsuche?query="&amp;SUBSTITUTE(A233," ","+"),"Search Transfermarkt")</f>
        <v>Search Transfermarkt</v>
      </c>
      <c r="AB233" s="29" t="n">
        <f aca="false">IFERROR('Player Data'!K233/('Player Data'!K233+'Player Data'!L233),0)</f>
        <v>0.557692307692308</v>
      </c>
      <c r="AC233" s="21" t="str">
        <f aca="false">IF(B233="GK",IF(AND(O233&gt;=Assumptions!$B$23,N233&gt;=Assumptions!$B$23),"Sweeper-Keeper / Build-from-the-Back",IF(O233&gt;=Assumptions!$B$23,"Sweeper-Keeper / High Line",IF(M233&gt;=Assumptions!$B$23,"Shot-Stopper / Traditional","Flexible / Multi-System"))),IF(AND(O233&gt;=Assumptions!$B$23,P233&gt;=Assumptions!$B$24),"High Press / Gegenpressing",IF(AND(N233&gt;=Assumptions!$B$23,AB233&gt;=Assumptions!$B$25),"Possession / Build-from-the-Back",IF(N233&gt;=Assumptions!$B$23,"Counter-Attack / Transition",IF(AND(O233&gt;=Assumptions!$B$23,N233&lt;Assumptions!$B$26),"Low Block / Park the Bus",IF(AND(B233="FW",M233&gt;=Assumptions!$B$23,N233&lt;Assumptions!$B$26),"Direct / Target Approach","Flexible / Multi-System"))))))</f>
        <v>Flexible / Multi-System</v>
      </c>
      <c r="AD233" s="21" t="str">
        <f aca="false">'Player Data'!Y233</f>
        <v>2026-07-17</v>
      </c>
      <c r="AE233" s="21" t="str">
        <f aca="false">'Player Data'!Z233</f>
        <v>2026-07-17</v>
      </c>
      <c r="AF233" s="28" t="str">
        <f aca="false">IFERROR(INDEX(Assumptions!$B$30:$B$61,MATCH(C233,Assumptions!$A$30:$A$61,0)),"--")</f>
        <v>Turkey, Saudi Arabia</v>
      </c>
      <c r="AG233" s="30" t="str">
        <f aca="false">IF(R233&gt;=0.7,"Step-Up Candidate",IF(R233&gt;=0.4,"Lateral Move","Stay &amp; Develop"))</f>
        <v>Stay &amp; Develop</v>
      </c>
    </row>
    <row r="234" customFormat="false" ht="23.85" hidden="false" customHeight="false" outlineLevel="0" collapsed="false">
      <c r="A234" s="21" t="str">
        <f aca="false">'Player Data'!A234</f>
        <v>Max Kone</v>
      </c>
      <c r="B234" s="21" t="str">
        <f aca="false">'Player Data'!F234</f>
        <v>MF</v>
      </c>
      <c r="C234" s="21" t="str">
        <f aca="false">'Player Data'!B234</f>
        <v>Ivory Coast</v>
      </c>
      <c r="D234" s="21" t="str">
        <f aca="false">'Player Data'!C234</f>
        <v>Ivory Coast Third Tier - South</v>
      </c>
      <c r="E234" s="21" t="n">
        <f aca="false">'Player Data'!D234</f>
        <v>2</v>
      </c>
      <c r="F234" s="21" t="n">
        <f aca="false">'Player Data'!G234</f>
        <v>20</v>
      </c>
      <c r="G234" s="21" t="n">
        <f aca="false">'Player Data'!H234</f>
        <v>825</v>
      </c>
      <c r="H234" s="22" t="n">
        <f aca="false">IF(B234="GK",IFERROR(('Player Data'!N234-1.5*'Player Data'!O234)/'Player Data'!H234*90,0),IFERROR(('Player Data'!I234+'Player Data'!J234)/'Player Data'!H234*90,0))</f>
        <v>1.85454545454545</v>
      </c>
      <c r="I234" s="22" t="n">
        <f aca="false">IF(B234="GK",'Player Data'!P234,IFERROR(('Player Data'!K234+'Player Data'!L234)/'Player Data'!H234*90,0))</f>
        <v>25.3090909090909</v>
      </c>
      <c r="J234" s="22" t="n">
        <f aca="false">IF(B234="GK",IFERROR('Player Data'!Q234/'Player Data'!H234*90,0),IFERROR('Player Data'!M234/'Player Data'!H234*90,0))</f>
        <v>3.38181818181818</v>
      </c>
      <c r="K234" s="23" t="n">
        <f aca="false">'Player Data'!S234</f>
        <v>79644</v>
      </c>
      <c r="L234" s="22" t="n">
        <f aca="false">INDEX(Assumptions!$B$13:$B$15,MATCH(E234,Assumptions!$A$13:$A$15,0))</f>
        <v>1</v>
      </c>
      <c r="M234" s="24" t="n">
        <f aca="false">IFERROR(SUMPRODUCT(($B$2:$B$1001=B234)*($H$2:$H$1001&lt;=H234))/SUMPRODUCT(($B$2:$B$1001=B234)*1),0)</f>
        <v>0.986531986531987</v>
      </c>
      <c r="N234" s="24" t="n">
        <f aca="false">IFERROR(SUMPRODUCT(($B$2:$B$1001=B234)*($I$2:$I$1001&lt;=I234))/SUMPRODUCT(($B$2:$B$1001=B234)*1),0)</f>
        <v>0.986531986531987</v>
      </c>
      <c r="O234" s="24" t="n">
        <f aca="false">IFERROR(SUMPRODUCT(($B$2:$B$1001=B234)*($J$2:$J$1001&lt;=J234))/SUMPRODUCT(($B$2:$B$1001=B234)*1),0)</f>
        <v>0.828282828282828</v>
      </c>
      <c r="P234" s="24" t="n">
        <f aca="false">IFERROR(SUMPRODUCT(($B$2:$B$1001=B234)*((0-$F$2:$F$1001)&lt;=(0-F234)))/SUMPRODUCT(($B$2:$B$1001=B234)*1),0)</f>
        <v>0.734006734006734</v>
      </c>
      <c r="Q234" s="25" t="n">
        <f aca="false">(M234*Assumptions!$B$5+N234*Assumptions!$B$6+O234*Assumptions!$B$7+P234*Assumptions!$B$8)*L234</f>
        <v>0.904377104377104</v>
      </c>
      <c r="R234" s="24" t="n">
        <f aca="false">IFERROR(SUMPRODUCT(($B$2:$B$1001=B234)*($Q$2:$Q$1001&lt;=Q234))/SUMPRODUCT(($B$2:$B$1001=B234)*1),0)</f>
        <v>0.993265993265993</v>
      </c>
      <c r="S234" s="24" t="n">
        <f aca="false">IFERROR(SUMPRODUCT(($B$2:$B$1001=B234)*($K$2:$K$1001&lt;=K234))/SUMPRODUCT(($B$2:$B$1001=B234)*1),0)</f>
        <v>0.62962962962963</v>
      </c>
      <c r="T234" s="26" t="n">
        <f aca="false">(R234-S234)*100</f>
        <v>36.3636363636364</v>
      </c>
      <c r="U234" s="21" t="str">
        <f aca="false">'Player Data'!T234</f>
        <v>Yes</v>
      </c>
      <c r="V234" s="27" t="n">
        <f aca="false">'Player Data'!U234</f>
        <v>2029</v>
      </c>
      <c r="W234" s="21" t="str">
        <f aca="false">IF(AND(T234&gt;=Assumptions!$B$19,U234="No"),"High Priority - Unrepresented",IF(T234&gt;=Assumptions!$B$19,"High Priority",IF(AND(T234&gt;=Assumptions!$B$20,U234="No"),"Watchlist - Unrepresented",IF(T234&gt;=Assumptions!$B$20,"Watchlist",""))))</f>
        <v>Watchlist</v>
      </c>
      <c r="X234" s="21" t="str">
        <f aca="false">'Player Data'!V234</f>
        <v>info@yamoussoukrowanderers.ci</v>
      </c>
      <c r="Y234" s="28" t="str">
        <f aca="false">'Player Data'!W234</f>
        <v>Go through the player's agent - ask the club to confirm representation first</v>
      </c>
      <c r="Z234" s="28" t="str">
        <f aca="false">'Player Data'!X234</f>
        <v>FIF (Ivorian Football Federation) player registry</v>
      </c>
      <c r="AA234" s="19" t="str">
        <f aca="false">HYPERLINK("https://www.transfermarkt.com/schnellsuche/ergebnis/schnellsuche?query="&amp;SUBSTITUTE(A234," ","+"),"Search Transfermarkt")</f>
        <v>Search Transfermarkt</v>
      </c>
      <c r="AB234" s="29" t="n">
        <f aca="false">IFERROR('Player Data'!K234/('Player Data'!K234+'Player Data'!L234),0)</f>
        <v>0.693965517241379</v>
      </c>
      <c r="AC234" s="21" t="str">
        <f aca="false">IF(B234="GK",IF(AND(O234&gt;=Assumptions!$B$23,N234&gt;=Assumptions!$B$23),"Sweeper-Keeper / Build-from-the-Back",IF(O234&gt;=Assumptions!$B$23,"Sweeper-Keeper / High Line",IF(M234&gt;=Assumptions!$B$23,"Shot-Stopper / Traditional","Flexible / Multi-System"))),IF(AND(O234&gt;=Assumptions!$B$23,P234&gt;=Assumptions!$B$24),"High Press / Gegenpressing",IF(AND(N234&gt;=Assumptions!$B$23,AB234&gt;=Assumptions!$B$25),"Possession / Build-from-the-Back",IF(N234&gt;=Assumptions!$B$23,"Counter-Attack / Transition",IF(AND(O234&gt;=Assumptions!$B$23,N234&lt;Assumptions!$B$26),"Low Block / Park the Bus",IF(AND(B234="FW",M234&gt;=Assumptions!$B$23,N234&lt;Assumptions!$B$26),"Direct / Target Approach","Flexible / Multi-System"))))))</f>
        <v>High Press / Gegenpressing</v>
      </c>
      <c r="AD234" s="21" t="str">
        <f aca="false">'Player Data'!Y234</f>
        <v>2026-07-17</v>
      </c>
      <c r="AE234" s="21" t="str">
        <f aca="false">'Player Data'!Z234</f>
        <v>2026-07-17</v>
      </c>
      <c r="AF234" s="28" t="str">
        <f aca="false">IFERROR(INDEX(Assumptions!$B$30:$B$61,MATCH(C234,Assumptions!$A$30:$A$61,0)),"--")</f>
        <v>Belgium, Portugal</v>
      </c>
      <c r="AG234" s="30" t="str">
        <f aca="false">IF(R234&gt;=0.7,"Step-Up Candidate",IF(R234&gt;=0.4,"Lateral Move","Stay &amp; Develop"))</f>
        <v>Step-Up Candidate</v>
      </c>
    </row>
    <row r="235" customFormat="false" ht="23.85" hidden="false" customHeight="false" outlineLevel="0" collapsed="false">
      <c r="A235" s="21" t="str">
        <f aca="false">'Player Data'!A235</f>
        <v>Arturs Ozols</v>
      </c>
      <c r="B235" s="21" t="str">
        <f aca="false">'Player Data'!F235</f>
        <v>FW</v>
      </c>
      <c r="C235" s="21" t="str">
        <f aca="false">'Player Data'!B235</f>
        <v>Latvia</v>
      </c>
      <c r="D235" s="21" t="str">
        <f aca="false">'Player Data'!C235</f>
        <v>Latvia Third Tier - North</v>
      </c>
      <c r="E235" s="21" t="n">
        <f aca="false">'Player Data'!D235</f>
        <v>4</v>
      </c>
      <c r="F235" s="21" t="n">
        <f aca="false">'Player Data'!G235</f>
        <v>20</v>
      </c>
      <c r="G235" s="21" t="n">
        <f aca="false">'Player Data'!H235</f>
        <v>1928</v>
      </c>
      <c r="H235" s="22" t="n">
        <f aca="false">IF(B235="GK",IFERROR(('Player Data'!N235-1.5*'Player Data'!O235)/'Player Data'!H235*90,0),IFERROR(('Player Data'!I235+'Player Data'!J235)/'Player Data'!H235*90,0))</f>
        <v>0.653526970954357</v>
      </c>
      <c r="I235" s="22" t="n">
        <f aca="false">IF(B235="GK",'Player Data'!P235,IFERROR(('Player Data'!K235+'Player Data'!L235)/'Player Data'!H235*90,0))</f>
        <v>5.32157676348548</v>
      </c>
      <c r="J235" s="22" t="n">
        <f aca="false">IF(B235="GK",IFERROR('Player Data'!Q235/'Player Data'!H235*90,0),IFERROR('Player Data'!M235/'Player Data'!H235*90,0))</f>
        <v>0.560165975103734</v>
      </c>
      <c r="K235" s="23" t="n">
        <f aca="false">'Player Data'!S235</f>
        <v>118318</v>
      </c>
      <c r="L235" s="22" t="n">
        <f aca="false">INDEX(Assumptions!$B$13:$B$15,MATCH(E235,Assumptions!$A$13:$A$15,0))</f>
        <v>0.7</v>
      </c>
      <c r="M235" s="24" t="n">
        <f aca="false">IFERROR(SUMPRODUCT(($B$2:$B$1001=B235)*($H$2:$H$1001&lt;=H235))/SUMPRODUCT(($B$2:$B$1001=B235)*1),0)</f>
        <v>0.212389380530973</v>
      </c>
      <c r="N235" s="24" t="n">
        <f aca="false">IFERROR(SUMPRODUCT(($B$2:$B$1001=B235)*($I$2:$I$1001&lt;=I235))/SUMPRODUCT(($B$2:$B$1001=B235)*1),0)</f>
        <v>0.278761061946903</v>
      </c>
      <c r="O235" s="24" t="n">
        <f aca="false">IFERROR(SUMPRODUCT(($B$2:$B$1001=B235)*($J$2:$J$1001&lt;=J235))/SUMPRODUCT(($B$2:$B$1001=B235)*1),0)</f>
        <v>0.579646017699115</v>
      </c>
      <c r="P235" s="24" t="n">
        <f aca="false">IFERROR(SUMPRODUCT(($B$2:$B$1001=B235)*((0-$F$2:$F$1001)&lt;=(0-F235)))/SUMPRODUCT(($B$2:$B$1001=B235)*1),0)</f>
        <v>0.712389380530973</v>
      </c>
      <c r="Q235" s="25" t="n">
        <f aca="false">(M235*Assumptions!$B$5+N235*Assumptions!$B$6+O235*Assumptions!$B$7+P235*Assumptions!$B$8)*L235</f>
        <v>0.286349557522124</v>
      </c>
      <c r="R235" s="24" t="n">
        <f aca="false">IFERROR(SUMPRODUCT(($B$2:$B$1001=B235)*($Q$2:$Q$1001&lt;=Q235))/SUMPRODUCT(($B$2:$B$1001=B235)*1),0)</f>
        <v>0.261061946902655</v>
      </c>
      <c r="S235" s="24" t="n">
        <f aca="false">IFERROR(SUMPRODUCT(($B$2:$B$1001=B235)*($K$2:$K$1001&lt;=K235))/SUMPRODUCT(($B$2:$B$1001=B235)*1),0)</f>
        <v>0.827433628318584</v>
      </c>
      <c r="T235" s="26" t="n">
        <f aca="false">(R235-S235)*100</f>
        <v>-56.6371681415929</v>
      </c>
      <c r="U235" s="21" t="str">
        <f aca="false">'Player Data'!T235</f>
        <v>Yes</v>
      </c>
      <c r="V235" s="27" t="n">
        <f aca="false">'Player Data'!U235</f>
        <v>2029</v>
      </c>
      <c r="W235" s="21" t="str">
        <f aca="false">IF(AND(T235&gt;=Assumptions!$B$19,U235="No"),"High Priority - Unrepresented",IF(T235&gt;=Assumptions!$B$19,"High Priority",IF(AND(T235&gt;=Assumptions!$B$20,U235="No"),"Watchlist - Unrepresented",IF(T235&gt;=Assumptions!$B$20,"Watchlist",""))))</f>
        <v/>
      </c>
      <c r="X235" s="21" t="str">
        <f aca="false">'Player Data'!V235</f>
        <v>info@liepajafc.lv</v>
      </c>
      <c r="Y235" s="28" t="str">
        <f aca="false">'Player Data'!W235</f>
        <v>Go through the player's agent - ask the club to confirm representation first</v>
      </c>
      <c r="Z235" s="28" t="str">
        <f aca="false">'Player Data'!X235</f>
        <v>LFF (Latvian Football Federation) player registry</v>
      </c>
      <c r="AA235" s="19" t="str">
        <f aca="false">HYPERLINK("https://www.transfermarkt.com/schnellsuche/ergebnis/schnellsuche?query="&amp;SUBSTITUTE(A235," ","+"),"Search Transfermarkt")</f>
        <v>Search Transfermarkt</v>
      </c>
      <c r="AB235" s="29" t="n">
        <f aca="false">IFERROR('Player Data'!K235/('Player Data'!K235+'Player Data'!L235),0)</f>
        <v>0.263157894736842</v>
      </c>
      <c r="AC235" s="21" t="str">
        <f aca="false">IF(B235="GK",IF(AND(O235&gt;=Assumptions!$B$23,N235&gt;=Assumptions!$B$23),"Sweeper-Keeper / Build-from-the-Back",IF(O235&gt;=Assumptions!$B$23,"Sweeper-Keeper / High Line",IF(M235&gt;=Assumptions!$B$23,"Shot-Stopper / Traditional","Flexible / Multi-System"))),IF(AND(O235&gt;=Assumptions!$B$23,P235&gt;=Assumptions!$B$24),"High Press / Gegenpressing",IF(AND(N235&gt;=Assumptions!$B$23,AB235&gt;=Assumptions!$B$25),"Possession / Build-from-the-Back",IF(N235&gt;=Assumptions!$B$23,"Counter-Attack / Transition",IF(AND(O235&gt;=Assumptions!$B$23,N235&lt;Assumptions!$B$26),"Low Block / Park the Bus",IF(AND(B235="FW",M235&gt;=Assumptions!$B$23,N235&lt;Assumptions!$B$26),"Direct / Target Approach","Flexible / Multi-System"))))))</f>
        <v>Flexible / Multi-System</v>
      </c>
      <c r="AD235" s="21" t="str">
        <f aca="false">'Player Data'!Y235</f>
        <v>2026-07-17</v>
      </c>
      <c r="AE235" s="21" t="str">
        <f aca="false">'Player Data'!Z235</f>
        <v>2026-07-17</v>
      </c>
      <c r="AF235" s="28" t="str">
        <f aca="false">IFERROR(INDEX(Assumptions!$B$30:$B$61,MATCH(C235,Assumptions!$A$30:$A$61,0)),"--")</f>
        <v>Poland, Norway</v>
      </c>
      <c r="AG235" s="30" t="str">
        <f aca="false">IF(R235&gt;=0.7,"Step-Up Candidate",IF(R235&gt;=0.4,"Lateral Move","Stay &amp; Develop"))</f>
        <v>Stay &amp; Develop</v>
      </c>
    </row>
    <row r="236" customFormat="false" ht="23.85" hidden="false" customHeight="false" outlineLevel="0" collapsed="false">
      <c r="A236" s="21" t="str">
        <f aca="false">'Player Data'!A236</f>
        <v>Mustafa Salim</v>
      </c>
      <c r="B236" s="21" t="str">
        <f aca="false">'Player Data'!F236</f>
        <v>DF</v>
      </c>
      <c r="C236" s="21" t="str">
        <f aca="false">'Player Data'!B236</f>
        <v>Iraq</v>
      </c>
      <c r="D236" s="21" t="str">
        <f aca="false">'Player Data'!C236</f>
        <v>Iraq Amateur League</v>
      </c>
      <c r="E236" s="21" t="n">
        <f aca="false">'Player Data'!D236</f>
        <v>3</v>
      </c>
      <c r="F236" s="21" t="n">
        <f aca="false">'Player Data'!G236</f>
        <v>26</v>
      </c>
      <c r="G236" s="21" t="n">
        <f aca="false">'Player Data'!H236</f>
        <v>804</v>
      </c>
      <c r="H236" s="22" t="n">
        <f aca="false">IF(B236="GK",IFERROR(('Player Data'!N236-1.5*'Player Data'!O236)/'Player Data'!H236*90,0),IFERROR(('Player Data'!I236+'Player Data'!J236)/'Player Data'!H236*90,0))</f>
        <v>0.223880597014925</v>
      </c>
      <c r="I236" s="22" t="n">
        <f aca="false">IF(B236="GK",'Player Data'!P236,IFERROR(('Player Data'!K236+'Player Data'!L236)/'Player Data'!H236*90,0))</f>
        <v>10.1865671641791</v>
      </c>
      <c r="J236" s="22" t="n">
        <f aca="false">IF(B236="GK",IFERROR('Player Data'!Q236/'Player Data'!H236*90,0),IFERROR('Player Data'!M236/'Player Data'!H236*90,0))</f>
        <v>11.3059701492537</v>
      </c>
      <c r="K236" s="23" t="n">
        <f aca="false">'Player Data'!S236</f>
        <v>0</v>
      </c>
      <c r="L236" s="22" t="n">
        <f aca="false">INDEX(Assumptions!$B$13:$B$15,MATCH(E236,Assumptions!$A$13:$A$15,0))</f>
        <v>0.85</v>
      </c>
      <c r="M236" s="24" t="n">
        <f aca="false">IFERROR(SUMPRODUCT(($B$2:$B$1001=B236)*($H$2:$H$1001&lt;=H236))/SUMPRODUCT(($B$2:$B$1001=B236)*1),0)</f>
        <v>0.585034013605442</v>
      </c>
      <c r="N236" s="24" t="n">
        <f aca="false">IFERROR(SUMPRODUCT(($B$2:$B$1001=B236)*($I$2:$I$1001&lt;=I236))/SUMPRODUCT(($B$2:$B$1001=B236)*1),0)</f>
        <v>0.989795918367347</v>
      </c>
      <c r="O236" s="24" t="n">
        <f aca="false">IFERROR(SUMPRODUCT(($B$2:$B$1001=B236)*($J$2:$J$1001&lt;=J236))/SUMPRODUCT(($B$2:$B$1001=B236)*1),0)</f>
        <v>0.969387755102041</v>
      </c>
      <c r="P236" s="24" t="n">
        <f aca="false">IFERROR(SUMPRODUCT(($B$2:$B$1001=B236)*((0-$F$2:$F$1001)&lt;=(0-F236)))/SUMPRODUCT(($B$2:$B$1001=B236)*1),0)</f>
        <v>0.0748299319727891</v>
      </c>
      <c r="Q236" s="25" t="n">
        <f aca="false">(M236*Assumptions!$B$5+N236*Assumptions!$B$6+O236*Assumptions!$B$7+P236*Assumptions!$B$8)*L236</f>
        <v>0.596301020408163</v>
      </c>
      <c r="R236" s="24" t="n">
        <f aca="false">IFERROR(SUMPRODUCT(($B$2:$B$1001=B236)*($Q$2:$Q$1001&lt;=Q236))/SUMPRODUCT(($B$2:$B$1001=B236)*1),0)</f>
        <v>0.758503401360544</v>
      </c>
      <c r="S236" s="24" t="n">
        <f aca="false">IFERROR(SUMPRODUCT(($B$2:$B$1001=B236)*($K$2:$K$1001&lt;=K236))/SUMPRODUCT(($B$2:$B$1001=B236)*1),0)</f>
        <v>0.248299319727891</v>
      </c>
      <c r="T236" s="26" t="n">
        <f aca="false">(R236-S236)*100</f>
        <v>51.0204081632653</v>
      </c>
      <c r="U236" s="21" t="str">
        <f aca="false">'Player Data'!T236</f>
        <v>No</v>
      </c>
      <c r="V236" s="27" t="n">
        <f aca="false">'Player Data'!U236</f>
        <v>2027</v>
      </c>
      <c r="W236" s="21" t="str">
        <f aca="false">IF(AND(T236&gt;=Assumptions!$B$19,U236="No"),"High Priority - Unrepresented",IF(T236&gt;=Assumptions!$B$19,"High Priority",IF(AND(T236&gt;=Assumptions!$B$20,U236="No"),"Watchlist - Unrepresented",IF(T236&gt;=Assumptions!$B$20,"Watchlist",""))))</f>
        <v>High Priority - Unrepresented</v>
      </c>
      <c r="X236" s="21" t="str">
        <f aca="false">'Player Data'!V236</f>
        <v>info@erbilsc.iq</v>
      </c>
      <c r="Y236" s="28" t="str">
        <f aca="false">'Player Data'!W236</f>
        <v>Club sporting director / first-team office</v>
      </c>
      <c r="Z236" s="28" t="str">
        <f aca="false">'Player Data'!X236</f>
        <v>IFA (Iraq Football Association) player registry</v>
      </c>
      <c r="AA236" s="19" t="str">
        <f aca="false">HYPERLINK("https://www.transfermarkt.com/schnellsuche/ergebnis/schnellsuche?query="&amp;SUBSTITUTE(A236," ","+"),"Search Transfermarkt")</f>
        <v>Search Transfermarkt</v>
      </c>
      <c r="AB236" s="29" t="n">
        <f aca="false">IFERROR('Player Data'!K236/('Player Data'!K236+'Player Data'!L236),0)</f>
        <v>0.538461538461538</v>
      </c>
      <c r="AC236" s="21" t="str">
        <f aca="false">IF(B236="GK",IF(AND(O236&gt;=Assumptions!$B$23,N236&gt;=Assumptions!$B$23),"Sweeper-Keeper / Build-from-the-Back",IF(O236&gt;=Assumptions!$B$23,"Sweeper-Keeper / High Line",IF(M236&gt;=Assumptions!$B$23,"Shot-Stopper / Traditional","Flexible / Multi-System"))),IF(AND(O236&gt;=Assumptions!$B$23,P236&gt;=Assumptions!$B$24),"High Press / Gegenpressing",IF(AND(N236&gt;=Assumptions!$B$23,AB236&gt;=Assumptions!$B$25),"Possession / Build-from-the-Back",IF(N236&gt;=Assumptions!$B$23,"Counter-Attack / Transition",IF(AND(O236&gt;=Assumptions!$B$23,N236&lt;Assumptions!$B$26),"Low Block / Park the Bus",IF(AND(B236="FW",M236&gt;=Assumptions!$B$23,N236&lt;Assumptions!$B$26),"Direct / Target Approach","Flexible / Multi-System"))))))</f>
        <v>Counter-Attack / Transition</v>
      </c>
      <c r="AD236" s="21" t="str">
        <f aca="false">'Player Data'!Y236</f>
        <v>2026-07-17</v>
      </c>
      <c r="AE236" s="21" t="str">
        <f aca="false">'Player Data'!Z236</f>
        <v>2026-07-17</v>
      </c>
      <c r="AF236" s="28" t="str">
        <f aca="false">IFERROR(INDEX(Assumptions!$B$30:$B$61,MATCH(C236,Assumptions!$A$30:$A$61,0)),"--")</f>
        <v>Turkey, Saudi Arabia</v>
      </c>
      <c r="AG236" s="30" t="str">
        <f aca="false">IF(R236&gt;=0.7,"Step-Up Candidate",IF(R236&gt;=0.4,"Lateral Move","Stay &amp; Develop"))</f>
        <v>Step-Up Candidate</v>
      </c>
    </row>
    <row r="237" customFormat="false" ht="23.85" hidden="false" customHeight="false" outlineLevel="0" collapsed="false">
      <c r="A237" s="21" t="str">
        <f aca="false">'Player Data'!A237</f>
        <v>Darko Mitrovski</v>
      </c>
      <c r="B237" s="21" t="str">
        <f aca="false">'Player Data'!F237</f>
        <v>DF</v>
      </c>
      <c r="C237" s="21" t="str">
        <f aca="false">'Player Data'!B237</f>
        <v>North Macedonia</v>
      </c>
      <c r="D237" s="21" t="str">
        <f aca="false">'Player Data'!C237</f>
        <v>North Macedonia Provincial League</v>
      </c>
      <c r="E237" s="21" t="n">
        <f aca="false">'Player Data'!D237</f>
        <v>2</v>
      </c>
      <c r="F237" s="21" t="n">
        <f aca="false">'Player Data'!G237</f>
        <v>18</v>
      </c>
      <c r="G237" s="21" t="n">
        <f aca="false">'Player Data'!H237</f>
        <v>1023</v>
      </c>
      <c r="H237" s="22" t="n">
        <f aca="false">IF(B237="GK",IFERROR(('Player Data'!N237-1.5*'Player Data'!O237)/'Player Data'!H237*90,0),IFERROR(('Player Data'!I237+'Player Data'!J237)/'Player Data'!H237*90,0))</f>
        <v>0.175953079178886</v>
      </c>
      <c r="I237" s="22" t="n">
        <f aca="false">IF(B237="GK",'Player Data'!P237,IFERROR(('Player Data'!K237+'Player Data'!L237)/'Player Data'!H237*90,0))</f>
        <v>8.53372434017595</v>
      </c>
      <c r="J237" s="22" t="n">
        <f aca="false">IF(B237="GK",IFERROR('Player Data'!Q237/'Player Data'!H237*90,0),IFERROR('Player Data'!M237/'Player Data'!H237*90,0))</f>
        <v>8.09384164222874</v>
      </c>
      <c r="K237" s="23" t="n">
        <f aca="false">'Player Data'!S237</f>
        <v>70437</v>
      </c>
      <c r="L237" s="22" t="n">
        <f aca="false">INDEX(Assumptions!$B$13:$B$15,MATCH(E237,Assumptions!$A$13:$A$15,0))</f>
        <v>1</v>
      </c>
      <c r="M237" s="24" t="n">
        <f aca="false">IFERROR(SUMPRODUCT(($B$2:$B$1001=B237)*($H$2:$H$1001&lt;=H237))/SUMPRODUCT(($B$2:$B$1001=B237)*1),0)</f>
        <v>0.462585034013605</v>
      </c>
      <c r="N237" s="24" t="n">
        <f aca="false">IFERROR(SUMPRODUCT(($B$2:$B$1001=B237)*($I$2:$I$1001&lt;=I237))/SUMPRODUCT(($B$2:$B$1001=B237)*1),0)</f>
        <v>0.914965986394558</v>
      </c>
      <c r="O237" s="24" t="n">
        <f aca="false">IFERROR(SUMPRODUCT(($B$2:$B$1001=B237)*($J$2:$J$1001&lt;=J237))/SUMPRODUCT(($B$2:$B$1001=B237)*1),0)</f>
        <v>0.846938775510204</v>
      </c>
      <c r="P237" s="24" t="n">
        <f aca="false">IFERROR(SUMPRODUCT(($B$2:$B$1001=B237)*((0-$F$2:$F$1001)&lt;=(0-F237)))/SUMPRODUCT(($B$2:$B$1001=B237)*1),0)</f>
        <v>0.863945578231293</v>
      </c>
      <c r="Q237" s="25" t="n">
        <f aca="false">(M237*Assumptions!$B$5+N237*Assumptions!$B$6+O237*Assumptions!$B$7+P237*Assumptions!$B$8)*L237</f>
        <v>0.778061224489796</v>
      </c>
      <c r="R237" s="24" t="n">
        <f aca="false">IFERROR(SUMPRODUCT(($B$2:$B$1001=B237)*($Q$2:$Q$1001&lt;=Q237))/SUMPRODUCT(($B$2:$B$1001=B237)*1),0)</f>
        <v>0.935374149659864</v>
      </c>
      <c r="S237" s="24" t="n">
        <f aca="false">IFERROR(SUMPRODUCT(($B$2:$B$1001=B237)*($K$2:$K$1001&lt;=K237))/SUMPRODUCT(($B$2:$B$1001=B237)*1),0)</f>
        <v>0.547619047619048</v>
      </c>
      <c r="T237" s="26" t="n">
        <f aca="false">(R237-S237)*100</f>
        <v>38.7755102040816</v>
      </c>
      <c r="U237" s="21" t="str">
        <f aca="false">'Player Data'!T237</f>
        <v>Unknown</v>
      </c>
      <c r="V237" s="27" t="n">
        <f aca="false">'Player Data'!U237</f>
        <v>2026</v>
      </c>
      <c r="W237" s="21" t="str">
        <f aca="false">IF(AND(T237&gt;=Assumptions!$B$19,U237="No"),"High Priority - Unrepresented",IF(T237&gt;=Assumptions!$B$19,"High Priority",IF(AND(T237&gt;=Assumptions!$B$20,U237="No"),"Watchlist - Unrepresented",IF(T237&gt;=Assumptions!$B$20,"Watchlist",""))))</f>
        <v>Watchlist</v>
      </c>
      <c r="X237" s="21" t="str">
        <f aca="false">'Player Data'!V237</f>
        <v>info@negotinotown.mk</v>
      </c>
      <c r="Y237" s="28" t="str">
        <f aca="false">'Player Data'!W237</f>
        <v>Club sporting director / first-team office</v>
      </c>
      <c r="Z237" s="28" t="str">
        <f aca="false">'Player Data'!X237</f>
        <v>FFM (Football Federation of North Macedonia) player registry</v>
      </c>
      <c r="AA237" s="19" t="str">
        <f aca="false">HYPERLINK("https://www.transfermarkt.com/schnellsuche/ergebnis/schnellsuche?query="&amp;SUBSTITUTE(A237," ","+"),"Search Transfermarkt")</f>
        <v>Search Transfermarkt</v>
      </c>
      <c r="AB237" s="29" t="n">
        <f aca="false">IFERROR('Player Data'!K237/('Player Data'!K237+'Player Data'!L237),0)</f>
        <v>0.577319587628866</v>
      </c>
      <c r="AC237" s="21" t="str">
        <f aca="false">IF(B237="GK",IF(AND(O237&gt;=Assumptions!$B$23,N237&gt;=Assumptions!$B$23),"Sweeper-Keeper / Build-from-the-Back",IF(O237&gt;=Assumptions!$B$23,"Sweeper-Keeper / High Line",IF(M237&gt;=Assumptions!$B$23,"Shot-Stopper / Traditional","Flexible / Multi-System"))),IF(AND(O237&gt;=Assumptions!$B$23,P237&gt;=Assumptions!$B$24),"High Press / Gegenpressing",IF(AND(N237&gt;=Assumptions!$B$23,AB237&gt;=Assumptions!$B$25),"Possession / Build-from-the-Back",IF(N237&gt;=Assumptions!$B$23,"Counter-Attack / Transition",IF(AND(O237&gt;=Assumptions!$B$23,N237&lt;Assumptions!$B$26),"Low Block / Park the Bus",IF(AND(B237="FW",M237&gt;=Assumptions!$B$23,N237&lt;Assumptions!$B$26),"Direct / Target Approach","Flexible / Multi-System"))))))</f>
        <v>High Press / Gegenpressing</v>
      </c>
      <c r="AD237" s="21" t="str">
        <f aca="false">'Player Data'!Y237</f>
        <v>2026-07-17</v>
      </c>
      <c r="AE237" s="21" t="str">
        <f aca="false">'Player Data'!Z237</f>
        <v>2026-07-17</v>
      </c>
      <c r="AF237" s="28" t="str">
        <f aca="false">IFERROR(INDEX(Assumptions!$B$30:$B$61,MATCH(C237,Assumptions!$A$30:$A$61,0)),"--")</f>
        <v>Austria, Turkey</v>
      </c>
      <c r="AG237" s="30" t="str">
        <f aca="false">IF(R237&gt;=0.7,"Step-Up Candidate",IF(R237&gt;=0.4,"Lateral Move","Stay &amp; Develop"))</f>
        <v>Step-Up Candidate</v>
      </c>
    </row>
    <row r="238" customFormat="false" ht="23.85" hidden="false" customHeight="false" outlineLevel="0" collapsed="false">
      <c r="A238" s="21" t="str">
        <f aca="false">'Player Data'!A238</f>
        <v>Jan Novak</v>
      </c>
      <c r="B238" s="21" t="str">
        <f aca="false">'Player Data'!F238</f>
        <v>FW</v>
      </c>
      <c r="C238" s="21" t="str">
        <f aca="false">'Player Data'!B238</f>
        <v>Slovenia</v>
      </c>
      <c r="D238" s="21" t="str">
        <f aca="false">'Player Data'!C238</f>
        <v>Slovenia Third Tier - North</v>
      </c>
      <c r="E238" s="21" t="n">
        <f aca="false">'Player Data'!D238</f>
        <v>2</v>
      </c>
      <c r="F238" s="21" t="n">
        <f aca="false">'Player Data'!G238</f>
        <v>24</v>
      </c>
      <c r="G238" s="21" t="n">
        <f aca="false">'Player Data'!H238</f>
        <v>1786</v>
      </c>
      <c r="H238" s="22" t="n">
        <f aca="false">IF(B238="GK",IFERROR(('Player Data'!N238-1.5*'Player Data'!O238)/'Player Data'!H238*90,0),IFERROR(('Player Data'!I238+'Player Data'!J238)/'Player Data'!H238*90,0))</f>
        <v>0.957446808510638</v>
      </c>
      <c r="I238" s="22" t="n">
        <f aca="false">IF(B238="GK",'Player Data'!P238,IFERROR(('Player Data'!K238+'Player Data'!L238)/'Player Data'!H238*90,0))</f>
        <v>7.00447928331467</v>
      </c>
      <c r="J238" s="22" t="n">
        <f aca="false">IF(B238="GK",IFERROR('Player Data'!Q238/'Player Data'!H238*90,0),IFERROR('Player Data'!M238/'Player Data'!H238*90,0))</f>
        <v>0.604703247480403</v>
      </c>
      <c r="K238" s="23" t="n">
        <f aca="false">'Player Data'!S238</f>
        <v>147332</v>
      </c>
      <c r="L238" s="22" t="n">
        <f aca="false">INDEX(Assumptions!$B$13:$B$15,MATCH(E238,Assumptions!$A$13:$A$15,0))</f>
        <v>1</v>
      </c>
      <c r="M238" s="24" t="n">
        <f aca="false">IFERROR(SUMPRODUCT(($B$2:$B$1001=B238)*($H$2:$H$1001&lt;=H238))/SUMPRODUCT(($B$2:$B$1001=B238)*1),0)</f>
        <v>0.473451327433628</v>
      </c>
      <c r="N238" s="24" t="n">
        <f aca="false">IFERROR(SUMPRODUCT(($B$2:$B$1001=B238)*($I$2:$I$1001&lt;=I238))/SUMPRODUCT(($B$2:$B$1001=B238)*1),0)</f>
        <v>0.575221238938053</v>
      </c>
      <c r="O238" s="24" t="n">
        <f aca="false">IFERROR(SUMPRODUCT(($B$2:$B$1001=B238)*($J$2:$J$1001&lt;=J238))/SUMPRODUCT(($B$2:$B$1001=B238)*1),0)</f>
        <v>0.63716814159292</v>
      </c>
      <c r="P238" s="24" t="n">
        <f aca="false">IFERROR(SUMPRODUCT(($B$2:$B$1001=B238)*((0-$F$2:$F$1001)&lt;=(0-F238)))/SUMPRODUCT(($B$2:$B$1001=B238)*1),0)</f>
        <v>0.305309734513274</v>
      </c>
      <c r="Q238" s="25" t="n">
        <f aca="false">(M238*Assumptions!$B$5+N238*Assumptions!$B$6+O238*Assumptions!$B$7+P238*Assumptions!$B$8)*L238</f>
        <v>0.508185840707965</v>
      </c>
      <c r="R238" s="24" t="n">
        <f aca="false">IFERROR(SUMPRODUCT(($B$2:$B$1001=B238)*($Q$2:$Q$1001&lt;=Q238))/SUMPRODUCT(($B$2:$B$1001=B238)*1),0)</f>
        <v>0.623893805309735</v>
      </c>
      <c r="S238" s="24" t="n">
        <f aca="false">IFERROR(SUMPRODUCT(($B$2:$B$1001=B238)*($K$2:$K$1001&lt;=K238))/SUMPRODUCT(($B$2:$B$1001=B238)*1),0)</f>
        <v>0.991150442477876</v>
      </c>
      <c r="T238" s="26" t="n">
        <f aca="false">(R238-S238)*100</f>
        <v>-36.7256637168142</v>
      </c>
      <c r="U238" s="21" t="str">
        <f aca="false">'Player Data'!T238</f>
        <v>No</v>
      </c>
      <c r="V238" s="27" t="n">
        <f aca="false">'Player Data'!U238</f>
        <v>2026</v>
      </c>
      <c r="W238" s="21" t="str">
        <f aca="false">IF(AND(T238&gt;=Assumptions!$B$19,U238="No"),"High Priority - Unrepresented",IF(T238&gt;=Assumptions!$B$19,"High Priority",IF(AND(T238&gt;=Assumptions!$B$20,U238="No"),"Watchlist - Unrepresented",IF(T238&gt;=Assumptions!$B$20,"Watchlist",""))))</f>
        <v/>
      </c>
      <c r="X238" s="21" t="str">
        <f aca="false">'Player Data'!V238</f>
        <v>info@ljubljanafc.si</v>
      </c>
      <c r="Y238" s="28" t="str">
        <f aca="false">'Player Data'!W238</f>
        <v>Club sporting director / first-team office</v>
      </c>
      <c r="Z238" s="28" t="str">
        <f aca="false">'Player Data'!X238</f>
        <v>NZS (Football Association of Slovenia) player registry</v>
      </c>
      <c r="AA238" s="19" t="str">
        <f aca="false">HYPERLINK("https://www.transfermarkt.com/schnellsuche/ergebnis/schnellsuche?query="&amp;SUBSTITUTE(A238," ","+"),"Search Transfermarkt")</f>
        <v>Search Transfermarkt</v>
      </c>
      <c r="AB238" s="29" t="n">
        <f aca="false">IFERROR('Player Data'!K238/('Player Data'!K238+'Player Data'!L238),0)</f>
        <v>0.474820143884892</v>
      </c>
      <c r="AC238" s="21" t="str">
        <f aca="false">IF(B238="GK",IF(AND(O238&gt;=Assumptions!$B$23,N238&gt;=Assumptions!$B$23),"Sweeper-Keeper / Build-from-the-Back",IF(O238&gt;=Assumptions!$B$23,"Sweeper-Keeper / High Line",IF(M238&gt;=Assumptions!$B$23,"Shot-Stopper / Traditional","Flexible / Multi-System"))),IF(AND(O238&gt;=Assumptions!$B$23,P238&gt;=Assumptions!$B$24),"High Press / Gegenpressing",IF(AND(N238&gt;=Assumptions!$B$23,AB238&gt;=Assumptions!$B$25),"Possession / Build-from-the-Back",IF(N238&gt;=Assumptions!$B$23,"Counter-Attack / Transition",IF(AND(O238&gt;=Assumptions!$B$23,N238&lt;Assumptions!$B$26),"Low Block / Park the Bus",IF(AND(B238="FW",M238&gt;=Assumptions!$B$23,N238&lt;Assumptions!$B$26),"Direct / Target Approach","Flexible / Multi-System"))))))</f>
        <v>Flexible / Multi-System</v>
      </c>
      <c r="AD238" s="21" t="str">
        <f aca="false">'Player Data'!Y238</f>
        <v>2026-07-17</v>
      </c>
      <c r="AE238" s="21" t="str">
        <f aca="false">'Player Data'!Z238</f>
        <v>2026-07-17</v>
      </c>
      <c r="AF238" s="28" t="str">
        <f aca="false">IFERROR(INDEX(Assumptions!$B$30:$B$61,MATCH(C238,Assumptions!$A$30:$A$61,0)),"--")</f>
        <v>Austria, Poland</v>
      </c>
      <c r="AG238" s="30" t="str">
        <f aca="false">IF(R238&gt;=0.7,"Step-Up Candidate",IF(R238&gt;=0.4,"Lateral Move","Stay &amp; Develop"))</f>
        <v>Lateral Move</v>
      </c>
    </row>
    <row r="239" customFormat="false" ht="23.85" hidden="false" customHeight="false" outlineLevel="0" collapsed="false">
      <c r="A239" s="21" t="str">
        <f aca="false">'Player Data'!A239</f>
        <v>Andres Chavez</v>
      </c>
      <c r="B239" s="21" t="str">
        <f aca="false">'Player Data'!F239</f>
        <v>MF</v>
      </c>
      <c r="C239" s="21" t="str">
        <f aca="false">'Player Data'!B239</f>
        <v>Ecuador</v>
      </c>
      <c r="D239" s="21" t="str">
        <f aca="false">'Player Data'!C239</f>
        <v>Ecuador Third Tier - South</v>
      </c>
      <c r="E239" s="21" t="n">
        <f aca="false">'Player Data'!D239</f>
        <v>2</v>
      </c>
      <c r="F239" s="21" t="n">
        <f aca="false">'Player Data'!G239</f>
        <v>19</v>
      </c>
      <c r="G239" s="21" t="n">
        <f aca="false">'Player Data'!H239</f>
        <v>1642</v>
      </c>
      <c r="H239" s="22" t="n">
        <f aca="false">IF(B239="GK",IFERROR(('Player Data'!N239-1.5*'Player Data'!O239)/'Player Data'!H239*90,0),IFERROR(('Player Data'!I239+'Player Data'!J239)/'Player Data'!H239*90,0))</f>
        <v>0.767356881851401</v>
      </c>
      <c r="I239" s="22" t="n">
        <f aca="false">IF(B239="GK",'Player Data'!P239,IFERROR(('Player Data'!K239+'Player Data'!L239)/'Player Data'!H239*90,0))</f>
        <v>13.6479902557856</v>
      </c>
      <c r="J239" s="22" t="n">
        <f aca="false">IF(B239="GK",IFERROR('Player Data'!Q239/'Player Data'!H239*90,0),IFERROR('Player Data'!M239/'Player Data'!H239*90,0))</f>
        <v>2.24725943970767</v>
      </c>
      <c r="K239" s="23" t="n">
        <f aca="false">'Player Data'!S239</f>
        <v>20218</v>
      </c>
      <c r="L239" s="22" t="n">
        <f aca="false">INDEX(Assumptions!$B$13:$B$15,MATCH(E239,Assumptions!$A$13:$A$15,0))</f>
        <v>1</v>
      </c>
      <c r="M239" s="24" t="n">
        <f aca="false">IFERROR(SUMPRODUCT(($B$2:$B$1001=B239)*($H$2:$H$1001&lt;=H239))/SUMPRODUCT(($B$2:$B$1001=B239)*1),0)</f>
        <v>0.545454545454545</v>
      </c>
      <c r="N239" s="24" t="n">
        <f aca="false">IFERROR(SUMPRODUCT(($B$2:$B$1001=B239)*($I$2:$I$1001&lt;=I239))/SUMPRODUCT(($B$2:$B$1001=B239)*1),0)</f>
        <v>0.69023569023569</v>
      </c>
      <c r="O239" s="24" t="n">
        <f aca="false">IFERROR(SUMPRODUCT(($B$2:$B$1001=B239)*($J$2:$J$1001&lt;=J239))/SUMPRODUCT(($B$2:$B$1001=B239)*1),0)</f>
        <v>0.528619528619529</v>
      </c>
      <c r="P239" s="24" t="n">
        <f aca="false">IFERROR(SUMPRODUCT(($B$2:$B$1001=B239)*((0-$F$2:$F$1001)&lt;=(0-F239)))/SUMPRODUCT(($B$2:$B$1001=B239)*1),0)</f>
        <v>0.868686868686869</v>
      </c>
      <c r="Q239" s="25" t="n">
        <f aca="false">(M239*Assumptions!$B$5+N239*Assumptions!$B$6+O239*Assumptions!$B$7+P239*Assumptions!$B$8)*L239</f>
        <v>0.657407407407407</v>
      </c>
      <c r="R239" s="24" t="n">
        <f aca="false">IFERROR(SUMPRODUCT(($B$2:$B$1001=B239)*($Q$2:$Q$1001&lt;=Q239))/SUMPRODUCT(($B$2:$B$1001=B239)*1),0)</f>
        <v>0.845117845117845</v>
      </c>
      <c r="S239" s="24" t="n">
        <f aca="false">IFERROR(SUMPRODUCT(($B$2:$B$1001=B239)*($K$2:$K$1001&lt;=K239))/SUMPRODUCT(($B$2:$B$1001=B239)*1),0)</f>
        <v>0.279461279461279</v>
      </c>
      <c r="T239" s="26" t="n">
        <f aca="false">(R239-S239)*100</f>
        <v>56.5656565656566</v>
      </c>
      <c r="U239" s="21" t="str">
        <f aca="false">'Player Data'!T239</f>
        <v>Unknown</v>
      </c>
      <c r="V239" s="27" t="n">
        <f aca="false">'Player Data'!U239</f>
        <v>2029</v>
      </c>
      <c r="W239" s="21" t="str">
        <f aca="false">IF(AND(T239&gt;=Assumptions!$B$19,U239="No"),"High Priority - Unrepresented",IF(T239&gt;=Assumptions!$B$19,"High Priority",IF(AND(T239&gt;=Assumptions!$B$20,U239="No"),"Watchlist - Unrepresented",IF(T239&gt;=Assumptions!$B$20,"Watchlist",""))))</f>
        <v>High Priority</v>
      </c>
      <c r="X239" s="21" t="str">
        <f aca="false">'Player Data'!V239</f>
        <v>info@cuencarangers.ec</v>
      </c>
      <c r="Y239" s="28" t="str">
        <f aca="false">'Player Data'!W239</f>
        <v>Club sporting director / first-team office</v>
      </c>
      <c r="Z239" s="28" t="str">
        <f aca="false">'Player Data'!X239</f>
        <v>FEF (Ecuadorian Football Federation) player registry</v>
      </c>
      <c r="AA239" s="19" t="str">
        <f aca="false">HYPERLINK("https://www.transfermarkt.com/schnellsuche/ergebnis/schnellsuche?query="&amp;SUBSTITUTE(A239," ","+"),"Search Transfermarkt")</f>
        <v>Search Transfermarkt</v>
      </c>
      <c r="AB239" s="29" t="n">
        <f aca="false">IFERROR('Player Data'!K239/('Player Data'!K239+'Player Data'!L239),0)</f>
        <v>0.70281124497992</v>
      </c>
      <c r="AC239" s="21" t="str">
        <f aca="false">IF(B239="GK",IF(AND(O239&gt;=Assumptions!$B$23,N239&gt;=Assumptions!$B$23),"Sweeper-Keeper / Build-from-the-Back",IF(O239&gt;=Assumptions!$B$23,"Sweeper-Keeper / High Line",IF(M239&gt;=Assumptions!$B$23,"Shot-Stopper / Traditional","Flexible / Multi-System"))),IF(AND(O239&gt;=Assumptions!$B$23,P239&gt;=Assumptions!$B$24),"High Press / Gegenpressing",IF(AND(N239&gt;=Assumptions!$B$23,AB239&gt;=Assumptions!$B$25),"Possession / Build-from-the-Back",IF(N239&gt;=Assumptions!$B$23,"Counter-Attack / Transition",IF(AND(O239&gt;=Assumptions!$B$23,N239&lt;Assumptions!$B$26),"Low Block / Park the Bus",IF(AND(B239="FW",M239&gt;=Assumptions!$B$23,N239&lt;Assumptions!$B$26),"Direct / Target Approach","Flexible / Multi-System"))))))</f>
        <v>Possession / Build-from-the-Back</v>
      </c>
      <c r="AD239" s="21" t="str">
        <f aca="false">'Player Data'!Y239</f>
        <v>2026-07-17</v>
      </c>
      <c r="AE239" s="21" t="str">
        <f aca="false">'Player Data'!Z239</f>
        <v>2026-07-17</v>
      </c>
      <c r="AF239" s="28" t="str">
        <f aca="false">IFERROR(INDEX(Assumptions!$B$30:$B$61,MATCH(C239,Assumptions!$A$30:$A$61,0)),"--")</f>
        <v>Argentina, Portugal</v>
      </c>
      <c r="AG239" s="30" t="str">
        <f aca="false">IF(R239&gt;=0.7,"Step-Up Candidate",IF(R239&gt;=0.4,"Lateral Move","Stay &amp; Develop"))</f>
        <v>Step-Up Candidate</v>
      </c>
    </row>
    <row r="240" customFormat="false" ht="23.85" hidden="false" customHeight="false" outlineLevel="0" collapsed="false">
      <c r="A240" s="21" t="str">
        <f aca="false">'Player Data'!A240</f>
        <v>Cristian Perez</v>
      </c>
      <c r="B240" s="21" t="str">
        <f aca="false">'Player Data'!F240</f>
        <v>FW</v>
      </c>
      <c r="C240" s="21" t="str">
        <f aca="false">'Player Data'!B240</f>
        <v>Paraguay</v>
      </c>
      <c r="D240" s="21" t="str">
        <f aca="false">'Player Data'!C240</f>
        <v>Paraguay Second Division - East</v>
      </c>
      <c r="E240" s="21" t="n">
        <f aca="false">'Player Data'!D240</f>
        <v>4</v>
      </c>
      <c r="F240" s="21" t="n">
        <f aca="false">'Player Data'!G240</f>
        <v>22</v>
      </c>
      <c r="G240" s="21" t="n">
        <f aca="false">'Player Data'!H240</f>
        <v>1715</v>
      </c>
      <c r="H240" s="22" t="n">
        <f aca="false">IF(B240="GK",IFERROR(('Player Data'!N240-1.5*'Player Data'!O240)/'Player Data'!H240*90,0),IFERROR(('Player Data'!I240+'Player Data'!J240)/'Player Data'!H240*90,0))</f>
        <v>0.944606413994169</v>
      </c>
      <c r="I240" s="22" t="n">
        <f aca="false">IF(B240="GK",'Player Data'!P240,IFERROR(('Player Data'!K240+'Player Data'!L240)/'Player Data'!H240*90,0))</f>
        <v>8.81632653061224</v>
      </c>
      <c r="J240" s="22" t="n">
        <f aca="false">IF(B240="GK",IFERROR('Player Data'!Q240/'Player Data'!H240*90,0),IFERROR('Player Data'!M240/'Player Data'!H240*90,0))</f>
        <v>0.577259475218659</v>
      </c>
      <c r="K240" s="23" t="n">
        <f aca="false">'Player Data'!S240</f>
        <v>70733</v>
      </c>
      <c r="L240" s="22" t="n">
        <f aca="false">INDEX(Assumptions!$B$13:$B$15,MATCH(E240,Assumptions!$A$13:$A$15,0))</f>
        <v>0.7</v>
      </c>
      <c r="M240" s="24" t="n">
        <f aca="false">IFERROR(SUMPRODUCT(($B$2:$B$1001=B240)*($H$2:$H$1001&lt;=H240))/SUMPRODUCT(($B$2:$B$1001=B240)*1),0)</f>
        <v>0.455752212389381</v>
      </c>
      <c r="N240" s="24" t="n">
        <f aca="false">IFERROR(SUMPRODUCT(($B$2:$B$1001=B240)*($I$2:$I$1001&lt;=I240))/SUMPRODUCT(($B$2:$B$1001=B240)*1),0)</f>
        <v>0.747787610619469</v>
      </c>
      <c r="O240" s="24" t="n">
        <f aca="false">IFERROR(SUMPRODUCT(($B$2:$B$1001=B240)*($J$2:$J$1001&lt;=J240))/SUMPRODUCT(($B$2:$B$1001=B240)*1),0)</f>
        <v>0.601769911504425</v>
      </c>
      <c r="P240" s="24" t="n">
        <f aca="false">IFERROR(SUMPRODUCT(($B$2:$B$1001=B240)*((0-$F$2:$F$1001)&lt;=(0-F240)))/SUMPRODUCT(($B$2:$B$1001=B240)*1),0)</f>
        <v>0.504424778761062</v>
      </c>
      <c r="Q240" s="25" t="n">
        <f aca="false">(M240*Assumptions!$B$5+N240*Assumptions!$B$6+O240*Assumptions!$B$7+P240*Assumptions!$B$8)*L240</f>
        <v>0.41783185840708</v>
      </c>
      <c r="R240" s="24" t="n">
        <f aca="false">IFERROR(SUMPRODUCT(($B$2:$B$1001=B240)*($Q$2:$Q$1001&lt;=Q240))/SUMPRODUCT(($B$2:$B$1001=B240)*1),0)</f>
        <v>0.469026548672566</v>
      </c>
      <c r="S240" s="24" t="n">
        <f aca="false">IFERROR(SUMPRODUCT(($B$2:$B$1001=B240)*($K$2:$K$1001&lt;=K240))/SUMPRODUCT(($B$2:$B$1001=B240)*1),0)</f>
        <v>0.561946902654867</v>
      </c>
      <c r="T240" s="26" t="n">
        <f aca="false">(R240-S240)*100</f>
        <v>-9.29203539823009</v>
      </c>
      <c r="U240" s="21" t="str">
        <f aca="false">'Player Data'!T240</f>
        <v>No</v>
      </c>
      <c r="V240" s="27" t="n">
        <f aca="false">'Player Data'!U240</f>
        <v>2026</v>
      </c>
      <c r="W240" s="21" t="str">
        <f aca="false">IF(AND(T240&gt;=Assumptions!$B$19,U240="No"),"High Priority - Unrepresented",IF(T240&gt;=Assumptions!$B$19,"High Priority",IF(AND(T240&gt;=Assumptions!$B$20,U240="No"),"Watchlist - Unrepresented",IF(T240&gt;=Assumptions!$B$20,"Watchlist",""))))</f>
        <v/>
      </c>
      <c r="X240" s="21" t="str">
        <f aca="false">'Player Data'!V240</f>
        <v>info@asuncionfc.py</v>
      </c>
      <c r="Y240" s="28" t="str">
        <f aca="false">'Player Data'!W240</f>
        <v>Club sporting director / first-team office</v>
      </c>
      <c r="Z240" s="28" t="str">
        <f aca="false">'Player Data'!X240</f>
        <v>APF (Paraguayan Football Association) player registry</v>
      </c>
      <c r="AA240" s="19" t="str">
        <f aca="false">HYPERLINK("https://www.transfermarkt.com/schnellsuche/ergebnis/schnellsuche?query="&amp;SUBSTITUTE(A240," ","+"),"Search Transfermarkt")</f>
        <v>Search Transfermarkt</v>
      </c>
      <c r="AB240" s="29" t="n">
        <f aca="false">IFERROR('Player Data'!K240/('Player Data'!K240+'Player Data'!L240),0)</f>
        <v>0.404761904761905</v>
      </c>
      <c r="AC240" s="21" t="str">
        <f aca="false">IF(B240="GK",IF(AND(O240&gt;=Assumptions!$B$23,N240&gt;=Assumptions!$B$23),"Sweeper-Keeper / Build-from-the-Back",IF(O240&gt;=Assumptions!$B$23,"Sweeper-Keeper / High Line",IF(M240&gt;=Assumptions!$B$23,"Shot-Stopper / Traditional","Flexible / Multi-System"))),IF(AND(O240&gt;=Assumptions!$B$23,P240&gt;=Assumptions!$B$24),"High Press / Gegenpressing",IF(AND(N240&gt;=Assumptions!$B$23,AB240&gt;=Assumptions!$B$25),"Possession / Build-from-the-Back",IF(N240&gt;=Assumptions!$B$23,"Counter-Attack / Transition",IF(AND(O240&gt;=Assumptions!$B$23,N240&lt;Assumptions!$B$26),"Low Block / Park the Bus",IF(AND(B240="FW",M240&gt;=Assumptions!$B$23,N240&lt;Assumptions!$B$26),"Direct / Target Approach","Flexible / Multi-System"))))))</f>
        <v>Counter-Attack / Transition</v>
      </c>
      <c r="AD240" s="21" t="str">
        <f aca="false">'Player Data'!Y240</f>
        <v>2026-07-17</v>
      </c>
      <c r="AE240" s="21" t="str">
        <f aca="false">'Player Data'!Z240</f>
        <v>2026-07-17</v>
      </c>
      <c r="AF240" s="28" t="str">
        <f aca="false">IFERROR(INDEX(Assumptions!$B$30:$B$61,MATCH(C240,Assumptions!$A$30:$A$61,0)),"--")</f>
        <v>Argentina, Portugal</v>
      </c>
      <c r="AG240" s="30" t="str">
        <f aca="false">IF(R240&gt;=0.7,"Step-Up Candidate",IF(R240&gt;=0.4,"Lateral Move","Stay &amp; Develop"))</f>
        <v>Lateral Move</v>
      </c>
    </row>
    <row r="241" customFormat="false" ht="23.85" hidden="false" customHeight="false" outlineLevel="0" collapsed="false">
      <c r="A241" s="21" t="str">
        <f aca="false">'Player Data'!A241</f>
        <v>Romell Figueroa</v>
      </c>
      <c r="B241" s="21" t="str">
        <f aca="false">'Player Data'!F241</f>
        <v>GK</v>
      </c>
      <c r="C241" s="21" t="str">
        <f aca="false">'Player Data'!B241</f>
        <v>Honduras</v>
      </c>
      <c r="D241" s="21" t="str">
        <f aca="false">'Player Data'!C241</f>
        <v>Honduras Second Division</v>
      </c>
      <c r="E241" s="21" t="n">
        <f aca="false">'Player Data'!D241</f>
        <v>2</v>
      </c>
      <c r="F241" s="21" t="n">
        <f aca="false">'Player Data'!G241</f>
        <v>23</v>
      </c>
      <c r="G241" s="21" t="n">
        <f aca="false">'Player Data'!H241</f>
        <v>2134</v>
      </c>
      <c r="H241" s="22" t="n">
        <f aca="false">IF(B241="GK",IFERROR(('Player Data'!N241-1.5*'Player Data'!O241)/'Player Data'!H241*90,0),IFERROR(('Player Data'!I241+'Player Data'!J241)/'Player Data'!H241*90,0))</f>
        <v>1.66588566073102</v>
      </c>
      <c r="I241" s="22" t="n">
        <f aca="false">IF(B241="GK",'Player Data'!P241,IFERROR(('Player Data'!K241+'Player Data'!L241)/'Player Data'!H241*90,0))</f>
        <v>82.2</v>
      </c>
      <c r="J241" s="22" t="n">
        <f aca="false">IF(B241="GK",IFERROR('Player Data'!Q241/'Player Data'!H241*90,0),IFERROR('Player Data'!M241/'Player Data'!H241*90,0))</f>
        <v>0.126522961574508</v>
      </c>
      <c r="K241" s="23" t="n">
        <f aca="false">'Player Data'!S241</f>
        <v>102294</v>
      </c>
      <c r="L241" s="22" t="n">
        <f aca="false">INDEX(Assumptions!$B$13:$B$15,MATCH(E241,Assumptions!$A$13:$A$15,0))</f>
        <v>1</v>
      </c>
      <c r="M241" s="24" t="n">
        <f aca="false">IFERROR(SUMPRODUCT(($B$2:$B$1001=B241)*($H$2:$H$1001&lt;=H241))/SUMPRODUCT(($B$2:$B$1001=B241)*1),0)</f>
        <v>0.754098360655738</v>
      </c>
      <c r="N241" s="24" t="n">
        <f aca="false">IFERROR(SUMPRODUCT(($B$2:$B$1001=B241)*($I$2:$I$1001&lt;=I241))/SUMPRODUCT(($B$2:$B$1001=B241)*1),0)</f>
        <v>0.743169398907104</v>
      </c>
      <c r="O241" s="24" t="n">
        <f aca="false">IFERROR(SUMPRODUCT(($B$2:$B$1001=B241)*($J$2:$J$1001&lt;=J241))/SUMPRODUCT(($B$2:$B$1001=B241)*1),0)</f>
        <v>0.0218579234972678</v>
      </c>
      <c r="P241" s="24" t="n">
        <f aca="false">IFERROR(SUMPRODUCT(($B$2:$B$1001=B241)*((0-$F$2:$F$1001)&lt;=(0-F241)))/SUMPRODUCT(($B$2:$B$1001=B241)*1),0)</f>
        <v>0.431693989071038</v>
      </c>
      <c r="Q241" s="25" t="n">
        <f aca="false">(M241*Assumptions!$B$5+N241*Assumptions!$B$6+O241*Assumptions!$B$7+P241*Assumptions!$B$8)*L241</f>
        <v>0.539344262295082</v>
      </c>
      <c r="R241" s="24" t="n">
        <f aca="false">IFERROR(SUMPRODUCT(($B$2:$B$1001=B241)*($Q$2:$Q$1001&lt;=Q241))/SUMPRODUCT(($B$2:$B$1001=B241)*1),0)</f>
        <v>0.721311475409836</v>
      </c>
      <c r="S241" s="24" t="n">
        <f aca="false">IFERROR(SUMPRODUCT(($B$2:$B$1001=B241)*($K$2:$K$1001&lt;=K241))/SUMPRODUCT(($B$2:$B$1001=B241)*1),0)</f>
        <v>0.726775956284153</v>
      </c>
      <c r="T241" s="26" t="n">
        <f aca="false">(R241-S241)*100</f>
        <v>-0.546448087431695</v>
      </c>
      <c r="U241" s="21" t="str">
        <f aca="false">'Player Data'!T241</f>
        <v>No</v>
      </c>
      <c r="V241" s="27" t="n">
        <f aca="false">'Player Data'!U241</f>
        <v>2027</v>
      </c>
      <c r="W241" s="21" t="str">
        <f aca="false">IF(AND(T241&gt;=Assumptions!$B$19,U241="No"),"High Priority - Unrepresented",IF(T241&gt;=Assumptions!$B$19,"High Priority",IF(AND(T241&gt;=Assumptions!$B$20,U241="No"),"Watchlist - Unrepresented",IF(T241&gt;=Assumptions!$B$20,"Watchlist",""))))</f>
        <v/>
      </c>
      <c r="X241" s="21" t="str">
        <f aca="false">'Player Data'!V241</f>
        <v>info@tegucigalpatown.hn</v>
      </c>
      <c r="Y241" s="28" t="str">
        <f aca="false">'Player Data'!W241</f>
        <v>Club sporting director / first-team office</v>
      </c>
      <c r="Z241" s="28" t="str">
        <f aca="false">'Player Data'!X241</f>
        <v>FENAFUTH (Honduran Football Federation) player registry</v>
      </c>
      <c r="AA241" s="19" t="str">
        <f aca="false">HYPERLINK("https://www.transfermarkt.com/schnellsuche/ergebnis/schnellsuche?query="&amp;SUBSTITUTE(A241," ","+"),"Search Transfermarkt")</f>
        <v>Search Transfermarkt</v>
      </c>
      <c r="AB241" s="29" t="n">
        <f aca="false">IFERROR('Player Data'!K241/('Player Data'!K241+'Player Data'!L241),0)</f>
        <v>0.857142857142857</v>
      </c>
      <c r="AC241" s="21" t="str">
        <f aca="false">IF(B241="GK",IF(AND(O241&gt;=Assumptions!$B$23,N241&gt;=Assumptions!$B$23),"Sweeper-Keeper / Build-from-the-Back",IF(O241&gt;=Assumptions!$B$23,"Sweeper-Keeper / High Line",IF(M241&gt;=Assumptions!$B$23,"Shot-Stopper / Traditional","Flexible / Multi-System"))),IF(AND(O241&gt;=Assumptions!$B$23,P241&gt;=Assumptions!$B$24),"High Press / Gegenpressing",IF(AND(N241&gt;=Assumptions!$B$23,AB241&gt;=Assumptions!$B$25),"Possession / Build-from-the-Back",IF(N241&gt;=Assumptions!$B$23,"Counter-Attack / Transition",IF(AND(O241&gt;=Assumptions!$B$23,N241&lt;Assumptions!$B$26),"Low Block / Park the Bus",IF(AND(B241="FW",M241&gt;=Assumptions!$B$23,N241&lt;Assumptions!$B$26),"Direct / Target Approach","Flexible / Multi-System"))))))</f>
        <v>Shot-Stopper / Traditional</v>
      </c>
      <c r="AD241" s="21" t="str">
        <f aca="false">'Player Data'!Y241</f>
        <v>2026-07-17</v>
      </c>
      <c r="AE241" s="21" t="str">
        <f aca="false">'Player Data'!Z241</f>
        <v>2026-07-17</v>
      </c>
      <c r="AF241" s="28" t="str">
        <f aca="false">IFERROR(INDEX(Assumptions!$B$30:$B$61,MATCH(C241,Assumptions!$A$30:$A$61,0)),"--")</f>
        <v>Mexico, United States</v>
      </c>
      <c r="AG241" s="30" t="str">
        <f aca="false">IF(R241&gt;=0.7,"Step-Up Candidate",IF(R241&gt;=0.4,"Lateral Move","Stay &amp; Develop"))</f>
        <v>Step-Up Candidate</v>
      </c>
    </row>
    <row r="242" customFormat="false" ht="23.85" hidden="false" customHeight="false" outlineLevel="0" collapsed="false">
      <c r="A242" s="21" t="str">
        <f aca="false">'Player Data'!A242</f>
        <v>Emmanuel Sakala</v>
      </c>
      <c r="B242" s="21" t="str">
        <f aca="false">'Player Data'!F242</f>
        <v>GK</v>
      </c>
      <c r="C242" s="21" t="str">
        <f aca="false">'Player Data'!B242</f>
        <v>Zambia</v>
      </c>
      <c r="D242" s="21" t="str">
        <f aca="false">'Player Data'!C242</f>
        <v>Zambia Amateur League</v>
      </c>
      <c r="E242" s="21" t="n">
        <f aca="false">'Player Data'!D242</f>
        <v>3</v>
      </c>
      <c r="F242" s="21" t="n">
        <f aca="false">'Player Data'!G242</f>
        <v>23</v>
      </c>
      <c r="G242" s="21" t="n">
        <f aca="false">'Player Data'!H242</f>
        <v>1015</v>
      </c>
      <c r="H242" s="22" t="n">
        <f aca="false">IF(B242="GK",IFERROR(('Player Data'!N242-1.5*'Player Data'!O242)/'Player Data'!H242*90,0),IFERROR(('Player Data'!I242+'Player Data'!J242)/'Player Data'!H242*90,0))</f>
        <v>0.576354679802956</v>
      </c>
      <c r="I242" s="22" t="n">
        <f aca="false">IF(B242="GK",'Player Data'!P242,IFERROR(('Player Data'!K242+'Player Data'!L242)/'Player Data'!H242*90,0))</f>
        <v>58.6</v>
      </c>
      <c r="J242" s="22" t="n">
        <f aca="false">IF(B242="GK",IFERROR('Player Data'!Q242/'Player Data'!H242*90,0),IFERROR('Player Data'!M242/'Player Data'!H242*90,0))</f>
        <v>1.40985221674877</v>
      </c>
      <c r="K242" s="23" t="n">
        <f aca="false">'Player Data'!S242</f>
        <v>73103</v>
      </c>
      <c r="L242" s="22" t="n">
        <f aca="false">INDEX(Assumptions!$B$13:$B$15,MATCH(E242,Assumptions!$A$13:$A$15,0))</f>
        <v>0.85</v>
      </c>
      <c r="M242" s="24" t="n">
        <f aca="false">IFERROR(SUMPRODUCT(($B$2:$B$1001=B242)*($H$2:$H$1001&lt;=H242))/SUMPRODUCT(($B$2:$B$1001=B242)*1),0)</f>
        <v>0.300546448087432</v>
      </c>
      <c r="N242" s="24" t="n">
        <f aca="false">IFERROR(SUMPRODUCT(($B$2:$B$1001=B242)*($I$2:$I$1001&lt;=I242))/SUMPRODUCT(($B$2:$B$1001=B242)*1),0)</f>
        <v>0.092896174863388</v>
      </c>
      <c r="O242" s="24" t="n">
        <f aca="false">IFERROR(SUMPRODUCT(($B$2:$B$1001=B242)*($J$2:$J$1001&lt;=J242))/SUMPRODUCT(($B$2:$B$1001=B242)*1),0)</f>
        <v>0.918032786885246</v>
      </c>
      <c r="P242" s="24" t="n">
        <f aca="false">IFERROR(SUMPRODUCT(($B$2:$B$1001=B242)*((0-$F$2:$F$1001)&lt;=(0-F242)))/SUMPRODUCT(($B$2:$B$1001=B242)*1),0)</f>
        <v>0.431693989071038</v>
      </c>
      <c r="Q242" s="25" t="n">
        <f aca="false">(M242*Assumptions!$B$5+N242*Assumptions!$B$6+O242*Assumptions!$B$7+P242*Assumptions!$B$8)*L242</f>
        <v>0.320956284153006</v>
      </c>
      <c r="R242" s="24" t="n">
        <f aca="false">IFERROR(SUMPRODUCT(($B$2:$B$1001=B242)*($Q$2:$Q$1001&lt;=Q242))/SUMPRODUCT(($B$2:$B$1001=B242)*1),0)</f>
        <v>0.147540983606557</v>
      </c>
      <c r="S242" s="24" t="n">
        <f aca="false">IFERROR(SUMPRODUCT(($B$2:$B$1001=B242)*($K$2:$K$1001&lt;=K242))/SUMPRODUCT(($B$2:$B$1001=B242)*1),0)</f>
        <v>0.530054644808743</v>
      </c>
      <c r="T242" s="26" t="n">
        <f aca="false">(R242-S242)*100</f>
        <v>-38.2513661202186</v>
      </c>
      <c r="U242" s="21" t="str">
        <f aca="false">'Player Data'!T242</f>
        <v>No</v>
      </c>
      <c r="V242" s="27" t="n">
        <f aca="false">'Player Data'!U242</f>
        <v>2026</v>
      </c>
      <c r="W242" s="21" t="str">
        <f aca="false">IF(AND(T242&gt;=Assumptions!$B$19,U242="No"),"High Priority - Unrepresented",IF(T242&gt;=Assumptions!$B$19,"High Priority",IF(AND(T242&gt;=Assumptions!$B$20,U242="No"),"Watchlist - Unrepresented",IF(T242&gt;=Assumptions!$B$20,"Watchlist",""))))</f>
        <v/>
      </c>
      <c r="X242" s="21" t="str">
        <f aca="false">'Player Data'!V242</f>
        <v>info@kitwecity.zm</v>
      </c>
      <c r="Y242" s="28" t="str">
        <f aca="false">'Player Data'!W242</f>
        <v>Club sporting director / first-team office</v>
      </c>
      <c r="Z242" s="28" t="str">
        <f aca="false">'Player Data'!X242</f>
        <v>FAZ (Football Association of Zambia) player registry</v>
      </c>
      <c r="AA242" s="19" t="str">
        <f aca="false">HYPERLINK("https://www.transfermarkt.com/schnellsuche/ergebnis/schnellsuche?query="&amp;SUBSTITUTE(A242," ","+"),"Search Transfermarkt")</f>
        <v>Search Transfermarkt</v>
      </c>
      <c r="AB242" s="29" t="n">
        <f aca="false">IFERROR('Player Data'!K242/('Player Data'!K242+'Player Data'!L242),0)</f>
        <v>0.823529411764706</v>
      </c>
      <c r="AC242" s="21" t="str">
        <f aca="false">IF(B242="GK",IF(AND(O242&gt;=Assumptions!$B$23,N242&gt;=Assumptions!$B$23),"Sweeper-Keeper / Build-from-the-Back",IF(O242&gt;=Assumptions!$B$23,"Sweeper-Keeper / High Line",IF(M242&gt;=Assumptions!$B$23,"Shot-Stopper / Traditional","Flexible / Multi-System"))),IF(AND(O242&gt;=Assumptions!$B$23,P242&gt;=Assumptions!$B$24),"High Press / Gegenpressing",IF(AND(N242&gt;=Assumptions!$B$23,AB242&gt;=Assumptions!$B$25),"Possession / Build-from-the-Back",IF(N242&gt;=Assumptions!$B$23,"Counter-Attack / Transition",IF(AND(O242&gt;=Assumptions!$B$23,N242&lt;Assumptions!$B$26),"Low Block / Park the Bus",IF(AND(B242="FW",M242&gt;=Assumptions!$B$23,N242&lt;Assumptions!$B$26),"Direct / Target Approach","Flexible / Multi-System"))))))</f>
        <v>Sweeper-Keeper / High Line</v>
      </c>
      <c r="AD242" s="21" t="str">
        <f aca="false">'Player Data'!Y242</f>
        <v>2026-07-17</v>
      </c>
      <c r="AE242" s="21" t="str">
        <f aca="false">'Player Data'!Z242</f>
        <v>2026-07-17</v>
      </c>
      <c r="AF242" s="28" t="str">
        <f aca="false">IFERROR(INDEX(Assumptions!$B$30:$B$61,MATCH(C242,Assumptions!$A$30:$A$61,0)),"--")</f>
        <v>Belgium, Portugal</v>
      </c>
      <c r="AG242" s="30" t="str">
        <f aca="false">IF(R242&gt;=0.7,"Step-Up Candidate",IF(R242&gt;=0.4,"Lateral Move","Stay &amp; Develop"))</f>
        <v>Stay &amp; Develop</v>
      </c>
    </row>
    <row r="243" customFormat="false" ht="23.85" hidden="false" customHeight="false" outlineLevel="0" collapsed="false">
      <c r="A243" s="21" t="str">
        <f aca="false">'Player Data'!A243</f>
        <v>Franck Bamba</v>
      </c>
      <c r="B243" s="21" t="str">
        <f aca="false">'Player Data'!F243</f>
        <v>MF</v>
      </c>
      <c r="C243" s="21" t="str">
        <f aca="false">'Player Data'!B243</f>
        <v>Ivory Coast</v>
      </c>
      <c r="D243" s="21" t="str">
        <f aca="false">'Player Data'!C243</f>
        <v>Ivory Coast Provincial League</v>
      </c>
      <c r="E243" s="21" t="n">
        <f aca="false">'Player Data'!D243</f>
        <v>4</v>
      </c>
      <c r="F243" s="21" t="n">
        <f aca="false">'Player Data'!G243</f>
        <v>19</v>
      </c>
      <c r="G243" s="21" t="n">
        <f aca="false">'Player Data'!H243</f>
        <v>1794</v>
      </c>
      <c r="H243" s="22" t="n">
        <f aca="false">IF(B243="GK",IFERROR(('Player Data'!N243-1.5*'Player Data'!O243)/'Player Data'!H243*90,0),IFERROR(('Player Data'!I243+'Player Data'!J243)/'Player Data'!H243*90,0))</f>
        <v>1.00334448160535</v>
      </c>
      <c r="I243" s="22" t="n">
        <f aca="false">IF(B243="GK",'Player Data'!P243,IFERROR(('Player Data'!K243+'Player Data'!L243)/'Player Data'!H243*90,0))</f>
        <v>11.6387959866221</v>
      </c>
      <c r="J243" s="22" t="n">
        <f aca="false">IF(B243="GK",IFERROR('Player Data'!Q243/'Player Data'!H243*90,0),IFERROR('Player Data'!M243/'Player Data'!H243*90,0))</f>
        <v>2.25752508361204</v>
      </c>
      <c r="K243" s="23" t="n">
        <f aca="false">'Player Data'!S243</f>
        <v>20345</v>
      </c>
      <c r="L243" s="22" t="n">
        <f aca="false">INDEX(Assumptions!$B$13:$B$15,MATCH(E243,Assumptions!$A$13:$A$15,0))</f>
        <v>0.7</v>
      </c>
      <c r="M243" s="24" t="n">
        <f aca="false">IFERROR(SUMPRODUCT(($B$2:$B$1001=B243)*($H$2:$H$1001&lt;=H243))/SUMPRODUCT(($B$2:$B$1001=B243)*1),0)</f>
        <v>0.777777777777778</v>
      </c>
      <c r="N243" s="24" t="n">
        <f aca="false">IFERROR(SUMPRODUCT(($B$2:$B$1001=B243)*($I$2:$I$1001&lt;=I243))/SUMPRODUCT(($B$2:$B$1001=B243)*1),0)</f>
        <v>0.552188552188552</v>
      </c>
      <c r="O243" s="24" t="n">
        <f aca="false">IFERROR(SUMPRODUCT(($B$2:$B$1001=B243)*($J$2:$J$1001&lt;=J243))/SUMPRODUCT(($B$2:$B$1001=B243)*1),0)</f>
        <v>0.535353535353535</v>
      </c>
      <c r="P243" s="24" t="n">
        <f aca="false">IFERROR(SUMPRODUCT(($B$2:$B$1001=B243)*((0-$F$2:$F$1001)&lt;=(0-F243)))/SUMPRODUCT(($B$2:$B$1001=B243)*1),0)</f>
        <v>0.868686868686869</v>
      </c>
      <c r="Q243" s="25" t="n">
        <f aca="false">(M243*Assumptions!$B$5+N243*Assumptions!$B$6+O243*Assumptions!$B$7+P243*Assumptions!$B$8)*L243</f>
        <v>0.467962962962963</v>
      </c>
      <c r="R243" s="24" t="n">
        <f aca="false">IFERROR(SUMPRODUCT(($B$2:$B$1001=B243)*($Q$2:$Q$1001&lt;=Q243))/SUMPRODUCT(($B$2:$B$1001=B243)*1),0)</f>
        <v>0.565656565656566</v>
      </c>
      <c r="S243" s="24" t="n">
        <f aca="false">IFERROR(SUMPRODUCT(($B$2:$B$1001=B243)*($K$2:$K$1001&lt;=K243))/SUMPRODUCT(($B$2:$B$1001=B243)*1),0)</f>
        <v>0.282828282828283</v>
      </c>
      <c r="T243" s="26" t="n">
        <f aca="false">(R243-S243)*100</f>
        <v>28.2828282828283</v>
      </c>
      <c r="U243" s="21" t="str">
        <f aca="false">'Player Data'!T243</f>
        <v>No</v>
      </c>
      <c r="V243" s="27" t="n">
        <f aca="false">'Player Data'!U243</f>
        <v>2029</v>
      </c>
      <c r="W243" s="21" t="str">
        <f aca="false">IF(AND(T243&gt;=Assumptions!$B$19,U243="No"),"High Priority - Unrepresented",IF(T243&gt;=Assumptions!$B$19,"High Priority",IF(AND(T243&gt;=Assumptions!$B$20,U243="No"),"Watchlist - Unrepresented",IF(T243&gt;=Assumptions!$B$20,"Watchlist",""))))</f>
        <v>Watchlist - Unrepresented</v>
      </c>
      <c r="X243" s="21" t="str">
        <f aca="false">'Player Data'!V243</f>
        <v>info@abidjanwanderers.ci</v>
      </c>
      <c r="Y243" s="28" t="str">
        <f aca="false">'Player Data'!W243</f>
        <v>Club sporting director / first-team office</v>
      </c>
      <c r="Z243" s="28" t="str">
        <f aca="false">'Player Data'!X243</f>
        <v>FIF (Ivorian Football Federation) player registry</v>
      </c>
      <c r="AA243" s="19" t="str">
        <f aca="false">HYPERLINK("https://www.transfermarkt.com/schnellsuche/ergebnis/schnellsuche?query="&amp;SUBSTITUTE(A243," ","+"),"Search Transfermarkt")</f>
        <v>Search Transfermarkt</v>
      </c>
      <c r="AB243" s="29" t="n">
        <f aca="false">IFERROR('Player Data'!K243/('Player Data'!K243+'Player Data'!L243),0)</f>
        <v>0.745689655172414</v>
      </c>
      <c r="AC243" s="21" t="str">
        <f aca="false">IF(B243="GK",IF(AND(O243&gt;=Assumptions!$B$23,N243&gt;=Assumptions!$B$23),"Sweeper-Keeper / Build-from-the-Back",IF(O243&gt;=Assumptions!$B$23,"Sweeper-Keeper / High Line",IF(M243&gt;=Assumptions!$B$23,"Shot-Stopper / Traditional","Flexible / Multi-System"))),IF(AND(O243&gt;=Assumptions!$B$23,P243&gt;=Assumptions!$B$24),"High Press / Gegenpressing",IF(AND(N243&gt;=Assumptions!$B$23,AB243&gt;=Assumptions!$B$25),"Possession / Build-from-the-Back",IF(N243&gt;=Assumptions!$B$23,"Counter-Attack / Transition",IF(AND(O243&gt;=Assumptions!$B$23,N243&lt;Assumptions!$B$26),"Low Block / Park the Bus",IF(AND(B243="FW",M243&gt;=Assumptions!$B$23,N243&lt;Assumptions!$B$26),"Direct / Target Approach","Flexible / Multi-System"))))))</f>
        <v>Flexible / Multi-System</v>
      </c>
      <c r="AD243" s="21" t="str">
        <f aca="false">'Player Data'!Y243</f>
        <v>2026-07-17</v>
      </c>
      <c r="AE243" s="21" t="str">
        <f aca="false">'Player Data'!Z243</f>
        <v>2026-07-17</v>
      </c>
      <c r="AF243" s="28" t="str">
        <f aca="false">IFERROR(INDEX(Assumptions!$B$30:$B$61,MATCH(C243,Assumptions!$A$30:$A$61,0)),"--")</f>
        <v>Belgium, Portugal</v>
      </c>
      <c r="AG243" s="30" t="str">
        <f aca="false">IF(R243&gt;=0.7,"Step-Up Candidate",IF(R243&gt;=0.4,"Lateral Move","Stay &amp; Develop"))</f>
        <v>Lateral Move</v>
      </c>
    </row>
    <row r="244" customFormat="false" ht="23.85" hidden="false" customHeight="false" outlineLevel="0" collapsed="false">
      <c r="A244" s="21" t="str">
        <f aca="false">'Player Data'!A244</f>
        <v>Jean Fotso</v>
      </c>
      <c r="B244" s="21" t="str">
        <f aca="false">'Player Data'!F244</f>
        <v>MF</v>
      </c>
      <c r="C244" s="21" t="str">
        <f aca="false">'Player Data'!B244</f>
        <v>Cameroon</v>
      </c>
      <c r="D244" s="21" t="str">
        <f aca="false">'Player Data'!C244</f>
        <v>Cameroon Second Division - East</v>
      </c>
      <c r="E244" s="21" t="n">
        <f aca="false">'Player Data'!D244</f>
        <v>2</v>
      </c>
      <c r="F244" s="21" t="n">
        <f aca="false">'Player Data'!G244</f>
        <v>22</v>
      </c>
      <c r="G244" s="21" t="n">
        <f aca="false">'Player Data'!H244</f>
        <v>1097</v>
      </c>
      <c r="H244" s="22" t="n">
        <f aca="false">IF(B244="GK",IFERROR(('Player Data'!N244-1.5*'Player Data'!O244)/'Player Data'!H244*90,0),IFERROR(('Player Data'!I244+'Player Data'!J244)/'Player Data'!H244*90,0))</f>
        <v>0.820419325432999</v>
      </c>
      <c r="I244" s="22" t="n">
        <f aca="false">IF(B244="GK",'Player Data'!P244,IFERROR(('Player Data'!K244+'Player Data'!L244)/'Player Data'!H244*90,0))</f>
        <v>14.1932543299909</v>
      </c>
      <c r="J244" s="22" t="n">
        <f aca="false">IF(B244="GK",IFERROR('Player Data'!Q244/'Player Data'!H244*90,0),IFERROR('Player Data'!M244/'Player Data'!H244*90,0))</f>
        <v>3.7739288969918</v>
      </c>
      <c r="K244" s="23" t="n">
        <f aca="false">'Player Data'!S244</f>
        <v>49026</v>
      </c>
      <c r="L244" s="22" t="n">
        <f aca="false">INDEX(Assumptions!$B$13:$B$15,MATCH(E244,Assumptions!$A$13:$A$15,0))</f>
        <v>1</v>
      </c>
      <c r="M244" s="24" t="n">
        <f aca="false">IFERROR(SUMPRODUCT(($B$2:$B$1001=B244)*($H$2:$H$1001&lt;=H244))/SUMPRODUCT(($B$2:$B$1001=B244)*1),0)</f>
        <v>0.61952861952862</v>
      </c>
      <c r="N244" s="24" t="n">
        <f aca="false">IFERROR(SUMPRODUCT(($B$2:$B$1001=B244)*($I$2:$I$1001&lt;=I244))/SUMPRODUCT(($B$2:$B$1001=B244)*1),0)</f>
        <v>0.720538720538721</v>
      </c>
      <c r="O244" s="24" t="n">
        <f aca="false">IFERROR(SUMPRODUCT(($B$2:$B$1001=B244)*($J$2:$J$1001&lt;=J244))/SUMPRODUCT(($B$2:$B$1001=B244)*1),0)</f>
        <v>0.905723905723906</v>
      </c>
      <c r="P244" s="24" t="n">
        <f aca="false">IFERROR(SUMPRODUCT(($B$2:$B$1001=B244)*((0-$F$2:$F$1001)&lt;=(0-F244)))/SUMPRODUCT(($B$2:$B$1001=B244)*1),0)</f>
        <v>0.515151515151515</v>
      </c>
      <c r="Q244" s="25" t="n">
        <f aca="false">(M244*Assumptions!$B$5+N244*Assumptions!$B$6+O244*Assumptions!$B$7+P244*Assumptions!$B$8)*L244</f>
        <v>0.691245791245791</v>
      </c>
      <c r="R244" s="24" t="n">
        <f aca="false">IFERROR(SUMPRODUCT(($B$2:$B$1001=B244)*($Q$2:$Q$1001&lt;=Q244))/SUMPRODUCT(($B$2:$B$1001=B244)*1),0)</f>
        <v>0.868686868686869</v>
      </c>
      <c r="S244" s="24" t="n">
        <f aca="false">IFERROR(SUMPRODUCT(($B$2:$B$1001=B244)*($K$2:$K$1001&lt;=K244))/SUMPRODUCT(($B$2:$B$1001=B244)*1),0)</f>
        <v>0.451178451178451</v>
      </c>
      <c r="T244" s="26" t="n">
        <f aca="false">(R244-S244)*100</f>
        <v>41.7508417508418</v>
      </c>
      <c r="U244" s="21" t="str">
        <f aca="false">'Player Data'!T244</f>
        <v>Unknown</v>
      </c>
      <c r="V244" s="27" t="n">
        <f aca="false">'Player Data'!U244</f>
        <v>2028</v>
      </c>
      <c r="W244" s="21" t="str">
        <f aca="false">IF(AND(T244&gt;=Assumptions!$B$19,U244="No"),"High Priority - Unrepresented",IF(T244&gt;=Assumptions!$B$19,"High Priority",IF(AND(T244&gt;=Assumptions!$B$20,U244="No"),"Watchlist - Unrepresented",IF(T244&gt;=Assumptions!$B$20,"Watchlist",""))))</f>
        <v>High Priority</v>
      </c>
      <c r="X244" s="21" t="str">
        <f aca="false">'Player Data'!V244</f>
        <v>info@garouacity.cm</v>
      </c>
      <c r="Y244" s="28" t="str">
        <f aca="false">'Player Data'!W244</f>
        <v>Club sporting director / first-team office</v>
      </c>
      <c r="Z244" s="28" t="str">
        <f aca="false">'Player Data'!X244</f>
        <v>FECAFOOT (Cameroonian Football Federation) player registry</v>
      </c>
      <c r="AA244" s="19" t="str">
        <f aca="false">HYPERLINK("https://www.transfermarkt.com/schnellsuche/ergebnis/schnellsuche?query="&amp;SUBSTITUTE(A244," ","+"),"Search Transfermarkt")</f>
        <v>Search Transfermarkt</v>
      </c>
      <c r="AB244" s="29" t="n">
        <f aca="false">IFERROR('Player Data'!K244/('Player Data'!K244+'Player Data'!L244),0)</f>
        <v>0.682080924855491</v>
      </c>
      <c r="AC244" s="21" t="str">
        <f aca="false">IF(B244="GK",IF(AND(O244&gt;=Assumptions!$B$23,N244&gt;=Assumptions!$B$23),"Sweeper-Keeper / Build-from-the-Back",IF(O244&gt;=Assumptions!$B$23,"Sweeper-Keeper / High Line",IF(M244&gt;=Assumptions!$B$23,"Shot-Stopper / Traditional","Flexible / Multi-System"))),IF(AND(O244&gt;=Assumptions!$B$23,P244&gt;=Assumptions!$B$24),"High Press / Gegenpressing",IF(AND(N244&gt;=Assumptions!$B$23,AB244&gt;=Assumptions!$B$25),"Possession / Build-from-the-Back",IF(N244&gt;=Assumptions!$B$23,"Counter-Attack / Transition",IF(AND(O244&gt;=Assumptions!$B$23,N244&lt;Assumptions!$B$26),"Low Block / Park the Bus",IF(AND(B244="FW",M244&gt;=Assumptions!$B$23,N244&lt;Assumptions!$B$26),"Direct / Target Approach","Flexible / Multi-System"))))))</f>
        <v>Possession / Build-from-the-Back</v>
      </c>
      <c r="AD244" s="21" t="str">
        <f aca="false">'Player Data'!Y244</f>
        <v>2026-07-17</v>
      </c>
      <c r="AE244" s="21" t="str">
        <f aca="false">'Player Data'!Z244</f>
        <v>2026-07-17</v>
      </c>
      <c r="AF244" s="28" t="str">
        <f aca="false">IFERROR(INDEX(Assumptions!$B$30:$B$61,MATCH(C244,Assumptions!$A$30:$A$61,0)),"--")</f>
        <v>Belgium, Portugal</v>
      </c>
      <c r="AG244" s="30" t="str">
        <f aca="false">IF(R244&gt;=0.7,"Step-Up Candidate",IF(R244&gt;=0.4,"Lateral Move","Stay &amp; Develop"))</f>
        <v>Step-Up Candidate</v>
      </c>
    </row>
    <row r="245" customFormat="false" ht="23.85" hidden="false" customHeight="false" outlineLevel="0" collapsed="false">
      <c r="A245" s="21" t="str">
        <f aca="false">'Player Data'!A245</f>
        <v>Hussein Abbas</v>
      </c>
      <c r="B245" s="21" t="str">
        <f aca="false">'Player Data'!F245</f>
        <v>DF</v>
      </c>
      <c r="C245" s="21" t="str">
        <f aca="false">'Player Data'!B245</f>
        <v>Iraq</v>
      </c>
      <c r="D245" s="21" t="str">
        <f aca="false">'Player Data'!C245</f>
        <v>Iraq Amateur League</v>
      </c>
      <c r="E245" s="21" t="n">
        <f aca="false">'Player Data'!D245</f>
        <v>2</v>
      </c>
      <c r="F245" s="21" t="n">
        <f aca="false">'Player Data'!G245</f>
        <v>22</v>
      </c>
      <c r="G245" s="21" t="n">
        <f aca="false">'Player Data'!H245</f>
        <v>1309</v>
      </c>
      <c r="H245" s="22" t="n">
        <f aca="false">IF(B245="GK",IFERROR(('Player Data'!N245-1.5*'Player Data'!O245)/'Player Data'!H245*90,0),IFERROR(('Player Data'!I245+'Player Data'!J245)/'Player Data'!H245*90,0))</f>
        <v>0.27501909854851</v>
      </c>
      <c r="I245" s="22" t="n">
        <f aca="false">IF(B245="GK",'Player Data'!P245,IFERROR(('Player Data'!K245+'Player Data'!L245)/'Player Data'!H245*90,0))</f>
        <v>7.49427043544691</v>
      </c>
      <c r="J245" s="22" t="n">
        <f aca="false">IF(B245="GK",IFERROR('Player Data'!Q245/'Player Data'!H245*90,0),IFERROR('Player Data'!M245/'Player Data'!H245*90,0))</f>
        <v>5.43162719633308</v>
      </c>
      <c r="K245" s="23" t="n">
        <f aca="false">'Player Data'!S245</f>
        <v>74271</v>
      </c>
      <c r="L245" s="22" t="n">
        <f aca="false">INDEX(Assumptions!$B$13:$B$15,MATCH(E245,Assumptions!$A$13:$A$15,0))</f>
        <v>1</v>
      </c>
      <c r="M245" s="24" t="n">
        <f aca="false">IFERROR(SUMPRODUCT(($B$2:$B$1001=B245)*($H$2:$H$1001&lt;=H245))/SUMPRODUCT(($B$2:$B$1001=B245)*1),0)</f>
        <v>0.707482993197279</v>
      </c>
      <c r="N245" s="24" t="n">
        <f aca="false">IFERROR(SUMPRODUCT(($B$2:$B$1001=B245)*($I$2:$I$1001&lt;=I245))/SUMPRODUCT(($B$2:$B$1001=B245)*1),0)</f>
        <v>0.863945578231293</v>
      </c>
      <c r="O245" s="24" t="n">
        <f aca="false">IFERROR(SUMPRODUCT(($B$2:$B$1001=B245)*($J$2:$J$1001&lt;=J245))/SUMPRODUCT(($B$2:$B$1001=B245)*1),0)</f>
        <v>0.513605442176871</v>
      </c>
      <c r="P245" s="24" t="n">
        <f aca="false">IFERROR(SUMPRODUCT(($B$2:$B$1001=B245)*((0-$F$2:$F$1001)&lt;=(0-F245)))/SUMPRODUCT(($B$2:$B$1001=B245)*1),0)</f>
        <v>0.493197278911565</v>
      </c>
      <c r="Q245" s="25" t="n">
        <f aca="false">(M245*Assumptions!$B$5+N245*Assumptions!$B$6+O245*Assumptions!$B$7+P245*Assumptions!$B$8)*L245</f>
        <v>0.680612244897959</v>
      </c>
      <c r="R245" s="24" t="n">
        <f aca="false">IFERROR(SUMPRODUCT(($B$2:$B$1001=B245)*($Q$2:$Q$1001&lt;=Q245))/SUMPRODUCT(($B$2:$B$1001=B245)*1),0)</f>
        <v>0.863945578231293</v>
      </c>
      <c r="S245" s="24" t="n">
        <f aca="false">IFERROR(SUMPRODUCT(($B$2:$B$1001=B245)*($K$2:$K$1001&lt;=K245))/SUMPRODUCT(($B$2:$B$1001=B245)*1),0)</f>
        <v>0.581632653061225</v>
      </c>
      <c r="T245" s="26" t="n">
        <f aca="false">(R245-S245)*100</f>
        <v>28.2312925170068</v>
      </c>
      <c r="U245" s="21" t="str">
        <f aca="false">'Player Data'!T245</f>
        <v>No</v>
      </c>
      <c r="V245" s="27" t="n">
        <f aca="false">'Player Data'!U245</f>
        <v>2027</v>
      </c>
      <c r="W245" s="21" t="str">
        <f aca="false">IF(AND(T245&gt;=Assumptions!$B$19,U245="No"),"High Priority - Unrepresented",IF(T245&gt;=Assumptions!$B$19,"High Priority",IF(AND(T245&gt;=Assumptions!$B$20,U245="No"),"Watchlist - Unrepresented",IF(T245&gt;=Assumptions!$B$20,"Watchlist",""))))</f>
        <v>Watchlist - Unrepresented</v>
      </c>
      <c r="X245" s="21" t="str">
        <f aca="false">'Player Data'!V245</f>
        <v>info@baghdadrangers.iq</v>
      </c>
      <c r="Y245" s="28" t="str">
        <f aca="false">'Player Data'!W245</f>
        <v>Club sporting director / first-team office</v>
      </c>
      <c r="Z245" s="28" t="str">
        <f aca="false">'Player Data'!X245</f>
        <v>IFA (Iraq Football Association) player registry</v>
      </c>
      <c r="AA245" s="19" t="str">
        <f aca="false">HYPERLINK("https://www.transfermarkt.com/schnellsuche/ergebnis/schnellsuche?query="&amp;SUBSTITUTE(A245," ","+"),"Search Transfermarkt")</f>
        <v>Search Transfermarkt</v>
      </c>
      <c r="AB245" s="29" t="n">
        <f aca="false">IFERROR('Player Data'!K245/('Player Data'!K245+'Player Data'!L245),0)</f>
        <v>0.614678899082569</v>
      </c>
      <c r="AC245" s="21" t="str">
        <f aca="false">IF(B245="GK",IF(AND(O245&gt;=Assumptions!$B$23,N245&gt;=Assumptions!$B$23),"Sweeper-Keeper / Build-from-the-Back",IF(O245&gt;=Assumptions!$B$23,"Sweeper-Keeper / High Line",IF(M245&gt;=Assumptions!$B$23,"Shot-Stopper / Traditional","Flexible / Multi-System"))),IF(AND(O245&gt;=Assumptions!$B$23,P245&gt;=Assumptions!$B$24),"High Press / Gegenpressing",IF(AND(N245&gt;=Assumptions!$B$23,AB245&gt;=Assumptions!$B$25),"Possession / Build-from-the-Back",IF(N245&gt;=Assumptions!$B$23,"Counter-Attack / Transition",IF(AND(O245&gt;=Assumptions!$B$23,N245&lt;Assumptions!$B$26),"Low Block / Park the Bus",IF(AND(B245="FW",M245&gt;=Assumptions!$B$23,N245&lt;Assumptions!$B$26),"Direct / Target Approach","Flexible / Multi-System"))))))</f>
        <v>Counter-Attack / Transition</v>
      </c>
      <c r="AD245" s="21" t="str">
        <f aca="false">'Player Data'!Y245</f>
        <v>2026-07-17</v>
      </c>
      <c r="AE245" s="21" t="str">
        <f aca="false">'Player Data'!Z245</f>
        <v>2026-07-17</v>
      </c>
      <c r="AF245" s="28" t="str">
        <f aca="false">IFERROR(INDEX(Assumptions!$B$30:$B$61,MATCH(C245,Assumptions!$A$30:$A$61,0)),"--")</f>
        <v>Turkey, Saudi Arabia</v>
      </c>
      <c r="AG245" s="30" t="str">
        <f aca="false">IF(R245&gt;=0.7,"Step-Up Candidate",IF(R245&gt;=0.4,"Lateral Move","Stay &amp; Develop"))</f>
        <v>Step-Up Candidate</v>
      </c>
    </row>
    <row r="246" customFormat="false" ht="23.85" hidden="false" customHeight="false" outlineLevel="0" collapsed="false">
      <c r="A246" s="21" t="str">
        <f aca="false">'Player Data'!A246</f>
        <v>Yaw Owusu</v>
      </c>
      <c r="B246" s="21" t="str">
        <f aca="false">'Player Data'!F246</f>
        <v>FW</v>
      </c>
      <c r="C246" s="21" t="str">
        <f aca="false">'Player Data'!B246</f>
        <v>Ghana</v>
      </c>
      <c r="D246" s="21" t="str">
        <f aca="false">'Player Data'!C246</f>
        <v>Ghana Provincial League</v>
      </c>
      <c r="E246" s="21" t="n">
        <f aca="false">'Player Data'!D246</f>
        <v>3</v>
      </c>
      <c r="F246" s="21" t="n">
        <f aca="false">'Player Data'!G246</f>
        <v>26</v>
      </c>
      <c r="G246" s="21" t="n">
        <f aca="false">'Player Data'!H246</f>
        <v>1965</v>
      </c>
      <c r="H246" s="22" t="n">
        <f aca="false">IF(B246="GK",IFERROR(('Player Data'!N246-1.5*'Player Data'!O246)/'Player Data'!H246*90,0),IFERROR(('Player Data'!I246+'Player Data'!J246)/'Player Data'!H246*90,0))</f>
        <v>1.19083969465649</v>
      </c>
      <c r="I246" s="22" t="n">
        <f aca="false">IF(B246="GK",'Player Data'!P246,IFERROR(('Player Data'!K246+'Player Data'!L246)/'Player Data'!H246*90,0))</f>
        <v>4.35114503816794</v>
      </c>
      <c r="J246" s="22" t="n">
        <f aca="false">IF(B246="GK",IFERROR('Player Data'!Q246/'Player Data'!H246*90,0),IFERROR('Player Data'!M246/'Player Data'!H246*90,0))</f>
        <v>0.366412213740458</v>
      </c>
      <c r="K246" s="23" t="n">
        <f aca="false">'Player Data'!S246</f>
        <v>141425</v>
      </c>
      <c r="L246" s="22" t="n">
        <f aca="false">INDEX(Assumptions!$B$13:$B$15,MATCH(E246,Assumptions!$A$13:$A$15,0))</f>
        <v>0.85</v>
      </c>
      <c r="M246" s="24" t="n">
        <f aca="false">IFERROR(SUMPRODUCT(($B$2:$B$1001=B246)*($H$2:$H$1001&lt;=H246))/SUMPRODUCT(($B$2:$B$1001=B246)*1),0)</f>
        <v>0.694690265486726</v>
      </c>
      <c r="N246" s="24" t="n">
        <f aca="false">IFERROR(SUMPRODUCT(($B$2:$B$1001=B246)*($I$2:$I$1001&lt;=I246))/SUMPRODUCT(($B$2:$B$1001=B246)*1),0)</f>
        <v>0.106194690265487</v>
      </c>
      <c r="O246" s="24" t="n">
        <f aca="false">IFERROR(SUMPRODUCT(($B$2:$B$1001=B246)*($J$2:$J$1001&lt;=J246))/SUMPRODUCT(($B$2:$B$1001=B246)*1),0)</f>
        <v>0.283185840707965</v>
      </c>
      <c r="P246" s="24" t="n">
        <f aca="false">IFERROR(SUMPRODUCT(($B$2:$B$1001=B246)*((0-$F$2:$F$1001)&lt;=(0-F246)))/SUMPRODUCT(($B$2:$B$1001=B246)*1),0)</f>
        <v>0.0929203539823009</v>
      </c>
      <c r="Q246" s="25" t="n">
        <f aca="false">(M246*Assumptions!$B$5+N246*Assumptions!$B$6+O246*Assumptions!$B$7+P246*Assumptions!$B$8)*L246</f>
        <v>0.243152654867257</v>
      </c>
      <c r="R246" s="24" t="n">
        <f aca="false">IFERROR(SUMPRODUCT(($B$2:$B$1001=B246)*($Q$2:$Q$1001&lt;=Q246))/SUMPRODUCT(($B$2:$B$1001=B246)*1),0)</f>
        <v>0.172566371681416</v>
      </c>
      <c r="S246" s="24" t="n">
        <f aca="false">IFERROR(SUMPRODUCT(($B$2:$B$1001=B246)*($K$2:$K$1001&lt;=K246))/SUMPRODUCT(($B$2:$B$1001=B246)*1),0)</f>
        <v>0.951327433628319</v>
      </c>
      <c r="T246" s="26" t="n">
        <f aca="false">(R246-S246)*100</f>
        <v>-77.8761061946903</v>
      </c>
      <c r="U246" s="21" t="str">
        <f aca="false">'Player Data'!T246</f>
        <v>Unknown</v>
      </c>
      <c r="V246" s="27" t="n">
        <f aca="false">'Player Data'!U246</f>
        <v>2026</v>
      </c>
      <c r="W246" s="21" t="str">
        <f aca="false">IF(AND(T246&gt;=Assumptions!$B$19,U246="No"),"High Priority - Unrepresented",IF(T246&gt;=Assumptions!$B$19,"High Priority",IF(AND(T246&gt;=Assumptions!$B$20,U246="No"),"Watchlist - Unrepresented",IF(T246&gt;=Assumptions!$B$20,"Watchlist",""))))</f>
        <v/>
      </c>
      <c r="X246" s="21" t="str">
        <f aca="false">'Player Data'!V246</f>
        <v>info@accraathletic.gh</v>
      </c>
      <c r="Y246" s="28" t="str">
        <f aca="false">'Player Data'!W246</f>
        <v>Club sporting director / first-team office</v>
      </c>
      <c r="Z246" s="28" t="str">
        <f aca="false">'Player Data'!X246</f>
        <v>GFA (Ghana Football Association) player registry</v>
      </c>
      <c r="AA246" s="19" t="str">
        <f aca="false">HYPERLINK("https://www.transfermarkt.com/schnellsuche/ergebnis/schnellsuche?query="&amp;SUBSTITUTE(A246," ","+"),"Search Transfermarkt")</f>
        <v>Search Transfermarkt</v>
      </c>
      <c r="AB246" s="29" t="n">
        <f aca="false">IFERROR('Player Data'!K246/('Player Data'!K246+'Player Data'!L246),0)</f>
        <v>0.294736842105263</v>
      </c>
      <c r="AC246" s="21" t="str">
        <f aca="false">IF(B246="GK",IF(AND(O246&gt;=Assumptions!$B$23,N246&gt;=Assumptions!$B$23),"Sweeper-Keeper / Build-from-the-Back",IF(O246&gt;=Assumptions!$B$23,"Sweeper-Keeper / High Line",IF(M246&gt;=Assumptions!$B$23,"Shot-Stopper / Traditional","Flexible / Multi-System"))),IF(AND(O246&gt;=Assumptions!$B$23,P246&gt;=Assumptions!$B$24),"High Press / Gegenpressing",IF(AND(N246&gt;=Assumptions!$B$23,AB246&gt;=Assumptions!$B$25),"Possession / Build-from-the-Back",IF(N246&gt;=Assumptions!$B$23,"Counter-Attack / Transition",IF(AND(O246&gt;=Assumptions!$B$23,N246&lt;Assumptions!$B$26),"Low Block / Park the Bus",IF(AND(B246="FW",M246&gt;=Assumptions!$B$23,N246&lt;Assumptions!$B$26),"Direct / Target Approach","Flexible / Multi-System"))))))</f>
        <v>Direct / Target Approach</v>
      </c>
      <c r="AD246" s="21" t="str">
        <f aca="false">'Player Data'!Y246</f>
        <v>2026-07-17</v>
      </c>
      <c r="AE246" s="21" t="str">
        <f aca="false">'Player Data'!Z246</f>
        <v>2026-07-17</v>
      </c>
      <c r="AF246" s="28" t="str">
        <f aca="false">IFERROR(INDEX(Assumptions!$B$30:$B$61,MATCH(C246,Assumptions!$A$30:$A$61,0)),"--")</f>
        <v>Belgium, Portugal</v>
      </c>
      <c r="AG246" s="30" t="str">
        <f aca="false">IF(R246&gt;=0.7,"Step-Up Candidate",IF(R246&gt;=0.4,"Lateral Move","Stay &amp; Develop"))</f>
        <v>Stay &amp; Develop</v>
      </c>
    </row>
    <row r="247" customFormat="false" ht="23.85" hidden="false" customHeight="false" outlineLevel="0" collapsed="false">
      <c r="A247" s="21" t="str">
        <f aca="false">'Player Data'!A247</f>
        <v>Oumar Camara</v>
      </c>
      <c r="B247" s="21" t="str">
        <f aca="false">'Player Data'!F247</f>
        <v>MF</v>
      </c>
      <c r="C247" s="21" t="str">
        <f aca="false">'Player Data'!B247</f>
        <v>Mali</v>
      </c>
      <c r="D247" s="21" t="str">
        <f aca="false">'Player Data'!C247</f>
        <v>Mali Second Division - East</v>
      </c>
      <c r="E247" s="21" t="n">
        <f aca="false">'Player Data'!D247</f>
        <v>3</v>
      </c>
      <c r="F247" s="21" t="n">
        <f aca="false">'Player Data'!G247</f>
        <v>24</v>
      </c>
      <c r="G247" s="21" t="n">
        <f aca="false">'Player Data'!H247</f>
        <v>2549</v>
      </c>
      <c r="H247" s="22" t="n">
        <f aca="false">IF(B247="GK",IFERROR(('Player Data'!N247-1.5*'Player Data'!O247)/'Player Data'!H247*90,0),IFERROR(('Player Data'!I247+'Player Data'!J247)/'Player Data'!H247*90,0))</f>
        <v>0.706159278148293</v>
      </c>
      <c r="I247" s="22" t="n">
        <f aca="false">IF(B247="GK",'Player Data'!P247,IFERROR(('Player Data'!K247+'Player Data'!L247)/'Player Data'!H247*90,0))</f>
        <v>8.19144762652021</v>
      </c>
      <c r="J247" s="22" t="n">
        <f aca="false">IF(B247="GK",IFERROR('Player Data'!Q247/'Player Data'!H247*90,0),IFERROR('Player Data'!M247/'Player Data'!H247*90,0))</f>
        <v>1.27108670066693</v>
      </c>
      <c r="K247" s="23" t="n">
        <f aca="false">'Player Data'!S247</f>
        <v>9429</v>
      </c>
      <c r="L247" s="22" t="n">
        <f aca="false">INDEX(Assumptions!$B$13:$B$15,MATCH(E247,Assumptions!$A$13:$A$15,0))</f>
        <v>0.85</v>
      </c>
      <c r="M247" s="24" t="n">
        <f aca="false">IFERROR(SUMPRODUCT(($B$2:$B$1001=B247)*($H$2:$H$1001&lt;=H247))/SUMPRODUCT(($B$2:$B$1001=B247)*1),0)</f>
        <v>0.471380471380471</v>
      </c>
      <c r="N247" s="24" t="n">
        <f aca="false">IFERROR(SUMPRODUCT(($B$2:$B$1001=B247)*($I$2:$I$1001&lt;=I247))/SUMPRODUCT(($B$2:$B$1001=B247)*1),0)</f>
        <v>0.181818181818182</v>
      </c>
      <c r="O247" s="24" t="n">
        <f aca="false">IFERROR(SUMPRODUCT(($B$2:$B$1001=B247)*($J$2:$J$1001&lt;=J247))/SUMPRODUCT(($B$2:$B$1001=B247)*1),0)</f>
        <v>0.0841750841750842</v>
      </c>
      <c r="P247" s="24" t="n">
        <f aca="false">IFERROR(SUMPRODUCT(($B$2:$B$1001=B247)*((0-$F$2:$F$1001)&lt;=(0-F247)))/SUMPRODUCT(($B$2:$B$1001=B247)*1),0)</f>
        <v>0.326599326599327</v>
      </c>
      <c r="Q247" s="25" t="n">
        <f aca="false">(M247*Assumptions!$B$5+N247*Assumptions!$B$6+O247*Assumptions!$B$7+P247*Assumptions!$B$8)*L247</f>
        <v>0.224090909090909</v>
      </c>
      <c r="R247" s="24" t="n">
        <f aca="false">IFERROR(SUMPRODUCT(($B$2:$B$1001=B247)*($Q$2:$Q$1001&lt;=Q247))/SUMPRODUCT(($B$2:$B$1001=B247)*1),0)</f>
        <v>0.124579124579125</v>
      </c>
      <c r="S247" s="24" t="n">
        <f aca="false">IFERROR(SUMPRODUCT(($B$2:$B$1001=B247)*($K$2:$K$1001&lt;=K247))/SUMPRODUCT(($B$2:$B$1001=B247)*1),0)</f>
        <v>0.235690235690236</v>
      </c>
      <c r="T247" s="26" t="n">
        <f aca="false">(R247-S247)*100</f>
        <v>-11.1111111111111</v>
      </c>
      <c r="U247" s="21" t="str">
        <f aca="false">'Player Data'!T247</f>
        <v>No</v>
      </c>
      <c r="V247" s="27" t="n">
        <f aca="false">'Player Data'!U247</f>
        <v>2026</v>
      </c>
      <c r="W247" s="21" t="str">
        <f aca="false">IF(AND(T247&gt;=Assumptions!$B$19,U247="No"),"High Priority - Unrepresented",IF(T247&gt;=Assumptions!$B$19,"High Priority",IF(AND(T247&gt;=Assumptions!$B$20,U247="No"),"Watchlist - Unrepresented",IF(T247&gt;=Assumptions!$B$20,"Watchlist",""))))</f>
        <v/>
      </c>
      <c r="X247" s="21" t="str">
        <f aca="false">'Player Data'!V247</f>
        <v>info@kayesrovers.ml</v>
      </c>
      <c r="Y247" s="28" t="str">
        <f aca="false">'Player Data'!W247</f>
        <v>Club sporting director / first-team office</v>
      </c>
      <c r="Z247" s="28" t="str">
        <f aca="false">'Player Data'!X247</f>
        <v>FEMAFOOT (Malian Football Federation) player registry</v>
      </c>
      <c r="AA247" s="19" t="str">
        <f aca="false">HYPERLINK("https://www.transfermarkt.com/schnellsuche/ergebnis/schnellsuche?query="&amp;SUBSTITUTE(A247," ","+"),"Search Transfermarkt")</f>
        <v>Search Transfermarkt</v>
      </c>
      <c r="AB247" s="29" t="n">
        <f aca="false">IFERROR('Player Data'!K247/('Player Data'!K247+'Player Data'!L247),0)</f>
        <v>0.737068965517241</v>
      </c>
      <c r="AC247" s="21" t="str">
        <f aca="false">IF(B247="GK",IF(AND(O247&gt;=Assumptions!$B$23,N247&gt;=Assumptions!$B$23),"Sweeper-Keeper / Build-from-the-Back",IF(O247&gt;=Assumptions!$B$23,"Sweeper-Keeper / High Line",IF(M247&gt;=Assumptions!$B$23,"Shot-Stopper / Traditional","Flexible / Multi-System"))),IF(AND(O247&gt;=Assumptions!$B$23,P247&gt;=Assumptions!$B$24),"High Press / Gegenpressing",IF(AND(N247&gt;=Assumptions!$B$23,AB247&gt;=Assumptions!$B$25),"Possession / Build-from-the-Back",IF(N247&gt;=Assumptions!$B$23,"Counter-Attack / Transition",IF(AND(O247&gt;=Assumptions!$B$23,N247&lt;Assumptions!$B$26),"Low Block / Park the Bus",IF(AND(B247="FW",M247&gt;=Assumptions!$B$23,N247&lt;Assumptions!$B$26),"Direct / Target Approach","Flexible / Multi-System"))))))</f>
        <v>Flexible / Multi-System</v>
      </c>
      <c r="AD247" s="21" t="str">
        <f aca="false">'Player Data'!Y247</f>
        <v>2026-07-17</v>
      </c>
      <c r="AE247" s="21" t="str">
        <f aca="false">'Player Data'!Z247</f>
        <v>2026-07-17</v>
      </c>
      <c r="AF247" s="28" t="str">
        <f aca="false">IFERROR(INDEX(Assumptions!$B$30:$B$61,MATCH(C247,Assumptions!$A$30:$A$61,0)),"--")</f>
        <v>Belgium, Portugal</v>
      </c>
      <c r="AG247" s="30" t="str">
        <f aca="false">IF(R247&gt;=0.7,"Step-Up Candidate",IF(R247&gt;=0.4,"Lateral Move","Stay &amp; Develop"))</f>
        <v>Stay &amp; Develop</v>
      </c>
    </row>
    <row r="248" customFormat="false" ht="23.85" hidden="false" customHeight="false" outlineLevel="0" collapsed="false">
      <c r="A248" s="21" t="str">
        <f aca="false">'Player Data'!A248</f>
        <v>Santiago Flores</v>
      </c>
      <c r="B248" s="21" t="str">
        <f aca="false">'Player Data'!F248</f>
        <v>DF</v>
      </c>
      <c r="C248" s="21" t="str">
        <f aca="false">'Player Data'!B248</f>
        <v>Bolivia</v>
      </c>
      <c r="D248" s="21" t="str">
        <f aca="false">'Player Data'!C248</f>
        <v>Bolivia Amateur League</v>
      </c>
      <c r="E248" s="21" t="n">
        <f aca="false">'Player Data'!D248</f>
        <v>2</v>
      </c>
      <c r="F248" s="21" t="n">
        <f aca="false">'Player Data'!G248</f>
        <v>26</v>
      </c>
      <c r="G248" s="21" t="n">
        <f aca="false">'Player Data'!H248</f>
        <v>2292</v>
      </c>
      <c r="H248" s="22" t="n">
        <f aca="false">IF(B248="GK",IFERROR(('Player Data'!N248-1.5*'Player Data'!O248)/'Player Data'!H248*90,0),IFERROR(('Player Data'!I248+'Player Data'!J248)/'Player Data'!H248*90,0))</f>
        <v>0.196335078534031</v>
      </c>
      <c r="I248" s="22" t="n">
        <f aca="false">IF(B248="GK",'Player Data'!P248,IFERROR(('Player Data'!K248+'Player Data'!L248)/'Player Data'!H248*90,0))</f>
        <v>4.00523560209424</v>
      </c>
      <c r="J248" s="22" t="n">
        <f aca="false">IF(B248="GK",IFERROR('Player Data'!Q248/'Player Data'!H248*90,0),IFERROR('Player Data'!M248/'Player Data'!H248*90,0))</f>
        <v>4.20157068062827</v>
      </c>
      <c r="K248" s="23" t="n">
        <f aca="false">'Player Data'!S248</f>
        <v>29738</v>
      </c>
      <c r="L248" s="22" t="n">
        <f aca="false">INDEX(Assumptions!$B$13:$B$15,MATCH(E248,Assumptions!$A$13:$A$15,0))</f>
        <v>1</v>
      </c>
      <c r="M248" s="24" t="n">
        <f aca="false">IFERROR(SUMPRODUCT(($B$2:$B$1001=B248)*($H$2:$H$1001&lt;=H248))/SUMPRODUCT(($B$2:$B$1001=B248)*1),0)</f>
        <v>0.517006802721089</v>
      </c>
      <c r="N248" s="24" t="n">
        <f aca="false">IFERROR(SUMPRODUCT(($B$2:$B$1001=B248)*($I$2:$I$1001&lt;=I248))/SUMPRODUCT(($B$2:$B$1001=B248)*1),0)</f>
        <v>0.401360544217687</v>
      </c>
      <c r="O248" s="24" t="n">
        <f aca="false">IFERROR(SUMPRODUCT(($B$2:$B$1001=B248)*($J$2:$J$1001&lt;=J248))/SUMPRODUCT(($B$2:$B$1001=B248)*1),0)</f>
        <v>0.292517006802721</v>
      </c>
      <c r="P248" s="24" t="n">
        <f aca="false">IFERROR(SUMPRODUCT(($B$2:$B$1001=B248)*((0-$F$2:$F$1001)&lt;=(0-F248)))/SUMPRODUCT(($B$2:$B$1001=B248)*1),0)</f>
        <v>0.0748299319727891</v>
      </c>
      <c r="Q248" s="25" t="n">
        <f aca="false">(M248*Assumptions!$B$5+N248*Assumptions!$B$6+O248*Assumptions!$B$7+P248*Assumptions!$B$8)*L248</f>
        <v>0.343197278911565</v>
      </c>
      <c r="R248" s="24" t="n">
        <f aca="false">IFERROR(SUMPRODUCT(($B$2:$B$1001=B248)*($Q$2:$Q$1001&lt;=Q248))/SUMPRODUCT(($B$2:$B$1001=B248)*1),0)</f>
        <v>0.340136054421769</v>
      </c>
      <c r="S248" s="24" t="n">
        <f aca="false">IFERROR(SUMPRODUCT(($B$2:$B$1001=B248)*($K$2:$K$1001&lt;=K248))/SUMPRODUCT(($B$2:$B$1001=B248)*1),0)</f>
        <v>0.363945578231293</v>
      </c>
      <c r="T248" s="26" t="n">
        <f aca="false">(R248-S248)*100</f>
        <v>-2.38095238095238</v>
      </c>
      <c r="U248" s="21" t="str">
        <f aca="false">'Player Data'!T248</f>
        <v>Unknown</v>
      </c>
      <c r="V248" s="27" t="n">
        <f aca="false">'Player Data'!U248</f>
        <v>2026</v>
      </c>
      <c r="W248" s="21" t="str">
        <f aca="false">IF(AND(T248&gt;=Assumptions!$B$19,U248="No"),"High Priority - Unrepresented",IF(T248&gt;=Assumptions!$B$19,"High Priority",IF(AND(T248&gt;=Assumptions!$B$20,U248="No"),"Watchlist - Unrepresented",IF(T248&gt;=Assumptions!$B$20,"Watchlist",""))))</f>
        <v/>
      </c>
      <c r="X248" s="21" t="str">
        <f aca="false">'Player Data'!V248</f>
        <v>info@sucrerangers.bo</v>
      </c>
      <c r="Y248" s="28" t="str">
        <f aca="false">'Player Data'!W248</f>
        <v>Club sporting director / first-team office</v>
      </c>
      <c r="Z248" s="28" t="str">
        <f aca="false">'Player Data'!X248</f>
        <v>FBF (Bolivian Football Federation) player registry</v>
      </c>
      <c r="AA248" s="19" t="str">
        <f aca="false">HYPERLINK("https://www.transfermarkt.com/schnellsuche/ergebnis/schnellsuche?query="&amp;SUBSTITUTE(A248," ","+"),"Search Transfermarkt")</f>
        <v>Search Transfermarkt</v>
      </c>
      <c r="AB248" s="29" t="n">
        <f aca="false">IFERROR('Player Data'!K248/('Player Data'!K248+'Player Data'!L248),0)</f>
        <v>0.656862745098039</v>
      </c>
      <c r="AC248" s="21" t="str">
        <f aca="false">IF(B248="GK",IF(AND(O248&gt;=Assumptions!$B$23,N248&gt;=Assumptions!$B$23),"Sweeper-Keeper / Build-from-the-Back",IF(O248&gt;=Assumptions!$B$23,"Sweeper-Keeper / High Line",IF(M248&gt;=Assumptions!$B$23,"Shot-Stopper / Traditional","Flexible / Multi-System"))),IF(AND(O248&gt;=Assumptions!$B$23,P248&gt;=Assumptions!$B$24),"High Press / Gegenpressing",IF(AND(N248&gt;=Assumptions!$B$23,AB248&gt;=Assumptions!$B$25),"Possession / Build-from-the-Back",IF(N248&gt;=Assumptions!$B$23,"Counter-Attack / Transition",IF(AND(O248&gt;=Assumptions!$B$23,N248&lt;Assumptions!$B$26),"Low Block / Park the Bus",IF(AND(B248="FW",M248&gt;=Assumptions!$B$23,N248&lt;Assumptions!$B$26),"Direct / Target Approach","Flexible / Multi-System"))))))</f>
        <v>Flexible / Multi-System</v>
      </c>
      <c r="AD248" s="21" t="str">
        <f aca="false">'Player Data'!Y248</f>
        <v>2026-07-17</v>
      </c>
      <c r="AE248" s="21" t="str">
        <f aca="false">'Player Data'!Z248</f>
        <v>2026-07-17</v>
      </c>
      <c r="AF248" s="28" t="str">
        <f aca="false">IFERROR(INDEX(Assumptions!$B$30:$B$61,MATCH(C248,Assumptions!$A$30:$A$61,0)),"--")</f>
        <v>Argentina, Portugal</v>
      </c>
      <c r="AG248" s="30" t="str">
        <f aca="false">IF(R248&gt;=0.7,"Step-Up Candidate",IF(R248&gt;=0.4,"Lateral Move","Stay &amp; Develop"))</f>
        <v>Stay &amp; Develop</v>
      </c>
    </row>
    <row r="249" customFormat="false" ht="23.85" hidden="false" customHeight="false" outlineLevel="0" collapsed="false">
      <c r="A249" s="21" t="str">
        <f aca="false">'Player Data'!A249</f>
        <v>Ivan Ramirez</v>
      </c>
      <c r="B249" s="21" t="str">
        <f aca="false">'Player Data'!F249</f>
        <v>DF</v>
      </c>
      <c r="C249" s="21" t="str">
        <f aca="false">'Player Data'!B249</f>
        <v>Paraguay</v>
      </c>
      <c r="D249" s="21" t="str">
        <f aca="false">'Player Data'!C249</f>
        <v>Paraguay Amateur League</v>
      </c>
      <c r="E249" s="21" t="n">
        <f aca="false">'Player Data'!D249</f>
        <v>4</v>
      </c>
      <c r="F249" s="21" t="n">
        <f aca="false">'Player Data'!G249</f>
        <v>21</v>
      </c>
      <c r="G249" s="21" t="n">
        <f aca="false">'Player Data'!H249</f>
        <v>2211</v>
      </c>
      <c r="H249" s="22" t="n">
        <f aca="false">IF(B249="GK",IFERROR(('Player Data'!N249-1.5*'Player Data'!O249)/'Player Data'!H249*90,0),IFERROR(('Player Data'!I249+'Player Data'!J249)/'Player Data'!H249*90,0))</f>
        <v>0.28493894165536</v>
      </c>
      <c r="I249" s="22" t="n">
        <f aca="false">IF(B249="GK",'Player Data'!P249,IFERROR(('Player Data'!K249+'Player Data'!L249)/'Player Data'!H249*90,0))</f>
        <v>3.54138398914518</v>
      </c>
      <c r="J249" s="22" t="n">
        <f aca="false">IF(B249="GK",IFERROR('Player Data'!Q249/'Player Data'!H249*90,0),IFERROR('Player Data'!M249/'Player Data'!H249*90,0))</f>
        <v>3.50067842605156</v>
      </c>
      <c r="K249" s="23" t="n">
        <f aca="false">'Player Data'!S249</f>
        <v>0</v>
      </c>
      <c r="L249" s="22" t="n">
        <f aca="false">INDEX(Assumptions!$B$13:$B$15,MATCH(E249,Assumptions!$A$13:$A$15,0))</f>
        <v>0.7</v>
      </c>
      <c r="M249" s="24" t="n">
        <f aca="false">IFERROR(SUMPRODUCT(($B$2:$B$1001=B249)*($H$2:$H$1001&lt;=H249))/SUMPRODUCT(($B$2:$B$1001=B249)*1),0)</f>
        <v>0.741496598639456</v>
      </c>
      <c r="N249" s="24" t="n">
        <f aca="false">IFERROR(SUMPRODUCT(($B$2:$B$1001=B249)*($I$2:$I$1001&lt;=I249))/SUMPRODUCT(($B$2:$B$1001=B249)*1),0)</f>
        <v>0.248299319727891</v>
      </c>
      <c r="O249" s="24" t="n">
        <f aca="false">IFERROR(SUMPRODUCT(($B$2:$B$1001=B249)*($J$2:$J$1001&lt;=J249))/SUMPRODUCT(($B$2:$B$1001=B249)*1),0)</f>
        <v>0.0952380952380952</v>
      </c>
      <c r="P249" s="24" t="n">
        <f aca="false">IFERROR(SUMPRODUCT(($B$2:$B$1001=B249)*((0-$F$2:$F$1001)&lt;=(0-F249)))/SUMPRODUCT(($B$2:$B$1001=B249)*1),0)</f>
        <v>0.568027210884354</v>
      </c>
      <c r="Q249" s="25" t="n">
        <f aca="false">(M249*Assumptions!$B$5+N249*Assumptions!$B$6+O249*Assumptions!$B$7+P249*Assumptions!$B$8)*L249</f>
        <v>0.283452380952381</v>
      </c>
      <c r="R249" s="24" t="n">
        <f aca="false">IFERROR(SUMPRODUCT(($B$2:$B$1001=B249)*($Q$2:$Q$1001&lt;=Q249))/SUMPRODUCT(($B$2:$B$1001=B249)*1),0)</f>
        <v>0.224489795918367</v>
      </c>
      <c r="S249" s="24" t="n">
        <f aca="false">IFERROR(SUMPRODUCT(($B$2:$B$1001=B249)*($K$2:$K$1001&lt;=K249))/SUMPRODUCT(($B$2:$B$1001=B249)*1),0)</f>
        <v>0.248299319727891</v>
      </c>
      <c r="T249" s="26" t="n">
        <f aca="false">(R249-S249)*100</f>
        <v>-2.38095238095238</v>
      </c>
      <c r="U249" s="21" t="str">
        <f aca="false">'Player Data'!T249</f>
        <v>Unknown</v>
      </c>
      <c r="V249" s="27" t="n">
        <f aca="false">'Player Data'!U249</f>
        <v>2029</v>
      </c>
      <c r="W249" s="21" t="str">
        <f aca="false">IF(AND(T249&gt;=Assumptions!$B$19,U249="No"),"High Priority - Unrepresented",IF(T249&gt;=Assumptions!$B$19,"High Priority",IF(AND(T249&gt;=Assumptions!$B$20,U249="No"),"Watchlist - Unrepresented",IF(T249&gt;=Assumptions!$B$20,"Watchlist",""))))</f>
        <v/>
      </c>
      <c r="X249" s="21" t="str">
        <f aca="false">'Player Data'!V249</f>
        <v>info@encarnacioncity.py</v>
      </c>
      <c r="Y249" s="28" t="str">
        <f aca="false">'Player Data'!W249</f>
        <v>Club sporting director / first-team office</v>
      </c>
      <c r="Z249" s="28" t="str">
        <f aca="false">'Player Data'!X249</f>
        <v>APF (Paraguayan Football Association) player registry</v>
      </c>
      <c r="AA249" s="19" t="str">
        <f aca="false">HYPERLINK("https://www.transfermarkt.com/schnellsuche/ergebnis/schnellsuche?query="&amp;SUBSTITUTE(A249," ","+"),"Search Transfermarkt")</f>
        <v>Search Transfermarkt</v>
      </c>
      <c r="AB249" s="29" t="n">
        <f aca="false">IFERROR('Player Data'!K249/('Player Data'!K249+'Player Data'!L249),0)</f>
        <v>0.724137931034483</v>
      </c>
      <c r="AC249" s="21" t="str">
        <f aca="false">IF(B249="GK",IF(AND(O249&gt;=Assumptions!$B$23,N249&gt;=Assumptions!$B$23),"Sweeper-Keeper / Build-from-the-Back",IF(O249&gt;=Assumptions!$B$23,"Sweeper-Keeper / High Line",IF(M249&gt;=Assumptions!$B$23,"Shot-Stopper / Traditional","Flexible / Multi-System"))),IF(AND(O249&gt;=Assumptions!$B$23,P249&gt;=Assumptions!$B$24),"High Press / Gegenpressing",IF(AND(N249&gt;=Assumptions!$B$23,AB249&gt;=Assumptions!$B$25),"Possession / Build-from-the-Back",IF(N249&gt;=Assumptions!$B$23,"Counter-Attack / Transition",IF(AND(O249&gt;=Assumptions!$B$23,N249&lt;Assumptions!$B$26),"Low Block / Park the Bus",IF(AND(B249="FW",M249&gt;=Assumptions!$B$23,N249&lt;Assumptions!$B$26),"Direct / Target Approach","Flexible / Multi-System"))))))</f>
        <v>Flexible / Multi-System</v>
      </c>
      <c r="AD249" s="21" t="str">
        <f aca="false">'Player Data'!Y249</f>
        <v>2026-07-17</v>
      </c>
      <c r="AE249" s="21" t="str">
        <f aca="false">'Player Data'!Z249</f>
        <v>2026-07-17</v>
      </c>
      <c r="AF249" s="28" t="str">
        <f aca="false">IFERROR(INDEX(Assumptions!$B$30:$B$61,MATCH(C249,Assumptions!$A$30:$A$61,0)),"--")</f>
        <v>Argentina, Portugal</v>
      </c>
      <c r="AG249" s="30" t="str">
        <f aca="false">IF(R249&gt;=0.7,"Step-Up Candidate",IF(R249&gt;=0.4,"Lateral Move","Stay &amp; Develop"))</f>
        <v>Stay &amp; Develop</v>
      </c>
    </row>
    <row r="250" customFormat="false" ht="23.85" hidden="false" customHeight="false" outlineLevel="0" collapsed="false">
      <c r="A250" s="21" t="str">
        <f aca="false">'Player Data'!A250</f>
        <v>Bruno Ferreira</v>
      </c>
      <c r="B250" s="21" t="str">
        <f aca="false">'Player Data'!F250</f>
        <v>FW</v>
      </c>
      <c r="C250" s="21" t="str">
        <f aca="false">'Player Data'!B250</f>
        <v>Uruguay</v>
      </c>
      <c r="D250" s="21" t="str">
        <f aca="false">'Player Data'!C250</f>
        <v>Uruguay Second Division - East</v>
      </c>
      <c r="E250" s="21" t="n">
        <f aca="false">'Player Data'!D250</f>
        <v>2</v>
      </c>
      <c r="F250" s="21" t="n">
        <f aca="false">'Player Data'!G250</f>
        <v>17</v>
      </c>
      <c r="G250" s="21" t="n">
        <f aca="false">'Player Data'!H250</f>
        <v>834</v>
      </c>
      <c r="H250" s="22" t="n">
        <f aca="false">IF(B250="GK",IFERROR(('Player Data'!N250-1.5*'Player Data'!O250)/'Player Data'!H250*90,0),IFERROR(('Player Data'!I250+'Player Data'!J250)/'Player Data'!H250*90,0))</f>
        <v>0.971223021582734</v>
      </c>
      <c r="I250" s="22" t="n">
        <f aca="false">IF(B250="GK",'Player Data'!P250,IFERROR(('Player Data'!K250+'Player Data'!L250)/'Player Data'!H250*90,0))</f>
        <v>14.2446043165468</v>
      </c>
      <c r="J250" s="22" t="n">
        <f aca="false">IF(B250="GK",IFERROR('Player Data'!Q250/'Player Data'!H250*90,0),IFERROR('Player Data'!M250/'Player Data'!H250*90,0))</f>
        <v>0.971223021582734</v>
      </c>
      <c r="K250" s="23" t="n">
        <f aca="false">'Player Data'!S250</f>
        <v>114210</v>
      </c>
      <c r="L250" s="22" t="n">
        <f aca="false">INDEX(Assumptions!$B$13:$B$15,MATCH(E250,Assumptions!$A$13:$A$15,0))</f>
        <v>1</v>
      </c>
      <c r="M250" s="24" t="n">
        <f aca="false">IFERROR(SUMPRODUCT(($B$2:$B$1001=B250)*($H$2:$H$1001&lt;=H250))/SUMPRODUCT(($B$2:$B$1001=B250)*1),0)</f>
        <v>0.486725663716814</v>
      </c>
      <c r="N250" s="24" t="n">
        <f aca="false">IFERROR(SUMPRODUCT(($B$2:$B$1001=B250)*($I$2:$I$1001&lt;=I250))/SUMPRODUCT(($B$2:$B$1001=B250)*1),0)</f>
        <v>0.964601769911504</v>
      </c>
      <c r="O250" s="24" t="n">
        <f aca="false">IFERROR(SUMPRODUCT(($B$2:$B$1001=B250)*($J$2:$J$1001&lt;=J250))/SUMPRODUCT(($B$2:$B$1001=B250)*1),0)</f>
        <v>0.884955752212389</v>
      </c>
      <c r="P250" s="24" t="n">
        <f aca="false">IFERROR(SUMPRODUCT(($B$2:$B$1001=B250)*((0-$F$2:$F$1001)&lt;=(0-F250)))/SUMPRODUCT(($B$2:$B$1001=B250)*1),0)</f>
        <v>1</v>
      </c>
      <c r="Q250" s="25" t="n">
        <f aca="false">(M250*Assumptions!$B$5+N250*Assumptions!$B$6+O250*Assumptions!$B$7+P250*Assumptions!$B$8)*L250</f>
        <v>0.836283185840708</v>
      </c>
      <c r="R250" s="24" t="n">
        <f aca="false">IFERROR(SUMPRODUCT(($B$2:$B$1001=B250)*($Q$2:$Q$1001&lt;=Q250))/SUMPRODUCT(($B$2:$B$1001=B250)*1),0)</f>
        <v>0.955752212389381</v>
      </c>
      <c r="S250" s="24" t="n">
        <f aca="false">IFERROR(SUMPRODUCT(($B$2:$B$1001=B250)*($K$2:$K$1001&lt;=K250))/SUMPRODUCT(($B$2:$B$1001=B250)*1),0)</f>
        <v>0.809734513274336</v>
      </c>
      <c r="T250" s="26" t="n">
        <f aca="false">(R250-S250)*100</f>
        <v>14.6017699115044</v>
      </c>
      <c r="U250" s="21" t="str">
        <f aca="false">'Player Data'!T250</f>
        <v>Yes</v>
      </c>
      <c r="V250" s="27" t="n">
        <f aca="false">'Player Data'!U250</f>
        <v>2027</v>
      </c>
      <c r="W250" s="21" t="str">
        <f aca="false">IF(AND(T250&gt;=Assumptions!$B$19,U250="No"),"High Priority - Unrepresented",IF(T250&gt;=Assumptions!$B$19,"High Priority",IF(AND(T250&gt;=Assumptions!$B$20,U250="No"),"Watchlist - Unrepresented",IF(T250&gt;=Assumptions!$B$20,"Watchlist",""))))</f>
        <v/>
      </c>
      <c r="X250" s="21" t="str">
        <f aca="false">'Player Data'!V250</f>
        <v>info@montevideofc.uy</v>
      </c>
      <c r="Y250" s="28" t="str">
        <f aca="false">'Player Data'!W250</f>
        <v>Club youth/academy office ONLY - player is a minor, do not contact directly</v>
      </c>
      <c r="Z250" s="28" t="str">
        <f aca="false">'Player Data'!X250</f>
        <v>AUF (Uruguayan Football Association) player registry</v>
      </c>
      <c r="AA250" s="19" t="str">
        <f aca="false">HYPERLINK("https://www.transfermarkt.com/schnellsuche/ergebnis/schnellsuche?query="&amp;SUBSTITUTE(A250," ","+"),"Search Transfermarkt")</f>
        <v>Search Transfermarkt</v>
      </c>
      <c r="AB250" s="29" t="n">
        <f aca="false">IFERROR('Player Data'!K250/('Player Data'!K250+'Player Data'!L250),0)</f>
        <v>0.462121212121212</v>
      </c>
      <c r="AC250" s="21" t="str">
        <f aca="false">IF(B250="GK",IF(AND(O250&gt;=Assumptions!$B$23,N250&gt;=Assumptions!$B$23),"Sweeper-Keeper / Build-from-the-Back",IF(O250&gt;=Assumptions!$B$23,"Sweeper-Keeper / High Line",IF(M250&gt;=Assumptions!$B$23,"Shot-Stopper / Traditional","Flexible / Multi-System"))),IF(AND(O250&gt;=Assumptions!$B$23,P250&gt;=Assumptions!$B$24),"High Press / Gegenpressing",IF(AND(N250&gt;=Assumptions!$B$23,AB250&gt;=Assumptions!$B$25),"Possession / Build-from-the-Back",IF(N250&gt;=Assumptions!$B$23,"Counter-Attack / Transition",IF(AND(O250&gt;=Assumptions!$B$23,N250&lt;Assumptions!$B$26),"Low Block / Park the Bus",IF(AND(B250="FW",M250&gt;=Assumptions!$B$23,N250&lt;Assumptions!$B$26),"Direct / Target Approach","Flexible / Multi-System"))))))</f>
        <v>High Press / Gegenpressing</v>
      </c>
      <c r="AD250" s="21" t="str">
        <f aca="false">'Player Data'!Y250</f>
        <v>2026-07-17</v>
      </c>
      <c r="AE250" s="21" t="str">
        <f aca="false">'Player Data'!Z250</f>
        <v>2026-07-17</v>
      </c>
      <c r="AF250" s="28" t="str">
        <f aca="false">IFERROR(INDEX(Assumptions!$B$30:$B$61,MATCH(C250,Assumptions!$A$30:$A$61,0)),"--")</f>
        <v>Argentina, Portugal</v>
      </c>
      <c r="AG250" s="30" t="str">
        <f aca="false">IF(R250&gt;=0.7,"Step-Up Candidate",IF(R250&gt;=0.4,"Lateral Move","Stay &amp; Develop"))</f>
        <v>Step-Up Candidate</v>
      </c>
    </row>
    <row r="251" customFormat="false" ht="23.85" hidden="false" customHeight="false" outlineLevel="0" collapsed="false">
      <c r="A251" s="21" t="str">
        <f aca="false">'Player Data'!A251</f>
        <v>Domagoj Matic</v>
      </c>
      <c r="B251" s="21" t="str">
        <f aca="false">'Player Data'!F251</f>
        <v>MF</v>
      </c>
      <c r="C251" s="21" t="str">
        <f aca="false">'Player Data'!B251</f>
        <v>Croatia</v>
      </c>
      <c r="D251" s="21" t="str">
        <f aca="false">'Player Data'!C251</f>
        <v>Croatia Third Tier - North</v>
      </c>
      <c r="E251" s="21" t="n">
        <f aca="false">'Player Data'!D251</f>
        <v>3</v>
      </c>
      <c r="F251" s="21" t="n">
        <f aca="false">'Player Data'!G251</f>
        <v>23</v>
      </c>
      <c r="G251" s="21" t="n">
        <f aca="false">'Player Data'!H251</f>
        <v>1863</v>
      </c>
      <c r="H251" s="22" t="n">
        <f aca="false">IF(B251="GK",IFERROR(('Player Data'!N251-1.5*'Player Data'!O251)/'Player Data'!H251*90,0),IFERROR(('Player Data'!I251+'Player Data'!J251)/'Player Data'!H251*90,0))</f>
        <v>1.15942028985507</v>
      </c>
      <c r="I251" s="22" t="n">
        <f aca="false">IF(B251="GK",'Player Data'!P251,IFERROR(('Player Data'!K251+'Player Data'!L251)/'Player Data'!H251*90,0))</f>
        <v>11.4009661835749</v>
      </c>
      <c r="J251" s="22" t="n">
        <f aca="false">IF(B251="GK",IFERROR('Player Data'!Q251/'Player Data'!H251*90,0),IFERROR('Player Data'!M251/'Player Data'!H251*90,0))</f>
        <v>2.60869565217391</v>
      </c>
      <c r="K251" s="23" t="n">
        <f aca="false">'Player Data'!S251</f>
        <v>58013</v>
      </c>
      <c r="L251" s="22" t="n">
        <f aca="false">INDEX(Assumptions!$B$13:$B$15,MATCH(E251,Assumptions!$A$13:$A$15,0))</f>
        <v>0.85</v>
      </c>
      <c r="M251" s="24" t="n">
        <f aca="false">IFERROR(SUMPRODUCT(($B$2:$B$1001=B251)*($H$2:$H$1001&lt;=H251))/SUMPRODUCT(($B$2:$B$1001=B251)*1),0)</f>
        <v>0.838383838383838</v>
      </c>
      <c r="N251" s="24" t="n">
        <f aca="false">IFERROR(SUMPRODUCT(($B$2:$B$1001=B251)*($I$2:$I$1001&lt;=I251))/SUMPRODUCT(($B$2:$B$1001=B251)*1),0)</f>
        <v>0.535353535353535</v>
      </c>
      <c r="O251" s="24" t="n">
        <f aca="false">IFERROR(SUMPRODUCT(($B$2:$B$1001=B251)*($J$2:$J$1001&lt;=J251))/SUMPRODUCT(($B$2:$B$1001=B251)*1),0)</f>
        <v>0.673400673400673</v>
      </c>
      <c r="P251" s="24" t="n">
        <f aca="false">IFERROR(SUMPRODUCT(($B$2:$B$1001=B251)*((0-$F$2:$F$1001)&lt;=(0-F251)))/SUMPRODUCT(($B$2:$B$1001=B251)*1),0)</f>
        <v>0.390572390572391</v>
      </c>
      <c r="Q251" s="25" t="n">
        <f aca="false">(M251*Assumptions!$B$5+N251*Assumptions!$B$6+O251*Assumptions!$B$7+P251*Assumptions!$B$8)*L251</f>
        <v>0.518299663299663</v>
      </c>
      <c r="R251" s="24" t="n">
        <f aca="false">IFERROR(SUMPRODUCT(($B$2:$B$1001=B251)*($Q$2:$Q$1001&lt;=Q251))/SUMPRODUCT(($B$2:$B$1001=B251)*1),0)</f>
        <v>0.653198653198653</v>
      </c>
      <c r="S251" s="24" t="n">
        <f aca="false">IFERROR(SUMPRODUCT(($B$2:$B$1001=B251)*($K$2:$K$1001&lt;=K251))/SUMPRODUCT(($B$2:$B$1001=B251)*1),0)</f>
        <v>0.488215488215488</v>
      </c>
      <c r="T251" s="26" t="n">
        <f aca="false">(R251-S251)*100</f>
        <v>16.4983164983165</v>
      </c>
      <c r="U251" s="21" t="str">
        <f aca="false">'Player Data'!T251</f>
        <v>No</v>
      </c>
      <c r="V251" s="27" t="n">
        <f aca="false">'Player Data'!U251</f>
        <v>2029</v>
      </c>
      <c r="W251" s="21" t="str">
        <f aca="false">IF(AND(T251&gt;=Assumptions!$B$19,U251="No"),"High Priority - Unrepresented",IF(T251&gt;=Assumptions!$B$19,"High Priority",IF(AND(T251&gt;=Assumptions!$B$20,U251="No"),"Watchlist - Unrepresented",IF(T251&gt;=Assumptions!$B$20,"Watchlist",""))))</f>
        <v/>
      </c>
      <c r="X251" s="21" t="str">
        <f aca="false">'Player Data'!V251</f>
        <v>info@medimurjeathletic.hr</v>
      </c>
      <c r="Y251" s="28" t="str">
        <f aca="false">'Player Data'!W251</f>
        <v>Club sporting director / first-team office</v>
      </c>
      <c r="Z251" s="28" t="str">
        <f aca="false">'Player Data'!X251</f>
        <v>HNS (Croatian Football Federation) player registry</v>
      </c>
      <c r="AA251" s="19" t="str">
        <f aca="false">HYPERLINK("https://www.transfermarkt.com/schnellsuche/ergebnis/schnellsuche?query="&amp;SUBSTITUTE(A251," ","+"),"Search Transfermarkt")</f>
        <v>Search Transfermarkt</v>
      </c>
      <c r="AB251" s="29" t="n">
        <f aca="false">IFERROR('Player Data'!K251/('Player Data'!K251+'Player Data'!L251),0)</f>
        <v>0.694915254237288</v>
      </c>
      <c r="AC251" s="21" t="str">
        <f aca="false">IF(B251="GK",IF(AND(O251&gt;=Assumptions!$B$23,N251&gt;=Assumptions!$B$23),"Sweeper-Keeper / Build-from-the-Back",IF(O251&gt;=Assumptions!$B$23,"Sweeper-Keeper / High Line",IF(M251&gt;=Assumptions!$B$23,"Shot-Stopper / Traditional","Flexible / Multi-System"))),IF(AND(O251&gt;=Assumptions!$B$23,P251&gt;=Assumptions!$B$24),"High Press / Gegenpressing",IF(AND(N251&gt;=Assumptions!$B$23,AB251&gt;=Assumptions!$B$25),"Possession / Build-from-the-Back",IF(N251&gt;=Assumptions!$B$23,"Counter-Attack / Transition",IF(AND(O251&gt;=Assumptions!$B$23,N251&lt;Assumptions!$B$26),"Low Block / Park the Bus",IF(AND(B251="FW",M251&gt;=Assumptions!$B$23,N251&lt;Assumptions!$B$26),"Direct / Target Approach","Flexible / Multi-System"))))))</f>
        <v>Flexible / Multi-System</v>
      </c>
      <c r="AD251" s="21" t="str">
        <f aca="false">'Player Data'!Y251</f>
        <v>2026-07-17</v>
      </c>
      <c r="AE251" s="21" t="str">
        <f aca="false">'Player Data'!Z251</f>
        <v>2026-07-17</v>
      </c>
      <c r="AF251" s="28" t="str">
        <f aca="false">IFERROR(INDEX(Assumptions!$B$30:$B$61,MATCH(C251,Assumptions!$A$30:$A$61,0)),"--")</f>
        <v>Austria, Turkey</v>
      </c>
      <c r="AG251" s="30" t="str">
        <f aca="false">IF(R251&gt;=0.7,"Step-Up Candidate",IF(R251&gt;=0.4,"Lateral Move","Stay &amp; Develop"))</f>
        <v>Lateral Move</v>
      </c>
    </row>
    <row r="252" customFormat="false" ht="23.85" hidden="false" customHeight="false" outlineLevel="0" collapsed="false">
      <c r="A252" s="21" t="str">
        <f aca="false">'Player Data'!A252</f>
        <v>Kristers Vitols</v>
      </c>
      <c r="B252" s="21" t="str">
        <f aca="false">'Player Data'!F252</f>
        <v>MF</v>
      </c>
      <c r="C252" s="21" t="str">
        <f aca="false">'Player Data'!B252</f>
        <v>Latvia</v>
      </c>
      <c r="D252" s="21" t="str">
        <f aca="false">'Player Data'!C252</f>
        <v>Latvia Second Division - West</v>
      </c>
      <c r="E252" s="21" t="n">
        <f aca="false">'Player Data'!D252</f>
        <v>3</v>
      </c>
      <c r="F252" s="21" t="n">
        <f aca="false">'Player Data'!G252</f>
        <v>19</v>
      </c>
      <c r="G252" s="21" t="n">
        <f aca="false">'Player Data'!H252</f>
        <v>987</v>
      </c>
      <c r="H252" s="22" t="n">
        <f aca="false">IF(B252="GK",IFERROR(('Player Data'!N252-1.5*'Player Data'!O252)/'Player Data'!H252*90,0),IFERROR(('Player Data'!I252+'Player Data'!J252)/'Player Data'!H252*90,0))</f>
        <v>1.91489361702128</v>
      </c>
      <c r="I252" s="22" t="n">
        <f aca="false">IF(B252="GK",'Player Data'!P252,IFERROR(('Player Data'!K252+'Player Data'!L252)/'Player Data'!H252*90,0))</f>
        <v>21.7933130699088</v>
      </c>
      <c r="J252" s="22" t="n">
        <f aca="false">IF(B252="GK",IFERROR('Player Data'!Q252/'Player Data'!H252*90,0),IFERROR('Player Data'!M252/'Player Data'!H252*90,0))</f>
        <v>3.46504559270517</v>
      </c>
      <c r="K252" s="23" t="n">
        <f aca="false">'Player Data'!S252</f>
        <v>138960</v>
      </c>
      <c r="L252" s="22" t="n">
        <f aca="false">INDEX(Assumptions!$B$13:$B$15,MATCH(E252,Assumptions!$A$13:$A$15,0))</f>
        <v>0.85</v>
      </c>
      <c r="M252" s="24" t="n">
        <f aca="false">IFERROR(SUMPRODUCT(($B$2:$B$1001=B252)*($H$2:$H$1001&lt;=H252))/SUMPRODUCT(($B$2:$B$1001=B252)*1),0)</f>
        <v>0.993265993265993</v>
      </c>
      <c r="N252" s="24" t="n">
        <f aca="false">IFERROR(SUMPRODUCT(($B$2:$B$1001=B252)*($I$2:$I$1001&lt;=I252))/SUMPRODUCT(($B$2:$B$1001=B252)*1),0)</f>
        <v>0.936026936026936</v>
      </c>
      <c r="O252" s="24" t="n">
        <f aca="false">IFERROR(SUMPRODUCT(($B$2:$B$1001=B252)*($J$2:$J$1001&lt;=J252))/SUMPRODUCT(($B$2:$B$1001=B252)*1),0)</f>
        <v>0.858585858585859</v>
      </c>
      <c r="P252" s="24" t="n">
        <f aca="false">IFERROR(SUMPRODUCT(($B$2:$B$1001=B252)*((0-$F$2:$F$1001)&lt;=(0-F252)))/SUMPRODUCT(($B$2:$B$1001=B252)*1),0)</f>
        <v>0.868686868686869</v>
      </c>
      <c r="Q252" s="25" t="n">
        <f aca="false">(M252*Assumptions!$B$5+N252*Assumptions!$B$6+O252*Assumptions!$B$7+P252*Assumptions!$B$8)*L252</f>
        <v>0.783173400673401</v>
      </c>
      <c r="R252" s="24" t="n">
        <f aca="false">IFERROR(SUMPRODUCT(($B$2:$B$1001=B252)*($Q$2:$Q$1001&lt;=Q252))/SUMPRODUCT(($B$2:$B$1001=B252)*1),0)</f>
        <v>0.939393939393939</v>
      </c>
      <c r="S252" s="24" t="n">
        <f aca="false">IFERROR(SUMPRODUCT(($B$2:$B$1001=B252)*($K$2:$K$1001&lt;=K252))/SUMPRODUCT(($B$2:$B$1001=B252)*1),0)</f>
        <v>0.966329966329966</v>
      </c>
      <c r="T252" s="26" t="n">
        <f aca="false">(R252-S252)*100</f>
        <v>-2.69360269360269</v>
      </c>
      <c r="U252" s="21" t="str">
        <f aca="false">'Player Data'!T252</f>
        <v>No</v>
      </c>
      <c r="V252" s="27" t="n">
        <f aca="false">'Player Data'!U252</f>
        <v>2027</v>
      </c>
      <c r="W252" s="21" t="str">
        <f aca="false">IF(AND(T252&gt;=Assumptions!$B$19,U252="No"),"High Priority - Unrepresented",IF(T252&gt;=Assumptions!$B$19,"High Priority",IF(AND(T252&gt;=Assumptions!$B$20,U252="No"),"Watchlist - Unrepresented",IF(T252&gt;=Assumptions!$B$20,"Watchlist",""))))</f>
        <v/>
      </c>
      <c r="X252" s="21" t="str">
        <f aca="false">'Player Data'!V252</f>
        <v>info@daugavpilscity.lv</v>
      </c>
      <c r="Y252" s="28" t="str">
        <f aca="false">'Player Data'!W252</f>
        <v>Club sporting director / first-team office</v>
      </c>
      <c r="Z252" s="28" t="str">
        <f aca="false">'Player Data'!X252</f>
        <v>LFF (Latvian Football Federation) player registry</v>
      </c>
      <c r="AA252" s="19" t="str">
        <f aca="false">HYPERLINK("https://www.transfermarkt.com/schnellsuche/ergebnis/schnellsuche?query="&amp;SUBSTITUTE(A252," ","+"),"Search Transfermarkt")</f>
        <v>Search Transfermarkt</v>
      </c>
      <c r="AB252" s="29" t="n">
        <f aca="false">IFERROR('Player Data'!K252/('Player Data'!K252+'Player Data'!L252),0)</f>
        <v>0.702928870292887</v>
      </c>
      <c r="AC252" s="21" t="str">
        <f aca="false">IF(B252="GK",IF(AND(O252&gt;=Assumptions!$B$23,N252&gt;=Assumptions!$B$23),"Sweeper-Keeper / Build-from-the-Back",IF(O252&gt;=Assumptions!$B$23,"Sweeper-Keeper / High Line",IF(M252&gt;=Assumptions!$B$23,"Shot-Stopper / Traditional","Flexible / Multi-System"))),IF(AND(O252&gt;=Assumptions!$B$23,P252&gt;=Assumptions!$B$24),"High Press / Gegenpressing",IF(AND(N252&gt;=Assumptions!$B$23,AB252&gt;=Assumptions!$B$25),"Possession / Build-from-the-Back",IF(N252&gt;=Assumptions!$B$23,"Counter-Attack / Transition",IF(AND(O252&gt;=Assumptions!$B$23,N252&lt;Assumptions!$B$26),"Low Block / Park the Bus",IF(AND(B252="FW",M252&gt;=Assumptions!$B$23,N252&lt;Assumptions!$B$26),"Direct / Target Approach","Flexible / Multi-System"))))))</f>
        <v>High Press / Gegenpressing</v>
      </c>
      <c r="AD252" s="21" t="str">
        <f aca="false">'Player Data'!Y252</f>
        <v>2026-07-17</v>
      </c>
      <c r="AE252" s="21" t="str">
        <f aca="false">'Player Data'!Z252</f>
        <v>2026-07-17</v>
      </c>
      <c r="AF252" s="28" t="str">
        <f aca="false">IFERROR(INDEX(Assumptions!$B$30:$B$61,MATCH(C252,Assumptions!$A$30:$A$61,0)),"--")</f>
        <v>Poland, Norway</v>
      </c>
      <c r="AG252" s="30" t="str">
        <f aca="false">IF(R252&gt;=0.7,"Step-Up Candidate",IF(R252&gt;=0.4,"Lateral Move","Stay &amp; Develop"))</f>
        <v>Step-Up Candidate</v>
      </c>
    </row>
    <row r="253" customFormat="false" ht="23.85" hidden="false" customHeight="false" outlineLevel="0" collapsed="false">
      <c r="A253" s="21" t="str">
        <f aca="false">'Player Data'!A253</f>
        <v>Do-yun Park</v>
      </c>
      <c r="B253" s="21" t="str">
        <f aca="false">'Player Data'!F253</f>
        <v>MF</v>
      </c>
      <c r="C253" s="21" t="str">
        <f aca="false">'Player Data'!B253</f>
        <v>South Korea</v>
      </c>
      <c r="D253" s="21" t="str">
        <f aca="false">'Player Data'!C253</f>
        <v>South Korea Third Tier - South</v>
      </c>
      <c r="E253" s="21" t="n">
        <f aca="false">'Player Data'!D253</f>
        <v>3</v>
      </c>
      <c r="F253" s="21" t="n">
        <f aca="false">'Player Data'!G253</f>
        <v>24</v>
      </c>
      <c r="G253" s="21" t="n">
        <f aca="false">'Player Data'!H253</f>
        <v>929</v>
      </c>
      <c r="H253" s="22" t="n">
        <f aca="false">IF(B253="GK",IFERROR(('Player Data'!N253-1.5*'Player Data'!O253)/'Player Data'!H253*90,0),IFERROR(('Player Data'!I253+'Player Data'!J253)/'Player Data'!H253*90,0))</f>
        <v>1.55005382131324</v>
      </c>
      <c r="I253" s="22" t="n">
        <f aca="false">IF(B253="GK",'Player Data'!P253,IFERROR(('Player Data'!K253+'Player Data'!L253)/'Player Data'!H253*90,0))</f>
        <v>21.7976318622174</v>
      </c>
      <c r="J253" s="22" t="n">
        <f aca="false">IF(B253="GK",IFERROR('Player Data'!Q253/'Player Data'!H253*90,0),IFERROR('Player Data'!M253/'Player Data'!H253*90,0))</f>
        <v>3.19698600645856</v>
      </c>
      <c r="K253" s="23" t="n">
        <f aca="false">'Player Data'!S253</f>
        <v>72097</v>
      </c>
      <c r="L253" s="22" t="n">
        <f aca="false">INDEX(Assumptions!$B$13:$B$15,MATCH(E253,Assumptions!$A$13:$A$15,0))</f>
        <v>0.85</v>
      </c>
      <c r="M253" s="24" t="n">
        <f aca="false">IFERROR(SUMPRODUCT(($B$2:$B$1001=B253)*($H$2:$H$1001&lt;=H253))/SUMPRODUCT(($B$2:$B$1001=B253)*1),0)</f>
        <v>0.952861952861953</v>
      </c>
      <c r="N253" s="24" t="n">
        <f aca="false">IFERROR(SUMPRODUCT(($B$2:$B$1001=B253)*($I$2:$I$1001&lt;=I253))/SUMPRODUCT(($B$2:$B$1001=B253)*1),0)</f>
        <v>0.939393939393939</v>
      </c>
      <c r="O253" s="24" t="n">
        <f aca="false">IFERROR(SUMPRODUCT(($B$2:$B$1001=B253)*($J$2:$J$1001&lt;=J253))/SUMPRODUCT(($B$2:$B$1001=B253)*1),0)</f>
        <v>0.797979797979798</v>
      </c>
      <c r="P253" s="24" t="n">
        <f aca="false">IFERROR(SUMPRODUCT(($B$2:$B$1001=B253)*((0-$F$2:$F$1001)&lt;=(0-F253)))/SUMPRODUCT(($B$2:$B$1001=B253)*1),0)</f>
        <v>0.326599326599327</v>
      </c>
      <c r="Q253" s="25" t="n">
        <f aca="false">(M253*Assumptions!$B$5+N253*Assumptions!$B$6+O253*Assumptions!$B$7+P253*Assumptions!$B$8)*L253</f>
        <v>0.673131313131313</v>
      </c>
      <c r="R253" s="24" t="n">
        <f aca="false">IFERROR(SUMPRODUCT(($B$2:$B$1001=B253)*($Q$2:$Q$1001&lt;=Q253))/SUMPRODUCT(($B$2:$B$1001=B253)*1),0)</f>
        <v>0.855218855218855</v>
      </c>
      <c r="S253" s="24" t="n">
        <f aca="false">IFERROR(SUMPRODUCT(($B$2:$B$1001=B253)*($K$2:$K$1001&lt;=K253))/SUMPRODUCT(($B$2:$B$1001=B253)*1),0)</f>
        <v>0.592592592592593</v>
      </c>
      <c r="T253" s="26" t="n">
        <f aca="false">(R253-S253)*100</f>
        <v>26.2626262626263</v>
      </c>
      <c r="U253" s="21" t="str">
        <f aca="false">'Player Data'!T253</f>
        <v>Unknown</v>
      </c>
      <c r="V253" s="27" t="n">
        <f aca="false">'Player Data'!U253</f>
        <v>2029</v>
      </c>
      <c r="W253" s="21" t="str">
        <f aca="false">IF(AND(T253&gt;=Assumptions!$B$19,U253="No"),"High Priority - Unrepresented",IF(T253&gt;=Assumptions!$B$19,"High Priority",IF(AND(T253&gt;=Assumptions!$B$20,U253="No"),"Watchlist - Unrepresented",IF(T253&gt;=Assumptions!$B$20,"Watchlist",""))))</f>
        <v>Watchlist</v>
      </c>
      <c r="X253" s="21" t="str">
        <f aca="false">'Player Data'!V253</f>
        <v>info@daeguathletic.kr</v>
      </c>
      <c r="Y253" s="28" t="str">
        <f aca="false">'Player Data'!W253</f>
        <v>Club sporting director / first-team office</v>
      </c>
      <c r="Z253" s="28" t="str">
        <f aca="false">'Player Data'!X253</f>
        <v>KFA (Korea Football Association) player registry</v>
      </c>
      <c r="AA253" s="19" t="str">
        <f aca="false">HYPERLINK("https://www.transfermarkt.com/schnellsuche/ergebnis/schnellsuche?query="&amp;SUBSTITUTE(A253," ","+"),"Search Transfermarkt")</f>
        <v>Search Transfermarkt</v>
      </c>
      <c r="AB253" s="29" t="n">
        <f aca="false">IFERROR('Player Data'!K253/('Player Data'!K253+'Player Data'!L253),0)</f>
        <v>0.622222222222222</v>
      </c>
      <c r="AC253" s="21" t="str">
        <f aca="false">IF(B253="GK",IF(AND(O253&gt;=Assumptions!$B$23,N253&gt;=Assumptions!$B$23),"Sweeper-Keeper / Build-from-the-Back",IF(O253&gt;=Assumptions!$B$23,"Sweeper-Keeper / High Line",IF(M253&gt;=Assumptions!$B$23,"Shot-Stopper / Traditional","Flexible / Multi-System"))),IF(AND(O253&gt;=Assumptions!$B$23,P253&gt;=Assumptions!$B$24),"High Press / Gegenpressing",IF(AND(N253&gt;=Assumptions!$B$23,AB253&gt;=Assumptions!$B$25),"Possession / Build-from-the-Back",IF(N253&gt;=Assumptions!$B$23,"Counter-Attack / Transition",IF(AND(O253&gt;=Assumptions!$B$23,N253&lt;Assumptions!$B$26),"Low Block / Park the Bus",IF(AND(B253="FW",M253&gt;=Assumptions!$B$23,N253&lt;Assumptions!$B$26),"Direct / Target Approach","Flexible / Multi-System"))))))</f>
        <v>Possession / Build-from-the-Back</v>
      </c>
      <c r="AD253" s="21" t="str">
        <f aca="false">'Player Data'!Y253</f>
        <v>2026-07-17</v>
      </c>
      <c r="AE253" s="21" t="str">
        <f aca="false">'Player Data'!Z253</f>
        <v>2026-07-17</v>
      </c>
      <c r="AF253" s="28" t="str">
        <f aca="false">IFERROR(INDEX(Assumptions!$B$30:$B$61,MATCH(C253,Assumptions!$A$30:$A$61,0)),"--")</f>
        <v>Belgium, Saudi Arabia</v>
      </c>
      <c r="AG253" s="30" t="str">
        <f aca="false">IF(R253&gt;=0.7,"Step-Up Candidate",IF(R253&gt;=0.4,"Lateral Move","Stay &amp; Develop"))</f>
        <v>Step-Up Candidate</v>
      </c>
    </row>
    <row r="254" customFormat="false" ht="23.85" hidden="false" customHeight="false" outlineLevel="0" collapsed="false">
      <c r="A254" s="21" t="str">
        <f aca="false">'Player Data'!A254</f>
        <v>Marko Novak</v>
      </c>
      <c r="B254" s="21" t="str">
        <f aca="false">'Player Data'!F254</f>
        <v>DF</v>
      </c>
      <c r="C254" s="21" t="str">
        <f aca="false">'Player Data'!B254</f>
        <v>Croatia</v>
      </c>
      <c r="D254" s="21" t="str">
        <f aca="false">'Player Data'!C254</f>
        <v>Croatia Third Tier - North</v>
      </c>
      <c r="E254" s="21" t="n">
        <f aca="false">'Player Data'!D254</f>
        <v>2</v>
      </c>
      <c r="F254" s="21" t="n">
        <f aca="false">'Player Data'!G254</f>
        <v>24</v>
      </c>
      <c r="G254" s="21" t="n">
        <f aca="false">'Player Data'!H254</f>
        <v>1971</v>
      </c>
      <c r="H254" s="22" t="n">
        <f aca="false">IF(B254="GK",IFERROR(('Player Data'!N254-1.5*'Player Data'!O254)/'Player Data'!H254*90,0),IFERROR(('Player Data'!I254+'Player Data'!J254)/'Player Data'!H254*90,0))</f>
        <v>0.228310502283105</v>
      </c>
      <c r="I254" s="22" t="n">
        <f aca="false">IF(B254="GK",'Player Data'!P254,IFERROR(('Player Data'!K254+'Player Data'!L254)/'Player Data'!H254*90,0))</f>
        <v>3.56164383561644</v>
      </c>
      <c r="J254" s="22" t="n">
        <f aca="false">IF(B254="GK",IFERROR('Player Data'!Q254/'Player Data'!H254*90,0),IFERROR('Player Data'!M254/'Player Data'!H254*90,0))</f>
        <v>5.34246575342466</v>
      </c>
      <c r="K254" s="23" t="n">
        <f aca="false">'Player Data'!S254</f>
        <v>71115</v>
      </c>
      <c r="L254" s="22" t="n">
        <f aca="false">INDEX(Assumptions!$B$13:$B$15,MATCH(E254,Assumptions!$A$13:$A$15,0))</f>
        <v>1</v>
      </c>
      <c r="M254" s="24" t="n">
        <f aca="false">IFERROR(SUMPRODUCT(($B$2:$B$1001=B254)*($H$2:$H$1001&lt;=H254))/SUMPRODUCT(($B$2:$B$1001=B254)*1),0)</f>
        <v>0.591836734693878</v>
      </c>
      <c r="N254" s="24" t="n">
        <f aca="false">IFERROR(SUMPRODUCT(($B$2:$B$1001=B254)*($I$2:$I$1001&lt;=I254))/SUMPRODUCT(($B$2:$B$1001=B254)*1),0)</f>
        <v>0.251700680272109</v>
      </c>
      <c r="O254" s="24" t="n">
        <f aca="false">IFERROR(SUMPRODUCT(($B$2:$B$1001=B254)*($J$2:$J$1001&lt;=J254))/SUMPRODUCT(($B$2:$B$1001=B254)*1),0)</f>
        <v>0.5</v>
      </c>
      <c r="P254" s="24" t="n">
        <f aca="false">IFERROR(SUMPRODUCT(($B$2:$B$1001=B254)*((0-$F$2:$F$1001)&lt;=(0-F254)))/SUMPRODUCT(($B$2:$B$1001=B254)*1),0)</f>
        <v>0.275510204081633</v>
      </c>
      <c r="Q254" s="25" t="n">
        <f aca="false">(M254*Assumptions!$B$5+N254*Assumptions!$B$6+O254*Assumptions!$B$7+P254*Assumptions!$B$8)*L254</f>
        <v>0.391156462585034</v>
      </c>
      <c r="R254" s="24" t="n">
        <f aca="false">IFERROR(SUMPRODUCT(($B$2:$B$1001=B254)*($Q$2:$Q$1001&lt;=Q254))/SUMPRODUCT(($B$2:$B$1001=B254)*1),0)</f>
        <v>0.431972789115646</v>
      </c>
      <c r="S254" s="24" t="n">
        <f aca="false">IFERROR(SUMPRODUCT(($B$2:$B$1001=B254)*($K$2:$K$1001&lt;=K254))/SUMPRODUCT(($B$2:$B$1001=B254)*1),0)</f>
        <v>0.554421768707483</v>
      </c>
      <c r="T254" s="26" t="n">
        <f aca="false">(R254-S254)*100</f>
        <v>-12.2448979591837</v>
      </c>
      <c r="U254" s="21" t="str">
        <f aca="false">'Player Data'!T254</f>
        <v>Yes</v>
      </c>
      <c r="V254" s="27" t="n">
        <f aca="false">'Player Data'!U254</f>
        <v>2027</v>
      </c>
      <c r="W254" s="21" t="str">
        <f aca="false">IF(AND(T254&gt;=Assumptions!$B$19,U254="No"),"High Priority - Unrepresented",IF(T254&gt;=Assumptions!$B$19,"High Priority",IF(AND(T254&gt;=Assumptions!$B$20,U254="No"),"Watchlist - Unrepresented",IF(T254&gt;=Assumptions!$B$20,"Watchlist",""))))</f>
        <v/>
      </c>
      <c r="X254" s="21" t="str">
        <f aca="false">'Player Data'!V254</f>
        <v>info@bijelobrdorangers.hr</v>
      </c>
      <c r="Y254" s="28" t="str">
        <f aca="false">'Player Data'!W254</f>
        <v>Go through the player's agent - ask the club to confirm representation first</v>
      </c>
      <c r="Z254" s="28" t="str">
        <f aca="false">'Player Data'!X254</f>
        <v>HNS (Croatian Football Federation) player registry</v>
      </c>
      <c r="AA254" s="19" t="str">
        <f aca="false">HYPERLINK("https://www.transfermarkt.com/schnellsuche/ergebnis/schnellsuche?query="&amp;SUBSTITUTE(A254," ","+"),"Search Transfermarkt")</f>
        <v>Search Transfermarkt</v>
      </c>
      <c r="AB254" s="29" t="n">
        <f aca="false">IFERROR('Player Data'!K254/('Player Data'!K254+'Player Data'!L254),0)</f>
        <v>0.628205128205128</v>
      </c>
      <c r="AC254" s="21" t="str">
        <f aca="false">IF(B254="GK",IF(AND(O254&gt;=Assumptions!$B$23,N254&gt;=Assumptions!$B$23),"Sweeper-Keeper / Build-from-the-Back",IF(O254&gt;=Assumptions!$B$23,"Sweeper-Keeper / High Line",IF(M254&gt;=Assumptions!$B$23,"Shot-Stopper / Traditional","Flexible / Multi-System"))),IF(AND(O254&gt;=Assumptions!$B$23,P254&gt;=Assumptions!$B$24),"High Press / Gegenpressing",IF(AND(N254&gt;=Assumptions!$B$23,AB254&gt;=Assumptions!$B$25),"Possession / Build-from-the-Back",IF(N254&gt;=Assumptions!$B$23,"Counter-Attack / Transition",IF(AND(O254&gt;=Assumptions!$B$23,N254&lt;Assumptions!$B$26),"Low Block / Park the Bus",IF(AND(B254="FW",M254&gt;=Assumptions!$B$23,N254&lt;Assumptions!$B$26),"Direct / Target Approach","Flexible / Multi-System"))))))</f>
        <v>Flexible / Multi-System</v>
      </c>
      <c r="AD254" s="21" t="str">
        <f aca="false">'Player Data'!Y254</f>
        <v>2026-07-17</v>
      </c>
      <c r="AE254" s="21" t="str">
        <f aca="false">'Player Data'!Z254</f>
        <v>2026-07-17</v>
      </c>
      <c r="AF254" s="28" t="str">
        <f aca="false">IFERROR(INDEX(Assumptions!$B$30:$B$61,MATCH(C254,Assumptions!$A$30:$A$61,0)),"--")</f>
        <v>Austria, Turkey</v>
      </c>
      <c r="AG254" s="30" t="str">
        <f aca="false">IF(R254&gt;=0.7,"Step-Up Candidate",IF(R254&gt;=0.4,"Lateral Move","Stay &amp; Develop"))</f>
        <v>Lateral Move</v>
      </c>
    </row>
    <row r="255" customFormat="false" ht="23.85" hidden="false" customHeight="false" outlineLevel="0" collapsed="false">
      <c r="A255" s="21" t="str">
        <f aca="false">'Player Data'!A255</f>
        <v>Rasmus Saar</v>
      </c>
      <c r="B255" s="21" t="str">
        <f aca="false">'Player Data'!F255</f>
        <v>FW</v>
      </c>
      <c r="C255" s="21" t="str">
        <f aca="false">'Player Data'!B255</f>
        <v>Estonia</v>
      </c>
      <c r="D255" s="21" t="str">
        <f aca="false">'Player Data'!C255</f>
        <v>Estonia Second Division - West</v>
      </c>
      <c r="E255" s="21" t="n">
        <f aca="false">'Player Data'!D255</f>
        <v>2</v>
      </c>
      <c r="F255" s="21" t="n">
        <f aca="false">'Player Data'!G255</f>
        <v>26</v>
      </c>
      <c r="G255" s="21" t="n">
        <f aca="false">'Player Data'!H255</f>
        <v>2236</v>
      </c>
      <c r="H255" s="22" t="n">
        <f aca="false">IF(B255="GK",IFERROR(('Player Data'!N255-1.5*'Player Data'!O255)/'Player Data'!H255*90,0),IFERROR(('Player Data'!I255+'Player Data'!J255)/'Player Data'!H255*90,0))</f>
        <v>0.805008944543828</v>
      </c>
      <c r="I255" s="22" t="n">
        <f aca="false">IF(B255="GK",'Player Data'!P255,IFERROR(('Player Data'!K255+'Player Data'!L255)/'Player Data'!H255*90,0))</f>
        <v>4.14579606440072</v>
      </c>
      <c r="J255" s="22" t="n">
        <f aca="false">IF(B255="GK",IFERROR('Player Data'!Q255/'Player Data'!H255*90,0),IFERROR('Player Data'!M255/'Player Data'!H255*90,0))</f>
        <v>0.322003577817531</v>
      </c>
      <c r="K255" s="23" t="n">
        <f aca="false">'Player Data'!S255</f>
        <v>32821</v>
      </c>
      <c r="L255" s="22" t="n">
        <f aca="false">INDEX(Assumptions!$B$13:$B$15,MATCH(E255,Assumptions!$A$13:$A$15,0))</f>
        <v>1</v>
      </c>
      <c r="M255" s="24" t="n">
        <f aca="false">IFERROR(SUMPRODUCT(($B$2:$B$1001=B255)*($H$2:$H$1001&lt;=H255))/SUMPRODUCT(($B$2:$B$1001=B255)*1),0)</f>
        <v>0.31858407079646</v>
      </c>
      <c r="N255" s="24" t="n">
        <f aca="false">IFERROR(SUMPRODUCT(($B$2:$B$1001=B255)*($I$2:$I$1001&lt;=I255))/SUMPRODUCT(($B$2:$B$1001=B255)*1),0)</f>
        <v>0.0619469026548673</v>
      </c>
      <c r="O255" s="24" t="n">
        <f aca="false">IFERROR(SUMPRODUCT(($B$2:$B$1001=B255)*($J$2:$J$1001&lt;=J255))/SUMPRODUCT(($B$2:$B$1001=B255)*1),0)</f>
        <v>0.20353982300885</v>
      </c>
      <c r="P255" s="24" t="n">
        <f aca="false">IFERROR(SUMPRODUCT(($B$2:$B$1001=B255)*((0-$F$2:$F$1001)&lt;=(0-F255)))/SUMPRODUCT(($B$2:$B$1001=B255)*1),0)</f>
        <v>0.0929203539823009</v>
      </c>
      <c r="Q255" s="25" t="n">
        <f aca="false">(M255*Assumptions!$B$5+N255*Assumptions!$B$6+O255*Assumptions!$B$7+P255*Assumptions!$B$8)*L255</f>
        <v>0.160619469026549</v>
      </c>
      <c r="R255" s="24" t="n">
        <f aca="false">IFERROR(SUMPRODUCT(($B$2:$B$1001=B255)*($Q$2:$Q$1001&lt;=Q255))/SUMPRODUCT(($B$2:$B$1001=B255)*1),0)</f>
        <v>0.0442477876106195</v>
      </c>
      <c r="S255" s="24" t="n">
        <f aca="false">IFERROR(SUMPRODUCT(($B$2:$B$1001=B255)*($K$2:$K$1001&lt;=K255))/SUMPRODUCT(($B$2:$B$1001=B255)*1),0)</f>
        <v>0.376106194690265</v>
      </c>
      <c r="T255" s="26" t="n">
        <f aca="false">(R255-S255)*100</f>
        <v>-33.1858407079646</v>
      </c>
      <c r="U255" s="21" t="str">
        <f aca="false">'Player Data'!T255</f>
        <v>No</v>
      </c>
      <c r="V255" s="27" t="n">
        <f aca="false">'Player Data'!U255</f>
        <v>2029</v>
      </c>
      <c r="W255" s="21" t="str">
        <f aca="false">IF(AND(T255&gt;=Assumptions!$B$19,U255="No"),"High Priority - Unrepresented",IF(T255&gt;=Assumptions!$B$19,"High Priority",IF(AND(T255&gt;=Assumptions!$B$20,U255="No"),"Watchlist - Unrepresented",IF(T255&gt;=Assumptions!$B$20,"Watchlist",""))))</f>
        <v/>
      </c>
      <c r="X255" s="21" t="str">
        <f aca="false">'Player Data'!V255</f>
        <v>info@narvasc.ee</v>
      </c>
      <c r="Y255" s="28" t="str">
        <f aca="false">'Player Data'!W255</f>
        <v>Club sporting director / first-team office</v>
      </c>
      <c r="Z255" s="28" t="str">
        <f aca="false">'Player Data'!X255</f>
        <v>EJL (Estonian Football Association) player registry</v>
      </c>
      <c r="AA255" s="19" t="str">
        <f aca="false">HYPERLINK("https://www.transfermarkt.com/schnellsuche/ergebnis/schnellsuche?query="&amp;SUBSTITUTE(A255," ","+"),"Search Transfermarkt")</f>
        <v>Search Transfermarkt</v>
      </c>
      <c r="AB255" s="29" t="n">
        <f aca="false">IFERROR('Player Data'!K255/('Player Data'!K255+'Player Data'!L255),0)</f>
        <v>0.41747572815534</v>
      </c>
      <c r="AC255" s="21" t="str">
        <f aca="false">IF(B255="GK",IF(AND(O255&gt;=Assumptions!$B$23,N255&gt;=Assumptions!$B$23),"Sweeper-Keeper / Build-from-the-Back",IF(O255&gt;=Assumptions!$B$23,"Sweeper-Keeper / High Line",IF(M255&gt;=Assumptions!$B$23,"Shot-Stopper / Traditional","Flexible / Multi-System"))),IF(AND(O255&gt;=Assumptions!$B$23,P255&gt;=Assumptions!$B$24),"High Press / Gegenpressing",IF(AND(N255&gt;=Assumptions!$B$23,AB255&gt;=Assumptions!$B$25),"Possession / Build-from-the-Back",IF(N255&gt;=Assumptions!$B$23,"Counter-Attack / Transition",IF(AND(O255&gt;=Assumptions!$B$23,N255&lt;Assumptions!$B$26),"Low Block / Park the Bus",IF(AND(B255="FW",M255&gt;=Assumptions!$B$23,N255&lt;Assumptions!$B$26),"Direct / Target Approach","Flexible / Multi-System"))))))</f>
        <v>Flexible / Multi-System</v>
      </c>
      <c r="AD255" s="21" t="str">
        <f aca="false">'Player Data'!Y255</f>
        <v>2026-07-17</v>
      </c>
      <c r="AE255" s="21" t="str">
        <f aca="false">'Player Data'!Z255</f>
        <v>2026-07-17</v>
      </c>
      <c r="AF255" s="28" t="str">
        <f aca="false">IFERROR(INDEX(Assumptions!$B$30:$B$61,MATCH(C255,Assumptions!$A$30:$A$61,0)),"--")</f>
        <v>Poland, Norway</v>
      </c>
      <c r="AG255" s="30" t="str">
        <f aca="false">IF(R255&gt;=0.7,"Step-Up Candidate",IF(R255&gt;=0.4,"Lateral Move","Stay &amp; Develop"))</f>
        <v>Stay &amp; Develop</v>
      </c>
    </row>
    <row r="256" customFormat="false" ht="23.85" hidden="false" customHeight="false" outlineLevel="0" collapsed="false">
      <c r="A256" s="21" t="str">
        <f aca="false">'Player Data'!A256</f>
        <v>Giorgi Gelashvili</v>
      </c>
      <c r="B256" s="21" t="str">
        <f aca="false">'Player Data'!F256</f>
        <v>MF</v>
      </c>
      <c r="C256" s="21" t="str">
        <f aca="false">'Player Data'!B256</f>
        <v>Georgia</v>
      </c>
      <c r="D256" s="21" t="str">
        <f aca="false">'Player Data'!C256</f>
        <v>Georgia Amateur League</v>
      </c>
      <c r="E256" s="21" t="n">
        <f aca="false">'Player Data'!D256</f>
        <v>2</v>
      </c>
      <c r="F256" s="21" t="n">
        <f aca="false">'Player Data'!G256</f>
        <v>24</v>
      </c>
      <c r="G256" s="21" t="n">
        <f aca="false">'Player Data'!H256</f>
        <v>2058</v>
      </c>
      <c r="H256" s="22" t="n">
        <f aca="false">IF(B256="GK",IFERROR(('Player Data'!N256-1.5*'Player Data'!O256)/'Player Data'!H256*90,0),IFERROR(('Player Data'!I256+'Player Data'!J256)/'Player Data'!H256*90,0))</f>
        <v>0.349854227405248</v>
      </c>
      <c r="I256" s="22" t="n">
        <f aca="false">IF(B256="GK",'Player Data'!P256,IFERROR(('Player Data'!K256+'Player Data'!L256)/'Player Data'!H256*90,0))</f>
        <v>9.48979591836735</v>
      </c>
      <c r="J256" s="22" t="n">
        <f aca="false">IF(B256="GK",IFERROR('Player Data'!Q256/'Player Data'!H256*90,0),IFERROR('Player Data'!M256/'Player Data'!H256*90,0))</f>
        <v>2.01166180758018</v>
      </c>
      <c r="K256" s="23" t="n">
        <f aca="false">'Player Data'!S256</f>
        <v>106487</v>
      </c>
      <c r="L256" s="22" t="n">
        <f aca="false">INDEX(Assumptions!$B$13:$B$15,MATCH(E256,Assumptions!$A$13:$A$15,0))</f>
        <v>1</v>
      </c>
      <c r="M256" s="24" t="n">
        <f aca="false">IFERROR(SUMPRODUCT(($B$2:$B$1001=B256)*($H$2:$H$1001&lt;=H256))/SUMPRODUCT(($B$2:$B$1001=B256)*1),0)</f>
        <v>0.0673400673400673</v>
      </c>
      <c r="N256" s="24" t="n">
        <f aca="false">IFERROR(SUMPRODUCT(($B$2:$B$1001=B256)*($I$2:$I$1001&lt;=I256))/SUMPRODUCT(($B$2:$B$1001=B256)*1),0)</f>
        <v>0.367003367003367</v>
      </c>
      <c r="O256" s="24" t="n">
        <f aca="false">IFERROR(SUMPRODUCT(($B$2:$B$1001=B256)*($J$2:$J$1001&lt;=J256))/SUMPRODUCT(($B$2:$B$1001=B256)*1),0)</f>
        <v>0.430976430976431</v>
      </c>
      <c r="P256" s="24" t="n">
        <f aca="false">IFERROR(SUMPRODUCT(($B$2:$B$1001=B256)*((0-$F$2:$F$1001)&lt;=(0-F256)))/SUMPRODUCT(($B$2:$B$1001=B256)*1),0)</f>
        <v>0.326599326599327</v>
      </c>
      <c r="Q256" s="25" t="n">
        <f aca="false">(M256*Assumptions!$B$5+N256*Assumptions!$B$6+O256*Assumptions!$B$7+P256*Assumptions!$B$8)*L256</f>
        <v>0.296801346801347</v>
      </c>
      <c r="R256" s="24" t="n">
        <f aca="false">IFERROR(SUMPRODUCT(($B$2:$B$1001=B256)*($Q$2:$Q$1001&lt;=Q256))/SUMPRODUCT(($B$2:$B$1001=B256)*1),0)</f>
        <v>0.245791245791246</v>
      </c>
      <c r="S256" s="24" t="n">
        <f aca="false">IFERROR(SUMPRODUCT(($B$2:$B$1001=B256)*($K$2:$K$1001&lt;=K256))/SUMPRODUCT(($B$2:$B$1001=B256)*1),0)</f>
        <v>0.771043771043771</v>
      </c>
      <c r="T256" s="26" t="n">
        <f aca="false">(R256-S256)*100</f>
        <v>-52.5252525252525</v>
      </c>
      <c r="U256" s="21" t="str">
        <f aca="false">'Player Data'!T256</f>
        <v>No</v>
      </c>
      <c r="V256" s="27" t="n">
        <f aca="false">'Player Data'!U256</f>
        <v>2028</v>
      </c>
      <c r="W256" s="21" t="str">
        <f aca="false">IF(AND(T256&gt;=Assumptions!$B$19,U256="No"),"High Priority - Unrepresented",IF(T256&gt;=Assumptions!$B$19,"High Priority",IF(AND(T256&gt;=Assumptions!$B$20,U256="No"),"Watchlist - Unrepresented",IF(T256&gt;=Assumptions!$B$20,"Watchlist",""))))</f>
        <v/>
      </c>
      <c r="X256" s="21" t="str">
        <f aca="false">'Player Data'!V256</f>
        <v>info@rustavifc.ge</v>
      </c>
      <c r="Y256" s="28" t="str">
        <f aca="false">'Player Data'!W256</f>
        <v>Club sporting director / first-team office</v>
      </c>
      <c r="Z256" s="28" t="str">
        <f aca="false">'Player Data'!X256</f>
        <v>GFF (Georgian Football Federation) player registry</v>
      </c>
      <c r="AA256" s="19" t="str">
        <f aca="false">HYPERLINK("https://www.transfermarkt.com/schnellsuche/ergebnis/schnellsuche?query="&amp;SUBSTITUTE(A256," ","+"),"Search Transfermarkt")</f>
        <v>Search Transfermarkt</v>
      </c>
      <c r="AB256" s="29" t="n">
        <f aca="false">IFERROR('Player Data'!K256/('Player Data'!K256+'Player Data'!L256),0)</f>
        <v>0.741935483870968</v>
      </c>
      <c r="AC256" s="21" t="str">
        <f aca="false">IF(B256="GK",IF(AND(O256&gt;=Assumptions!$B$23,N256&gt;=Assumptions!$B$23),"Sweeper-Keeper / Build-from-the-Back",IF(O256&gt;=Assumptions!$B$23,"Sweeper-Keeper / High Line",IF(M256&gt;=Assumptions!$B$23,"Shot-Stopper / Traditional","Flexible / Multi-System"))),IF(AND(O256&gt;=Assumptions!$B$23,P256&gt;=Assumptions!$B$24),"High Press / Gegenpressing",IF(AND(N256&gt;=Assumptions!$B$23,AB256&gt;=Assumptions!$B$25),"Possession / Build-from-the-Back",IF(N256&gt;=Assumptions!$B$23,"Counter-Attack / Transition",IF(AND(O256&gt;=Assumptions!$B$23,N256&lt;Assumptions!$B$26),"Low Block / Park the Bus",IF(AND(B256="FW",M256&gt;=Assumptions!$B$23,N256&lt;Assumptions!$B$26),"Direct / Target Approach","Flexible / Multi-System"))))))</f>
        <v>Flexible / Multi-System</v>
      </c>
      <c r="AD256" s="21" t="str">
        <f aca="false">'Player Data'!Y256</f>
        <v>2026-07-17</v>
      </c>
      <c r="AE256" s="21" t="str">
        <f aca="false">'Player Data'!Z256</f>
        <v>2026-07-17</v>
      </c>
      <c r="AF256" s="28" t="str">
        <f aca="false">IFERROR(INDEX(Assumptions!$B$30:$B$61,MATCH(C256,Assumptions!$A$30:$A$61,0)),"--")</f>
        <v>Turkey, Poland</v>
      </c>
      <c r="AG256" s="30" t="str">
        <f aca="false">IF(R256&gt;=0.7,"Step-Up Candidate",IF(R256&gt;=0.4,"Lateral Move","Stay &amp; Develop"))</f>
        <v>Stay &amp; Develop</v>
      </c>
    </row>
    <row r="257" customFormat="false" ht="23.85" hidden="false" customHeight="false" outlineLevel="0" collapsed="false">
      <c r="A257" s="21" t="str">
        <f aca="false">'Player Data'!A257</f>
        <v>Bakary Traore</v>
      </c>
      <c r="B257" s="21" t="str">
        <f aca="false">'Player Data'!F257</f>
        <v>DF</v>
      </c>
      <c r="C257" s="21" t="str">
        <f aca="false">'Player Data'!B257</f>
        <v>Mali</v>
      </c>
      <c r="D257" s="21" t="str">
        <f aca="false">'Player Data'!C257</f>
        <v>Mali Third Tier - South</v>
      </c>
      <c r="E257" s="21" t="n">
        <f aca="false">'Player Data'!D257</f>
        <v>3</v>
      </c>
      <c r="F257" s="21" t="n">
        <f aca="false">'Player Data'!G257</f>
        <v>21</v>
      </c>
      <c r="G257" s="21" t="n">
        <f aca="false">'Player Data'!H257</f>
        <v>2138</v>
      </c>
      <c r="H257" s="22" t="n">
        <f aca="false">IF(B257="GK",IFERROR(('Player Data'!N257-1.5*'Player Data'!O257)/'Player Data'!H257*90,0),IFERROR(('Player Data'!I257+'Player Data'!J257)/'Player Data'!H257*90,0))</f>
        <v>0.0420954162768943</v>
      </c>
      <c r="I257" s="22" t="n">
        <f aca="false">IF(B257="GK",'Player Data'!P257,IFERROR(('Player Data'!K257+'Player Data'!L257)/'Player Data'!H257*90,0))</f>
        <v>3.24134705332086</v>
      </c>
      <c r="J257" s="22" t="n">
        <f aca="false">IF(B257="GK",IFERROR('Player Data'!Q257/'Player Data'!H257*90,0),IFERROR('Player Data'!M257/'Player Data'!H257*90,0))</f>
        <v>4.20954162768943</v>
      </c>
      <c r="K257" s="23" t="n">
        <f aca="false">'Player Data'!S257</f>
        <v>76201</v>
      </c>
      <c r="L257" s="22" t="n">
        <f aca="false">INDEX(Assumptions!$B$13:$B$15,MATCH(E257,Assumptions!$A$13:$A$15,0))</f>
        <v>0.85</v>
      </c>
      <c r="M257" s="24" t="n">
        <f aca="false">IFERROR(SUMPRODUCT(($B$2:$B$1001=B257)*($H$2:$H$1001&lt;=H257))/SUMPRODUCT(($B$2:$B$1001=B257)*1),0)</f>
        <v>0.0510204081632653</v>
      </c>
      <c r="N257" s="24" t="n">
        <f aca="false">IFERROR(SUMPRODUCT(($B$2:$B$1001=B257)*($I$2:$I$1001&lt;=I257))/SUMPRODUCT(($B$2:$B$1001=B257)*1),0)</f>
        <v>0.153061224489796</v>
      </c>
      <c r="O257" s="24" t="n">
        <f aca="false">IFERROR(SUMPRODUCT(($B$2:$B$1001=B257)*($J$2:$J$1001&lt;=J257))/SUMPRODUCT(($B$2:$B$1001=B257)*1),0)</f>
        <v>0.302721088435374</v>
      </c>
      <c r="P257" s="24" t="n">
        <f aca="false">IFERROR(SUMPRODUCT(($B$2:$B$1001=B257)*((0-$F$2:$F$1001)&lt;=(0-F257)))/SUMPRODUCT(($B$2:$B$1001=B257)*1),0)</f>
        <v>0.568027210884354</v>
      </c>
      <c r="Q257" s="25" t="n">
        <f aca="false">(M257*Assumptions!$B$5+N257*Assumptions!$B$6+O257*Assumptions!$B$7+P257*Assumptions!$B$8)*L257</f>
        <v>0.204404761904762</v>
      </c>
      <c r="R257" s="24" t="n">
        <f aca="false">IFERROR(SUMPRODUCT(($B$2:$B$1001=B257)*($Q$2:$Q$1001&lt;=Q257))/SUMPRODUCT(($B$2:$B$1001=B257)*1),0)</f>
        <v>0.0850340136054422</v>
      </c>
      <c r="S257" s="24" t="n">
        <f aca="false">IFERROR(SUMPRODUCT(($B$2:$B$1001=B257)*($K$2:$K$1001&lt;=K257))/SUMPRODUCT(($B$2:$B$1001=B257)*1),0)</f>
        <v>0.602040816326531</v>
      </c>
      <c r="T257" s="26" t="n">
        <f aca="false">(R257-S257)*100</f>
        <v>-51.7006802721089</v>
      </c>
      <c r="U257" s="21" t="str">
        <f aca="false">'Player Data'!T257</f>
        <v>Unknown</v>
      </c>
      <c r="V257" s="27" t="n">
        <f aca="false">'Player Data'!U257</f>
        <v>2029</v>
      </c>
      <c r="W257" s="21" t="str">
        <f aca="false">IF(AND(T257&gt;=Assumptions!$B$19,U257="No"),"High Priority - Unrepresented",IF(T257&gt;=Assumptions!$B$19,"High Priority",IF(AND(T257&gt;=Assumptions!$B$20,U257="No"),"Watchlist - Unrepresented",IF(T257&gt;=Assumptions!$B$20,"Watchlist",""))))</f>
        <v/>
      </c>
      <c r="X257" s="21" t="str">
        <f aca="false">'Player Data'!V257</f>
        <v>info@bamakorovers.ml</v>
      </c>
      <c r="Y257" s="28" t="str">
        <f aca="false">'Player Data'!W257</f>
        <v>Club sporting director / first-team office</v>
      </c>
      <c r="Z257" s="28" t="str">
        <f aca="false">'Player Data'!X257</f>
        <v>FEMAFOOT (Malian Football Federation) player registry</v>
      </c>
      <c r="AA257" s="19" t="str">
        <f aca="false">HYPERLINK("https://www.transfermarkt.com/schnellsuche/ergebnis/schnellsuche?query="&amp;SUBSTITUTE(A257," ","+"),"Search Transfermarkt")</f>
        <v>Search Transfermarkt</v>
      </c>
      <c r="AB257" s="29" t="n">
        <f aca="false">IFERROR('Player Data'!K257/('Player Data'!K257+'Player Data'!L257),0)</f>
        <v>0.506493506493506</v>
      </c>
      <c r="AC257" s="21" t="str">
        <f aca="false">IF(B257="GK",IF(AND(O257&gt;=Assumptions!$B$23,N257&gt;=Assumptions!$B$23),"Sweeper-Keeper / Build-from-the-Back",IF(O257&gt;=Assumptions!$B$23,"Sweeper-Keeper / High Line",IF(M257&gt;=Assumptions!$B$23,"Shot-Stopper / Traditional","Flexible / Multi-System"))),IF(AND(O257&gt;=Assumptions!$B$23,P257&gt;=Assumptions!$B$24),"High Press / Gegenpressing",IF(AND(N257&gt;=Assumptions!$B$23,AB257&gt;=Assumptions!$B$25),"Possession / Build-from-the-Back",IF(N257&gt;=Assumptions!$B$23,"Counter-Attack / Transition",IF(AND(O257&gt;=Assumptions!$B$23,N257&lt;Assumptions!$B$26),"Low Block / Park the Bus",IF(AND(B257="FW",M257&gt;=Assumptions!$B$23,N257&lt;Assumptions!$B$26),"Direct / Target Approach","Flexible / Multi-System"))))))</f>
        <v>Flexible / Multi-System</v>
      </c>
      <c r="AD257" s="21" t="str">
        <f aca="false">'Player Data'!Y257</f>
        <v>2026-07-17</v>
      </c>
      <c r="AE257" s="21" t="str">
        <f aca="false">'Player Data'!Z257</f>
        <v>2026-07-17</v>
      </c>
      <c r="AF257" s="28" t="str">
        <f aca="false">IFERROR(INDEX(Assumptions!$B$30:$B$61,MATCH(C257,Assumptions!$A$30:$A$61,0)),"--")</f>
        <v>Belgium, Portugal</v>
      </c>
      <c r="AG257" s="30" t="str">
        <f aca="false">IF(R257&gt;=0.7,"Step-Up Candidate",IF(R257&gt;=0.4,"Lateral Move","Stay &amp; Develop"))</f>
        <v>Stay &amp; Develop</v>
      </c>
    </row>
    <row r="258" customFormat="false" ht="23.85" hidden="false" customHeight="false" outlineLevel="0" collapsed="false">
      <c r="A258" s="21" t="str">
        <f aca="false">'Player Data'!A258</f>
        <v>Kaito Sato</v>
      </c>
      <c r="B258" s="21" t="str">
        <f aca="false">'Player Data'!F258</f>
        <v>GK</v>
      </c>
      <c r="C258" s="21" t="str">
        <f aca="false">'Player Data'!B258</f>
        <v>Japan</v>
      </c>
      <c r="D258" s="21" t="str">
        <f aca="false">'Player Data'!C258</f>
        <v>Japan Second Division - West</v>
      </c>
      <c r="E258" s="21" t="n">
        <f aca="false">'Player Data'!D258</f>
        <v>3</v>
      </c>
      <c r="F258" s="21" t="n">
        <f aca="false">'Player Data'!G258</f>
        <v>25</v>
      </c>
      <c r="G258" s="21" t="n">
        <f aca="false">'Player Data'!H258</f>
        <v>1496</v>
      </c>
      <c r="H258" s="22" t="n">
        <f aca="false">IF(B258="GK",IFERROR(('Player Data'!N258-1.5*'Player Data'!O258)/'Player Data'!H258*90,0),IFERROR(('Player Data'!I258+'Player Data'!J258)/'Player Data'!H258*90,0))</f>
        <v>1.47393048128342</v>
      </c>
      <c r="I258" s="22" t="n">
        <f aca="false">IF(B258="GK",'Player Data'!P258,IFERROR(('Player Data'!K258+'Player Data'!L258)/'Player Data'!H258*90,0))</f>
        <v>69.9</v>
      </c>
      <c r="J258" s="22" t="n">
        <f aca="false">IF(B258="GK",IFERROR('Player Data'!Q258/'Player Data'!H258*90,0),IFERROR('Player Data'!M258/'Player Data'!H258*90,0))</f>
        <v>0.571524064171123</v>
      </c>
      <c r="K258" s="23" t="n">
        <f aca="false">'Player Data'!S258</f>
        <v>0</v>
      </c>
      <c r="L258" s="22" t="n">
        <f aca="false">INDEX(Assumptions!$B$13:$B$15,MATCH(E258,Assumptions!$A$13:$A$15,0))</f>
        <v>0.85</v>
      </c>
      <c r="M258" s="24" t="n">
        <f aca="false">IFERROR(SUMPRODUCT(($B$2:$B$1001=B258)*($H$2:$H$1001&lt;=H258))/SUMPRODUCT(($B$2:$B$1001=B258)*1),0)</f>
        <v>0.683060109289618</v>
      </c>
      <c r="N258" s="24" t="n">
        <f aca="false">IFERROR(SUMPRODUCT(($B$2:$B$1001=B258)*($I$2:$I$1001&lt;=I258))/SUMPRODUCT(($B$2:$B$1001=B258)*1),0)</f>
        <v>0.404371584699454</v>
      </c>
      <c r="O258" s="24" t="n">
        <f aca="false">IFERROR(SUMPRODUCT(($B$2:$B$1001=B258)*($J$2:$J$1001&lt;=J258))/SUMPRODUCT(($B$2:$B$1001=B258)*1),0)</f>
        <v>0.300546448087432</v>
      </c>
      <c r="P258" s="24" t="n">
        <f aca="false">IFERROR(SUMPRODUCT(($B$2:$B$1001=B258)*((0-$F$2:$F$1001)&lt;=(0-F258)))/SUMPRODUCT(($B$2:$B$1001=B258)*1),0)</f>
        <v>0.240437158469945</v>
      </c>
      <c r="Q258" s="25" t="n">
        <f aca="false">(M258*Assumptions!$B$5+N258*Assumptions!$B$6+O258*Assumptions!$B$7+P258*Assumptions!$B$8)*L258</f>
        <v>0.357418032786885</v>
      </c>
      <c r="R258" s="24" t="n">
        <f aca="false">IFERROR(SUMPRODUCT(($B$2:$B$1001=B258)*($Q$2:$Q$1001&lt;=Q258))/SUMPRODUCT(($B$2:$B$1001=B258)*1),0)</f>
        <v>0.262295081967213</v>
      </c>
      <c r="S258" s="24" t="n">
        <f aca="false">IFERROR(SUMPRODUCT(($B$2:$B$1001=B258)*($K$2:$K$1001&lt;=K258))/SUMPRODUCT(($B$2:$B$1001=B258)*1),0)</f>
        <v>0.218579234972678</v>
      </c>
      <c r="T258" s="26" t="n">
        <f aca="false">(R258-S258)*100</f>
        <v>4.37158469945355</v>
      </c>
      <c r="U258" s="21" t="str">
        <f aca="false">'Player Data'!T258</f>
        <v>Unknown</v>
      </c>
      <c r="V258" s="27" t="n">
        <f aca="false">'Player Data'!U258</f>
        <v>2027</v>
      </c>
      <c r="W258" s="21" t="str">
        <f aca="false">IF(AND(T258&gt;=Assumptions!$B$19,U258="No"),"High Priority - Unrepresented",IF(T258&gt;=Assumptions!$B$19,"High Priority",IF(AND(T258&gt;=Assumptions!$B$20,U258="No"),"Watchlist - Unrepresented",IF(T258&gt;=Assumptions!$B$20,"Watchlist",""))))</f>
        <v/>
      </c>
      <c r="X258" s="21" t="str">
        <f aca="false">'Player Data'!V258</f>
        <v>info@fukuokawanderers.jp</v>
      </c>
      <c r="Y258" s="28" t="str">
        <f aca="false">'Player Data'!W258</f>
        <v>Club sporting director / first-team office</v>
      </c>
      <c r="Z258" s="28" t="str">
        <f aca="false">'Player Data'!X258</f>
        <v>JFA (Japan Football Association) player registry</v>
      </c>
      <c r="AA258" s="19" t="str">
        <f aca="false">HYPERLINK("https://www.transfermarkt.com/schnellsuche/ergebnis/schnellsuche?query="&amp;SUBSTITUTE(A258," ","+"),"Search Transfermarkt")</f>
        <v>Search Transfermarkt</v>
      </c>
      <c r="AB258" s="29" t="n">
        <f aca="false">IFERROR('Player Data'!K258/('Player Data'!K258+'Player Data'!L258),0)</f>
        <v>0.722222222222222</v>
      </c>
      <c r="AC258" s="21" t="str">
        <f aca="false">IF(B258="GK",IF(AND(O258&gt;=Assumptions!$B$23,N258&gt;=Assumptions!$B$23),"Sweeper-Keeper / Build-from-the-Back",IF(O258&gt;=Assumptions!$B$23,"Sweeper-Keeper / High Line",IF(M258&gt;=Assumptions!$B$23,"Shot-Stopper / Traditional","Flexible / Multi-System"))),IF(AND(O258&gt;=Assumptions!$B$23,P258&gt;=Assumptions!$B$24),"High Press / Gegenpressing",IF(AND(N258&gt;=Assumptions!$B$23,AB258&gt;=Assumptions!$B$25),"Possession / Build-from-the-Back",IF(N258&gt;=Assumptions!$B$23,"Counter-Attack / Transition",IF(AND(O258&gt;=Assumptions!$B$23,N258&lt;Assumptions!$B$26),"Low Block / Park the Bus",IF(AND(B258="FW",M258&gt;=Assumptions!$B$23,N258&lt;Assumptions!$B$26),"Direct / Target Approach","Flexible / Multi-System"))))))</f>
        <v>Shot-Stopper / Traditional</v>
      </c>
      <c r="AD258" s="21" t="str">
        <f aca="false">'Player Data'!Y258</f>
        <v>2026-07-17</v>
      </c>
      <c r="AE258" s="21" t="str">
        <f aca="false">'Player Data'!Z258</f>
        <v>2026-07-17</v>
      </c>
      <c r="AF258" s="28" t="str">
        <f aca="false">IFERROR(INDEX(Assumptions!$B$30:$B$61,MATCH(C258,Assumptions!$A$30:$A$61,0)),"--")</f>
        <v>Belgium, Australia</v>
      </c>
      <c r="AG258" s="30" t="str">
        <f aca="false">IF(R258&gt;=0.7,"Step-Up Candidate",IF(R258&gt;=0.4,"Lateral Move","Stay &amp; Develop"))</f>
        <v>Stay &amp; Develop</v>
      </c>
    </row>
    <row r="259" customFormat="false" ht="23.85" hidden="false" customHeight="false" outlineLevel="0" collapsed="false">
      <c r="A259" s="21" t="str">
        <f aca="false">'Player Data'!A259</f>
        <v>Marlon Campbell</v>
      </c>
      <c r="B259" s="21" t="str">
        <f aca="false">'Player Data'!F259</f>
        <v>FW</v>
      </c>
      <c r="C259" s="21" t="str">
        <f aca="false">'Player Data'!B259</f>
        <v>Jamaica</v>
      </c>
      <c r="D259" s="21" t="str">
        <f aca="false">'Player Data'!C259</f>
        <v>Jamaica Reserve League</v>
      </c>
      <c r="E259" s="21" t="n">
        <f aca="false">'Player Data'!D259</f>
        <v>3</v>
      </c>
      <c r="F259" s="21" t="n">
        <f aca="false">'Player Data'!G259</f>
        <v>22</v>
      </c>
      <c r="G259" s="21" t="n">
        <f aca="false">'Player Data'!H259</f>
        <v>875</v>
      </c>
      <c r="H259" s="22" t="n">
        <f aca="false">IF(B259="GK",IFERROR(('Player Data'!N259-1.5*'Player Data'!O259)/'Player Data'!H259*90,0),IFERROR(('Player Data'!I259+'Player Data'!J259)/'Player Data'!H259*90,0))</f>
        <v>2.67428571428571</v>
      </c>
      <c r="I259" s="22" t="n">
        <f aca="false">IF(B259="GK",'Player Data'!P259,IFERROR(('Player Data'!K259+'Player Data'!L259)/'Player Data'!H259*90,0))</f>
        <v>15.5314285714286</v>
      </c>
      <c r="J259" s="22" t="n">
        <f aca="false">IF(B259="GK",IFERROR('Player Data'!Q259/'Player Data'!H259*90,0),IFERROR('Player Data'!M259/'Player Data'!H259*90,0))</f>
        <v>1.13142857142857</v>
      </c>
      <c r="K259" s="23" t="n">
        <f aca="false">'Player Data'!S259</f>
        <v>77840</v>
      </c>
      <c r="L259" s="22" t="n">
        <f aca="false">INDEX(Assumptions!$B$13:$B$15,MATCH(E259,Assumptions!$A$13:$A$15,0))</f>
        <v>0.85</v>
      </c>
      <c r="M259" s="24" t="n">
        <f aca="false">IFERROR(SUMPRODUCT(($B$2:$B$1001=B259)*($H$2:$H$1001&lt;=H259))/SUMPRODUCT(($B$2:$B$1001=B259)*1),0)</f>
        <v>0.995575221238938</v>
      </c>
      <c r="N259" s="24" t="n">
        <f aca="false">IFERROR(SUMPRODUCT(($B$2:$B$1001=B259)*($I$2:$I$1001&lt;=I259))/SUMPRODUCT(($B$2:$B$1001=B259)*1),0)</f>
        <v>0.986725663716814</v>
      </c>
      <c r="O259" s="24" t="n">
        <f aca="false">IFERROR(SUMPRODUCT(($B$2:$B$1001=B259)*($J$2:$J$1001&lt;=J259))/SUMPRODUCT(($B$2:$B$1001=B259)*1),0)</f>
        <v>0.942477876106195</v>
      </c>
      <c r="P259" s="24" t="n">
        <f aca="false">IFERROR(SUMPRODUCT(($B$2:$B$1001=B259)*((0-$F$2:$F$1001)&lt;=(0-F259)))/SUMPRODUCT(($B$2:$B$1001=B259)*1),0)</f>
        <v>0.504424778761062</v>
      </c>
      <c r="Q259" s="25" t="n">
        <f aca="false">(M259*Assumptions!$B$5+N259*Assumptions!$B$6+O259*Assumptions!$B$7+P259*Assumptions!$B$8)*L259</f>
        <v>0.75108407079646</v>
      </c>
      <c r="R259" s="24" t="n">
        <f aca="false">IFERROR(SUMPRODUCT(($B$2:$B$1001=B259)*($Q$2:$Q$1001&lt;=Q259))/SUMPRODUCT(($B$2:$B$1001=B259)*1),0)</f>
        <v>0.902654867256637</v>
      </c>
      <c r="S259" s="24" t="n">
        <f aca="false">IFERROR(SUMPRODUCT(($B$2:$B$1001=B259)*($K$2:$K$1001&lt;=K259))/SUMPRODUCT(($B$2:$B$1001=B259)*1),0)</f>
        <v>0.588495575221239</v>
      </c>
      <c r="T259" s="26" t="n">
        <f aca="false">(R259-S259)*100</f>
        <v>31.4159292035398</v>
      </c>
      <c r="U259" s="21" t="str">
        <f aca="false">'Player Data'!T259</f>
        <v>Unknown</v>
      </c>
      <c r="V259" s="27" t="n">
        <f aca="false">'Player Data'!U259</f>
        <v>2028</v>
      </c>
      <c r="W259" s="21" t="str">
        <f aca="false">IF(AND(T259&gt;=Assumptions!$B$19,U259="No"),"High Priority - Unrepresented",IF(T259&gt;=Assumptions!$B$19,"High Priority",IF(AND(T259&gt;=Assumptions!$B$20,U259="No"),"Watchlist - Unrepresented",IF(T259&gt;=Assumptions!$B$20,"Watchlist",""))))</f>
        <v>Watchlist</v>
      </c>
      <c r="X259" s="21" t="str">
        <f aca="false">'Player Data'!V259</f>
        <v>info@spanishtownrangers.jm</v>
      </c>
      <c r="Y259" s="28" t="str">
        <f aca="false">'Player Data'!W259</f>
        <v>Club sporting director / first-team office</v>
      </c>
      <c r="Z259" s="28" t="str">
        <f aca="false">'Player Data'!X259</f>
        <v>JFF (Jamaica Football Federation) player registry</v>
      </c>
      <c r="AA259" s="19" t="str">
        <f aca="false">HYPERLINK("https://www.transfermarkt.com/schnellsuche/ergebnis/schnellsuche?query="&amp;SUBSTITUTE(A259," ","+"),"Search Transfermarkt")</f>
        <v>Search Transfermarkt</v>
      </c>
      <c r="AB259" s="29" t="n">
        <f aca="false">IFERROR('Player Data'!K259/('Player Data'!K259+'Player Data'!L259),0)</f>
        <v>0.423841059602649</v>
      </c>
      <c r="AC259" s="21" t="str">
        <f aca="false">IF(B259="GK",IF(AND(O259&gt;=Assumptions!$B$23,N259&gt;=Assumptions!$B$23),"Sweeper-Keeper / Build-from-the-Back",IF(O259&gt;=Assumptions!$B$23,"Sweeper-Keeper / High Line",IF(M259&gt;=Assumptions!$B$23,"Shot-Stopper / Traditional","Flexible / Multi-System"))),IF(AND(O259&gt;=Assumptions!$B$23,P259&gt;=Assumptions!$B$24),"High Press / Gegenpressing",IF(AND(N259&gt;=Assumptions!$B$23,AB259&gt;=Assumptions!$B$25),"Possession / Build-from-the-Back",IF(N259&gt;=Assumptions!$B$23,"Counter-Attack / Transition",IF(AND(O259&gt;=Assumptions!$B$23,N259&lt;Assumptions!$B$26),"Low Block / Park the Bus",IF(AND(B259="FW",M259&gt;=Assumptions!$B$23,N259&lt;Assumptions!$B$26),"Direct / Target Approach","Flexible / Multi-System"))))))</f>
        <v>Counter-Attack / Transition</v>
      </c>
      <c r="AD259" s="21" t="str">
        <f aca="false">'Player Data'!Y259</f>
        <v>2026-07-17</v>
      </c>
      <c r="AE259" s="21" t="str">
        <f aca="false">'Player Data'!Z259</f>
        <v>2026-07-17</v>
      </c>
      <c r="AF259" s="28" t="str">
        <f aca="false">IFERROR(INDEX(Assumptions!$B$30:$B$61,MATCH(C259,Assumptions!$A$30:$A$61,0)),"--")</f>
        <v>United States, Mexico</v>
      </c>
      <c r="AG259" s="30" t="str">
        <f aca="false">IF(R259&gt;=0.7,"Step-Up Candidate",IF(R259&gt;=0.4,"Lateral Move","Stay &amp; Develop"))</f>
        <v>Step-Up Candidate</v>
      </c>
    </row>
    <row r="260" customFormat="false" ht="23.85" hidden="false" customHeight="false" outlineLevel="0" collapsed="false">
      <c r="A260" s="21" t="str">
        <f aca="false">'Player Data'!A260</f>
        <v>Ali Mahmoud</v>
      </c>
      <c r="B260" s="21" t="str">
        <f aca="false">'Player Data'!F260</f>
        <v>MF</v>
      </c>
      <c r="C260" s="21" t="str">
        <f aca="false">'Player Data'!B260</f>
        <v>Iraq</v>
      </c>
      <c r="D260" s="21" t="str">
        <f aca="false">'Player Data'!C260</f>
        <v>Iraq Second Division - East</v>
      </c>
      <c r="E260" s="21" t="n">
        <f aca="false">'Player Data'!D260</f>
        <v>3</v>
      </c>
      <c r="F260" s="21" t="n">
        <f aca="false">'Player Data'!G260</f>
        <v>19</v>
      </c>
      <c r="G260" s="21" t="n">
        <f aca="false">'Player Data'!H260</f>
        <v>2253</v>
      </c>
      <c r="H260" s="22" t="n">
        <f aca="false">IF(B260="GK",IFERROR(('Player Data'!N260-1.5*'Player Data'!O260)/'Player Data'!H260*90,0),IFERROR(('Player Data'!I260+'Player Data'!J260)/'Player Data'!H260*90,0))</f>
        <v>0.279627163781625</v>
      </c>
      <c r="I260" s="22" t="n">
        <f aca="false">IF(B260="GK",'Player Data'!P260,IFERROR(('Player Data'!K260+'Player Data'!L260)/'Player Data'!H260*90,0))</f>
        <v>10.5059920106525</v>
      </c>
      <c r="J260" s="22" t="n">
        <f aca="false">IF(B260="GK",IFERROR('Player Data'!Q260/'Player Data'!H260*90,0),IFERROR('Player Data'!M260/'Player Data'!H260*90,0))</f>
        <v>2.237017310253</v>
      </c>
      <c r="K260" s="23" t="n">
        <f aca="false">'Player Data'!S260</f>
        <v>0</v>
      </c>
      <c r="L260" s="22" t="n">
        <f aca="false">INDEX(Assumptions!$B$13:$B$15,MATCH(E260,Assumptions!$A$13:$A$15,0))</f>
        <v>0.85</v>
      </c>
      <c r="M260" s="24" t="n">
        <f aca="false">IFERROR(SUMPRODUCT(($B$2:$B$1001=B260)*($H$2:$H$1001&lt;=H260))/SUMPRODUCT(($B$2:$B$1001=B260)*1),0)</f>
        <v>0.0303030303030303</v>
      </c>
      <c r="N260" s="24" t="n">
        <f aca="false">IFERROR(SUMPRODUCT(($B$2:$B$1001=B260)*($I$2:$I$1001&lt;=I260))/SUMPRODUCT(($B$2:$B$1001=B260)*1),0)</f>
        <v>0.461279461279461</v>
      </c>
      <c r="O260" s="24" t="n">
        <f aca="false">IFERROR(SUMPRODUCT(($B$2:$B$1001=B260)*($J$2:$J$1001&lt;=J260))/SUMPRODUCT(($B$2:$B$1001=B260)*1),0)</f>
        <v>0.521885521885522</v>
      </c>
      <c r="P260" s="24" t="n">
        <f aca="false">IFERROR(SUMPRODUCT(($B$2:$B$1001=B260)*((0-$F$2:$F$1001)&lt;=(0-F260)))/SUMPRODUCT(($B$2:$B$1001=B260)*1),0)</f>
        <v>0.868686868686869</v>
      </c>
      <c r="Q260" s="25" t="n">
        <f aca="false">(M260*Assumptions!$B$5+N260*Assumptions!$B$6+O260*Assumptions!$B$7+P260*Assumptions!$B$8)*L260</f>
        <v>0.38006734006734</v>
      </c>
      <c r="R260" s="24" t="n">
        <f aca="false">IFERROR(SUMPRODUCT(($B$2:$B$1001=B260)*($Q$2:$Q$1001&lt;=Q260))/SUMPRODUCT(($B$2:$B$1001=B260)*1),0)</f>
        <v>0.393939393939394</v>
      </c>
      <c r="S260" s="24" t="n">
        <f aca="false">IFERROR(SUMPRODUCT(($B$2:$B$1001=B260)*($K$2:$K$1001&lt;=K260))/SUMPRODUCT(($B$2:$B$1001=B260)*1),0)</f>
        <v>0.228956228956229</v>
      </c>
      <c r="T260" s="26" t="n">
        <f aca="false">(R260-S260)*100</f>
        <v>16.4983164983165</v>
      </c>
      <c r="U260" s="21" t="str">
        <f aca="false">'Player Data'!T260</f>
        <v>No</v>
      </c>
      <c r="V260" s="27" t="n">
        <f aca="false">'Player Data'!U260</f>
        <v>2028</v>
      </c>
      <c r="W260" s="21" t="str">
        <f aca="false">IF(AND(T260&gt;=Assumptions!$B$19,U260="No"),"High Priority - Unrepresented",IF(T260&gt;=Assumptions!$B$19,"High Priority",IF(AND(T260&gt;=Assumptions!$B$20,U260="No"),"Watchlist - Unrepresented",IF(T260&gt;=Assumptions!$B$20,"Watchlist",""))))</f>
        <v/>
      </c>
      <c r="X260" s="21" t="str">
        <f aca="false">'Player Data'!V260</f>
        <v>info@erbilsc.iq</v>
      </c>
      <c r="Y260" s="28" t="str">
        <f aca="false">'Player Data'!W260</f>
        <v>Club sporting director / first-team office</v>
      </c>
      <c r="Z260" s="28" t="str">
        <f aca="false">'Player Data'!X260</f>
        <v>IFA (Iraq Football Association) player registry</v>
      </c>
      <c r="AA260" s="19" t="str">
        <f aca="false">HYPERLINK("https://www.transfermarkt.com/schnellsuche/ergebnis/schnellsuche?query="&amp;SUBSTITUTE(A260," ","+"),"Search Transfermarkt")</f>
        <v>Search Transfermarkt</v>
      </c>
      <c r="AB260" s="29" t="n">
        <f aca="false">IFERROR('Player Data'!K260/('Player Data'!K260+'Player Data'!L260),0)</f>
        <v>0.631178707224335</v>
      </c>
      <c r="AC260" s="21" t="str">
        <f aca="false">IF(B260="GK",IF(AND(O260&gt;=Assumptions!$B$23,N260&gt;=Assumptions!$B$23),"Sweeper-Keeper / Build-from-the-Back",IF(O260&gt;=Assumptions!$B$23,"Sweeper-Keeper / High Line",IF(M260&gt;=Assumptions!$B$23,"Shot-Stopper / Traditional","Flexible / Multi-System"))),IF(AND(O260&gt;=Assumptions!$B$23,P260&gt;=Assumptions!$B$24),"High Press / Gegenpressing",IF(AND(N260&gt;=Assumptions!$B$23,AB260&gt;=Assumptions!$B$25),"Possession / Build-from-the-Back",IF(N260&gt;=Assumptions!$B$23,"Counter-Attack / Transition",IF(AND(O260&gt;=Assumptions!$B$23,N260&lt;Assumptions!$B$26),"Low Block / Park the Bus",IF(AND(B260="FW",M260&gt;=Assumptions!$B$23,N260&lt;Assumptions!$B$26),"Direct / Target Approach","Flexible / Multi-System"))))))</f>
        <v>Flexible / Multi-System</v>
      </c>
      <c r="AD260" s="21" t="str">
        <f aca="false">'Player Data'!Y260</f>
        <v>2026-07-17</v>
      </c>
      <c r="AE260" s="21" t="str">
        <f aca="false">'Player Data'!Z260</f>
        <v>2026-07-17</v>
      </c>
      <c r="AF260" s="28" t="str">
        <f aca="false">IFERROR(INDEX(Assumptions!$B$30:$B$61,MATCH(C260,Assumptions!$A$30:$A$61,0)),"--")</f>
        <v>Turkey, Saudi Arabia</v>
      </c>
      <c r="AG260" s="30" t="str">
        <f aca="false">IF(R260&gt;=0.7,"Step-Up Candidate",IF(R260&gt;=0.4,"Lateral Move","Stay &amp; Develop"))</f>
        <v>Stay &amp; Develop</v>
      </c>
    </row>
    <row r="261" customFormat="false" ht="23.85" hidden="false" customHeight="false" outlineLevel="0" collapsed="false">
      <c r="A261" s="21" t="str">
        <f aca="false">'Player Data'!A261</f>
        <v>Mamadou Diallo</v>
      </c>
      <c r="B261" s="21" t="str">
        <f aca="false">'Player Data'!F261</f>
        <v>FW</v>
      </c>
      <c r="C261" s="21" t="str">
        <f aca="false">'Player Data'!B261</f>
        <v>Senegal</v>
      </c>
      <c r="D261" s="21" t="str">
        <f aca="false">'Player Data'!C261</f>
        <v>Senegal Provincial League</v>
      </c>
      <c r="E261" s="21" t="n">
        <f aca="false">'Player Data'!D261</f>
        <v>3</v>
      </c>
      <c r="F261" s="21" t="n">
        <f aca="false">'Player Data'!G261</f>
        <v>22</v>
      </c>
      <c r="G261" s="21" t="n">
        <f aca="false">'Player Data'!H261</f>
        <v>2289</v>
      </c>
      <c r="H261" s="22" t="n">
        <f aca="false">IF(B261="GK",IFERROR(('Player Data'!N261-1.5*'Player Data'!O261)/'Player Data'!H261*90,0),IFERROR(('Player Data'!I261+'Player Data'!J261)/'Player Data'!H261*90,0))</f>
        <v>0.629095674967235</v>
      </c>
      <c r="I261" s="22" t="n">
        <f aca="false">IF(B261="GK",'Player Data'!P261,IFERROR(('Player Data'!K261+'Player Data'!L261)/'Player Data'!H261*90,0))</f>
        <v>3.85321100917431</v>
      </c>
      <c r="J261" s="22" t="n">
        <f aca="false">IF(B261="GK",IFERROR('Player Data'!Q261/'Player Data'!H261*90,0),IFERROR('Player Data'!M261/'Player Data'!H261*90,0))</f>
        <v>0.353866317169069</v>
      </c>
      <c r="K261" s="23" t="n">
        <f aca="false">'Player Data'!S261</f>
        <v>44436</v>
      </c>
      <c r="L261" s="22" t="n">
        <f aca="false">INDEX(Assumptions!$B$13:$B$15,MATCH(E261,Assumptions!$A$13:$A$15,0))</f>
        <v>0.85</v>
      </c>
      <c r="M261" s="24" t="n">
        <f aca="false">IFERROR(SUMPRODUCT(($B$2:$B$1001=B261)*($H$2:$H$1001&lt;=H261))/SUMPRODUCT(($B$2:$B$1001=B261)*1),0)</f>
        <v>0.172566371681416</v>
      </c>
      <c r="N261" s="24" t="n">
        <f aca="false">IFERROR(SUMPRODUCT(($B$2:$B$1001=B261)*($I$2:$I$1001&lt;=I261))/SUMPRODUCT(($B$2:$B$1001=B261)*1),0)</f>
        <v>0.0176991150442478</v>
      </c>
      <c r="O261" s="24" t="n">
        <f aca="false">IFERROR(SUMPRODUCT(($B$2:$B$1001=B261)*($J$2:$J$1001&lt;=J261))/SUMPRODUCT(($B$2:$B$1001=B261)*1),0)</f>
        <v>0.256637168141593</v>
      </c>
      <c r="P261" s="24" t="n">
        <f aca="false">IFERROR(SUMPRODUCT(($B$2:$B$1001=B261)*((0-$F$2:$F$1001)&lt;=(0-F261)))/SUMPRODUCT(($B$2:$B$1001=B261)*1),0)</f>
        <v>0.504424778761062</v>
      </c>
      <c r="Q261" s="25" t="n">
        <f aca="false">(M261*Assumptions!$B$5+N261*Assumptions!$B$6+O261*Assumptions!$B$7+P261*Assumptions!$B$8)*L261</f>
        <v>0.171316371681416</v>
      </c>
      <c r="R261" s="24" t="n">
        <f aca="false">IFERROR(SUMPRODUCT(($B$2:$B$1001=B261)*($Q$2:$Q$1001&lt;=Q261))/SUMPRODUCT(($B$2:$B$1001=B261)*1),0)</f>
        <v>0.0619469026548673</v>
      </c>
      <c r="S261" s="24" t="n">
        <f aca="false">IFERROR(SUMPRODUCT(($B$2:$B$1001=B261)*($K$2:$K$1001&lt;=K261))/SUMPRODUCT(($B$2:$B$1001=B261)*1),0)</f>
        <v>0.433628318584071</v>
      </c>
      <c r="T261" s="26" t="n">
        <f aca="false">(R261-S261)*100</f>
        <v>-37.1681415929204</v>
      </c>
      <c r="U261" s="21" t="str">
        <f aca="false">'Player Data'!T261</f>
        <v>Unknown</v>
      </c>
      <c r="V261" s="27" t="n">
        <f aca="false">'Player Data'!U261</f>
        <v>2028</v>
      </c>
      <c r="W261" s="21" t="str">
        <f aca="false">IF(AND(T261&gt;=Assumptions!$B$19,U261="No"),"High Priority - Unrepresented",IF(T261&gt;=Assumptions!$B$19,"High Priority",IF(AND(T261&gt;=Assumptions!$B$20,U261="No"),"Watchlist - Unrepresented",IF(T261&gt;=Assumptions!$B$20,"Watchlist",""))))</f>
        <v/>
      </c>
      <c r="X261" s="21" t="str">
        <f aca="false">'Player Data'!V261</f>
        <v>info@ziguinchorathletic.sn</v>
      </c>
      <c r="Y261" s="28" t="str">
        <f aca="false">'Player Data'!W261</f>
        <v>Club sporting director / first-team office</v>
      </c>
      <c r="Z261" s="28" t="str">
        <f aca="false">'Player Data'!X261</f>
        <v>FSF (Senegalese Football Federation) player registry</v>
      </c>
      <c r="AA261" s="19" t="str">
        <f aca="false">HYPERLINK("https://www.transfermarkt.com/schnellsuche/ergebnis/schnellsuche?query="&amp;SUBSTITUTE(A261," ","+"),"Search Transfermarkt")</f>
        <v>Search Transfermarkt</v>
      </c>
      <c r="AB261" s="29" t="n">
        <f aca="false">IFERROR('Player Data'!K261/('Player Data'!K261+'Player Data'!L261),0)</f>
        <v>0.387755102040816</v>
      </c>
      <c r="AC261" s="21" t="str">
        <f aca="false">IF(B261="GK",IF(AND(O261&gt;=Assumptions!$B$23,N261&gt;=Assumptions!$B$23),"Sweeper-Keeper / Build-from-the-Back",IF(O261&gt;=Assumptions!$B$23,"Sweeper-Keeper / High Line",IF(M261&gt;=Assumptions!$B$23,"Shot-Stopper / Traditional","Flexible / Multi-System"))),IF(AND(O261&gt;=Assumptions!$B$23,P261&gt;=Assumptions!$B$24),"High Press / Gegenpressing",IF(AND(N261&gt;=Assumptions!$B$23,AB261&gt;=Assumptions!$B$25),"Possession / Build-from-the-Back",IF(N261&gt;=Assumptions!$B$23,"Counter-Attack / Transition",IF(AND(O261&gt;=Assumptions!$B$23,N261&lt;Assumptions!$B$26),"Low Block / Park the Bus",IF(AND(B261="FW",M261&gt;=Assumptions!$B$23,N261&lt;Assumptions!$B$26),"Direct / Target Approach","Flexible / Multi-System"))))))</f>
        <v>Flexible / Multi-System</v>
      </c>
      <c r="AD261" s="21" t="str">
        <f aca="false">'Player Data'!Y261</f>
        <v>2026-07-17</v>
      </c>
      <c r="AE261" s="21" t="str">
        <f aca="false">'Player Data'!Z261</f>
        <v>2026-07-17</v>
      </c>
      <c r="AF261" s="28" t="str">
        <f aca="false">IFERROR(INDEX(Assumptions!$B$30:$B$61,MATCH(C261,Assumptions!$A$30:$A$61,0)),"--")</f>
        <v>Belgium, Portugal</v>
      </c>
      <c r="AG261" s="30" t="str">
        <f aca="false">IF(R261&gt;=0.7,"Step-Up Candidate",IF(R261&gt;=0.4,"Lateral Move","Stay &amp; Develop"))</f>
        <v>Stay &amp; Develop</v>
      </c>
    </row>
    <row r="262" customFormat="false" ht="23.85" hidden="false" customHeight="false" outlineLevel="0" collapsed="false">
      <c r="A262" s="21" t="str">
        <f aca="false">'Player Data'!A262</f>
        <v>Roman Torres</v>
      </c>
      <c r="B262" s="21" t="str">
        <f aca="false">'Player Data'!F262</f>
        <v>DF</v>
      </c>
      <c r="C262" s="21" t="str">
        <f aca="false">'Player Data'!B262</f>
        <v>Panama</v>
      </c>
      <c r="D262" s="21" t="str">
        <f aca="false">'Player Data'!C262</f>
        <v>Panama Second Division - East</v>
      </c>
      <c r="E262" s="21" t="n">
        <f aca="false">'Player Data'!D262</f>
        <v>3</v>
      </c>
      <c r="F262" s="21" t="n">
        <f aca="false">'Player Data'!G262</f>
        <v>24</v>
      </c>
      <c r="G262" s="21" t="n">
        <f aca="false">'Player Data'!H262</f>
        <v>2504</v>
      </c>
      <c r="H262" s="22" t="n">
        <f aca="false">IF(B262="GK",IFERROR(('Player Data'!N262-1.5*'Player Data'!O262)/'Player Data'!H262*90,0),IFERROR(('Player Data'!I262+'Player Data'!J262)/'Player Data'!H262*90,0))</f>
        <v>0.251597444089457</v>
      </c>
      <c r="I262" s="22" t="n">
        <f aca="false">IF(B262="GK",'Player Data'!P262,IFERROR(('Player Data'!K262+'Player Data'!L262)/'Player Data'!H262*90,0))</f>
        <v>3.1629392971246</v>
      </c>
      <c r="J262" s="22" t="n">
        <f aca="false">IF(B262="GK",IFERROR('Player Data'!Q262/'Player Data'!H262*90,0),IFERROR('Player Data'!M262/'Player Data'!H262*90,0))</f>
        <v>4.13338658146965</v>
      </c>
      <c r="K262" s="23" t="n">
        <f aca="false">'Player Data'!S262</f>
        <v>0</v>
      </c>
      <c r="L262" s="22" t="n">
        <f aca="false">INDEX(Assumptions!$B$13:$B$15,MATCH(E262,Assumptions!$A$13:$A$15,0))</f>
        <v>0.85</v>
      </c>
      <c r="M262" s="24" t="n">
        <f aca="false">IFERROR(SUMPRODUCT(($B$2:$B$1001=B262)*($H$2:$H$1001&lt;=H262))/SUMPRODUCT(($B$2:$B$1001=B262)*1),0)</f>
        <v>0.663265306122449</v>
      </c>
      <c r="N262" s="24" t="n">
        <f aca="false">IFERROR(SUMPRODUCT(($B$2:$B$1001=B262)*($I$2:$I$1001&lt;=I262))/SUMPRODUCT(($B$2:$B$1001=B262)*1),0)</f>
        <v>0.122448979591837</v>
      </c>
      <c r="O262" s="24" t="n">
        <f aca="false">IFERROR(SUMPRODUCT(($B$2:$B$1001=B262)*($J$2:$J$1001&lt;=J262))/SUMPRODUCT(($B$2:$B$1001=B262)*1),0)</f>
        <v>0.258503401360544</v>
      </c>
      <c r="P262" s="24" t="n">
        <f aca="false">IFERROR(SUMPRODUCT(($B$2:$B$1001=B262)*((0-$F$2:$F$1001)&lt;=(0-F262)))/SUMPRODUCT(($B$2:$B$1001=B262)*1),0)</f>
        <v>0.275510204081633</v>
      </c>
      <c r="Q262" s="25" t="n">
        <f aca="false">(M262*Assumptions!$B$5+N262*Assumptions!$B$6+O262*Assumptions!$B$7+P262*Assumptions!$B$8)*L262</f>
        <v>0.268154761904762</v>
      </c>
      <c r="R262" s="24" t="n">
        <f aca="false">IFERROR(SUMPRODUCT(($B$2:$B$1001=B262)*($Q$2:$Q$1001&lt;=Q262))/SUMPRODUCT(($B$2:$B$1001=B262)*1),0)</f>
        <v>0.197278911564626</v>
      </c>
      <c r="S262" s="24" t="n">
        <f aca="false">IFERROR(SUMPRODUCT(($B$2:$B$1001=B262)*($K$2:$K$1001&lt;=K262))/SUMPRODUCT(($B$2:$B$1001=B262)*1),0)</f>
        <v>0.248299319727891</v>
      </c>
      <c r="T262" s="26" t="n">
        <f aca="false">(R262-S262)*100</f>
        <v>-5.10204081632653</v>
      </c>
      <c r="U262" s="21" t="str">
        <f aca="false">'Player Data'!T262</f>
        <v>No</v>
      </c>
      <c r="V262" s="27" t="n">
        <f aca="false">'Player Data'!U262</f>
        <v>2029</v>
      </c>
      <c r="W262" s="21" t="str">
        <f aca="false">IF(AND(T262&gt;=Assumptions!$B$19,U262="No"),"High Priority - Unrepresented",IF(T262&gt;=Assumptions!$B$19,"High Priority",IF(AND(T262&gt;=Assumptions!$B$20,U262="No"),"Watchlist - Unrepresented",IF(T262&gt;=Assumptions!$B$20,"Watchlist",""))))</f>
        <v/>
      </c>
      <c r="X262" s="21" t="str">
        <f aca="false">'Player Data'!V262</f>
        <v>info@santiagocity.pa</v>
      </c>
      <c r="Y262" s="28" t="str">
        <f aca="false">'Player Data'!W262</f>
        <v>Club sporting director / first-team office</v>
      </c>
      <c r="Z262" s="28" t="str">
        <f aca="false">'Player Data'!X262</f>
        <v>FEPAFUT (Panamanian Football Federation) player registry</v>
      </c>
      <c r="AA262" s="19" t="str">
        <f aca="false">HYPERLINK("https://www.transfermarkt.com/schnellsuche/ergebnis/schnellsuche?query="&amp;SUBSTITUTE(A262," ","+"),"Search Transfermarkt")</f>
        <v>Search Transfermarkt</v>
      </c>
      <c r="AB262" s="29" t="n">
        <f aca="false">IFERROR('Player Data'!K262/('Player Data'!K262+'Player Data'!L262),0)</f>
        <v>0.647727272727273</v>
      </c>
      <c r="AC262" s="21" t="str">
        <f aca="false">IF(B262="GK",IF(AND(O262&gt;=Assumptions!$B$23,N262&gt;=Assumptions!$B$23),"Sweeper-Keeper / Build-from-the-Back",IF(O262&gt;=Assumptions!$B$23,"Sweeper-Keeper / High Line",IF(M262&gt;=Assumptions!$B$23,"Shot-Stopper / Traditional","Flexible / Multi-System"))),IF(AND(O262&gt;=Assumptions!$B$23,P262&gt;=Assumptions!$B$24),"High Press / Gegenpressing",IF(AND(N262&gt;=Assumptions!$B$23,AB262&gt;=Assumptions!$B$25),"Possession / Build-from-the-Back",IF(N262&gt;=Assumptions!$B$23,"Counter-Attack / Transition",IF(AND(O262&gt;=Assumptions!$B$23,N262&lt;Assumptions!$B$26),"Low Block / Park the Bus",IF(AND(B262="FW",M262&gt;=Assumptions!$B$23,N262&lt;Assumptions!$B$26),"Direct / Target Approach","Flexible / Multi-System"))))))</f>
        <v>Flexible / Multi-System</v>
      </c>
      <c r="AD262" s="21" t="str">
        <f aca="false">'Player Data'!Y262</f>
        <v>2026-07-17</v>
      </c>
      <c r="AE262" s="21" t="str">
        <f aca="false">'Player Data'!Z262</f>
        <v>2026-07-17</v>
      </c>
      <c r="AF262" s="28" t="str">
        <f aca="false">IFERROR(INDEX(Assumptions!$B$30:$B$61,MATCH(C262,Assumptions!$A$30:$A$61,0)),"--")</f>
        <v>Mexico, United States</v>
      </c>
      <c r="AG262" s="30" t="str">
        <f aca="false">IF(R262&gt;=0.7,"Step-Up Candidate",IF(R262&gt;=0.4,"Lateral Move","Stay &amp; Develop"))</f>
        <v>Stay &amp; Develop</v>
      </c>
    </row>
    <row r="263" customFormat="false" ht="23.85" hidden="false" customHeight="false" outlineLevel="0" collapsed="false">
      <c r="A263" s="21" t="str">
        <f aca="false">'Player Data'!A263</f>
        <v>Sora Watanabe</v>
      </c>
      <c r="B263" s="21" t="str">
        <f aca="false">'Player Data'!F263</f>
        <v>GK</v>
      </c>
      <c r="C263" s="21" t="str">
        <f aca="false">'Player Data'!B263</f>
        <v>Japan</v>
      </c>
      <c r="D263" s="21" t="str">
        <f aca="false">'Player Data'!C263</f>
        <v>Japan Second Division - West</v>
      </c>
      <c r="E263" s="21" t="n">
        <f aca="false">'Player Data'!D263</f>
        <v>2</v>
      </c>
      <c r="F263" s="21" t="n">
        <f aca="false">'Player Data'!G263</f>
        <v>25</v>
      </c>
      <c r="G263" s="21" t="n">
        <f aca="false">'Player Data'!H263</f>
        <v>1936</v>
      </c>
      <c r="H263" s="22" t="n">
        <f aca="false">IF(B263="GK",IFERROR(('Player Data'!N263-1.5*'Player Data'!O263)/'Player Data'!H263*90,0),IFERROR(('Player Data'!I263+'Player Data'!J263)/'Player Data'!H263*90,0))</f>
        <v>-0.697314049586777</v>
      </c>
      <c r="I263" s="22" t="n">
        <f aca="false">IF(B263="GK",'Player Data'!P263,IFERROR(('Player Data'!K263+'Player Data'!L263)/'Player Data'!H263*90,0))</f>
        <v>89.5</v>
      </c>
      <c r="J263" s="22" t="n">
        <f aca="false">IF(B263="GK",IFERROR('Player Data'!Q263/'Player Data'!H263*90,0),IFERROR('Player Data'!M263/'Player Data'!H263*90,0))</f>
        <v>0.790289256198347</v>
      </c>
      <c r="K263" s="23" t="n">
        <f aca="false">'Player Data'!S263</f>
        <v>89690</v>
      </c>
      <c r="L263" s="22" t="n">
        <f aca="false">INDEX(Assumptions!$B$13:$B$15,MATCH(E263,Assumptions!$A$13:$A$15,0))</f>
        <v>1</v>
      </c>
      <c r="M263" s="24" t="n">
        <f aca="false">IFERROR(SUMPRODUCT(($B$2:$B$1001=B263)*($H$2:$H$1001&lt;=H263))/SUMPRODUCT(($B$2:$B$1001=B263)*1),0)</f>
        <v>0.0327868852459016</v>
      </c>
      <c r="N263" s="24" t="n">
        <f aca="false">IFERROR(SUMPRODUCT(($B$2:$B$1001=B263)*($I$2:$I$1001&lt;=I263))/SUMPRODUCT(($B$2:$B$1001=B263)*1),0)</f>
        <v>0.939890710382514</v>
      </c>
      <c r="O263" s="24" t="n">
        <f aca="false">IFERROR(SUMPRODUCT(($B$2:$B$1001=B263)*($J$2:$J$1001&lt;=J263))/SUMPRODUCT(($B$2:$B$1001=B263)*1),0)</f>
        <v>0.448087431693989</v>
      </c>
      <c r="P263" s="24" t="n">
        <f aca="false">IFERROR(SUMPRODUCT(($B$2:$B$1001=B263)*((0-$F$2:$F$1001)&lt;=(0-F263)))/SUMPRODUCT(($B$2:$B$1001=B263)*1),0)</f>
        <v>0.240437158469945</v>
      </c>
      <c r="Q263" s="25" t="n">
        <f aca="false">(M263*Assumptions!$B$5+N263*Assumptions!$B$6+O263*Assumptions!$B$7+P263*Assumptions!$B$8)*L263</f>
        <v>0.474863387978142</v>
      </c>
      <c r="R263" s="24" t="n">
        <f aca="false">IFERROR(SUMPRODUCT(($B$2:$B$1001=B263)*($Q$2:$Q$1001&lt;=Q263))/SUMPRODUCT(($B$2:$B$1001=B263)*1),0)</f>
        <v>0.530054644808743</v>
      </c>
      <c r="S263" s="24" t="n">
        <f aca="false">IFERROR(SUMPRODUCT(($B$2:$B$1001=B263)*($K$2:$K$1001&lt;=K263))/SUMPRODUCT(($B$2:$B$1001=B263)*1),0)</f>
        <v>0.633879781420765</v>
      </c>
      <c r="T263" s="26" t="n">
        <f aca="false">(R263-S263)*100</f>
        <v>-10.3825136612022</v>
      </c>
      <c r="U263" s="21" t="str">
        <f aca="false">'Player Data'!T263</f>
        <v>Yes</v>
      </c>
      <c r="V263" s="27" t="n">
        <f aca="false">'Player Data'!U263</f>
        <v>2026</v>
      </c>
      <c r="W263" s="21" t="str">
        <f aca="false">IF(AND(T263&gt;=Assumptions!$B$19,U263="No"),"High Priority - Unrepresented",IF(T263&gt;=Assumptions!$B$19,"High Priority",IF(AND(T263&gt;=Assumptions!$B$20,U263="No"),"Watchlist - Unrepresented",IF(T263&gt;=Assumptions!$B$20,"Watchlist",""))))</f>
        <v/>
      </c>
      <c r="X263" s="21" t="str">
        <f aca="false">'Player Data'!V263</f>
        <v>info@sapporotown.jp</v>
      </c>
      <c r="Y263" s="28" t="str">
        <f aca="false">'Player Data'!W263</f>
        <v>Go through the player's agent - ask the club to confirm representation first</v>
      </c>
      <c r="Z263" s="28" t="str">
        <f aca="false">'Player Data'!X263</f>
        <v>JFA (Japan Football Association) player registry</v>
      </c>
      <c r="AA263" s="19" t="str">
        <f aca="false">HYPERLINK("https://www.transfermarkt.com/schnellsuche/ergebnis/schnellsuche?query="&amp;SUBSTITUTE(A263," ","+"),"Search Transfermarkt")</f>
        <v>Search Transfermarkt</v>
      </c>
      <c r="AB263" s="29" t="n">
        <f aca="false">IFERROR('Player Data'!K263/('Player Data'!K263+'Player Data'!L263),0)</f>
        <v>1</v>
      </c>
      <c r="AC263" s="21" t="str">
        <f aca="false">IF(B263="GK",IF(AND(O263&gt;=Assumptions!$B$23,N263&gt;=Assumptions!$B$23),"Sweeper-Keeper / Build-from-the-Back",IF(O263&gt;=Assumptions!$B$23,"Sweeper-Keeper / High Line",IF(M263&gt;=Assumptions!$B$23,"Shot-Stopper / Traditional","Flexible / Multi-System"))),IF(AND(O263&gt;=Assumptions!$B$23,P263&gt;=Assumptions!$B$24),"High Press / Gegenpressing",IF(AND(N263&gt;=Assumptions!$B$23,AB263&gt;=Assumptions!$B$25),"Possession / Build-from-the-Back",IF(N263&gt;=Assumptions!$B$23,"Counter-Attack / Transition",IF(AND(O263&gt;=Assumptions!$B$23,N263&lt;Assumptions!$B$26),"Low Block / Park the Bus",IF(AND(B263="FW",M263&gt;=Assumptions!$B$23,N263&lt;Assumptions!$B$26),"Direct / Target Approach","Flexible / Multi-System"))))))</f>
        <v>Flexible / Multi-System</v>
      </c>
      <c r="AD263" s="21" t="str">
        <f aca="false">'Player Data'!Y263</f>
        <v>2026-07-17</v>
      </c>
      <c r="AE263" s="21" t="str">
        <f aca="false">'Player Data'!Z263</f>
        <v>2026-07-17</v>
      </c>
      <c r="AF263" s="28" t="str">
        <f aca="false">IFERROR(INDEX(Assumptions!$B$30:$B$61,MATCH(C263,Assumptions!$A$30:$A$61,0)),"--")</f>
        <v>Belgium, Australia</v>
      </c>
      <c r="AG263" s="30" t="str">
        <f aca="false">IF(R263&gt;=0.7,"Step-Up Candidate",IF(R263&gt;=0.4,"Lateral Move","Stay &amp; Develop"))</f>
        <v>Lateral Move</v>
      </c>
    </row>
    <row r="264" customFormat="false" ht="23.85" hidden="false" customHeight="false" outlineLevel="0" collapsed="false">
      <c r="A264" s="21" t="str">
        <f aca="false">'Player Data'!A264</f>
        <v>Minh Vu</v>
      </c>
      <c r="B264" s="21" t="str">
        <f aca="false">'Player Data'!F264</f>
        <v>MF</v>
      </c>
      <c r="C264" s="21" t="str">
        <f aca="false">'Player Data'!B264</f>
        <v>Vietnam</v>
      </c>
      <c r="D264" s="21" t="str">
        <f aca="false">'Player Data'!C264</f>
        <v>Vietnam Amateur League</v>
      </c>
      <c r="E264" s="21" t="n">
        <f aca="false">'Player Data'!D264</f>
        <v>2</v>
      </c>
      <c r="F264" s="21" t="n">
        <f aca="false">'Player Data'!G264</f>
        <v>26</v>
      </c>
      <c r="G264" s="21" t="n">
        <f aca="false">'Player Data'!H264</f>
        <v>860</v>
      </c>
      <c r="H264" s="22" t="n">
        <f aca="false">IF(B264="GK",IFERROR(('Player Data'!N264-1.5*'Player Data'!O264)/'Player Data'!H264*90,0),IFERROR(('Player Data'!I264+'Player Data'!J264)/'Player Data'!H264*90,0))</f>
        <v>1.46511627906977</v>
      </c>
      <c r="I264" s="22" t="n">
        <f aca="false">IF(B264="GK",'Player Data'!P264,IFERROR(('Player Data'!K264+'Player Data'!L264)/'Player Data'!H264*90,0))</f>
        <v>24.3837209302326</v>
      </c>
      <c r="J264" s="22" t="n">
        <f aca="false">IF(B264="GK",IFERROR('Player Data'!Q264/'Player Data'!H264*90,0),IFERROR('Player Data'!M264/'Player Data'!H264*90,0))</f>
        <v>4.18604651162791</v>
      </c>
      <c r="K264" s="23" t="n">
        <f aca="false">'Player Data'!S264</f>
        <v>37491</v>
      </c>
      <c r="L264" s="22" t="n">
        <f aca="false">INDEX(Assumptions!$B$13:$B$15,MATCH(E264,Assumptions!$A$13:$A$15,0))</f>
        <v>1</v>
      </c>
      <c r="M264" s="24" t="n">
        <f aca="false">IFERROR(SUMPRODUCT(($B$2:$B$1001=B264)*($H$2:$H$1001&lt;=H264))/SUMPRODUCT(($B$2:$B$1001=B264)*1),0)</f>
        <v>0.922558922558923</v>
      </c>
      <c r="N264" s="24" t="n">
        <f aca="false">IFERROR(SUMPRODUCT(($B$2:$B$1001=B264)*($I$2:$I$1001&lt;=I264))/SUMPRODUCT(($B$2:$B$1001=B264)*1),0)</f>
        <v>0.97979797979798</v>
      </c>
      <c r="O264" s="24" t="n">
        <f aca="false">IFERROR(SUMPRODUCT(($B$2:$B$1001=B264)*($J$2:$J$1001&lt;=J264))/SUMPRODUCT(($B$2:$B$1001=B264)*1),0)</f>
        <v>0.936026936026936</v>
      </c>
      <c r="P264" s="24" t="n">
        <f aca="false">IFERROR(SUMPRODUCT(($B$2:$B$1001=B264)*((0-$F$2:$F$1001)&lt;=(0-F264)))/SUMPRODUCT(($B$2:$B$1001=B264)*1),0)</f>
        <v>0.0909090909090909</v>
      </c>
      <c r="Q264" s="25" t="n">
        <f aca="false">(M264*Assumptions!$B$5+N264*Assumptions!$B$6+O264*Assumptions!$B$7+P264*Assumptions!$B$8)*L264</f>
        <v>0.778956228956229</v>
      </c>
      <c r="R264" s="24" t="n">
        <f aca="false">IFERROR(SUMPRODUCT(($B$2:$B$1001=B264)*($Q$2:$Q$1001&lt;=Q264))/SUMPRODUCT(($B$2:$B$1001=B264)*1),0)</f>
        <v>0.932659932659933</v>
      </c>
      <c r="S264" s="24" t="n">
        <f aca="false">IFERROR(SUMPRODUCT(($B$2:$B$1001=B264)*($K$2:$K$1001&lt;=K264))/SUMPRODUCT(($B$2:$B$1001=B264)*1),0)</f>
        <v>0.36026936026936</v>
      </c>
      <c r="T264" s="26" t="n">
        <f aca="false">(R264-S264)*100</f>
        <v>57.2390572390572</v>
      </c>
      <c r="U264" s="21" t="str">
        <f aca="false">'Player Data'!T264</f>
        <v>No</v>
      </c>
      <c r="V264" s="27" t="n">
        <f aca="false">'Player Data'!U264</f>
        <v>2028</v>
      </c>
      <c r="W264" s="21" t="str">
        <f aca="false">IF(AND(T264&gt;=Assumptions!$B$19,U264="No"),"High Priority - Unrepresented",IF(T264&gt;=Assumptions!$B$19,"High Priority",IF(AND(T264&gt;=Assumptions!$B$20,U264="No"),"Watchlist - Unrepresented",IF(T264&gt;=Assumptions!$B$20,"Watchlist",""))))</f>
        <v>High Priority - Unrepresented</v>
      </c>
      <c r="X264" s="21" t="str">
        <f aca="false">'Player Data'!V264</f>
        <v>info@canthotown.vn</v>
      </c>
      <c r="Y264" s="28" t="str">
        <f aca="false">'Player Data'!W264</f>
        <v>Club sporting director / first-team office</v>
      </c>
      <c r="Z264" s="28" t="str">
        <f aca="false">'Player Data'!X264</f>
        <v>VFF (Vietnam Football Federation) player registry</v>
      </c>
      <c r="AA264" s="19" t="str">
        <f aca="false">HYPERLINK("https://www.transfermarkt.com/schnellsuche/ergebnis/schnellsuche?query="&amp;SUBSTITUTE(A264," ","+"),"Search Transfermarkt")</f>
        <v>Search Transfermarkt</v>
      </c>
      <c r="AB264" s="29" t="n">
        <f aca="false">IFERROR('Player Data'!K264/('Player Data'!K264+'Player Data'!L264),0)</f>
        <v>0.682403433476395</v>
      </c>
      <c r="AC264" s="21" t="str">
        <f aca="false">IF(B264="GK",IF(AND(O264&gt;=Assumptions!$B$23,N264&gt;=Assumptions!$B$23),"Sweeper-Keeper / Build-from-the-Back",IF(O264&gt;=Assumptions!$B$23,"Sweeper-Keeper / High Line",IF(M264&gt;=Assumptions!$B$23,"Shot-Stopper / Traditional","Flexible / Multi-System"))),IF(AND(O264&gt;=Assumptions!$B$23,P264&gt;=Assumptions!$B$24),"High Press / Gegenpressing",IF(AND(N264&gt;=Assumptions!$B$23,AB264&gt;=Assumptions!$B$25),"Possession / Build-from-the-Back",IF(N264&gt;=Assumptions!$B$23,"Counter-Attack / Transition",IF(AND(O264&gt;=Assumptions!$B$23,N264&lt;Assumptions!$B$26),"Low Block / Park the Bus",IF(AND(B264="FW",M264&gt;=Assumptions!$B$23,N264&lt;Assumptions!$B$26),"Direct / Target Approach","Flexible / Multi-System"))))))</f>
        <v>Possession / Build-from-the-Back</v>
      </c>
      <c r="AD264" s="21" t="str">
        <f aca="false">'Player Data'!Y264</f>
        <v>2026-07-17</v>
      </c>
      <c r="AE264" s="21" t="str">
        <f aca="false">'Player Data'!Z264</f>
        <v>2026-07-17</v>
      </c>
      <c r="AF264" s="28" t="str">
        <f aca="false">IFERROR(INDEX(Assumptions!$B$30:$B$61,MATCH(C264,Assumptions!$A$30:$A$61,0)),"--")</f>
        <v>Australia, Saudi Arabia</v>
      </c>
      <c r="AG264" s="30" t="str">
        <f aca="false">IF(R264&gt;=0.7,"Step-Up Candidate",IF(R264&gt;=0.4,"Lateral Move","Stay &amp; Develop"))</f>
        <v>Step-Up Candidate</v>
      </c>
    </row>
    <row r="265" customFormat="false" ht="23.85" hidden="false" customHeight="false" outlineLevel="0" collapsed="false">
      <c r="A265" s="21" t="str">
        <f aca="false">'Player Data'!A265</f>
        <v>Modibo Traore</v>
      </c>
      <c r="B265" s="21" t="str">
        <f aca="false">'Player Data'!F265</f>
        <v>GK</v>
      </c>
      <c r="C265" s="21" t="str">
        <f aca="false">'Player Data'!B265</f>
        <v>Mali</v>
      </c>
      <c r="D265" s="21" t="str">
        <f aca="false">'Player Data'!C265</f>
        <v>Mali Second Division - East</v>
      </c>
      <c r="E265" s="21" t="n">
        <f aca="false">'Player Data'!D265</f>
        <v>2</v>
      </c>
      <c r="F265" s="21" t="n">
        <f aca="false">'Player Data'!G265</f>
        <v>24</v>
      </c>
      <c r="G265" s="21" t="n">
        <f aca="false">'Player Data'!H265</f>
        <v>1425</v>
      </c>
      <c r="H265" s="22" t="n">
        <f aca="false">IF(B265="GK",IFERROR(('Player Data'!N265-1.5*'Player Data'!O265)/'Player Data'!H265*90,0),IFERROR(('Player Data'!I265+'Player Data'!J265)/'Player Data'!H265*90,0))</f>
        <v>1.83157894736842</v>
      </c>
      <c r="I265" s="22" t="n">
        <f aca="false">IF(B265="GK",'Player Data'!P265,IFERROR(('Player Data'!K265+'Player Data'!L265)/'Player Data'!H265*90,0))</f>
        <v>60.5</v>
      </c>
      <c r="J265" s="22" t="n">
        <f aca="false">IF(B265="GK",IFERROR('Player Data'!Q265/'Player Data'!H265*90,0),IFERROR('Player Data'!M265/'Player Data'!H265*90,0))</f>
        <v>1.45894736842105</v>
      </c>
      <c r="K265" s="23" t="n">
        <f aca="false">'Player Data'!S265</f>
        <v>148558</v>
      </c>
      <c r="L265" s="22" t="n">
        <f aca="false">INDEX(Assumptions!$B$13:$B$15,MATCH(E265,Assumptions!$A$13:$A$15,0))</f>
        <v>1</v>
      </c>
      <c r="M265" s="24" t="n">
        <f aca="false">IFERROR(SUMPRODUCT(($B$2:$B$1001=B265)*($H$2:$H$1001&lt;=H265))/SUMPRODUCT(($B$2:$B$1001=B265)*1),0)</f>
        <v>0.825136612021858</v>
      </c>
      <c r="N265" s="24" t="n">
        <f aca="false">IFERROR(SUMPRODUCT(($B$2:$B$1001=B265)*($I$2:$I$1001&lt;=I265))/SUMPRODUCT(($B$2:$B$1001=B265)*1),0)</f>
        <v>0.191256830601093</v>
      </c>
      <c r="O265" s="24" t="n">
        <f aca="false">IFERROR(SUMPRODUCT(($B$2:$B$1001=B265)*($J$2:$J$1001&lt;=J265))/SUMPRODUCT(($B$2:$B$1001=B265)*1),0)</f>
        <v>0.967213114754098</v>
      </c>
      <c r="P265" s="24" t="n">
        <f aca="false">IFERROR(SUMPRODUCT(($B$2:$B$1001=B265)*((0-$F$2:$F$1001)&lt;=(0-F265)))/SUMPRODUCT(($B$2:$B$1001=B265)*1),0)</f>
        <v>0.300546448087432</v>
      </c>
      <c r="Q265" s="25" t="n">
        <f aca="false">(M265*Assumptions!$B$5+N265*Assumptions!$B$6+O265*Assumptions!$B$7+P265*Assumptions!$B$8)*L265</f>
        <v>0.526775956284153</v>
      </c>
      <c r="R265" s="24" t="n">
        <f aca="false">IFERROR(SUMPRODUCT(($B$2:$B$1001=B265)*($Q$2:$Q$1001&lt;=Q265))/SUMPRODUCT(($B$2:$B$1001=B265)*1),0)</f>
        <v>0.688524590163934</v>
      </c>
      <c r="S265" s="24" t="n">
        <f aca="false">IFERROR(SUMPRODUCT(($B$2:$B$1001=B265)*($K$2:$K$1001&lt;=K265))/SUMPRODUCT(($B$2:$B$1001=B265)*1),0)</f>
        <v>0.994535519125683</v>
      </c>
      <c r="T265" s="26" t="n">
        <f aca="false">(R265-S265)*100</f>
        <v>-30.6010928961749</v>
      </c>
      <c r="U265" s="21" t="str">
        <f aca="false">'Player Data'!T265</f>
        <v>Unknown</v>
      </c>
      <c r="V265" s="27" t="n">
        <f aca="false">'Player Data'!U265</f>
        <v>2029</v>
      </c>
      <c r="W265" s="21" t="str">
        <f aca="false">IF(AND(T265&gt;=Assumptions!$B$19,U265="No"),"High Priority - Unrepresented",IF(T265&gt;=Assumptions!$B$19,"High Priority",IF(AND(T265&gt;=Assumptions!$B$20,U265="No"),"Watchlist - Unrepresented",IF(T265&gt;=Assumptions!$B$20,"Watchlist",""))))</f>
        <v/>
      </c>
      <c r="X265" s="21" t="str">
        <f aca="false">'Player Data'!V265</f>
        <v>info@sikassounited.ml</v>
      </c>
      <c r="Y265" s="28" t="str">
        <f aca="false">'Player Data'!W265</f>
        <v>Club sporting director / first-team office</v>
      </c>
      <c r="Z265" s="28" t="str">
        <f aca="false">'Player Data'!X265</f>
        <v>FEMAFOOT (Malian Football Federation) player registry</v>
      </c>
      <c r="AA265" s="19" t="str">
        <f aca="false">HYPERLINK("https://www.transfermarkt.com/schnellsuche/ergebnis/schnellsuche?query="&amp;SUBSTITUTE(A265," ","+"),"Search Transfermarkt")</f>
        <v>Search Transfermarkt</v>
      </c>
      <c r="AB265" s="29" t="n">
        <f aca="false">IFERROR('Player Data'!K265/('Player Data'!K265+'Player Data'!L265),0)</f>
        <v>0.727272727272727</v>
      </c>
      <c r="AC265" s="21" t="str">
        <f aca="false">IF(B265="GK",IF(AND(O265&gt;=Assumptions!$B$23,N265&gt;=Assumptions!$B$23),"Sweeper-Keeper / Build-from-the-Back",IF(O265&gt;=Assumptions!$B$23,"Sweeper-Keeper / High Line",IF(M265&gt;=Assumptions!$B$23,"Shot-Stopper / Traditional","Flexible / Multi-System"))),IF(AND(O265&gt;=Assumptions!$B$23,P265&gt;=Assumptions!$B$24),"High Press / Gegenpressing",IF(AND(N265&gt;=Assumptions!$B$23,AB265&gt;=Assumptions!$B$25),"Possession / Build-from-the-Back",IF(N265&gt;=Assumptions!$B$23,"Counter-Attack / Transition",IF(AND(O265&gt;=Assumptions!$B$23,N265&lt;Assumptions!$B$26),"Low Block / Park the Bus",IF(AND(B265="FW",M265&gt;=Assumptions!$B$23,N265&lt;Assumptions!$B$26),"Direct / Target Approach","Flexible / Multi-System"))))))</f>
        <v>Sweeper-Keeper / High Line</v>
      </c>
      <c r="AD265" s="21" t="str">
        <f aca="false">'Player Data'!Y265</f>
        <v>2026-07-17</v>
      </c>
      <c r="AE265" s="21" t="str">
        <f aca="false">'Player Data'!Z265</f>
        <v>2026-07-17</v>
      </c>
      <c r="AF265" s="28" t="str">
        <f aca="false">IFERROR(INDEX(Assumptions!$B$30:$B$61,MATCH(C265,Assumptions!$A$30:$A$61,0)),"--")</f>
        <v>Belgium, Portugal</v>
      </c>
      <c r="AG265" s="30" t="str">
        <f aca="false">IF(R265&gt;=0.7,"Step-Up Candidate",IF(R265&gt;=0.4,"Lateral Move","Stay &amp; Develop"))</f>
        <v>Lateral Move</v>
      </c>
    </row>
    <row r="266" customFormat="false" ht="23.85" hidden="false" customHeight="false" outlineLevel="0" collapsed="false">
      <c r="A266" s="21" t="str">
        <f aca="false">'Player Data'!A266</f>
        <v>Diyorbek Karimov</v>
      </c>
      <c r="B266" s="21" t="str">
        <f aca="false">'Player Data'!F266</f>
        <v>DF</v>
      </c>
      <c r="C266" s="21" t="str">
        <f aca="false">'Player Data'!B266</f>
        <v>Uzbekistan</v>
      </c>
      <c r="D266" s="21" t="str">
        <f aca="false">'Player Data'!C266</f>
        <v>Uzbekistan Second Division - West</v>
      </c>
      <c r="E266" s="21" t="n">
        <f aca="false">'Player Data'!D266</f>
        <v>4</v>
      </c>
      <c r="F266" s="21" t="n">
        <f aca="false">'Player Data'!G266</f>
        <v>22</v>
      </c>
      <c r="G266" s="21" t="n">
        <f aca="false">'Player Data'!H266</f>
        <v>2423</v>
      </c>
      <c r="H266" s="22" t="n">
        <f aca="false">IF(B266="GK",IFERROR(('Player Data'!N266-1.5*'Player Data'!O266)/'Player Data'!H266*90,0),IFERROR(('Player Data'!I266+'Player Data'!J266)/'Player Data'!H266*90,0))</f>
        <v>0.185720181593066</v>
      </c>
      <c r="I266" s="22" t="n">
        <f aca="false">IF(B266="GK",'Player Data'!P266,IFERROR(('Player Data'!K266+'Player Data'!L266)/'Player Data'!H266*90,0))</f>
        <v>3.19438712340074</v>
      </c>
      <c r="J266" s="22" t="n">
        <f aca="false">IF(B266="GK",IFERROR('Player Data'!Q266/'Player Data'!H266*90,0),IFERROR('Player Data'!M266/'Player Data'!H266*90,0))</f>
        <v>4.53157243087082</v>
      </c>
      <c r="K266" s="23" t="n">
        <f aca="false">'Player Data'!S266</f>
        <v>27757</v>
      </c>
      <c r="L266" s="22" t="n">
        <f aca="false">INDEX(Assumptions!$B$13:$B$15,MATCH(E266,Assumptions!$A$13:$A$15,0))</f>
        <v>0.7</v>
      </c>
      <c r="M266" s="24" t="n">
        <f aca="false">IFERROR(SUMPRODUCT(($B$2:$B$1001=B266)*($H$2:$H$1001&lt;=H266))/SUMPRODUCT(($B$2:$B$1001=B266)*1),0)</f>
        <v>0.503401360544218</v>
      </c>
      <c r="N266" s="24" t="n">
        <f aca="false">IFERROR(SUMPRODUCT(($B$2:$B$1001=B266)*($I$2:$I$1001&lt;=I266))/SUMPRODUCT(($B$2:$B$1001=B266)*1),0)</f>
        <v>0.129251700680272</v>
      </c>
      <c r="O266" s="24" t="n">
        <f aca="false">IFERROR(SUMPRODUCT(($B$2:$B$1001=B266)*($J$2:$J$1001&lt;=J266))/SUMPRODUCT(($B$2:$B$1001=B266)*1),0)</f>
        <v>0.36734693877551</v>
      </c>
      <c r="P266" s="24" t="n">
        <f aca="false">IFERROR(SUMPRODUCT(($B$2:$B$1001=B266)*((0-$F$2:$F$1001)&lt;=(0-F266)))/SUMPRODUCT(($B$2:$B$1001=B266)*1),0)</f>
        <v>0.493197278911565</v>
      </c>
      <c r="Q266" s="25" t="n">
        <f aca="false">(M266*Assumptions!$B$5+N266*Assumptions!$B$6+O266*Assumptions!$B$7+P266*Assumptions!$B$8)*L266</f>
        <v>0.240238095238095</v>
      </c>
      <c r="R266" s="24" t="n">
        <f aca="false">IFERROR(SUMPRODUCT(($B$2:$B$1001=B266)*($Q$2:$Q$1001&lt;=Q266))/SUMPRODUCT(($B$2:$B$1001=B266)*1),0)</f>
        <v>0.136054421768708</v>
      </c>
      <c r="S266" s="24" t="n">
        <f aca="false">IFERROR(SUMPRODUCT(($B$2:$B$1001=B266)*($K$2:$K$1001&lt;=K266))/SUMPRODUCT(($B$2:$B$1001=B266)*1),0)</f>
        <v>0.353741496598639</v>
      </c>
      <c r="T266" s="26" t="n">
        <f aca="false">(R266-S266)*100</f>
        <v>-21.7687074829932</v>
      </c>
      <c r="U266" s="21" t="str">
        <f aca="false">'Player Data'!T266</f>
        <v>No</v>
      </c>
      <c r="V266" s="27" t="n">
        <f aca="false">'Player Data'!U266</f>
        <v>2028</v>
      </c>
      <c r="W266" s="21" t="str">
        <f aca="false">IF(AND(T266&gt;=Assumptions!$B$19,U266="No"),"High Priority - Unrepresented",IF(T266&gt;=Assumptions!$B$19,"High Priority",IF(AND(T266&gt;=Assumptions!$B$20,U266="No"),"Watchlist - Unrepresented",IF(T266&gt;=Assumptions!$B$20,"Watchlist",""))))</f>
        <v/>
      </c>
      <c r="X266" s="21" t="str">
        <f aca="false">'Player Data'!V266</f>
        <v>info@tashkentathletic.uz</v>
      </c>
      <c r="Y266" s="28" t="str">
        <f aca="false">'Player Data'!W266</f>
        <v>Club sporting director / first-team office</v>
      </c>
      <c r="Z266" s="28" t="str">
        <f aca="false">'Player Data'!X266</f>
        <v>UFF (Uzbekistan Football Federation) player registry</v>
      </c>
      <c r="AA266" s="19" t="str">
        <f aca="false">HYPERLINK("https://www.transfermarkt.com/schnellsuche/ergebnis/schnellsuche?query="&amp;SUBSTITUTE(A266," ","+"),"Search Transfermarkt")</f>
        <v>Search Transfermarkt</v>
      </c>
      <c r="AB266" s="29" t="n">
        <f aca="false">IFERROR('Player Data'!K266/('Player Data'!K266+'Player Data'!L266),0)</f>
        <v>0.546511627906977</v>
      </c>
      <c r="AC266" s="21" t="str">
        <f aca="false">IF(B266="GK",IF(AND(O266&gt;=Assumptions!$B$23,N266&gt;=Assumptions!$B$23),"Sweeper-Keeper / Build-from-the-Back",IF(O266&gt;=Assumptions!$B$23,"Sweeper-Keeper / High Line",IF(M266&gt;=Assumptions!$B$23,"Shot-Stopper / Traditional","Flexible / Multi-System"))),IF(AND(O266&gt;=Assumptions!$B$23,P266&gt;=Assumptions!$B$24),"High Press / Gegenpressing",IF(AND(N266&gt;=Assumptions!$B$23,AB266&gt;=Assumptions!$B$25),"Possession / Build-from-the-Back",IF(N266&gt;=Assumptions!$B$23,"Counter-Attack / Transition",IF(AND(O266&gt;=Assumptions!$B$23,N266&lt;Assumptions!$B$26),"Low Block / Park the Bus",IF(AND(B266="FW",M266&gt;=Assumptions!$B$23,N266&lt;Assumptions!$B$26),"Direct / Target Approach","Flexible / Multi-System"))))))</f>
        <v>Flexible / Multi-System</v>
      </c>
      <c r="AD266" s="21" t="str">
        <f aca="false">'Player Data'!Y266</f>
        <v>2026-07-17</v>
      </c>
      <c r="AE266" s="21" t="str">
        <f aca="false">'Player Data'!Z266</f>
        <v>2026-07-17</v>
      </c>
      <c r="AF266" s="28" t="str">
        <f aca="false">IFERROR(INDEX(Assumptions!$B$30:$B$61,MATCH(C266,Assumptions!$A$30:$A$61,0)),"--")</f>
        <v>Turkey, Saudi Arabia</v>
      </c>
      <c r="AG266" s="30" t="str">
        <f aca="false">IF(R266&gt;=0.7,"Step-Up Candidate",IF(R266&gt;=0.4,"Lateral Move","Stay &amp; Develop"))</f>
        <v>Stay &amp; Develop</v>
      </c>
    </row>
    <row r="267" customFormat="false" ht="23.85" hidden="false" customHeight="false" outlineLevel="0" collapsed="false">
      <c r="A267" s="21" t="str">
        <f aca="false">'Player Data'!A267</f>
        <v>Somchai Wongsa</v>
      </c>
      <c r="B267" s="21" t="str">
        <f aca="false">'Player Data'!F267</f>
        <v>MF</v>
      </c>
      <c r="C267" s="21" t="str">
        <f aca="false">'Player Data'!B267</f>
        <v>Thailand</v>
      </c>
      <c r="D267" s="21" t="str">
        <f aca="false">'Player Data'!C267</f>
        <v>Thailand Amateur League</v>
      </c>
      <c r="E267" s="21" t="n">
        <f aca="false">'Player Data'!D267</f>
        <v>3</v>
      </c>
      <c r="F267" s="21" t="n">
        <f aca="false">'Player Data'!G267</f>
        <v>25</v>
      </c>
      <c r="G267" s="21" t="n">
        <f aca="false">'Player Data'!H267</f>
        <v>1964</v>
      </c>
      <c r="H267" s="22" t="n">
        <f aca="false">IF(B267="GK",IFERROR(('Player Data'!N267-1.5*'Player Data'!O267)/'Player Data'!H267*90,0),IFERROR(('Player Data'!I267+'Player Data'!J267)/'Player Data'!H267*90,0))</f>
        <v>0.504073319755601</v>
      </c>
      <c r="I267" s="22" t="n">
        <f aca="false">IF(B267="GK",'Player Data'!P267,IFERROR(('Player Data'!K267+'Player Data'!L267)/'Player Data'!H267*90,0))</f>
        <v>9.30244399185336</v>
      </c>
      <c r="J267" s="22" t="n">
        <f aca="false">IF(B267="GK",IFERROR('Player Data'!Q267/'Player Data'!H267*90,0),IFERROR('Player Data'!M267/'Player Data'!H267*90,0))</f>
        <v>2.24541751527495</v>
      </c>
      <c r="K267" s="23" t="n">
        <f aca="false">'Player Data'!S267</f>
        <v>97494</v>
      </c>
      <c r="L267" s="22" t="n">
        <f aca="false">INDEX(Assumptions!$B$13:$B$15,MATCH(E267,Assumptions!$A$13:$A$15,0))</f>
        <v>0.85</v>
      </c>
      <c r="M267" s="24" t="n">
        <f aca="false">IFERROR(SUMPRODUCT(($B$2:$B$1001=B267)*($H$2:$H$1001&lt;=H267))/SUMPRODUCT(($B$2:$B$1001=B267)*1),0)</f>
        <v>0.222222222222222</v>
      </c>
      <c r="N267" s="24" t="n">
        <f aca="false">IFERROR(SUMPRODUCT(($B$2:$B$1001=B267)*($I$2:$I$1001&lt;=I267))/SUMPRODUCT(($B$2:$B$1001=B267)*1),0)</f>
        <v>0.346801346801347</v>
      </c>
      <c r="O267" s="24" t="n">
        <f aca="false">IFERROR(SUMPRODUCT(($B$2:$B$1001=B267)*($J$2:$J$1001&lt;=J267))/SUMPRODUCT(($B$2:$B$1001=B267)*1),0)</f>
        <v>0.525252525252525</v>
      </c>
      <c r="P267" s="24" t="n">
        <f aca="false">IFERROR(SUMPRODUCT(($B$2:$B$1001=B267)*((0-$F$2:$F$1001)&lt;=(0-F267)))/SUMPRODUCT(($B$2:$B$1001=B267)*1),0)</f>
        <v>0.202020202020202</v>
      </c>
      <c r="Q267" s="25" t="n">
        <f aca="false">(M267*Assumptions!$B$5+N267*Assumptions!$B$6+O267*Assumptions!$B$7+P267*Assumptions!$B$8)*L267</f>
        <v>0.274031986531987</v>
      </c>
      <c r="R267" s="24" t="n">
        <f aca="false">IFERROR(SUMPRODUCT(($B$2:$B$1001=B267)*($Q$2:$Q$1001&lt;=Q267))/SUMPRODUCT(($B$2:$B$1001=B267)*1),0)</f>
        <v>0.222222222222222</v>
      </c>
      <c r="S267" s="24" t="n">
        <f aca="false">IFERROR(SUMPRODUCT(($B$2:$B$1001=B267)*($K$2:$K$1001&lt;=K267))/SUMPRODUCT(($B$2:$B$1001=B267)*1),0)</f>
        <v>0.723905723905724</v>
      </c>
      <c r="T267" s="26" t="n">
        <f aca="false">(R267-S267)*100</f>
        <v>-50.1683501683502</v>
      </c>
      <c r="U267" s="21" t="str">
        <f aca="false">'Player Data'!T267</f>
        <v>No</v>
      </c>
      <c r="V267" s="27" t="n">
        <f aca="false">'Player Data'!U267</f>
        <v>2029</v>
      </c>
      <c r="W267" s="21" t="str">
        <f aca="false">IF(AND(T267&gt;=Assumptions!$B$19,U267="No"),"High Priority - Unrepresented",IF(T267&gt;=Assumptions!$B$19,"High Priority",IF(AND(T267&gt;=Assumptions!$B$20,U267="No"),"Watchlist - Unrepresented",IF(T267&gt;=Assumptions!$B$20,"Watchlist",""))))</f>
        <v/>
      </c>
      <c r="X267" s="21" t="str">
        <f aca="false">'Player Data'!V267</f>
        <v>info@khonkaenunited.th</v>
      </c>
      <c r="Y267" s="28" t="str">
        <f aca="false">'Player Data'!W267</f>
        <v>Club sporting director / first-team office</v>
      </c>
      <c r="Z267" s="28" t="str">
        <f aca="false">'Player Data'!X267</f>
        <v>FAT (Football Association of Thailand) player registry</v>
      </c>
      <c r="AA267" s="19" t="str">
        <f aca="false">HYPERLINK("https://www.transfermarkt.com/schnellsuche/ergebnis/schnellsuche?query="&amp;SUBSTITUTE(A267," ","+"),"Search Transfermarkt")</f>
        <v>Search Transfermarkt</v>
      </c>
      <c r="AB267" s="29" t="n">
        <f aca="false">IFERROR('Player Data'!K267/('Player Data'!K267+'Player Data'!L267),0)</f>
        <v>0.571428571428571</v>
      </c>
      <c r="AC267" s="21" t="str">
        <f aca="false">IF(B267="GK",IF(AND(O267&gt;=Assumptions!$B$23,N267&gt;=Assumptions!$B$23),"Sweeper-Keeper / Build-from-the-Back",IF(O267&gt;=Assumptions!$B$23,"Sweeper-Keeper / High Line",IF(M267&gt;=Assumptions!$B$23,"Shot-Stopper / Traditional","Flexible / Multi-System"))),IF(AND(O267&gt;=Assumptions!$B$23,P267&gt;=Assumptions!$B$24),"High Press / Gegenpressing",IF(AND(N267&gt;=Assumptions!$B$23,AB267&gt;=Assumptions!$B$25),"Possession / Build-from-the-Back",IF(N267&gt;=Assumptions!$B$23,"Counter-Attack / Transition",IF(AND(O267&gt;=Assumptions!$B$23,N267&lt;Assumptions!$B$26),"Low Block / Park the Bus",IF(AND(B267="FW",M267&gt;=Assumptions!$B$23,N267&lt;Assumptions!$B$26),"Direct / Target Approach","Flexible / Multi-System"))))))</f>
        <v>Flexible / Multi-System</v>
      </c>
      <c r="AD267" s="21" t="str">
        <f aca="false">'Player Data'!Y267</f>
        <v>2026-07-17</v>
      </c>
      <c r="AE267" s="21" t="str">
        <f aca="false">'Player Data'!Z267</f>
        <v>2026-07-17</v>
      </c>
      <c r="AF267" s="28" t="str">
        <f aca="false">IFERROR(INDEX(Assumptions!$B$30:$B$61,MATCH(C267,Assumptions!$A$30:$A$61,0)),"--")</f>
        <v>Australia, Saudi Arabia</v>
      </c>
      <c r="AG267" s="30" t="str">
        <f aca="false">IF(R267&gt;=0.7,"Step-Up Candidate",IF(R267&gt;=0.4,"Lateral Move","Stay &amp; Develop"))</f>
        <v>Stay &amp; Develop</v>
      </c>
    </row>
    <row r="268" customFormat="false" ht="23.85" hidden="false" customHeight="false" outlineLevel="0" collapsed="false">
      <c r="A268" s="21" t="str">
        <f aca="false">'Player Data'!A268</f>
        <v>Jack Taylor</v>
      </c>
      <c r="B268" s="21" t="str">
        <f aca="false">'Player Data'!F268</f>
        <v>GK</v>
      </c>
      <c r="C268" s="21" t="str">
        <f aca="false">'Player Data'!B268</f>
        <v>New Zealand</v>
      </c>
      <c r="D268" s="21" t="str">
        <f aca="false">'Player Data'!C268</f>
        <v>New Zealand Amateur League</v>
      </c>
      <c r="E268" s="21" t="n">
        <f aca="false">'Player Data'!D268</f>
        <v>4</v>
      </c>
      <c r="F268" s="21" t="n">
        <f aca="false">'Player Data'!G268</f>
        <v>26</v>
      </c>
      <c r="G268" s="21" t="n">
        <f aca="false">'Player Data'!H268</f>
        <v>1650</v>
      </c>
      <c r="H268" s="22" t="n">
        <f aca="false">IF(B268="GK",IFERROR(('Player Data'!N268-1.5*'Player Data'!O268)/'Player Data'!H268*90,0),IFERROR(('Player Data'!I268+'Player Data'!J268)/'Player Data'!H268*90,0))</f>
        <v>1.17272727272727</v>
      </c>
      <c r="I268" s="22" t="n">
        <f aca="false">IF(B268="GK",'Player Data'!P268,IFERROR(('Player Data'!K268+'Player Data'!L268)/'Player Data'!H268*90,0))</f>
        <v>66.4</v>
      </c>
      <c r="J268" s="22" t="n">
        <f aca="false">IF(B268="GK",IFERROR('Player Data'!Q268/'Player Data'!H268*90,0),IFERROR('Player Data'!M268/'Player Data'!H268*90,0))</f>
        <v>1.32545454545455</v>
      </c>
      <c r="K268" s="23" t="n">
        <f aca="false">'Player Data'!S268</f>
        <v>67332</v>
      </c>
      <c r="L268" s="22" t="n">
        <f aca="false">INDEX(Assumptions!$B$13:$B$15,MATCH(E268,Assumptions!$A$13:$A$15,0))</f>
        <v>0.7</v>
      </c>
      <c r="M268" s="24" t="n">
        <f aca="false">IFERROR(SUMPRODUCT(($B$2:$B$1001=B268)*($H$2:$H$1001&lt;=H268))/SUMPRODUCT(($B$2:$B$1001=B268)*1),0)</f>
        <v>0.508196721311475</v>
      </c>
      <c r="N268" s="24" t="n">
        <f aca="false">IFERROR(SUMPRODUCT(($B$2:$B$1001=B268)*($I$2:$I$1001&lt;=I268))/SUMPRODUCT(($B$2:$B$1001=B268)*1),0)</f>
        <v>0.333333333333333</v>
      </c>
      <c r="O268" s="24" t="n">
        <f aca="false">IFERROR(SUMPRODUCT(($B$2:$B$1001=B268)*($J$2:$J$1001&lt;=J268))/SUMPRODUCT(($B$2:$B$1001=B268)*1),0)</f>
        <v>0.846994535519126</v>
      </c>
      <c r="P268" s="24" t="n">
        <f aca="false">IFERROR(SUMPRODUCT(($B$2:$B$1001=B268)*((0-$F$2:$F$1001)&lt;=(0-F268)))/SUMPRODUCT(($B$2:$B$1001=B268)*1),0)</f>
        <v>0.131147540983607</v>
      </c>
      <c r="Q268" s="25" t="n">
        <f aca="false">(M268*Assumptions!$B$5+N268*Assumptions!$B$6+O268*Assumptions!$B$7+P268*Assumptions!$B$8)*L268</f>
        <v>0.307540983606557</v>
      </c>
      <c r="R268" s="24" t="n">
        <f aca="false">IFERROR(SUMPRODUCT(($B$2:$B$1001=B268)*($Q$2:$Q$1001&lt;=Q268))/SUMPRODUCT(($B$2:$B$1001=B268)*1),0)</f>
        <v>0.136612021857924</v>
      </c>
      <c r="S268" s="24" t="n">
        <f aca="false">IFERROR(SUMPRODUCT(($B$2:$B$1001=B268)*($K$2:$K$1001&lt;=K268))/SUMPRODUCT(($B$2:$B$1001=B268)*1),0)</f>
        <v>0.502732240437159</v>
      </c>
      <c r="T268" s="26" t="n">
        <f aca="false">(R268-S268)*100</f>
        <v>-36.6120218579235</v>
      </c>
      <c r="U268" s="21" t="str">
        <f aca="false">'Player Data'!T268</f>
        <v>No</v>
      </c>
      <c r="V268" s="27" t="n">
        <f aca="false">'Player Data'!U268</f>
        <v>2027</v>
      </c>
      <c r="W268" s="21" t="str">
        <f aca="false">IF(AND(T268&gt;=Assumptions!$B$19,U268="No"),"High Priority - Unrepresented",IF(T268&gt;=Assumptions!$B$19,"High Priority",IF(AND(T268&gt;=Assumptions!$B$20,U268="No"),"Watchlist - Unrepresented",IF(T268&gt;=Assumptions!$B$20,"Watchlist",""))))</f>
        <v/>
      </c>
      <c r="X268" s="21" t="str">
        <f aca="false">'Player Data'!V268</f>
        <v>info@hamiltonrovers.nz</v>
      </c>
      <c r="Y268" s="28" t="str">
        <f aca="false">'Player Data'!W268</f>
        <v>Club sporting director / first-team office</v>
      </c>
      <c r="Z268" s="28" t="str">
        <f aca="false">'Player Data'!X268</f>
        <v>NZF (New Zealand Football) player registry</v>
      </c>
      <c r="AA268" s="19" t="str">
        <f aca="false">HYPERLINK("https://www.transfermarkt.com/schnellsuche/ergebnis/schnellsuche?query="&amp;SUBSTITUTE(A268," ","+"),"Search Transfermarkt")</f>
        <v>Search Transfermarkt</v>
      </c>
      <c r="AB268" s="29" t="n">
        <f aca="false">IFERROR('Player Data'!K268/('Player Data'!K268+'Player Data'!L268),0)</f>
        <v>0.733333333333333</v>
      </c>
      <c r="AC268" s="21" t="str">
        <f aca="false">IF(B268="GK",IF(AND(O268&gt;=Assumptions!$B$23,N268&gt;=Assumptions!$B$23),"Sweeper-Keeper / Build-from-the-Back",IF(O268&gt;=Assumptions!$B$23,"Sweeper-Keeper / High Line",IF(M268&gt;=Assumptions!$B$23,"Shot-Stopper / Traditional","Flexible / Multi-System"))),IF(AND(O268&gt;=Assumptions!$B$23,P268&gt;=Assumptions!$B$24),"High Press / Gegenpressing",IF(AND(N268&gt;=Assumptions!$B$23,AB268&gt;=Assumptions!$B$25),"Possession / Build-from-the-Back",IF(N268&gt;=Assumptions!$B$23,"Counter-Attack / Transition",IF(AND(O268&gt;=Assumptions!$B$23,N268&lt;Assumptions!$B$26),"Low Block / Park the Bus",IF(AND(B268="FW",M268&gt;=Assumptions!$B$23,N268&lt;Assumptions!$B$26),"Direct / Target Approach","Flexible / Multi-System"))))))</f>
        <v>Sweeper-Keeper / High Line</v>
      </c>
      <c r="AD268" s="21" t="str">
        <f aca="false">'Player Data'!Y268</f>
        <v>2026-07-17</v>
      </c>
      <c r="AE268" s="21" t="str">
        <f aca="false">'Player Data'!Z268</f>
        <v>2026-07-17</v>
      </c>
      <c r="AF268" s="28" t="str">
        <f aca="false">IFERROR(INDEX(Assumptions!$B$30:$B$61,MATCH(C268,Assumptions!$A$30:$A$61,0)),"--")</f>
        <v>Australia, United States</v>
      </c>
      <c r="AG268" s="30" t="str">
        <f aca="false">IF(R268&gt;=0.7,"Step-Up Candidate",IF(R268&gt;=0.4,"Lateral Move","Stay &amp; Develop"))</f>
        <v>Stay &amp; Develop</v>
      </c>
    </row>
    <row r="269" customFormat="false" ht="23.85" hidden="false" customHeight="false" outlineLevel="0" collapsed="false">
      <c r="A269" s="21" t="str">
        <f aca="false">'Player Data'!A269</f>
        <v>Carlos Quinonez</v>
      </c>
      <c r="B269" s="21" t="str">
        <f aca="false">'Player Data'!F269</f>
        <v>GK</v>
      </c>
      <c r="C269" s="21" t="str">
        <f aca="false">'Player Data'!B269</f>
        <v>Ecuador</v>
      </c>
      <c r="D269" s="21" t="str">
        <f aca="false">'Player Data'!C269</f>
        <v>Ecuador Second Division</v>
      </c>
      <c r="E269" s="21" t="n">
        <f aca="false">'Player Data'!D269</f>
        <v>2</v>
      </c>
      <c r="F269" s="21" t="n">
        <f aca="false">'Player Data'!G269</f>
        <v>17</v>
      </c>
      <c r="G269" s="21" t="n">
        <f aca="false">'Player Data'!H269</f>
        <v>1127</v>
      </c>
      <c r="H269" s="22" t="n">
        <f aca="false">IF(B269="GK",IFERROR(('Player Data'!N269-1.5*'Player Data'!O269)/'Player Data'!H269*90,0),IFERROR(('Player Data'!I269+'Player Data'!J269)/'Player Data'!H269*90,0))</f>
        <v>-0.319432120674357</v>
      </c>
      <c r="I269" s="22" t="n">
        <f aca="false">IF(B269="GK",'Player Data'!P269,IFERROR(('Player Data'!K269+'Player Data'!L269)/'Player Data'!H269*90,0))</f>
        <v>66.3</v>
      </c>
      <c r="J269" s="22" t="n">
        <f aca="false">IF(B269="GK",IFERROR('Player Data'!Q269/'Player Data'!H269*90,0),IFERROR('Player Data'!M269/'Player Data'!H269*90,0))</f>
        <v>0.910381543921917</v>
      </c>
      <c r="K269" s="23" t="n">
        <f aca="false">'Player Data'!S269</f>
        <v>0</v>
      </c>
      <c r="L269" s="22" t="n">
        <f aca="false">INDEX(Assumptions!$B$13:$B$15,MATCH(E269,Assumptions!$A$13:$A$15,0))</f>
        <v>1</v>
      </c>
      <c r="M269" s="24" t="n">
        <f aca="false">IFERROR(SUMPRODUCT(($B$2:$B$1001=B269)*($H$2:$H$1001&lt;=H269))/SUMPRODUCT(($B$2:$B$1001=B269)*1),0)</f>
        <v>0.114754098360656</v>
      </c>
      <c r="N269" s="24" t="n">
        <f aca="false">IFERROR(SUMPRODUCT(($B$2:$B$1001=B269)*($I$2:$I$1001&lt;=I269))/SUMPRODUCT(($B$2:$B$1001=B269)*1),0)</f>
        <v>0.327868852459016</v>
      </c>
      <c r="O269" s="24" t="n">
        <f aca="false">IFERROR(SUMPRODUCT(($B$2:$B$1001=B269)*($J$2:$J$1001&lt;=J269))/SUMPRODUCT(($B$2:$B$1001=B269)*1),0)</f>
        <v>0.562841530054645</v>
      </c>
      <c r="P269" s="24" t="n">
        <f aca="false">IFERROR(SUMPRODUCT(($B$2:$B$1001=B269)*((0-$F$2:$F$1001)&lt;=(0-F269)))/SUMPRODUCT(($B$2:$B$1001=B269)*1),0)</f>
        <v>1</v>
      </c>
      <c r="Q269" s="25" t="n">
        <f aca="false">(M269*Assumptions!$B$5+N269*Assumptions!$B$6+O269*Assumptions!$B$7+P269*Assumptions!$B$8)*L269</f>
        <v>0.456010928961749</v>
      </c>
      <c r="R269" s="24" t="n">
        <f aca="false">IFERROR(SUMPRODUCT(($B$2:$B$1001=B269)*($Q$2:$Q$1001&lt;=Q269))/SUMPRODUCT(($B$2:$B$1001=B269)*1),0)</f>
        <v>0.475409836065574</v>
      </c>
      <c r="S269" s="24" t="n">
        <f aca="false">IFERROR(SUMPRODUCT(($B$2:$B$1001=B269)*($K$2:$K$1001&lt;=K269))/SUMPRODUCT(($B$2:$B$1001=B269)*1),0)</f>
        <v>0.218579234972678</v>
      </c>
      <c r="T269" s="26" t="n">
        <f aca="false">(R269-S269)*100</f>
        <v>25.6830601092896</v>
      </c>
      <c r="U269" s="21" t="str">
        <f aca="false">'Player Data'!T269</f>
        <v>Unknown</v>
      </c>
      <c r="V269" s="27" t="n">
        <f aca="false">'Player Data'!U269</f>
        <v>2026</v>
      </c>
      <c r="W269" s="21" t="str">
        <f aca="false">IF(AND(T269&gt;=Assumptions!$B$19,U269="No"),"High Priority - Unrepresented",IF(T269&gt;=Assumptions!$B$19,"High Priority",IF(AND(T269&gt;=Assumptions!$B$20,U269="No"),"Watchlist - Unrepresented",IF(T269&gt;=Assumptions!$B$20,"Watchlist",""))))</f>
        <v>Watchlist</v>
      </c>
      <c r="X269" s="21" t="str">
        <f aca="false">'Player Data'!V269</f>
        <v>info@cuencarangers.ec</v>
      </c>
      <c r="Y269" s="28" t="str">
        <f aca="false">'Player Data'!W269</f>
        <v>Club youth/academy office ONLY - player is a minor, do not contact directly</v>
      </c>
      <c r="Z269" s="28" t="str">
        <f aca="false">'Player Data'!X269</f>
        <v>FEF (Ecuadorian Football Federation) player registry</v>
      </c>
      <c r="AA269" s="19" t="str">
        <f aca="false">HYPERLINK("https://www.transfermarkt.com/schnellsuche/ergebnis/schnellsuche?query="&amp;SUBSTITUTE(A269," ","+"),"Search Transfermarkt")</f>
        <v>Search Transfermarkt</v>
      </c>
      <c r="AB269" s="29" t="n">
        <f aca="false">IFERROR('Player Data'!K269/('Player Data'!K269+'Player Data'!L269),0)</f>
        <v>0.916666666666667</v>
      </c>
      <c r="AC269" s="21" t="str">
        <f aca="false">IF(B269="GK",IF(AND(O269&gt;=Assumptions!$B$23,N269&gt;=Assumptions!$B$23),"Sweeper-Keeper / Build-from-the-Back",IF(O269&gt;=Assumptions!$B$23,"Sweeper-Keeper / High Line",IF(M269&gt;=Assumptions!$B$23,"Shot-Stopper / Traditional","Flexible / Multi-System"))),IF(AND(O269&gt;=Assumptions!$B$23,P269&gt;=Assumptions!$B$24),"High Press / Gegenpressing",IF(AND(N269&gt;=Assumptions!$B$23,AB269&gt;=Assumptions!$B$25),"Possession / Build-from-the-Back",IF(N269&gt;=Assumptions!$B$23,"Counter-Attack / Transition",IF(AND(O269&gt;=Assumptions!$B$23,N269&lt;Assumptions!$B$26),"Low Block / Park the Bus",IF(AND(B269="FW",M269&gt;=Assumptions!$B$23,N269&lt;Assumptions!$B$26),"Direct / Target Approach","Flexible / Multi-System"))))))</f>
        <v>Flexible / Multi-System</v>
      </c>
      <c r="AD269" s="21" t="str">
        <f aca="false">'Player Data'!Y269</f>
        <v>2026-07-17</v>
      </c>
      <c r="AE269" s="21" t="str">
        <f aca="false">'Player Data'!Z269</f>
        <v>2026-07-17</v>
      </c>
      <c r="AF269" s="28" t="str">
        <f aca="false">IFERROR(INDEX(Assumptions!$B$30:$B$61,MATCH(C269,Assumptions!$A$30:$A$61,0)),"--")</f>
        <v>Argentina, Portugal</v>
      </c>
      <c r="AG269" s="30" t="str">
        <f aca="false">IF(R269&gt;=0.7,"Step-Up Candidate",IF(R269&gt;=0.4,"Lateral Move","Stay &amp; Develop"))</f>
        <v>Lateral Move</v>
      </c>
    </row>
    <row r="270" customFormat="false" ht="23.85" hidden="false" customHeight="false" outlineLevel="0" collapsed="false">
      <c r="A270" s="21" t="str">
        <f aca="false">'Player Data'!A270</f>
        <v>Damion Reid</v>
      </c>
      <c r="B270" s="21" t="str">
        <f aca="false">'Player Data'!F270</f>
        <v>FW</v>
      </c>
      <c r="C270" s="21" t="str">
        <f aca="false">'Player Data'!B270</f>
        <v>Jamaica</v>
      </c>
      <c r="D270" s="21" t="str">
        <f aca="false">'Player Data'!C270</f>
        <v>Jamaica Second Division - West</v>
      </c>
      <c r="E270" s="21" t="n">
        <f aca="false">'Player Data'!D270</f>
        <v>3</v>
      </c>
      <c r="F270" s="21" t="n">
        <f aca="false">'Player Data'!G270</f>
        <v>19</v>
      </c>
      <c r="G270" s="21" t="n">
        <f aca="false">'Player Data'!H270</f>
        <v>1498</v>
      </c>
      <c r="H270" s="22" t="n">
        <f aca="false">IF(B270="GK",IFERROR(('Player Data'!N270-1.5*'Player Data'!O270)/'Player Data'!H270*90,0),IFERROR(('Player Data'!I270+'Player Data'!J270)/'Player Data'!H270*90,0))</f>
        <v>1.32176234979973</v>
      </c>
      <c r="I270" s="22" t="n">
        <f aca="false">IF(B270="GK",'Player Data'!P270,IFERROR(('Player Data'!K270+'Player Data'!L270)/'Player Data'!H270*90,0))</f>
        <v>6.60881174899867</v>
      </c>
      <c r="J270" s="22" t="n">
        <f aca="false">IF(B270="GK",IFERROR('Player Data'!Q270/'Player Data'!H270*90,0),IFERROR('Player Data'!M270/'Player Data'!H270*90,0))</f>
        <v>0.540720961281709</v>
      </c>
      <c r="K270" s="23" t="n">
        <f aca="false">'Player Data'!S270</f>
        <v>0</v>
      </c>
      <c r="L270" s="22" t="n">
        <f aca="false">INDEX(Assumptions!$B$13:$B$15,MATCH(E270,Assumptions!$A$13:$A$15,0))</f>
        <v>0.85</v>
      </c>
      <c r="M270" s="24" t="n">
        <f aca="false">IFERROR(SUMPRODUCT(($B$2:$B$1001=B270)*($H$2:$H$1001&lt;=H270))/SUMPRODUCT(($B$2:$B$1001=B270)*1),0)</f>
        <v>0.747787610619469</v>
      </c>
      <c r="N270" s="24" t="n">
        <f aca="false">IFERROR(SUMPRODUCT(($B$2:$B$1001=B270)*($I$2:$I$1001&lt;=I270))/SUMPRODUCT(($B$2:$B$1001=B270)*1),0)</f>
        <v>0.513274336283186</v>
      </c>
      <c r="O270" s="24" t="n">
        <f aca="false">IFERROR(SUMPRODUCT(($B$2:$B$1001=B270)*($J$2:$J$1001&lt;=J270))/SUMPRODUCT(($B$2:$B$1001=B270)*1),0)</f>
        <v>0.561946902654867</v>
      </c>
      <c r="P270" s="24" t="n">
        <f aca="false">IFERROR(SUMPRODUCT(($B$2:$B$1001=B270)*((0-$F$2:$F$1001)&lt;=(0-F270)))/SUMPRODUCT(($B$2:$B$1001=B270)*1),0)</f>
        <v>0.831858407079646</v>
      </c>
      <c r="Q270" s="25" t="n">
        <f aca="false">(M270*Assumptions!$B$5+N270*Assumptions!$B$6+O270*Assumptions!$B$7+P270*Assumptions!$B$8)*L270</f>
        <v>0.548550884955752</v>
      </c>
      <c r="R270" s="24" t="n">
        <f aca="false">IFERROR(SUMPRODUCT(($B$2:$B$1001=B270)*($Q$2:$Q$1001&lt;=Q270))/SUMPRODUCT(($B$2:$B$1001=B270)*1),0)</f>
        <v>0.676991150442478</v>
      </c>
      <c r="S270" s="24" t="n">
        <f aca="false">IFERROR(SUMPRODUCT(($B$2:$B$1001=B270)*($K$2:$K$1001&lt;=K270))/SUMPRODUCT(($B$2:$B$1001=B270)*1),0)</f>
        <v>0.261061946902655</v>
      </c>
      <c r="T270" s="26" t="n">
        <f aca="false">(R270-S270)*100</f>
        <v>41.5929203539823</v>
      </c>
      <c r="U270" s="21" t="str">
        <f aca="false">'Player Data'!T270</f>
        <v>Unknown</v>
      </c>
      <c r="V270" s="27" t="n">
        <f aca="false">'Player Data'!U270</f>
        <v>2028</v>
      </c>
      <c r="W270" s="21" t="str">
        <f aca="false">IF(AND(T270&gt;=Assumptions!$B$19,U270="No"),"High Priority - Unrepresented",IF(T270&gt;=Assumptions!$B$19,"High Priority",IF(AND(T270&gt;=Assumptions!$B$20,U270="No"),"Watchlist - Unrepresented",IF(T270&gt;=Assumptions!$B$20,"Watchlist",""))))</f>
        <v>High Priority</v>
      </c>
      <c r="X270" s="21" t="str">
        <f aca="false">'Player Data'!V270</f>
        <v>info@maypenfc.jm</v>
      </c>
      <c r="Y270" s="28" t="str">
        <f aca="false">'Player Data'!W270</f>
        <v>Club sporting director / first-team office</v>
      </c>
      <c r="Z270" s="28" t="str">
        <f aca="false">'Player Data'!X270</f>
        <v>JFF (Jamaica Football Federation) player registry</v>
      </c>
      <c r="AA270" s="19" t="str">
        <f aca="false">HYPERLINK("https://www.transfermarkt.com/schnellsuche/ergebnis/schnellsuche?query="&amp;SUBSTITUTE(A270," ","+"),"Search Transfermarkt")</f>
        <v>Search Transfermarkt</v>
      </c>
      <c r="AB270" s="29" t="n">
        <f aca="false">IFERROR('Player Data'!K270/('Player Data'!K270+'Player Data'!L270),0)</f>
        <v>0.318181818181818</v>
      </c>
      <c r="AC270" s="21" t="str">
        <f aca="false">IF(B270="GK",IF(AND(O270&gt;=Assumptions!$B$23,N270&gt;=Assumptions!$B$23),"Sweeper-Keeper / Build-from-the-Back",IF(O270&gt;=Assumptions!$B$23,"Sweeper-Keeper / High Line",IF(M270&gt;=Assumptions!$B$23,"Shot-Stopper / Traditional","Flexible / Multi-System"))),IF(AND(O270&gt;=Assumptions!$B$23,P270&gt;=Assumptions!$B$24),"High Press / Gegenpressing",IF(AND(N270&gt;=Assumptions!$B$23,AB270&gt;=Assumptions!$B$25),"Possession / Build-from-the-Back",IF(N270&gt;=Assumptions!$B$23,"Counter-Attack / Transition",IF(AND(O270&gt;=Assumptions!$B$23,N270&lt;Assumptions!$B$26),"Low Block / Park the Bus",IF(AND(B270="FW",M270&gt;=Assumptions!$B$23,N270&lt;Assumptions!$B$26),"Direct / Target Approach","Flexible / Multi-System"))))))</f>
        <v>Flexible / Multi-System</v>
      </c>
      <c r="AD270" s="21" t="str">
        <f aca="false">'Player Data'!Y270</f>
        <v>2026-07-17</v>
      </c>
      <c r="AE270" s="21" t="str">
        <f aca="false">'Player Data'!Z270</f>
        <v>2026-07-17</v>
      </c>
      <c r="AF270" s="28" t="str">
        <f aca="false">IFERROR(INDEX(Assumptions!$B$30:$B$61,MATCH(C270,Assumptions!$A$30:$A$61,0)),"--")</f>
        <v>United States, Mexico</v>
      </c>
      <c r="AG270" s="30" t="str">
        <f aca="false">IF(R270&gt;=0.7,"Step-Up Candidate",IF(R270&gt;=0.4,"Lateral Move","Stay &amp; Develop"))</f>
        <v>Lateral Move</v>
      </c>
    </row>
    <row r="271" customFormat="false" ht="23.85" hidden="false" customHeight="false" outlineLevel="0" collapsed="false">
      <c r="A271" s="21" t="str">
        <f aca="false">'Player Data'!A271</f>
        <v>Nicolas Martinez</v>
      </c>
      <c r="B271" s="21" t="str">
        <f aca="false">'Player Data'!F271</f>
        <v>GK</v>
      </c>
      <c r="C271" s="21" t="str">
        <f aca="false">'Player Data'!B271</f>
        <v>Bolivia</v>
      </c>
      <c r="D271" s="21" t="str">
        <f aca="false">'Player Data'!C271</f>
        <v>Bolivia Second Division - East</v>
      </c>
      <c r="E271" s="21" t="n">
        <f aca="false">'Player Data'!D271</f>
        <v>3</v>
      </c>
      <c r="F271" s="21" t="n">
        <f aca="false">'Player Data'!G271</f>
        <v>19</v>
      </c>
      <c r="G271" s="21" t="n">
        <f aca="false">'Player Data'!H271</f>
        <v>1109</v>
      </c>
      <c r="H271" s="22" t="n">
        <f aca="false">IF(B271="GK",IFERROR(('Player Data'!N271-1.5*'Player Data'!O271)/'Player Data'!H271*90,0),IFERROR(('Player Data'!I271+'Player Data'!J271)/'Player Data'!H271*90,0))</f>
        <v>1.01442741208296</v>
      </c>
      <c r="I271" s="22" t="n">
        <f aca="false">IF(B271="GK",'Player Data'!P271,IFERROR(('Player Data'!K271+'Player Data'!L271)/'Player Data'!H271*90,0))</f>
        <v>63</v>
      </c>
      <c r="J271" s="22" t="n">
        <f aca="false">IF(B271="GK",IFERROR('Player Data'!Q271/'Player Data'!H271*90,0),IFERROR('Player Data'!M271/'Player Data'!H271*90,0))</f>
        <v>0.438232642019838</v>
      </c>
      <c r="K271" s="23" t="n">
        <f aca="false">'Player Data'!S271</f>
        <v>124110</v>
      </c>
      <c r="L271" s="22" t="n">
        <f aca="false">INDEX(Assumptions!$B$13:$B$15,MATCH(E271,Assumptions!$A$13:$A$15,0))</f>
        <v>0.85</v>
      </c>
      <c r="M271" s="24" t="n">
        <f aca="false">IFERROR(SUMPRODUCT(($B$2:$B$1001=B271)*($H$2:$H$1001&lt;=H271))/SUMPRODUCT(($B$2:$B$1001=B271)*1),0)</f>
        <v>0.431693989071038</v>
      </c>
      <c r="N271" s="24" t="n">
        <f aca="false">IFERROR(SUMPRODUCT(($B$2:$B$1001=B271)*($I$2:$I$1001&lt;=I271))/SUMPRODUCT(($B$2:$B$1001=B271)*1),0)</f>
        <v>0.251366120218579</v>
      </c>
      <c r="O271" s="24" t="n">
        <f aca="false">IFERROR(SUMPRODUCT(($B$2:$B$1001=B271)*($J$2:$J$1001&lt;=J271))/SUMPRODUCT(($B$2:$B$1001=B271)*1),0)</f>
        <v>0.19672131147541</v>
      </c>
      <c r="P271" s="24" t="n">
        <f aca="false">IFERROR(SUMPRODUCT(($B$2:$B$1001=B271)*((0-$F$2:$F$1001)&lt;=(0-F271)))/SUMPRODUCT(($B$2:$B$1001=B271)*1),0)</f>
        <v>0.770491803278689</v>
      </c>
      <c r="Q271" s="25" t="n">
        <f aca="false">(M271*Assumptions!$B$5+N271*Assumptions!$B$6+O271*Assumptions!$B$7+P271*Assumptions!$B$8)*L271</f>
        <v>0.33094262295082</v>
      </c>
      <c r="R271" s="24" t="n">
        <f aca="false">IFERROR(SUMPRODUCT(($B$2:$B$1001=B271)*($Q$2:$Q$1001&lt;=Q271))/SUMPRODUCT(($B$2:$B$1001=B271)*1),0)</f>
        <v>0.207650273224044</v>
      </c>
      <c r="S271" s="24" t="n">
        <f aca="false">IFERROR(SUMPRODUCT(($B$2:$B$1001=B271)*($K$2:$K$1001&lt;=K271))/SUMPRODUCT(($B$2:$B$1001=B271)*1),0)</f>
        <v>0.836065573770492</v>
      </c>
      <c r="T271" s="26" t="n">
        <f aca="false">(R271-S271)*100</f>
        <v>-62.8415300546448</v>
      </c>
      <c r="U271" s="21" t="str">
        <f aca="false">'Player Data'!T271</f>
        <v>No</v>
      </c>
      <c r="V271" s="27" t="n">
        <f aca="false">'Player Data'!U271</f>
        <v>2028</v>
      </c>
      <c r="W271" s="21" t="str">
        <f aca="false">IF(AND(T271&gt;=Assumptions!$B$19,U271="No"),"High Priority - Unrepresented",IF(T271&gt;=Assumptions!$B$19,"High Priority",IF(AND(T271&gt;=Assumptions!$B$20,U271="No"),"Watchlist - Unrepresented",IF(T271&gt;=Assumptions!$B$20,"Watchlist",""))))</f>
        <v/>
      </c>
      <c r="X271" s="21" t="str">
        <f aca="false">'Player Data'!V271</f>
        <v>info@cochabambaunited.bo</v>
      </c>
      <c r="Y271" s="28" t="str">
        <f aca="false">'Player Data'!W271</f>
        <v>Club sporting director / first-team office</v>
      </c>
      <c r="Z271" s="28" t="str">
        <f aca="false">'Player Data'!X271</f>
        <v>FBF (Bolivian Football Federation) player registry</v>
      </c>
      <c r="AA271" s="19" t="str">
        <f aca="false">HYPERLINK("https://www.transfermarkt.com/schnellsuche/ergebnis/schnellsuche?query="&amp;SUBSTITUTE(A271," ","+"),"Search Transfermarkt")</f>
        <v>Search Transfermarkt</v>
      </c>
      <c r="AB271" s="29" t="n">
        <f aca="false">IFERROR('Player Data'!K271/('Player Data'!K271+'Player Data'!L271),0)</f>
        <v>1</v>
      </c>
      <c r="AC271" s="21" t="str">
        <f aca="false">IF(B271="GK",IF(AND(O271&gt;=Assumptions!$B$23,N271&gt;=Assumptions!$B$23),"Sweeper-Keeper / Build-from-the-Back",IF(O271&gt;=Assumptions!$B$23,"Sweeper-Keeper / High Line",IF(M271&gt;=Assumptions!$B$23,"Shot-Stopper / Traditional","Flexible / Multi-System"))),IF(AND(O271&gt;=Assumptions!$B$23,P271&gt;=Assumptions!$B$24),"High Press / Gegenpressing",IF(AND(N271&gt;=Assumptions!$B$23,AB271&gt;=Assumptions!$B$25),"Possession / Build-from-the-Back",IF(N271&gt;=Assumptions!$B$23,"Counter-Attack / Transition",IF(AND(O271&gt;=Assumptions!$B$23,N271&lt;Assumptions!$B$26),"Low Block / Park the Bus",IF(AND(B271="FW",M271&gt;=Assumptions!$B$23,N271&lt;Assumptions!$B$26),"Direct / Target Approach","Flexible / Multi-System"))))))</f>
        <v>Flexible / Multi-System</v>
      </c>
      <c r="AD271" s="21" t="str">
        <f aca="false">'Player Data'!Y271</f>
        <v>2026-07-17</v>
      </c>
      <c r="AE271" s="21" t="str">
        <f aca="false">'Player Data'!Z271</f>
        <v>2026-07-17</v>
      </c>
      <c r="AF271" s="28" t="str">
        <f aca="false">IFERROR(INDEX(Assumptions!$B$30:$B$61,MATCH(C271,Assumptions!$A$30:$A$61,0)),"--")</f>
        <v>Argentina, Portugal</v>
      </c>
      <c r="AG271" s="30" t="str">
        <f aca="false">IF(R271&gt;=0.7,"Step-Up Candidate",IF(R271&gt;=0.4,"Lateral Move","Stay &amp; Develop"))</f>
        <v>Stay &amp; Develop</v>
      </c>
    </row>
    <row r="272" customFormat="false" ht="23.85" hidden="false" customHeight="false" outlineLevel="0" collapsed="false">
      <c r="A272" s="21" t="str">
        <f aca="false">'Player Data'!A272</f>
        <v>Kwabena Owusu</v>
      </c>
      <c r="B272" s="21" t="str">
        <f aca="false">'Player Data'!F272</f>
        <v>MF</v>
      </c>
      <c r="C272" s="21" t="str">
        <f aca="false">'Player Data'!B272</f>
        <v>Ghana</v>
      </c>
      <c r="D272" s="21" t="str">
        <f aca="false">'Player Data'!C272</f>
        <v>Ghana Amateur League</v>
      </c>
      <c r="E272" s="21" t="n">
        <f aca="false">'Player Data'!D272</f>
        <v>3</v>
      </c>
      <c r="F272" s="21" t="n">
        <f aca="false">'Player Data'!G272</f>
        <v>21</v>
      </c>
      <c r="G272" s="21" t="n">
        <f aca="false">'Player Data'!H272</f>
        <v>2389</v>
      </c>
      <c r="H272" s="22" t="n">
        <f aca="false">IF(B272="GK",IFERROR(('Player Data'!N272-1.5*'Player Data'!O272)/'Player Data'!H272*90,0),IFERROR(('Player Data'!I272+'Player Data'!J272)/'Player Data'!H272*90,0))</f>
        <v>0.565089995814148</v>
      </c>
      <c r="I272" s="22" t="n">
        <f aca="false">IF(B272="GK",'Player Data'!P272,IFERROR(('Player Data'!K272+'Player Data'!L272)/'Player Data'!H272*90,0))</f>
        <v>8.81540393470071</v>
      </c>
      <c r="J272" s="22" t="n">
        <f aca="false">IF(B272="GK",IFERROR('Player Data'!Q272/'Player Data'!H272*90,0),IFERROR('Player Data'!M272/'Player Data'!H272*90,0))</f>
        <v>1.24319799079113</v>
      </c>
      <c r="K272" s="23" t="n">
        <f aca="false">'Player Data'!S272</f>
        <v>83591</v>
      </c>
      <c r="L272" s="22" t="n">
        <f aca="false">INDEX(Assumptions!$B$13:$B$15,MATCH(E272,Assumptions!$A$13:$A$15,0))</f>
        <v>0.85</v>
      </c>
      <c r="M272" s="24" t="n">
        <f aca="false">IFERROR(SUMPRODUCT(($B$2:$B$1001=B272)*($H$2:$H$1001&lt;=H272))/SUMPRODUCT(($B$2:$B$1001=B272)*1),0)</f>
        <v>0.28956228956229</v>
      </c>
      <c r="N272" s="24" t="n">
        <f aca="false">IFERROR(SUMPRODUCT(($B$2:$B$1001=B272)*($I$2:$I$1001&lt;=I272))/SUMPRODUCT(($B$2:$B$1001=B272)*1),0)</f>
        <v>0.259259259259259</v>
      </c>
      <c r="O272" s="24" t="n">
        <f aca="false">IFERROR(SUMPRODUCT(($B$2:$B$1001=B272)*($J$2:$J$1001&lt;=J272))/SUMPRODUCT(($B$2:$B$1001=B272)*1),0)</f>
        <v>0.0808080808080808</v>
      </c>
      <c r="P272" s="24" t="n">
        <f aca="false">IFERROR(SUMPRODUCT(($B$2:$B$1001=B272)*((0-$F$2:$F$1001)&lt;=(0-F272)))/SUMPRODUCT(($B$2:$B$1001=B272)*1),0)</f>
        <v>0.61952861952862</v>
      </c>
      <c r="Q272" s="25" t="n">
        <f aca="false">(M272*Assumptions!$B$5+N272*Assumptions!$B$6+O272*Assumptions!$B$7+P272*Assumptions!$B$8)*L272</f>
        <v>0.257718855218855</v>
      </c>
      <c r="R272" s="24" t="n">
        <f aca="false">IFERROR(SUMPRODUCT(($B$2:$B$1001=B272)*($Q$2:$Q$1001&lt;=Q272))/SUMPRODUCT(($B$2:$B$1001=B272)*1),0)</f>
        <v>0.191919191919192</v>
      </c>
      <c r="S272" s="24" t="n">
        <f aca="false">IFERROR(SUMPRODUCT(($B$2:$B$1001=B272)*($K$2:$K$1001&lt;=K272))/SUMPRODUCT(($B$2:$B$1001=B272)*1),0)</f>
        <v>0.663299663299663</v>
      </c>
      <c r="T272" s="26" t="n">
        <f aca="false">(R272-S272)*100</f>
        <v>-47.1380471380471</v>
      </c>
      <c r="U272" s="21" t="str">
        <f aca="false">'Player Data'!T272</f>
        <v>Yes</v>
      </c>
      <c r="V272" s="27" t="n">
        <f aca="false">'Player Data'!U272</f>
        <v>2026</v>
      </c>
      <c r="W272" s="21" t="str">
        <f aca="false">IF(AND(T272&gt;=Assumptions!$B$19,U272="No"),"High Priority - Unrepresented",IF(T272&gt;=Assumptions!$B$19,"High Priority",IF(AND(T272&gt;=Assumptions!$B$20,U272="No"),"Watchlist - Unrepresented",IF(T272&gt;=Assumptions!$B$20,"Watchlist",""))))</f>
        <v/>
      </c>
      <c r="X272" s="21" t="str">
        <f aca="false">'Player Data'!V272</f>
        <v>info@sekondiunited.gh</v>
      </c>
      <c r="Y272" s="28" t="str">
        <f aca="false">'Player Data'!W272</f>
        <v>Go through the player's agent - ask the club to confirm representation first</v>
      </c>
      <c r="Z272" s="28" t="str">
        <f aca="false">'Player Data'!X272</f>
        <v>GFA (Ghana Football Association) player registry</v>
      </c>
      <c r="AA272" s="19" t="str">
        <f aca="false">HYPERLINK("https://www.transfermarkt.com/schnellsuche/ergebnis/schnellsuche?query="&amp;SUBSTITUTE(A272," ","+"),"Search Transfermarkt")</f>
        <v>Search Transfermarkt</v>
      </c>
      <c r="AB272" s="29" t="n">
        <f aca="false">IFERROR('Player Data'!K272/('Player Data'!K272+'Player Data'!L272),0)</f>
        <v>0.628205128205128</v>
      </c>
      <c r="AC272" s="21" t="str">
        <f aca="false">IF(B272="GK",IF(AND(O272&gt;=Assumptions!$B$23,N272&gt;=Assumptions!$B$23),"Sweeper-Keeper / Build-from-the-Back",IF(O272&gt;=Assumptions!$B$23,"Sweeper-Keeper / High Line",IF(M272&gt;=Assumptions!$B$23,"Shot-Stopper / Traditional","Flexible / Multi-System"))),IF(AND(O272&gt;=Assumptions!$B$23,P272&gt;=Assumptions!$B$24),"High Press / Gegenpressing",IF(AND(N272&gt;=Assumptions!$B$23,AB272&gt;=Assumptions!$B$25),"Possession / Build-from-the-Back",IF(N272&gt;=Assumptions!$B$23,"Counter-Attack / Transition",IF(AND(O272&gt;=Assumptions!$B$23,N272&lt;Assumptions!$B$26),"Low Block / Park the Bus",IF(AND(B272="FW",M272&gt;=Assumptions!$B$23,N272&lt;Assumptions!$B$26),"Direct / Target Approach","Flexible / Multi-System"))))))</f>
        <v>Flexible / Multi-System</v>
      </c>
      <c r="AD272" s="21" t="str">
        <f aca="false">'Player Data'!Y272</f>
        <v>2026-07-17</v>
      </c>
      <c r="AE272" s="21" t="str">
        <f aca="false">'Player Data'!Z272</f>
        <v>2026-07-17</v>
      </c>
      <c r="AF272" s="28" t="str">
        <f aca="false">IFERROR(INDEX(Assumptions!$B$30:$B$61,MATCH(C272,Assumptions!$A$30:$A$61,0)),"--")</f>
        <v>Belgium, Portugal</v>
      </c>
      <c r="AG272" s="30" t="str">
        <f aca="false">IF(R272&gt;=0.7,"Step-Up Candidate",IF(R272&gt;=0.4,"Lateral Move","Stay &amp; Develop"))</f>
        <v>Stay &amp; Develop</v>
      </c>
    </row>
    <row r="273" customFormat="false" ht="23.85" hidden="false" customHeight="false" outlineLevel="0" collapsed="false">
      <c r="A273" s="21" t="str">
        <f aca="false">'Player Data'!A273</f>
        <v>Jan Zupan</v>
      </c>
      <c r="B273" s="21" t="str">
        <f aca="false">'Player Data'!F273</f>
        <v>GK</v>
      </c>
      <c r="C273" s="21" t="str">
        <f aca="false">'Player Data'!B273</f>
        <v>Slovenia</v>
      </c>
      <c r="D273" s="21" t="str">
        <f aca="false">'Player Data'!C273</f>
        <v>Slovenia Provincial League</v>
      </c>
      <c r="E273" s="21" t="n">
        <f aca="false">'Player Data'!D273</f>
        <v>2</v>
      </c>
      <c r="F273" s="21" t="n">
        <f aca="false">'Player Data'!G273</f>
        <v>24</v>
      </c>
      <c r="G273" s="21" t="n">
        <f aca="false">'Player Data'!H273</f>
        <v>934</v>
      </c>
      <c r="H273" s="22" t="n">
        <f aca="false">IF(B273="GK",IFERROR(('Player Data'!N273-1.5*'Player Data'!O273)/'Player Data'!H273*90,0),IFERROR(('Player Data'!I273+'Player Data'!J273)/'Player Data'!H273*90,0))</f>
        <v>-0.385438972162741</v>
      </c>
      <c r="I273" s="22" t="n">
        <f aca="false">IF(B273="GK",'Player Data'!P273,IFERROR(('Player Data'!K273+'Player Data'!L273)/'Player Data'!H273*90,0))</f>
        <v>65.8</v>
      </c>
      <c r="J273" s="22" t="n">
        <f aca="false">IF(B273="GK",IFERROR('Player Data'!Q273/'Player Data'!H273*90,0),IFERROR('Player Data'!M273/'Player Data'!H273*90,0))</f>
        <v>1.25267665952891</v>
      </c>
      <c r="K273" s="23" t="n">
        <f aca="false">'Player Data'!S273</f>
        <v>26397</v>
      </c>
      <c r="L273" s="22" t="n">
        <f aca="false">INDEX(Assumptions!$B$13:$B$15,MATCH(E273,Assumptions!$A$13:$A$15,0))</f>
        <v>1</v>
      </c>
      <c r="M273" s="24" t="n">
        <f aca="false">IFERROR(SUMPRODUCT(($B$2:$B$1001=B273)*($H$2:$H$1001&lt;=H273))/SUMPRODUCT(($B$2:$B$1001=B273)*1),0)</f>
        <v>0.0819672131147541</v>
      </c>
      <c r="N273" s="24" t="n">
        <f aca="false">IFERROR(SUMPRODUCT(($B$2:$B$1001=B273)*($I$2:$I$1001&lt;=I273))/SUMPRODUCT(($B$2:$B$1001=B273)*1),0)</f>
        <v>0.295081967213115</v>
      </c>
      <c r="O273" s="24" t="n">
        <f aca="false">IFERROR(SUMPRODUCT(($B$2:$B$1001=B273)*($J$2:$J$1001&lt;=J273))/SUMPRODUCT(($B$2:$B$1001=B273)*1),0)</f>
        <v>0.775956284153005</v>
      </c>
      <c r="P273" s="24" t="n">
        <f aca="false">IFERROR(SUMPRODUCT(($B$2:$B$1001=B273)*((0-$F$2:$F$1001)&lt;=(0-F273)))/SUMPRODUCT(($B$2:$B$1001=B273)*1),0)</f>
        <v>0.300546448087432</v>
      </c>
      <c r="Q273" s="25" t="n">
        <f aca="false">(M273*Assumptions!$B$5+N273*Assumptions!$B$6+O273*Assumptions!$B$7+P273*Assumptions!$B$8)*L273</f>
        <v>0.339071038251366</v>
      </c>
      <c r="R273" s="24" t="n">
        <f aca="false">IFERROR(SUMPRODUCT(($B$2:$B$1001=B273)*($Q$2:$Q$1001&lt;=Q273))/SUMPRODUCT(($B$2:$B$1001=B273)*1),0)</f>
        <v>0.218579234972678</v>
      </c>
      <c r="S273" s="24" t="n">
        <f aca="false">IFERROR(SUMPRODUCT(($B$2:$B$1001=B273)*($K$2:$K$1001&lt;=K273))/SUMPRODUCT(($B$2:$B$1001=B273)*1),0)</f>
        <v>0.311475409836066</v>
      </c>
      <c r="T273" s="26" t="n">
        <f aca="false">(R273-S273)*100</f>
        <v>-9.2896174863388</v>
      </c>
      <c r="U273" s="21" t="str">
        <f aca="false">'Player Data'!T273</f>
        <v>No</v>
      </c>
      <c r="V273" s="27" t="n">
        <f aca="false">'Player Data'!U273</f>
        <v>2028</v>
      </c>
      <c r="W273" s="21" t="str">
        <f aca="false">IF(AND(T273&gt;=Assumptions!$B$19,U273="No"),"High Priority - Unrepresented",IF(T273&gt;=Assumptions!$B$19,"High Priority",IF(AND(T273&gt;=Assumptions!$B$20,U273="No"),"Watchlist - Unrepresented",IF(T273&gt;=Assumptions!$B$20,"Watchlist",""))))</f>
        <v/>
      </c>
      <c r="X273" s="21" t="str">
        <f aca="false">'Player Data'!V273</f>
        <v>info@mariborwanderers.si</v>
      </c>
      <c r="Y273" s="28" t="str">
        <f aca="false">'Player Data'!W273</f>
        <v>Club sporting director / first-team office</v>
      </c>
      <c r="Z273" s="28" t="str">
        <f aca="false">'Player Data'!X273</f>
        <v>NZS (Football Association of Slovenia) player registry</v>
      </c>
      <c r="AA273" s="19" t="str">
        <f aca="false">HYPERLINK("https://www.transfermarkt.com/schnellsuche/ergebnis/schnellsuche?query="&amp;SUBSTITUTE(A273," ","+"),"Search Transfermarkt")</f>
        <v>Search Transfermarkt</v>
      </c>
      <c r="AB273" s="29" t="n">
        <f aca="false">IFERROR('Player Data'!K273/('Player Data'!K273+'Player Data'!L273),0)</f>
        <v>0.916666666666667</v>
      </c>
      <c r="AC273" s="21" t="str">
        <f aca="false">IF(B273="GK",IF(AND(O273&gt;=Assumptions!$B$23,N273&gt;=Assumptions!$B$23),"Sweeper-Keeper / Build-from-the-Back",IF(O273&gt;=Assumptions!$B$23,"Sweeper-Keeper / High Line",IF(M273&gt;=Assumptions!$B$23,"Shot-Stopper / Traditional","Flexible / Multi-System"))),IF(AND(O273&gt;=Assumptions!$B$23,P273&gt;=Assumptions!$B$24),"High Press / Gegenpressing",IF(AND(N273&gt;=Assumptions!$B$23,AB273&gt;=Assumptions!$B$25),"Possession / Build-from-the-Back",IF(N273&gt;=Assumptions!$B$23,"Counter-Attack / Transition",IF(AND(O273&gt;=Assumptions!$B$23,N273&lt;Assumptions!$B$26),"Low Block / Park the Bus",IF(AND(B273="FW",M273&gt;=Assumptions!$B$23,N273&lt;Assumptions!$B$26),"Direct / Target Approach","Flexible / Multi-System"))))))</f>
        <v>Sweeper-Keeper / High Line</v>
      </c>
      <c r="AD273" s="21" t="str">
        <f aca="false">'Player Data'!Y273</f>
        <v>2026-07-17</v>
      </c>
      <c r="AE273" s="21" t="str">
        <f aca="false">'Player Data'!Z273</f>
        <v>2026-07-17</v>
      </c>
      <c r="AF273" s="28" t="str">
        <f aca="false">IFERROR(INDEX(Assumptions!$B$30:$B$61,MATCH(C273,Assumptions!$A$30:$A$61,0)),"--")</f>
        <v>Austria, Poland</v>
      </c>
      <c r="AG273" s="30" t="str">
        <f aca="false">IF(R273&gt;=0.7,"Step-Up Candidate",IF(R273&gt;=0.4,"Lateral Move","Stay &amp; Develop"))</f>
        <v>Stay &amp; Develop</v>
      </c>
    </row>
    <row r="274" customFormat="false" ht="23.85" hidden="false" customHeight="false" outlineLevel="0" collapsed="false">
      <c r="A274" s="21" t="str">
        <f aca="false">'Player Data'!A274</f>
        <v>Klodian Shala</v>
      </c>
      <c r="B274" s="21" t="str">
        <f aca="false">'Player Data'!F274</f>
        <v>DF</v>
      </c>
      <c r="C274" s="21" t="str">
        <f aca="false">'Player Data'!B274</f>
        <v>Albania</v>
      </c>
      <c r="D274" s="21" t="str">
        <f aca="false">'Player Data'!C274</f>
        <v>Albania Second Division - West</v>
      </c>
      <c r="E274" s="21" t="n">
        <f aca="false">'Player Data'!D274</f>
        <v>2</v>
      </c>
      <c r="F274" s="21" t="n">
        <f aca="false">'Player Data'!G274</f>
        <v>17</v>
      </c>
      <c r="G274" s="21" t="n">
        <f aca="false">'Player Data'!H274</f>
        <v>1324</v>
      </c>
      <c r="H274" s="22" t="n">
        <f aca="false">IF(B274="GK",IFERROR(('Player Data'!N274-1.5*'Player Data'!O274)/'Player Data'!H274*90,0),IFERROR(('Player Data'!I274+'Player Data'!J274)/'Player Data'!H274*90,0))</f>
        <v>0.27190332326284</v>
      </c>
      <c r="I274" s="22" t="n">
        <f aca="false">IF(B274="GK",'Player Data'!P274,IFERROR(('Player Data'!K274+'Player Data'!L274)/'Player Data'!H274*90,0))</f>
        <v>6.32175226586103</v>
      </c>
      <c r="J274" s="22" t="n">
        <f aca="false">IF(B274="GK",IFERROR('Player Data'!Q274/'Player Data'!H274*90,0),IFERROR('Player Data'!M274/'Player Data'!H274*90,0))</f>
        <v>7.06948640483384</v>
      </c>
      <c r="K274" s="23" t="n">
        <f aca="false">'Player Data'!S274</f>
        <v>0</v>
      </c>
      <c r="L274" s="22" t="n">
        <f aca="false">INDEX(Assumptions!$B$13:$B$15,MATCH(E274,Assumptions!$A$13:$A$15,0))</f>
        <v>1</v>
      </c>
      <c r="M274" s="24" t="n">
        <f aca="false">IFERROR(SUMPRODUCT(($B$2:$B$1001=B274)*($H$2:$H$1001&lt;=H274))/SUMPRODUCT(($B$2:$B$1001=B274)*1),0)</f>
        <v>0.704081632653061</v>
      </c>
      <c r="N274" s="24" t="n">
        <f aca="false">IFERROR(SUMPRODUCT(($B$2:$B$1001=B274)*($I$2:$I$1001&lt;=I274))/SUMPRODUCT(($B$2:$B$1001=B274)*1),0)</f>
        <v>0.772108843537415</v>
      </c>
      <c r="O274" s="24" t="n">
        <f aca="false">IFERROR(SUMPRODUCT(($B$2:$B$1001=B274)*($J$2:$J$1001&lt;=J274))/SUMPRODUCT(($B$2:$B$1001=B274)*1),0)</f>
        <v>0.751700680272109</v>
      </c>
      <c r="P274" s="24" t="n">
        <f aca="false">IFERROR(SUMPRODUCT(($B$2:$B$1001=B274)*((0-$F$2:$F$1001)&lt;=(0-F274)))/SUMPRODUCT(($B$2:$B$1001=B274)*1),0)</f>
        <v>1</v>
      </c>
      <c r="Q274" s="25" t="n">
        <f aca="false">(M274*Assumptions!$B$5+N274*Assumptions!$B$6+O274*Assumptions!$B$7+P274*Assumptions!$B$8)*L274</f>
        <v>0.796598639455782</v>
      </c>
      <c r="R274" s="24" t="n">
        <f aca="false">IFERROR(SUMPRODUCT(($B$2:$B$1001=B274)*($Q$2:$Q$1001&lt;=Q274))/SUMPRODUCT(($B$2:$B$1001=B274)*1),0)</f>
        <v>0.945578231292517</v>
      </c>
      <c r="S274" s="24" t="n">
        <f aca="false">IFERROR(SUMPRODUCT(($B$2:$B$1001=B274)*($K$2:$K$1001&lt;=K274))/SUMPRODUCT(($B$2:$B$1001=B274)*1),0)</f>
        <v>0.248299319727891</v>
      </c>
      <c r="T274" s="26" t="n">
        <f aca="false">(R274-S274)*100</f>
        <v>69.7278911564626</v>
      </c>
      <c r="U274" s="21" t="str">
        <f aca="false">'Player Data'!T274</f>
        <v>No</v>
      </c>
      <c r="V274" s="27" t="n">
        <f aca="false">'Player Data'!U274</f>
        <v>2028</v>
      </c>
      <c r="W274" s="21" t="str">
        <f aca="false">IF(AND(T274&gt;=Assumptions!$B$19,U274="No"),"High Priority - Unrepresented",IF(T274&gt;=Assumptions!$B$19,"High Priority",IF(AND(T274&gt;=Assumptions!$B$20,U274="No"),"Watchlist - Unrepresented",IF(T274&gt;=Assumptions!$B$20,"Watchlist",""))))</f>
        <v>High Priority - Unrepresented</v>
      </c>
      <c r="X274" s="21" t="str">
        <f aca="false">'Player Data'!V274</f>
        <v>info@durresunited.al</v>
      </c>
      <c r="Y274" s="28" t="str">
        <f aca="false">'Player Data'!W274</f>
        <v>Club youth/academy office ONLY - player is a minor, do not contact directly</v>
      </c>
      <c r="Z274" s="28" t="str">
        <f aca="false">'Player Data'!X274</f>
        <v>FSHF (Albanian Football Association) player registry</v>
      </c>
      <c r="AA274" s="19" t="str">
        <f aca="false">HYPERLINK("https://www.transfermarkt.com/schnellsuche/ergebnis/schnellsuche?query="&amp;SUBSTITUTE(A274," ","+"),"Search Transfermarkt")</f>
        <v>Search Transfermarkt</v>
      </c>
      <c r="AB274" s="29" t="n">
        <f aca="false">IFERROR('Player Data'!K274/('Player Data'!K274+'Player Data'!L274),0)</f>
        <v>0.56989247311828</v>
      </c>
      <c r="AC274" s="21" t="str">
        <f aca="false">IF(B274="GK",IF(AND(O274&gt;=Assumptions!$B$23,N274&gt;=Assumptions!$B$23),"Sweeper-Keeper / Build-from-the-Back",IF(O274&gt;=Assumptions!$B$23,"Sweeper-Keeper / High Line",IF(M274&gt;=Assumptions!$B$23,"Shot-Stopper / Traditional","Flexible / Multi-System"))),IF(AND(O274&gt;=Assumptions!$B$23,P274&gt;=Assumptions!$B$24),"High Press / Gegenpressing",IF(AND(N274&gt;=Assumptions!$B$23,AB274&gt;=Assumptions!$B$25),"Possession / Build-from-the-Back",IF(N274&gt;=Assumptions!$B$23,"Counter-Attack / Transition",IF(AND(O274&gt;=Assumptions!$B$23,N274&lt;Assumptions!$B$26),"Low Block / Park the Bus",IF(AND(B274="FW",M274&gt;=Assumptions!$B$23,N274&lt;Assumptions!$B$26),"Direct / Target Approach","Flexible / Multi-System"))))))</f>
        <v>High Press / Gegenpressing</v>
      </c>
      <c r="AD274" s="21" t="str">
        <f aca="false">'Player Data'!Y274</f>
        <v>2026-07-17</v>
      </c>
      <c r="AE274" s="21" t="str">
        <f aca="false">'Player Data'!Z274</f>
        <v>2026-07-17</v>
      </c>
      <c r="AF274" s="28" t="str">
        <f aca="false">IFERROR(INDEX(Assumptions!$B$30:$B$61,MATCH(C274,Assumptions!$A$30:$A$61,0)),"--")</f>
        <v>Turkey, Poland</v>
      </c>
      <c r="AG274" s="30" t="str">
        <f aca="false">IF(R274&gt;=0.7,"Step-Up Candidate",IF(R274&gt;=0.4,"Lateral Move","Stay &amp; Develop"))</f>
        <v>Step-Up Candidate</v>
      </c>
    </row>
    <row r="275" customFormat="false" ht="23.85" hidden="false" customHeight="false" outlineLevel="0" collapsed="false">
      <c r="A275" s="21" t="str">
        <f aca="false">'Player Data'!A275</f>
        <v>Damion Powell</v>
      </c>
      <c r="B275" s="21" t="str">
        <f aca="false">'Player Data'!F275</f>
        <v>MF</v>
      </c>
      <c r="C275" s="21" t="str">
        <f aca="false">'Player Data'!B275</f>
        <v>Jamaica</v>
      </c>
      <c r="D275" s="21" t="str">
        <f aca="false">'Player Data'!C275</f>
        <v>Jamaica Reserve League</v>
      </c>
      <c r="E275" s="21" t="n">
        <f aca="false">'Player Data'!D275</f>
        <v>2</v>
      </c>
      <c r="F275" s="21" t="n">
        <f aca="false">'Player Data'!G275</f>
        <v>19</v>
      </c>
      <c r="G275" s="21" t="n">
        <f aca="false">'Player Data'!H275</f>
        <v>832</v>
      </c>
      <c r="H275" s="22" t="n">
        <f aca="false">IF(B275="GK",IFERROR(('Player Data'!N275-1.5*'Player Data'!O275)/'Player Data'!H275*90,0),IFERROR(('Player Data'!I275+'Player Data'!J275)/'Player Data'!H275*90,0))</f>
        <v>1.29807692307692</v>
      </c>
      <c r="I275" s="22" t="n">
        <f aca="false">IF(B275="GK",'Player Data'!P275,IFERROR(('Player Data'!K275+'Player Data'!L275)/'Player Data'!H275*90,0))</f>
        <v>23.4735576923077</v>
      </c>
      <c r="J275" s="22" t="n">
        <f aca="false">IF(B275="GK",IFERROR('Player Data'!Q275/'Player Data'!H275*90,0),IFERROR('Player Data'!M275/'Player Data'!H275*90,0))</f>
        <v>3.46153846153846</v>
      </c>
      <c r="K275" s="23" t="n">
        <f aca="false">'Player Data'!S275</f>
        <v>39039</v>
      </c>
      <c r="L275" s="22" t="n">
        <f aca="false">INDEX(Assumptions!$B$13:$B$15,MATCH(E275,Assumptions!$A$13:$A$15,0))</f>
        <v>1</v>
      </c>
      <c r="M275" s="24" t="n">
        <f aca="false">IFERROR(SUMPRODUCT(($B$2:$B$1001=B275)*($H$2:$H$1001&lt;=H275))/SUMPRODUCT(($B$2:$B$1001=B275)*1),0)</f>
        <v>0.878787878787879</v>
      </c>
      <c r="N275" s="24" t="n">
        <f aca="false">IFERROR(SUMPRODUCT(($B$2:$B$1001=B275)*($I$2:$I$1001&lt;=I275))/SUMPRODUCT(($B$2:$B$1001=B275)*1),0)</f>
        <v>0.96969696969697</v>
      </c>
      <c r="O275" s="24" t="n">
        <f aca="false">IFERROR(SUMPRODUCT(($B$2:$B$1001=B275)*($J$2:$J$1001&lt;=J275))/SUMPRODUCT(($B$2:$B$1001=B275)*1),0)</f>
        <v>0.855218855218855</v>
      </c>
      <c r="P275" s="24" t="n">
        <f aca="false">IFERROR(SUMPRODUCT(($B$2:$B$1001=B275)*((0-$F$2:$F$1001)&lt;=(0-F275)))/SUMPRODUCT(($B$2:$B$1001=B275)*1),0)</f>
        <v>0.868686868686869</v>
      </c>
      <c r="Q275" s="25" t="n">
        <f aca="false">(M275*Assumptions!$B$5+N275*Assumptions!$B$6+O275*Assumptions!$B$7+P275*Assumptions!$B$8)*L275</f>
        <v>0.903872053872054</v>
      </c>
      <c r="R275" s="24" t="n">
        <f aca="false">IFERROR(SUMPRODUCT(($B$2:$B$1001=B275)*($Q$2:$Q$1001&lt;=Q275))/SUMPRODUCT(($B$2:$B$1001=B275)*1),0)</f>
        <v>0.98989898989899</v>
      </c>
      <c r="S275" s="24" t="n">
        <f aca="false">IFERROR(SUMPRODUCT(($B$2:$B$1001=B275)*($K$2:$K$1001&lt;=K275))/SUMPRODUCT(($B$2:$B$1001=B275)*1),0)</f>
        <v>0.37037037037037</v>
      </c>
      <c r="T275" s="26" t="n">
        <f aca="false">(R275-S275)*100</f>
        <v>61.952861952862</v>
      </c>
      <c r="U275" s="21" t="str">
        <f aca="false">'Player Data'!T275</f>
        <v>No</v>
      </c>
      <c r="V275" s="27" t="n">
        <f aca="false">'Player Data'!U275</f>
        <v>2028</v>
      </c>
      <c r="W275" s="21" t="str">
        <f aca="false">IF(AND(T275&gt;=Assumptions!$B$19,U275="No"),"High Priority - Unrepresented",IF(T275&gt;=Assumptions!$B$19,"High Priority",IF(AND(T275&gt;=Assumptions!$B$20,U275="No"),"Watchlist - Unrepresented",IF(T275&gt;=Assumptions!$B$20,"Watchlist",""))))</f>
        <v>High Priority - Unrepresented</v>
      </c>
      <c r="X275" s="21" t="str">
        <f aca="false">'Player Data'!V275</f>
        <v>info@maypenwanderers.jm</v>
      </c>
      <c r="Y275" s="28" t="str">
        <f aca="false">'Player Data'!W275</f>
        <v>Club sporting director / first-team office</v>
      </c>
      <c r="Z275" s="28" t="str">
        <f aca="false">'Player Data'!X275</f>
        <v>JFF (Jamaica Football Federation) player registry</v>
      </c>
      <c r="AA275" s="19" t="str">
        <f aca="false">HYPERLINK("https://www.transfermarkt.com/schnellsuche/ergebnis/schnellsuche?query="&amp;SUBSTITUTE(A275," ","+"),"Search Transfermarkt")</f>
        <v>Search Transfermarkt</v>
      </c>
      <c r="AB275" s="29" t="n">
        <f aca="false">IFERROR('Player Data'!K275/('Player Data'!K275+'Player Data'!L275),0)</f>
        <v>0.557603686635945</v>
      </c>
      <c r="AC275" s="21" t="str">
        <f aca="false">IF(B275="GK",IF(AND(O275&gt;=Assumptions!$B$23,N275&gt;=Assumptions!$B$23),"Sweeper-Keeper / Build-from-the-Back",IF(O275&gt;=Assumptions!$B$23,"Sweeper-Keeper / High Line",IF(M275&gt;=Assumptions!$B$23,"Shot-Stopper / Traditional","Flexible / Multi-System"))),IF(AND(O275&gt;=Assumptions!$B$23,P275&gt;=Assumptions!$B$24),"High Press / Gegenpressing",IF(AND(N275&gt;=Assumptions!$B$23,AB275&gt;=Assumptions!$B$25),"Possession / Build-from-the-Back",IF(N275&gt;=Assumptions!$B$23,"Counter-Attack / Transition",IF(AND(O275&gt;=Assumptions!$B$23,N275&lt;Assumptions!$B$26),"Low Block / Park the Bus",IF(AND(B275="FW",M275&gt;=Assumptions!$B$23,N275&lt;Assumptions!$B$26),"Direct / Target Approach","Flexible / Multi-System"))))))</f>
        <v>High Press / Gegenpressing</v>
      </c>
      <c r="AD275" s="21" t="str">
        <f aca="false">'Player Data'!Y275</f>
        <v>2026-07-17</v>
      </c>
      <c r="AE275" s="21" t="str">
        <f aca="false">'Player Data'!Z275</f>
        <v>2026-07-17</v>
      </c>
      <c r="AF275" s="28" t="str">
        <f aca="false">IFERROR(INDEX(Assumptions!$B$30:$B$61,MATCH(C275,Assumptions!$A$30:$A$61,0)),"--")</f>
        <v>United States, Mexico</v>
      </c>
      <c r="AG275" s="30" t="str">
        <f aca="false">IF(R275&gt;=0.7,"Step-Up Candidate",IF(R275&gt;=0.4,"Lateral Move","Stay &amp; Develop"))</f>
        <v>Step-Up Candidate</v>
      </c>
    </row>
    <row r="276" customFormat="false" ht="23.85" hidden="false" customHeight="false" outlineLevel="0" collapsed="false">
      <c r="A276" s="21" t="str">
        <f aca="false">'Player Data'!A276</f>
        <v>Marko Ilic</v>
      </c>
      <c r="B276" s="21" t="str">
        <f aca="false">'Player Data'!F276</f>
        <v>FW</v>
      </c>
      <c r="C276" s="21" t="str">
        <f aca="false">'Player Data'!B276</f>
        <v>Montenegro</v>
      </c>
      <c r="D276" s="21" t="str">
        <f aca="false">'Player Data'!C276</f>
        <v>Montenegro Provincial League</v>
      </c>
      <c r="E276" s="21" t="n">
        <f aca="false">'Player Data'!D276</f>
        <v>4</v>
      </c>
      <c r="F276" s="21" t="n">
        <f aca="false">'Player Data'!G276</f>
        <v>19</v>
      </c>
      <c r="G276" s="21" t="n">
        <f aca="false">'Player Data'!H276</f>
        <v>1714</v>
      </c>
      <c r="H276" s="22" t="n">
        <f aca="false">IF(B276="GK",IFERROR(('Player Data'!N276-1.5*'Player Data'!O276)/'Player Data'!H276*90,0),IFERROR(('Player Data'!I276+'Player Data'!J276)/'Player Data'!H276*90,0))</f>
        <v>0.997666277712952</v>
      </c>
      <c r="I276" s="22" t="n">
        <f aca="false">IF(B276="GK",'Player Data'!P276,IFERROR(('Player Data'!K276+'Player Data'!L276)/'Player Data'!H276*90,0))</f>
        <v>6.40606767794632</v>
      </c>
      <c r="J276" s="22" t="n">
        <f aca="false">IF(B276="GK",IFERROR('Player Data'!Q276/'Player Data'!H276*90,0),IFERROR('Player Data'!M276/'Player Data'!H276*90,0))</f>
        <v>0.210035005834306</v>
      </c>
      <c r="K276" s="23" t="n">
        <f aca="false">'Player Data'!S276</f>
        <v>136509</v>
      </c>
      <c r="L276" s="22" t="n">
        <f aca="false">INDEX(Assumptions!$B$13:$B$15,MATCH(E276,Assumptions!$A$13:$A$15,0))</f>
        <v>0.7</v>
      </c>
      <c r="M276" s="24" t="n">
        <f aca="false">IFERROR(SUMPRODUCT(($B$2:$B$1001=B276)*($H$2:$H$1001&lt;=H276))/SUMPRODUCT(($B$2:$B$1001=B276)*1),0)</f>
        <v>0.526548672566372</v>
      </c>
      <c r="N276" s="24" t="n">
        <f aca="false">IFERROR(SUMPRODUCT(($B$2:$B$1001=B276)*($I$2:$I$1001&lt;=I276))/SUMPRODUCT(($B$2:$B$1001=B276)*1),0)</f>
        <v>0.47787610619469</v>
      </c>
      <c r="O276" s="24" t="n">
        <f aca="false">IFERROR(SUMPRODUCT(($B$2:$B$1001=B276)*($J$2:$J$1001&lt;=J276))/SUMPRODUCT(($B$2:$B$1001=B276)*1),0)</f>
        <v>0.0486725663716814</v>
      </c>
      <c r="P276" s="24" t="n">
        <f aca="false">IFERROR(SUMPRODUCT(($B$2:$B$1001=B276)*((0-$F$2:$F$1001)&lt;=(0-F276)))/SUMPRODUCT(($B$2:$B$1001=B276)*1),0)</f>
        <v>0.831858407079646</v>
      </c>
      <c r="Q276" s="25" t="n">
        <f aca="false">(M276*Assumptions!$B$5+N276*Assumptions!$B$6+O276*Assumptions!$B$7+P276*Assumptions!$B$8)*L276</f>
        <v>0.3325</v>
      </c>
      <c r="R276" s="24" t="n">
        <f aca="false">IFERROR(SUMPRODUCT(($B$2:$B$1001=B276)*($Q$2:$Q$1001&lt;=Q276))/SUMPRODUCT(($B$2:$B$1001=B276)*1),0)</f>
        <v>0.331858407079646</v>
      </c>
      <c r="S276" s="24" t="n">
        <f aca="false">IFERROR(SUMPRODUCT(($B$2:$B$1001=B276)*($K$2:$K$1001&lt;=K276))/SUMPRODUCT(($B$2:$B$1001=B276)*1),0)</f>
        <v>0.933628318584071</v>
      </c>
      <c r="T276" s="26" t="n">
        <f aca="false">(R276-S276)*100</f>
        <v>-60.1769911504425</v>
      </c>
      <c r="U276" s="21" t="str">
        <f aca="false">'Player Data'!T276</f>
        <v>Unknown</v>
      </c>
      <c r="V276" s="27" t="n">
        <f aca="false">'Player Data'!U276</f>
        <v>2028</v>
      </c>
      <c r="W276" s="21" t="str">
        <f aca="false">IF(AND(T276&gt;=Assumptions!$B$19,U276="No"),"High Priority - Unrepresented",IF(T276&gt;=Assumptions!$B$19,"High Priority",IF(AND(T276&gt;=Assumptions!$B$20,U276="No"),"Watchlist - Unrepresented",IF(T276&gt;=Assumptions!$B$20,"Watchlist",""))))</f>
        <v/>
      </c>
      <c r="X276" s="21" t="str">
        <f aca="false">'Player Data'!V276</f>
        <v>info@danilovgradtown.me</v>
      </c>
      <c r="Y276" s="28" t="str">
        <f aca="false">'Player Data'!W276</f>
        <v>Club sporting director / first-team office</v>
      </c>
      <c r="Z276" s="28" t="str">
        <f aca="false">'Player Data'!X276</f>
        <v>FSCG (Football Association of Montenegro) player registry</v>
      </c>
      <c r="AA276" s="19" t="str">
        <f aca="false">HYPERLINK("https://www.transfermarkt.com/schnellsuche/ergebnis/schnellsuche?query="&amp;SUBSTITUTE(A276," ","+"),"Search Transfermarkt")</f>
        <v>Search Transfermarkt</v>
      </c>
      <c r="AB276" s="29" t="n">
        <f aca="false">IFERROR('Player Data'!K276/('Player Data'!K276+'Player Data'!L276),0)</f>
        <v>0.270491803278689</v>
      </c>
      <c r="AC276" s="21" t="str">
        <f aca="false">IF(B276="GK",IF(AND(O276&gt;=Assumptions!$B$23,N276&gt;=Assumptions!$B$23),"Sweeper-Keeper / Build-from-the-Back",IF(O276&gt;=Assumptions!$B$23,"Sweeper-Keeper / High Line",IF(M276&gt;=Assumptions!$B$23,"Shot-Stopper / Traditional","Flexible / Multi-System"))),IF(AND(O276&gt;=Assumptions!$B$23,P276&gt;=Assumptions!$B$24),"High Press / Gegenpressing",IF(AND(N276&gt;=Assumptions!$B$23,AB276&gt;=Assumptions!$B$25),"Possession / Build-from-the-Back",IF(N276&gt;=Assumptions!$B$23,"Counter-Attack / Transition",IF(AND(O276&gt;=Assumptions!$B$23,N276&lt;Assumptions!$B$26),"Low Block / Park the Bus",IF(AND(B276="FW",M276&gt;=Assumptions!$B$23,N276&lt;Assumptions!$B$26),"Direct / Target Approach","Flexible / Multi-System"))))))</f>
        <v>Flexible / Multi-System</v>
      </c>
      <c r="AD276" s="21" t="str">
        <f aca="false">'Player Data'!Y276</f>
        <v>2026-07-17</v>
      </c>
      <c r="AE276" s="21" t="str">
        <f aca="false">'Player Data'!Z276</f>
        <v>2026-07-17</v>
      </c>
      <c r="AF276" s="28" t="str">
        <f aca="false">IFERROR(INDEX(Assumptions!$B$30:$B$61,MATCH(C276,Assumptions!$A$30:$A$61,0)),"--")</f>
        <v>Austria, Turkey</v>
      </c>
      <c r="AG276" s="30" t="str">
        <f aca="false">IF(R276&gt;=0.7,"Step-Up Candidate",IF(R276&gt;=0.4,"Lateral Move","Stay &amp; Develop"))</f>
        <v>Stay &amp; Develop</v>
      </c>
    </row>
    <row r="277" customFormat="false" ht="23.85" hidden="false" customHeight="false" outlineLevel="0" collapsed="false">
      <c r="A277" s="21" t="str">
        <f aca="false">'Player Data'!A277</f>
        <v>Franco Rodriguez</v>
      </c>
      <c r="B277" s="21" t="str">
        <f aca="false">'Player Data'!F277</f>
        <v>GK</v>
      </c>
      <c r="C277" s="21" t="str">
        <f aca="false">'Player Data'!B277</f>
        <v>Bolivia</v>
      </c>
      <c r="D277" s="21" t="str">
        <f aca="false">'Player Data'!C277</f>
        <v>Bolivia Provincial League</v>
      </c>
      <c r="E277" s="21" t="n">
        <f aca="false">'Player Data'!D277</f>
        <v>2</v>
      </c>
      <c r="F277" s="21" t="n">
        <f aca="false">'Player Data'!G277</f>
        <v>26</v>
      </c>
      <c r="G277" s="21" t="n">
        <f aca="false">'Player Data'!H277</f>
        <v>2169</v>
      </c>
      <c r="H277" s="22" t="n">
        <f aca="false">IF(B277="GK",IFERROR(('Player Data'!N277-1.5*'Player Data'!O277)/'Player Data'!H277*90,0),IFERROR(('Player Data'!I277+'Player Data'!J277)/'Player Data'!H277*90,0))</f>
        <v>0.12448132780083</v>
      </c>
      <c r="I277" s="22" t="n">
        <f aca="false">IF(B277="GK",'Player Data'!P277,IFERROR(('Player Data'!K277+'Player Data'!L277)/'Player Data'!H277*90,0))</f>
        <v>60.5</v>
      </c>
      <c r="J277" s="22" t="n">
        <f aca="false">IF(B277="GK",IFERROR('Player Data'!Q277/'Player Data'!H277*90,0),IFERROR('Player Data'!M277/'Player Data'!H277*90,0))</f>
        <v>1.46887966804979</v>
      </c>
      <c r="K277" s="23" t="n">
        <f aca="false">'Player Data'!S277</f>
        <v>0</v>
      </c>
      <c r="L277" s="22" t="n">
        <f aca="false">INDEX(Assumptions!$B$13:$B$15,MATCH(E277,Assumptions!$A$13:$A$15,0))</f>
        <v>1</v>
      </c>
      <c r="M277" s="24" t="n">
        <f aca="false">IFERROR(SUMPRODUCT(($B$2:$B$1001=B277)*($H$2:$H$1001&lt;=H277))/SUMPRODUCT(($B$2:$B$1001=B277)*1),0)</f>
        <v>0.207650273224044</v>
      </c>
      <c r="N277" s="24" t="n">
        <f aca="false">IFERROR(SUMPRODUCT(($B$2:$B$1001=B277)*($I$2:$I$1001&lt;=I277))/SUMPRODUCT(($B$2:$B$1001=B277)*1),0)</f>
        <v>0.191256830601093</v>
      </c>
      <c r="O277" s="24" t="n">
        <f aca="false">IFERROR(SUMPRODUCT(($B$2:$B$1001=B277)*($J$2:$J$1001&lt;=J277))/SUMPRODUCT(($B$2:$B$1001=B277)*1),0)</f>
        <v>0.983606557377049</v>
      </c>
      <c r="P277" s="24" t="n">
        <f aca="false">IFERROR(SUMPRODUCT(($B$2:$B$1001=B277)*((0-$F$2:$F$1001)&lt;=(0-F277)))/SUMPRODUCT(($B$2:$B$1001=B277)*1),0)</f>
        <v>0.131147540983607</v>
      </c>
      <c r="Q277" s="25" t="n">
        <f aca="false">(M277*Assumptions!$B$5+N277*Assumptions!$B$6+O277*Assumptions!$B$7+P277*Assumptions!$B$8)*L277</f>
        <v>0.341803278688525</v>
      </c>
      <c r="R277" s="24" t="n">
        <f aca="false">IFERROR(SUMPRODUCT(($B$2:$B$1001=B277)*($Q$2:$Q$1001&lt;=Q277))/SUMPRODUCT(($B$2:$B$1001=B277)*1),0)</f>
        <v>0.224043715846995</v>
      </c>
      <c r="S277" s="24" t="n">
        <f aca="false">IFERROR(SUMPRODUCT(($B$2:$B$1001=B277)*($K$2:$K$1001&lt;=K277))/SUMPRODUCT(($B$2:$B$1001=B277)*1),0)</f>
        <v>0.218579234972678</v>
      </c>
      <c r="T277" s="26" t="n">
        <f aca="false">(R277-S277)*100</f>
        <v>0.546448087431695</v>
      </c>
      <c r="U277" s="21" t="str">
        <f aca="false">'Player Data'!T277</f>
        <v>No</v>
      </c>
      <c r="V277" s="27" t="n">
        <f aca="false">'Player Data'!U277</f>
        <v>2029</v>
      </c>
      <c r="W277" s="21" t="str">
        <f aca="false">IF(AND(T277&gt;=Assumptions!$B$19,U277="No"),"High Priority - Unrepresented",IF(T277&gt;=Assumptions!$B$19,"High Priority",IF(AND(T277&gt;=Assumptions!$B$20,U277="No"),"Watchlist - Unrepresented",IF(T277&gt;=Assumptions!$B$20,"Watchlist",""))))</f>
        <v/>
      </c>
      <c r="X277" s="21" t="str">
        <f aca="false">'Player Data'!V277</f>
        <v>info@santacruzathletic.bo</v>
      </c>
      <c r="Y277" s="28" t="str">
        <f aca="false">'Player Data'!W277</f>
        <v>Club sporting director / first-team office</v>
      </c>
      <c r="Z277" s="28" t="str">
        <f aca="false">'Player Data'!X277</f>
        <v>FBF (Bolivian Football Federation) player registry</v>
      </c>
      <c r="AA277" s="19" t="str">
        <f aca="false">HYPERLINK("https://www.transfermarkt.com/schnellsuche/ergebnis/schnellsuche?query="&amp;SUBSTITUTE(A277," ","+"),"Search Transfermarkt")</f>
        <v>Search Transfermarkt</v>
      </c>
      <c r="AB277" s="29" t="n">
        <f aca="false">IFERROR('Player Data'!K277/('Player Data'!K277+'Player Data'!L277),0)</f>
        <v>0.7</v>
      </c>
      <c r="AC277" s="21" t="str">
        <f aca="false">IF(B277="GK",IF(AND(O277&gt;=Assumptions!$B$23,N277&gt;=Assumptions!$B$23),"Sweeper-Keeper / Build-from-the-Back",IF(O277&gt;=Assumptions!$B$23,"Sweeper-Keeper / High Line",IF(M277&gt;=Assumptions!$B$23,"Shot-Stopper / Traditional","Flexible / Multi-System"))),IF(AND(O277&gt;=Assumptions!$B$23,P277&gt;=Assumptions!$B$24),"High Press / Gegenpressing",IF(AND(N277&gt;=Assumptions!$B$23,AB277&gt;=Assumptions!$B$25),"Possession / Build-from-the-Back",IF(N277&gt;=Assumptions!$B$23,"Counter-Attack / Transition",IF(AND(O277&gt;=Assumptions!$B$23,N277&lt;Assumptions!$B$26),"Low Block / Park the Bus",IF(AND(B277="FW",M277&gt;=Assumptions!$B$23,N277&lt;Assumptions!$B$26),"Direct / Target Approach","Flexible / Multi-System"))))))</f>
        <v>Sweeper-Keeper / High Line</v>
      </c>
      <c r="AD277" s="21" t="str">
        <f aca="false">'Player Data'!Y277</f>
        <v>2026-07-17</v>
      </c>
      <c r="AE277" s="21" t="str">
        <f aca="false">'Player Data'!Z277</f>
        <v>2026-07-17</v>
      </c>
      <c r="AF277" s="28" t="str">
        <f aca="false">IFERROR(INDEX(Assumptions!$B$30:$B$61,MATCH(C277,Assumptions!$A$30:$A$61,0)),"--")</f>
        <v>Argentina, Portugal</v>
      </c>
      <c r="AG277" s="30" t="str">
        <f aca="false">IF(R277&gt;=0.7,"Step-Up Candidate",IF(R277&gt;=0.4,"Lateral Move","Stay &amp; Develop"))</f>
        <v>Stay &amp; Develop</v>
      </c>
    </row>
    <row r="278" customFormat="false" ht="23.85" hidden="false" customHeight="false" outlineLevel="0" collapsed="false">
      <c r="A278" s="21" t="str">
        <f aca="false">'Player Data'!A278</f>
        <v>Eric Fotso</v>
      </c>
      <c r="B278" s="21" t="str">
        <f aca="false">'Player Data'!F278</f>
        <v>MF</v>
      </c>
      <c r="C278" s="21" t="str">
        <f aca="false">'Player Data'!B278</f>
        <v>Cameroon</v>
      </c>
      <c r="D278" s="21" t="str">
        <f aca="false">'Player Data'!C278</f>
        <v>Cameroon Second Division</v>
      </c>
      <c r="E278" s="21" t="n">
        <f aca="false">'Player Data'!D278</f>
        <v>3</v>
      </c>
      <c r="F278" s="21" t="n">
        <f aca="false">'Player Data'!G278</f>
        <v>20</v>
      </c>
      <c r="G278" s="21" t="n">
        <f aca="false">'Player Data'!H278</f>
        <v>1820</v>
      </c>
      <c r="H278" s="22" t="n">
        <f aca="false">IF(B278="GK",IFERROR(('Player Data'!N278-1.5*'Player Data'!O278)/'Player Data'!H278*90,0),IFERROR(('Player Data'!I278+'Player Data'!J278)/'Player Data'!H278*90,0))</f>
        <v>0.93956043956044</v>
      </c>
      <c r="I278" s="22" t="n">
        <f aca="false">IF(B278="GK",'Player Data'!P278,IFERROR(('Player Data'!K278+'Player Data'!L278)/'Player Data'!H278*90,0))</f>
        <v>10.978021978022</v>
      </c>
      <c r="J278" s="22" t="n">
        <f aca="false">IF(B278="GK",IFERROR('Player Data'!Q278/'Player Data'!H278*90,0),IFERROR('Player Data'!M278/'Player Data'!H278*90,0))</f>
        <v>1.53296703296703</v>
      </c>
      <c r="K278" s="23" t="n">
        <f aca="false">'Player Data'!S278</f>
        <v>0</v>
      </c>
      <c r="L278" s="22" t="n">
        <f aca="false">INDEX(Assumptions!$B$13:$B$15,MATCH(E278,Assumptions!$A$13:$A$15,0))</f>
        <v>0.85</v>
      </c>
      <c r="M278" s="24" t="n">
        <f aca="false">IFERROR(SUMPRODUCT(($B$2:$B$1001=B278)*($H$2:$H$1001&lt;=H278))/SUMPRODUCT(($B$2:$B$1001=B278)*1),0)</f>
        <v>0.723905723905724</v>
      </c>
      <c r="N278" s="24" t="n">
        <f aca="false">IFERROR(SUMPRODUCT(($B$2:$B$1001=B278)*($I$2:$I$1001&lt;=I278))/SUMPRODUCT(($B$2:$B$1001=B278)*1),0)</f>
        <v>0.505050505050505</v>
      </c>
      <c r="O278" s="24" t="n">
        <f aca="false">IFERROR(SUMPRODUCT(($B$2:$B$1001=B278)*($J$2:$J$1001&lt;=J278))/SUMPRODUCT(($B$2:$B$1001=B278)*1),0)</f>
        <v>0.185185185185185</v>
      </c>
      <c r="P278" s="24" t="n">
        <f aca="false">IFERROR(SUMPRODUCT(($B$2:$B$1001=B278)*((0-$F$2:$F$1001)&lt;=(0-F278)))/SUMPRODUCT(($B$2:$B$1001=B278)*1),0)</f>
        <v>0.734006734006734</v>
      </c>
      <c r="Q278" s="25" t="n">
        <f aca="false">(M278*Assumptions!$B$5+N278*Assumptions!$B$6+O278*Assumptions!$B$7+P278*Assumptions!$B$8)*L278</f>
        <v>0.460345117845118</v>
      </c>
      <c r="R278" s="24" t="n">
        <f aca="false">IFERROR(SUMPRODUCT(($B$2:$B$1001=B278)*($Q$2:$Q$1001&lt;=Q278))/SUMPRODUCT(($B$2:$B$1001=B278)*1),0)</f>
        <v>0.552188552188552</v>
      </c>
      <c r="S278" s="24" t="n">
        <f aca="false">IFERROR(SUMPRODUCT(($B$2:$B$1001=B278)*($K$2:$K$1001&lt;=K278))/SUMPRODUCT(($B$2:$B$1001=B278)*1),0)</f>
        <v>0.228956228956229</v>
      </c>
      <c r="T278" s="26" t="n">
        <f aca="false">(R278-S278)*100</f>
        <v>32.3232323232323</v>
      </c>
      <c r="U278" s="21" t="str">
        <f aca="false">'Player Data'!T278</f>
        <v>Unknown</v>
      </c>
      <c r="V278" s="27" t="n">
        <f aca="false">'Player Data'!U278</f>
        <v>2026</v>
      </c>
      <c r="W278" s="21" t="str">
        <f aca="false">IF(AND(T278&gt;=Assumptions!$B$19,U278="No"),"High Priority - Unrepresented",IF(T278&gt;=Assumptions!$B$19,"High Priority",IF(AND(T278&gt;=Assumptions!$B$20,U278="No"),"Watchlist - Unrepresented",IF(T278&gt;=Assumptions!$B$20,"Watchlist",""))))</f>
        <v>Watchlist</v>
      </c>
      <c r="X278" s="21" t="str">
        <f aca="false">'Player Data'!V278</f>
        <v>info@garouarangers.cm</v>
      </c>
      <c r="Y278" s="28" t="str">
        <f aca="false">'Player Data'!W278</f>
        <v>Club sporting director / first-team office</v>
      </c>
      <c r="Z278" s="28" t="str">
        <f aca="false">'Player Data'!X278</f>
        <v>FECAFOOT (Cameroonian Football Federation) player registry</v>
      </c>
      <c r="AA278" s="19" t="str">
        <f aca="false">HYPERLINK("https://www.transfermarkt.com/schnellsuche/ergebnis/schnellsuche?query="&amp;SUBSTITUTE(A278," ","+"),"Search Transfermarkt")</f>
        <v>Search Transfermarkt</v>
      </c>
      <c r="AB278" s="29" t="n">
        <f aca="false">IFERROR('Player Data'!K278/('Player Data'!K278+'Player Data'!L278),0)</f>
        <v>0.738738738738739</v>
      </c>
      <c r="AC278" s="21" t="str">
        <f aca="false">IF(B278="GK",IF(AND(O278&gt;=Assumptions!$B$23,N278&gt;=Assumptions!$B$23),"Sweeper-Keeper / Build-from-the-Back",IF(O278&gt;=Assumptions!$B$23,"Sweeper-Keeper / High Line",IF(M278&gt;=Assumptions!$B$23,"Shot-Stopper / Traditional","Flexible / Multi-System"))),IF(AND(O278&gt;=Assumptions!$B$23,P278&gt;=Assumptions!$B$24),"High Press / Gegenpressing",IF(AND(N278&gt;=Assumptions!$B$23,AB278&gt;=Assumptions!$B$25),"Possession / Build-from-the-Back",IF(N278&gt;=Assumptions!$B$23,"Counter-Attack / Transition",IF(AND(O278&gt;=Assumptions!$B$23,N278&lt;Assumptions!$B$26),"Low Block / Park the Bus",IF(AND(B278="FW",M278&gt;=Assumptions!$B$23,N278&lt;Assumptions!$B$26),"Direct / Target Approach","Flexible / Multi-System"))))))</f>
        <v>Flexible / Multi-System</v>
      </c>
      <c r="AD278" s="21" t="str">
        <f aca="false">'Player Data'!Y278</f>
        <v>2026-07-17</v>
      </c>
      <c r="AE278" s="21" t="str">
        <f aca="false">'Player Data'!Z278</f>
        <v>2026-07-17</v>
      </c>
      <c r="AF278" s="28" t="str">
        <f aca="false">IFERROR(INDEX(Assumptions!$B$30:$B$61,MATCH(C278,Assumptions!$A$30:$A$61,0)),"--")</f>
        <v>Belgium, Portugal</v>
      </c>
      <c r="AG278" s="30" t="str">
        <f aca="false">IF(R278&gt;=0.7,"Step-Up Candidate",IF(R278&gt;=0.4,"Lateral Move","Stay &amp; Develop"))</f>
        <v>Lateral Move</v>
      </c>
    </row>
    <row r="279" customFormat="false" ht="23.85" hidden="false" customHeight="false" outlineLevel="0" collapsed="false">
      <c r="A279" s="21" t="str">
        <f aca="false">'Player Data'!A279</f>
        <v>Kwabena Boateng</v>
      </c>
      <c r="B279" s="21" t="str">
        <f aca="false">'Player Data'!F279</f>
        <v>DF</v>
      </c>
      <c r="C279" s="21" t="str">
        <f aca="false">'Player Data'!B279</f>
        <v>Ghana</v>
      </c>
      <c r="D279" s="21" t="str">
        <f aca="false">'Player Data'!C279</f>
        <v>Ghana Amateur League</v>
      </c>
      <c r="E279" s="21" t="n">
        <f aca="false">'Player Data'!D279</f>
        <v>3</v>
      </c>
      <c r="F279" s="21" t="n">
        <f aca="false">'Player Data'!G279</f>
        <v>18</v>
      </c>
      <c r="G279" s="21" t="n">
        <f aca="false">'Player Data'!H279</f>
        <v>1776</v>
      </c>
      <c r="H279" s="22" t="n">
        <f aca="false">IF(B279="GK",IFERROR(('Player Data'!N279-1.5*'Player Data'!O279)/'Player Data'!H279*90,0),IFERROR(('Player Data'!I279+'Player Data'!J279)/'Player Data'!H279*90,0))</f>
        <v>0.152027027027027</v>
      </c>
      <c r="I279" s="22" t="n">
        <f aca="false">IF(B279="GK",'Player Data'!P279,IFERROR(('Player Data'!K279+'Player Data'!L279)/'Player Data'!H279*90,0))</f>
        <v>3.9527027027027</v>
      </c>
      <c r="J279" s="22" t="n">
        <f aca="false">IF(B279="GK",IFERROR('Player Data'!Q279/'Player Data'!H279*90,0),IFERROR('Player Data'!M279/'Player Data'!H279*90,0))</f>
        <v>5.27027027027027</v>
      </c>
      <c r="K279" s="23" t="n">
        <f aca="false">'Player Data'!S279</f>
        <v>96696</v>
      </c>
      <c r="L279" s="22" t="n">
        <f aca="false">INDEX(Assumptions!$B$13:$B$15,MATCH(E279,Assumptions!$A$13:$A$15,0))</f>
        <v>0.85</v>
      </c>
      <c r="M279" s="24" t="n">
        <f aca="false">IFERROR(SUMPRODUCT(($B$2:$B$1001=B279)*($H$2:$H$1001&lt;=H279))/SUMPRODUCT(($B$2:$B$1001=B279)*1),0)</f>
        <v>0.363945578231293</v>
      </c>
      <c r="N279" s="24" t="n">
        <f aca="false">IFERROR(SUMPRODUCT(($B$2:$B$1001=B279)*($I$2:$I$1001&lt;=I279))/SUMPRODUCT(($B$2:$B$1001=B279)*1),0)</f>
        <v>0.394557823129252</v>
      </c>
      <c r="O279" s="24" t="n">
        <f aca="false">IFERROR(SUMPRODUCT(($B$2:$B$1001=B279)*($J$2:$J$1001&lt;=J279))/SUMPRODUCT(($B$2:$B$1001=B279)*1),0)</f>
        <v>0.489795918367347</v>
      </c>
      <c r="P279" s="24" t="n">
        <f aca="false">IFERROR(SUMPRODUCT(($B$2:$B$1001=B279)*((0-$F$2:$F$1001)&lt;=(0-F279)))/SUMPRODUCT(($B$2:$B$1001=B279)*1),0)</f>
        <v>0.863945578231293</v>
      </c>
      <c r="Q279" s="25" t="n">
        <f aca="false">(M279*Assumptions!$B$5+N279*Assumptions!$B$6+O279*Assumptions!$B$7+P279*Assumptions!$B$8)*L279</f>
        <v>0.424855442176871</v>
      </c>
      <c r="R279" s="24" t="n">
        <f aca="false">IFERROR(SUMPRODUCT(($B$2:$B$1001=B279)*($Q$2:$Q$1001&lt;=Q279))/SUMPRODUCT(($B$2:$B$1001=B279)*1),0)</f>
        <v>0.523809523809524</v>
      </c>
      <c r="S279" s="24" t="n">
        <f aca="false">IFERROR(SUMPRODUCT(($B$2:$B$1001=B279)*($K$2:$K$1001&lt;=K279))/SUMPRODUCT(($B$2:$B$1001=B279)*1),0)</f>
        <v>0.72108843537415</v>
      </c>
      <c r="T279" s="26" t="n">
        <f aca="false">(R279-S279)*100</f>
        <v>-19.7278911564626</v>
      </c>
      <c r="U279" s="21" t="str">
        <f aca="false">'Player Data'!T279</f>
        <v>No</v>
      </c>
      <c r="V279" s="27" t="n">
        <f aca="false">'Player Data'!U279</f>
        <v>2026</v>
      </c>
      <c r="W279" s="21" t="str">
        <f aca="false">IF(AND(T279&gt;=Assumptions!$B$19,U279="No"),"High Priority - Unrepresented",IF(T279&gt;=Assumptions!$B$19,"High Priority",IF(AND(T279&gt;=Assumptions!$B$20,U279="No"),"Watchlist - Unrepresented",IF(T279&gt;=Assumptions!$B$20,"Watchlist",""))))</f>
        <v/>
      </c>
      <c r="X279" s="21" t="str">
        <f aca="false">'Player Data'!V279</f>
        <v>info@sekondiunited.gh</v>
      </c>
      <c r="Y279" s="28" t="str">
        <f aca="false">'Player Data'!W279</f>
        <v>Club sporting director / first-team office</v>
      </c>
      <c r="Z279" s="28" t="str">
        <f aca="false">'Player Data'!X279</f>
        <v>GFA (Ghana Football Association) player registry</v>
      </c>
      <c r="AA279" s="19" t="str">
        <f aca="false">HYPERLINK("https://www.transfermarkt.com/schnellsuche/ergebnis/schnellsuche?query="&amp;SUBSTITUTE(A279," ","+"),"Search Transfermarkt")</f>
        <v>Search Transfermarkt</v>
      </c>
      <c r="AB279" s="29" t="n">
        <f aca="false">IFERROR('Player Data'!K279/('Player Data'!K279+'Player Data'!L279),0)</f>
        <v>0.58974358974359</v>
      </c>
      <c r="AC279" s="21" t="str">
        <f aca="false">IF(B279="GK",IF(AND(O279&gt;=Assumptions!$B$23,N279&gt;=Assumptions!$B$23),"Sweeper-Keeper / Build-from-the-Back",IF(O279&gt;=Assumptions!$B$23,"Sweeper-Keeper / High Line",IF(M279&gt;=Assumptions!$B$23,"Shot-Stopper / Traditional","Flexible / Multi-System"))),IF(AND(O279&gt;=Assumptions!$B$23,P279&gt;=Assumptions!$B$24),"High Press / Gegenpressing",IF(AND(N279&gt;=Assumptions!$B$23,AB279&gt;=Assumptions!$B$25),"Possession / Build-from-the-Back",IF(N279&gt;=Assumptions!$B$23,"Counter-Attack / Transition",IF(AND(O279&gt;=Assumptions!$B$23,N279&lt;Assumptions!$B$26),"Low Block / Park the Bus",IF(AND(B279="FW",M279&gt;=Assumptions!$B$23,N279&lt;Assumptions!$B$26),"Direct / Target Approach","Flexible / Multi-System"))))))</f>
        <v>Flexible / Multi-System</v>
      </c>
      <c r="AD279" s="21" t="str">
        <f aca="false">'Player Data'!Y279</f>
        <v>2026-07-17</v>
      </c>
      <c r="AE279" s="21" t="str">
        <f aca="false">'Player Data'!Z279</f>
        <v>2026-07-17</v>
      </c>
      <c r="AF279" s="28" t="str">
        <f aca="false">IFERROR(INDEX(Assumptions!$B$30:$B$61,MATCH(C279,Assumptions!$A$30:$A$61,0)),"--")</f>
        <v>Belgium, Portugal</v>
      </c>
      <c r="AG279" s="30" t="str">
        <f aca="false">IF(R279&gt;=0.7,"Step-Up Candidate",IF(R279&gt;=0.4,"Lateral Move","Stay &amp; Develop"))</f>
        <v>Lateral Move</v>
      </c>
    </row>
    <row r="280" customFormat="false" ht="23.85" hidden="false" customHeight="false" outlineLevel="0" collapsed="false">
      <c r="A280" s="21" t="str">
        <f aca="false">'Player Data'!A280</f>
        <v>Agustin Pereira</v>
      </c>
      <c r="B280" s="21" t="str">
        <f aca="false">'Player Data'!F280</f>
        <v>MF</v>
      </c>
      <c r="C280" s="21" t="str">
        <f aca="false">'Player Data'!B280</f>
        <v>Uruguay</v>
      </c>
      <c r="D280" s="21" t="str">
        <f aca="false">'Player Data'!C280</f>
        <v>Uruguay Third Tier - North</v>
      </c>
      <c r="E280" s="21" t="n">
        <f aca="false">'Player Data'!D280</f>
        <v>3</v>
      </c>
      <c r="F280" s="21" t="n">
        <f aca="false">'Player Data'!G280</f>
        <v>20</v>
      </c>
      <c r="G280" s="21" t="n">
        <f aca="false">'Player Data'!H280</f>
        <v>1210</v>
      </c>
      <c r="H280" s="22" t="n">
        <f aca="false">IF(B280="GK",IFERROR(('Player Data'!N280-1.5*'Player Data'!O280)/'Player Data'!H280*90,0),IFERROR(('Player Data'!I280+'Player Data'!J280)/'Player Data'!H280*90,0))</f>
        <v>0.59504132231405</v>
      </c>
      <c r="I280" s="22" t="n">
        <f aca="false">IF(B280="GK",'Player Data'!P280,IFERROR(('Player Data'!K280+'Player Data'!L280)/'Player Data'!H280*90,0))</f>
        <v>18.2231404958678</v>
      </c>
      <c r="J280" s="22" t="n">
        <f aca="false">IF(B280="GK",IFERROR('Player Data'!Q280/'Player Data'!H280*90,0),IFERROR('Player Data'!M280/'Player Data'!H280*90,0))</f>
        <v>4.31404958677686</v>
      </c>
      <c r="K280" s="23" t="n">
        <f aca="false">'Player Data'!S280</f>
        <v>142573</v>
      </c>
      <c r="L280" s="22" t="n">
        <f aca="false">INDEX(Assumptions!$B$13:$B$15,MATCH(E280,Assumptions!$A$13:$A$15,0))</f>
        <v>0.85</v>
      </c>
      <c r="M280" s="24" t="n">
        <f aca="false">IFERROR(SUMPRODUCT(($B$2:$B$1001=B280)*($H$2:$H$1001&lt;=H280))/SUMPRODUCT(($B$2:$B$1001=B280)*1),0)</f>
        <v>0.30976430976431</v>
      </c>
      <c r="N280" s="24" t="n">
        <f aca="false">IFERROR(SUMPRODUCT(($B$2:$B$1001=B280)*($I$2:$I$1001&lt;=I280))/SUMPRODUCT(($B$2:$B$1001=B280)*1),0)</f>
        <v>0.858585858585859</v>
      </c>
      <c r="O280" s="24" t="n">
        <f aca="false">IFERROR(SUMPRODUCT(($B$2:$B$1001=B280)*($J$2:$J$1001&lt;=J280))/SUMPRODUCT(($B$2:$B$1001=B280)*1),0)</f>
        <v>0.952861952861953</v>
      </c>
      <c r="P280" s="24" t="n">
        <f aca="false">IFERROR(SUMPRODUCT(($B$2:$B$1001=B280)*((0-$F$2:$F$1001)&lt;=(0-F280)))/SUMPRODUCT(($B$2:$B$1001=B280)*1),0)</f>
        <v>0.734006734006734</v>
      </c>
      <c r="Q280" s="25" t="n">
        <f aca="false">(M280*Assumptions!$B$5+N280*Assumptions!$B$6+O280*Assumptions!$B$7+P280*Assumptions!$B$8)*L280</f>
        <v>0.608021885521886</v>
      </c>
      <c r="R280" s="24" t="n">
        <f aca="false">IFERROR(SUMPRODUCT(($B$2:$B$1001=B280)*($Q$2:$Q$1001&lt;=Q280))/SUMPRODUCT(($B$2:$B$1001=B280)*1),0)</f>
        <v>0.760942760942761</v>
      </c>
      <c r="S280" s="24" t="n">
        <f aca="false">IFERROR(SUMPRODUCT(($B$2:$B$1001=B280)*($K$2:$K$1001&lt;=K280))/SUMPRODUCT(($B$2:$B$1001=B280)*1),0)</f>
        <v>0.983164983164983</v>
      </c>
      <c r="T280" s="26" t="n">
        <f aca="false">(R280-S280)*100</f>
        <v>-22.2222222222222</v>
      </c>
      <c r="U280" s="21" t="str">
        <f aca="false">'Player Data'!T280</f>
        <v>Yes</v>
      </c>
      <c r="V280" s="27" t="n">
        <f aca="false">'Player Data'!U280</f>
        <v>2026</v>
      </c>
      <c r="W280" s="21" t="str">
        <f aca="false">IF(AND(T280&gt;=Assumptions!$B$19,U280="No"),"High Priority - Unrepresented",IF(T280&gt;=Assumptions!$B$19,"High Priority",IF(AND(T280&gt;=Assumptions!$B$20,U280="No"),"Watchlist - Unrepresented",IF(T280&gt;=Assumptions!$B$20,"Watchlist",""))))</f>
        <v/>
      </c>
      <c r="X280" s="21" t="str">
        <f aca="false">'Player Data'!V280</f>
        <v>info@paysanduwanderers.uy</v>
      </c>
      <c r="Y280" s="28" t="str">
        <f aca="false">'Player Data'!W280</f>
        <v>Go through the player's agent - ask the club to confirm representation first</v>
      </c>
      <c r="Z280" s="28" t="str">
        <f aca="false">'Player Data'!X280</f>
        <v>AUF (Uruguayan Football Association) player registry</v>
      </c>
      <c r="AA280" s="19" t="str">
        <f aca="false">HYPERLINK("https://www.transfermarkt.com/schnellsuche/ergebnis/schnellsuche?query="&amp;SUBSTITUTE(A280," ","+"),"Search Transfermarkt")</f>
        <v>Search Transfermarkt</v>
      </c>
      <c r="AB280" s="29" t="n">
        <f aca="false">IFERROR('Player Data'!K280/('Player Data'!K280+'Player Data'!L280),0)</f>
        <v>0.702040816326531</v>
      </c>
      <c r="AC280" s="21" t="str">
        <f aca="false">IF(B280="GK",IF(AND(O280&gt;=Assumptions!$B$23,N280&gt;=Assumptions!$B$23),"Sweeper-Keeper / Build-from-the-Back",IF(O280&gt;=Assumptions!$B$23,"Sweeper-Keeper / High Line",IF(M280&gt;=Assumptions!$B$23,"Shot-Stopper / Traditional","Flexible / Multi-System"))),IF(AND(O280&gt;=Assumptions!$B$23,P280&gt;=Assumptions!$B$24),"High Press / Gegenpressing",IF(AND(N280&gt;=Assumptions!$B$23,AB280&gt;=Assumptions!$B$25),"Possession / Build-from-the-Back",IF(N280&gt;=Assumptions!$B$23,"Counter-Attack / Transition",IF(AND(O280&gt;=Assumptions!$B$23,N280&lt;Assumptions!$B$26),"Low Block / Park the Bus",IF(AND(B280="FW",M280&gt;=Assumptions!$B$23,N280&lt;Assumptions!$B$26),"Direct / Target Approach","Flexible / Multi-System"))))))</f>
        <v>High Press / Gegenpressing</v>
      </c>
      <c r="AD280" s="21" t="str">
        <f aca="false">'Player Data'!Y280</f>
        <v>2026-07-17</v>
      </c>
      <c r="AE280" s="21" t="str">
        <f aca="false">'Player Data'!Z280</f>
        <v>2026-07-17</v>
      </c>
      <c r="AF280" s="28" t="str">
        <f aca="false">IFERROR(INDEX(Assumptions!$B$30:$B$61,MATCH(C280,Assumptions!$A$30:$A$61,0)),"--")</f>
        <v>Argentina, Portugal</v>
      </c>
      <c r="AG280" s="30" t="str">
        <f aca="false">IF(R280&gt;=0.7,"Step-Up Candidate",IF(R280&gt;=0.4,"Lateral Move","Stay &amp; Develop"))</f>
        <v>Step-Up Candidate</v>
      </c>
    </row>
    <row r="281" customFormat="false" ht="23.85" hidden="false" customHeight="false" outlineLevel="0" collapsed="false">
      <c r="A281" s="21" t="str">
        <f aca="false">'Player Data'!A281</f>
        <v>Max Kouassi</v>
      </c>
      <c r="B281" s="21" t="str">
        <f aca="false">'Player Data'!F281</f>
        <v>GK</v>
      </c>
      <c r="C281" s="21" t="str">
        <f aca="false">'Player Data'!B281</f>
        <v>Ivory Coast</v>
      </c>
      <c r="D281" s="21" t="str">
        <f aca="false">'Player Data'!C281</f>
        <v>Ivory Coast Reserve League</v>
      </c>
      <c r="E281" s="21" t="n">
        <f aca="false">'Player Data'!D281</f>
        <v>2</v>
      </c>
      <c r="F281" s="21" t="n">
        <f aca="false">'Player Data'!G281</f>
        <v>22</v>
      </c>
      <c r="G281" s="21" t="n">
        <f aca="false">'Player Data'!H281</f>
        <v>1266</v>
      </c>
      <c r="H281" s="22" t="n">
        <f aca="false">IF(B281="GK",IFERROR(('Player Data'!N281-1.5*'Player Data'!O281)/'Player Data'!H281*90,0),IFERROR(('Player Data'!I281+'Player Data'!J281)/'Player Data'!H281*90,0))</f>
        <v>1.06635071090047</v>
      </c>
      <c r="I281" s="22" t="n">
        <f aca="false">IF(B281="GK",'Player Data'!P281,IFERROR(('Player Data'!K281+'Player Data'!L281)/'Player Data'!H281*90,0))</f>
        <v>84.1</v>
      </c>
      <c r="J281" s="22" t="n">
        <f aca="false">IF(B281="GK",IFERROR('Player Data'!Q281/'Player Data'!H281*90,0),IFERROR('Player Data'!M281/'Player Data'!H281*90,0))</f>
        <v>1.31516587677725</v>
      </c>
      <c r="K281" s="23" t="n">
        <f aca="false">'Player Data'!S281</f>
        <v>117931</v>
      </c>
      <c r="L281" s="22" t="n">
        <f aca="false">INDEX(Assumptions!$B$13:$B$15,MATCH(E281,Assumptions!$A$13:$A$15,0))</f>
        <v>1</v>
      </c>
      <c r="M281" s="24" t="n">
        <f aca="false">IFERROR(SUMPRODUCT(($B$2:$B$1001=B281)*($H$2:$H$1001&lt;=H281))/SUMPRODUCT(($B$2:$B$1001=B281)*1),0)</f>
        <v>0.46448087431694</v>
      </c>
      <c r="N281" s="24" t="n">
        <f aca="false">IFERROR(SUMPRODUCT(($B$2:$B$1001=B281)*($I$2:$I$1001&lt;=I281))/SUMPRODUCT(($B$2:$B$1001=B281)*1),0)</f>
        <v>0.819672131147541</v>
      </c>
      <c r="O281" s="24" t="n">
        <f aca="false">IFERROR(SUMPRODUCT(($B$2:$B$1001=B281)*($J$2:$J$1001&lt;=J281))/SUMPRODUCT(($B$2:$B$1001=B281)*1),0)</f>
        <v>0.841530054644809</v>
      </c>
      <c r="P281" s="24" t="n">
        <f aca="false">IFERROR(SUMPRODUCT(($B$2:$B$1001=B281)*((0-$F$2:$F$1001)&lt;=(0-F281)))/SUMPRODUCT(($B$2:$B$1001=B281)*1),0)</f>
        <v>0.530054644808743</v>
      </c>
      <c r="Q281" s="25" t="n">
        <f aca="false">(M281*Assumptions!$B$5+N281*Assumptions!$B$6+O281*Assumptions!$B$7+P281*Assumptions!$B$8)*L281</f>
        <v>0.677322404371585</v>
      </c>
      <c r="R281" s="24" t="n">
        <f aca="false">IFERROR(SUMPRODUCT(($B$2:$B$1001=B281)*($Q$2:$Q$1001&lt;=Q281))/SUMPRODUCT(($B$2:$B$1001=B281)*1),0)</f>
        <v>0.972677595628415</v>
      </c>
      <c r="S281" s="24" t="n">
        <f aca="false">IFERROR(SUMPRODUCT(($B$2:$B$1001=B281)*($K$2:$K$1001&lt;=K281))/SUMPRODUCT(($B$2:$B$1001=B281)*1),0)</f>
        <v>0.797814207650273</v>
      </c>
      <c r="T281" s="26" t="n">
        <f aca="false">(R281-S281)*100</f>
        <v>17.4863387978142</v>
      </c>
      <c r="U281" s="21" t="str">
        <f aca="false">'Player Data'!T281</f>
        <v>Unknown</v>
      </c>
      <c r="V281" s="27" t="n">
        <f aca="false">'Player Data'!U281</f>
        <v>2029</v>
      </c>
      <c r="W281" s="21" t="str">
        <f aca="false">IF(AND(T281&gt;=Assumptions!$B$19,U281="No"),"High Priority - Unrepresented",IF(T281&gt;=Assumptions!$B$19,"High Priority",IF(AND(T281&gt;=Assumptions!$B$20,U281="No"),"Watchlist - Unrepresented",IF(T281&gt;=Assumptions!$B$20,"Watchlist",""))))</f>
        <v/>
      </c>
      <c r="X281" s="21" t="str">
        <f aca="false">'Player Data'!V281</f>
        <v>info@yamoussoukrofc.ci</v>
      </c>
      <c r="Y281" s="28" t="str">
        <f aca="false">'Player Data'!W281</f>
        <v>Club sporting director / first-team office</v>
      </c>
      <c r="Z281" s="28" t="str">
        <f aca="false">'Player Data'!X281</f>
        <v>FIF (Ivorian Football Federation) player registry</v>
      </c>
      <c r="AA281" s="19" t="str">
        <f aca="false">HYPERLINK("https://www.transfermarkt.com/schnellsuche/ergebnis/schnellsuche?query="&amp;SUBSTITUTE(A281," ","+"),"Search Transfermarkt")</f>
        <v>Search Transfermarkt</v>
      </c>
      <c r="AB281" s="29" t="n">
        <f aca="false">IFERROR('Player Data'!K281/('Player Data'!K281+'Player Data'!L281),0)</f>
        <v>0.857142857142857</v>
      </c>
      <c r="AC281" s="21" t="str">
        <f aca="false">IF(B281="GK",IF(AND(O281&gt;=Assumptions!$B$23,N281&gt;=Assumptions!$B$23),"Sweeper-Keeper / Build-from-the-Back",IF(O281&gt;=Assumptions!$B$23,"Sweeper-Keeper / High Line",IF(M281&gt;=Assumptions!$B$23,"Shot-Stopper / Traditional","Flexible / Multi-System"))),IF(AND(O281&gt;=Assumptions!$B$23,P281&gt;=Assumptions!$B$24),"High Press / Gegenpressing",IF(AND(N281&gt;=Assumptions!$B$23,AB281&gt;=Assumptions!$B$25),"Possession / Build-from-the-Back",IF(N281&gt;=Assumptions!$B$23,"Counter-Attack / Transition",IF(AND(O281&gt;=Assumptions!$B$23,N281&lt;Assumptions!$B$26),"Low Block / Park the Bus",IF(AND(B281="FW",M281&gt;=Assumptions!$B$23,N281&lt;Assumptions!$B$26),"Direct / Target Approach","Flexible / Multi-System"))))))</f>
        <v>Sweeper-Keeper / Build-from-the-Back</v>
      </c>
      <c r="AD281" s="21" t="str">
        <f aca="false">'Player Data'!Y281</f>
        <v>2026-07-17</v>
      </c>
      <c r="AE281" s="21" t="str">
        <f aca="false">'Player Data'!Z281</f>
        <v>2026-07-17</v>
      </c>
      <c r="AF281" s="28" t="str">
        <f aca="false">IFERROR(INDEX(Assumptions!$B$30:$B$61,MATCH(C281,Assumptions!$A$30:$A$61,0)),"--")</f>
        <v>Belgium, Portugal</v>
      </c>
      <c r="AG281" s="30" t="str">
        <f aca="false">IF(R281&gt;=0.7,"Step-Up Candidate",IF(R281&gt;=0.4,"Lateral Move","Stay &amp; Develop"))</f>
        <v>Step-Up Candidate</v>
      </c>
    </row>
    <row r="282" customFormat="false" ht="23.85" hidden="false" customHeight="false" outlineLevel="0" collapsed="false">
      <c r="A282" s="21" t="str">
        <f aca="false">'Player Data'!A282</f>
        <v>Quang Vu</v>
      </c>
      <c r="B282" s="21" t="str">
        <f aca="false">'Player Data'!F282</f>
        <v>FW</v>
      </c>
      <c r="C282" s="21" t="str">
        <f aca="false">'Player Data'!B282</f>
        <v>Vietnam</v>
      </c>
      <c r="D282" s="21" t="str">
        <f aca="false">'Player Data'!C282</f>
        <v>Vietnam Regional League</v>
      </c>
      <c r="E282" s="21" t="n">
        <f aca="false">'Player Data'!D282</f>
        <v>4</v>
      </c>
      <c r="F282" s="21" t="n">
        <f aca="false">'Player Data'!G282</f>
        <v>19</v>
      </c>
      <c r="G282" s="21" t="n">
        <f aca="false">'Player Data'!H282</f>
        <v>1228</v>
      </c>
      <c r="H282" s="22" t="n">
        <f aca="false">IF(B282="GK",IFERROR(('Player Data'!N282-1.5*'Player Data'!O282)/'Player Data'!H282*90,0),IFERROR(('Player Data'!I282+'Player Data'!J282)/'Player Data'!H282*90,0))</f>
        <v>0.879478827361564</v>
      </c>
      <c r="I282" s="22" t="n">
        <f aca="false">IF(B282="GK",'Player Data'!P282,IFERROR(('Player Data'!K282+'Player Data'!L282)/'Player Data'!H282*90,0))</f>
        <v>8.72149837133551</v>
      </c>
      <c r="J282" s="22" t="n">
        <f aca="false">IF(B282="GK",IFERROR('Player Data'!Q282/'Player Data'!H282*90,0),IFERROR('Player Data'!M282/'Player Data'!H282*90,0))</f>
        <v>0.952768729641694</v>
      </c>
      <c r="K282" s="23" t="n">
        <f aca="false">'Player Data'!S282</f>
        <v>99256</v>
      </c>
      <c r="L282" s="22" t="n">
        <f aca="false">INDEX(Assumptions!$B$13:$B$15,MATCH(E282,Assumptions!$A$13:$A$15,0))</f>
        <v>0.7</v>
      </c>
      <c r="M282" s="24" t="n">
        <f aca="false">IFERROR(SUMPRODUCT(($B$2:$B$1001=B282)*($H$2:$H$1001&lt;=H282))/SUMPRODUCT(($B$2:$B$1001=B282)*1),0)</f>
        <v>0.398230088495575</v>
      </c>
      <c r="N282" s="24" t="n">
        <f aca="false">IFERROR(SUMPRODUCT(($B$2:$B$1001=B282)*($I$2:$I$1001&lt;=I282))/SUMPRODUCT(($B$2:$B$1001=B282)*1),0)</f>
        <v>0.734513274336283</v>
      </c>
      <c r="O282" s="24" t="n">
        <f aca="false">IFERROR(SUMPRODUCT(($B$2:$B$1001=B282)*($J$2:$J$1001&lt;=J282))/SUMPRODUCT(($B$2:$B$1001=B282)*1),0)</f>
        <v>0.876106194690266</v>
      </c>
      <c r="P282" s="24" t="n">
        <f aca="false">IFERROR(SUMPRODUCT(($B$2:$B$1001=B282)*((0-$F$2:$F$1001)&lt;=(0-F282)))/SUMPRODUCT(($B$2:$B$1001=B282)*1),0)</f>
        <v>0.831858407079646</v>
      </c>
      <c r="Q282" s="25" t="n">
        <f aca="false">(M282*Assumptions!$B$5+N282*Assumptions!$B$6+O282*Assumptions!$B$7+P282*Assumptions!$B$8)*L282</f>
        <v>0.488761061946903</v>
      </c>
      <c r="R282" s="24" t="n">
        <f aca="false">IFERROR(SUMPRODUCT(($B$2:$B$1001=B282)*($Q$2:$Q$1001&lt;=Q282))/SUMPRODUCT(($B$2:$B$1001=B282)*1),0)</f>
        <v>0.588495575221239</v>
      </c>
      <c r="S282" s="24" t="n">
        <f aca="false">IFERROR(SUMPRODUCT(($B$2:$B$1001=B282)*($K$2:$K$1001&lt;=K282))/SUMPRODUCT(($B$2:$B$1001=B282)*1),0)</f>
        <v>0.685840707964602</v>
      </c>
      <c r="T282" s="26" t="n">
        <f aca="false">(R282-S282)*100</f>
        <v>-9.73451327433628</v>
      </c>
      <c r="U282" s="21" t="str">
        <f aca="false">'Player Data'!T282</f>
        <v>Yes</v>
      </c>
      <c r="V282" s="27" t="n">
        <f aca="false">'Player Data'!U282</f>
        <v>2028</v>
      </c>
      <c r="W282" s="21" t="str">
        <f aca="false">IF(AND(T282&gt;=Assumptions!$B$19,U282="No"),"High Priority - Unrepresented",IF(T282&gt;=Assumptions!$B$19,"High Priority",IF(AND(T282&gt;=Assumptions!$B$20,U282="No"),"Watchlist - Unrepresented",IF(T282&gt;=Assumptions!$B$20,"Watchlist",""))))</f>
        <v/>
      </c>
      <c r="X282" s="21" t="str">
        <f aca="false">'Player Data'!V282</f>
        <v>info@haiphongathletic.vn</v>
      </c>
      <c r="Y282" s="28" t="str">
        <f aca="false">'Player Data'!W282</f>
        <v>Go through the player's agent - ask the club to confirm representation first</v>
      </c>
      <c r="Z282" s="28" t="str">
        <f aca="false">'Player Data'!X282</f>
        <v>VFF (Vietnam Football Federation) player registry</v>
      </c>
      <c r="AA282" s="19" t="str">
        <f aca="false">HYPERLINK("https://www.transfermarkt.com/schnellsuche/ergebnis/schnellsuche?query="&amp;SUBSTITUTE(A282," ","+"),"Search Transfermarkt")</f>
        <v>Search Transfermarkt</v>
      </c>
      <c r="AB282" s="29" t="n">
        <f aca="false">IFERROR('Player Data'!K282/('Player Data'!K282+'Player Data'!L282),0)</f>
        <v>0.336134453781513</v>
      </c>
      <c r="AC282" s="21" t="str">
        <f aca="false">IF(B282="GK",IF(AND(O282&gt;=Assumptions!$B$23,N282&gt;=Assumptions!$B$23),"Sweeper-Keeper / Build-from-the-Back",IF(O282&gt;=Assumptions!$B$23,"Sweeper-Keeper / High Line",IF(M282&gt;=Assumptions!$B$23,"Shot-Stopper / Traditional","Flexible / Multi-System"))),IF(AND(O282&gt;=Assumptions!$B$23,P282&gt;=Assumptions!$B$24),"High Press / Gegenpressing",IF(AND(N282&gt;=Assumptions!$B$23,AB282&gt;=Assumptions!$B$25),"Possession / Build-from-the-Back",IF(N282&gt;=Assumptions!$B$23,"Counter-Attack / Transition",IF(AND(O282&gt;=Assumptions!$B$23,N282&lt;Assumptions!$B$26),"Low Block / Park the Bus",IF(AND(B282="FW",M282&gt;=Assumptions!$B$23,N282&lt;Assumptions!$B$26),"Direct / Target Approach","Flexible / Multi-System"))))))</f>
        <v>High Press / Gegenpressing</v>
      </c>
      <c r="AD282" s="21" t="str">
        <f aca="false">'Player Data'!Y282</f>
        <v>2026-07-17</v>
      </c>
      <c r="AE282" s="21" t="str">
        <f aca="false">'Player Data'!Z282</f>
        <v>2026-07-17</v>
      </c>
      <c r="AF282" s="28" t="str">
        <f aca="false">IFERROR(INDEX(Assumptions!$B$30:$B$61,MATCH(C282,Assumptions!$A$30:$A$61,0)),"--")</f>
        <v>Australia, Saudi Arabia</v>
      </c>
      <c r="AG282" s="30" t="str">
        <f aca="false">IF(R282&gt;=0.7,"Step-Up Candidate",IF(R282&gt;=0.4,"Lateral Move","Stay &amp; Develop"))</f>
        <v>Lateral Move</v>
      </c>
    </row>
    <row r="283" customFormat="false" ht="23.85" hidden="false" customHeight="false" outlineLevel="0" collapsed="false">
      <c r="A283" s="21" t="str">
        <f aca="false">'Player Data'!A283</f>
        <v>Emmanuel Zulu</v>
      </c>
      <c r="B283" s="21" t="str">
        <f aca="false">'Player Data'!F283</f>
        <v>FW</v>
      </c>
      <c r="C283" s="21" t="str">
        <f aca="false">'Player Data'!B283</f>
        <v>Zambia</v>
      </c>
      <c r="D283" s="21" t="str">
        <f aca="false">'Player Data'!C283</f>
        <v>Zambia Reserve League</v>
      </c>
      <c r="E283" s="21" t="n">
        <f aca="false">'Player Data'!D283</f>
        <v>3</v>
      </c>
      <c r="F283" s="21" t="n">
        <f aca="false">'Player Data'!G283</f>
        <v>25</v>
      </c>
      <c r="G283" s="21" t="n">
        <f aca="false">'Player Data'!H283</f>
        <v>1380</v>
      </c>
      <c r="H283" s="22" t="n">
        <f aca="false">IF(B283="GK",IFERROR(('Player Data'!N283-1.5*'Player Data'!O283)/'Player Data'!H283*90,0),IFERROR(('Player Data'!I283+'Player Data'!J283)/'Player Data'!H283*90,0))</f>
        <v>1.3695652173913</v>
      </c>
      <c r="I283" s="22" t="n">
        <f aca="false">IF(B283="GK",'Player Data'!P283,IFERROR(('Player Data'!K283+'Player Data'!L283)/'Player Data'!H283*90,0))</f>
        <v>7.17391304347826</v>
      </c>
      <c r="J283" s="22" t="n">
        <f aca="false">IF(B283="GK",IFERROR('Player Data'!Q283/'Player Data'!H283*90,0),IFERROR('Player Data'!M283/'Player Data'!H283*90,0))</f>
        <v>0.326086956521739</v>
      </c>
      <c r="K283" s="23" t="n">
        <f aca="false">'Player Data'!S283</f>
        <v>0</v>
      </c>
      <c r="L283" s="22" t="n">
        <f aca="false">INDEX(Assumptions!$B$13:$B$15,MATCH(E283,Assumptions!$A$13:$A$15,0))</f>
        <v>0.85</v>
      </c>
      <c r="M283" s="24" t="n">
        <f aca="false">IFERROR(SUMPRODUCT(($B$2:$B$1001=B283)*($H$2:$H$1001&lt;=H283))/SUMPRODUCT(($B$2:$B$1001=B283)*1),0)</f>
        <v>0.778761061946903</v>
      </c>
      <c r="N283" s="24" t="n">
        <f aca="false">IFERROR(SUMPRODUCT(($B$2:$B$1001=B283)*($I$2:$I$1001&lt;=I283))/SUMPRODUCT(($B$2:$B$1001=B283)*1),0)</f>
        <v>0.610619469026549</v>
      </c>
      <c r="O283" s="24" t="n">
        <f aca="false">IFERROR(SUMPRODUCT(($B$2:$B$1001=B283)*($J$2:$J$1001&lt;=J283))/SUMPRODUCT(($B$2:$B$1001=B283)*1),0)</f>
        <v>0.212389380530973</v>
      </c>
      <c r="P283" s="24" t="n">
        <f aca="false">IFERROR(SUMPRODUCT(($B$2:$B$1001=B283)*((0-$F$2:$F$1001)&lt;=(0-F283)))/SUMPRODUCT(($B$2:$B$1001=B283)*1),0)</f>
        <v>0.194690265486726</v>
      </c>
      <c r="Q283" s="25" t="n">
        <f aca="false">(M283*Assumptions!$B$5+N283*Assumptions!$B$6+O283*Assumptions!$B$7+P283*Assumptions!$B$8)*L283</f>
        <v>0.416349557522124</v>
      </c>
      <c r="R283" s="24" t="n">
        <f aca="false">IFERROR(SUMPRODUCT(($B$2:$B$1001=B283)*($Q$2:$Q$1001&lt;=Q283))/SUMPRODUCT(($B$2:$B$1001=B283)*1),0)</f>
        <v>0.464601769911504</v>
      </c>
      <c r="S283" s="24" t="n">
        <f aca="false">IFERROR(SUMPRODUCT(($B$2:$B$1001=B283)*($K$2:$K$1001&lt;=K283))/SUMPRODUCT(($B$2:$B$1001=B283)*1),0)</f>
        <v>0.261061946902655</v>
      </c>
      <c r="T283" s="26" t="n">
        <f aca="false">(R283-S283)*100</f>
        <v>20.353982300885</v>
      </c>
      <c r="U283" s="21" t="str">
        <f aca="false">'Player Data'!T283</f>
        <v>No</v>
      </c>
      <c r="V283" s="27" t="n">
        <f aca="false">'Player Data'!U283</f>
        <v>2026</v>
      </c>
      <c r="W283" s="21" t="str">
        <f aca="false">IF(AND(T283&gt;=Assumptions!$B$19,U283="No"),"High Priority - Unrepresented",IF(T283&gt;=Assumptions!$B$19,"High Priority",IF(AND(T283&gt;=Assumptions!$B$20,U283="No"),"Watchlist - Unrepresented",IF(T283&gt;=Assumptions!$B$20,"Watchlist",""))))</f>
        <v>Watchlist - Unrepresented</v>
      </c>
      <c r="X283" s="21" t="str">
        <f aca="false">'Player Data'!V283</f>
        <v>info@ndolarovers.zm</v>
      </c>
      <c r="Y283" s="28" t="str">
        <f aca="false">'Player Data'!W283</f>
        <v>Club sporting director / first-team office</v>
      </c>
      <c r="Z283" s="28" t="str">
        <f aca="false">'Player Data'!X283</f>
        <v>FAZ (Football Association of Zambia) player registry</v>
      </c>
      <c r="AA283" s="19" t="str">
        <f aca="false">HYPERLINK("https://www.transfermarkt.com/schnellsuche/ergebnis/schnellsuche?query="&amp;SUBSTITUTE(A283," ","+"),"Search Transfermarkt")</f>
        <v>Search Transfermarkt</v>
      </c>
      <c r="AB283" s="29" t="n">
        <f aca="false">IFERROR('Player Data'!K283/('Player Data'!K283+'Player Data'!L283),0)</f>
        <v>0.336363636363636</v>
      </c>
      <c r="AC283" s="21" t="str">
        <f aca="false">IF(B283="GK",IF(AND(O283&gt;=Assumptions!$B$23,N283&gt;=Assumptions!$B$23),"Sweeper-Keeper / Build-from-the-Back",IF(O283&gt;=Assumptions!$B$23,"Sweeper-Keeper / High Line",IF(M283&gt;=Assumptions!$B$23,"Shot-Stopper / Traditional","Flexible / Multi-System"))),IF(AND(O283&gt;=Assumptions!$B$23,P283&gt;=Assumptions!$B$24),"High Press / Gegenpressing",IF(AND(N283&gt;=Assumptions!$B$23,AB283&gt;=Assumptions!$B$25),"Possession / Build-from-the-Back",IF(N283&gt;=Assumptions!$B$23,"Counter-Attack / Transition",IF(AND(O283&gt;=Assumptions!$B$23,N283&lt;Assumptions!$B$26),"Low Block / Park the Bus",IF(AND(B283="FW",M283&gt;=Assumptions!$B$23,N283&lt;Assumptions!$B$26),"Direct / Target Approach","Flexible / Multi-System"))))))</f>
        <v>Flexible / Multi-System</v>
      </c>
      <c r="AD283" s="21" t="str">
        <f aca="false">'Player Data'!Y283</f>
        <v>2026-07-17</v>
      </c>
      <c r="AE283" s="21" t="str">
        <f aca="false">'Player Data'!Z283</f>
        <v>2026-07-17</v>
      </c>
      <c r="AF283" s="28" t="str">
        <f aca="false">IFERROR(INDEX(Assumptions!$B$30:$B$61,MATCH(C283,Assumptions!$A$30:$A$61,0)),"--")</f>
        <v>Belgium, Portugal</v>
      </c>
      <c r="AG283" s="30" t="str">
        <f aca="false">IF(R283&gt;=0.7,"Step-Up Candidate",IF(R283&gt;=0.4,"Lateral Move","Stay &amp; Develop"))</f>
        <v>Lateral Move</v>
      </c>
    </row>
    <row r="284" customFormat="false" ht="23.85" hidden="false" customHeight="false" outlineLevel="0" collapsed="false">
      <c r="A284" s="21" t="str">
        <f aca="false">'Player Data'!A284</f>
        <v>Bruno Rodriguez</v>
      </c>
      <c r="B284" s="21" t="str">
        <f aca="false">'Player Data'!F284</f>
        <v>FW</v>
      </c>
      <c r="C284" s="21" t="str">
        <f aca="false">'Player Data'!B284</f>
        <v>Uruguay</v>
      </c>
      <c r="D284" s="21" t="str">
        <f aca="false">'Player Data'!C284</f>
        <v>Uruguay Second Division</v>
      </c>
      <c r="E284" s="21" t="n">
        <f aca="false">'Player Data'!D284</f>
        <v>2</v>
      </c>
      <c r="F284" s="21" t="n">
        <f aca="false">'Player Data'!G284</f>
        <v>24</v>
      </c>
      <c r="G284" s="21" t="n">
        <f aca="false">'Player Data'!H284</f>
        <v>2287</v>
      </c>
      <c r="H284" s="22" t="n">
        <f aca="false">IF(B284="GK",IFERROR(('Player Data'!N284-1.5*'Player Data'!O284)/'Player Data'!H284*90,0),IFERROR(('Player Data'!I284+'Player Data'!J284)/'Player Data'!H284*90,0))</f>
        <v>0.472234368167906</v>
      </c>
      <c r="I284" s="22" t="n">
        <f aca="false">IF(B284="GK",'Player Data'!P284,IFERROR(('Player Data'!K284+'Player Data'!L284)/'Player Data'!H284*90,0))</f>
        <v>6.0209881941408</v>
      </c>
      <c r="J284" s="22" t="n">
        <f aca="false">IF(B284="GK",IFERROR('Player Data'!Q284/'Player Data'!H284*90,0),IFERROR('Player Data'!M284/'Player Data'!H284*90,0))</f>
        <v>0.432881504153913</v>
      </c>
      <c r="K284" s="23" t="n">
        <f aca="false">'Player Data'!S284</f>
        <v>0</v>
      </c>
      <c r="L284" s="22" t="n">
        <f aca="false">INDEX(Assumptions!$B$13:$B$15,MATCH(E284,Assumptions!$A$13:$A$15,0))</f>
        <v>1</v>
      </c>
      <c r="M284" s="24" t="n">
        <f aca="false">IFERROR(SUMPRODUCT(($B$2:$B$1001=B284)*($H$2:$H$1001&lt;=H284))/SUMPRODUCT(($B$2:$B$1001=B284)*1),0)</f>
        <v>0.0398230088495575</v>
      </c>
      <c r="N284" s="24" t="n">
        <f aca="false">IFERROR(SUMPRODUCT(($B$2:$B$1001=B284)*($I$2:$I$1001&lt;=I284))/SUMPRODUCT(($B$2:$B$1001=B284)*1),0)</f>
        <v>0.411504424778761</v>
      </c>
      <c r="O284" s="24" t="n">
        <f aca="false">IFERROR(SUMPRODUCT(($B$2:$B$1001=B284)*($J$2:$J$1001&lt;=J284))/SUMPRODUCT(($B$2:$B$1001=B284)*1),0)</f>
        <v>0.376106194690265</v>
      </c>
      <c r="P284" s="24" t="n">
        <f aca="false">IFERROR(SUMPRODUCT(($B$2:$B$1001=B284)*((0-$F$2:$F$1001)&lt;=(0-F284)))/SUMPRODUCT(($B$2:$B$1001=B284)*1),0)</f>
        <v>0.305309734513274</v>
      </c>
      <c r="Q284" s="25" t="n">
        <f aca="false">(M284*Assumptions!$B$5+N284*Assumptions!$B$6+O284*Assumptions!$B$7+P284*Assumptions!$B$8)*L284</f>
        <v>0.290265486725664</v>
      </c>
      <c r="R284" s="24" t="n">
        <f aca="false">IFERROR(SUMPRODUCT(($B$2:$B$1001=B284)*($Q$2:$Q$1001&lt;=Q284))/SUMPRODUCT(($B$2:$B$1001=B284)*1),0)</f>
        <v>0.269911504424779</v>
      </c>
      <c r="S284" s="24" t="n">
        <f aca="false">IFERROR(SUMPRODUCT(($B$2:$B$1001=B284)*($K$2:$K$1001&lt;=K284))/SUMPRODUCT(($B$2:$B$1001=B284)*1),0)</f>
        <v>0.261061946902655</v>
      </c>
      <c r="T284" s="26" t="n">
        <f aca="false">(R284-S284)*100</f>
        <v>0.884955752212385</v>
      </c>
      <c r="U284" s="21" t="str">
        <f aca="false">'Player Data'!T284</f>
        <v>Yes</v>
      </c>
      <c r="V284" s="27" t="n">
        <f aca="false">'Player Data'!U284</f>
        <v>2026</v>
      </c>
      <c r="W284" s="21" t="str">
        <f aca="false">IF(AND(T284&gt;=Assumptions!$B$19,U284="No"),"High Priority - Unrepresented",IF(T284&gt;=Assumptions!$B$19,"High Priority",IF(AND(T284&gt;=Assumptions!$B$20,U284="No"),"Watchlist - Unrepresented",IF(T284&gt;=Assumptions!$B$20,"Watchlist",""))))</f>
        <v/>
      </c>
      <c r="X284" s="21" t="str">
        <f aca="false">'Player Data'!V284</f>
        <v>info@paysandurangers.uy</v>
      </c>
      <c r="Y284" s="28" t="str">
        <f aca="false">'Player Data'!W284</f>
        <v>Go through the player's agent - ask the club to confirm representation first</v>
      </c>
      <c r="Z284" s="28" t="str">
        <f aca="false">'Player Data'!X284</f>
        <v>AUF (Uruguayan Football Association) player registry</v>
      </c>
      <c r="AA284" s="19" t="str">
        <f aca="false">HYPERLINK("https://www.transfermarkt.com/schnellsuche/ergebnis/schnellsuche?query="&amp;SUBSTITUTE(A284," ","+"),"Search Transfermarkt")</f>
        <v>Search Transfermarkt</v>
      </c>
      <c r="AB284" s="29" t="n">
        <f aca="false">IFERROR('Player Data'!K284/('Player Data'!K284+'Player Data'!L284),0)</f>
        <v>0.411764705882353</v>
      </c>
      <c r="AC284" s="21" t="str">
        <f aca="false">IF(B284="GK",IF(AND(O284&gt;=Assumptions!$B$23,N284&gt;=Assumptions!$B$23),"Sweeper-Keeper / Build-from-the-Back",IF(O284&gt;=Assumptions!$B$23,"Sweeper-Keeper / High Line",IF(M284&gt;=Assumptions!$B$23,"Shot-Stopper / Traditional","Flexible / Multi-System"))),IF(AND(O284&gt;=Assumptions!$B$23,P284&gt;=Assumptions!$B$24),"High Press / Gegenpressing",IF(AND(N284&gt;=Assumptions!$B$23,AB284&gt;=Assumptions!$B$25),"Possession / Build-from-the-Back",IF(N284&gt;=Assumptions!$B$23,"Counter-Attack / Transition",IF(AND(O284&gt;=Assumptions!$B$23,N284&lt;Assumptions!$B$26),"Low Block / Park the Bus",IF(AND(B284="FW",M284&gt;=Assumptions!$B$23,N284&lt;Assumptions!$B$26),"Direct / Target Approach","Flexible / Multi-System"))))))</f>
        <v>Flexible / Multi-System</v>
      </c>
      <c r="AD284" s="21" t="str">
        <f aca="false">'Player Data'!Y284</f>
        <v>2026-07-17</v>
      </c>
      <c r="AE284" s="21" t="str">
        <f aca="false">'Player Data'!Z284</f>
        <v>2026-07-17</v>
      </c>
      <c r="AF284" s="28" t="str">
        <f aca="false">IFERROR(INDEX(Assumptions!$B$30:$B$61,MATCH(C284,Assumptions!$A$30:$A$61,0)),"--")</f>
        <v>Argentina, Portugal</v>
      </c>
      <c r="AG284" s="30" t="str">
        <f aca="false">IF(R284&gt;=0.7,"Step-Up Candidate",IF(R284&gt;=0.4,"Lateral Move","Stay &amp; Develop"))</f>
        <v>Stay &amp; Develop</v>
      </c>
    </row>
    <row r="285" customFormat="false" ht="23.85" hidden="false" customHeight="false" outlineLevel="0" collapsed="false">
      <c r="A285" s="21" t="str">
        <f aca="false">'Player Data'!A285</f>
        <v>Carlos Castillo</v>
      </c>
      <c r="B285" s="21" t="str">
        <f aca="false">'Player Data'!F285</f>
        <v>GK</v>
      </c>
      <c r="C285" s="21" t="str">
        <f aca="false">'Player Data'!B285</f>
        <v>Costa Rica</v>
      </c>
      <c r="D285" s="21" t="str">
        <f aca="false">'Player Data'!C285</f>
        <v>Costa Rica Second Division - East</v>
      </c>
      <c r="E285" s="21" t="n">
        <f aca="false">'Player Data'!D285</f>
        <v>2</v>
      </c>
      <c r="F285" s="21" t="n">
        <f aca="false">'Player Data'!G285</f>
        <v>22</v>
      </c>
      <c r="G285" s="21" t="n">
        <f aca="false">'Player Data'!H285</f>
        <v>2082</v>
      </c>
      <c r="H285" s="22" t="n">
        <f aca="false">IF(B285="GK",IFERROR(('Player Data'!N285-1.5*'Player Data'!O285)/'Player Data'!H285*90,0),IFERROR(('Player Data'!I285+'Player Data'!J285)/'Player Data'!H285*90,0))</f>
        <v>1.03746397694525</v>
      </c>
      <c r="I285" s="22" t="n">
        <f aca="false">IF(B285="GK",'Player Data'!P285,IFERROR(('Player Data'!K285+'Player Data'!L285)/'Player Data'!H285*90,0))</f>
        <v>90.6</v>
      </c>
      <c r="J285" s="22" t="n">
        <f aca="false">IF(B285="GK",IFERROR('Player Data'!Q285/'Player Data'!H285*90,0),IFERROR('Player Data'!M285/'Player Data'!H285*90,0))</f>
        <v>0.69164265129683</v>
      </c>
      <c r="K285" s="23" t="n">
        <f aca="false">'Player Data'!S285</f>
        <v>139488</v>
      </c>
      <c r="L285" s="22" t="n">
        <f aca="false">INDEX(Assumptions!$B$13:$B$15,MATCH(E285,Assumptions!$A$13:$A$15,0))</f>
        <v>1</v>
      </c>
      <c r="M285" s="24" t="n">
        <f aca="false">IFERROR(SUMPRODUCT(($B$2:$B$1001=B285)*($H$2:$H$1001&lt;=H285))/SUMPRODUCT(($B$2:$B$1001=B285)*1),0)</f>
        <v>0.442622950819672</v>
      </c>
      <c r="N285" s="24" t="n">
        <f aca="false">IFERROR(SUMPRODUCT(($B$2:$B$1001=B285)*($I$2:$I$1001&lt;=I285))/SUMPRODUCT(($B$2:$B$1001=B285)*1),0)</f>
        <v>0.978142076502732</v>
      </c>
      <c r="O285" s="24" t="n">
        <f aca="false">IFERROR(SUMPRODUCT(($B$2:$B$1001=B285)*($J$2:$J$1001&lt;=J285))/SUMPRODUCT(($B$2:$B$1001=B285)*1),0)</f>
        <v>0.366120218579235</v>
      </c>
      <c r="P285" s="24" t="n">
        <f aca="false">IFERROR(SUMPRODUCT(($B$2:$B$1001=B285)*((0-$F$2:$F$1001)&lt;=(0-F285)))/SUMPRODUCT(($B$2:$B$1001=B285)*1),0)</f>
        <v>0.530054644808743</v>
      </c>
      <c r="Q285" s="25" t="n">
        <f aca="false">(M285*Assumptions!$B$5+N285*Assumptions!$B$6+O285*Assumptions!$B$7+P285*Assumptions!$B$8)*L285</f>
        <v>0.63224043715847</v>
      </c>
      <c r="R285" s="24" t="n">
        <f aca="false">IFERROR(SUMPRODUCT(($B$2:$B$1001=B285)*($Q$2:$Q$1001&lt;=Q285))/SUMPRODUCT(($B$2:$B$1001=B285)*1),0)</f>
        <v>0.92896174863388</v>
      </c>
      <c r="S285" s="24" t="n">
        <f aca="false">IFERROR(SUMPRODUCT(($B$2:$B$1001=B285)*($K$2:$K$1001&lt;=K285))/SUMPRODUCT(($B$2:$B$1001=B285)*1),0)</f>
        <v>0.934426229508197</v>
      </c>
      <c r="T285" s="26" t="n">
        <f aca="false">(R285-S285)*100</f>
        <v>-0.546448087431695</v>
      </c>
      <c r="U285" s="21" t="str">
        <f aca="false">'Player Data'!T285</f>
        <v>No</v>
      </c>
      <c r="V285" s="27" t="n">
        <f aca="false">'Player Data'!U285</f>
        <v>2026</v>
      </c>
      <c r="W285" s="21" t="str">
        <f aca="false">IF(AND(T285&gt;=Assumptions!$B$19,U285="No"),"High Priority - Unrepresented",IF(T285&gt;=Assumptions!$B$19,"High Priority",IF(AND(T285&gt;=Assumptions!$B$20,U285="No"),"Watchlist - Unrepresented",IF(T285&gt;=Assumptions!$B$20,"Watchlist",""))))</f>
        <v/>
      </c>
      <c r="X285" s="21" t="str">
        <f aca="false">'Player Data'!V285</f>
        <v>info@herediafc.cr</v>
      </c>
      <c r="Y285" s="28" t="str">
        <f aca="false">'Player Data'!W285</f>
        <v>Club sporting director / first-team office</v>
      </c>
      <c r="Z285" s="28" t="str">
        <f aca="false">'Player Data'!X285</f>
        <v>FEDEFUTBOL (Costa Rican Football Federation) player registry</v>
      </c>
      <c r="AA285" s="19" t="str">
        <f aca="false">HYPERLINK("https://www.transfermarkt.com/schnellsuche/ergebnis/schnellsuche?query="&amp;SUBSTITUTE(A285," ","+"),"Search Transfermarkt")</f>
        <v>Search Transfermarkt</v>
      </c>
      <c r="AB285" s="29" t="n">
        <f aca="false">IFERROR('Player Data'!K285/('Player Data'!K285+'Player Data'!L285),0)</f>
        <v>0.944444444444444</v>
      </c>
      <c r="AC285" s="21" t="str">
        <f aca="false">IF(B285="GK",IF(AND(O285&gt;=Assumptions!$B$23,N285&gt;=Assumptions!$B$23),"Sweeper-Keeper / Build-from-the-Back",IF(O285&gt;=Assumptions!$B$23,"Sweeper-Keeper / High Line",IF(M285&gt;=Assumptions!$B$23,"Shot-Stopper / Traditional","Flexible / Multi-System"))),IF(AND(O285&gt;=Assumptions!$B$23,P285&gt;=Assumptions!$B$24),"High Press / Gegenpressing",IF(AND(N285&gt;=Assumptions!$B$23,AB285&gt;=Assumptions!$B$25),"Possession / Build-from-the-Back",IF(N285&gt;=Assumptions!$B$23,"Counter-Attack / Transition",IF(AND(O285&gt;=Assumptions!$B$23,N285&lt;Assumptions!$B$26),"Low Block / Park the Bus",IF(AND(B285="FW",M285&gt;=Assumptions!$B$23,N285&lt;Assumptions!$B$26),"Direct / Target Approach","Flexible / Multi-System"))))))</f>
        <v>Flexible / Multi-System</v>
      </c>
      <c r="AD285" s="21" t="str">
        <f aca="false">'Player Data'!Y285</f>
        <v>2026-07-17</v>
      </c>
      <c r="AE285" s="21" t="str">
        <f aca="false">'Player Data'!Z285</f>
        <v>2026-07-17</v>
      </c>
      <c r="AF285" s="28" t="str">
        <f aca="false">IFERROR(INDEX(Assumptions!$B$30:$B$61,MATCH(C285,Assumptions!$A$30:$A$61,0)),"--")</f>
        <v>Mexico, United States</v>
      </c>
      <c r="AG285" s="30" t="str">
        <f aca="false">IF(R285&gt;=0.7,"Step-Up Candidate",IF(R285&gt;=0.4,"Lateral Move","Stay &amp; Develop"))</f>
        <v>Step-Up Candidate</v>
      </c>
    </row>
    <row r="286" customFormat="false" ht="23.85" hidden="false" customHeight="false" outlineLevel="0" collapsed="false">
      <c r="A286" s="21" t="str">
        <f aca="false">'Player Data'!A286</f>
        <v>Dusan Ilic</v>
      </c>
      <c r="B286" s="21" t="str">
        <f aca="false">'Player Data'!F286</f>
        <v>MF</v>
      </c>
      <c r="C286" s="21" t="str">
        <f aca="false">'Player Data'!B286</f>
        <v>Serbia</v>
      </c>
      <c r="D286" s="21" t="str">
        <f aca="false">'Player Data'!C286</f>
        <v>Serbia Amateur League</v>
      </c>
      <c r="E286" s="21" t="n">
        <f aca="false">'Player Data'!D286</f>
        <v>2</v>
      </c>
      <c r="F286" s="21" t="n">
        <f aca="false">'Player Data'!G286</f>
        <v>26</v>
      </c>
      <c r="G286" s="21" t="n">
        <f aca="false">'Player Data'!H286</f>
        <v>949</v>
      </c>
      <c r="H286" s="22" t="n">
        <f aca="false">IF(B286="GK",IFERROR(('Player Data'!N286-1.5*'Player Data'!O286)/'Player Data'!H286*90,0),IFERROR(('Player Data'!I286+'Player Data'!J286)/'Player Data'!H286*90,0))</f>
        <v>0.758693361433087</v>
      </c>
      <c r="I286" s="22" t="n">
        <f aca="false">IF(B286="GK",'Player Data'!P286,IFERROR(('Player Data'!K286+'Player Data'!L286)/'Player Data'!H286*90,0))</f>
        <v>17.449947312961</v>
      </c>
      <c r="J286" s="22" t="n">
        <f aca="false">IF(B286="GK",IFERROR('Player Data'!Q286/'Player Data'!H286*90,0),IFERROR('Player Data'!M286/'Player Data'!H286*90,0))</f>
        <v>4.26765015806112</v>
      </c>
      <c r="K286" s="23" t="n">
        <f aca="false">'Player Data'!S286</f>
        <v>0</v>
      </c>
      <c r="L286" s="22" t="n">
        <f aca="false">INDEX(Assumptions!$B$13:$B$15,MATCH(E286,Assumptions!$A$13:$A$15,0))</f>
        <v>1</v>
      </c>
      <c r="M286" s="24" t="n">
        <f aca="false">IFERROR(SUMPRODUCT(($B$2:$B$1001=B286)*($H$2:$H$1001&lt;=H286))/SUMPRODUCT(($B$2:$B$1001=B286)*1),0)</f>
        <v>0.525252525252525</v>
      </c>
      <c r="N286" s="24" t="n">
        <f aca="false">IFERROR(SUMPRODUCT(($B$2:$B$1001=B286)*($I$2:$I$1001&lt;=I286))/SUMPRODUCT(($B$2:$B$1001=B286)*1),0)</f>
        <v>0.838383838383838</v>
      </c>
      <c r="O286" s="24" t="n">
        <f aca="false">IFERROR(SUMPRODUCT(($B$2:$B$1001=B286)*($J$2:$J$1001&lt;=J286))/SUMPRODUCT(($B$2:$B$1001=B286)*1),0)</f>
        <v>0.946127946127946</v>
      </c>
      <c r="P286" s="24" t="n">
        <f aca="false">IFERROR(SUMPRODUCT(($B$2:$B$1001=B286)*((0-$F$2:$F$1001)&lt;=(0-F286)))/SUMPRODUCT(($B$2:$B$1001=B286)*1),0)</f>
        <v>0.0909090909090909</v>
      </c>
      <c r="Q286" s="25" t="n">
        <f aca="false">(M286*Assumptions!$B$5+N286*Assumptions!$B$6+O286*Assumptions!$B$7+P286*Assumptions!$B$8)*L286</f>
        <v>0.632154882154882</v>
      </c>
      <c r="R286" s="24" t="n">
        <f aca="false">IFERROR(SUMPRODUCT(($B$2:$B$1001=B286)*($Q$2:$Q$1001&lt;=Q286))/SUMPRODUCT(($B$2:$B$1001=B286)*1),0)</f>
        <v>0.804713804713805</v>
      </c>
      <c r="S286" s="24" t="n">
        <f aca="false">IFERROR(SUMPRODUCT(($B$2:$B$1001=B286)*($K$2:$K$1001&lt;=K286))/SUMPRODUCT(($B$2:$B$1001=B286)*1),0)</f>
        <v>0.228956228956229</v>
      </c>
      <c r="T286" s="26" t="n">
        <f aca="false">(R286-S286)*100</f>
        <v>57.5757575757576</v>
      </c>
      <c r="U286" s="21" t="str">
        <f aca="false">'Player Data'!T286</f>
        <v>No</v>
      </c>
      <c r="V286" s="27" t="n">
        <f aca="false">'Player Data'!U286</f>
        <v>2027</v>
      </c>
      <c r="W286" s="21" t="str">
        <f aca="false">IF(AND(T286&gt;=Assumptions!$B$19,U286="No"),"High Priority - Unrepresented",IF(T286&gt;=Assumptions!$B$19,"High Priority",IF(AND(T286&gt;=Assumptions!$B$20,U286="No"),"Watchlist - Unrepresented",IF(T286&gt;=Assumptions!$B$20,"Watchlist",""))))</f>
        <v>High Priority - Unrepresented</v>
      </c>
      <c r="X286" s="21" t="str">
        <f aca="false">'Player Data'!V286</f>
        <v>info@nisrovers.rs</v>
      </c>
      <c r="Y286" s="28" t="str">
        <f aca="false">'Player Data'!W286</f>
        <v>Club sporting director / first-team office</v>
      </c>
      <c r="Z286" s="28" t="str">
        <f aca="false">'Player Data'!X286</f>
        <v>FSS (Football Association of Serbia) player registry</v>
      </c>
      <c r="AA286" s="19" t="str">
        <f aca="false">HYPERLINK("https://www.transfermarkt.com/schnellsuche/ergebnis/schnellsuche?query="&amp;SUBSTITUTE(A286," ","+"),"Search Transfermarkt")</f>
        <v>Search Transfermarkt</v>
      </c>
      <c r="AB286" s="29" t="n">
        <f aca="false">IFERROR('Player Data'!K286/('Player Data'!K286+'Player Data'!L286),0)</f>
        <v>0.630434782608696</v>
      </c>
      <c r="AC286" s="21" t="str">
        <f aca="false">IF(B286="GK",IF(AND(O286&gt;=Assumptions!$B$23,N286&gt;=Assumptions!$B$23),"Sweeper-Keeper / Build-from-the-Back",IF(O286&gt;=Assumptions!$B$23,"Sweeper-Keeper / High Line",IF(M286&gt;=Assumptions!$B$23,"Shot-Stopper / Traditional","Flexible / Multi-System"))),IF(AND(O286&gt;=Assumptions!$B$23,P286&gt;=Assumptions!$B$24),"High Press / Gegenpressing",IF(AND(N286&gt;=Assumptions!$B$23,AB286&gt;=Assumptions!$B$25),"Possession / Build-from-the-Back",IF(N286&gt;=Assumptions!$B$23,"Counter-Attack / Transition",IF(AND(O286&gt;=Assumptions!$B$23,N286&lt;Assumptions!$B$26),"Low Block / Park the Bus",IF(AND(B286="FW",M286&gt;=Assumptions!$B$23,N286&lt;Assumptions!$B$26),"Direct / Target Approach","Flexible / Multi-System"))))))</f>
        <v>Possession / Build-from-the-Back</v>
      </c>
      <c r="AD286" s="21" t="str">
        <f aca="false">'Player Data'!Y286</f>
        <v>2026-07-17</v>
      </c>
      <c r="AE286" s="21" t="str">
        <f aca="false">'Player Data'!Z286</f>
        <v>2026-07-17</v>
      </c>
      <c r="AF286" s="28" t="str">
        <f aca="false">IFERROR(INDEX(Assumptions!$B$30:$B$61,MATCH(C286,Assumptions!$A$30:$A$61,0)),"--")</f>
        <v>Austria, Turkey</v>
      </c>
      <c r="AG286" s="30" t="str">
        <f aca="false">IF(R286&gt;=0.7,"Step-Up Candidate",IF(R286&gt;=0.4,"Lateral Move","Stay &amp; Develop"))</f>
        <v>Step-Up Candidate</v>
      </c>
    </row>
    <row r="287" customFormat="false" ht="23.85" hidden="false" customHeight="false" outlineLevel="0" collapsed="false">
      <c r="A287" s="21" t="str">
        <f aca="false">'Player Data'!A287</f>
        <v>Shamar Reid</v>
      </c>
      <c r="B287" s="21" t="str">
        <f aca="false">'Player Data'!F287</f>
        <v>GK</v>
      </c>
      <c r="C287" s="21" t="str">
        <f aca="false">'Player Data'!B287</f>
        <v>Jamaica</v>
      </c>
      <c r="D287" s="21" t="str">
        <f aca="false">'Player Data'!C287</f>
        <v>Jamaica Second Division - East</v>
      </c>
      <c r="E287" s="21" t="n">
        <f aca="false">'Player Data'!D287</f>
        <v>4</v>
      </c>
      <c r="F287" s="21" t="n">
        <f aca="false">'Player Data'!G287</f>
        <v>23</v>
      </c>
      <c r="G287" s="21" t="n">
        <f aca="false">'Player Data'!H287</f>
        <v>1603</v>
      </c>
      <c r="H287" s="22" t="n">
        <f aca="false">IF(B287="GK",IFERROR(('Player Data'!N287-1.5*'Player Data'!O287)/'Player Data'!H287*90,0),IFERROR(('Player Data'!I287+'Player Data'!J287)/'Player Data'!H287*90,0))</f>
        <v>2.27386150966937</v>
      </c>
      <c r="I287" s="22" t="n">
        <f aca="false">IF(B287="GK",'Player Data'!P287,IFERROR(('Player Data'!K287+'Player Data'!L287)/'Player Data'!H287*90,0))</f>
        <v>73.5</v>
      </c>
      <c r="J287" s="22" t="n">
        <f aca="false">IF(B287="GK",IFERROR('Player Data'!Q287/'Player Data'!H287*90,0),IFERROR('Player Data'!M287/'Player Data'!H287*90,0))</f>
        <v>0.898315658140986</v>
      </c>
      <c r="K287" s="23" t="n">
        <f aca="false">'Player Data'!S287</f>
        <v>85572</v>
      </c>
      <c r="L287" s="22" t="n">
        <f aca="false">INDEX(Assumptions!$B$13:$B$15,MATCH(E287,Assumptions!$A$13:$A$15,0))</f>
        <v>0.7</v>
      </c>
      <c r="M287" s="24" t="n">
        <f aca="false">IFERROR(SUMPRODUCT(($B$2:$B$1001=B287)*($H$2:$H$1001&lt;=H287))/SUMPRODUCT(($B$2:$B$1001=B287)*1),0)</f>
        <v>0.950819672131148</v>
      </c>
      <c r="N287" s="24" t="n">
        <f aca="false">IFERROR(SUMPRODUCT(($B$2:$B$1001=B287)*($I$2:$I$1001&lt;=I287))/SUMPRODUCT(($B$2:$B$1001=B287)*1),0)</f>
        <v>0.524590163934426</v>
      </c>
      <c r="O287" s="24" t="n">
        <f aca="false">IFERROR(SUMPRODUCT(($B$2:$B$1001=B287)*($J$2:$J$1001&lt;=J287))/SUMPRODUCT(($B$2:$B$1001=B287)*1),0)</f>
        <v>0.53551912568306</v>
      </c>
      <c r="P287" s="24" t="n">
        <f aca="false">IFERROR(SUMPRODUCT(($B$2:$B$1001=B287)*((0-$F$2:$F$1001)&lt;=(0-F287)))/SUMPRODUCT(($B$2:$B$1001=B287)*1),0)</f>
        <v>0.431693989071038</v>
      </c>
      <c r="Q287" s="25" t="n">
        <f aca="false">(M287*Assumptions!$B$5+N287*Assumptions!$B$6+O287*Assumptions!$B$7+P287*Assumptions!$B$8)*L287</f>
        <v>0.430327868852459</v>
      </c>
      <c r="R287" s="24" t="n">
        <f aca="false">IFERROR(SUMPRODUCT(($B$2:$B$1001=B287)*($Q$2:$Q$1001&lt;=Q287))/SUMPRODUCT(($B$2:$B$1001=B287)*1),0)</f>
        <v>0.426229508196721</v>
      </c>
      <c r="S287" s="24" t="n">
        <f aca="false">IFERROR(SUMPRODUCT(($B$2:$B$1001=B287)*($K$2:$K$1001&lt;=K287))/SUMPRODUCT(($B$2:$B$1001=B287)*1),0)</f>
        <v>0.612021857923497</v>
      </c>
      <c r="T287" s="26" t="n">
        <f aca="false">(R287-S287)*100</f>
        <v>-18.5792349726776</v>
      </c>
      <c r="U287" s="21" t="str">
        <f aca="false">'Player Data'!T287</f>
        <v>Yes</v>
      </c>
      <c r="V287" s="27" t="n">
        <f aca="false">'Player Data'!U287</f>
        <v>2028</v>
      </c>
      <c r="W287" s="21" t="str">
        <f aca="false">IF(AND(T287&gt;=Assumptions!$B$19,U287="No"),"High Priority - Unrepresented",IF(T287&gt;=Assumptions!$B$19,"High Priority",IF(AND(T287&gt;=Assumptions!$B$20,U287="No"),"Watchlist - Unrepresented",IF(T287&gt;=Assumptions!$B$20,"Watchlist",""))))</f>
        <v/>
      </c>
      <c r="X287" s="21" t="str">
        <f aca="false">'Player Data'!V287</f>
        <v>info@maypensc.jm</v>
      </c>
      <c r="Y287" s="28" t="str">
        <f aca="false">'Player Data'!W287</f>
        <v>Go through the player's agent - ask the club to confirm representation first</v>
      </c>
      <c r="Z287" s="28" t="str">
        <f aca="false">'Player Data'!X287</f>
        <v>JFF (Jamaica Football Federation) player registry</v>
      </c>
      <c r="AA287" s="19" t="str">
        <f aca="false">HYPERLINK("https://www.transfermarkt.com/schnellsuche/ergebnis/schnellsuche?query="&amp;SUBSTITUTE(A287," ","+"),"Search Transfermarkt")</f>
        <v>Search Transfermarkt</v>
      </c>
      <c r="AB287" s="29" t="n">
        <f aca="false">IFERROR('Player Data'!K287/('Player Data'!K287+'Player Data'!L287),0)</f>
        <v>0.727272727272727</v>
      </c>
      <c r="AC287" s="21" t="str">
        <f aca="false">IF(B287="GK",IF(AND(O287&gt;=Assumptions!$B$23,N287&gt;=Assumptions!$B$23),"Sweeper-Keeper / Build-from-the-Back",IF(O287&gt;=Assumptions!$B$23,"Sweeper-Keeper / High Line",IF(M287&gt;=Assumptions!$B$23,"Shot-Stopper / Traditional","Flexible / Multi-System"))),IF(AND(O287&gt;=Assumptions!$B$23,P287&gt;=Assumptions!$B$24),"High Press / Gegenpressing",IF(AND(N287&gt;=Assumptions!$B$23,AB287&gt;=Assumptions!$B$25),"Possession / Build-from-the-Back",IF(N287&gt;=Assumptions!$B$23,"Counter-Attack / Transition",IF(AND(O287&gt;=Assumptions!$B$23,N287&lt;Assumptions!$B$26),"Low Block / Park the Bus",IF(AND(B287="FW",M287&gt;=Assumptions!$B$23,N287&lt;Assumptions!$B$26),"Direct / Target Approach","Flexible / Multi-System"))))))</f>
        <v>Shot-Stopper / Traditional</v>
      </c>
      <c r="AD287" s="21" t="str">
        <f aca="false">'Player Data'!Y287</f>
        <v>2026-07-17</v>
      </c>
      <c r="AE287" s="21" t="str">
        <f aca="false">'Player Data'!Z287</f>
        <v>2026-07-17</v>
      </c>
      <c r="AF287" s="28" t="str">
        <f aca="false">IFERROR(INDEX(Assumptions!$B$30:$B$61,MATCH(C287,Assumptions!$A$30:$A$61,0)),"--")</f>
        <v>United States, Mexico</v>
      </c>
      <c r="AG287" s="30" t="str">
        <f aca="false">IF(R287&gt;=0.7,"Step-Up Candidate",IF(R287&gt;=0.4,"Lateral Move","Stay &amp; Develop"))</f>
        <v>Lateral Move</v>
      </c>
    </row>
    <row r="288" customFormat="false" ht="23.85" hidden="false" customHeight="false" outlineLevel="0" collapsed="false">
      <c r="A288" s="21" t="str">
        <f aca="false">'Player Data'!A288</f>
        <v>Maximiliano Pereira</v>
      </c>
      <c r="B288" s="21" t="str">
        <f aca="false">'Player Data'!F288</f>
        <v>DF</v>
      </c>
      <c r="C288" s="21" t="str">
        <f aca="false">'Player Data'!B288</f>
        <v>Uruguay</v>
      </c>
      <c r="D288" s="21" t="str">
        <f aca="false">'Player Data'!C288</f>
        <v>Uruguay Regional League</v>
      </c>
      <c r="E288" s="21" t="n">
        <f aca="false">'Player Data'!D288</f>
        <v>2</v>
      </c>
      <c r="F288" s="21" t="n">
        <f aca="false">'Player Data'!G288</f>
        <v>19</v>
      </c>
      <c r="G288" s="21" t="n">
        <f aca="false">'Player Data'!H288</f>
        <v>2647</v>
      </c>
      <c r="H288" s="22" t="n">
        <f aca="false">IF(B288="GK",IFERROR(('Player Data'!N288-1.5*'Player Data'!O288)/'Player Data'!H288*90,0),IFERROR(('Player Data'!I288+'Player Data'!J288)/'Player Data'!H288*90,0))</f>
        <v>0.102002266717038</v>
      </c>
      <c r="I288" s="22" t="n">
        <f aca="false">IF(B288="GK",'Player Data'!P288,IFERROR(('Player Data'!K288+'Player Data'!L288)/'Player Data'!H288*90,0))</f>
        <v>2.95806573479411</v>
      </c>
      <c r="J288" s="22" t="n">
        <f aca="false">IF(B288="GK",IFERROR('Player Data'!Q288/'Player Data'!H288*90,0),IFERROR('Player Data'!M288/'Player Data'!H288*90,0))</f>
        <v>3.63808084624103</v>
      </c>
      <c r="K288" s="23" t="n">
        <f aca="false">'Player Data'!S288</f>
        <v>54519</v>
      </c>
      <c r="L288" s="22" t="n">
        <f aca="false">INDEX(Assumptions!$B$13:$B$15,MATCH(E288,Assumptions!$A$13:$A$15,0))</f>
        <v>1</v>
      </c>
      <c r="M288" s="24" t="n">
        <f aca="false">IFERROR(SUMPRODUCT(($B$2:$B$1001=B288)*($H$2:$H$1001&lt;=H288))/SUMPRODUCT(($B$2:$B$1001=B288)*1),0)</f>
        <v>0.19047619047619</v>
      </c>
      <c r="N288" s="24" t="n">
        <f aca="false">IFERROR(SUMPRODUCT(($B$2:$B$1001=B288)*($I$2:$I$1001&lt;=I288))/SUMPRODUCT(($B$2:$B$1001=B288)*1),0)</f>
        <v>0.0680272108843538</v>
      </c>
      <c r="O288" s="24" t="n">
        <f aca="false">IFERROR(SUMPRODUCT(($B$2:$B$1001=B288)*($J$2:$J$1001&lt;=J288))/SUMPRODUCT(($B$2:$B$1001=B288)*1),0)</f>
        <v>0.142857142857143</v>
      </c>
      <c r="P288" s="24" t="n">
        <f aca="false">IFERROR(SUMPRODUCT(($B$2:$B$1001=B288)*((0-$F$2:$F$1001)&lt;=(0-F288)))/SUMPRODUCT(($B$2:$B$1001=B288)*1),0)</f>
        <v>0.738095238095238</v>
      </c>
      <c r="Q288" s="25" t="n">
        <f aca="false">(M288*Assumptions!$B$5+N288*Assumptions!$B$6+O288*Assumptions!$B$7+P288*Assumptions!$B$8)*L288</f>
        <v>0.247619047619048</v>
      </c>
      <c r="R288" s="24" t="n">
        <f aca="false">IFERROR(SUMPRODUCT(($B$2:$B$1001=B288)*($Q$2:$Q$1001&lt;=Q288))/SUMPRODUCT(($B$2:$B$1001=B288)*1),0)</f>
        <v>0.153061224489796</v>
      </c>
      <c r="S288" s="24" t="n">
        <f aca="false">IFERROR(SUMPRODUCT(($B$2:$B$1001=B288)*($K$2:$K$1001&lt;=K288))/SUMPRODUCT(($B$2:$B$1001=B288)*1),0)</f>
        <v>0.462585034013605</v>
      </c>
      <c r="T288" s="26" t="n">
        <f aca="false">(R288-S288)*100</f>
        <v>-30.952380952381</v>
      </c>
      <c r="U288" s="21" t="str">
        <f aca="false">'Player Data'!T288</f>
        <v>Unknown</v>
      </c>
      <c r="V288" s="27" t="n">
        <f aca="false">'Player Data'!U288</f>
        <v>2028</v>
      </c>
      <c r="W288" s="21" t="str">
        <f aca="false">IF(AND(T288&gt;=Assumptions!$B$19,U288="No"),"High Priority - Unrepresented",IF(T288&gt;=Assumptions!$B$19,"High Priority",IF(AND(T288&gt;=Assumptions!$B$20,U288="No"),"Watchlist - Unrepresented",IF(T288&gt;=Assumptions!$B$20,"Watchlist",""))))</f>
        <v/>
      </c>
      <c r="X288" s="21" t="str">
        <f aca="false">'Player Data'!V288</f>
        <v>info@paysanduwanderers.uy</v>
      </c>
      <c r="Y288" s="28" t="str">
        <f aca="false">'Player Data'!W288</f>
        <v>Club sporting director / first-team office</v>
      </c>
      <c r="Z288" s="28" t="str">
        <f aca="false">'Player Data'!X288</f>
        <v>AUF (Uruguayan Football Association) player registry</v>
      </c>
      <c r="AA288" s="19" t="str">
        <f aca="false">HYPERLINK("https://www.transfermarkt.com/schnellsuche/ergebnis/schnellsuche?query="&amp;SUBSTITUTE(A288," ","+"),"Search Transfermarkt")</f>
        <v>Search Transfermarkt</v>
      </c>
      <c r="AB288" s="29" t="n">
        <f aca="false">IFERROR('Player Data'!K288/('Player Data'!K288+'Player Data'!L288),0)</f>
        <v>0.448275862068966</v>
      </c>
      <c r="AC288" s="21" t="str">
        <f aca="false">IF(B288="GK",IF(AND(O288&gt;=Assumptions!$B$23,N288&gt;=Assumptions!$B$23),"Sweeper-Keeper / Build-from-the-Back",IF(O288&gt;=Assumptions!$B$23,"Sweeper-Keeper / High Line",IF(M288&gt;=Assumptions!$B$23,"Shot-Stopper / Traditional","Flexible / Multi-System"))),IF(AND(O288&gt;=Assumptions!$B$23,P288&gt;=Assumptions!$B$24),"High Press / Gegenpressing",IF(AND(N288&gt;=Assumptions!$B$23,AB288&gt;=Assumptions!$B$25),"Possession / Build-from-the-Back",IF(N288&gt;=Assumptions!$B$23,"Counter-Attack / Transition",IF(AND(O288&gt;=Assumptions!$B$23,N288&lt;Assumptions!$B$26),"Low Block / Park the Bus",IF(AND(B288="FW",M288&gt;=Assumptions!$B$23,N288&lt;Assumptions!$B$26),"Direct / Target Approach","Flexible / Multi-System"))))))</f>
        <v>Flexible / Multi-System</v>
      </c>
      <c r="AD288" s="21" t="str">
        <f aca="false">'Player Data'!Y288</f>
        <v>2026-07-17</v>
      </c>
      <c r="AE288" s="21" t="str">
        <f aca="false">'Player Data'!Z288</f>
        <v>2026-07-17</v>
      </c>
      <c r="AF288" s="28" t="str">
        <f aca="false">IFERROR(INDEX(Assumptions!$B$30:$B$61,MATCH(C288,Assumptions!$A$30:$A$61,0)),"--")</f>
        <v>Argentina, Portugal</v>
      </c>
      <c r="AG288" s="30" t="str">
        <f aca="false">IF(R288&gt;=0.7,"Step-Up Candidate",IF(R288&gt;=0.4,"Lateral Move","Stay &amp; Develop"))</f>
        <v>Stay &amp; Develop</v>
      </c>
    </row>
    <row r="289" customFormat="false" ht="23.85" hidden="false" customHeight="false" outlineLevel="0" collapsed="false">
      <c r="A289" s="21" t="str">
        <f aca="false">'Player Data'!A289</f>
        <v>Chai Sanguan</v>
      </c>
      <c r="B289" s="21" t="str">
        <f aca="false">'Player Data'!F289</f>
        <v>DF</v>
      </c>
      <c r="C289" s="21" t="str">
        <f aca="false">'Player Data'!B289</f>
        <v>Thailand</v>
      </c>
      <c r="D289" s="21" t="str">
        <f aca="false">'Player Data'!C289</f>
        <v>Thailand Regional League</v>
      </c>
      <c r="E289" s="21" t="n">
        <f aca="false">'Player Data'!D289</f>
        <v>4</v>
      </c>
      <c r="F289" s="21" t="n">
        <f aca="false">'Player Data'!G289</f>
        <v>24</v>
      </c>
      <c r="G289" s="21" t="n">
        <f aca="false">'Player Data'!H289</f>
        <v>1235</v>
      </c>
      <c r="H289" s="22" t="n">
        <f aca="false">IF(B289="GK",IFERROR(('Player Data'!N289-1.5*'Player Data'!O289)/'Player Data'!H289*90,0),IFERROR(('Player Data'!I289+'Player Data'!J289)/'Player Data'!H289*90,0))</f>
        <v>0.218623481781377</v>
      </c>
      <c r="I289" s="22" t="n">
        <f aca="false">IF(B289="GK",'Player Data'!P289,IFERROR(('Player Data'!K289+'Player Data'!L289)/'Player Data'!H289*90,0))</f>
        <v>6.04858299595142</v>
      </c>
      <c r="J289" s="22" t="n">
        <f aca="false">IF(B289="GK",IFERROR('Player Data'!Q289/'Player Data'!H289*90,0),IFERROR('Player Data'!M289/'Player Data'!H289*90,0))</f>
        <v>8.67206477732794</v>
      </c>
      <c r="K289" s="23" t="n">
        <f aca="false">'Player Data'!S289</f>
        <v>91100</v>
      </c>
      <c r="L289" s="22" t="n">
        <f aca="false">INDEX(Assumptions!$B$13:$B$15,MATCH(E289,Assumptions!$A$13:$A$15,0))</f>
        <v>0.7</v>
      </c>
      <c r="M289" s="24" t="n">
        <f aca="false">IFERROR(SUMPRODUCT(($B$2:$B$1001=B289)*($H$2:$H$1001&lt;=H289))/SUMPRODUCT(($B$2:$B$1001=B289)*1),0)</f>
        <v>0.568027210884354</v>
      </c>
      <c r="N289" s="24" t="n">
        <f aca="false">IFERROR(SUMPRODUCT(($B$2:$B$1001=B289)*($I$2:$I$1001&lt;=I289))/SUMPRODUCT(($B$2:$B$1001=B289)*1),0)</f>
        <v>0.744897959183674</v>
      </c>
      <c r="O289" s="24" t="n">
        <f aca="false">IFERROR(SUMPRODUCT(($B$2:$B$1001=B289)*($J$2:$J$1001&lt;=J289))/SUMPRODUCT(($B$2:$B$1001=B289)*1),0)</f>
        <v>0.891156462585034</v>
      </c>
      <c r="P289" s="24" t="n">
        <f aca="false">IFERROR(SUMPRODUCT(($B$2:$B$1001=B289)*((0-$F$2:$F$1001)&lt;=(0-F289)))/SUMPRODUCT(($B$2:$B$1001=B289)*1),0)</f>
        <v>0.275510204081633</v>
      </c>
      <c r="Q289" s="25" t="n">
        <f aca="false">(M289*Assumptions!$B$5+N289*Assumptions!$B$6+O289*Assumptions!$B$7+P289*Assumptions!$B$8)*L289</f>
        <v>0.445238095238095</v>
      </c>
      <c r="R289" s="24" t="n">
        <f aca="false">IFERROR(SUMPRODUCT(($B$2:$B$1001=B289)*($Q$2:$Q$1001&lt;=Q289))/SUMPRODUCT(($B$2:$B$1001=B289)*1),0)</f>
        <v>0.564625850340136</v>
      </c>
      <c r="S289" s="24" t="n">
        <f aca="false">IFERROR(SUMPRODUCT(($B$2:$B$1001=B289)*($K$2:$K$1001&lt;=K289))/SUMPRODUCT(($B$2:$B$1001=B289)*1),0)</f>
        <v>0.693877551020408</v>
      </c>
      <c r="T289" s="26" t="n">
        <f aca="false">(R289-S289)*100</f>
        <v>-12.9251700680272</v>
      </c>
      <c r="U289" s="21" t="str">
        <f aca="false">'Player Data'!T289</f>
        <v>Yes</v>
      </c>
      <c r="V289" s="27" t="n">
        <f aca="false">'Player Data'!U289</f>
        <v>2029</v>
      </c>
      <c r="W289" s="21" t="str">
        <f aca="false">IF(AND(T289&gt;=Assumptions!$B$19,U289="No"),"High Priority - Unrepresented",IF(T289&gt;=Assumptions!$B$19,"High Priority",IF(AND(T289&gt;=Assumptions!$B$20,U289="No"),"Watchlist - Unrepresented",IF(T289&gt;=Assumptions!$B$20,"Watchlist",""))))</f>
        <v/>
      </c>
      <c r="X289" s="21" t="str">
        <f aca="false">'Player Data'!V289</f>
        <v>info@nonthaburitown.th</v>
      </c>
      <c r="Y289" s="28" t="str">
        <f aca="false">'Player Data'!W289</f>
        <v>Go through the player's agent - ask the club to confirm representation first</v>
      </c>
      <c r="Z289" s="28" t="str">
        <f aca="false">'Player Data'!X289</f>
        <v>FAT (Football Association of Thailand) player registry</v>
      </c>
      <c r="AA289" s="19" t="str">
        <f aca="false">HYPERLINK("https://www.transfermarkt.com/schnellsuche/ergebnis/schnellsuche?query="&amp;SUBSTITUTE(A289," ","+"),"Search Transfermarkt")</f>
        <v>Search Transfermarkt</v>
      </c>
      <c r="AB289" s="29" t="n">
        <f aca="false">IFERROR('Player Data'!K289/('Player Data'!K289+'Player Data'!L289),0)</f>
        <v>0.530120481927711</v>
      </c>
      <c r="AC289" s="21" t="str">
        <f aca="false">IF(B289="GK",IF(AND(O289&gt;=Assumptions!$B$23,N289&gt;=Assumptions!$B$23),"Sweeper-Keeper / Build-from-the-Back",IF(O289&gt;=Assumptions!$B$23,"Sweeper-Keeper / High Line",IF(M289&gt;=Assumptions!$B$23,"Shot-Stopper / Traditional","Flexible / Multi-System"))),IF(AND(O289&gt;=Assumptions!$B$23,P289&gt;=Assumptions!$B$24),"High Press / Gegenpressing",IF(AND(N289&gt;=Assumptions!$B$23,AB289&gt;=Assumptions!$B$25),"Possession / Build-from-the-Back",IF(N289&gt;=Assumptions!$B$23,"Counter-Attack / Transition",IF(AND(O289&gt;=Assumptions!$B$23,N289&lt;Assumptions!$B$26),"Low Block / Park the Bus",IF(AND(B289="FW",M289&gt;=Assumptions!$B$23,N289&lt;Assumptions!$B$26),"Direct / Target Approach","Flexible / Multi-System"))))))</f>
        <v>Counter-Attack / Transition</v>
      </c>
      <c r="AD289" s="21" t="str">
        <f aca="false">'Player Data'!Y289</f>
        <v>2026-07-17</v>
      </c>
      <c r="AE289" s="21" t="str">
        <f aca="false">'Player Data'!Z289</f>
        <v>2026-07-17</v>
      </c>
      <c r="AF289" s="28" t="str">
        <f aca="false">IFERROR(INDEX(Assumptions!$B$30:$B$61,MATCH(C289,Assumptions!$A$30:$A$61,0)),"--")</f>
        <v>Australia, Saudi Arabia</v>
      </c>
      <c r="AG289" s="30" t="str">
        <f aca="false">IF(R289&gt;=0.7,"Step-Up Candidate",IF(R289&gt;=0.4,"Lateral Move","Stay &amp; Develop"))</f>
        <v>Lateral Move</v>
      </c>
    </row>
    <row r="290" customFormat="false" ht="23.85" hidden="false" customHeight="false" outlineLevel="0" collapsed="false">
      <c r="A290" s="21" t="str">
        <f aca="false">'Player Data'!A290</f>
        <v>Pongsak Wongsa</v>
      </c>
      <c r="B290" s="21" t="str">
        <f aca="false">'Player Data'!F290</f>
        <v>FW</v>
      </c>
      <c r="C290" s="21" t="str">
        <f aca="false">'Player Data'!B290</f>
        <v>Thailand</v>
      </c>
      <c r="D290" s="21" t="str">
        <f aca="false">'Player Data'!C290</f>
        <v>Thailand Third Tier - North</v>
      </c>
      <c r="E290" s="21" t="n">
        <f aca="false">'Player Data'!D290</f>
        <v>3</v>
      </c>
      <c r="F290" s="21" t="n">
        <f aca="false">'Player Data'!G290</f>
        <v>18</v>
      </c>
      <c r="G290" s="21" t="n">
        <f aca="false">'Player Data'!H290</f>
        <v>1442</v>
      </c>
      <c r="H290" s="22" t="n">
        <f aca="false">IF(B290="GK",IFERROR(('Player Data'!N290-1.5*'Player Data'!O290)/'Player Data'!H290*90,0),IFERROR(('Player Data'!I290+'Player Data'!J290)/'Player Data'!H290*90,0))</f>
        <v>0.748959778085992</v>
      </c>
      <c r="I290" s="22" t="n">
        <f aca="false">IF(B290="GK",'Player Data'!P290,IFERROR(('Player Data'!K290+'Player Data'!L290)/'Player Data'!H290*90,0))</f>
        <v>7.48959778085992</v>
      </c>
      <c r="J290" s="22" t="n">
        <f aca="false">IF(B290="GK",IFERROR('Player Data'!Q290/'Player Data'!H290*90,0),IFERROR('Player Data'!M290/'Player Data'!H290*90,0))</f>
        <v>0.436893203883495</v>
      </c>
      <c r="K290" s="23" t="n">
        <f aca="false">'Player Data'!S290</f>
        <v>82759</v>
      </c>
      <c r="L290" s="22" t="n">
        <f aca="false">INDEX(Assumptions!$B$13:$B$15,MATCH(E290,Assumptions!$A$13:$A$15,0))</f>
        <v>0.85</v>
      </c>
      <c r="M290" s="24" t="n">
        <f aca="false">IFERROR(SUMPRODUCT(($B$2:$B$1001=B290)*($H$2:$H$1001&lt;=H290))/SUMPRODUCT(($B$2:$B$1001=B290)*1),0)</f>
        <v>0.265486725663717</v>
      </c>
      <c r="N290" s="24" t="n">
        <f aca="false">IFERROR(SUMPRODUCT(($B$2:$B$1001=B290)*($I$2:$I$1001&lt;=I290))/SUMPRODUCT(($B$2:$B$1001=B290)*1),0)</f>
        <v>0.623893805309735</v>
      </c>
      <c r="O290" s="24" t="n">
        <f aca="false">IFERROR(SUMPRODUCT(($B$2:$B$1001=B290)*($J$2:$J$1001&lt;=J290))/SUMPRODUCT(($B$2:$B$1001=B290)*1),0)</f>
        <v>0.389380530973451</v>
      </c>
      <c r="P290" s="24" t="n">
        <f aca="false">IFERROR(SUMPRODUCT(($B$2:$B$1001=B290)*((0-$F$2:$F$1001)&lt;=(0-F290)))/SUMPRODUCT(($B$2:$B$1001=B290)*1),0)</f>
        <v>0.915929203539823</v>
      </c>
      <c r="Q290" s="25" t="n">
        <f aca="false">(M290*Assumptions!$B$5+N290*Assumptions!$B$6+O290*Assumptions!$B$7+P290*Assumptions!$B$8)*L290</f>
        <v>0.463926991150442</v>
      </c>
      <c r="R290" s="24" t="n">
        <f aca="false">IFERROR(SUMPRODUCT(($B$2:$B$1001=B290)*($Q$2:$Q$1001&lt;=Q290))/SUMPRODUCT(($B$2:$B$1001=B290)*1),0)</f>
        <v>0.548672566371681</v>
      </c>
      <c r="S290" s="24" t="n">
        <f aca="false">IFERROR(SUMPRODUCT(($B$2:$B$1001=B290)*($K$2:$K$1001&lt;=K290))/SUMPRODUCT(($B$2:$B$1001=B290)*1),0)</f>
        <v>0.610619469026549</v>
      </c>
      <c r="T290" s="26" t="n">
        <f aca="false">(R290-S290)*100</f>
        <v>-6.19469026548672</v>
      </c>
      <c r="U290" s="21" t="str">
        <f aca="false">'Player Data'!T290</f>
        <v>Yes</v>
      </c>
      <c r="V290" s="27" t="n">
        <f aca="false">'Player Data'!U290</f>
        <v>2029</v>
      </c>
      <c r="W290" s="21" t="str">
        <f aca="false">IF(AND(T290&gt;=Assumptions!$B$19,U290="No"),"High Priority - Unrepresented",IF(T290&gt;=Assumptions!$B$19,"High Priority",IF(AND(T290&gt;=Assumptions!$B$20,U290="No"),"Watchlist - Unrepresented",IF(T290&gt;=Assumptions!$B$20,"Watchlist",""))))</f>
        <v/>
      </c>
      <c r="X290" s="21" t="str">
        <f aca="false">'Player Data'!V290</f>
        <v>info@bangkokfc.th</v>
      </c>
      <c r="Y290" s="28" t="str">
        <f aca="false">'Player Data'!W290</f>
        <v>Go through the player's agent - ask the club to confirm representation first</v>
      </c>
      <c r="Z290" s="28" t="str">
        <f aca="false">'Player Data'!X290</f>
        <v>FAT (Football Association of Thailand) player registry</v>
      </c>
      <c r="AA290" s="19" t="str">
        <f aca="false">HYPERLINK("https://www.transfermarkt.com/schnellsuche/ergebnis/schnellsuche?query="&amp;SUBSTITUTE(A290," ","+"),"Search Transfermarkt")</f>
        <v>Search Transfermarkt</v>
      </c>
      <c r="AB290" s="29" t="n">
        <f aca="false">IFERROR('Player Data'!K290/('Player Data'!K290+'Player Data'!L290),0)</f>
        <v>0.233333333333333</v>
      </c>
      <c r="AC290" s="21" t="str">
        <f aca="false">IF(B290="GK",IF(AND(O290&gt;=Assumptions!$B$23,N290&gt;=Assumptions!$B$23),"Sweeper-Keeper / Build-from-the-Back",IF(O290&gt;=Assumptions!$B$23,"Sweeper-Keeper / High Line",IF(M290&gt;=Assumptions!$B$23,"Shot-Stopper / Traditional","Flexible / Multi-System"))),IF(AND(O290&gt;=Assumptions!$B$23,P290&gt;=Assumptions!$B$24),"High Press / Gegenpressing",IF(AND(N290&gt;=Assumptions!$B$23,AB290&gt;=Assumptions!$B$25),"Possession / Build-from-the-Back",IF(N290&gt;=Assumptions!$B$23,"Counter-Attack / Transition",IF(AND(O290&gt;=Assumptions!$B$23,N290&lt;Assumptions!$B$26),"Low Block / Park the Bus",IF(AND(B290="FW",M290&gt;=Assumptions!$B$23,N290&lt;Assumptions!$B$26),"Direct / Target Approach","Flexible / Multi-System"))))))</f>
        <v>Flexible / Multi-System</v>
      </c>
      <c r="AD290" s="21" t="str">
        <f aca="false">'Player Data'!Y290</f>
        <v>2026-07-17</v>
      </c>
      <c r="AE290" s="21" t="str">
        <f aca="false">'Player Data'!Z290</f>
        <v>2026-07-17</v>
      </c>
      <c r="AF290" s="28" t="str">
        <f aca="false">IFERROR(INDEX(Assumptions!$B$30:$B$61,MATCH(C290,Assumptions!$A$30:$A$61,0)),"--")</f>
        <v>Australia, Saudi Arabia</v>
      </c>
      <c r="AG290" s="30" t="str">
        <f aca="false">IF(R290&gt;=0.7,"Step-Up Candidate",IF(R290&gt;=0.4,"Lateral Move","Stay &amp; Develop"))</f>
        <v>Lateral Move</v>
      </c>
    </row>
    <row r="291" customFormat="false" ht="23.85" hidden="false" customHeight="false" outlineLevel="0" collapsed="false">
      <c r="A291" s="21" t="str">
        <f aca="false">'Player Data'!A291</f>
        <v>Igor Nikolic</v>
      </c>
      <c r="B291" s="21" t="str">
        <f aca="false">'Player Data'!F291</f>
        <v>MF</v>
      </c>
      <c r="C291" s="21" t="str">
        <f aca="false">'Player Data'!B291</f>
        <v>Montenegro</v>
      </c>
      <c r="D291" s="21" t="str">
        <f aca="false">'Player Data'!C291</f>
        <v>Montenegro Provincial League</v>
      </c>
      <c r="E291" s="21" t="n">
        <f aca="false">'Player Data'!D291</f>
        <v>4</v>
      </c>
      <c r="F291" s="21" t="n">
        <f aca="false">'Player Data'!G291</f>
        <v>19</v>
      </c>
      <c r="G291" s="21" t="n">
        <f aca="false">'Player Data'!H291</f>
        <v>2685</v>
      </c>
      <c r="H291" s="22" t="n">
        <f aca="false">IF(B291="GK",IFERROR(('Player Data'!N291-1.5*'Player Data'!O291)/'Player Data'!H291*90,0),IFERROR(('Player Data'!I291+'Player Data'!J291)/'Player Data'!H291*90,0))</f>
        <v>0.737430167597765</v>
      </c>
      <c r="I291" s="22" t="n">
        <f aca="false">IF(B291="GK",'Player Data'!P291,IFERROR(('Player Data'!K291+'Player Data'!L291)/'Player Data'!H291*90,0))</f>
        <v>8.01117318435754</v>
      </c>
      <c r="J291" s="22" t="n">
        <f aca="false">IF(B291="GK",IFERROR('Player Data'!Q291/'Player Data'!H291*90,0),IFERROR('Player Data'!M291/'Player Data'!H291*90,0))</f>
        <v>1.34078212290503</v>
      </c>
      <c r="K291" s="23" t="n">
        <f aca="false">'Player Data'!S291</f>
        <v>141219</v>
      </c>
      <c r="L291" s="22" t="n">
        <f aca="false">INDEX(Assumptions!$B$13:$B$15,MATCH(E291,Assumptions!$A$13:$A$15,0))</f>
        <v>0.7</v>
      </c>
      <c r="M291" s="24" t="n">
        <f aca="false">IFERROR(SUMPRODUCT(($B$2:$B$1001=B291)*($H$2:$H$1001&lt;=H291))/SUMPRODUCT(($B$2:$B$1001=B291)*1),0)</f>
        <v>0.498316498316498</v>
      </c>
      <c r="N291" s="24" t="n">
        <f aca="false">IFERROR(SUMPRODUCT(($B$2:$B$1001=B291)*($I$2:$I$1001&lt;=I291))/SUMPRODUCT(($B$2:$B$1001=B291)*1),0)</f>
        <v>0.161616161616162</v>
      </c>
      <c r="O291" s="24" t="n">
        <f aca="false">IFERROR(SUMPRODUCT(($B$2:$B$1001=B291)*($J$2:$J$1001&lt;=J291))/SUMPRODUCT(($B$2:$B$1001=B291)*1),0)</f>
        <v>0.114478114478114</v>
      </c>
      <c r="P291" s="24" t="n">
        <f aca="false">IFERROR(SUMPRODUCT(($B$2:$B$1001=B291)*((0-$F$2:$F$1001)&lt;=(0-F291)))/SUMPRODUCT(($B$2:$B$1001=B291)*1),0)</f>
        <v>0.868686868686869</v>
      </c>
      <c r="Q291" s="25" t="n">
        <f aca="false">(M291*Assumptions!$B$5+N291*Assumptions!$B$6+O291*Assumptions!$B$7+P291*Assumptions!$B$8)*L291</f>
        <v>0.264444444444445</v>
      </c>
      <c r="R291" s="24" t="n">
        <f aca="false">IFERROR(SUMPRODUCT(($B$2:$B$1001=B291)*($Q$2:$Q$1001&lt;=Q291))/SUMPRODUCT(($B$2:$B$1001=B291)*1),0)</f>
        <v>0.198653198653199</v>
      </c>
      <c r="S291" s="24" t="n">
        <f aca="false">IFERROR(SUMPRODUCT(($B$2:$B$1001=B291)*($K$2:$K$1001&lt;=K291))/SUMPRODUCT(($B$2:$B$1001=B291)*1),0)</f>
        <v>0.973063973063973</v>
      </c>
      <c r="T291" s="26" t="n">
        <f aca="false">(R291-S291)*100</f>
        <v>-77.4410774410774</v>
      </c>
      <c r="U291" s="21" t="str">
        <f aca="false">'Player Data'!T291</f>
        <v>No</v>
      </c>
      <c r="V291" s="27" t="n">
        <f aca="false">'Player Data'!U291</f>
        <v>2028</v>
      </c>
      <c r="W291" s="21" t="str">
        <f aca="false">IF(AND(T291&gt;=Assumptions!$B$19,U291="No"),"High Priority - Unrepresented",IF(T291&gt;=Assumptions!$B$19,"High Priority",IF(AND(T291&gt;=Assumptions!$B$20,U291="No"),"Watchlist - Unrepresented",IF(T291&gt;=Assumptions!$B$20,"Watchlist",""))))</f>
        <v/>
      </c>
      <c r="X291" s="21" t="str">
        <f aca="false">'Player Data'!V291</f>
        <v>info@budvawanderers.me</v>
      </c>
      <c r="Y291" s="28" t="str">
        <f aca="false">'Player Data'!W291</f>
        <v>Club sporting director / first-team office</v>
      </c>
      <c r="Z291" s="28" t="str">
        <f aca="false">'Player Data'!X291</f>
        <v>FSCG (Football Association of Montenegro) player registry</v>
      </c>
      <c r="AA291" s="19" t="str">
        <f aca="false">HYPERLINK("https://www.transfermarkt.com/schnellsuche/ergebnis/schnellsuche?query="&amp;SUBSTITUTE(A291," ","+"),"Search Transfermarkt")</f>
        <v>Search Transfermarkt</v>
      </c>
      <c r="AB291" s="29" t="n">
        <f aca="false">IFERROR('Player Data'!K291/('Player Data'!K291+'Player Data'!L291),0)</f>
        <v>0.698744769874477</v>
      </c>
      <c r="AC291" s="21" t="str">
        <f aca="false">IF(B291="GK",IF(AND(O291&gt;=Assumptions!$B$23,N291&gt;=Assumptions!$B$23),"Sweeper-Keeper / Build-from-the-Back",IF(O291&gt;=Assumptions!$B$23,"Sweeper-Keeper / High Line",IF(M291&gt;=Assumptions!$B$23,"Shot-Stopper / Traditional","Flexible / Multi-System"))),IF(AND(O291&gt;=Assumptions!$B$23,P291&gt;=Assumptions!$B$24),"High Press / Gegenpressing",IF(AND(N291&gt;=Assumptions!$B$23,AB291&gt;=Assumptions!$B$25),"Possession / Build-from-the-Back",IF(N291&gt;=Assumptions!$B$23,"Counter-Attack / Transition",IF(AND(O291&gt;=Assumptions!$B$23,N291&lt;Assumptions!$B$26),"Low Block / Park the Bus",IF(AND(B291="FW",M291&gt;=Assumptions!$B$23,N291&lt;Assumptions!$B$26),"Direct / Target Approach","Flexible / Multi-System"))))))</f>
        <v>Flexible / Multi-System</v>
      </c>
      <c r="AD291" s="21" t="str">
        <f aca="false">'Player Data'!Y291</f>
        <v>2026-07-17</v>
      </c>
      <c r="AE291" s="21" t="str">
        <f aca="false">'Player Data'!Z291</f>
        <v>2026-07-17</v>
      </c>
      <c r="AF291" s="28" t="str">
        <f aca="false">IFERROR(INDEX(Assumptions!$B$30:$B$61,MATCH(C291,Assumptions!$A$30:$A$61,0)),"--")</f>
        <v>Austria, Turkey</v>
      </c>
      <c r="AG291" s="30" t="str">
        <f aca="false">IF(R291&gt;=0.7,"Step-Up Candidate",IF(R291&gt;=0.4,"Lateral Move","Stay &amp; Develop"))</f>
        <v>Stay &amp; Develop</v>
      </c>
    </row>
    <row r="292" customFormat="false" ht="23.85" hidden="false" customHeight="false" outlineLevel="0" collapsed="false">
      <c r="A292" s="21" t="str">
        <f aca="false">'Player Data'!A292</f>
        <v>Erion Meta</v>
      </c>
      <c r="B292" s="21" t="str">
        <f aca="false">'Player Data'!F292</f>
        <v>GK</v>
      </c>
      <c r="C292" s="21" t="str">
        <f aca="false">'Player Data'!B292</f>
        <v>Albania</v>
      </c>
      <c r="D292" s="21" t="str">
        <f aca="false">'Player Data'!C292</f>
        <v>Albania Reserve League</v>
      </c>
      <c r="E292" s="21" t="n">
        <f aca="false">'Player Data'!D292</f>
        <v>2</v>
      </c>
      <c r="F292" s="21" t="n">
        <f aca="false">'Player Data'!G292</f>
        <v>18</v>
      </c>
      <c r="G292" s="21" t="n">
        <f aca="false">'Player Data'!H292</f>
        <v>2088</v>
      </c>
      <c r="H292" s="22" t="n">
        <f aca="false">IF(B292="GK",IFERROR(('Player Data'!N292-1.5*'Player Data'!O292)/'Player Data'!H292*90,0),IFERROR(('Player Data'!I292+'Player Data'!J292)/'Player Data'!H292*90,0))</f>
        <v>0.172413793103448</v>
      </c>
      <c r="I292" s="22" t="n">
        <f aca="false">IF(B292="GK",'Player Data'!P292,IFERROR(('Player Data'!K292+'Player Data'!L292)/'Player Data'!H292*90,0))</f>
        <v>66.1</v>
      </c>
      <c r="J292" s="22" t="n">
        <f aca="false">IF(B292="GK",IFERROR('Player Data'!Q292/'Player Data'!H292*90,0),IFERROR('Player Data'!M292/'Player Data'!H292*90,0))</f>
        <v>1.30172413793103</v>
      </c>
      <c r="K292" s="23" t="n">
        <f aca="false">'Player Data'!S292</f>
        <v>0</v>
      </c>
      <c r="L292" s="22" t="n">
        <f aca="false">INDEX(Assumptions!$B$13:$B$15,MATCH(E292,Assumptions!$A$13:$A$15,0))</f>
        <v>1</v>
      </c>
      <c r="M292" s="24" t="n">
        <f aca="false">IFERROR(SUMPRODUCT(($B$2:$B$1001=B292)*($H$2:$H$1001&lt;=H292))/SUMPRODUCT(($B$2:$B$1001=B292)*1),0)</f>
        <v>0.224043715846995</v>
      </c>
      <c r="N292" s="24" t="n">
        <f aca="false">IFERROR(SUMPRODUCT(($B$2:$B$1001=B292)*($I$2:$I$1001&lt;=I292))/SUMPRODUCT(($B$2:$B$1001=B292)*1),0)</f>
        <v>0.311475409836066</v>
      </c>
      <c r="O292" s="24" t="n">
        <f aca="false">IFERROR(SUMPRODUCT(($B$2:$B$1001=B292)*($J$2:$J$1001&lt;=J292))/SUMPRODUCT(($B$2:$B$1001=B292)*1),0)</f>
        <v>0.830601092896175</v>
      </c>
      <c r="P292" s="24" t="n">
        <f aca="false">IFERROR(SUMPRODUCT(($B$2:$B$1001=B292)*((0-$F$2:$F$1001)&lt;=(0-F292)))/SUMPRODUCT(($B$2:$B$1001=B292)*1),0)</f>
        <v>0.907103825136612</v>
      </c>
      <c r="Q292" s="25" t="n">
        <f aca="false">(M292*Assumptions!$B$5+N292*Assumptions!$B$6+O292*Assumptions!$B$7+P292*Assumptions!$B$8)*L292</f>
        <v>0.512568306010929</v>
      </c>
      <c r="R292" s="24" t="n">
        <f aca="false">IFERROR(SUMPRODUCT(($B$2:$B$1001=B292)*($Q$2:$Q$1001&lt;=Q292))/SUMPRODUCT(($B$2:$B$1001=B292)*1),0)</f>
        <v>0.655737704918033</v>
      </c>
      <c r="S292" s="24" t="n">
        <f aca="false">IFERROR(SUMPRODUCT(($B$2:$B$1001=B292)*($K$2:$K$1001&lt;=K292))/SUMPRODUCT(($B$2:$B$1001=B292)*1),0)</f>
        <v>0.218579234972678</v>
      </c>
      <c r="T292" s="26" t="n">
        <f aca="false">(R292-S292)*100</f>
        <v>43.7158469945355</v>
      </c>
      <c r="U292" s="21" t="str">
        <f aca="false">'Player Data'!T292</f>
        <v>No</v>
      </c>
      <c r="V292" s="27" t="n">
        <f aca="false">'Player Data'!U292</f>
        <v>2029</v>
      </c>
      <c r="W292" s="21" t="str">
        <f aca="false">IF(AND(T292&gt;=Assumptions!$B$19,U292="No"),"High Priority - Unrepresented",IF(T292&gt;=Assumptions!$B$19,"High Priority",IF(AND(T292&gt;=Assumptions!$B$20,U292="No"),"Watchlist - Unrepresented",IF(T292&gt;=Assumptions!$B$20,"Watchlist",""))))</f>
        <v>High Priority - Unrepresented</v>
      </c>
      <c r="X292" s="21" t="str">
        <f aca="false">'Player Data'!V292</f>
        <v>info@elbasanunited.al</v>
      </c>
      <c r="Y292" s="28" t="str">
        <f aca="false">'Player Data'!W292</f>
        <v>Club sporting director / first-team office</v>
      </c>
      <c r="Z292" s="28" t="str">
        <f aca="false">'Player Data'!X292</f>
        <v>FSHF (Albanian Football Association) player registry</v>
      </c>
      <c r="AA292" s="19" t="str">
        <f aca="false">HYPERLINK("https://www.transfermarkt.com/schnellsuche/ergebnis/schnellsuche?query="&amp;SUBSTITUTE(A292," ","+"),"Search Transfermarkt")</f>
        <v>Search Transfermarkt</v>
      </c>
      <c r="AB292" s="29" t="n">
        <f aca="false">IFERROR('Player Data'!K292/('Player Data'!K292+'Player Data'!L292),0)</f>
        <v>0.823529411764706</v>
      </c>
      <c r="AC292" s="21" t="str">
        <f aca="false">IF(B292="GK",IF(AND(O292&gt;=Assumptions!$B$23,N292&gt;=Assumptions!$B$23),"Sweeper-Keeper / Build-from-the-Back",IF(O292&gt;=Assumptions!$B$23,"Sweeper-Keeper / High Line",IF(M292&gt;=Assumptions!$B$23,"Shot-Stopper / Traditional","Flexible / Multi-System"))),IF(AND(O292&gt;=Assumptions!$B$23,P292&gt;=Assumptions!$B$24),"High Press / Gegenpressing",IF(AND(N292&gt;=Assumptions!$B$23,AB292&gt;=Assumptions!$B$25),"Possession / Build-from-the-Back",IF(N292&gt;=Assumptions!$B$23,"Counter-Attack / Transition",IF(AND(O292&gt;=Assumptions!$B$23,N292&lt;Assumptions!$B$26),"Low Block / Park the Bus",IF(AND(B292="FW",M292&gt;=Assumptions!$B$23,N292&lt;Assumptions!$B$26),"Direct / Target Approach","Flexible / Multi-System"))))))</f>
        <v>Sweeper-Keeper / High Line</v>
      </c>
      <c r="AD292" s="21" t="str">
        <f aca="false">'Player Data'!Y292</f>
        <v>2026-07-17</v>
      </c>
      <c r="AE292" s="21" t="str">
        <f aca="false">'Player Data'!Z292</f>
        <v>2026-07-17</v>
      </c>
      <c r="AF292" s="28" t="str">
        <f aca="false">IFERROR(INDEX(Assumptions!$B$30:$B$61,MATCH(C292,Assumptions!$A$30:$A$61,0)),"--")</f>
        <v>Turkey, Poland</v>
      </c>
      <c r="AG292" s="30" t="str">
        <f aca="false">IF(R292&gt;=0.7,"Step-Up Candidate",IF(R292&gt;=0.4,"Lateral Move","Stay &amp; Develop"))</f>
        <v>Lateral Move</v>
      </c>
    </row>
    <row r="293" customFormat="false" ht="23.85" hidden="false" customHeight="false" outlineLevel="0" collapsed="false">
      <c r="A293" s="21" t="str">
        <f aca="false">'Player Data'!A293</f>
        <v>Franck Toure</v>
      </c>
      <c r="B293" s="21" t="str">
        <f aca="false">'Player Data'!F293</f>
        <v>FW</v>
      </c>
      <c r="C293" s="21" t="str">
        <f aca="false">'Player Data'!B293</f>
        <v>Ivory Coast</v>
      </c>
      <c r="D293" s="21" t="str">
        <f aca="false">'Player Data'!C293</f>
        <v>Ivory Coast Second Division - West</v>
      </c>
      <c r="E293" s="21" t="n">
        <f aca="false">'Player Data'!D293</f>
        <v>2</v>
      </c>
      <c r="F293" s="21" t="n">
        <f aca="false">'Player Data'!G293</f>
        <v>17</v>
      </c>
      <c r="G293" s="21" t="n">
        <f aca="false">'Player Data'!H293</f>
        <v>1279</v>
      </c>
      <c r="H293" s="22" t="n">
        <f aca="false">IF(B293="GK",IFERROR(('Player Data'!N293-1.5*'Player Data'!O293)/'Player Data'!H293*90,0),IFERROR(('Player Data'!I293+'Player Data'!J293)/'Player Data'!H293*90,0))</f>
        <v>1.47771696637998</v>
      </c>
      <c r="I293" s="22" t="n">
        <f aca="false">IF(B293="GK",'Player Data'!P293,IFERROR(('Player Data'!K293+'Player Data'!L293)/'Player Data'!H293*90,0))</f>
        <v>7.59968725566849</v>
      </c>
      <c r="J293" s="22" t="n">
        <f aca="false">IF(B293="GK",IFERROR('Player Data'!Q293/'Player Data'!H293*90,0),IFERROR('Player Data'!M293/'Player Data'!H293*90,0))</f>
        <v>1.05551211884285</v>
      </c>
      <c r="K293" s="23" t="n">
        <f aca="false">'Player Data'!S293</f>
        <v>105379</v>
      </c>
      <c r="L293" s="22" t="n">
        <f aca="false">INDEX(Assumptions!$B$13:$B$15,MATCH(E293,Assumptions!$A$13:$A$15,0))</f>
        <v>1</v>
      </c>
      <c r="M293" s="24" t="n">
        <f aca="false">IFERROR(SUMPRODUCT(($B$2:$B$1001=B293)*($H$2:$H$1001&lt;=H293))/SUMPRODUCT(($B$2:$B$1001=B293)*1),0)</f>
        <v>0.831858407079646</v>
      </c>
      <c r="N293" s="24" t="n">
        <f aca="false">IFERROR(SUMPRODUCT(($B$2:$B$1001=B293)*($I$2:$I$1001&lt;=I293))/SUMPRODUCT(($B$2:$B$1001=B293)*1),0)</f>
        <v>0.63716814159292</v>
      </c>
      <c r="O293" s="24" t="n">
        <f aca="false">IFERROR(SUMPRODUCT(($B$2:$B$1001=B293)*($J$2:$J$1001&lt;=J293))/SUMPRODUCT(($B$2:$B$1001=B293)*1),0)</f>
        <v>0.911504424778761</v>
      </c>
      <c r="P293" s="24" t="n">
        <f aca="false">IFERROR(SUMPRODUCT(($B$2:$B$1001=B293)*((0-$F$2:$F$1001)&lt;=(0-F293)))/SUMPRODUCT(($B$2:$B$1001=B293)*1),0)</f>
        <v>1</v>
      </c>
      <c r="Q293" s="25" t="n">
        <f aca="false">(M293*Assumptions!$B$5+N293*Assumptions!$B$6+O293*Assumptions!$B$7+P293*Assumptions!$B$8)*L293</f>
        <v>0.813274336283186</v>
      </c>
      <c r="R293" s="24" t="n">
        <f aca="false">IFERROR(SUMPRODUCT(($B$2:$B$1001=B293)*($Q$2:$Q$1001&lt;=Q293))/SUMPRODUCT(($B$2:$B$1001=B293)*1),0)</f>
        <v>0.938053097345133</v>
      </c>
      <c r="S293" s="24" t="n">
        <f aca="false">IFERROR(SUMPRODUCT(($B$2:$B$1001=B293)*($K$2:$K$1001&lt;=K293))/SUMPRODUCT(($B$2:$B$1001=B293)*1),0)</f>
        <v>0.747787610619469</v>
      </c>
      <c r="T293" s="26" t="n">
        <f aca="false">(R293-S293)*100</f>
        <v>19.0265486725664</v>
      </c>
      <c r="U293" s="21" t="str">
        <f aca="false">'Player Data'!T293</f>
        <v>No</v>
      </c>
      <c r="V293" s="27" t="n">
        <f aca="false">'Player Data'!U293</f>
        <v>2028</v>
      </c>
      <c r="W293" s="21" t="str">
        <f aca="false">IF(AND(T293&gt;=Assumptions!$B$19,U293="No"),"High Priority - Unrepresented",IF(T293&gt;=Assumptions!$B$19,"High Priority",IF(AND(T293&gt;=Assumptions!$B$20,U293="No"),"Watchlist - Unrepresented",IF(T293&gt;=Assumptions!$B$20,"Watchlist",""))))</f>
        <v/>
      </c>
      <c r="X293" s="21" t="str">
        <f aca="false">'Player Data'!V293</f>
        <v>info@bouakefc.ci</v>
      </c>
      <c r="Y293" s="28" t="str">
        <f aca="false">'Player Data'!W293</f>
        <v>Club youth/academy office ONLY - player is a minor, do not contact directly</v>
      </c>
      <c r="Z293" s="28" t="str">
        <f aca="false">'Player Data'!X293</f>
        <v>FIF (Ivorian Football Federation) player registry</v>
      </c>
      <c r="AA293" s="19" t="str">
        <f aca="false">HYPERLINK("https://www.transfermarkt.com/schnellsuche/ergebnis/schnellsuche?query="&amp;SUBSTITUTE(A293," ","+"),"Search Transfermarkt")</f>
        <v>Search Transfermarkt</v>
      </c>
      <c r="AB293" s="29" t="n">
        <f aca="false">IFERROR('Player Data'!K293/('Player Data'!K293+'Player Data'!L293),0)</f>
        <v>0.314814814814815</v>
      </c>
      <c r="AC293" s="21" t="str">
        <f aca="false">IF(B293="GK",IF(AND(O293&gt;=Assumptions!$B$23,N293&gt;=Assumptions!$B$23),"Sweeper-Keeper / Build-from-the-Back",IF(O293&gt;=Assumptions!$B$23,"Sweeper-Keeper / High Line",IF(M293&gt;=Assumptions!$B$23,"Shot-Stopper / Traditional","Flexible / Multi-System"))),IF(AND(O293&gt;=Assumptions!$B$23,P293&gt;=Assumptions!$B$24),"High Press / Gegenpressing",IF(AND(N293&gt;=Assumptions!$B$23,AB293&gt;=Assumptions!$B$25),"Possession / Build-from-the-Back",IF(N293&gt;=Assumptions!$B$23,"Counter-Attack / Transition",IF(AND(O293&gt;=Assumptions!$B$23,N293&lt;Assumptions!$B$26),"Low Block / Park the Bus",IF(AND(B293="FW",M293&gt;=Assumptions!$B$23,N293&lt;Assumptions!$B$26),"Direct / Target Approach","Flexible / Multi-System"))))))</f>
        <v>High Press / Gegenpressing</v>
      </c>
      <c r="AD293" s="21" t="str">
        <f aca="false">'Player Data'!Y293</f>
        <v>2026-07-17</v>
      </c>
      <c r="AE293" s="21" t="str">
        <f aca="false">'Player Data'!Z293</f>
        <v>2026-07-17</v>
      </c>
      <c r="AF293" s="28" t="str">
        <f aca="false">IFERROR(INDEX(Assumptions!$B$30:$B$61,MATCH(C293,Assumptions!$A$30:$A$61,0)),"--")</f>
        <v>Belgium, Portugal</v>
      </c>
      <c r="AG293" s="30" t="str">
        <f aca="false">IF(R293&gt;=0.7,"Step-Up Candidate",IF(R293&gt;=0.4,"Lateral Move","Stay &amp; Develop"))</f>
        <v>Step-Up Candidate</v>
      </c>
    </row>
    <row r="294" customFormat="false" ht="23.85" hidden="false" customHeight="false" outlineLevel="0" collapsed="false">
      <c r="A294" s="21" t="str">
        <f aca="false">'Player Data'!A294</f>
        <v>Bruno Silva</v>
      </c>
      <c r="B294" s="21" t="str">
        <f aca="false">'Player Data'!F294</f>
        <v>DF</v>
      </c>
      <c r="C294" s="21" t="str">
        <f aca="false">'Player Data'!B294</f>
        <v>Uruguay</v>
      </c>
      <c r="D294" s="21" t="str">
        <f aca="false">'Player Data'!C294</f>
        <v>Uruguay Second Division</v>
      </c>
      <c r="E294" s="21" t="n">
        <f aca="false">'Player Data'!D294</f>
        <v>2</v>
      </c>
      <c r="F294" s="21" t="n">
        <f aca="false">'Player Data'!G294</f>
        <v>25</v>
      </c>
      <c r="G294" s="21" t="n">
        <f aca="false">'Player Data'!H294</f>
        <v>2592</v>
      </c>
      <c r="H294" s="22" t="n">
        <f aca="false">IF(B294="GK",IFERROR(('Player Data'!N294-1.5*'Player Data'!O294)/'Player Data'!H294*90,0),IFERROR(('Player Data'!I294+'Player Data'!J294)/'Player Data'!H294*90,0))</f>
        <v>0.104166666666667</v>
      </c>
      <c r="I294" s="22" t="n">
        <f aca="false">IF(B294="GK",'Player Data'!P294,IFERROR(('Player Data'!K294+'Player Data'!L294)/'Player Data'!H294*90,0))</f>
        <v>2.5</v>
      </c>
      <c r="J294" s="22" t="n">
        <f aca="false">IF(B294="GK",IFERROR('Player Data'!Q294/'Player Data'!H294*90,0),IFERROR('Player Data'!M294/'Player Data'!H294*90,0))</f>
        <v>3.40277777777778</v>
      </c>
      <c r="K294" s="23" t="n">
        <f aca="false">'Player Data'!S294</f>
        <v>40055</v>
      </c>
      <c r="L294" s="22" t="n">
        <f aca="false">INDEX(Assumptions!$B$13:$B$15,MATCH(E294,Assumptions!$A$13:$A$15,0))</f>
        <v>1</v>
      </c>
      <c r="M294" s="24" t="n">
        <f aca="false">IFERROR(SUMPRODUCT(($B$2:$B$1001=B294)*($H$2:$H$1001&lt;=H294))/SUMPRODUCT(($B$2:$B$1001=B294)*1),0)</f>
        <v>0.207482993197279</v>
      </c>
      <c r="N294" s="24" t="n">
        <f aca="false">IFERROR(SUMPRODUCT(($B$2:$B$1001=B294)*($I$2:$I$1001&lt;=I294))/SUMPRODUCT(($B$2:$B$1001=B294)*1),0)</f>
        <v>0.0170068027210884</v>
      </c>
      <c r="O294" s="24" t="n">
        <f aca="false">IFERROR(SUMPRODUCT(($B$2:$B$1001=B294)*($J$2:$J$1001&lt;=J294))/SUMPRODUCT(($B$2:$B$1001=B294)*1),0)</f>
        <v>0.0680272108843538</v>
      </c>
      <c r="P294" s="24" t="n">
        <f aca="false">IFERROR(SUMPRODUCT(($B$2:$B$1001=B294)*((0-$F$2:$F$1001)&lt;=(0-F294)))/SUMPRODUCT(($B$2:$B$1001=B294)*1),0)</f>
        <v>0.146258503401361</v>
      </c>
      <c r="Q294" s="25" t="n">
        <f aca="false">(M294*Assumptions!$B$5+N294*Assumptions!$B$6+O294*Assumptions!$B$7+P294*Assumptions!$B$8)*L294</f>
        <v>0.100680272108844</v>
      </c>
      <c r="R294" s="24" t="n">
        <f aca="false">IFERROR(SUMPRODUCT(($B$2:$B$1001=B294)*($Q$2:$Q$1001&lt;=Q294))/SUMPRODUCT(($B$2:$B$1001=B294)*1),0)</f>
        <v>0.00680272108843537</v>
      </c>
      <c r="S294" s="24" t="n">
        <f aca="false">IFERROR(SUMPRODUCT(($B$2:$B$1001=B294)*($K$2:$K$1001&lt;=K294))/SUMPRODUCT(($B$2:$B$1001=B294)*1),0)</f>
        <v>0.387755102040816</v>
      </c>
      <c r="T294" s="26" t="n">
        <f aca="false">(R294-S294)*100</f>
        <v>-38.0952380952381</v>
      </c>
      <c r="U294" s="21" t="str">
        <f aca="false">'Player Data'!T294</f>
        <v>Unknown</v>
      </c>
      <c r="V294" s="27" t="n">
        <f aca="false">'Player Data'!U294</f>
        <v>2026</v>
      </c>
      <c r="W294" s="21" t="str">
        <f aca="false">IF(AND(T294&gt;=Assumptions!$B$19,U294="No"),"High Priority - Unrepresented",IF(T294&gt;=Assumptions!$B$19,"High Priority",IF(AND(T294&gt;=Assumptions!$B$20,U294="No"),"Watchlist - Unrepresented",IF(T294&gt;=Assumptions!$B$20,"Watchlist",""))))</f>
        <v/>
      </c>
      <c r="X294" s="21" t="str">
        <f aca="false">'Player Data'!V294</f>
        <v>info@riverarovers.uy</v>
      </c>
      <c r="Y294" s="28" t="str">
        <f aca="false">'Player Data'!W294</f>
        <v>Club sporting director / first-team office</v>
      </c>
      <c r="Z294" s="28" t="str">
        <f aca="false">'Player Data'!X294</f>
        <v>AUF (Uruguayan Football Association) player registry</v>
      </c>
      <c r="AA294" s="19" t="str">
        <f aca="false">HYPERLINK("https://www.transfermarkt.com/schnellsuche/ergebnis/schnellsuche?query="&amp;SUBSTITUTE(A294," ","+"),"Search Transfermarkt")</f>
        <v>Search Transfermarkt</v>
      </c>
      <c r="AB294" s="29" t="n">
        <f aca="false">IFERROR('Player Data'!K294/('Player Data'!K294+'Player Data'!L294),0)</f>
        <v>0.666666666666667</v>
      </c>
      <c r="AC294" s="21" t="str">
        <f aca="false">IF(B294="GK",IF(AND(O294&gt;=Assumptions!$B$23,N294&gt;=Assumptions!$B$23),"Sweeper-Keeper / Build-from-the-Back",IF(O294&gt;=Assumptions!$B$23,"Sweeper-Keeper / High Line",IF(M294&gt;=Assumptions!$B$23,"Shot-Stopper / Traditional","Flexible / Multi-System"))),IF(AND(O294&gt;=Assumptions!$B$23,P294&gt;=Assumptions!$B$24),"High Press / Gegenpressing",IF(AND(N294&gt;=Assumptions!$B$23,AB294&gt;=Assumptions!$B$25),"Possession / Build-from-the-Back",IF(N294&gt;=Assumptions!$B$23,"Counter-Attack / Transition",IF(AND(O294&gt;=Assumptions!$B$23,N294&lt;Assumptions!$B$26),"Low Block / Park the Bus",IF(AND(B294="FW",M294&gt;=Assumptions!$B$23,N294&lt;Assumptions!$B$26),"Direct / Target Approach","Flexible / Multi-System"))))))</f>
        <v>Flexible / Multi-System</v>
      </c>
      <c r="AD294" s="21" t="str">
        <f aca="false">'Player Data'!Y294</f>
        <v>2026-07-17</v>
      </c>
      <c r="AE294" s="21" t="str">
        <f aca="false">'Player Data'!Z294</f>
        <v>2026-07-17</v>
      </c>
      <c r="AF294" s="28" t="str">
        <f aca="false">IFERROR(INDEX(Assumptions!$B$30:$B$61,MATCH(C294,Assumptions!$A$30:$A$61,0)),"--")</f>
        <v>Argentina, Portugal</v>
      </c>
      <c r="AG294" s="30" t="str">
        <f aca="false">IF(R294&gt;=0.7,"Step-Up Candidate",IF(R294&gt;=0.4,"Lateral Move","Stay &amp; Develop"))</f>
        <v>Stay &amp; Develop</v>
      </c>
    </row>
    <row r="295" customFormat="false" ht="23.85" hidden="false" customHeight="false" outlineLevel="0" collapsed="false">
      <c r="A295" s="21" t="str">
        <f aca="false">'Player Data'!A295</f>
        <v>Haruto Tanaka</v>
      </c>
      <c r="B295" s="21" t="str">
        <f aca="false">'Player Data'!F295</f>
        <v>FW</v>
      </c>
      <c r="C295" s="21" t="str">
        <f aca="false">'Player Data'!B295</f>
        <v>Japan</v>
      </c>
      <c r="D295" s="21" t="str">
        <f aca="false">'Player Data'!C295</f>
        <v>Japan Provincial League</v>
      </c>
      <c r="E295" s="21" t="n">
        <f aca="false">'Player Data'!D295</f>
        <v>2</v>
      </c>
      <c r="F295" s="21" t="n">
        <f aca="false">'Player Data'!G295</f>
        <v>24</v>
      </c>
      <c r="G295" s="21" t="n">
        <f aca="false">'Player Data'!H295</f>
        <v>2397</v>
      </c>
      <c r="H295" s="22" t="n">
        <f aca="false">IF(B295="GK",IFERROR(('Player Data'!N295-1.5*'Player Data'!O295)/'Player Data'!H295*90,0),IFERROR(('Player Data'!I295+'Player Data'!J295)/'Player Data'!H295*90,0))</f>
        <v>0.563204005006258</v>
      </c>
      <c r="I295" s="22" t="n">
        <f aca="false">IF(B295="GK",'Player Data'!P295,IFERROR(('Player Data'!K295+'Player Data'!L295)/'Player Data'!H295*90,0))</f>
        <v>5.36921151439299</v>
      </c>
      <c r="J295" s="22" t="n">
        <f aca="false">IF(B295="GK",IFERROR('Player Data'!Q295/'Player Data'!H295*90,0),IFERROR('Player Data'!M295/'Player Data'!H295*90,0))</f>
        <v>0.262828535669587</v>
      </c>
      <c r="K295" s="23" t="n">
        <f aca="false">'Player Data'!S295</f>
        <v>61120</v>
      </c>
      <c r="L295" s="22" t="n">
        <f aca="false">INDEX(Assumptions!$B$13:$B$15,MATCH(E295,Assumptions!$A$13:$A$15,0))</f>
        <v>1</v>
      </c>
      <c r="M295" s="24" t="n">
        <f aca="false">IFERROR(SUMPRODUCT(($B$2:$B$1001=B295)*($H$2:$H$1001&lt;=H295))/SUMPRODUCT(($B$2:$B$1001=B295)*1),0)</f>
        <v>0.123893805309735</v>
      </c>
      <c r="N295" s="24" t="n">
        <f aca="false">IFERROR(SUMPRODUCT(($B$2:$B$1001=B295)*($I$2:$I$1001&lt;=I295))/SUMPRODUCT(($B$2:$B$1001=B295)*1),0)</f>
        <v>0.292035398230089</v>
      </c>
      <c r="O295" s="24" t="n">
        <f aca="false">IFERROR(SUMPRODUCT(($B$2:$B$1001=B295)*($J$2:$J$1001&lt;=J295))/SUMPRODUCT(($B$2:$B$1001=B295)*1),0)</f>
        <v>0.119469026548673</v>
      </c>
      <c r="P295" s="24" t="n">
        <f aca="false">IFERROR(SUMPRODUCT(($B$2:$B$1001=B295)*((0-$F$2:$F$1001)&lt;=(0-F295)))/SUMPRODUCT(($B$2:$B$1001=B295)*1),0)</f>
        <v>0.305309734513274</v>
      </c>
      <c r="Q295" s="25" t="n">
        <f aca="false">(M295*Assumptions!$B$5+N295*Assumptions!$B$6+O295*Assumptions!$B$7+P295*Assumptions!$B$8)*L295</f>
        <v>0.218141592920354</v>
      </c>
      <c r="R295" s="24" t="n">
        <f aca="false">IFERROR(SUMPRODUCT(($B$2:$B$1001=B295)*($Q$2:$Q$1001&lt;=Q295))/SUMPRODUCT(($B$2:$B$1001=B295)*1),0)</f>
        <v>0.128318584070796</v>
      </c>
      <c r="S295" s="24" t="n">
        <f aca="false">IFERROR(SUMPRODUCT(($B$2:$B$1001=B295)*($K$2:$K$1001&lt;=K295))/SUMPRODUCT(($B$2:$B$1001=B295)*1),0)</f>
        <v>0.508849557522124</v>
      </c>
      <c r="T295" s="26" t="n">
        <f aca="false">(R295-S295)*100</f>
        <v>-38.0530973451328</v>
      </c>
      <c r="U295" s="21" t="str">
        <f aca="false">'Player Data'!T295</f>
        <v>Yes</v>
      </c>
      <c r="V295" s="27" t="n">
        <f aca="false">'Player Data'!U295</f>
        <v>2027</v>
      </c>
      <c r="W295" s="21" t="str">
        <f aca="false">IF(AND(T295&gt;=Assumptions!$B$19,U295="No"),"High Priority - Unrepresented",IF(T295&gt;=Assumptions!$B$19,"High Priority",IF(AND(T295&gt;=Assumptions!$B$20,U295="No"),"Watchlist - Unrepresented",IF(T295&gt;=Assumptions!$B$20,"Watchlist",""))))</f>
        <v/>
      </c>
      <c r="X295" s="21" t="str">
        <f aca="false">'Player Data'!V295</f>
        <v>info@nagoyaathletic.jp</v>
      </c>
      <c r="Y295" s="28" t="str">
        <f aca="false">'Player Data'!W295</f>
        <v>Go through the player's agent - ask the club to confirm representation first</v>
      </c>
      <c r="Z295" s="28" t="str">
        <f aca="false">'Player Data'!X295</f>
        <v>JFA (Japan Football Association) player registry</v>
      </c>
      <c r="AA295" s="19" t="str">
        <f aca="false">HYPERLINK("https://www.transfermarkt.com/schnellsuche/ergebnis/schnellsuche?query="&amp;SUBSTITUTE(A295," ","+"),"Search Transfermarkt")</f>
        <v>Search Transfermarkt</v>
      </c>
      <c r="AB295" s="29" t="n">
        <f aca="false">IFERROR('Player Data'!K295/('Player Data'!K295+'Player Data'!L295),0)</f>
        <v>0.440559440559441</v>
      </c>
      <c r="AC295" s="21" t="str">
        <f aca="false">IF(B295="GK",IF(AND(O295&gt;=Assumptions!$B$23,N295&gt;=Assumptions!$B$23),"Sweeper-Keeper / Build-from-the-Back",IF(O295&gt;=Assumptions!$B$23,"Sweeper-Keeper / High Line",IF(M295&gt;=Assumptions!$B$23,"Shot-Stopper / Traditional","Flexible / Multi-System"))),IF(AND(O295&gt;=Assumptions!$B$23,P295&gt;=Assumptions!$B$24),"High Press / Gegenpressing",IF(AND(N295&gt;=Assumptions!$B$23,AB295&gt;=Assumptions!$B$25),"Possession / Build-from-the-Back",IF(N295&gt;=Assumptions!$B$23,"Counter-Attack / Transition",IF(AND(O295&gt;=Assumptions!$B$23,N295&lt;Assumptions!$B$26),"Low Block / Park the Bus",IF(AND(B295="FW",M295&gt;=Assumptions!$B$23,N295&lt;Assumptions!$B$26),"Direct / Target Approach","Flexible / Multi-System"))))))</f>
        <v>Flexible / Multi-System</v>
      </c>
      <c r="AD295" s="21" t="str">
        <f aca="false">'Player Data'!Y295</f>
        <v>2026-07-17</v>
      </c>
      <c r="AE295" s="21" t="str">
        <f aca="false">'Player Data'!Z295</f>
        <v>2026-07-17</v>
      </c>
      <c r="AF295" s="28" t="str">
        <f aca="false">IFERROR(INDEX(Assumptions!$B$30:$B$61,MATCH(C295,Assumptions!$A$30:$A$61,0)),"--")</f>
        <v>Belgium, Australia</v>
      </c>
      <c r="AG295" s="30" t="str">
        <f aca="false">IF(R295&gt;=0.7,"Step-Up Candidate",IF(R295&gt;=0.4,"Lateral Move","Stay &amp; Develop"))</f>
        <v>Stay &amp; Develop</v>
      </c>
    </row>
    <row r="296" customFormat="false" ht="23.85" hidden="false" customHeight="false" outlineLevel="0" collapsed="false">
      <c r="A296" s="21" t="str">
        <f aca="false">'Player Data'!A296</f>
        <v>Sora Sato</v>
      </c>
      <c r="B296" s="21" t="str">
        <f aca="false">'Player Data'!F296</f>
        <v>DF</v>
      </c>
      <c r="C296" s="21" t="str">
        <f aca="false">'Player Data'!B296</f>
        <v>Japan</v>
      </c>
      <c r="D296" s="21" t="str">
        <f aca="false">'Player Data'!C296</f>
        <v>Japan Second Division</v>
      </c>
      <c r="E296" s="21" t="n">
        <f aca="false">'Player Data'!D296</f>
        <v>2</v>
      </c>
      <c r="F296" s="21" t="n">
        <f aca="false">'Player Data'!G296</f>
        <v>22</v>
      </c>
      <c r="G296" s="21" t="n">
        <f aca="false">'Player Data'!H296</f>
        <v>2685</v>
      </c>
      <c r="H296" s="22" t="n">
        <f aca="false">IF(B296="GK",IFERROR(('Player Data'!N296-1.5*'Player Data'!O296)/'Player Data'!H296*90,0),IFERROR(('Player Data'!I296+'Player Data'!J296)/'Player Data'!H296*90,0))</f>
        <v>0.134078212290503</v>
      </c>
      <c r="I296" s="22" t="n">
        <f aca="false">IF(B296="GK",'Player Data'!P296,IFERROR(('Player Data'!K296+'Player Data'!L296)/'Player Data'!H296*90,0))</f>
        <v>3.08379888268156</v>
      </c>
      <c r="J296" s="22" t="n">
        <f aca="false">IF(B296="GK",IFERROR('Player Data'!Q296/'Player Data'!H296*90,0),IFERROR('Player Data'!M296/'Player Data'!H296*90,0))</f>
        <v>3.58659217877095</v>
      </c>
      <c r="K296" s="23" t="n">
        <f aca="false">'Player Data'!S296</f>
        <v>67225</v>
      </c>
      <c r="L296" s="22" t="n">
        <f aca="false">INDEX(Assumptions!$B$13:$B$15,MATCH(E296,Assumptions!$A$13:$A$15,0))</f>
        <v>1</v>
      </c>
      <c r="M296" s="24" t="n">
        <f aca="false">IFERROR(SUMPRODUCT(($B$2:$B$1001=B296)*($H$2:$H$1001&lt;=H296))/SUMPRODUCT(($B$2:$B$1001=B296)*1),0)</f>
        <v>0.302721088435374</v>
      </c>
      <c r="N296" s="24" t="n">
        <f aca="false">IFERROR(SUMPRODUCT(($B$2:$B$1001=B296)*($I$2:$I$1001&lt;=I296))/SUMPRODUCT(($B$2:$B$1001=B296)*1),0)</f>
        <v>0.0986394557823129</v>
      </c>
      <c r="O296" s="24" t="n">
        <f aca="false">IFERROR(SUMPRODUCT(($B$2:$B$1001=B296)*($J$2:$J$1001&lt;=J296))/SUMPRODUCT(($B$2:$B$1001=B296)*1),0)</f>
        <v>0.119047619047619</v>
      </c>
      <c r="P296" s="24" t="n">
        <f aca="false">IFERROR(SUMPRODUCT(($B$2:$B$1001=B296)*((0-$F$2:$F$1001)&lt;=(0-F296)))/SUMPRODUCT(($B$2:$B$1001=B296)*1),0)</f>
        <v>0.493197278911565</v>
      </c>
      <c r="Q296" s="25" t="n">
        <f aca="false">(M296*Assumptions!$B$5+N296*Assumptions!$B$6+O296*Assumptions!$B$7+P296*Assumptions!$B$8)*L296</f>
        <v>0.23265306122449</v>
      </c>
      <c r="R296" s="24" t="n">
        <f aca="false">IFERROR(SUMPRODUCT(($B$2:$B$1001=B296)*($Q$2:$Q$1001&lt;=Q296))/SUMPRODUCT(($B$2:$B$1001=B296)*1),0)</f>
        <v>0.125850340136054</v>
      </c>
      <c r="S296" s="24" t="n">
        <f aca="false">IFERROR(SUMPRODUCT(($B$2:$B$1001=B296)*($K$2:$K$1001&lt;=K296))/SUMPRODUCT(($B$2:$B$1001=B296)*1),0)</f>
        <v>0.523809523809524</v>
      </c>
      <c r="T296" s="26" t="n">
        <f aca="false">(R296-S296)*100</f>
        <v>-39.7959183673469</v>
      </c>
      <c r="U296" s="21" t="str">
        <f aca="false">'Player Data'!T296</f>
        <v>No</v>
      </c>
      <c r="V296" s="27" t="n">
        <f aca="false">'Player Data'!U296</f>
        <v>2028</v>
      </c>
      <c r="W296" s="21" t="str">
        <f aca="false">IF(AND(T296&gt;=Assumptions!$B$19,U296="No"),"High Priority - Unrepresented",IF(T296&gt;=Assumptions!$B$19,"High Priority",IF(AND(T296&gt;=Assumptions!$B$20,U296="No"),"Watchlist - Unrepresented",IF(T296&gt;=Assumptions!$B$20,"Watchlist",""))))</f>
        <v/>
      </c>
      <c r="X296" s="21" t="str">
        <f aca="false">'Player Data'!V296</f>
        <v>info@sendairovers.jp</v>
      </c>
      <c r="Y296" s="28" t="str">
        <f aca="false">'Player Data'!W296</f>
        <v>Club sporting director / first-team office</v>
      </c>
      <c r="Z296" s="28" t="str">
        <f aca="false">'Player Data'!X296</f>
        <v>JFA (Japan Football Association) player registry</v>
      </c>
      <c r="AA296" s="19" t="str">
        <f aca="false">HYPERLINK("https://www.transfermarkt.com/schnellsuche/ergebnis/schnellsuche?query="&amp;SUBSTITUTE(A296," ","+"),"Search Transfermarkt")</f>
        <v>Search Transfermarkt</v>
      </c>
      <c r="AB296" s="29" t="n">
        <f aca="false">IFERROR('Player Data'!K296/('Player Data'!K296+'Player Data'!L296),0)</f>
        <v>0.489130434782609</v>
      </c>
      <c r="AC296" s="21" t="str">
        <f aca="false">IF(B296="GK",IF(AND(O296&gt;=Assumptions!$B$23,N296&gt;=Assumptions!$B$23),"Sweeper-Keeper / Build-from-the-Back",IF(O296&gt;=Assumptions!$B$23,"Sweeper-Keeper / High Line",IF(M296&gt;=Assumptions!$B$23,"Shot-Stopper / Traditional","Flexible / Multi-System"))),IF(AND(O296&gt;=Assumptions!$B$23,P296&gt;=Assumptions!$B$24),"High Press / Gegenpressing",IF(AND(N296&gt;=Assumptions!$B$23,AB296&gt;=Assumptions!$B$25),"Possession / Build-from-the-Back",IF(N296&gt;=Assumptions!$B$23,"Counter-Attack / Transition",IF(AND(O296&gt;=Assumptions!$B$23,N296&lt;Assumptions!$B$26),"Low Block / Park the Bus",IF(AND(B296="FW",M296&gt;=Assumptions!$B$23,N296&lt;Assumptions!$B$26),"Direct / Target Approach","Flexible / Multi-System"))))))</f>
        <v>Flexible / Multi-System</v>
      </c>
      <c r="AD296" s="21" t="str">
        <f aca="false">'Player Data'!Y296</f>
        <v>2026-07-17</v>
      </c>
      <c r="AE296" s="21" t="str">
        <f aca="false">'Player Data'!Z296</f>
        <v>2026-07-17</v>
      </c>
      <c r="AF296" s="28" t="str">
        <f aca="false">IFERROR(INDEX(Assumptions!$B$30:$B$61,MATCH(C296,Assumptions!$A$30:$A$61,0)),"--")</f>
        <v>Belgium, Australia</v>
      </c>
      <c r="AG296" s="30" t="str">
        <f aca="false">IF(R296&gt;=0.7,"Step-Up Candidate",IF(R296&gt;=0.4,"Lateral Move","Stay &amp; Develop"))</f>
        <v>Stay &amp; Develop</v>
      </c>
    </row>
    <row r="297" customFormat="false" ht="23.85" hidden="false" customHeight="false" outlineLevel="0" collapsed="false">
      <c r="A297" s="21" t="str">
        <f aca="false">'Player Data'!A297</f>
        <v>Kelvin Mwansa</v>
      </c>
      <c r="B297" s="21" t="str">
        <f aca="false">'Player Data'!F297</f>
        <v>MF</v>
      </c>
      <c r="C297" s="21" t="str">
        <f aca="false">'Player Data'!B297</f>
        <v>Zambia</v>
      </c>
      <c r="D297" s="21" t="str">
        <f aca="false">'Player Data'!C297</f>
        <v>Zambia Second Division - East</v>
      </c>
      <c r="E297" s="21" t="n">
        <f aca="false">'Player Data'!D297</f>
        <v>3</v>
      </c>
      <c r="F297" s="21" t="n">
        <f aca="false">'Player Data'!G297</f>
        <v>22</v>
      </c>
      <c r="G297" s="21" t="n">
        <f aca="false">'Player Data'!H297</f>
        <v>1973</v>
      </c>
      <c r="H297" s="22" t="n">
        <f aca="false">IF(B297="GK",IFERROR(('Player Data'!N297-1.5*'Player Data'!O297)/'Player Data'!H297*90,0),IFERROR(('Player Data'!I297+'Player Data'!J297)/'Player Data'!H297*90,0))</f>
        <v>0.593005575266092</v>
      </c>
      <c r="I297" s="22" t="n">
        <f aca="false">IF(B297="GK",'Player Data'!P297,IFERROR(('Player Data'!K297+'Player Data'!L297)/'Player Data'!H297*90,0))</f>
        <v>9.07754688291941</v>
      </c>
      <c r="J297" s="22" t="n">
        <f aca="false">IF(B297="GK",IFERROR('Player Data'!Q297/'Player Data'!H297*90,0),IFERROR('Player Data'!M297/'Player Data'!H297*90,0))</f>
        <v>2.28079067410035</v>
      </c>
      <c r="K297" s="23" t="n">
        <f aca="false">'Player Data'!S297</f>
        <v>0</v>
      </c>
      <c r="L297" s="22" t="n">
        <f aca="false">INDEX(Assumptions!$B$13:$B$15,MATCH(E297,Assumptions!$A$13:$A$15,0))</f>
        <v>0.85</v>
      </c>
      <c r="M297" s="24" t="n">
        <f aca="false">IFERROR(SUMPRODUCT(($B$2:$B$1001=B297)*($H$2:$H$1001&lt;=H297))/SUMPRODUCT(($B$2:$B$1001=B297)*1),0)</f>
        <v>0.306397306397306</v>
      </c>
      <c r="N297" s="24" t="n">
        <f aca="false">IFERROR(SUMPRODUCT(($B$2:$B$1001=B297)*($I$2:$I$1001&lt;=I297))/SUMPRODUCT(($B$2:$B$1001=B297)*1),0)</f>
        <v>0.2996632996633</v>
      </c>
      <c r="O297" s="24" t="n">
        <f aca="false">IFERROR(SUMPRODUCT(($B$2:$B$1001=B297)*($J$2:$J$1001&lt;=J297))/SUMPRODUCT(($B$2:$B$1001=B297)*1),0)</f>
        <v>0.548821548821549</v>
      </c>
      <c r="P297" s="24" t="n">
        <f aca="false">IFERROR(SUMPRODUCT(($B$2:$B$1001=B297)*((0-$F$2:$F$1001)&lt;=(0-F297)))/SUMPRODUCT(($B$2:$B$1001=B297)*1),0)</f>
        <v>0.515151515151515</v>
      </c>
      <c r="Q297" s="25" t="n">
        <f aca="false">(M297*Assumptions!$B$5+N297*Assumptions!$B$6+O297*Assumptions!$B$7+P297*Assumptions!$B$8)*L297</f>
        <v>0.33513468013468</v>
      </c>
      <c r="R297" s="24" t="n">
        <f aca="false">IFERROR(SUMPRODUCT(($B$2:$B$1001=B297)*($Q$2:$Q$1001&lt;=Q297))/SUMPRODUCT(($B$2:$B$1001=B297)*1),0)</f>
        <v>0.306397306397306</v>
      </c>
      <c r="S297" s="24" t="n">
        <f aca="false">IFERROR(SUMPRODUCT(($B$2:$B$1001=B297)*($K$2:$K$1001&lt;=K297))/SUMPRODUCT(($B$2:$B$1001=B297)*1),0)</f>
        <v>0.228956228956229</v>
      </c>
      <c r="T297" s="26" t="n">
        <f aca="false">(R297-S297)*100</f>
        <v>7.74410774410774</v>
      </c>
      <c r="U297" s="21" t="str">
        <f aca="false">'Player Data'!T297</f>
        <v>Unknown</v>
      </c>
      <c r="V297" s="27" t="n">
        <f aca="false">'Player Data'!U297</f>
        <v>2026</v>
      </c>
      <c r="W297" s="21" t="str">
        <f aca="false">IF(AND(T297&gt;=Assumptions!$B$19,U297="No"),"High Priority - Unrepresented",IF(T297&gt;=Assumptions!$B$19,"High Priority",IF(AND(T297&gt;=Assumptions!$B$20,U297="No"),"Watchlist - Unrepresented",IF(T297&gt;=Assumptions!$B$20,"Watchlist",""))))</f>
        <v/>
      </c>
      <c r="X297" s="21" t="str">
        <f aca="false">'Player Data'!V297</f>
        <v>info@kitwetown.zm</v>
      </c>
      <c r="Y297" s="28" t="str">
        <f aca="false">'Player Data'!W297</f>
        <v>Club sporting director / first-team office</v>
      </c>
      <c r="Z297" s="28" t="str">
        <f aca="false">'Player Data'!X297</f>
        <v>FAZ (Football Association of Zambia) player registry</v>
      </c>
      <c r="AA297" s="19" t="str">
        <f aca="false">HYPERLINK("https://www.transfermarkt.com/schnellsuche/ergebnis/schnellsuche?query="&amp;SUBSTITUTE(A297," ","+"),"Search Transfermarkt")</f>
        <v>Search Transfermarkt</v>
      </c>
      <c r="AB297" s="29" t="n">
        <f aca="false">IFERROR('Player Data'!K297/('Player Data'!K297+'Player Data'!L297),0)</f>
        <v>0.587939698492462</v>
      </c>
      <c r="AC297" s="21" t="str">
        <f aca="false">IF(B297="GK",IF(AND(O297&gt;=Assumptions!$B$23,N297&gt;=Assumptions!$B$23),"Sweeper-Keeper / Build-from-the-Back",IF(O297&gt;=Assumptions!$B$23,"Sweeper-Keeper / High Line",IF(M297&gt;=Assumptions!$B$23,"Shot-Stopper / Traditional","Flexible / Multi-System"))),IF(AND(O297&gt;=Assumptions!$B$23,P297&gt;=Assumptions!$B$24),"High Press / Gegenpressing",IF(AND(N297&gt;=Assumptions!$B$23,AB297&gt;=Assumptions!$B$25),"Possession / Build-from-the-Back",IF(N297&gt;=Assumptions!$B$23,"Counter-Attack / Transition",IF(AND(O297&gt;=Assumptions!$B$23,N297&lt;Assumptions!$B$26),"Low Block / Park the Bus",IF(AND(B297="FW",M297&gt;=Assumptions!$B$23,N297&lt;Assumptions!$B$26),"Direct / Target Approach","Flexible / Multi-System"))))))</f>
        <v>Flexible / Multi-System</v>
      </c>
      <c r="AD297" s="21" t="str">
        <f aca="false">'Player Data'!Y297</f>
        <v>2026-07-17</v>
      </c>
      <c r="AE297" s="21" t="str">
        <f aca="false">'Player Data'!Z297</f>
        <v>2026-07-17</v>
      </c>
      <c r="AF297" s="28" t="str">
        <f aca="false">IFERROR(INDEX(Assumptions!$B$30:$B$61,MATCH(C297,Assumptions!$A$30:$A$61,0)),"--")</f>
        <v>Belgium, Portugal</v>
      </c>
      <c r="AG297" s="30" t="str">
        <f aca="false">IF(R297&gt;=0.7,"Step-Up Candidate",IF(R297&gt;=0.4,"Lateral Move","Stay &amp; Develop"))</f>
        <v>Stay &amp; Develop</v>
      </c>
    </row>
    <row r="298" customFormat="false" ht="23.85" hidden="false" customHeight="false" outlineLevel="0" collapsed="false">
      <c r="A298" s="21" t="str">
        <f aca="false">'Player Data'!A298</f>
        <v>Anderson Perez</v>
      </c>
      <c r="B298" s="21" t="str">
        <f aca="false">'Player Data'!F298</f>
        <v>DF</v>
      </c>
      <c r="C298" s="21" t="str">
        <f aca="false">'Player Data'!B298</f>
        <v>Venezuela</v>
      </c>
      <c r="D298" s="21" t="str">
        <f aca="false">'Player Data'!C298</f>
        <v>Venezuela Reserve League</v>
      </c>
      <c r="E298" s="21" t="n">
        <f aca="false">'Player Data'!D298</f>
        <v>2</v>
      </c>
      <c r="F298" s="21" t="n">
        <f aca="false">'Player Data'!G298</f>
        <v>21</v>
      </c>
      <c r="G298" s="21" t="n">
        <f aca="false">'Player Data'!H298</f>
        <v>2190</v>
      </c>
      <c r="H298" s="22" t="n">
        <f aca="false">IF(B298="GK",IFERROR(('Player Data'!N298-1.5*'Player Data'!O298)/'Player Data'!H298*90,0),IFERROR(('Player Data'!I298+'Player Data'!J298)/'Player Data'!H298*90,0))</f>
        <v>0</v>
      </c>
      <c r="I298" s="22" t="n">
        <f aca="false">IF(B298="GK",'Player Data'!P298,IFERROR(('Player Data'!K298+'Player Data'!L298)/'Player Data'!H298*90,0))</f>
        <v>4.76712328767123</v>
      </c>
      <c r="J298" s="22" t="n">
        <f aca="false">IF(B298="GK",IFERROR('Player Data'!Q298/'Player Data'!H298*90,0),IFERROR('Player Data'!M298/'Player Data'!H298*90,0))</f>
        <v>4.80821917808219</v>
      </c>
      <c r="K298" s="23" t="n">
        <f aca="false">'Player Data'!S298</f>
        <v>87608</v>
      </c>
      <c r="L298" s="22" t="n">
        <f aca="false">INDEX(Assumptions!$B$13:$B$15,MATCH(E298,Assumptions!$A$13:$A$15,0))</f>
        <v>1</v>
      </c>
      <c r="M298" s="24" t="n">
        <f aca="false">IFERROR(SUMPRODUCT(($B$2:$B$1001=B298)*($H$2:$H$1001&lt;=H298))/SUMPRODUCT(($B$2:$B$1001=B298)*1),0)</f>
        <v>0.0408163265306122</v>
      </c>
      <c r="N298" s="24" t="n">
        <f aca="false">IFERROR(SUMPRODUCT(($B$2:$B$1001=B298)*($I$2:$I$1001&lt;=I298))/SUMPRODUCT(($B$2:$B$1001=B298)*1),0)</f>
        <v>0.564625850340136</v>
      </c>
      <c r="O298" s="24" t="n">
        <f aca="false">IFERROR(SUMPRODUCT(($B$2:$B$1001=B298)*($J$2:$J$1001&lt;=J298))/SUMPRODUCT(($B$2:$B$1001=B298)*1),0)</f>
        <v>0.428571428571429</v>
      </c>
      <c r="P298" s="24" t="n">
        <f aca="false">IFERROR(SUMPRODUCT(($B$2:$B$1001=B298)*((0-$F$2:$F$1001)&lt;=(0-F298)))/SUMPRODUCT(($B$2:$B$1001=B298)*1),0)</f>
        <v>0.568027210884354</v>
      </c>
      <c r="Q298" s="25" t="n">
        <f aca="false">(M298*Assumptions!$B$5+N298*Assumptions!$B$6+O298*Assumptions!$B$7+P298*Assumptions!$B$8)*L298</f>
        <v>0.407142857142857</v>
      </c>
      <c r="R298" s="24" t="n">
        <f aca="false">IFERROR(SUMPRODUCT(($B$2:$B$1001=B298)*($Q$2:$Q$1001&lt;=Q298))/SUMPRODUCT(($B$2:$B$1001=B298)*1),0)</f>
        <v>0.472789115646259</v>
      </c>
      <c r="S298" s="24" t="n">
        <f aca="false">IFERROR(SUMPRODUCT(($B$2:$B$1001=B298)*($K$2:$K$1001&lt;=K298))/SUMPRODUCT(($B$2:$B$1001=B298)*1),0)</f>
        <v>0.656462585034014</v>
      </c>
      <c r="T298" s="26" t="n">
        <f aca="false">(R298-S298)*100</f>
        <v>-18.3673469387755</v>
      </c>
      <c r="U298" s="21" t="str">
        <f aca="false">'Player Data'!T298</f>
        <v>Yes</v>
      </c>
      <c r="V298" s="27" t="n">
        <f aca="false">'Player Data'!U298</f>
        <v>2026</v>
      </c>
      <c r="W298" s="21" t="str">
        <f aca="false">IF(AND(T298&gt;=Assumptions!$B$19,U298="No"),"High Priority - Unrepresented",IF(T298&gt;=Assumptions!$B$19,"High Priority",IF(AND(T298&gt;=Assumptions!$B$20,U298="No"),"Watchlist - Unrepresented",IF(T298&gt;=Assumptions!$B$20,"Watchlist",""))))</f>
        <v/>
      </c>
      <c r="X298" s="21" t="str">
        <f aca="false">'Player Data'!V298</f>
        <v>info@barquisimetoathletic.ve</v>
      </c>
      <c r="Y298" s="28" t="str">
        <f aca="false">'Player Data'!W298</f>
        <v>Go through the player's agent - ask the club to confirm representation first</v>
      </c>
      <c r="Z298" s="28" t="str">
        <f aca="false">'Player Data'!X298</f>
        <v>FVF (Venezuelan Football Federation) player registry</v>
      </c>
      <c r="AA298" s="19" t="str">
        <f aca="false">HYPERLINK("https://www.transfermarkt.com/schnellsuche/ergebnis/schnellsuche?query="&amp;SUBSTITUTE(A298," ","+"),"Search Transfermarkt")</f>
        <v>Search Transfermarkt</v>
      </c>
      <c r="AB298" s="29" t="n">
        <f aca="false">IFERROR('Player Data'!K298/('Player Data'!K298+'Player Data'!L298),0)</f>
        <v>0.612068965517241</v>
      </c>
      <c r="AC298" s="21" t="str">
        <f aca="false">IF(B298="GK",IF(AND(O298&gt;=Assumptions!$B$23,N298&gt;=Assumptions!$B$23),"Sweeper-Keeper / Build-from-the-Back",IF(O298&gt;=Assumptions!$B$23,"Sweeper-Keeper / High Line",IF(M298&gt;=Assumptions!$B$23,"Shot-Stopper / Traditional","Flexible / Multi-System"))),IF(AND(O298&gt;=Assumptions!$B$23,P298&gt;=Assumptions!$B$24),"High Press / Gegenpressing",IF(AND(N298&gt;=Assumptions!$B$23,AB298&gt;=Assumptions!$B$25),"Possession / Build-from-the-Back",IF(N298&gt;=Assumptions!$B$23,"Counter-Attack / Transition",IF(AND(O298&gt;=Assumptions!$B$23,N298&lt;Assumptions!$B$26),"Low Block / Park the Bus",IF(AND(B298="FW",M298&gt;=Assumptions!$B$23,N298&lt;Assumptions!$B$26),"Direct / Target Approach","Flexible / Multi-System"))))))</f>
        <v>Flexible / Multi-System</v>
      </c>
      <c r="AD298" s="21" t="str">
        <f aca="false">'Player Data'!Y298</f>
        <v>2026-07-17</v>
      </c>
      <c r="AE298" s="21" t="str">
        <f aca="false">'Player Data'!Z298</f>
        <v>2026-07-17</v>
      </c>
      <c r="AF298" s="28" t="str">
        <f aca="false">IFERROR(INDEX(Assumptions!$B$30:$B$61,MATCH(C298,Assumptions!$A$30:$A$61,0)),"--")</f>
        <v>Argentina, Portugal</v>
      </c>
      <c r="AG298" s="30" t="str">
        <f aca="false">IF(R298&gt;=0.7,"Step-Up Candidate",IF(R298&gt;=0.4,"Lateral Move","Stay &amp; Develop"))</f>
        <v>Lateral Move</v>
      </c>
    </row>
    <row r="299" customFormat="false" ht="23.85" hidden="false" customHeight="false" outlineLevel="0" collapsed="false">
      <c r="A299" s="21" t="str">
        <f aca="false">'Player Data'!A299</f>
        <v>Klodian Duro</v>
      </c>
      <c r="B299" s="21" t="str">
        <f aca="false">'Player Data'!F299</f>
        <v>MF</v>
      </c>
      <c r="C299" s="21" t="str">
        <f aca="false">'Player Data'!B299</f>
        <v>Albania</v>
      </c>
      <c r="D299" s="21" t="str">
        <f aca="false">'Player Data'!C299</f>
        <v>Albania Second Division</v>
      </c>
      <c r="E299" s="21" t="n">
        <f aca="false">'Player Data'!D299</f>
        <v>2</v>
      </c>
      <c r="F299" s="21" t="n">
        <f aca="false">'Player Data'!G299</f>
        <v>23</v>
      </c>
      <c r="G299" s="21" t="n">
        <f aca="false">'Player Data'!H299</f>
        <v>2564</v>
      </c>
      <c r="H299" s="22" t="n">
        <f aca="false">IF(B299="GK",IFERROR(('Player Data'!N299-1.5*'Player Data'!O299)/'Player Data'!H299*90,0),IFERROR(('Player Data'!I299+'Player Data'!J299)/'Player Data'!H299*90,0))</f>
        <v>0.702028081123245</v>
      </c>
      <c r="I299" s="22" t="n">
        <f aca="false">IF(B299="GK",'Player Data'!P299,IFERROR(('Player Data'!K299+'Player Data'!L299)/'Player Data'!H299*90,0))</f>
        <v>8.81045241809673</v>
      </c>
      <c r="J299" s="22" t="n">
        <f aca="false">IF(B299="GK",IFERROR('Player Data'!Q299/'Player Data'!H299*90,0),IFERROR('Player Data'!M299/'Player Data'!H299*90,0))</f>
        <v>1.5795631825273</v>
      </c>
      <c r="K299" s="23" t="n">
        <f aca="false">'Player Data'!S299</f>
        <v>133814</v>
      </c>
      <c r="L299" s="22" t="n">
        <f aca="false">INDEX(Assumptions!$B$13:$B$15,MATCH(E299,Assumptions!$A$13:$A$15,0))</f>
        <v>1</v>
      </c>
      <c r="M299" s="24" t="n">
        <f aca="false">IFERROR(SUMPRODUCT(($B$2:$B$1001=B299)*($H$2:$H$1001&lt;=H299))/SUMPRODUCT(($B$2:$B$1001=B299)*1),0)</f>
        <v>0.464646464646465</v>
      </c>
      <c r="N299" s="24" t="n">
        <f aca="false">IFERROR(SUMPRODUCT(($B$2:$B$1001=B299)*($I$2:$I$1001&lt;=I299))/SUMPRODUCT(($B$2:$B$1001=B299)*1),0)</f>
        <v>0.255892255892256</v>
      </c>
      <c r="O299" s="24" t="n">
        <f aca="false">IFERROR(SUMPRODUCT(($B$2:$B$1001=B299)*($J$2:$J$1001&lt;=J299))/SUMPRODUCT(($B$2:$B$1001=B299)*1),0)</f>
        <v>0.212121212121212</v>
      </c>
      <c r="P299" s="24" t="n">
        <f aca="false">IFERROR(SUMPRODUCT(($B$2:$B$1001=B299)*((0-$F$2:$F$1001)&lt;=(0-F299)))/SUMPRODUCT(($B$2:$B$1001=B299)*1),0)</f>
        <v>0.390572390572391</v>
      </c>
      <c r="Q299" s="25" t="n">
        <f aca="false">(M299*Assumptions!$B$5+N299*Assumptions!$B$6+O299*Assumptions!$B$7+P299*Assumptions!$B$8)*L299</f>
        <v>0.326262626262626</v>
      </c>
      <c r="R299" s="24" t="n">
        <f aca="false">IFERROR(SUMPRODUCT(($B$2:$B$1001=B299)*($Q$2:$Q$1001&lt;=Q299))/SUMPRODUCT(($B$2:$B$1001=B299)*1),0)</f>
        <v>0.303030303030303</v>
      </c>
      <c r="S299" s="24" t="n">
        <f aca="false">IFERROR(SUMPRODUCT(($B$2:$B$1001=B299)*($K$2:$K$1001&lt;=K299))/SUMPRODUCT(($B$2:$B$1001=B299)*1),0)</f>
        <v>0.936026936026936</v>
      </c>
      <c r="T299" s="26" t="n">
        <f aca="false">(R299-S299)*100</f>
        <v>-63.2996632996633</v>
      </c>
      <c r="U299" s="21" t="str">
        <f aca="false">'Player Data'!T299</f>
        <v>No</v>
      </c>
      <c r="V299" s="27" t="n">
        <f aca="false">'Player Data'!U299</f>
        <v>2027</v>
      </c>
      <c r="W299" s="21" t="str">
        <f aca="false">IF(AND(T299&gt;=Assumptions!$B$19,U299="No"),"High Priority - Unrepresented",IF(T299&gt;=Assumptions!$B$19,"High Priority",IF(AND(T299&gt;=Assumptions!$B$20,U299="No"),"Watchlist - Unrepresented",IF(T299&gt;=Assumptions!$B$20,"Watchlist",""))))</f>
        <v/>
      </c>
      <c r="X299" s="21" t="str">
        <f aca="false">'Player Data'!V299</f>
        <v>info@tiranacity.al</v>
      </c>
      <c r="Y299" s="28" t="str">
        <f aca="false">'Player Data'!W299</f>
        <v>Club sporting director / first-team office</v>
      </c>
      <c r="Z299" s="28" t="str">
        <f aca="false">'Player Data'!X299</f>
        <v>FSHF (Albanian Football Association) player registry</v>
      </c>
      <c r="AA299" s="19" t="str">
        <f aca="false">HYPERLINK("https://www.transfermarkt.com/schnellsuche/ergebnis/schnellsuche?query="&amp;SUBSTITUTE(A299," ","+"),"Search Transfermarkt")</f>
        <v>Search Transfermarkt</v>
      </c>
      <c r="AB299" s="29" t="n">
        <f aca="false">IFERROR('Player Data'!K299/('Player Data'!K299+'Player Data'!L299),0)</f>
        <v>0.697211155378486</v>
      </c>
      <c r="AC299" s="21" t="str">
        <f aca="false">IF(B299="GK",IF(AND(O299&gt;=Assumptions!$B$23,N299&gt;=Assumptions!$B$23),"Sweeper-Keeper / Build-from-the-Back",IF(O299&gt;=Assumptions!$B$23,"Sweeper-Keeper / High Line",IF(M299&gt;=Assumptions!$B$23,"Shot-Stopper / Traditional","Flexible / Multi-System"))),IF(AND(O299&gt;=Assumptions!$B$23,P299&gt;=Assumptions!$B$24),"High Press / Gegenpressing",IF(AND(N299&gt;=Assumptions!$B$23,AB299&gt;=Assumptions!$B$25),"Possession / Build-from-the-Back",IF(N299&gt;=Assumptions!$B$23,"Counter-Attack / Transition",IF(AND(O299&gt;=Assumptions!$B$23,N299&lt;Assumptions!$B$26),"Low Block / Park the Bus",IF(AND(B299="FW",M299&gt;=Assumptions!$B$23,N299&lt;Assumptions!$B$26),"Direct / Target Approach","Flexible / Multi-System"))))))</f>
        <v>Flexible / Multi-System</v>
      </c>
      <c r="AD299" s="21" t="str">
        <f aca="false">'Player Data'!Y299</f>
        <v>2026-07-17</v>
      </c>
      <c r="AE299" s="21" t="str">
        <f aca="false">'Player Data'!Z299</f>
        <v>2026-07-17</v>
      </c>
      <c r="AF299" s="28" t="str">
        <f aca="false">IFERROR(INDEX(Assumptions!$B$30:$B$61,MATCH(C299,Assumptions!$A$30:$A$61,0)),"--")</f>
        <v>Turkey, Poland</v>
      </c>
      <c r="AG299" s="30" t="str">
        <f aca="false">IF(R299&gt;=0.7,"Step-Up Candidate",IF(R299&gt;=0.4,"Lateral Move","Stay &amp; Develop"))</f>
        <v>Stay &amp; Develop</v>
      </c>
    </row>
    <row r="300" customFormat="false" ht="23.85" hidden="false" customHeight="false" outlineLevel="0" collapsed="false">
      <c r="A300" s="21" t="str">
        <f aca="false">'Player Data'!A300</f>
        <v>Roberts Ozols</v>
      </c>
      <c r="B300" s="21" t="str">
        <f aca="false">'Player Data'!F300</f>
        <v>DF</v>
      </c>
      <c r="C300" s="21" t="str">
        <f aca="false">'Player Data'!B300</f>
        <v>Latvia</v>
      </c>
      <c r="D300" s="21" t="str">
        <f aca="false">'Player Data'!C300</f>
        <v>Latvia Reserve League</v>
      </c>
      <c r="E300" s="21" t="n">
        <f aca="false">'Player Data'!D300</f>
        <v>2</v>
      </c>
      <c r="F300" s="21" t="n">
        <f aca="false">'Player Data'!G300</f>
        <v>19</v>
      </c>
      <c r="G300" s="21" t="n">
        <f aca="false">'Player Data'!H300</f>
        <v>1605</v>
      </c>
      <c r="H300" s="22" t="n">
        <f aca="false">IF(B300="GK",IFERROR(('Player Data'!N300-1.5*'Player Data'!O300)/'Player Data'!H300*90,0),IFERROR(('Player Data'!I300+'Player Data'!J300)/'Player Data'!H300*90,0))</f>
        <v>0.168224299065421</v>
      </c>
      <c r="I300" s="22" t="n">
        <f aca="false">IF(B300="GK",'Player Data'!P300,IFERROR(('Player Data'!K300+'Player Data'!L300)/'Player Data'!H300*90,0))</f>
        <v>4.71028037383178</v>
      </c>
      <c r="J300" s="22" t="n">
        <f aca="false">IF(B300="GK",IFERROR('Player Data'!Q300/'Player Data'!H300*90,0),IFERROR('Player Data'!M300/'Player Data'!H300*90,0))</f>
        <v>7.00934579439252</v>
      </c>
      <c r="K300" s="23" t="n">
        <f aca="false">'Player Data'!S300</f>
        <v>90611</v>
      </c>
      <c r="L300" s="22" t="n">
        <f aca="false">INDEX(Assumptions!$B$13:$B$15,MATCH(E300,Assumptions!$A$13:$A$15,0))</f>
        <v>1</v>
      </c>
      <c r="M300" s="24" t="n">
        <f aca="false">IFERROR(SUMPRODUCT(($B$2:$B$1001=B300)*($H$2:$H$1001&lt;=H300))/SUMPRODUCT(($B$2:$B$1001=B300)*1),0)</f>
        <v>0.425170068027211</v>
      </c>
      <c r="N300" s="24" t="n">
        <f aca="false">IFERROR(SUMPRODUCT(($B$2:$B$1001=B300)*($I$2:$I$1001&lt;=I300))/SUMPRODUCT(($B$2:$B$1001=B300)*1),0)</f>
        <v>0.557823129251701</v>
      </c>
      <c r="O300" s="24" t="n">
        <f aca="false">IFERROR(SUMPRODUCT(($B$2:$B$1001=B300)*($J$2:$J$1001&lt;=J300))/SUMPRODUCT(($B$2:$B$1001=B300)*1),0)</f>
        <v>0.744897959183674</v>
      </c>
      <c r="P300" s="24" t="n">
        <f aca="false">IFERROR(SUMPRODUCT(($B$2:$B$1001=B300)*((0-$F$2:$F$1001)&lt;=(0-F300)))/SUMPRODUCT(($B$2:$B$1001=B300)*1),0)</f>
        <v>0.738095238095238</v>
      </c>
      <c r="Q300" s="25" t="n">
        <f aca="false">(M300*Assumptions!$B$5+N300*Assumptions!$B$6+O300*Assumptions!$B$7+P300*Assumptions!$B$8)*L300</f>
        <v>0.59812925170068</v>
      </c>
      <c r="R300" s="24" t="n">
        <f aca="false">IFERROR(SUMPRODUCT(($B$2:$B$1001=B300)*($Q$2:$Q$1001&lt;=Q300))/SUMPRODUCT(($B$2:$B$1001=B300)*1),0)</f>
        <v>0.761904761904762</v>
      </c>
      <c r="S300" s="24" t="n">
        <f aca="false">IFERROR(SUMPRODUCT(($B$2:$B$1001=B300)*($K$2:$K$1001&lt;=K300))/SUMPRODUCT(($B$2:$B$1001=B300)*1),0)</f>
        <v>0.683673469387755</v>
      </c>
      <c r="T300" s="26" t="n">
        <f aca="false">(R300-S300)*100</f>
        <v>7.82312925170068</v>
      </c>
      <c r="U300" s="21" t="str">
        <f aca="false">'Player Data'!T300</f>
        <v>Yes</v>
      </c>
      <c r="V300" s="27" t="n">
        <f aca="false">'Player Data'!U300</f>
        <v>2027</v>
      </c>
      <c r="W300" s="21" t="str">
        <f aca="false">IF(AND(T300&gt;=Assumptions!$B$19,U300="No"),"High Priority - Unrepresented",IF(T300&gt;=Assumptions!$B$19,"High Priority",IF(AND(T300&gt;=Assumptions!$B$20,U300="No"),"Watchlist - Unrepresented",IF(T300&gt;=Assumptions!$B$20,"Watchlist",""))))</f>
        <v/>
      </c>
      <c r="X300" s="21" t="str">
        <f aca="false">'Player Data'!V300</f>
        <v>info@daugavpilssc.lv</v>
      </c>
      <c r="Y300" s="28" t="str">
        <f aca="false">'Player Data'!W300</f>
        <v>Go through the player's agent - ask the club to confirm representation first</v>
      </c>
      <c r="Z300" s="28" t="str">
        <f aca="false">'Player Data'!X300</f>
        <v>LFF (Latvian Football Federation) player registry</v>
      </c>
      <c r="AA300" s="19" t="str">
        <f aca="false">HYPERLINK("https://www.transfermarkt.com/schnellsuche/ergebnis/schnellsuche?query="&amp;SUBSTITUTE(A300," ","+"),"Search Transfermarkt")</f>
        <v>Search Transfermarkt</v>
      </c>
      <c r="AB300" s="29" t="n">
        <f aca="false">IFERROR('Player Data'!K300/('Player Data'!K300+'Player Data'!L300),0)</f>
        <v>0.476190476190476</v>
      </c>
      <c r="AC300" s="21" t="str">
        <f aca="false">IF(B300="GK",IF(AND(O300&gt;=Assumptions!$B$23,N300&gt;=Assumptions!$B$23),"Sweeper-Keeper / Build-from-the-Back",IF(O300&gt;=Assumptions!$B$23,"Sweeper-Keeper / High Line",IF(M300&gt;=Assumptions!$B$23,"Shot-Stopper / Traditional","Flexible / Multi-System"))),IF(AND(O300&gt;=Assumptions!$B$23,P300&gt;=Assumptions!$B$24),"High Press / Gegenpressing",IF(AND(N300&gt;=Assumptions!$B$23,AB300&gt;=Assumptions!$B$25),"Possession / Build-from-the-Back",IF(N300&gt;=Assumptions!$B$23,"Counter-Attack / Transition",IF(AND(O300&gt;=Assumptions!$B$23,N300&lt;Assumptions!$B$26),"Low Block / Park the Bus",IF(AND(B300="FW",M300&gt;=Assumptions!$B$23,N300&lt;Assumptions!$B$26),"Direct / Target Approach","Flexible / Multi-System"))))))</f>
        <v>High Press / Gegenpressing</v>
      </c>
      <c r="AD300" s="21" t="str">
        <f aca="false">'Player Data'!Y300</f>
        <v>2026-07-17</v>
      </c>
      <c r="AE300" s="21" t="str">
        <f aca="false">'Player Data'!Z300</f>
        <v>2026-07-17</v>
      </c>
      <c r="AF300" s="28" t="str">
        <f aca="false">IFERROR(INDEX(Assumptions!$B$30:$B$61,MATCH(C300,Assumptions!$A$30:$A$61,0)),"--")</f>
        <v>Poland, Norway</v>
      </c>
      <c r="AG300" s="30" t="str">
        <f aca="false">IF(R300&gt;=0.7,"Step-Up Candidate",IF(R300&gt;=0.4,"Lateral Move","Stay &amp; Develop"))</f>
        <v>Step-Up Candidate</v>
      </c>
    </row>
    <row r="301" customFormat="false" ht="23.85" hidden="false" customHeight="false" outlineLevel="0" collapsed="false">
      <c r="A301" s="21" t="str">
        <f aca="false">'Player Data'!A301</f>
        <v>Gentian Krasniqi</v>
      </c>
      <c r="B301" s="21" t="str">
        <f aca="false">'Player Data'!F301</f>
        <v>GK</v>
      </c>
      <c r="C301" s="21" t="str">
        <f aca="false">'Player Data'!B301</f>
        <v>Albania</v>
      </c>
      <c r="D301" s="21" t="str">
        <f aca="false">'Player Data'!C301</f>
        <v>Albania Third Tier - North</v>
      </c>
      <c r="E301" s="21" t="n">
        <f aca="false">'Player Data'!D301</f>
        <v>2</v>
      </c>
      <c r="F301" s="21" t="n">
        <f aca="false">'Player Data'!G301</f>
        <v>18</v>
      </c>
      <c r="G301" s="21" t="n">
        <f aca="false">'Player Data'!H301</f>
        <v>814</v>
      </c>
      <c r="H301" s="22" t="n">
        <f aca="false">IF(B301="GK",IFERROR(('Player Data'!N301-1.5*'Player Data'!O301)/'Player Data'!H301*90,0),IFERROR(('Player Data'!I301+'Player Data'!J301)/'Player Data'!H301*90,0))</f>
        <v>0.829238329238329</v>
      </c>
      <c r="I301" s="22" t="n">
        <f aca="false">IF(B301="GK",'Player Data'!P301,IFERROR(('Player Data'!K301+'Player Data'!L301)/'Player Data'!H301*90,0))</f>
        <v>63.2</v>
      </c>
      <c r="J301" s="22" t="n">
        <f aca="false">IF(B301="GK",IFERROR('Player Data'!Q301/'Player Data'!H301*90,0),IFERROR('Player Data'!M301/'Player Data'!H301*90,0))</f>
        <v>0.829238329238329</v>
      </c>
      <c r="K301" s="23" t="n">
        <f aca="false">'Player Data'!S301</f>
        <v>114793</v>
      </c>
      <c r="L301" s="22" t="n">
        <f aca="false">INDEX(Assumptions!$B$13:$B$15,MATCH(E301,Assumptions!$A$13:$A$15,0))</f>
        <v>1</v>
      </c>
      <c r="M301" s="24" t="n">
        <f aca="false">IFERROR(SUMPRODUCT(($B$2:$B$1001=B301)*($H$2:$H$1001&lt;=H301))/SUMPRODUCT(($B$2:$B$1001=B301)*1),0)</f>
        <v>0.349726775956284</v>
      </c>
      <c r="N301" s="24" t="n">
        <f aca="false">IFERROR(SUMPRODUCT(($B$2:$B$1001=B301)*($I$2:$I$1001&lt;=I301))/SUMPRODUCT(($B$2:$B$1001=B301)*1),0)</f>
        <v>0.262295081967213</v>
      </c>
      <c r="O301" s="24" t="n">
        <f aca="false">IFERROR(SUMPRODUCT(($B$2:$B$1001=B301)*($J$2:$J$1001&lt;=J301))/SUMPRODUCT(($B$2:$B$1001=B301)*1),0)</f>
        <v>0.480874316939891</v>
      </c>
      <c r="P301" s="24" t="n">
        <f aca="false">IFERROR(SUMPRODUCT(($B$2:$B$1001=B301)*((0-$F$2:$F$1001)&lt;=(0-F301)))/SUMPRODUCT(($B$2:$B$1001=B301)*1),0)</f>
        <v>0.907103825136612</v>
      </c>
      <c r="Q301" s="25" t="n">
        <f aca="false">(M301*Assumptions!$B$5+N301*Assumptions!$B$6+O301*Assumptions!$B$7+P301*Assumptions!$B$8)*L301</f>
        <v>0.456830601092896</v>
      </c>
      <c r="R301" s="24" t="n">
        <f aca="false">IFERROR(SUMPRODUCT(($B$2:$B$1001=B301)*($Q$2:$Q$1001&lt;=Q301))/SUMPRODUCT(($B$2:$B$1001=B301)*1),0)</f>
        <v>0.486338797814208</v>
      </c>
      <c r="S301" s="24" t="n">
        <f aca="false">IFERROR(SUMPRODUCT(($B$2:$B$1001=B301)*($K$2:$K$1001&lt;=K301))/SUMPRODUCT(($B$2:$B$1001=B301)*1),0)</f>
        <v>0.781420765027322</v>
      </c>
      <c r="T301" s="26" t="n">
        <f aca="false">(R301-S301)*100</f>
        <v>-29.5081967213115</v>
      </c>
      <c r="U301" s="21" t="str">
        <f aca="false">'Player Data'!T301</f>
        <v>No</v>
      </c>
      <c r="V301" s="27" t="n">
        <f aca="false">'Player Data'!U301</f>
        <v>2027</v>
      </c>
      <c r="W301" s="21" t="str">
        <f aca="false">IF(AND(T301&gt;=Assumptions!$B$19,U301="No"),"High Priority - Unrepresented",IF(T301&gt;=Assumptions!$B$19,"High Priority",IF(AND(T301&gt;=Assumptions!$B$20,U301="No"),"Watchlist - Unrepresented",IF(T301&gt;=Assumptions!$B$20,"Watchlist",""))))</f>
        <v/>
      </c>
      <c r="X301" s="21" t="str">
        <f aca="false">'Player Data'!V301</f>
        <v>info@tiranaathletic.al</v>
      </c>
      <c r="Y301" s="28" t="str">
        <f aca="false">'Player Data'!W301</f>
        <v>Club sporting director / first-team office</v>
      </c>
      <c r="Z301" s="28" t="str">
        <f aca="false">'Player Data'!X301</f>
        <v>FSHF (Albanian Football Association) player registry</v>
      </c>
      <c r="AA301" s="19" t="str">
        <f aca="false">HYPERLINK("https://www.transfermarkt.com/schnellsuche/ergebnis/schnellsuche?query="&amp;SUBSTITUTE(A301," ","+"),"Search Transfermarkt")</f>
        <v>Search Transfermarkt</v>
      </c>
      <c r="AB301" s="29" t="n">
        <f aca="false">IFERROR('Player Data'!K301/('Player Data'!K301+'Player Data'!L301),0)</f>
        <v>0.733333333333333</v>
      </c>
      <c r="AC301" s="21" t="str">
        <f aca="false">IF(B301="GK",IF(AND(O301&gt;=Assumptions!$B$23,N301&gt;=Assumptions!$B$23),"Sweeper-Keeper / Build-from-the-Back",IF(O301&gt;=Assumptions!$B$23,"Sweeper-Keeper / High Line",IF(M301&gt;=Assumptions!$B$23,"Shot-Stopper / Traditional","Flexible / Multi-System"))),IF(AND(O301&gt;=Assumptions!$B$23,P301&gt;=Assumptions!$B$24),"High Press / Gegenpressing",IF(AND(N301&gt;=Assumptions!$B$23,AB301&gt;=Assumptions!$B$25),"Possession / Build-from-the-Back",IF(N301&gt;=Assumptions!$B$23,"Counter-Attack / Transition",IF(AND(O301&gt;=Assumptions!$B$23,N301&lt;Assumptions!$B$26),"Low Block / Park the Bus",IF(AND(B301="FW",M301&gt;=Assumptions!$B$23,N301&lt;Assumptions!$B$26),"Direct / Target Approach","Flexible / Multi-System"))))))</f>
        <v>Flexible / Multi-System</v>
      </c>
      <c r="AD301" s="21" t="str">
        <f aca="false">'Player Data'!Y301</f>
        <v>2026-07-17</v>
      </c>
      <c r="AE301" s="21" t="str">
        <f aca="false">'Player Data'!Z301</f>
        <v>2026-07-17</v>
      </c>
      <c r="AF301" s="28" t="str">
        <f aca="false">IFERROR(INDEX(Assumptions!$B$30:$B$61,MATCH(C301,Assumptions!$A$30:$A$61,0)),"--")</f>
        <v>Turkey, Poland</v>
      </c>
      <c r="AG301" s="30" t="str">
        <f aca="false">IF(R301&gt;=0.7,"Step-Up Candidate",IF(R301&gt;=0.4,"Lateral Move","Stay &amp; Develop"))</f>
        <v>Lateral Move</v>
      </c>
    </row>
    <row r="302" customFormat="false" ht="23.85" hidden="false" customHeight="false" outlineLevel="0" collapsed="false">
      <c r="A302" s="21" t="str">
        <f aca="false">'Player Data'!A302</f>
        <v>Luis Ramirez</v>
      </c>
      <c r="B302" s="21" t="str">
        <f aca="false">'Player Data'!F302</f>
        <v>FW</v>
      </c>
      <c r="C302" s="21" t="str">
        <f aca="false">'Player Data'!B302</f>
        <v>Costa Rica</v>
      </c>
      <c r="D302" s="21" t="str">
        <f aca="false">'Player Data'!C302</f>
        <v>Costa Rica Regional League</v>
      </c>
      <c r="E302" s="21" t="n">
        <f aca="false">'Player Data'!D302</f>
        <v>3</v>
      </c>
      <c r="F302" s="21" t="n">
        <f aca="false">'Player Data'!G302</f>
        <v>23</v>
      </c>
      <c r="G302" s="21" t="n">
        <f aca="false">'Player Data'!H302</f>
        <v>1047</v>
      </c>
      <c r="H302" s="22" t="n">
        <f aca="false">IF(B302="GK",IFERROR(('Player Data'!N302-1.5*'Player Data'!O302)/'Player Data'!H302*90,0),IFERROR(('Player Data'!I302+'Player Data'!J302)/'Player Data'!H302*90,0))</f>
        <v>2.40687679083095</v>
      </c>
      <c r="I302" s="22" t="n">
        <f aca="false">IF(B302="GK",'Player Data'!P302,IFERROR(('Player Data'!K302+'Player Data'!L302)/'Player Data'!H302*90,0))</f>
        <v>9.97134670487106</v>
      </c>
      <c r="J302" s="22" t="n">
        <f aca="false">IF(B302="GK",IFERROR('Player Data'!Q302/'Player Data'!H302*90,0),IFERROR('Player Data'!M302/'Player Data'!H302*90,0))</f>
        <v>1.11747851002865</v>
      </c>
      <c r="K302" s="23" t="n">
        <f aca="false">'Player Data'!S302</f>
        <v>66381</v>
      </c>
      <c r="L302" s="22" t="n">
        <f aca="false">INDEX(Assumptions!$B$13:$B$15,MATCH(E302,Assumptions!$A$13:$A$15,0))</f>
        <v>0.85</v>
      </c>
      <c r="M302" s="24" t="n">
        <f aca="false">IFERROR(SUMPRODUCT(($B$2:$B$1001=B302)*($H$2:$H$1001&lt;=H302))/SUMPRODUCT(($B$2:$B$1001=B302)*1),0)</f>
        <v>0.986725663716814</v>
      </c>
      <c r="N302" s="24" t="n">
        <f aca="false">IFERROR(SUMPRODUCT(($B$2:$B$1001=B302)*($I$2:$I$1001&lt;=I302))/SUMPRODUCT(($B$2:$B$1001=B302)*1),0)</f>
        <v>0.836283185840708</v>
      </c>
      <c r="O302" s="24" t="n">
        <f aca="false">IFERROR(SUMPRODUCT(($B$2:$B$1001=B302)*($J$2:$J$1001&lt;=J302))/SUMPRODUCT(($B$2:$B$1001=B302)*1),0)</f>
        <v>0.938053097345133</v>
      </c>
      <c r="P302" s="24" t="n">
        <f aca="false">IFERROR(SUMPRODUCT(($B$2:$B$1001=B302)*((0-$F$2:$F$1001)&lt;=(0-F302)))/SUMPRODUCT(($B$2:$B$1001=B302)*1),0)</f>
        <v>0.389380530973451</v>
      </c>
      <c r="Q302" s="25" t="n">
        <f aca="false">(M302*Assumptions!$B$5+N302*Assumptions!$B$6+O302*Assumptions!$B$7+P302*Assumptions!$B$8)*L302</f>
        <v>0.684137168141593</v>
      </c>
      <c r="R302" s="24" t="n">
        <f aca="false">IFERROR(SUMPRODUCT(($B$2:$B$1001=B302)*($Q$2:$Q$1001&lt;=Q302))/SUMPRODUCT(($B$2:$B$1001=B302)*1),0)</f>
        <v>0.86283185840708</v>
      </c>
      <c r="S302" s="24" t="n">
        <f aca="false">IFERROR(SUMPRODUCT(($B$2:$B$1001=B302)*($K$2:$K$1001&lt;=K302))/SUMPRODUCT(($B$2:$B$1001=B302)*1),0)</f>
        <v>0.535398230088496</v>
      </c>
      <c r="T302" s="26" t="n">
        <f aca="false">(R302-S302)*100</f>
        <v>32.7433628318584</v>
      </c>
      <c r="U302" s="21" t="str">
        <f aca="false">'Player Data'!T302</f>
        <v>Unknown</v>
      </c>
      <c r="V302" s="27" t="n">
        <f aca="false">'Player Data'!U302</f>
        <v>2028</v>
      </c>
      <c r="W302" s="21" t="str">
        <f aca="false">IF(AND(T302&gt;=Assumptions!$B$19,U302="No"),"High Priority - Unrepresented",IF(T302&gt;=Assumptions!$B$19,"High Priority",IF(AND(T302&gt;=Assumptions!$B$20,U302="No"),"Watchlist - Unrepresented",IF(T302&gt;=Assumptions!$B$20,"Watchlist",""))))</f>
        <v>Watchlist</v>
      </c>
      <c r="X302" s="21" t="str">
        <f aca="false">'Player Data'!V302</f>
        <v>info@herediatown.cr</v>
      </c>
      <c r="Y302" s="28" t="str">
        <f aca="false">'Player Data'!W302</f>
        <v>Club sporting director / first-team office</v>
      </c>
      <c r="Z302" s="28" t="str">
        <f aca="false">'Player Data'!X302</f>
        <v>FEDEFUTBOL (Costa Rican Football Federation) player registry</v>
      </c>
      <c r="AA302" s="19" t="str">
        <f aca="false">HYPERLINK("https://www.transfermarkt.com/schnellsuche/ergebnis/schnellsuche?query="&amp;SUBSTITUTE(A302," ","+"),"Search Transfermarkt")</f>
        <v>Search Transfermarkt</v>
      </c>
      <c r="AB302" s="29" t="n">
        <f aca="false">IFERROR('Player Data'!K302/('Player Data'!K302+'Player Data'!L302),0)</f>
        <v>0.448275862068966</v>
      </c>
      <c r="AC302" s="21" t="str">
        <f aca="false">IF(B302="GK",IF(AND(O302&gt;=Assumptions!$B$23,N302&gt;=Assumptions!$B$23),"Sweeper-Keeper / Build-from-the-Back",IF(O302&gt;=Assumptions!$B$23,"Sweeper-Keeper / High Line",IF(M302&gt;=Assumptions!$B$23,"Shot-Stopper / Traditional","Flexible / Multi-System"))),IF(AND(O302&gt;=Assumptions!$B$23,P302&gt;=Assumptions!$B$24),"High Press / Gegenpressing",IF(AND(N302&gt;=Assumptions!$B$23,AB302&gt;=Assumptions!$B$25),"Possession / Build-from-the-Back",IF(N302&gt;=Assumptions!$B$23,"Counter-Attack / Transition",IF(AND(O302&gt;=Assumptions!$B$23,N302&lt;Assumptions!$B$26),"Low Block / Park the Bus",IF(AND(B302="FW",M302&gt;=Assumptions!$B$23,N302&lt;Assumptions!$B$26),"Direct / Target Approach","Flexible / Multi-System"))))))</f>
        <v>Counter-Attack / Transition</v>
      </c>
      <c r="AD302" s="21" t="str">
        <f aca="false">'Player Data'!Y302</f>
        <v>2026-07-17</v>
      </c>
      <c r="AE302" s="21" t="str">
        <f aca="false">'Player Data'!Z302</f>
        <v>2026-07-17</v>
      </c>
      <c r="AF302" s="28" t="str">
        <f aca="false">IFERROR(INDEX(Assumptions!$B$30:$B$61,MATCH(C302,Assumptions!$A$30:$A$61,0)),"--")</f>
        <v>Mexico, United States</v>
      </c>
      <c r="AG302" s="30" t="str">
        <f aca="false">IF(R302&gt;=0.7,"Step-Up Candidate",IF(R302&gt;=0.4,"Lateral Move","Stay &amp; Develop"))</f>
        <v>Step-Up Candidate</v>
      </c>
    </row>
    <row r="303" customFormat="false" ht="23.85" hidden="false" customHeight="false" outlineLevel="0" collapsed="false">
      <c r="A303" s="21" t="str">
        <f aca="false">'Player Data'!A303</f>
        <v>Nika Gelashvili</v>
      </c>
      <c r="B303" s="21" t="str">
        <f aca="false">'Player Data'!F303</f>
        <v>MF</v>
      </c>
      <c r="C303" s="21" t="str">
        <f aca="false">'Player Data'!B303</f>
        <v>Georgia</v>
      </c>
      <c r="D303" s="21" t="str">
        <f aca="false">'Player Data'!C303</f>
        <v>Georgia Provincial League</v>
      </c>
      <c r="E303" s="21" t="n">
        <f aca="false">'Player Data'!D303</f>
        <v>3</v>
      </c>
      <c r="F303" s="21" t="n">
        <f aca="false">'Player Data'!G303</f>
        <v>22</v>
      </c>
      <c r="G303" s="21" t="n">
        <f aca="false">'Player Data'!H303</f>
        <v>926</v>
      </c>
      <c r="H303" s="22" t="n">
        <f aca="false">IF(B303="GK",IFERROR(('Player Data'!N303-1.5*'Player Data'!O303)/'Player Data'!H303*90,0),IFERROR(('Player Data'!I303+'Player Data'!J303)/'Player Data'!H303*90,0))</f>
        <v>1.65226781857451</v>
      </c>
      <c r="I303" s="22" t="n">
        <f aca="false">IF(B303="GK",'Player Data'!P303,IFERROR(('Player Data'!K303+'Player Data'!L303)/'Player Data'!H303*90,0))</f>
        <v>23.1317494600432</v>
      </c>
      <c r="J303" s="22" t="n">
        <f aca="false">IF(B303="GK",IFERROR('Player Data'!Q303/'Player Data'!H303*90,0),IFERROR('Player Data'!M303/'Player Data'!H303*90,0))</f>
        <v>5.24838012958963</v>
      </c>
      <c r="K303" s="23" t="n">
        <f aca="false">'Player Data'!S303</f>
        <v>117653</v>
      </c>
      <c r="L303" s="22" t="n">
        <f aca="false">INDEX(Assumptions!$B$13:$B$15,MATCH(E303,Assumptions!$A$13:$A$15,0))</f>
        <v>0.85</v>
      </c>
      <c r="M303" s="24" t="n">
        <f aca="false">IFERROR(SUMPRODUCT(($B$2:$B$1001=B303)*($H$2:$H$1001&lt;=H303))/SUMPRODUCT(($B$2:$B$1001=B303)*1),0)</f>
        <v>0.966329966329966</v>
      </c>
      <c r="N303" s="24" t="n">
        <f aca="false">IFERROR(SUMPRODUCT(($B$2:$B$1001=B303)*($I$2:$I$1001&lt;=I303))/SUMPRODUCT(($B$2:$B$1001=B303)*1),0)</f>
        <v>0.95959595959596</v>
      </c>
      <c r="O303" s="24" t="n">
        <f aca="false">IFERROR(SUMPRODUCT(($B$2:$B$1001=B303)*($J$2:$J$1001&lt;=J303))/SUMPRODUCT(($B$2:$B$1001=B303)*1),0)</f>
        <v>0.996632996632997</v>
      </c>
      <c r="P303" s="24" t="n">
        <f aca="false">IFERROR(SUMPRODUCT(($B$2:$B$1001=B303)*((0-$F$2:$F$1001)&lt;=(0-F303)))/SUMPRODUCT(($B$2:$B$1001=B303)*1),0)</f>
        <v>0.515151515151515</v>
      </c>
      <c r="Q303" s="25" t="n">
        <f aca="false">(M303*Assumptions!$B$5+N303*Assumptions!$B$6+O303*Assumptions!$B$7+P303*Assumptions!$B$8)*L303</f>
        <v>0.747828282828283</v>
      </c>
      <c r="R303" s="24" t="n">
        <f aca="false">IFERROR(SUMPRODUCT(($B$2:$B$1001=B303)*($Q$2:$Q$1001&lt;=Q303))/SUMPRODUCT(($B$2:$B$1001=B303)*1),0)</f>
        <v>0.902356902356902</v>
      </c>
      <c r="S303" s="24" t="n">
        <f aca="false">IFERROR(SUMPRODUCT(($B$2:$B$1001=B303)*($K$2:$K$1001&lt;=K303))/SUMPRODUCT(($B$2:$B$1001=B303)*1),0)</f>
        <v>0.835016835016835</v>
      </c>
      <c r="T303" s="26" t="n">
        <f aca="false">(R303-S303)*100</f>
        <v>6.73400673400674</v>
      </c>
      <c r="U303" s="21" t="str">
        <f aca="false">'Player Data'!T303</f>
        <v>Unknown</v>
      </c>
      <c r="V303" s="27" t="n">
        <f aca="false">'Player Data'!U303</f>
        <v>2028</v>
      </c>
      <c r="W303" s="21" t="str">
        <f aca="false">IF(AND(T303&gt;=Assumptions!$B$19,U303="No"),"High Priority - Unrepresented",IF(T303&gt;=Assumptions!$B$19,"High Priority",IF(AND(T303&gt;=Assumptions!$B$20,U303="No"),"Watchlist - Unrepresented",IF(T303&gt;=Assumptions!$B$20,"Watchlist",""))))</f>
        <v/>
      </c>
      <c r="X303" s="21" t="str">
        <f aca="false">'Player Data'!V303</f>
        <v>info@batumirovers.ge</v>
      </c>
      <c r="Y303" s="28" t="str">
        <f aca="false">'Player Data'!W303</f>
        <v>Club sporting director / first-team office</v>
      </c>
      <c r="Z303" s="28" t="str">
        <f aca="false">'Player Data'!X303</f>
        <v>GFF (Georgian Football Federation) player registry</v>
      </c>
      <c r="AA303" s="19" t="str">
        <f aca="false">HYPERLINK("https://www.transfermarkt.com/schnellsuche/ergebnis/schnellsuche?query="&amp;SUBSTITUTE(A303," ","+"),"Search Transfermarkt")</f>
        <v>Search Transfermarkt</v>
      </c>
      <c r="AB303" s="29" t="n">
        <f aca="false">IFERROR('Player Data'!K303/('Player Data'!K303+'Player Data'!L303),0)</f>
        <v>0.617647058823529</v>
      </c>
      <c r="AC303" s="21" t="str">
        <f aca="false">IF(B303="GK",IF(AND(O303&gt;=Assumptions!$B$23,N303&gt;=Assumptions!$B$23),"Sweeper-Keeper / Build-from-the-Back",IF(O303&gt;=Assumptions!$B$23,"Sweeper-Keeper / High Line",IF(M303&gt;=Assumptions!$B$23,"Shot-Stopper / Traditional","Flexible / Multi-System"))),IF(AND(O303&gt;=Assumptions!$B$23,P303&gt;=Assumptions!$B$24),"High Press / Gegenpressing",IF(AND(N303&gt;=Assumptions!$B$23,AB303&gt;=Assumptions!$B$25),"Possession / Build-from-the-Back",IF(N303&gt;=Assumptions!$B$23,"Counter-Attack / Transition",IF(AND(O303&gt;=Assumptions!$B$23,N303&lt;Assumptions!$B$26),"Low Block / Park the Bus",IF(AND(B303="FW",M303&gt;=Assumptions!$B$23,N303&lt;Assumptions!$B$26),"Direct / Target Approach","Flexible / Multi-System"))))))</f>
        <v>Counter-Attack / Transition</v>
      </c>
      <c r="AD303" s="21" t="str">
        <f aca="false">'Player Data'!Y303</f>
        <v>2026-07-17</v>
      </c>
      <c r="AE303" s="21" t="str">
        <f aca="false">'Player Data'!Z303</f>
        <v>2026-07-17</v>
      </c>
      <c r="AF303" s="28" t="str">
        <f aca="false">IFERROR(INDEX(Assumptions!$B$30:$B$61,MATCH(C303,Assumptions!$A$30:$A$61,0)),"--")</f>
        <v>Turkey, Poland</v>
      </c>
      <c r="AG303" s="30" t="str">
        <f aca="false">IF(R303&gt;=0.7,"Step-Up Candidate",IF(R303&gt;=0.4,"Lateral Move","Stay &amp; Develop"))</f>
        <v>Step-Up Candidate</v>
      </c>
    </row>
    <row r="304" customFormat="false" ht="23.85" hidden="false" customHeight="false" outlineLevel="0" collapsed="false">
      <c r="A304" s="21" t="str">
        <f aca="false">'Player Data'!A304</f>
        <v>Darko Angelovski</v>
      </c>
      <c r="B304" s="21" t="str">
        <f aca="false">'Player Data'!F304</f>
        <v>FW</v>
      </c>
      <c r="C304" s="21" t="str">
        <f aca="false">'Player Data'!B304</f>
        <v>North Macedonia</v>
      </c>
      <c r="D304" s="21" t="str">
        <f aca="false">'Player Data'!C304</f>
        <v>North Macedonia Reserve League</v>
      </c>
      <c r="E304" s="21" t="n">
        <f aca="false">'Player Data'!D304</f>
        <v>3</v>
      </c>
      <c r="F304" s="21" t="n">
        <f aca="false">'Player Data'!G304</f>
        <v>21</v>
      </c>
      <c r="G304" s="21" t="n">
        <f aca="false">'Player Data'!H304</f>
        <v>1979</v>
      </c>
      <c r="H304" s="22" t="n">
        <f aca="false">IF(B304="GK",IFERROR(('Player Data'!N304-1.5*'Player Data'!O304)/'Player Data'!H304*90,0),IFERROR(('Player Data'!I304+'Player Data'!J304)/'Player Data'!H304*90,0))</f>
        <v>1.2733703890854</v>
      </c>
      <c r="I304" s="22" t="n">
        <f aca="false">IF(B304="GK",'Player Data'!P304,IFERROR(('Player Data'!K304+'Player Data'!L304)/'Player Data'!H304*90,0))</f>
        <v>6.18494188984336</v>
      </c>
      <c r="J304" s="22" t="n">
        <f aca="false">IF(B304="GK",IFERROR('Player Data'!Q304/'Player Data'!H304*90,0),IFERROR('Player Data'!M304/'Player Data'!H304*90,0))</f>
        <v>0.272865083375442</v>
      </c>
      <c r="K304" s="23" t="n">
        <f aca="false">'Player Data'!S304</f>
        <v>32765</v>
      </c>
      <c r="L304" s="22" t="n">
        <f aca="false">INDEX(Assumptions!$B$13:$B$15,MATCH(E304,Assumptions!$A$13:$A$15,0))</f>
        <v>0.85</v>
      </c>
      <c r="M304" s="24" t="n">
        <f aca="false">IFERROR(SUMPRODUCT(($B$2:$B$1001=B304)*($H$2:$H$1001&lt;=H304))/SUMPRODUCT(($B$2:$B$1001=B304)*1),0)</f>
        <v>0.734513274336283</v>
      </c>
      <c r="N304" s="24" t="n">
        <f aca="false">IFERROR(SUMPRODUCT(($B$2:$B$1001=B304)*($I$2:$I$1001&lt;=I304))/SUMPRODUCT(($B$2:$B$1001=B304)*1),0)</f>
        <v>0.451327433628319</v>
      </c>
      <c r="O304" s="24" t="n">
        <f aca="false">IFERROR(SUMPRODUCT(($B$2:$B$1001=B304)*($J$2:$J$1001&lt;=J304))/SUMPRODUCT(($B$2:$B$1001=B304)*1),0)</f>
        <v>0.128318584070796</v>
      </c>
      <c r="P304" s="24" t="n">
        <f aca="false">IFERROR(SUMPRODUCT(($B$2:$B$1001=B304)*((0-$F$2:$F$1001)&lt;=(0-F304)))/SUMPRODUCT(($B$2:$B$1001=B304)*1),0)</f>
        <v>0.579646017699115</v>
      </c>
      <c r="Q304" s="25" t="n">
        <f aca="false">(M304*Assumptions!$B$5+N304*Assumptions!$B$6+O304*Assumptions!$B$7+P304*Assumptions!$B$8)*L304</f>
        <v>0.41070796460177</v>
      </c>
      <c r="R304" s="24" t="n">
        <f aca="false">IFERROR(SUMPRODUCT(($B$2:$B$1001=B304)*($Q$2:$Q$1001&lt;=Q304))/SUMPRODUCT(($B$2:$B$1001=B304)*1),0)</f>
        <v>0.446902654867257</v>
      </c>
      <c r="S304" s="24" t="n">
        <f aca="false">IFERROR(SUMPRODUCT(($B$2:$B$1001=B304)*($K$2:$K$1001&lt;=K304))/SUMPRODUCT(($B$2:$B$1001=B304)*1),0)</f>
        <v>0.371681415929204</v>
      </c>
      <c r="T304" s="26" t="n">
        <f aca="false">(R304-S304)*100</f>
        <v>7.52212389380531</v>
      </c>
      <c r="U304" s="21" t="str">
        <f aca="false">'Player Data'!T304</f>
        <v>No</v>
      </c>
      <c r="V304" s="27" t="n">
        <f aca="false">'Player Data'!U304</f>
        <v>2026</v>
      </c>
      <c r="W304" s="21" t="str">
        <f aca="false">IF(AND(T304&gt;=Assumptions!$B$19,U304="No"),"High Priority - Unrepresented",IF(T304&gt;=Assumptions!$B$19,"High Priority",IF(AND(T304&gt;=Assumptions!$B$20,U304="No"),"Watchlist - Unrepresented",IF(T304&gt;=Assumptions!$B$20,"Watchlist",""))))</f>
        <v/>
      </c>
      <c r="X304" s="21" t="str">
        <f aca="false">'Player Data'!V304</f>
        <v>info@negotinorovers.mk</v>
      </c>
      <c r="Y304" s="28" t="str">
        <f aca="false">'Player Data'!W304</f>
        <v>Club sporting director / first-team office</v>
      </c>
      <c r="Z304" s="28" t="str">
        <f aca="false">'Player Data'!X304</f>
        <v>FFM (Football Federation of North Macedonia) player registry</v>
      </c>
      <c r="AA304" s="19" t="str">
        <f aca="false">HYPERLINK("https://www.transfermarkt.com/schnellsuche/ergebnis/schnellsuche?query="&amp;SUBSTITUTE(A304," ","+"),"Search Transfermarkt")</f>
        <v>Search Transfermarkt</v>
      </c>
      <c r="AB304" s="29" t="n">
        <f aca="false">IFERROR('Player Data'!K304/('Player Data'!K304+'Player Data'!L304),0)</f>
        <v>0.389705882352941</v>
      </c>
      <c r="AC304" s="21" t="str">
        <f aca="false">IF(B304="GK",IF(AND(O304&gt;=Assumptions!$B$23,N304&gt;=Assumptions!$B$23),"Sweeper-Keeper / Build-from-the-Back",IF(O304&gt;=Assumptions!$B$23,"Sweeper-Keeper / High Line",IF(M304&gt;=Assumptions!$B$23,"Shot-Stopper / Traditional","Flexible / Multi-System"))),IF(AND(O304&gt;=Assumptions!$B$23,P304&gt;=Assumptions!$B$24),"High Press / Gegenpressing",IF(AND(N304&gt;=Assumptions!$B$23,AB304&gt;=Assumptions!$B$25),"Possession / Build-from-the-Back",IF(N304&gt;=Assumptions!$B$23,"Counter-Attack / Transition",IF(AND(O304&gt;=Assumptions!$B$23,N304&lt;Assumptions!$B$26),"Low Block / Park the Bus",IF(AND(B304="FW",M304&gt;=Assumptions!$B$23,N304&lt;Assumptions!$B$26),"Direct / Target Approach","Flexible / Multi-System"))))))</f>
        <v>Flexible / Multi-System</v>
      </c>
      <c r="AD304" s="21" t="str">
        <f aca="false">'Player Data'!Y304</f>
        <v>2026-07-17</v>
      </c>
      <c r="AE304" s="21" t="str">
        <f aca="false">'Player Data'!Z304</f>
        <v>2026-07-17</v>
      </c>
      <c r="AF304" s="28" t="str">
        <f aca="false">IFERROR(INDEX(Assumptions!$B$30:$B$61,MATCH(C304,Assumptions!$A$30:$A$61,0)),"--")</f>
        <v>Austria, Turkey</v>
      </c>
      <c r="AG304" s="30" t="str">
        <f aca="false">IF(R304&gt;=0.7,"Step-Up Candidate",IF(R304&gt;=0.4,"Lateral Move","Stay &amp; Develop"))</f>
        <v>Lateral Move</v>
      </c>
    </row>
    <row r="305" customFormat="false" ht="23.85" hidden="false" customHeight="false" outlineLevel="0" collapsed="false">
      <c r="A305" s="21" t="str">
        <f aca="false">'Player Data'!A305</f>
        <v>Randall Campos</v>
      </c>
      <c r="B305" s="21" t="str">
        <f aca="false">'Player Data'!F305</f>
        <v>DF</v>
      </c>
      <c r="C305" s="21" t="str">
        <f aca="false">'Player Data'!B305</f>
        <v>Costa Rica</v>
      </c>
      <c r="D305" s="21" t="str">
        <f aca="false">'Player Data'!C305</f>
        <v>Costa Rica Provincial League</v>
      </c>
      <c r="E305" s="21" t="n">
        <f aca="false">'Player Data'!D305</f>
        <v>3</v>
      </c>
      <c r="F305" s="21" t="n">
        <f aca="false">'Player Data'!G305</f>
        <v>26</v>
      </c>
      <c r="G305" s="21" t="n">
        <f aca="false">'Player Data'!H305</f>
        <v>1804</v>
      </c>
      <c r="H305" s="22" t="n">
        <f aca="false">IF(B305="GK",IFERROR(('Player Data'!N305-1.5*'Player Data'!O305)/'Player Data'!H305*90,0),IFERROR(('Player Data'!I305+'Player Data'!J305)/'Player Data'!H305*90,0))</f>
        <v>0.299334811529933</v>
      </c>
      <c r="I305" s="22" t="n">
        <f aca="false">IF(B305="GK",'Player Data'!P305,IFERROR(('Player Data'!K305+'Player Data'!L305)/'Player Data'!H305*90,0))</f>
        <v>5.03880266075388</v>
      </c>
      <c r="J305" s="22" t="n">
        <f aca="false">IF(B305="GK",IFERROR('Player Data'!Q305/'Player Data'!H305*90,0),IFERROR('Player Data'!M305/'Player Data'!H305*90,0))</f>
        <v>3.79157427937916</v>
      </c>
      <c r="K305" s="23" t="n">
        <f aca="false">'Player Data'!S305</f>
        <v>0</v>
      </c>
      <c r="L305" s="22" t="n">
        <f aca="false">INDEX(Assumptions!$B$13:$B$15,MATCH(E305,Assumptions!$A$13:$A$15,0))</f>
        <v>0.85</v>
      </c>
      <c r="M305" s="24" t="n">
        <f aca="false">IFERROR(SUMPRODUCT(($B$2:$B$1001=B305)*($H$2:$H$1001&lt;=H305))/SUMPRODUCT(($B$2:$B$1001=B305)*1),0)</f>
        <v>0.768707482993197</v>
      </c>
      <c r="N305" s="24" t="n">
        <f aca="false">IFERROR(SUMPRODUCT(($B$2:$B$1001=B305)*($I$2:$I$1001&lt;=I305))/SUMPRODUCT(($B$2:$B$1001=B305)*1),0)</f>
        <v>0.595238095238095</v>
      </c>
      <c r="O305" s="24" t="n">
        <f aca="false">IFERROR(SUMPRODUCT(($B$2:$B$1001=B305)*($J$2:$J$1001&lt;=J305))/SUMPRODUCT(($B$2:$B$1001=B305)*1),0)</f>
        <v>0.183673469387755</v>
      </c>
      <c r="P305" s="24" t="n">
        <f aca="false">IFERROR(SUMPRODUCT(($B$2:$B$1001=B305)*((0-$F$2:$F$1001)&lt;=(0-F305)))/SUMPRODUCT(($B$2:$B$1001=B305)*1),0)</f>
        <v>0.0748299319727891</v>
      </c>
      <c r="Q305" s="25" t="n">
        <f aca="false">(M305*Assumptions!$B$5+N305*Assumptions!$B$6+O305*Assumptions!$B$7+P305*Assumptions!$B$8)*L305</f>
        <v>0.38437925170068</v>
      </c>
      <c r="R305" s="24" t="n">
        <f aca="false">IFERROR(SUMPRODUCT(($B$2:$B$1001=B305)*($Q$2:$Q$1001&lt;=Q305))/SUMPRODUCT(($B$2:$B$1001=B305)*1),0)</f>
        <v>0.414965986394558</v>
      </c>
      <c r="S305" s="24" t="n">
        <f aca="false">IFERROR(SUMPRODUCT(($B$2:$B$1001=B305)*($K$2:$K$1001&lt;=K305))/SUMPRODUCT(($B$2:$B$1001=B305)*1),0)</f>
        <v>0.248299319727891</v>
      </c>
      <c r="T305" s="26" t="n">
        <f aca="false">(R305-S305)*100</f>
        <v>16.6666666666667</v>
      </c>
      <c r="U305" s="21" t="str">
        <f aca="false">'Player Data'!T305</f>
        <v>Unknown</v>
      </c>
      <c r="V305" s="27" t="n">
        <f aca="false">'Player Data'!U305</f>
        <v>2027</v>
      </c>
      <c r="W305" s="21" t="str">
        <f aca="false">IF(AND(T305&gt;=Assumptions!$B$19,U305="No"),"High Priority - Unrepresented",IF(T305&gt;=Assumptions!$B$19,"High Priority",IF(AND(T305&gt;=Assumptions!$B$20,U305="No"),"Watchlist - Unrepresented",IF(T305&gt;=Assumptions!$B$20,"Watchlist",""))))</f>
        <v/>
      </c>
      <c r="X305" s="21" t="str">
        <f aca="false">'Player Data'!V305</f>
        <v>info@sanjosetown.cr</v>
      </c>
      <c r="Y305" s="28" t="str">
        <f aca="false">'Player Data'!W305</f>
        <v>Club sporting director / first-team office</v>
      </c>
      <c r="Z305" s="28" t="str">
        <f aca="false">'Player Data'!X305</f>
        <v>FEDEFUTBOL (Costa Rican Football Federation) player registry</v>
      </c>
      <c r="AA305" s="19" t="str">
        <f aca="false">HYPERLINK("https://www.transfermarkt.com/schnellsuche/ergebnis/schnellsuche?query="&amp;SUBSTITUTE(A305," ","+"),"Search Transfermarkt")</f>
        <v>Search Transfermarkt</v>
      </c>
      <c r="AB305" s="29" t="n">
        <f aca="false">IFERROR('Player Data'!K305/('Player Data'!K305+'Player Data'!L305),0)</f>
        <v>0.613861386138614</v>
      </c>
      <c r="AC305" s="21" t="str">
        <f aca="false">IF(B305="GK",IF(AND(O305&gt;=Assumptions!$B$23,N305&gt;=Assumptions!$B$23),"Sweeper-Keeper / Build-from-the-Back",IF(O305&gt;=Assumptions!$B$23,"Sweeper-Keeper / High Line",IF(M305&gt;=Assumptions!$B$23,"Shot-Stopper / Traditional","Flexible / Multi-System"))),IF(AND(O305&gt;=Assumptions!$B$23,P305&gt;=Assumptions!$B$24),"High Press / Gegenpressing",IF(AND(N305&gt;=Assumptions!$B$23,AB305&gt;=Assumptions!$B$25),"Possession / Build-from-the-Back",IF(N305&gt;=Assumptions!$B$23,"Counter-Attack / Transition",IF(AND(O305&gt;=Assumptions!$B$23,N305&lt;Assumptions!$B$26),"Low Block / Park the Bus",IF(AND(B305="FW",M305&gt;=Assumptions!$B$23,N305&lt;Assumptions!$B$26),"Direct / Target Approach","Flexible / Multi-System"))))))</f>
        <v>Flexible / Multi-System</v>
      </c>
      <c r="AD305" s="21" t="str">
        <f aca="false">'Player Data'!Y305</f>
        <v>2026-07-17</v>
      </c>
      <c r="AE305" s="21" t="str">
        <f aca="false">'Player Data'!Z305</f>
        <v>2026-07-17</v>
      </c>
      <c r="AF305" s="28" t="str">
        <f aca="false">IFERROR(INDEX(Assumptions!$B$30:$B$61,MATCH(C305,Assumptions!$A$30:$A$61,0)),"--")</f>
        <v>Mexico, United States</v>
      </c>
      <c r="AG305" s="30" t="str">
        <f aca="false">IF(R305&gt;=0.7,"Step-Up Candidate",IF(R305&gt;=0.4,"Lateral Move","Stay &amp; Develop"))</f>
        <v>Lateral Move</v>
      </c>
    </row>
    <row r="306" customFormat="false" ht="23.85" hidden="false" customHeight="false" outlineLevel="0" collapsed="false">
      <c r="A306" s="21" t="str">
        <f aca="false">'Player Data'!A306</f>
        <v>Bruno Gonzalez</v>
      </c>
      <c r="B306" s="21" t="str">
        <f aca="false">'Player Data'!F306</f>
        <v>DF</v>
      </c>
      <c r="C306" s="21" t="str">
        <f aca="false">'Player Data'!B306</f>
        <v>Uruguay</v>
      </c>
      <c r="D306" s="21" t="str">
        <f aca="false">'Player Data'!C306</f>
        <v>Uruguay Reserve League</v>
      </c>
      <c r="E306" s="21" t="n">
        <f aca="false">'Player Data'!D306</f>
        <v>4</v>
      </c>
      <c r="F306" s="21" t="n">
        <f aca="false">'Player Data'!G306</f>
        <v>25</v>
      </c>
      <c r="G306" s="21" t="n">
        <f aca="false">'Player Data'!H306</f>
        <v>1595</v>
      </c>
      <c r="H306" s="22" t="n">
        <f aca="false">IF(B306="GK",IFERROR(('Player Data'!N306-1.5*'Player Data'!O306)/'Player Data'!H306*90,0),IFERROR(('Player Data'!I306+'Player Data'!J306)/'Player Data'!H306*90,0))</f>
        <v>0.112852664576803</v>
      </c>
      <c r="I306" s="22" t="n">
        <f aca="false">IF(B306="GK",'Player Data'!P306,IFERROR(('Player Data'!K306+'Player Data'!L306)/'Player Data'!H306*90,0))</f>
        <v>4.4012539184953</v>
      </c>
      <c r="J306" s="22" t="n">
        <f aca="false">IF(B306="GK",IFERROR('Player Data'!Q306/'Player Data'!H306*90,0),IFERROR('Player Data'!M306/'Player Data'!H306*90,0))</f>
        <v>7.16614420062696</v>
      </c>
      <c r="K306" s="23" t="n">
        <f aca="false">'Player Data'!S306</f>
        <v>90672</v>
      </c>
      <c r="L306" s="22" t="n">
        <f aca="false">INDEX(Assumptions!$B$13:$B$15,MATCH(E306,Assumptions!$A$13:$A$15,0))</f>
        <v>0.7</v>
      </c>
      <c r="M306" s="24" t="n">
        <f aca="false">IFERROR(SUMPRODUCT(($B$2:$B$1001=B306)*($H$2:$H$1001&lt;=H306))/SUMPRODUCT(($B$2:$B$1001=B306)*1),0)</f>
        <v>0.244897959183673</v>
      </c>
      <c r="N306" s="24" t="n">
        <f aca="false">IFERROR(SUMPRODUCT(($B$2:$B$1001=B306)*($I$2:$I$1001&lt;=I306))/SUMPRODUCT(($B$2:$B$1001=B306)*1),0)</f>
        <v>0.482993197278912</v>
      </c>
      <c r="O306" s="24" t="n">
        <f aca="false">IFERROR(SUMPRODUCT(($B$2:$B$1001=B306)*($J$2:$J$1001&lt;=J306))/SUMPRODUCT(($B$2:$B$1001=B306)*1),0)</f>
        <v>0.76530612244898</v>
      </c>
      <c r="P306" s="24" t="n">
        <f aca="false">IFERROR(SUMPRODUCT(($B$2:$B$1001=B306)*((0-$F$2:$F$1001)&lt;=(0-F306)))/SUMPRODUCT(($B$2:$B$1001=B306)*1),0)</f>
        <v>0.146258503401361</v>
      </c>
      <c r="Q306" s="25" t="n">
        <f aca="false">(M306*Assumptions!$B$5+N306*Assumptions!$B$6+O306*Assumptions!$B$7+P306*Assumptions!$B$8)*L306</f>
        <v>0.288809523809524</v>
      </c>
      <c r="R306" s="24" t="n">
        <f aca="false">IFERROR(SUMPRODUCT(($B$2:$B$1001=B306)*($Q$2:$Q$1001&lt;=Q306))/SUMPRODUCT(($B$2:$B$1001=B306)*1),0)</f>
        <v>0.231292517006803</v>
      </c>
      <c r="S306" s="24" t="n">
        <f aca="false">IFERROR(SUMPRODUCT(($B$2:$B$1001=B306)*($K$2:$K$1001&lt;=K306))/SUMPRODUCT(($B$2:$B$1001=B306)*1),0)</f>
        <v>0.687074829931973</v>
      </c>
      <c r="T306" s="26" t="n">
        <f aca="false">(R306-S306)*100</f>
        <v>-45.578231292517</v>
      </c>
      <c r="U306" s="21" t="str">
        <f aca="false">'Player Data'!T306</f>
        <v>No</v>
      </c>
      <c r="V306" s="27" t="n">
        <f aca="false">'Player Data'!U306</f>
        <v>2029</v>
      </c>
      <c r="W306" s="21" t="str">
        <f aca="false">IF(AND(T306&gt;=Assumptions!$B$19,U306="No"),"High Priority - Unrepresented",IF(T306&gt;=Assumptions!$B$19,"High Priority",IF(AND(T306&gt;=Assumptions!$B$20,U306="No"),"Watchlist - Unrepresented",IF(T306&gt;=Assumptions!$B$20,"Watchlist",""))))</f>
        <v/>
      </c>
      <c r="X306" s="21" t="str">
        <f aca="false">'Player Data'!V306</f>
        <v>info@montevideotown.uy</v>
      </c>
      <c r="Y306" s="28" t="str">
        <f aca="false">'Player Data'!W306</f>
        <v>Club sporting director / first-team office</v>
      </c>
      <c r="Z306" s="28" t="str">
        <f aca="false">'Player Data'!X306</f>
        <v>AUF (Uruguayan Football Association) player registry</v>
      </c>
      <c r="AA306" s="19" t="str">
        <f aca="false">HYPERLINK("https://www.transfermarkt.com/schnellsuche/ergebnis/schnellsuche?query="&amp;SUBSTITUTE(A306," ","+"),"Search Transfermarkt")</f>
        <v>Search Transfermarkt</v>
      </c>
      <c r="AB306" s="29" t="n">
        <f aca="false">IFERROR('Player Data'!K306/('Player Data'!K306+'Player Data'!L306),0)</f>
        <v>0.564102564102564</v>
      </c>
      <c r="AC306" s="21" t="str">
        <f aca="false">IF(B306="GK",IF(AND(O306&gt;=Assumptions!$B$23,N306&gt;=Assumptions!$B$23),"Sweeper-Keeper / Build-from-the-Back",IF(O306&gt;=Assumptions!$B$23,"Sweeper-Keeper / High Line",IF(M306&gt;=Assumptions!$B$23,"Shot-Stopper / Traditional","Flexible / Multi-System"))),IF(AND(O306&gt;=Assumptions!$B$23,P306&gt;=Assumptions!$B$24),"High Press / Gegenpressing",IF(AND(N306&gt;=Assumptions!$B$23,AB306&gt;=Assumptions!$B$25),"Possession / Build-from-the-Back",IF(N306&gt;=Assumptions!$B$23,"Counter-Attack / Transition",IF(AND(O306&gt;=Assumptions!$B$23,N306&lt;Assumptions!$B$26),"Low Block / Park the Bus",IF(AND(B306="FW",M306&gt;=Assumptions!$B$23,N306&lt;Assumptions!$B$26),"Direct / Target Approach","Flexible / Multi-System"))))))</f>
        <v>Flexible / Multi-System</v>
      </c>
      <c r="AD306" s="21" t="str">
        <f aca="false">'Player Data'!Y306</f>
        <v>2026-07-17</v>
      </c>
      <c r="AE306" s="21" t="str">
        <f aca="false">'Player Data'!Z306</f>
        <v>2026-07-17</v>
      </c>
      <c r="AF306" s="28" t="str">
        <f aca="false">IFERROR(INDEX(Assumptions!$B$30:$B$61,MATCH(C306,Assumptions!$A$30:$A$61,0)),"--")</f>
        <v>Argentina, Portugal</v>
      </c>
      <c r="AG306" s="30" t="str">
        <f aca="false">IF(R306&gt;=0.7,"Step-Up Candidate",IF(R306&gt;=0.4,"Lateral Move","Stay &amp; Develop"))</f>
        <v>Stay &amp; Develop</v>
      </c>
    </row>
    <row r="307" customFormat="false" ht="23.85" hidden="false" customHeight="false" outlineLevel="0" collapsed="false">
      <c r="A307" s="21" t="str">
        <f aca="false">'Player Data'!A307</f>
        <v>Giorgi Lomidze</v>
      </c>
      <c r="B307" s="21" t="str">
        <f aca="false">'Player Data'!F307</f>
        <v>DF</v>
      </c>
      <c r="C307" s="21" t="str">
        <f aca="false">'Player Data'!B307</f>
        <v>Georgia</v>
      </c>
      <c r="D307" s="21" t="str">
        <f aca="false">'Player Data'!C307</f>
        <v>Georgia Second Division - East</v>
      </c>
      <c r="E307" s="21" t="n">
        <f aca="false">'Player Data'!D307</f>
        <v>2</v>
      </c>
      <c r="F307" s="21" t="n">
        <f aca="false">'Player Data'!G307</f>
        <v>26</v>
      </c>
      <c r="G307" s="21" t="n">
        <f aca="false">'Player Data'!H307</f>
        <v>1753</v>
      </c>
      <c r="H307" s="22" t="n">
        <f aca="false">IF(B307="GK",IFERROR(('Player Data'!N307-1.5*'Player Data'!O307)/'Player Data'!H307*90,0),IFERROR(('Player Data'!I307+'Player Data'!J307)/'Player Data'!H307*90,0))</f>
        <v>0.0513405590416429</v>
      </c>
      <c r="I307" s="22" t="n">
        <f aca="false">IF(B307="GK",'Player Data'!P307,IFERROR(('Player Data'!K307+'Player Data'!L307)/'Player Data'!H307*90,0))</f>
        <v>5.28807758128922</v>
      </c>
      <c r="J307" s="22" t="n">
        <f aca="false">IF(B307="GK",IFERROR('Player Data'!Q307/'Player Data'!H307*90,0),IFERROR('Player Data'!M307/'Player Data'!H307*90,0))</f>
        <v>6.57159155733029</v>
      </c>
      <c r="K307" s="23" t="n">
        <f aca="false">'Player Data'!S307</f>
        <v>121588</v>
      </c>
      <c r="L307" s="22" t="n">
        <f aca="false">INDEX(Assumptions!$B$13:$B$15,MATCH(E307,Assumptions!$A$13:$A$15,0))</f>
        <v>1</v>
      </c>
      <c r="M307" s="24" t="n">
        <f aca="false">IFERROR(SUMPRODUCT(($B$2:$B$1001=B307)*($H$2:$H$1001&lt;=H307))/SUMPRODUCT(($B$2:$B$1001=B307)*1),0)</f>
        <v>0.0714285714285714</v>
      </c>
      <c r="N307" s="24" t="n">
        <f aca="false">IFERROR(SUMPRODUCT(($B$2:$B$1001=B307)*($I$2:$I$1001&lt;=I307))/SUMPRODUCT(($B$2:$B$1001=B307)*1),0)</f>
        <v>0.636054421768708</v>
      </c>
      <c r="O307" s="24" t="n">
        <f aca="false">IFERROR(SUMPRODUCT(($B$2:$B$1001=B307)*($J$2:$J$1001&lt;=J307))/SUMPRODUCT(($B$2:$B$1001=B307)*1),0)</f>
        <v>0.693877551020408</v>
      </c>
      <c r="P307" s="24" t="n">
        <f aca="false">IFERROR(SUMPRODUCT(($B$2:$B$1001=B307)*((0-$F$2:$F$1001)&lt;=(0-F307)))/SUMPRODUCT(($B$2:$B$1001=B307)*1),0)</f>
        <v>0.0748299319727891</v>
      </c>
      <c r="Q307" s="25" t="n">
        <f aca="false">(M307*Assumptions!$B$5+N307*Assumptions!$B$6+O307*Assumptions!$B$7+P307*Assumptions!$B$8)*L307</f>
        <v>0.39421768707483</v>
      </c>
      <c r="R307" s="24" t="n">
        <f aca="false">IFERROR(SUMPRODUCT(($B$2:$B$1001=B307)*($Q$2:$Q$1001&lt;=Q307))/SUMPRODUCT(($B$2:$B$1001=B307)*1),0)</f>
        <v>0.445578231292517</v>
      </c>
      <c r="S307" s="24" t="n">
        <f aca="false">IFERROR(SUMPRODUCT(($B$2:$B$1001=B307)*($K$2:$K$1001&lt;=K307))/SUMPRODUCT(($B$2:$B$1001=B307)*1),0)</f>
        <v>0.853741496598639</v>
      </c>
      <c r="T307" s="26" t="n">
        <f aca="false">(R307-S307)*100</f>
        <v>-40.8163265306122</v>
      </c>
      <c r="U307" s="21" t="str">
        <f aca="false">'Player Data'!T307</f>
        <v>No</v>
      </c>
      <c r="V307" s="27" t="n">
        <f aca="false">'Player Data'!U307</f>
        <v>2026</v>
      </c>
      <c r="W307" s="21" t="str">
        <f aca="false">IF(AND(T307&gt;=Assumptions!$B$19,U307="No"),"High Priority - Unrepresented",IF(T307&gt;=Assumptions!$B$19,"High Priority",IF(AND(T307&gt;=Assumptions!$B$20,U307="No"),"Watchlist - Unrepresented",IF(T307&gt;=Assumptions!$B$20,"Watchlist",""))))</f>
        <v/>
      </c>
      <c r="X307" s="21" t="str">
        <f aca="false">'Player Data'!V307</f>
        <v>info@batumifc.ge</v>
      </c>
      <c r="Y307" s="28" t="str">
        <f aca="false">'Player Data'!W307</f>
        <v>Club sporting director / first-team office</v>
      </c>
      <c r="Z307" s="28" t="str">
        <f aca="false">'Player Data'!X307</f>
        <v>GFF (Georgian Football Federation) player registry</v>
      </c>
      <c r="AA307" s="19" t="str">
        <f aca="false">HYPERLINK("https://www.transfermarkt.com/schnellsuche/ergebnis/schnellsuche?query="&amp;SUBSTITUTE(A307," ","+"),"Search Transfermarkt")</f>
        <v>Search Transfermarkt</v>
      </c>
      <c r="AB307" s="29" t="n">
        <f aca="false">IFERROR('Player Data'!K307/('Player Data'!K307+'Player Data'!L307),0)</f>
        <v>0.679611650485437</v>
      </c>
      <c r="AC307" s="21" t="str">
        <f aca="false">IF(B307="GK",IF(AND(O307&gt;=Assumptions!$B$23,N307&gt;=Assumptions!$B$23),"Sweeper-Keeper / Build-from-the-Back",IF(O307&gt;=Assumptions!$B$23,"Sweeper-Keeper / High Line",IF(M307&gt;=Assumptions!$B$23,"Shot-Stopper / Traditional","Flexible / Multi-System"))),IF(AND(O307&gt;=Assumptions!$B$23,P307&gt;=Assumptions!$B$24),"High Press / Gegenpressing",IF(AND(N307&gt;=Assumptions!$B$23,AB307&gt;=Assumptions!$B$25),"Possession / Build-from-the-Back",IF(N307&gt;=Assumptions!$B$23,"Counter-Attack / Transition",IF(AND(O307&gt;=Assumptions!$B$23,N307&lt;Assumptions!$B$26),"Low Block / Park the Bus",IF(AND(B307="FW",M307&gt;=Assumptions!$B$23,N307&lt;Assumptions!$B$26),"Direct / Target Approach","Flexible / Multi-System"))))))</f>
        <v>Flexible / Multi-System</v>
      </c>
      <c r="AD307" s="21" t="str">
        <f aca="false">'Player Data'!Y307</f>
        <v>2026-07-17</v>
      </c>
      <c r="AE307" s="21" t="str">
        <f aca="false">'Player Data'!Z307</f>
        <v>2026-07-17</v>
      </c>
      <c r="AF307" s="28" t="str">
        <f aca="false">IFERROR(INDEX(Assumptions!$B$30:$B$61,MATCH(C307,Assumptions!$A$30:$A$61,0)),"--")</f>
        <v>Turkey, Poland</v>
      </c>
      <c r="AG307" s="30" t="str">
        <f aca="false">IF(R307&gt;=0.7,"Step-Up Candidate",IF(R307&gt;=0.4,"Lateral Move","Stay &amp; Develop"))</f>
        <v>Lateral Move</v>
      </c>
    </row>
    <row r="308" customFormat="false" ht="23.85" hidden="false" customHeight="false" outlineLevel="0" collapsed="false">
      <c r="A308" s="21" t="str">
        <f aca="false">'Player Data'!A308</f>
        <v>Edgars Berzins</v>
      </c>
      <c r="B308" s="21" t="str">
        <f aca="false">'Player Data'!F308</f>
        <v>FW</v>
      </c>
      <c r="C308" s="21" t="str">
        <f aca="false">'Player Data'!B308</f>
        <v>Latvia</v>
      </c>
      <c r="D308" s="21" t="str">
        <f aca="false">'Player Data'!C308</f>
        <v>Latvia Second Division</v>
      </c>
      <c r="E308" s="21" t="n">
        <f aca="false">'Player Data'!D308</f>
        <v>2</v>
      </c>
      <c r="F308" s="21" t="n">
        <f aca="false">'Player Data'!G308</f>
        <v>21</v>
      </c>
      <c r="G308" s="21" t="n">
        <f aca="false">'Player Data'!H308</f>
        <v>900</v>
      </c>
      <c r="H308" s="22" t="n">
        <f aca="false">IF(B308="GK",IFERROR(('Player Data'!N308-1.5*'Player Data'!O308)/'Player Data'!H308*90,0),IFERROR(('Player Data'!I308+'Player Data'!J308)/'Player Data'!H308*90,0))</f>
        <v>1.5</v>
      </c>
      <c r="I308" s="22" t="n">
        <f aca="false">IF(B308="GK",'Player Data'!P308,IFERROR(('Player Data'!K308+'Player Data'!L308)/'Player Data'!H308*90,0))</f>
        <v>13.8</v>
      </c>
      <c r="J308" s="22" t="n">
        <f aca="false">IF(B308="GK",IFERROR('Player Data'!Q308/'Player Data'!H308*90,0),IFERROR('Player Data'!M308/'Player Data'!H308*90,0))</f>
        <v>0.5</v>
      </c>
      <c r="K308" s="23" t="n">
        <f aca="false">'Player Data'!S308</f>
        <v>0</v>
      </c>
      <c r="L308" s="22" t="n">
        <f aca="false">INDEX(Assumptions!$B$13:$B$15,MATCH(E308,Assumptions!$A$13:$A$15,0))</f>
        <v>1</v>
      </c>
      <c r="M308" s="24" t="n">
        <f aca="false">IFERROR(SUMPRODUCT(($B$2:$B$1001=B308)*($H$2:$H$1001&lt;=H308))/SUMPRODUCT(($B$2:$B$1001=B308)*1),0)</f>
        <v>0.84070796460177</v>
      </c>
      <c r="N308" s="24" t="n">
        <f aca="false">IFERROR(SUMPRODUCT(($B$2:$B$1001=B308)*($I$2:$I$1001&lt;=I308))/SUMPRODUCT(($B$2:$B$1001=B308)*1),0)</f>
        <v>0.960176991150443</v>
      </c>
      <c r="O308" s="24" t="n">
        <f aca="false">IFERROR(SUMPRODUCT(($B$2:$B$1001=B308)*($J$2:$J$1001&lt;=J308))/SUMPRODUCT(($B$2:$B$1001=B308)*1),0)</f>
        <v>0.504424778761062</v>
      </c>
      <c r="P308" s="24" t="n">
        <f aca="false">IFERROR(SUMPRODUCT(($B$2:$B$1001=B308)*((0-$F$2:$F$1001)&lt;=(0-F308)))/SUMPRODUCT(($B$2:$B$1001=B308)*1),0)</f>
        <v>0.579646017699115</v>
      </c>
      <c r="Q308" s="25" t="n">
        <f aca="false">(M308*Assumptions!$B$5+N308*Assumptions!$B$6+O308*Assumptions!$B$7+P308*Assumptions!$B$8)*L308</f>
        <v>0.763053097345133</v>
      </c>
      <c r="R308" s="24" t="n">
        <f aca="false">IFERROR(SUMPRODUCT(($B$2:$B$1001=B308)*($Q$2:$Q$1001&lt;=Q308))/SUMPRODUCT(($B$2:$B$1001=B308)*1),0)</f>
        <v>0.911504424778761</v>
      </c>
      <c r="S308" s="24" t="n">
        <f aca="false">IFERROR(SUMPRODUCT(($B$2:$B$1001=B308)*($K$2:$K$1001&lt;=K308))/SUMPRODUCT(($B$2:$B$1001=B308)*1),0)</f>
        <v>0.261061946902655</v>
      </c>
      <c r="T308" s="26" t="n">
        <f aca="false">(R308-S308)*100</f>
        <v>65.0442477876106</v>
      </c>
      <c r="U308" s="21" t="str">
        <f aca="false">'Player Data'!T308</f>
        <v>Unknown</v>
      </c>
      <c r="V308" s="27" t="n">
        <f aca="false">'Player Data'!U308</f>
        <v>2029</v>
      </c>
      <c r="W308" s="21" t="str">
        <f aca="false">IF(AND(T308&gt;=Assumptions!$B$19,U308="No"),"High Priority - Unrepresented",IF(T308&gt;=Assumptions!$B$19,"High Priority",IF(AND(T308&gt;=Assumptions!$B$20,U308="No"),"Watchlist - Unrepresented",IF(T308&gt;=Assumptions!$B$20,"Watchlist",""))))</f>
        <v>High Priority</v>
      </c>
      <c r="X308" s="21" t="str">
        <f aca="false">'Player Data'!V308</f>
        <v>info@liepajacity.lv</v>
      </c>
      <c r="Y308" s="28" t="str">
        <f aca="false">'Player Data'!W308</f>
        <v>Club sporting director / first-team office</v>
      </c>
      <c r="Z308" s="28" t="str">
        <f aca="false">'Player Data'!X308</f>
        <v>LFF (Latvian Football Federation) player registry</v>
      </c>
      <c r="AA308" s="19" t="str">
        <f aca="false">HYPERLINK("https://www.transfermarkt.com/schnellsuche/ergebnis/schnellsuche?query="&amp;SUBSTITUTE(A308," ","+"),"Search Transfermarkt")</f>
        <v>Search Transfermarkt</v>
      </c>
      <c r="AB308" s="29" t="n">
        <f aca="false">IFERROR('Player Data'!K308/('Player Data'!K308+'Player Data'!L308),0)</f>
        <v>0.36231884057971</v>
      </c>
      <c r="AC308" s="21" t="str">
        <f aca="false">IF(B308="GK",IF(AND(O308&gt;=Assumptions!$B$23,N308&gt;=Assumptions!$B$23),"Sweeper-Keeper / Build-from-the-Back",IF(O308&gt;=Assumptions!$B$23,"Sweeper-Keeper / High Line",IF(M308&gt;=Assumptions!$B$23,"Shot-Stopper / Traditional","Flexible / Multi-System"))),IF(AND(O308&gt;=Assumptions!$B$23,P308&gt;=Assumptions!$B$24),"High Press / Gegenpressing",IF(AND(N308&gt;=Assumptions!$B$23,AB308&gt;=Assumptions!$B$25),"Possession / Build-from-the-Back",IF(N308&gt;=Assumptions!$B$23,"Counter-Attack / Transition",IF(AND(O308&gt;=Assumptions!$B$23,N308&lt;Assumptions!$B$26),"Low Block / Park the Bus",IF(AND(B308="FW",M308&gt;=Assumptions!$B$23,N308&lt;Assumptions!$B$26),"Direct / Target Approach","Flexible / Multi-System"))))))</f>
        <v>Counter-Attack / Transition</v>
      </c>
      <c r="AD308" s="21" t="str">
        <f aca="false">'Player Data'!Y308</f>
        <v>2026-07-17</v>
      </c>
      <c r="AE308" s="21" t="str">
        <f aca="false">'Player Data'!Z308</f>
        <v>2026-07-17</v>
      </c>
      <c r="AF308" s="28" t="str">
        <f aca="false">IFERROR(INDEX(Assumptions!$B$30:$B$61,MATCH(C308,Assumptions!$A$30:$A$61,0)),"--")</f>
        <v>Poland, Norway</v>
      </c>
      <c r="AG308" s="30" t="str">
        <f aca="false">IF(R308&gt;=0.7,"Step-Up Candidate",IF(R308&gt;=0.4,"Lateral Move","Stay &amp; Develop"))</f>
        <v>Step-Up Candidate</v>
      </c>
    </row>
    <row r="309" customFormat="false" ht="23.85" hidden="false" customHeight="false" outlineLevel="0" collapsed="false">
      <c r="A309" s="21" t="str">
        <f aca="false">'Player Data'!A309</f>
        <v>Uros Petrovic</v>
      </c>
      <c r="B309" s="21" t="str">
        <f aca="false">'Player Data'!F309</f>
        <v>MF</v>
      </c>
      <c r="C309" s="21" t="str">
        <f aca="false">'Player Data'!B309</f>
        <v>Serbia</v>
      </c>
      <c r="D309" s="21" t="str">
        <f aca="false">'Player Data'!C309</f>
        <v>Serbia Regional League</v>
      </c>
      <c r="E309" s="21" t="n">
        <f aca="false">'Player Data'!D309</f>
        <v>3</v>
      </c>
      <c r="F309" s="21" t="n">
        <f aca="false">'Player Data'!G309</f>
        <v>20</v>
      </c>
      <c r="G309" s="21" t="n">
        <f aca="false">'Player Data'!H309</f>
        <v>936</v>
      </c>
      <c r="H309" s="22" t="n">
        <f aca="false">IF(B309="GK",IFERROR(('Player Data'!N309-1.5*'Player Data'!O309)/'Player Data'!H309*90,0),IFERROR(('Player Data'!I309+'Player Data'!J309)/'Player Data'!H309*90,0))</f>
        <v>1.15384615384615</v>
      </c>
      <c r="I309" s="22" t="n">
        <f aca="false">IF(B309="GK",'Player Data'!P309,IFERROR(('Player Data'!K309+'Player Data'!L309)/'Player Data'!H309*90,0))</f>
        <v>19.8076923076923</v>
      </c>
      <c r="J309" s="22" t="n">
        <f aca="false">IF(B309="GK",IFERROR('Player Data'!Q309/'Player Data'!H309*90,0),IFERROR('Player Data'!M309/'Player Data'!H309*90,0))</f>
        <v>2.69230769230769</v>
      </c>
      <c r="K309" s="23" t="n">
        <f aca="false">'Player Data'!S309</f>
        <v>0</v>
      </c>
      <c r="L309" s="22" t="n">
        <f aca="false">INDEX(Assumptions!$B$13:$B$15,MATCH(E309,Assumptions!$A$13:$A$15,0))</f>
        <v>0.85</v>
      </c>
      <c r="M309" s="24" t="n">
        <f aca="false">IFERROR(SUMPRODUCT(($B$2:$B$1001=B309)*($H$2:$H$1001&lt;=H309))/SUMPRODUCT(($B$2:$B$1001=B309)*1),0)</f>
        <v>0.835016835016835</v>
      </c>
      <c r="N309" s="24" t="n">
        <f aca="false">IFERROR(SUMPRODUCT(($B$2:$B$1001=B309)*($I$2:$I$1001&lt;=I309))/SUMPRODUCT(($B$2:$B$1001=B309)*1),0)</f>
        <v>0.895622895622896</v>
      </c>
      <c r="O309" s="24" t="n">
        <f aca="false">IFERROR(SUMPRODUCT(($B$2:$B$1001=B309)*($J$2:$J$1001&lt;=J309))/SUMPRODUCT(($B$2:$B$1001=B309)*1),0)</f>
        <v>0.703703703703704</v>
      </c>
      <c r="P309" s="24" t="n">
        <f aca="false">IFERROR(SUMPRODUCT(($B$2:$B$1001=B309)*((0-$F$2:$F$1001)&lt;=(0-F309)))/SUMPRODUCT(($B$2:$B$1001=B309)*1),0)</f>
        <v>0.734006734006734</v>
      </c>
      <c r="Q309" s="25" t="n">
        <f aca="false">(M309*Assumptions!$B$5+N309*Assumptions!$B$6+O309*Assumptions!$B$7+P309*Assumptions!$B$8)*L309</f>
        <v>0.688299663299663</v>
      </c>
      <c r="R309" s="24" t="n">
        <f aca="false">IFERROR(SUMPRODUCT(($B$2:$B$1001=B309)*($Q$2:$Q$1001&lt;=Q309))/SUMPRODUCT(($B$2:$B$1001=B309)*1),0)</f>
        <v>0.861952861952862</v>
      </c>
      <c r="S309" s="24" t="n">
        <f aca="false">IFERROR(SUMPRODUCT(($B$2:$B$1001=B309)*($K$2:$K$1001&lt;=K309))/SUMPRODUCT(($B$2:$B$1001=B309)*1),0)</f>
        <v>0.228956228956229</v>
      </c>
      <c r="T309" s="26" t="n">
        <f aca="false">(R309-S309)*100</f>
        <v>63.2996632996633</v>
      </c>
      <c r="U309" s="21" t="str">
        <f aca="false">'Player Data'!T309</f>
        <v>Yes</v>
      </c>
      <c r="V309" s="27" t="n">
        <f aca="false">'Player Data'!U309</f>
        <v>2026</v>
      </c>
      <c r="W309" s="21" t="str">
        <f aca="false">IF(AND(T309&gt;=Assumptions!$B$19,U309="No"),"High Priority - Unrepresented",IF(T309&gt;=Assumptions!$B$19,"High Priority",IF(AND(T309&gt;=Assumptions!$B$20,U309="No"),"Watchlist - Unrepresented",IF(T309&gt;=Assumptions!$B$20,"Watchlist",""))))</f>
        <v>High Priority</v>
      </c>
      <c r="X309" s="21" t="str">
        <f aca="false">'Player Data'!V309</f>
        <v>info@cacakfc.rs</v>
      </c>
      <c r="Y309" s="28" t="str">
        <f aca="false">'Player Data'!W309</f>
        <v>Go through the player's agent - ask the club to confirm representation first</v>
      </c>
      <c r="Z309" s="28" t="str">
        <f aca="false">'Player Data'!X309</f>
        <v>FSS (Football Association of Serbia) player registry</v>
      </c>
      <c r="AA309" s="19" t="str">
        <f aca="false">HYPERLINK("https://www.transfermarkt.com/schnellsuche/ergebnis/schnellsuche?query="&amp;SUBSTITUTE(A309," ","+"),"Search Transfermarkt")</f>
        <v>Search Transfermarkt</v>
      </c>
      <c r="AB309" s="29" t="n">
        <f aca="false">IFERROR('Player Data'!K309/('Player Data'!K309+'Player Data'!L309),0)</f>
        <v>0.66504854368932</v>
      </c>
      <c r="AC309" s="21" t="str">
        <f aca="false">IF(B309="GK",IF(AND(O309&gt;=Assumptions!$B$23,N309&gt;=Assumptions!$B$23),"Sweeper-Keeper / Build-from-the-Back",IF(O309&gt;=Assumptions!$B$23,"Sweeper-Keeper / High Line",IF(M309&gt;=Assumptions!$B$23,"Shot-Stopper / Traditional","Flexible / Multi-System"))),IF(AND(O309&gt;=Assumptions!$B$23,P309&gt;=Assumptions!$B$24),"High Press / Gegenpressing",IF(AND(N309&gt;=Assumptions!$B$23,AB309&gt;=Assumptions!$B$25),"Possession / Build-from-the-Back",IF(N309&gt;=Assumptions!$B$23,"Counter-Attack / Transition",IF(AND(O309&gt;=Assumptions!$B$23,N309&lt;Assumptions!$B$26),"Low Block / Park the Bus",IF(AND(B309="FW",M309&gt;=Assumptions!$B$23,N309&lt;Assumptions!$B$26),"Direct / Target Approach","Flexible / Multi-System"))))))</f>
        <v>High Press / Gegenpressing</v>
      </c>
      <c r="AD309" s="21" t="str">
        <f aca="false">'Player Data'!Y309</f>
        <v>2026-07-17</v>
      </c>
      <c r="AE309" s="21" t="str">
        <f aca="false">'Player Data'!Z309</f>
        <v>2026-07-17</v>
      </c>
      <c r="AF309" s="28" t="str">
        <f aca="false">IFERROR(INDEX(Assumptions!$B$30:$B$61,MATCH(C309,Assumptions!$A$30:$A$61,0)),"--")</f>
        <v>Austria, Turkey</v>
      </c>
      <c r="AG309" s="30" t="str">
        <f aca="false">IF(R309&gt;=0.7,"Step-Up Candidate",IF(R309&gt;=0.4,"Lateral Move","Stay &amp; Develop"))</f>
        <v>Step-Up Candidate</v>
      </c>
    </row>
    <row r="310" customFormat="false" ht="23.85" hidden="false" customHeight="false" outlineLevel="0" collapsed="false">
      <c r="A310" s="21" t="str">
        <f aca="false">'Player Data'!A310</f>
        <v>Igor Radovic</v>
      </c>
      <c r="B310" s="21" t="str">
        <f aca="false">'Player Data'!F310</f>
        <v>FW</v>
      </c>
      <c r="C310" s="21" t="str">
        <f aca="false">'Player Data'!B310</f>
        <v>Montenegro</v>
      </c>
      <c r="D310" s="21" t="str">
        <f aca="false">'Player Data'!C310</f>
        <v>Montenegro Regional League</v>
      </c>
      <c r="E310" s="21" t="n">
        <f aca="false">'Player Data'!D310</f>
        <v>2</v>
      </c>
      <c r="F310" s="21" t="n">
        <f aca="false">'Player Data'!G310</f>
        <v>24</v>
      </c>
      <c r="G310" s="21" t="n">
        <f aca="false">'Player Data'!H310</f>
        <v>1539</v>
      </c>
      <c r="H310" s="22" t="n">
        <f aca="false">IF(B310="GK",IFERROR(('Player Data'!N310-1.5*'Player Data'!O310)/'Player Data'!H310*90,0),IFERROR(('Player Data'!I310+'Player Data'!J310)/'Player Data'!H310*90,0))</f>
        <v>0.994152046783626</v>
      </c>
      <c r="I310" s="22" t="n">
        <f aca="false">IF(B310="GK",'Player Data'!P310,IFERROR(('Player Data'!K310+'Player Data'!L310)/'Player Data'!H310*90,0))</f>
        <v>5.43859649122807</v>
      </c>
      <c r="J310" s="22" t="n">
        <f aca="false">IF(B310="GK",IFERROR('Player Data'!Q310/'Player Data'!H310*90,0),IFERROR('Player Data'!M310/'Player Data'!H310*90,0))</f>
        <v>0.233918128654971</v>
      </c>
      <c r="K310" s="23" t="n">
        <f aca="false">'Player Data'!S310</f>
        <v>89276</v>
      </c>
      <c r="L310" s="22" t="n">
        <f aca="false">INDEX(Assumptions!$B$13:$B$15,MATCH(E310,Assumptions!$A$13:$A$15,0))</f>
        <v>1</v>
      </c>
      <c r="M310" s="24" t="n">
        <f aca="false">IFERROR(SUMPRODUCT(($B$2:$B$1001=B310)*($H$2:$H$1001&lt;=H310))/SUMPRODUCT(($B$2:$B$1001=B310)*1),0)</f>
        <v>0.52212389380531</v>
      </c>
      <c r="N310" s="24" t="n">
        <f aca="false">IFERROR(SUMPRODUCT(($B$2:$B$1001=B310)*($I$2:$I$1001&lt;=I310))/SUMPRODUCT(($B$2:$B$1001=B310)*1),0)</f>
        <v>0.305309734513274</v>
      </c>
      <c r="O310" s="24" t="n">
        <f aca="false">IFERROR(SUMPRODUCT(($B$2:$B$1001=B310)*($J$2:$J$1001&lt;=J310))/SUMPRODUCT(($B$2:$B$1001=B310)*1),0)</f>
        <v>0.079646017699115</v>
      </c>
      <c r="P310" s="24" t="n">
        <f aca="false">IFERROR(SUMPRODUCT(($B$2:$B$1001=B310)*((0-$F$2:$F$1001)&lt;=(0-F310)))/SUMPRODUCT(($B$2:$B$1001=B310)*1),0)</f>
        <v>0.305309734513274</v>
      </c>
      <c r="Q310" s="25" t="n">
        <f aca="false">(M310*Assumptions!$B$5+N310*Assumptions!$B$6+O310*Assumptions!$B$7+P310*Assumptions!$B$8)*L310</f>
        <v>0.314380530973451</v>
      </c>
      <c r="R310" s="24" t="n">
        <f aca="false">IFERROR(SUMPRODUCT(($B$2:$B$1001=B310)*($Q$2:$Q$1001&lt;=Q310))/SUMPRODUCT(($B$2:$B$1001=B310)*1),0)</f>
        <v>0.300884955752212</v>
      </c>
      <c r="S310" s="24" t="n">
        <f aca="false">IFERROR(SUMPRODUCT(($B$2:$B$1001=B310)*($K$2:$K$1001&lt;=K310))/SUMPRODUCT(($B$2:$B$1001=B310)*1),0)</f>
        <v>0.641592920353982</v>
      </c>
      <c r="T310" s="26" t="n">
        <f aca="false">(R310-S310)*100</f>
        <v>-34.070796460177</v>
      </c>
      <c r="U310" s="21" t="str">
        <f aca="false">'Player Data'!T310</f>
        <v>Yes</v>
      </c>
      <c r="V310" s="27" t="n">
        <f aca="false">'Player Data'!U310</f>
        <v>2026</v>
      </c>
      <c r="W310" s="21" t="str">
        <f aca="false">IF(AND(T310&gt;=Assumptions!$B$19,U310="No"),"High Priority - Unrepresented",IF(T310&gt;=Assumptions!$B$19,"High Priority",IF(AND(T310&gt;=Assumptions!$B$20,U310="No"),"Watchlist - Unrepresented",IF(T310&gt;=Assumptions!$B$20,"Watchlist",""))))</f>
        <v/>
      </c>
      <c r="X310" s="21" t="str">
        <f aca="false">'Player Data'!V310</f>
        <v>info@niksictown.me</v>
      </c>
      <c r="Y310" s="28" t="str">
        <f aca="false">'Player Data'!W310</f>
        <v>Go through the player's agent - ask the club to confirm representation first</v>
      </c>
      <c r="Z310" s="28" t="str">
        <f aca="false">'Player Data'!X310</f>
        <v>FSCG (Football Association of Montenegro) player registry</v>
      </c>
      <c r="AA310" s="19" t="str">
        <f aca="false">HYPERLINK("https://www.transfermarkt.com/schnellsuche/ergebnis/schnellsuche?query="&amp;SUBSTITUTE(A310," ","+"),"Search Transfermarkt")</f>
        <v>Search Transfermarkt</v>
      </c>
      <c r="AB310" s="29" t="n">
        <f aca="false">IFERROR('Player Data'!K310/('Player Data'!K310+'Player Data'!L310),0)</f>
        <v>0.376344086021505</v>
      </c>
      <c r="AC310" s="21" t="str">
        <f aca="false">IF(B310="GK",IF(AND(O310&gt;=Assumptions!$B$23,N310&gt;=Assumptions!$B$23),"Sweeper-Keeper / Build-from-the-Back",IF(O310&gt;=Assumptions!$B$23,"Sweeper-Keeper / High Line",IF(M310&gt;=Assumptions!$B$23,"Shot-Stopper / Traditional","Flexible / Multi-System"))),IF(AND(O310&gt;=Assumptions!$B$23,P310&gt;=Assumptions!$B$24),"High Press / Gegenpressing",IF(AND(N310&gt;=Assumptions!$B$23,AB310&gt;=Assumptions!$B$25),"Possession / Build-from-the-Back",IF(N310&gt;=Assumptions!$B$23,"Counter-Attack / Transition",IF(AND(O310&gt;=Assumptions!$B$23,N310&lt;Assumptions!$B$26),"Low Block / Park the Bus",IF(AND(B310="FW",M310&gt;=Assumptions!$B$23,N310&lt;Assumptions!$B$26),"Direct / Target Approach","Flexible / Multi-System"))))))</f>
        <v>Flexible / Multi-System</v>
      </c>
      <c r="AD310" s="21" t="str">
        <f aca="false">'Player Data'!Y310</f>
        <v>2026-07-17</v>
      </c>
      <c r="AE310" s="21" t="str">
        <f aca="false">'Player Data'!Z310</f>
        <v>2026-07-17</v>
      </c>
      <c r="AF310" s="28" t="str">
        <f aca="false">IFERROR(INDEX(Assumptions!$B$30:$B$61,MATCH(C310,Assumptions!$A$30:$A$61,0)),"--")</f>
        <v>Austria, Turkey</v>
      </c>
      <c r="AG310" s="30" t="str">
        <f aca="false">IF(R310&gt;=0.7,"Step-Up Candidate",IF(R310&gt;=0.4,"Lateral Move","Stay &amp; Develop"))</f>
        <v>Stay &amp; Develop</v>
      </c>
    </row>
    <row r="311" customFormat="false" ht="23.85" hidden="false" customHeight="false" outlineLevel="0" collapsed="false">
      <c r="A311" s="21" t="str">
        <f aca="false">'Player Data'!A311</f>
        <v>Carlos Campos</v>
      </c>
      <c r="B311" s="21" t="str">
        <f aca="false">'Player Data'!F311</f>
        <v>DF</v>
      </c>
      <c r="C311" s="21" t="str">
        <f aca="false">'Player Data'!B311</f>
        <v>Costa Rica</v>
      </c>
      <c r="D311" s="21" t="str">
        <f aca="false">'Player Data'!C311</f>
        <v>Costa Rica Reserve League</v>
      </c>
      <c r="E311" s="21" t="n">
        <f aca="false">'Player Data'!D311</f>
        <v>2</v>
      </c>
      <c r="F311" s="21" t="n">
        <f aca="false">'Player Data'!G311</f>
        <v>24</v>
      </c>
      <c r="G311" s="21" t="n">
        <f aca="false">'Player Data'!H311</f>
        <v>1987</v>
      </c>
      <c r="H311" s="22" t="n">
        <f aca="false">IF(B311="GK",IFERROR(('Player Data'!N311-1.5*'Player Data'!O311)/'Player Data'!H311*90,0),IFERROR(('Player Data'!I311+'Player Data'!J311)/'Player Data'!H311*90,0))</f>
        <v>0.362355309511827</v>
      </c>
      <c r="I311" s="22" t="n">
        <f aca="false">IF(B311="GK",'Player Data'!P311,IFERROR(('Player Data'!K311+'Player Data'!L311)/'Player Data'!H311*90,0))</f>
        <v>3.3517866129844</v>
      </c>
      <c r="J311" s="22" t="n">
        <f aca="false">IF(B311="GK",IFERROR('Player Data'!Q311/'Player Data'!H311*90,0),IFERROR('Player Data'!M311/'Player Data'!H311*90,0))</f>
        <v>3.9859084046301</v>
      </c>
      <c r="K311" s="23" t="n">
        <f aca="false">'Player Data'!S311</f>
        <v>0</v>
      </c>
      <c r="L311" s="22" t="n">
        <f aca="false">INDEX(Assumptions!$B$13:$B$15,MATCH(E311,Assumptions!$A$13:$A$15,0))</f>
        <v>1</v>
      </c>
      <c r="M311" s="24" t="n">
        <f aca="false">IFERROR(SUMPRODUCT(($B$2:$B$1001=B311)*($H$2:$H$1001&lt;=H311))/SUMPRODUCT(($B$2:$B$1001=B311)*1),0)</f>
        <v>0.86734693877551</v>
      </c>
      <c r="N311" s="24" t="n">
        <f aca="false">IFERROR(SUMPRODUCT(($B$2:$B$1001=B311)*($I$2:$I$1001&lt;=I311))/SUMPRODUCT(($B$2:$B$1001=B311)*1),0)</f>
        <v>0.193877551020408</v>
      </c>
      <c r="O311" s="24" t="n">
        <f aca="false">IFERROR(SUMPRODUCT(($B$2:$B$1001=B311)*($J$2:$J$1001&lt;=J311))/SUMPRODUCT(($B$2:$B$1001=B311)*1),0)</f>
        <v>0.22108843537415</v>
      </c>
      <c r="P311" s="24" t="n">
        <f aca="false">IFERROR(SUMPRODUCT(($B$2:$B$1001=B311)*((0-$F$2:$F$1001)&lt;=(0-F311)))/SUMPRODUCT(($B$2:$B$1001=B311)*1),0)</f>
        <v>0.275510204081633</v>
      </c>
      <c r="Q311" s="25" t="n">
        <f aca="false">(M311*Assumptions!$B$5+N311*Assumptions!$B$6+O311*Assumptions!$B$7+P311*Assumptions!$B$8)*L311</f>
        <v>0.384013605442177</v>
      </c>
      <c r="R311" s="24" t="n">
        <f aca="false">IFERROR(SUMPRODUCT(($B$2:$B$1001=B311)*($Q$2:$Q$1001&lt;=Q311))/SUMPRODUCT(($B$2:$B$1001=B311)*1),0)</f>
        <v>0.41156462585034</v>
      </c>
      <c r="S311" s="24" t="n">
        <f aca="false">IFERROR(SUMPRODUCT(($B$2:$B$1001=B311)*($K$2:$K$1001&lt;=K311))/SUMPRODUCT(($B$2:$B$1001=B311)*1),0)</f>
        <v>0.248299319727891</v>
      </c>
      <c r="T311" s="26" t="n">
        <f aca="false">(R311-S311)*100</f>
        <v>16.3265306122449</v>
      </c>
      <c r="U311" s="21" t="str">
        <f aca="false">'Player Data'!T311</f>
        <v>Unknown</v>
      </c>
      <c r="V311" s="27" t="n">
        <f aca="false">'Player Data'!U311</f>
        <v>2026</v>
      </c>
      <c r="W311" s="21" t="str">
        <f aca="false">IF(AND(T311&gt;=Assumptions!$B$19,U311="No"),"High Priority - Unrepresented",IF(T311&gt;=Assumptions!$B$19,"High Priority",IF(AND(T311&gt;=Assumptions!$B$20,U311="No"),"Watchlist - Unrepresented",IF(T311&gt;=Assumptions!$B$20,"Watchlist",""))))</f>
        <v/>
      </c>
      <c r="X311" s="21" t="str">
        <f aca="false">'Player Data'!V311</f>
        <v>info@sanjosecity.cr</v>
      </c>
      <c r="Y311" s="28" t="str">
        <f aca="false">'Player Data'!W311</f>
        <v>Club sporting director / first-team office</v>
      </c>
      <c r="Z311" s="28" t="str">
        <f aca="false">'Player Data'!X311</f>
        <v>FEDEFUTBOL (Costa Rican Football Federation) player registry</v>
      </c>
      <c r="AA311" s="19" t="str">
        <f aca="false">HYPERLINK("https://www.transfermarkt.com/schnellsuche/ergebnis/schnellsuche?query="&amp;SUBSTITUTE(A311," ","+"),"Search Transfermarkt")</f>
        <v>Search Transfermarkt</v>
      </c>
      <c r="AB311" s="29" t="n">
        <f aca="false">IFERROR('Player Data'!K311/('Player Data'!K311+'Player Data'!L311),0)</f>
        <v>0.689189189189189</v>
      </c>
      <c r="AC311" s="21" t="str">
        <f aca="false">IF(B311="GK",IF(AND(O311&gt;=Assumptions!$B$23,N311&gt;=Assumptions!$B$23),"Sweeper-Keeper / Build-from-the-Back",IF(O311&gt;=Assumptions!$B$23,"Sweeper-Keeper / High Line",IF(M311&gt;=Assumptions!$B$23,"Shot-Stopper / Traditional","Flexible / Multi-System"))),IF(AND(O311&gt;=Assumptions!$B$23,P311&gt;=Assumptions!$B$24),"High Press / Gegenpressing",IF(AND(N311&gt;=Assumptions!$B$23,AB311&gt;=Assumptions!$B$25),"Possession / Build-from-the-Back",IF(N311&gt;=Assumptions!$B$23,"Counter-Attack / Transition",IF(AND(O311&gt;=Assumptions!$B$23,N311&lt;Assumptions!$B$26),"Low Block / Park the Bus",IF(AND(B311="FW",M311&gt;=Assumptions!$B$23,N311&lt;Assumptions!$B$26),"Direct / Target Approach","Flexible / Multi-System"))))))</f>
        <v>Flexible / Multi-System</v>
      </c>
      <c r="AD311" s="21" t="str">
        <f aca="false">'Player Data'!Y311</f>
        <v>2026-07-17</v>
      </c>
      <c r="AE311" s="21" t="str">
        <f aca="false">'Player Data'!Z311</f>
        <v>2026-07-17</v>
      </c>
      <c r="AF311" s="28" t="str">
        <f aca="false">IFERROR(INDEX(Assumptions!$B$30:$B$61,MATCH(C311,Assumptions!$A$30:$A$61,0)),"--")</f>
        <v>Mexico, United States</v>
      </c>
      <c r="AG311" s="30" t="str">
        <f aca="false">IF(R311&gt;=0.7,"Step-Up Candidate",IF(R311&gt;=0.4,"Lateral Move","Stay &amp; Develop"))</f>
        <v>Lateral Move</v>
      </c>
    </row>
    <row r="312" customFormat="false" ht="23.85" hidden="false" customHeight="false" outlineLevel="0" collapsed="false">
      <c r="A312" s="21" t="str">
        <f aca="false">'Player Data'!A312</f>
        <v>Marek Pikk</v>
      </c>
      <c r="B312" s="21" t="str">
        <f aca="false">'Player Data'!F312</f>
        <v>MF</v>
      </c>
      <c r="C312" s="21" t="str">
        <f aca="false">'Player Data'!B312</f>
        <v>Estonia</v>
      </c>
      <c r="D312" s="21" t="str">
        <f aca="false">'Player Data'!C312</f>
        <v>Estonia Third Tier - North</v>
      </c>
      <c r="E312" s="21" t="n">
        <f aca="false">'Player Data'!D312</f>
        <v>2</v>
      </c>
      <c r="F312" s="21" t="n">
        <f aca="false">'Player Data'!G312</f>
        <v>25</v>
      </c>
      <c r="G312" s="21" t="n">
        <f aca="false">'Player Data'!H312</f>
        <v>1657</v>
      </c>
      <c r="H312" s="22" t="n">
        <f aca="false">IF(B312="GK",IFERROR(('Player Data'!N312-1.5*'Player Data'!O312)/'Player Data'!H312*90,0),IFERROR(('Player Data'!I312+'Player Data'!J312)/'Player Data'!H312*90,0))</f>
        <v>0.76041038020519</v>
      </c>
      <c r="I312" s="22" t="n">
        <f aca="false">IF(B312="GK",'Player Data'!P312,IFERROR(('Player Data'!K312+'Player Data'!L312)/'Player Data'!H312*90,0))</f>
        <v>13.0356065178033</v>
      </c>
      <c r="J312" s="22" t="n">
        <f aca="false">IF(B312="GK",IFERROR('Player Data'!Q312/'Player Data'!H312*90,0),IFERROR('Player Data'!M312/'Player Data'!H312*90,0))</f>
        <v>2.82438141219071</v>
      </c>
      <c r="K312" s="23" t="n">
        <f aca="false">'Player Data'!S312</f>
        <v>16611</v>
      </c>
      <c r="L312" s="22" t="n">
        <f aca="false">INDEX(Assumptions!$B$13:$B$15,MATCH(E312,Assumptions!$A$13:$A$15,0))</f>
        <v>1</v>
      </c>
      <c r="M312" s="24" t="n">
        <f aca="false">IFERROR(SUMPRODUCT(($B$2:$B$1001=B312)*($H$2:$H$1001&lt;=H312))/SUMPRODUCT(($B$2:$B$1001=B312)*1),0)</f>
        <v>0.535353535353535</v>
      </c>
      <c r="N312" s="24" t="n">
        <f aca="false">IFERROR(SUMPRODUCT(($B$2:$B$1001=B312)*($I$2:$I$1001&lt;=I312))/SUMPRODUCT(($B$2:$B$1001=B312)*1),0)</f>
        <v>0.666666666666667</v>
      </c>
      <c r="O312" s="24" t="n">
        <f aca="false">IFERROR(SUMPRODUCT(($B$2:$B$1001=B312)*($J$2:$J$1001&lt;=J312))/SUMPRODUCT(($B$2:$B$1001=B312)*1),0)</f>
        <v>0.750841750841751</v>
      </c>
      <c r="P312" s="24" t="n">
        <f aca="false">IFERROR(SUMPRODUCT(($B$2:$B$1001=B312)*((0-$F$2:$F$1001)&lt;=(0-F312)))/SUMPRODUCT(($B$2:$B$1001=B312)*1),0)</f>
        <v>0.202020202020202</v>
      </c>
      <c r="Q312" s="25" t="n">
        <f aca="false">(M312*Assumptions!$B$5+N312*Assumptions!$B$6+O312*Assumptions!$B$7+P312*Assumptions!$B$8)*L312</f>
        <v>0.557744107744108</v>
      </c>
      <c r="R312" s="24" t="n">
        <f aca="false">IFERROR(SUMPRODUCT(($B$2:$B$1001=B312)*($Q$2:$Q$1001&lt;=Q312))/SUMPRODUCT(($B$2:$B$1001=B312)*1),0)</f>
        <v>0.707070707070707</v>
      </c>
      <c r="S312" s="24" t="n">
        <f aca="false">IFERROR(SUMPRODUCT(($B$2:$B$1001=B312)*($K$2:$K$1001&lt;=K312))/SUMPRODUCT(($B$2:$B$1001=B312)*1),0)</f>
        <v>0.265993265993266</v>
      </c>
      <c r="T312" s="26" t="n">
        <f aca="false">(R312-S312)*100</f>
        <v>44.1077441077441</v>
      </c>
      <c r="U312" s="21" t="str">
        <f aca="false">'Player Data'!T312</f>
        <v>Unknown</v>
      </c>
      <c r="V312" s="27" t="n">
        <f aca="false">'Player Data'!U312</f>
        <v>2028</v>
      </c>
      <c r="W312" s="21" t="str">
        <f aca="false">IF(AND(T312&gt;=Assumptions!$B$19,U312="No"),"High Priority - Unrepresented",IF(T312&gt;=Assumptions!$B$19,"High Priority",IF(AND(T312&gt;=Assumptions!$B$20,U312="No"),"Watchlist - Unrepresented",IF(T312&gt;=Assumptions!$B$20,"Watchlist",""))))</f>
        <v>High Priority</v>
      </c>
      <c r="X312" s="21" t="str">
        <f aca="false">'Player Data'!V312</f>
        <v>info@parnuwanderers.ee</v>
      </c>
      <c r="Y312" s="28" t="str">
        <f aca="false">'Player Data'!W312</f>
        <v>Club sporting director / first-team office</v>
      </c>
      <c r="Z312" s="28" t="str">
        <f aca="false">'Player Data'!X312</f>
        <v>EJL (Estonian Football Association) player registry</v>
      </c>
      <c r="AA312" s="19" t="str">
        <f aca="false">HYPERLINK("https://www.transfermarkt.com/schnellsuche/ergebnis/schnellsuche?query="&amp;SUBSTITUTE(A312," ","+"),"Search Transfermarkt")</f>
        <v>Search Transfermarkt</v>
      </c>
      <c r="AB312" s="29" t="n">
        <f aca="false">IFERROR('Player Data'!K312/('Player Data'!K312+'Player Data'!L312),0)</f>
        <v>0.629166666666667</v>
      </c>
      <c r="AC312" s="21" t="str">
        <f aca="false">IF(B312="GK",IF(AND(O312&gt;=Assumptions!$B$23,N312&gt;=Assumptions!$B$23),"Sweeper-Keeper / Build-from-the-Back",IF(O312&gt;=Assumptions!$B$23,"Sweeper-Keeper / High Line",IF(M312&gt;=Assumptions!$B$23,"Shot-Stopper / Traditional","Flexible / Multi-System"))),IF(AND(O312&gt;=Assumptions!$B$23,P312&gt;=Assumptions!$B$24),"High Press / Gegenpressing",IF(AND(N312&gt;=Assumptions!$B$23,AB312&gt;=Assumptions!$B$25),"Possession / Build-from-the-Back",IF(N312&gt;=Assumptions!$B$23,"Counter-Attack / Transition",IF(AND(O312&gt;=Assumptions!$B$23,N312&lt;Assumptions!$B$26),"Low Block / Park the Bus",IF(AND(B312="FW",M312&gt;=Assumptions!$B$23,N312&lt;Assumptions!$B$26),"Direct / Target Approach","Flexible / Multi-System"))))))</f>
        <v>Possession / Build-from-the-Back</v>
      </c>
      <c r="AD312" s="21" t="str">
        <f aca="false">'Player Data'!Y312</f>
        <v>2026-07-17</v>
      </c>
      <c r="AE312" s="21" t="str">
        <f aca="false">'Player Data'!Z312</f>
        <v>2026-07-17</v>
      </c>
      <c r="AF312" s="28" t="str">
        <f aca="false">IFERROR(INDEX(Assumptions!$B$30:$B$61,MATCH(C312,Assumptions!$A$30:$A$61,0)),"--")</f>
        <v>Poland, Norway</v>
      </c>
      <c r="AG312" s="30" t="str">
        <f aca="false">IF(R312&gt;=0.7,"Step-Up Candidate",IF(R312&gt;=0.4,"Lateral Move","Stay &amp; Develop"))</f>
        <v>Step-Up Candidate</v>
      </c>
    </row>
    <row r="313" customFormat="false" ht="23.85" hidden="false" customHeight="false" outlineLevel="0" collapsed="false">
      <c r="A313" s="21" t="str">
        <f aca="false">'Player Data'!A313</f>
        <v>Given Tembo</v>
      </c>
      <c r="B313" s="21" t="str">
        <f aca="false">'Player Data'!F313</f>
        <v>DF</v>
      </c>
      <c r="C313" s="21" t="str">
        <f aca="false">'Player Data'!B313</f>
        <v>Zambia</v>
      </c>
      <c r="D313" s="21" t="str">
        <f aca="false">'Player Data'!C313</f>
        <v>Zambia Second Division - West</v>
      </c>
      <c r="E313" s="21" t="n">
        <f aca="false">'Player Data'!D313</f>
        <v>2</v>
      </c>
      <c r="F313" s="21" t="n">
        <f aca="false">'Player Data'!G313</f>
        <v>18</v>
      </c>
      <c r="G313" s="21" t="n">
        <f aca="false">'Player Data'!H313</f>
        <v>1295</v>
      </c>
      <c r="H313" s="22" t="n">
        <f aca="false">IF(B313="GK",IFERROR(('Player Data'!N313-1.5*'Player Data'!O313)/'Player Data'!H313*90,0),IFERROR(('Player Data'!I313+'Player Data'!J313)/'Player Data'!H313*90,0))</f>
        <v>0.138996138996139</v>
      </c>
      <c r="I313" s="22" t="n">
        <f aca="false">IF(B313="GK",'Player Data'!P313,IFERROR(('Player Data'!K313+'Player Data'!L313)/'Player Data'!H313*90,0))</f>
        <v>4.37837837837838</v>
      </c>
      <c r="J313" s="22" t="n">
        <f aca="false">IF(B313="GK",IFERROR('Player Data'!Q313/'Player Data'!H313*90,0),IFERROR('Player Data'!M313/'Player Data'!H313*90,0))</f>
        <v>7.78378378378378</v>
      </c>
      <c r="K313" s="23" t="n">
        <f aca="false">'Player Data'!S313</f>
        <v>0</v>
      </c>
      <c r="L313" s="22" t="n">
        <f aca="false">INDEX(Assumptions!$B$13:$B$15,MATCH(E313,Assumptions!$A$13:$A$15,0))</f>
        <v>1</v>
      </c>
      <c r="M313" s="24" t="n">
        <f aca="false">IFERROR(SUMPRODUCT(($B$2:$B$1001=B313)*($H$2:$H$1001&lt;=H313))/SUMPRODUCT(($B$2:$B$1001=B313)*1),0)</f>
        <v>0.329931972789116</v>
      </c>
      <c r="N313" s="24" t="n">
        <f aca="false">IFERROR(SUMPRODUCT(($B$2:$B$1001=B313)*($I$2:$I$1001&lt;=I313))/SUMPRODUCT(($B$2:$B$1001=B313)*1),0)</f>
        <v>0.479591836734694</v>
      </c>
      <c r="O313" s="24" t="n">
        <f aca="false">IFERROR(SUMPRODUCT(($B$2:$B$1001=B313)*($J$2:$J$1001&lt;=J313))/SUMPRODUCT(($B$2:$B$1001=B313)*1),0)</f>
        <v>0.819727891156463</v>
      </c>
      <c r="P313" s="24" t="n">
        <f aca="false">IFERROR(SUMPRODUCT(($B$2:$B$1001=B313)*((0-$F$2:$F$1001)&lt;=(0-F313)))/SUMPRODUCT(($B$2:$B$1001=B313)*1),0)</f>
        <v>0.863945578231293</v>
      </c>
      <c r="Q313" s="25" t="n">
        <f aca="false">(M313*Assumptions!$B$5+N313*Assumptions!$B$6+O313*Assumptions!$B$7+P313*Assumptions!$B$8)*L313</f>
        <v>0.587074829931973</v>
      </c>
      <c r="R313" s="24" t="n">
        <f aca="false">IFERROR(SUMPRODUCT(($B$2:$B$1001=B313)*($Q$2:$Q$1001&lt;=Q313))/SUMPRODUCT(($B$2:$B$1001=B313)*1),0)</f>
        <v>0.731292517006803</v>
      </c>
      <c r="S313" s="24" t="n">
        <f aca="false">IFERROR(SUMPRODUCT(($B$2:$B$1001=B313)*($K$2:$K$1001&lt;=K313))/SUMPRODUCT(($B$2:$B$1001=B313)*1),0)</f>
        <v>0.248299319727891</v>
      </c>
      <c r="T313" s="26" t="n">
        <f aca="false">(R313-S313)*100</f>
        <v>48.2993197278912</v>
      </c>
      <c r="U313" s="21" t="str">
        <f aca="false">'Player Data'!T313</f>
        <v>No</v>
      </c>
      <c r="V313" s="27" t="n">
        <f aca="false">'Player Data'!U313</f>
        <v>2028</v>
      </c>
      <c r="W313" s="21" t="str">
        <f aca="false">IF(AND(T313&gt;=Assumptions!$B$19,U313="No"),"High Priority - Unrepresented",IF(T313&gt;=Assumptions!$B$19,"High Priority",IF(AND(T313&gt;=Assumptions!$B$20,U313="No"),"Watchlist - Unrepresented",IF(T313&gt;=Assumptions!$B$20,"Watchlist",""))))</f>
        <v>High Priority - Unrepresented</v>
      </c>
      <c r="X313" s="21" t="str">
        <f aca="false">'Player Data'!V313</f>
        <v>info@ndolatown.zm</v>
      </c>
      <c r="Y313" s="28" t="str">
        <f aca="false">'Player Data'!W313</f>
        <v>Club sporting director / first-team office</v>
      </c>
      <c r="Z313" s="28" t="str">
        <f aca="false">'Player Data'!X313</f>
        <v>FAZ (Football Association of Zambia) player registry</v>
      </c>
      <c r="AA313" s="19" t="str">
        <f aca="false">HYPERLINK("https://www.transfermarkt.com/schnellsuche/ergebnis/schnellsuche?query="&amp;SUBSTITUTE(A313," ","+"),"Search Transfermarkt")</f>
        <v>Search Transfermarkt</v>
      </c>
      <c r="AB313" s="29" t="n">
        <f aca="false">IFERROR('Player Data'!K313/('Player Data'!K313+'Player Data'!L313),0)</f>
        <v>0.666666666666667</v>
      </c>
      <c r="AC313" s="21" t="str">
        <f aca="false">IF(B313="GK",IF(AND(O313&gt;=Assumptions!$B$23,N313&gt;=Assumptions!$B$23),"Sweeper-Keeper / Build-from-the-Back",IF(O313&gt;=Assumptions!$B$23,"Sweeper-Keeper / High Line",IF(M313&gt;=Assumptions!$B$23,"Shot-Stopper / Traditional","Flexible / Multi-System"))),IF(AND(O313&gt;=Assumptions!$B$23,P313&gt;=Assumptions!$B$24),"High Press / Gegenpressing",IF(AND(N313&gt;=Assumptions!$B$23,AB313&gt;=Assumptions!$B$25),"Possession / Build-from-the-Back",IF(N313&gt;=Assumptions!$B$23,"Counter-Attack / Transition",IF(AND(O313&gt;=Assumptions!$B$23,N313&lt;Assumptions!$B$26),"Low Block / Park the Bus",IF(AND(B313="FW",M313&gt;=Assumptions!$B$23,N313&lt;Assumptions!$B$26),"Direct / Target Approach","Flexible / Multi-System"))))))</f>
        <v>High Press / Gegenpressing</v>
      </c>
      <c r="AD313" s="21" t="str">
        <f aca="false">'Player Data'!Y313</f>
        <v>2026-07-17</v>
      </c>
      <c r="AE313" s="21" t="str">
        <f aca="false">'Player Data'!Z313</f>
        <v>2026-07-17</v>
      </c>
      <c r="AF313" s="28" t="str">
        <f aca="false">IFERROR(INDEX(Assumptions!$B$30:$B$61,MATCH(C313,Assumptions!$A$30:$A$61,0)),"--")</f>
        <v>Belgium, Portugal</v>
      </c>
      <c r="AG313" s="30" t="str">
        <f aca="false">IF(R313&gt;=0.7,"Step-Up Candidate",IF(R313&gt;=0.4,"Lateral Move","Stay &amp; Develop"))</f>
        <v>Step-Up Candidate</v>
      </c>
    </row>
    <row r="314" customFormat="false" ht="23.85" hidden="false" customHeight="false" outlineLevel="0" collapsed="false">
      <c r="A314" s="21" t="str">
        <f aca="false">'Player Data'!A314</f>
        <v>Kristers Liepa</v>
      </c>
      <c r="B314" s="21" t="str">
        <f aca="false">'Player Data'!F314</f>
        <v>FW</v>
      </c>
      <c r="C314" s="21" t="str">
        <f aca="false">'Player Data'!B314</f>
        <v>Latvia</v>
      </c>
      <c r="D314" s="21" t="str">
        <f aca="false">'Player Data'!C314</f>
        <v>Latvia Third Tier - South</v>
      </c>
      <c r="E314" s="21" t="n">
        <f aca="false">'Player Data'!D314</f>
        <v>2</v>
      </c>
      <c r="F314" s="21" t="n">
        <f aca="false">'Player Data'!G314</f>
        <v>24</v>
      </c>
      <c r="G314" s="21" t="n">
        <f aca="false">'Player Data'!H314</f>
        <v>807</v>
      </c>
      <c r="H314" s="22" t="n">
        <f aca="false">IF(B314="GK",IFERROR(('Player Data'!N314-1.5*'Player Data'!O314)/'Player Data'!H314*90,0),IFERROR(('Player Data'!I314+'Player Data'!J314)/'Player Data'!H314*90,0))</f>
        <v>2.56505576208178</v>
      </c>
      <c r="I314" s="22" t="n">
        <f aca="false">IF(B314="GK",'Player Data'!P314,IFERROR(('Player Data'!K314+'Player Data'!L314)/'Player Data'!H314*90,0))</f>
        <v>18.7360594795539</v>
      </c>
      <c r="J314" s="22" t="n">
        <f aca="false">IF(B314="GK",IFERROR('Player Data'!Q314/'Player Data'!H314*90,0),IFERROR('Player Data'!M314/'Player Data'!H314*90,0))</f>
        <v>1.00371747211896</v>
      </c>
      <c r="K314" s="23" t="n">
        <f aca="false">'Player Data'!S314</f>
        <v>0</v>
      </c>
      <c r="L314" s="22" t="n">
        <f aca="false">INDEX(Assumptions!$B$13:$B$15,MATCH(E314,Assumptions!$A$13:$A$15,0))</f>
        <v>1</v>
      </c>
      <c r="M314" s="24" t="n">
        <f aca="false">IFERROR(SUMPRODUCT(($B$2:$B$1001=B314)*($H$2:$H$1001&lt;=H314))/SUMPRODUCT(($B$2:$B$1001=B314)*1),0)</f>
        <v>0.991150442477876</v>
      </c>
      <c r="N314" s="24" t="n">
        <f aca="false">IFERROR(SUMPRODUCT(($B$2:$B$1001=B314)*($I$2:$I$1001&lt;=I314))/SUMPRODUCT(($B$2:$B$1001=B314)*1),0)</f>
        <v>1</v>
      </c>
      <c r="O314" s="24" t="n">
        <f aca="false">IFERROR(SUMPRODUCT(($B$2:$B$1001=B314)*($J$2:$J$1001&lt;=J314))/SUMPRODUCT(($B$2:$B$1001=B314)*1),0)</f>
        <v>0.898230088495575</v>
      </c>
      <c r="P314" s="24" t="n">
        <f aca="false">IFERROR(SUMPRODUCT(($B$2:$B$1001=B314)*((0-$F$2:$F$1001)&lt;=(0-F314)))/SUMPRODUCT(($B$2:$B$1001=B314)*1),0)</f>
        <v>0.305309734513274</v>
      </c>
      <c r="Q314" s="25" t="n">
        <f aca="false">(M314*Assumptions!$B$5+N314*Assumptions!$B$6+O314*Assumptions!$B$7+P314*Assumptions!$B$8)*L314</f>
        <v>0.838495575221239</v>
      </c>
      <c r="R314" s="24" t="n">
        <f aca="false">IFERROR(SUMPRODUCT(($B$2:$B$1001=B314)*($Q$2:$Q$1001&lt;=Q314))/SUMPRODUCT(($B$2:$B$1001=B314)*1),0)</f>
        <v>0.960176991150443</v>
      </c>
      <c r="S314" s="24" t="n">
        <f aca="false">IFERROR(SUMPRODUCT(($B$2:$B$1001=B314)*($K$2:$K$1001&lt;=K314))/SUMPRODUCT(($B$2:$B$1001=B314)*1),0)</f>
        <v>0.261061946902655</v>
      </c>
      <c r="T314" s="26" t="n">
        <f aca="false">(R314-S314)*100</f>
        <v>69.9115044247788</v>
      </c>
      <c r="U314" s="21" t="str">
        <f aca="false">'Player Data'!T314</f>
        <v>Yes</v>
      </c>
      <c r="V314" s="27" t="n">
        <f aca="false">'Player Data'!U314</f>
        <v>2027</v>
      </c>
      <c r="W314" s="21" t="str">
        <f aca="false">IF(AND(T314&gt;=Assumptions!$B$19,U314="No"),"High Priority - Unrepresented",IF(T314&gt;=Assumptions!$B$19,"High Priority",IF(AND(T314&gt;=Assumptions!$B$20,U314="No"),"Watchlist - Unrepresented",IF(T314&gt;=Assumptions!$B$20,"Watchlist",""))))</f>
        <v>High Priority</v>
      </c>
      <c r="X314" s="21" t="str">
        <f aca="false">'Player Data'!V314</f>
        <v>info@rigacity.lv</v>
      </c>
      <c r="Y314" s="28" t="str">
        <f aca="false">'Player Data'!W314</f>
        <v>Go through the player's agent - ask the club to confirm representation first</v>
      </c>
      <c r="Z314" s="28" t="str">
        <f aca="false">'Player Data'!X314</f>
        <v>LFF (Latvian Football Federation) player registry</v>
      </c>
      <c r="AA314" s="19" t="str">
        <f aca="false">HYPERLINK("https://www.transfermarkt.com/schnellsuche/ergebnis/schnellsuche?query="&amp;SUBSTITUTE(A314," ","+"),"Search Transfermarkt")</f>
        <v>Search Transfermarkt</v>
      </c>
      <c r="AB314" s="29" t="n">
        <f aca="false">IFERROR('Player Data'!K314/('Player Data'!K314+'Player Data'!L314),0)</f>
        <v>0.398809523809524</v>
      </c>
      <c r="AC314" s="21" t="str">
        <f aca="false">IF(B314="GK",IF(AND(O314&gt;=Assumptions!$B$23,N314&gt;=Assumptions!$B$23),"Sweeper-Keeper / Build-from-the-Back",IF(O314&gt;=Assumptions!$B$23,"Sweeper-Keeper / High Line",IF(M314&gt;=Assumptions!$B$23,"Shot-Stopper / Traditional","Flexible / Multi-System"))),IF(AND(O314&gt;=Assumptions!$B$23,P314&gt;=Assumptions!$B$24),"High Press / Gegenpressing",IF(AND(N314&gt;=Assumptions!$B$23,AB314&gt;=Assumptions!$B$25),"Possession / Build-from-the-Back",IF(N314&gt;=Assumptions!$B$23,"Counter-Attack / Transition",IF(AND(O314&gt;=Assumptions!$B$23,N314&lt;Assumptions!$B$26),"Low Block / Park the Bus",IF(AND(B314="FW",M314&gt;=Assumptions!$B$23,N314&lt;Assumptions!$B$26),"Direct / Target Approach","Flexible / Multi-System"))))))</f>
        <v>Counter-Attack / Transition</v>
      </c>
      <c r="AD314" s="21" t="str">
        <f aca="false">'Player Data'!Y314</f>
        <v>2026-07-17</v>
      </c>
      <c r="AE314" s="21" t="str">
        <f aca="false">'Player Data'!Z314</f>
        <v>2026-07-17</v>
      </c>
      <c r="AF314" s="28" t="str">
        <f aca="false">IFERROR(INDEX(Assumptions!$B$30:$B$61,MATCH(C314,Assumptions!$A$30:$A$61,0)),"--")</f>
        <v>Poland, Norway</v>
      </c>
      <c r="AG314" s="30" t="str">
        <f aca="false">IF(R314&gt;=0.7,"Step-Up Candidate",IF(R314&gt;=0.4,"Lateral Move","Stay &amp; Develop"))</f>
        <v>Step-Up Candidate</v>
      </c>
    </row>
    <row r="315" customFormat="false" ht="23.85" hidden="false" customHeight="false" outlineLevel="0" collapsed="false">
      <c r="A315" s="21" t="str">
        <f aca="false">'Player Data'!A315</f>
        <v>Ha-joon Lee</v>
      </c>
      <c r="B315" s="21" t="str">
        <f aca="false">'Player Data'!F315</f>
        <v>MF</v>
      </c>
      <c r="C315" s="21" t="str">
        <f aca="false">'Player Data'!B315</f>
        <v>South Korea</v>
      </c>
      <c r="D315" s="21" t="str">
        <f aca="false">'Player Data'!C315</f>
        <v>South Korea Second Division - West</v>
      </c>
      <c r="E315" s="21" t="n">
        <f aca="false">'Player Data'!D315</f>
        <v>4</v>
      </c>
      <c r="F315" s="21" t="n">
        <f aca="false">'Player Data'!G315</f>
        <v>18</v>
      </c>
      <c r="G315" s="21" t="n">
        <f aca="false">'Player Data'!H315</f>
        <v>1778</v>
      </c>
      <c r="H315" s="22" t="n">
        <f aca="false">IF(B315="GK",IFERROR(('Player Data'!N315-1.5*'Player Data'!O315)/'Player Data'!H315*90,0),IFERROR(('Player Data'!I315+'Player Data'!J315)/'Player Data'!H315*90,0))</f>
        <v>0.759280089988751</v>
      </c>
      <c r="I315" s="22" t="n">
        <f aca="false">IF(B315="GK",'Player Data'!P315,IFERROR(('Player Data'!K315+'Player Data'!L315)/'Player Data'!H315*90,0))</f>
        <v>10.0731158605174</v>
      </c>
      <c r="J315" s="22" t="n">
        <f aca="false">IF(B315="GK",IFERROR('Player Data'!Q315/'Player Data'!H315*90,0),IFERROR('Player Data'!M315/'Player Data'!H315*90,0))</f>
        <v>2.27784026996625</v>
      </c>
      <c r="K315" s="23" t="n">
        <f aca="false">'Player Data'!S315</f>
        <v>13688</v>
      </c>
      <c r="L315" s="22" t="n">
        <f aca="false">INDEX(Assumptions!$B$13:$B$15,MATCH(E315,Assumptions!$A$13:$A$15,0))</f>
        <v>0.7</v>
      </c>
      <c r="M315" s="24" t="n">
        <f aca="false">IFERROR(SUMPRODUCT(($B$2:$B$1001=B315)*($H$2:$H$1001&lt;=H315))/SUMPRODUCT(($B$2:$B$1001=B315)*1),0)</f>
        <v>0.528619528619529</v>
      </c>
      <c r="N315" s="24" t="n">
        <f aca="false">IFERROR(SUMPRODUCT(($B$2:$B$1001=B315)*($I$2:$I$1001&lt;=I315))/SUMPRODUCT(($B$2:$B$1001=B315)*1),0)</f>
        <v>0.427609427609428</v>
      </c>
      <c r="O315" s="24" t="n">
        <f aca="false">IFERROR(SUMPRODUCT(($B$2:$B$1001=B315)*($J$2:$J$1001&lt;=J315))/SUMPRODUCT(($B$2:$B$1001=B315)*1),0)</f>
        <v>0.542087542087542</v>
      </c>
      <c r="P315" s="24" t="n">
        <f aca="false">IFERROR(SUMPRODUCT(($B$2:$B$1001=B315)*((0-$F$2:$F$1001)&lt;=(0-F315)))/SUMPRODUCT(($B$2:$B$1001=B315)*1),0)</f>
        <v>0.929292929292929</v>
      </c>
      <c r="Q315" s="25" t="n">
        <f aca="false">(M315*Assumptions!$B$5+N315*Assumptions!$B$6+O315*Assumptions!$B$7+P315*Assumptions!$B$8)*L315</f>
        <v>0.403265993265993</v>
      </c>
      <c r="R315" s="24" t="n">
        <f aca="false">IFERROR(SUMPRODUCT(($B$2:$B$1001=B315)*($Q$2:$Q$1001&lt;=Q315))/SUMPRODUCT(($B$2:$B$1001=B315)*1),0)</f>
        <v>0.424242424242424</v>
      </c>
      <c r="S315" s="24" t="n">
        <f aca="false">IFERROR(SUMPRODUCT(($B$2:$B$1001=B315)*($K$2:$K$1001&lt;=K315))/SUMPRODUCT(($B$2:$B$1001=B315)*1),0)</f>
        <v>0.249158249158249</v>
      </c>
      <c r="T315" s="26" t="n">
        <f aca="false">(R315-S315)*100</f>
        <v>17.5084175084175</v>
      </c>
      <c r="U315" s="21" t="str">
        <f aca="false">'Player Data'!T315</f>
        <v>Yes</v>
      </c>
      <c r="V315" s="27" t="n">
        <f aca="false">'Player Data'!U315</f>
        <v>2029</v>
      </c>
      <c r="W315" s="21" t="str">
        <f aca="false">IF(AND(T315&gt;=Assumptions!$B$19,U315="No"),"High Priority - Unrepresented",IF(T315&gt;=Assumptions!$B$19,"High Priority",IF(AND(T315&gt;=Assumptions!$B$20,U315="No"),"Watchlist - Unrepresented",IF(T315&gt;=Assumptions!$B$20,"Watchlist",""))))</f>
        <v/>
      </c>
      <c r="X315" s="21" t="str">
        <f aca="false">'Player Data'!V315</f>
        <v>info@daegufc.kr</v>
      </c>
      <c r="Y315" s="28" t="str">
        <f aca="false">'Player Data'!W315</f>
        <v>Go through the player's agent - ask the club to confirm representation first</v>
      </c>
      <c r="Z315" s="28" t="str">
        <f aca="false">'Player Data'!X315</f>
        <v>KFA (Korea Football Association) player registry</v>
      </c>
      <c r="AA315" s="19" t="str">
        <f aca="false">HYPERLINK("https://www.transfermarkt.com/schnellsuche/ergebnis/schnellsuche?query="&amp;SUBSTITUTE(A315," ","+"),"Search Transfermarkt")</f>
        <v>Search Transfermarkt</v>
      </c>
      <c r="AB315" s="29" t="n">
        <f aca="false">IFERROR('Player Data'!K315/('Player Data'!K315+'Player Data'!L315),0)</f>
        <v>0.678391959798995</v>
      </c>
      <c r="AC315" s="21" t="str">
        <f aca="false">IF(B315="GK",IF(AND(O315&gt;=Assumptions!$B$23,N315&gt;=Assumptions!$B$23),"Sweeper-Keeper / Build-from-the-Back",IF(O315&gt;=Assumptions!$B$23,"Sweeper-Keeper / High Line",IF(M315&gt;=Assumptions!$B$23,"Shot-Stopper / Traditional","Flexible / Multi-System"))),IF(AND(O315&gt;=Assumptions!$B$23,P315&gt;=Assumptions!$B$24),"High Press / Gegenpressing",IF(AND(N315&gt;=Assumptions!$B$23,AB315&gt;=Assumptions!$B$25),"Possession / Build-from-the-Back",IF(N315&gt;=Assumptions!$B$23,"Counter-Attack / Transition",IF(AND(O315&gt;=Assumptions!$B$23,N315&lt;Assumptions!$B$26),"Low Block / Park the Bus",IF(AND(B315="FW",M315&gt;=Assumptions!$B$23,N315&lt;Assumptions!$B$26),"Direct / Target Approach","Flexible / Multi-System"))))))</f>
        <v>Flexible / Multi-System</v>
      </c>
      <c r="AD315" s="21" t="str">
        <f aca="false">'Player Data'!Y315</f>
        <v>2026-07-17</v>
      </c>
      <c r="AE315" s="21" t="str">
        <f aca="false">'Player Data'!Z315</f>
        <v>2026-07-17</v>
      </c>
      <c r="AF315" s="28" t="str">
        <f aca="false">IFERROR(INDEX(Assumptions!$B$30:$B$61,MATCH(C315,Assumptions!$A$30:$A$61,0)),"--")</f>
        <v>Belgium, Saudi Arabia</v>
      </c>
      <c r="AG315" s="30" t="str">
        <f aca="false">IF(R315&gt;=0.7,"Step-Up Candidate",IF(R315&gt;=0.4,"Lateral Move","Stay &amp; Develop"))</f>
        <v>Lateral Move</v>
      </c>
    </row>
    <row r="316" customFormat="false" ht="23.85" hidden="false" customHeight="false" outlineLevel="0" collapsed="false">
      <c r="A316" s="21" t="str">
        <f aca="false">'Player Data'!A316</f>
        <v>Kristijan Mitrovski</v>
      </c>
      <c r="B316" s="21" t="str">
        <f aca="false">'Player Data'!F316</f>
        <v>MF</v>
      </c>
      <c r="C316" s="21" t="str">
        <f aca="false">'Player Data'!B316</f>
        <v>North Macedonia</v>
      </c>
      <c r="D316" s="21" t="str">
        <f aca="false">'Player Data'!C316</f>
        <v>North Macedonia Second Division</v>
      </c>
      <c r="E316" s="21" t="n">
        <f aca="false">'Player Data'!D316</f>
        <v>3</v>
      </c>
      <c r="F316" s="21" t="n">
        <f aca="false">'Player Data'!G316</f>
        <v>19</v>
      </c>
      <c r="G316" s="21" t="n">
        <f aca="false">'Player Data'!H316</f>
        <v>1251</v>
      </c>
      <c r="H316" s="22" t="n">
        <f aca="false">IF(B316="GK",IFERROR(('Player Data'!N316-1.5*'Player Data'!O316)/'Player Data'!H316*90,0),IFERROR(('Player Data'!I316+'Player Data'!J316)/'Player Data'!H316*90,0))</f>
        <v>0.79136690647482</v>
      </c>
      <c r="I316" s="22" t="n">
        <f aca="false">IF(B316="GK",'Player Data'!P316,IFERROR(('Player Data'!K316+'Player Data'!L316)/'Player Data'!H316*90,0))</f>
        <v>13.4532374100719</v>
      </c>
      <c r="J316" s="22" t="n">
        <f aca="false">IF(B316="GK",IFERROR('Player Data'!Q316/'Player Data'!H316*90,0),IFERROR('Player Data'!M316/'Player Data'!H316*90,0))</f>
        <v>3.45323741007194</v>
      </c>
      <c r="K316" s="23" t="n">
        <f aca="false">'Player Data'!S316</f>
        <v>13273</v>
      </c>
      <c r="L316" s="22" t="n">
        <f aca="false">INDEX(Assumptions!$B$13:$B$15,MATCH(E316,Assumptions!$A$13:$A$15,0))</f>
        <v>0.85</v>
      </c>
      <c r="M316" s="24" t="n">
        <f aca="false">IFERROR(SUMPRODUCT(($B$2:$B$1001=B316)*($H$2:$H$1001&lt;=H316))/SUMPRODUCT(($B$2:$B$1001=B316)*1),0)</f>
        <v>0.582491582491583</v>
      </c>
      <c r="N316" s="24" t="n">
        <f aca="false">IFERROR(SUMPRODUCT(($B$2:$B$1001=B316)*($I$2:$I$1001&lt;=I316))/SUMPRODUCT(($B$2:$B$1001=B316)*1),0)</f>
        <v>0.683501683501684</v>
      </c>
      <c r="O316" s="24" t="n">
        <f aca="false">IFERROR(SUMPRODUCT(($B$2:$B$1001=B316)*($J$2:$J$1001&lt;=J316))/SUMPRODUCT(($B$2:$B$1001=B316)*1),0)</f>
        <v>0.848484848484849</v>
      </c>
      <c r="P316" s="24" t="n">
        <f aca="false">IFERROR(SUMPRODUCT(($B$2:$B$1001=B316)*((0-$F$2:$F$1001)&lt;=(0-F316)))/SUMPRODUCT(($B$2:$B$1001=B316)*1),0)</f>
        <v>0.868686868686869</v>
      </c>
      <c r="Q316" s="25" t="n">
        <f aca="false">(M316*Assumptions!$B$5+N316*Assumptions!$B$6+O316*Assumptions!$B$7+P316*Assumptions!$B$8)*L316</f>
        <v>0.619040404040404</v>
      </c>
      <c r="R316" s="24" t="n">
        <f aca="false">IFERROR(SUMPRODUCT(($B$2:$B$1001=B316)*($Q$2:$Q$1001&lt;=Q316))/SUMPRODUCT(($B$2:$B$1001=B316)*1),0)</f>
        <v>0.774410774410774</v>
      </c>
      <c r="S316" s="24" t="n">
        <f aca="false">IFERROR(SUMPRODUCT(($B$2:$B$1001=B316)*($K$2:$K$1001&lt;=K316))/SUMPRODUCT(($B$2:$B$1001=B316)*1),0)</f>
        <v>0.245791245791246</v>
      </c>
      <c r="T316" s="26" t="n">
        <f aca="false">(R316-S316)*100</f>
        <v>52.8619528619529</v>
      </c>
      <c r="U316" s="21" t="str">
        <f aca="false">'Player Data'!T316</f>
        <v>Unknown</v>
      </c>
      <c r="V316" s="27" t="n">
        <f aca="false">'Player Data'!U316</f>
        <v>2029</v>
      </c>
      <c r="W316" s="21" t="str">
        <f aca="false">IF(AND(T316&gt;=Assumptions!$B$19,U316="No"),"High Priority - Unrepresented",IF(T316&gt;=Assumptions!$B$19,"High Priority",IF(AND(T316&gt;=Assumptions!$B$20,U316="No"),"Watchlist - Unrepresented",IF(T316&gt;=Assumptions!$B$20,"Watchlist",""))))</f>
        <v>High Priority</v>
      </c>
      <c r="X316" s="21" t="str">
        <f aca="false">'Player Data'!V316</f>
        <v>info@stiprangers.mk</v>
      </c>
      <c r="Y316" s="28" t="str">
        <f aca="false">'Player Data'!W316</f>
        <v>Club sporting director / first-team office</v>
      </c>
      <c r="Z316" s="28" t="str">
        <f aca="false">'Player Data'!X316</f>
        <v>FFM (Football Federation of North Macedonia) player registry</v>
      </c>
      <c r="AA316" s="19" t="str">
        <f aca="false">HYPERLINK("https://www.transfermarkt.com/schnellsuche/ergebnis/schnellsuche?query="&amp;SUBSTITUTE(A316," ","+"),"Search Transfermarkt")</f>
        <v>Search Transfermarkt</v>
      </c>
      <c r="AB316" s="29" t="n">
        <f aca="false">IFERROR('Player Data'!K316/('Player Data'!K316+'Player Data'!L316),0)</f>
        <v>0.67379679144385</v>
      </c>
      <c r="AC316" s="21" t="str">
        <f aca="false">IF(B316="GK",IF(AND(O316&gt;=Assumptions!$B$23,N316&gt;=Assumptions!$B$23),"Sweeper-Keeper / Build-from-the-Back",IF(O316&gt;=Assumptions!$B$23,"Sweeper-Keeper / High Line",IF(M316&gt;=Assumptions!$B$23,"Shot-Stopper / Traditional","Flexible / Multi-System"))),IF(AND(O316&gt;=Assumptions!$B$23,P316&gt;=Assumptions!$B$24),"High Press / Gegenpressing",IF(AND(N316&gt;=Assumptions!$B$23,AB316&gt;=Assumptions!$B$25),"Possession / Build-from-the-Back",IF(N316&gt;=Assumptions!$B$23,"Counter-Attack / Transition",IF(AND(O316&gt;=Assumptions!$B$23,N316&lt;Assumptions!$B$26),"Low Block / Park the Bus",IF(AND(B316="FW",M316&gt;=Assumptions!$B$23,N316&lt;Assumptions!$B$26),"Direct / Target Approach","Flexible / Multi-System"))))))</f>
        <v>High Press / Gegenpressing</v>
      </c>
      <c r="AD316" s="21" t="str">
        <f aca="false">'Player Data'!Y316</f>
        <v>2026-07-17</v>
      </c>
      <c r="AE316" s="21" t="str">
        <f aca="false">'Player Data'!Z316</f>
        <v>2026-07-17</v>
      </c>
      <c r="AF316" s="28" t="str">
        <f aca="false">IFERROR(INDEX(Assumptions!$B$30:$B$61,MATCH(C316,Assumptions!$A$30:$A$61,0)),"--")</f>
        <v>Austria, Turkey</v>
      </c>
      <c r="AG316" s="30" t="str">
        <f aca="false">IF(R316&gt;=0.7,"Step-Up Candidate",IF(R316&gt;=0.4,"Lateral Move","Stay &amp; Develop"))</f>
        <v>Step-Up Candidate</v>
      </c>
    </row>
    <row r="317" customFormat="false" ht="23.85" hidden="false" customHeight="false" outlineLevel="0" collapsed="false">
      <c r="A317" s="21" t="str">
        <f aca="false">'Player Data'!A317</f>
        <v>Emmanuel Banda</v>
      </c>
      <c r="B317" s="21" t="str">
        <f aca="false">'Player Data'!F317</f>
        <v>DF</v>
      </c>
      <c r="C317" s="21" t="str">
        <f aca="false">'Player Data'!B317</f>
        <v>Zambia</v>
      </c>
      <c r="D317" s="21" t="str">
        <f aca="false">'Player Data'!C317</f>
        <v>Zambia Regional League</v>
      </c>
      <c r="E317" s="21" t="n">
        <f aca="false">'Player Data'!D317</f>
        <v>2</v>
      </c>
      <c r="F317" s="21" t="n">
        <f aca="false">'Player Data'!G317</f>
        <v>24</v>
      </c>
      <c r="G317" s="21" t="n">
        <f aca="false">'Player Data'!H317</f>
        <v>2561</v>
      </c>
      <c r="H317" s="22" t="n">
        <f aca="false">IF(B317="GK",IFERROR(('Player Data'!N317-1.5*'Player Data'!O317)/'Player Data'!H317*90,0),IFERROR(('Player Data'!I317+'Player Data'!J317)/'Player Data'!H317*90,0))</f>
        <v>0.175712612260836</v>
      </c>
      <c r="I317" s="22" t="n">
        <f aca="false">IF(B317="GK",'Player Data'!P317,IFERROR(('Player Data'!K317+'Player Data'!L317)/'Player Data'!H317*90,0))</f>
        <v>2.3545490042952</v>
      </c>
      <c r="J317" s="22" t="n">
        <f aca="false">IF(B317="GK",IFERROR('Player Data'!Q317/'Player Data'!H317*90,0),IFERROR('Player Data'!M317/'Player Data'!H317*90,0))</f>
        <v>3.79539242483405</v>
      </c>
      <c r="K317" s="23" t="n">
        <f aca="false">'Player Data'!S317</f>
        <v>57982</v>
      </c>
      <c r="L317" s="22" t="n">
        <f aca="false">INDEX(Assumptions!$B$13:$B$15,MATCH(E317,Assumptions!$A$13:$A$15,0))</f>
        <v>1</v>
      </c>
      <c r="M317" s="24" t="n">
        <f aca="false">IFERROR(SUMPRODUCT(($B$2:$B$1001=B317)*($H$2:$H$1001&lt;=H317))/SUMPRODUCT(($B$2:$B$1001=B317)*1),0)</f>
        <v>0.459183673469388</v>
      </c>
      <c r="N317" s="24" t="n">
        <f aca="false">IFERROR(SUMPRODUCT(($B$2:$B$1001=B317)*($I$2:$I$1001&lt;=I317))/SUMPRODUCT(($B$2:$B$1001=B317)*1),0)</f>
        <v>0.00680272108843537</v>
      </c>
      <c r="O317" s="24" t="n">
        <f aca="false">IFERROR(SUMPRODUCT(($B$2:$B$1001=B317)*($J$2:$J$1001&lt;=J317))/SUMPRODUCT(($B$2:$B$1001=B317)*1),0)</f>
        <v>0.187074829931973</v>
      </c>
      <c r="P317" s="24" t="n">
        <f aca="false">IFERROR(SUMPRODUCT(($B$2:$B$1001=B317)*((0-$F$2:$F$1001)&lt;=(0-F317)))/SUMPRODUCT(($B$2:$B$1001=B317)*1),0)</f>
        <v>0.275510204081633</v>
      </c>
      <c r="Q317" s="25" t="n">
        <f aca="false">(M317*Assumptions!$B$5+N317*Assumptions!$B$6+O317*Assumptions!$B$7+P317*Assumptions!$B$8)*L317</f>
        <v>0.20969387755102</v>
      </c>
      <c r="R317" s="24" t="n">
        <f aca="false">IFERROR(SUMPRODUCT(($B$2:$B$1001=B317)*($Q$2:$Q$1001&lt;=Q317))/SUMPRODUCT(($B$2:$B$1001=B317)*1),0)</f>
        <v>0.0884353741496599</v>
      </c>
      <c r="S317" s="24" t="n">
        <f aca="false">IFERROR(SUMPRODUCT(($B$2:$B$1001=B317)*($K$2:$K$1001&lt;=K317))/SUMPRODUCT(($B$2:$B$1001=B317)*1),0)</f>
        <v>0.472789115646259</v>
      </c>
      <c r="T317" s="26" t="n">
        <f aca="false">(R317-S317)*100</f>
        <v>-38.4353741496599</v>
      </c>
      <c r="U317" s="21" t="str">
        <f aca="false">'Player Data'!T317</f>
        <v>No</v>
      </c>
      <c r="V317" s="27" t="n">
        <f aca="false">'Player Data'!U317</f>
        <v>2028</v>
      </c>
      <c r="W317" s="21" t="str">
        <f aca="false">IF(AND(T317&gt;=Assumptions!$B$19,U317="No"),"High Priority - Unrepresented",IF(T317&gt;=Assumptions!$B$19,"High Priority",IF(AND(T317&gt;=Assumptions!$B$20,U317="No"),"Watchlist - Unrepresented",IF(T317&gt;=Assumptions!$B$20,"Watchlist",""))))</f>
        <v/>
      </c>
      <c r="X317" s="21" t="str">
        <f aca="false">'Player Data'!V317</f>
        <v>info@livingstoneunited.zm</v>
      </c>
      <c r="Y317" s="28" t="str">
        <f aca="false">'Player Data'!W317</f>
        <v>Club sporting director / first-team office</v>
      </c>
      <c r="Z317" s="28" t="str">
        <f aca="false">'Player Data'!X317</f>
        <v>FAZ (Football Association of Zambia) player registry</v>
      </c>
      <c r="AA317" s="19" t="str">
        <f aca="false">HYPERLINK("https://www.transfermarkt.com/schnellsuche/ergebnis/schnellsuche?query="&amp;SUBSTITUTE(A317," ","+"),"Search Transfermarkt")</f>
        <v>Search Transfermarkt</v>
      </c>
      <c r="AB317" s="29" t="n">
        <f aca="false">IFERROR('Player Data'!K317/('Player Data'!K317+'Player Data'!L317),0)</f>
        <v>0.611940298507463</v>
      </c>
      <c r="AC317" s="21" t="str">
        <f aca="false">IF(B317="GK",IF(AND(O317&gt;=Assumptions!$B$23,N317&gt;=Assumptions!$B$23),"Sweeper-Keeper / Build-from-the-Back",IF(O317&gt;=Assumptions!$B$23,"Sweeper-Keeper / High Line",IF(M317&gt;=Assumptions!$B$23,"Shot-Stopper / Traditional","Flexible / Multi-System"))),IF(AND(O317&gt;=Assumptions!$B$23,P317&gt;=Assumptions!$B$24),"High Press / Gegenpressing",IF(AND(N317&gt;=Assumptions!$B$23,AB317&gt;=Assumptions!$B$25),"Possession / Build-from-the-Back",IF(N317&gt;=Assumptions!$B$23,"Counter-Attack / Transition",IF(AND(O317&gt;=Assumptions!$B$23,N317&lt;Assumptions!$B$26),"Low Block / Park the Bus",IF(AND(B317="FW",M317&gt;=Assumptions!$B$23,N317&lt;Assumptions!$B$26),"Direct / Target Approach","Flexible / Multi-System"))))))</f>
        <v>Flexible / Multi-System</v>
      </c>
      <c r="AD317" s="21" t="str">
        <f aca="false">'Player Data'!Y317</f>
        <v>2026-07-17</v>
      </c>
      <c r="AE317" s="21" t="str">
        <f aca="false">'Player Data'!Z317</f>
        <v>2026-07-17</v>
      </c>
      <c r="AF317" s="28" t="str">
        <f aca="false">IFERROR(INDEX(Assumptions!$B$30:$B$61,MATCH(C317,Assumptions!$A$30:$A$61,0)),"--")</f>
        <v>Belgium, Portugal</v>
      </c>
      <c r="AG317" s="30" t="str">
        <f aca="false">IF(R317&gt;=0.7,"Step-Up Candidate",IF(R317&gt;=0.4,"Lateral Move","Stay &amp; Develop"))</f>
        <v>Stay &amp; Develop</v>
      </c>
    </row>
    <row r="318" customFormat="false" ht="23.85" hidden="false" customHeight="false" outlineLevel="0" collapsed="false">
      <c r="A318" s="21" t="str">
        <f aca="false">'Player Data'!A318</f>
        <v>Blaze Stojanovski</v>
      </c>
      <c r="B318" s="21" t="str">
        <f aca="false">'Player Data'!F318</f>
        <v>MF</v>
      </c>
      <c r="C318" s="21" t="str">
        <f aca="false">'Player Data'!B318</f>
        <v>North Macedonia</v>
      </c>
      <c r="D318" s="21" t="str">
        <f aca="false">'Player Data'!C318</f>
        <v>North Macedonia Second Division - East</v>
      </c>
      <c r="E318" s="21" t="n">
        <f aca="false">'Player Data'!D318</f>
        <v>3</v>
      </c>
      <c r="F318" s="21" t="n">
        <f aca="false">'Player Data'!G318</f>
        <v>19</v>
      </c>
      <c r="G318" s="21" t="n">
        <f aca="false">'Player Data'!H318</f>
        <v>2217</v>
      </c>
      <c r="H318" s="22" t="n">
        <f aca="false">IF(B318="GK",IFERROR(('Player Data'!N318-1.5*'Player Data'!O318)/'Player Data'!H318*90,0),IFERROR(('Player Data'!I318+'Player Data'!J318)/'Player Data'!H318*90,0))</f>
        <v>0.60893098782138</v>
      </c>
      <c r="I318" s="22" t="n">
        <f aca="false">IF(B318="GK",'Player Data'!P318,IFERROR(('Player Data'!K318+'Player Data'!L318)/'Player Data'!H318*90,0))</f>
        <v>7.42895805142084</v>
      </c>
      <c r="J318" s="22" t="n">
        <f aca="false">IF(B318="GK",IFERROR('Player Data'!Q318/'Player Data'!H318*90,0),IFERROR('Player Data'!M318/'Player Data'!H318*90,0))</f>
        <v>1.90798376184032</v>
      </c>
      <c r="K318" s="23" t="n">
        <f aca="false">'Player Data'!S318</f>
        <v>129165</v>
      </c>
      <c r="L318" s="22" t="n">
        <f aca="false">INDEX(Assumptions!$B$13:$B$15,MATCH(E318,Assumptions!$A$13:$A$15,0))</f>
        <v>0.85</v>
      </c>
      <c r="M318" s="24" t="n">
        <f aca="false">IFERROR(SUMPRODUCT(($B$2:$B$1001=B318)*($H$2:$H$1001&lt;=H318))/SUMPRODUCT(($B$2:$B$1001=B318)*1),0)</f>
        <v>0.343434343434343</v>
      </c>
      <c r="N318" s="24" t="n">
        <f aca="false">IFERROR(SUMPRODUCT(($B$2:$B$1001=B318)*($I$2:$I$1001&lt;=I318))/SUMPRODUCT(($B$2:$B$1001=B318)*1),0)</f>
        <v>0.0976430976430976</v>
      </c>
      <c r="O318" s="24" t="n">
        <f aca="false">IFERROR(SUMPRODUCT(($B$2:$B$1001=B318)*($J$2:$J$1001&lt;=J318))/SUMPRODUCT(($B$2:$B$1001=B318)*1),0)</f>
        <v>0.377104377104377</v>
      </c>
      <c r="P318" s="24" t="n">
        <f aca="false">IFERROR(SUMPRODUCT(($B$2:$B$1001=B318)*((0-$F$2:$F$1001)&lt;=(0-F318)))/SUMPRODUCT(($B$2:$B$1001=B318)*1),0)</f>
        <v>0.868686868686869</v>
      </c>
      <c r="Q318" s="25" t="n">
        <f aca="false">(M318*Assumptions!$B$5+N318*Assumptions!$B$6+O318*Assumptions!$B$7+P318*Assumptions!$B$8)*L318</f>
        <v>0.313813131313131</v>
      </c>
      <c r="R318" s="24" t="n">
        <f aca="false">IFERROR(SUMPRODUCT(($B$2:$B$1001=B318)*($Q$2:$Q$1001&lt;=Q318))/SUMPRODUCT(($B$2:$B$1001=B318)*1),0)</f>
        <v>0.262626262626263</v>
      </c>
      <c r="S318" s="24" t="n">
        <f aca="false">IFERROR(SUMPRODUCT(($B$2:$B$1001=B318)*($K$2:$K$1001&lt;=K318))/SUMPRODUCT(($B$2:$B$1001=B318)*1),0)</f>
        <v>0.909090909090909</v>
      </c>
      <c r="T318" s="26" t="n">
        <f aca="false">(R318-S318)*100</f>
        <v>-64.6464646464646</v>
      </c>
      <c r="U318" s="21" t="str">
        <f aca="false">'Player Data'!T318</f>
        <v>Yes</v>
      </c>
      <c r="V318" s="27" t="n">
        <f aca="false">'Player Data'!U318</f>
        <v>2029</v>
      </c>
      <c r="W318" s="21" t="str">
        <f aca="false">IF(AND(T318&gt;=Assumptions!$B$19,U318="No"),"High Priority - Unrepresented",IF(T318&gt;=Assumptions!$B$19,"High Priority",IF(AND(T318&gt;=Assumptions!$B$20,U318="No"),"Watchlist - Unrepresented",IF(T318&gt;=Assumptions!$B$20,"Watchlist",""))))</f>
        <v/>
      </c>
      <c r="X318" s="21" t="str">
        <f aca="false">'Player Data'!V318</f>
        <v>info@tetovosc.mk</v>
      </c>
      <c r="Y318" s="28" t="str">
        <f aca="false">'Player Data'!W318</f>
        <v>Go through the player's agent - ask the club to confirm representation first</v>
      </c>
      <c r="Z318" s="28" t="str">
        <f aca="false">'Player Data'!X318</f>
        <v>FFM (Football Federation of North Macedonia) player registry</v>
      </c>
      <c r="AA318" s="19" t="str">
        <f aca="false">HYPERLINK("https://www.transfermarkt.com/schnellsuche/ergebnis/schnellsuche?query="&amp;SUBSTITUTE(A318," ","+"),"Search Transfermarkt")</f>
        <v>Search Transfermarkt</v>
      </c>
      <c r="AB318" s="29" t="n">
        <f aca="false">IFERROR('Player Data'!K318/('Player Data'!K318+'Player Data'!L318),0)</f>
        <v>0.693989071038251</v>
      </c>
      <c r="AC318" s="21" t="str">
        <f aca="false">IF(B318="GK",IF(AND(O318&gt;=Assumptions!$B$23,N318&gt;=Assumptions!$B$23),"Sweeper-Keeper / Build-from-the-Back",IF(O318&gt;=Assumptions!$B$23,"Sweeper-Keeper / High Line",IF(M318&gt;=Assumptions!$B$23,"Shot-Stopper / Traditional","Flexible / Multi-System"))),IF(AND(O318&gt;=Assumptions!$B$23,P318&gt;=Assumptions!$B$24),"High Press / Gegenpressing",IF(AND(N318&gt;=Assumptions!$B$23,AB318&gt;=Assumptions!$B$25),"Possession / Build-from-the-Back",IF(N318&gt;=Assumptions!$B$23,"Counter-Attack / Transition",IF(AND(O318&gt;=Assumptions!$B$23,N318&lt;Assumptions!$B$26),"Low Block / Park the Bus",IF(AND(B318="FW",M318&gt;=Assumptions!$B$23,N318&lt;Assumptions!$B$26),"Direct / Target Approach","Flexible / Multi-System"))))))</f>
        <v>Flexible / Multi-System</v>
      </c>
      <c r="AD318" s="21" t="str">
        <f aca="false">'Player Data'!Y318</f>
        <v>2026-07-17</v>
      </c>
      <c r="AE318" s="21" t="str">
        <f aca="false">'Player Data'!Z318</f>
        <v>2026-07-17</v>
      </c>
      <c r="AF318" s="28" t="str">
        <f aca="false">IFERROR(INDEX(Assumptions!$B$30:$B$61,MATCH(C318,Assumptions!$A$30:$A$61,0)),"--")</f>
        <v>Austria, Turkey</v>
      </c>
      <c r="AG318" s="30" t="str">
        <f aca="false">IF(R318&gt;=0.7,"Step-Up Candidate",IF(R318&gt;=0.4,"Lateral Move","Stay &amp; Develop"))</f>
        <v>Stay &amp; Develop</v>
      </c>
    </row>
    <row r="319" customFormat="false" ht="23.85" hidden="false" customHeight="false" outlineLevel="0" collapsed="false">
      <c r="A319" s="21" t="str">
        <f aca="false">'Player Data'!A319</f>
        <v>Agustin Rodriguez</v>
      </c>
      <c r="B319" s="21" t="str">
        <f aca="false">'Player Data'!F319</f>
        <v>DF</v>
      </c>
      <c r="C319" s="21" t="str">
        <f aca="false">'Player Data'!B319</f>
        <v>Uruguay</v>
      </c>
      <c r="D319" s="21" t="str">
        <f aca="false">'Player Data'!C319</f>
        <v>Uruguay Second Division - East</v>
      </c>
      <c r="E319" s="21" t="n">
        <f aca="false">'Player Data'!D319</f>
        <v>2</v>
      </c>
      <c r="F319" s="21" t="n">
        <f aca="false">'Player Data'!G319</f>
        <v>23</v>
      </c>
      <c r="G319" s="21" t="n">
        <f aca="false">'Player Data'!H319</f>
        <v>2433</v>
      </c>
      <c r="H319" s="22" t="n">
        <f aca="false">IF(B319="GK",IFERROR(('Player Data'!N319-1.5*'Player Data'!O319)/'Player Data'!H319*90,0),IFERROR(('Player Data'!I319+'Player Data'!J319)/'Player Data'!H319*90,0))</f>
        <v>0.147965474722565</v>
      </c>
      <c r="I319" s="22" t="n">
        <f aca="false">IF(B319="GK",'Player Data'!P319,IFERROR(('Player Data'!K319+'Player Data'!L319)/'Player Data'!H319*90,0))</f>
        <v>2.66337854500617</v>
      </c>
      <c r="J319" s="22" t="n">
        <f aca="false">IF(B319="GK",IFERROR('Player Data'!Q319/'Player Data'!H319*90,0),IFERROR('Player Data'!M319/'Player Data'!H319*90,0))</f>
        <v>4.10604192355117</v>
      </c>
      <c r="K319" s="23" t="n">
        <f aca="false">'Player Data'!S319</f>
        <v>22866</v>
      </c>
      <c r="L319" s="22" t="n">
        <f aca="false">INDEX(Assumptions!$B$13:$B$15,MATCH(E319,Assumptions!$A$13:$A$15,0))</f>
        <v>1</v>
      </c>
      <c r="M319" s="24" t="n">
        <f aca="false">IFERROR(SUMPRODUCT(($B$2:$B$1001=B319)*($H$2:$H$1001&lt;=H319))/SUMPRODUCT(($B$2:$B$1001=B319)*1),0)</f>
        <v>0.360544217687075</v>
      </c>
      <c r="N319" s="24" t="n">
        <f aca="false">IFERROR(SUMPRODUCT(($B$2:$B$1001=B319)*($I$2:$I$1001&lt;=I319))/SUMPRODUCT(($B$2:$B$1001=B319)*1),0)</f>
        <v>0.0408163265306122</v>
      </c>
      <c r="O319" s="24" t="n">
        <f aca="false">IFERROR(SUMPRODUCT(($B$2:$B$1001=B319)*($J$2:$J$1001&lt;=J319))/SUMPRODUCT(($B$2:$B$1001=B319)*1),0)</f>
        <v>0.251700680272109</v>
      </c>
      <c r="P319" s="24" t="n">
        <f aca="false">IFERROR(SUMPRODUCT(($B$2:$B$1001=B319)*((0-$F$2:$F$1001)&lt;=(0-F319)))/SUMPRODUCT(($B$2:$B$1001=B319)*1),0)</f>
        <v>0.374149659863946</v>
      </c>
      <c r="Q319" s="25" t="n">
        <f aca="false">(M319*Assumptions!$B$5+N319*Assumptions!$B$6+O319*Assumptions!$B$7+P319*Assumptions!$B$8)*L319</f>
        <v>0.229591836734694</v>
      </c>
      <c r="R319" s="24" t="n">
        <f aca="false">IFERROR(SUMPRODUCT(($B$2:$B$1001=B319)*($Q$2:$Q$1001&lt;=Q319))/SUMPRODUCT(($B$2:$B$1001=B319)*1),0)</f>
        <v>0.112244897959184</v>
      </c>
      <c r="S319" s="24" t="n">
        <f aca="false">IFERROR(SUMPRODUCT(($B$2:$B$1001=B319)*($K$2:$K$1001&lt;=K319))/SUMPRODUCT(($B$2:$B$1001=B319)*1),0)</f>
        <v>0.319727891156463</v>
      </c>
      <c r="T319" s="26" t="n">
        <f aca="false">(R319-S319)*100</f>
        <v>-20.7482993197279</v>
      </c>
      <c r="U319" s="21" t="str">
        <f aca="false">'Player Data'!T319</f>
        <v>Unknown</v>
      </c>
      <c r="V319" s="27" t="n">
        <f aca="false">'Player Data'!U319</f>
        <v>2026</v>
      </c>
      <c r="W319" s="21" t="str">
        <f aca="false">IF(AND(T319&gt;=Assumptions!$B$19,U319="No"),"High Priority - Unrepresented",IF(T319&gt;=Assumptions!$B$19,"High Priority",IF(AND(T319&gt;=Assumptions!$B$20,U319="No"),"Watchlist - Unrepresented",IF(T319&gt;=Assumptions!$B$20,"Watchlist",""))))</f>
        <v/>
      </c>
      <c r="X319" s="21" t="str">
        <f aca="false">'Player Data'!V319</f>
        <v>info@paysandufc.uy</v>
      </c>
      <c r="Y319" s="28" t="str">
        <f aca="false">'Player Data'!W319</f>
        <v>Club sporting director / first-team office</v>
      </c>
      <c r="Z319" s="28" t="str">
        <f aca="false">'Player Data'!X319</f>
        <v>AUF (Uruguayan Football Association) player registry</v>
      </c>
      <c r="AA319" s="19" t="str">
        <f aca="false">HYPERLINK("https://www.transfermarkt.com/schnellsuche/ergebnis/schnellsuche?query="&amp;SUBSTITUTE(A319," ","+"),"Search Transfermarkt")</f>
        <v>Search Transfermarkt</v>
      </c>
      <c r="AB319" s="29" t="n">
        <f aca="false">IFERROR('Player Data'!K319/('Player Data'!K319+'Player Data'!L319),0)</f>
        <v>0.583333333333333</v>
      </c>
      <c r="AC319" s="21" t="str">
        <f aca="false">IF(B319="GK",IF(AND(O319&gt;=Assumptions!$B$23,N319&gt;=Assumptions!$B$23),"Sweeper-Keeper / Build-from-the-Back",IF(O319&gt;=Assumptions!$B$23,"Sweeper-Keeper / High Line",IF(M319&gt;=Assumptions!$B$23,"Shot-Stopper / Traditional","Flexible / Multi-System"))),IF(AND(O319&gt;=Assumptions!$B$23,P319&gt;=Assumptions!$B$24),"High Press / Gegenpressing",IF(AND(N319&gt;=Assumptions!$B$23,AB319&gt;=Assumptions!$B$25),"Possession / Build-from-the-Back",IF(N319&gt;=Assumptions!$B$23,"Counter-Attack / Transition",IF(AND(O319&gt;=Assumptions!$B$23,N319&lt;Assumptions!$B$26),"Low Block / Park the Bus",IF(AND(B319="FW",M319&gt;=Assumptions!$B$23,N319&lt;Assumptions!$B$26),"Direct / Target Approach","Flexible / Multi-System"))))))</f>
        <v>Flexible / Multi-System</v>
      </c>
      <c r="AD319" s="21" t="str">
        <f aca="false">'Player Data'!Y319</f>
        <v>2026-07-17</v>
      </c>
      <c r="AE319" s="21" t="str">
        <f aca="false">'Player Data'!Z319</f>
        <v>2026-07-17</v>
      </c>
      <c r="AF319" s="28" t="str">
        <f aca="false">IFERROR(INDEX(Assumptions!$B$30:$B$61,MATCH(C319,Assumptions!$A$30:$A$61,0)),"--")</f>
        <v>Argentina, Portugal</v>
      </c>
      <c r="AG319" s="30" t="str">
        <f aca="false">IF(R319&gt;=0.7,"Step-Up Candidate",IF(R319&gt;=0.4,"Lateral Move","Stay &amp; Develop"))</f>
        <v>Stay &amp; Develop</v>
      </c>
    </row>
    <row r="320" customFormat="false" ht="23.85" hidden="false" customHeight="false" outlineLevel="0" collapsed="false">
      <c r="A320" s="21" t="str">
        <f aca="false">'Player Data'!A320</f>
        <v>Federico Gonzalez</v>
      </c>
      <c r="B320" s="21" t="str">
        <f aca="false">'Player Data'!F320</f>
        <v>MF</v>
      </c>
      <c r="C320" s="21" t="str">
        <f aca="false">'Player Data'!B320</f>
        <v>Uruguay</v>
      </c>
      <c r="D320" s="21" t="str">
        <f aca="false">'Player Data'!C320</f>
        <v>Uruguay Regional League</v>
      </c>
      <c r="E320" s="21" t="n">
        <f aca="false">'Player Data'!D320</f>
        <v>2</v>
      </c>
      <c r="F320" s="21" t="n">
        <f aca="false">'Player Data'!G320</f>
        <v>25</v>
      </c>
      <c r="G320" s="21" t="n">
        <f aca="false">'Player Data'!H320</f>
        <v>2319</v>
      </c>
      <c r="H320" s="22" t="n">
        <f aca="false">IF(B320="GK",IFERROR(('Player Data'!N320-1.5*'Player Data'!O320)/'Player Data'!H320*90,0),IFERROR(('Player Data'!I320+'Player Data'!J320)/'Player Data'!H320*90,0))</f>
        <v>0.465717981888745</v>
      </c>
      <c r="I320" s="22" t="n">
        <f aca="false">IF(B320="GK",'Player Data'!P320,IFERROR(('Player Data'!K320+'Player Data'!L320)/'Player Data'!H320*90,0))</f>
        <v>6.52005174644243</v>
      </c>
      <c r="J320" s="22" t="n">
        <f aca="false">IF(B320="GK",IFERROR('Player Data'!Q320/'Player Data'!H320*90,0),IFERROR('Player Data'!M320/'Player Data'!H320*90,0))</f>
        <v>1.66882276843467</v>
      </c>
      <c r="K320" s="23" t="n">
        <f aca="false">'Player Data'!S320</f>
        <v>105754</v>
      </c>
      <c r="L320" s="22" t="n">
        <f aca="false">INDEX(Assumptions!$B$13:$B$15,MATCH(E320,Assumptions!$A$13:$A$15,0))</f>
        <v>1</v>
      </c>
      <c r="M320" s="24" t="n">
        <f aca="false">IFERROR(SUMPRODUCT(($B$2:$B$1001=B320)*($H$2:$H$1001&lt;=H320))/SUMPRODUCT(($B$2:$B$1001=B320)*1),0)</f>
        <v>0.175084175084175</v>
      </c>
      <c r="N320" s="24" t="n">
        <f aca="false">IFERROR(SUMPRODUCT(($B$2:$B$1001=B320)*($I$2:$I$1001&lt;=I320))/SUMPRODUCT(($B$2:$B$1001=B320)*1),0)</f>
        <v>0.0202020202020202</v>
      </c>
      <c r="O320" s="24" t="n">
        <f aca="false">IFERROR(SUMPRODUCT(($B$2:$B$1001=B320)*($J$2:$J$1001&lt;=J320))/SUMPRODUCT(($B$2:$B$1001=B320)*1),0)</f>
        <v>0.265993265993266</v>
      </c>
      <c r="P320" s="24" t="n">
        <f aca="false">IFERROR(SUMPRODUCT(($B$2:$B$1001=B320)*((0-$F$2:$F$1001)&lt;=(0-F320)))/SUMPRODUCT(($B$2:$B$1001=B320)*1),0)</f>
        <v>0.202020202020202</v>
      </c>
      <c r="Q320" s="25" t="n">
        <f aca="false">(M320*Assumptions!$B$5+N320*Assumptions!$B$6+O320*Assumptions!$B$7+P320*Assumptions!$B$8)*L320</f>
        <v>0.144444444444444</v>
      </c>
      <c r="R320" s="24" t="n">
        <f aca="false">IFERROR(SUMPRODUCT(($B$2:$B$1001=B320)*($Q$2:$Q$1001&lt;=Q320))/SUMPRODUCT(($B$2:$B$1001=B320)*1),0)</f>
        <v>0.0269360269360269</v>
      </c>
      <c r="S320" s="24" t="n">
        <f aca="false">IFERROR(SUMPRODUCT(($B$2:$B$1001=B320)*($K$2:$K$1001&lt;=K320))/SUMPRODUCT(($B$2:$B$1001=B320)*1),0)</f>
        <v>0.764309764309764</v>
      </c>
      <c r="T320" s="26" t="n">
        <f aca="false">(R320-S320)*100</f>
        <v>-73.7373737373737</v>
      </c>
      <c r="U320" s="21" t="str">
        <f aca="false">'Player Data'!T320</f>
        <v>Unknown</v>
      </c>
      <c r="V320" s="27" t="n">
        <f aca="false">'Player Data'!U320</f>
        <v>2029</v>
      </c>
      <c r="W320" s="21" t="str">
        <f aca="false">IF(AND(T320&gt;=Assumptions!$B$19,U320="No"),"High Priority - Unrepresented",IF(T320&gt;=Assumptions!$B$19,"High Priority",IF(AND(T320&gt;=Assumptions!$B$20,U320="No"),"Watchlist - Unrepresented",IF(T320&gt;=Assumptions!$B$20,"Watchlist",""))))</f>
        <v/>
      </c>
      <c r="X320" s="21" t="str">
        <f aca="false">'Player Data'!V320</f>
        <v>info@riverarovers.uy</v>
      </c>
      <c r="Y320" s="28" t="str">
        <f aca="false">'Player Data'!W320</f>
        <v>Club sporting director / first-team office</v>
      </c>
      <c r="Z320" s="28" t="str">
        <f aca="false">'Player Data'!X320</f>
        <v>AUF (Uruguayan Football Association) player registry</v>
      </c>
      <c r="AA320" s="19" t="str">
        <f aca="false">HYPERLINK("https://www.transfermarkt.com/schnellsuche/ergebnis/schnellsuche?query="&amp;SUBSTITUTE(A320," ","+"),"Search Transfermarkt")</f>
        <v>Search Transfermarkt</v>
      </c>
      <c r="AB320" s="29" t="n">
        <f aca="false">IFERROR('Player Data'!K320/('Player Data'!K320+'Player Data'!L320),0)</f>
        <v>0.636904761904762</v>
      </c>
      <c r="AC320" s="21" t="str">
        <f aca="false">IF(B320="GK",IF(AND(O320&gt;=Assumptions!$B$23,N320&gt;=Assumptions!$B$23),"Sweeper-Keeper / Build-from-the-Back",IF(O320&gt;=Assumptions!$B$23,"Sweeper-Keeper / High Line",IF(M320&gt;=Assumptions!$B$23,"Shot-Stopper / Traditional","Flexible / Multi-System"))),IF(AND(O320&gt;=Assumptions!$B$23,P320&gt;=Assumptions!$B$24),"High Press / Gegenpressing",IF(AND(N320&gt;=Assumptions!$B$23,AB320&gt;=Assumptions!$B$25),"Possession / Build-from-the-Back",IF(N320&gt;=Assumptions!$B$23,"Counter-Attack / Transition",IF(AND(O320&gt;=Assumptions!$B$23,N320&lt;Assumptions!$B$26),"Low Block / Park the Bus",IF(AND(B320="FW",M320&gt;=Assumptions!$B$23,N320&lt;Assumptions!$B$26),"Direct / Target Approach","Flexible / Multi-System"))))))</f>
        <v>Flexible / Multi-System</v>
      </c>
      <c r="AD320" s="21" t="str">
        <f aca="false">'Player Data'!Y320</f>
        <v>2026-07-17</v>
      </c>
      <c r="AE320" s="21" t="str">
        <f aca="false">'Player Data'!Z320</f>
        <v>2026-07-17</v>
      </c>
      <c r="AF320" s="28" t="str">
        <f aca="false">IFERROR(INDEX(Assumptions!$B$30:$B$61,MATCH(C320,Assumptions!$A$30:$A$61,0)),"--")</f>
        <v>Argentina, Portugal</v>
      </c>
      <c r="AG320" s="30" t="str">
        <f aca="false">IF(R320&gt;=0.7,"Step-Up Candidate",IF(R320&gt;=0.4,"Lateral Move","Stay &amp; Develop"))</f>
        <v>Stay &amp; Develop</v>
      </c>
    </row>
    <row r="321" customFormat="false" ht="23.85" hidden="false" customHeight="false" outlineLevel="0" collapsed="false">
      <c r="A321" s="21" t="str">
        <f aca="false">'Player Data'!A321</f>
        <v>Sardor Yusupov</v>
      </c>
      <c r="B321" s="21" t="str">
        <f aca="false">'Player Data'!F321</f>
        <v>GK</v>
      </c>
      <c r="C321" s="21" t="str">
        <f aca="false">'Player Data'!B321</f>
        <v>Uzbekistan</v>
      </c>
      <c r="D321" s="21" t="str">
        <f aca="false">'Player Data'!C321</f>
        <v>Uzbekistan Second Division</v>
      </c>
      <c r="E321" s="21" t="n">
        <f aca="false">'Player Data'!D321</f>
        <v>3</v>
      </c>
      <c r="F321" s="21" t="n">
        <f aca="false">'Player Data'!G321</f>
        <v>24</v>
      </c>
      <c r="G321" s="21" t="n">
        <f aca="false">'Player Data'!H321</f>
        <v>1505</v>
      </c>
      <c r="H321" s="22" t="n">
        <f aca="false">IF(B321="GK",IFERROR(('Player Data'!N321-1.5*'Player Data'!O321)/'Player Data'!H321*90,0),IFERROR(('Player Data'!I321+'Player Data'!J321)/'Player Data'!H321*90,0))</f>
        <v>1.37541528239203</v>
      </c>
      <c r="I321" s="22" t="n">
        <f aca="false">IF(B321="GK",'Player Data'!P321,IFERROR(('Player Data'!K321+'Player Data'!L321)/'Player Data'!H321*90,0))</f>
        <v>86.7</v>
      </c>
      <c r="J321" s="22" t="n">
        <f aca="false">IF(B321="GK",IFERROR('Player Data'!Q321/'Player Data'!H321*90,0),IFERROR('Player Data'!M321/'Player Data'!H321*90,0))</f>
        <v>1.48305647840532</v>
      </c>
      <c r="K321" s="23" t="n">
        <f aca="false">'Player Data'!S321</f>
        <v>13935</v>
      </c>
      <c r="L321" s="22" t="n">
        <f aca="false">INDEX(Assumptions!$B$13:$B$15,MATCH(E321,Assumptions!$A$13:$A$15,0))</f>
        <v>0.85</v>
      </c>
      <c r="M321" s="24" t="n">
        <f aca="false">IFERROR(SUMPRODUCT(($B$2:$B$1001=B321)*($H$2:$H$1001&lt;=H321))/SUMPRODUCT(($B$2:$B$1001=B321)*1),0)</f>
        <v>0.595628415300546</v>
      </c>
      <c r="N321" s="24" t="n">
        <f aca="false">IFERROR(SUMPRODUCT(($B$2:$B$1001=B321)*($I$2:$I$1001&lt;=I321))/SUMPRODUCT(($B$2:$B$1001=B321)*1),0)</f>
        <v>0.890710382513661</v>
      </c>
      <c r="O321" s="24" t="n">
        <f aca="false">IFERROR(SUMPRODUCT(($B$2:$B$1001=B321)*($J$2:$J$1001&lt;=J321))/SUMPRODUCT(($B$2:$B$1001=B321)*1),0)</f>
        <v>0.989071038251366</v>
      </c>
      <c r="P321" s="24" t="n">
        <f aca="false">IFERROR(SUMPRODUCT(($B$2:$B$1001=B321)*((0-$F$2:$F$1001)&lt;=(0-F321)))/SUMPRODUCT(($B$2:$B$1001=B321)*1),0)</f>
        <v>0.300546448087432</v>
      </c>
      <c r="Q321" s="25" t="n">
        <f aca="false">(M321*Assumptions!$B$5+N321*Assumptions!$B$6+O321*Assumptions!$B$7+P321*Assumptions!$B$8)*L321</f>
        <v>0.610792349726776</v>
      </c>
      <c r="R321" s="24" t="n">
        <f aca="false">IFERROR(SUMPRODUCT(($B$2:$B$1001=B321)*($Q$2:$Q$1001&lt;=Q321))/SUMPRODUCT(($B$2:$B$1001=B321)*1),0)</f>
        <v>0.890710382513661</v>
      </c>
      <c r="S321" s="24" t="n">
        <f aca="false">IFERROR(SUMPRODUCT(($B$2:$B$1001=B321)*($K$2:$K$1001&lt;=K321))/SUMPRODUCT(($B$2:$B$1001=B321)*1),0)</f>
        <v>0.240437158469945</v>
      </c>
      <c r="T321" s="26" t="n">
        <f aca="false">(R321-S321)*100</f>
        <v>65.0273224043716</v>
      </c>
      <c r="U321" s="21" t="str">
        <f aca="false">'Player Data'!T321</f>
        <v>Yes</v>
      </c>
      <c r="V321" s="27" t="n">
        <f aca="false">'Player Data'!U321</f>
        <v>2026</v>
      </c>
      <c r="W321" s="21" t="str">
        <f aca="false">IF(AND(T321&gt;=Assumptions!$B$19,U321="No"),"High Priority - Unrepresented",IF(T321&gt;=Assumptions!$B$19,"High Priority",IF(AND(T321&gt;=Assumptions!$B$20,U321="No"),"Watchlist - Unrepresented",IF(T321&gt;=Assumptions!$B$20,"Watchlist",""))))</f>
        <v>High Priority</v>
      </c>
      <c r="X321" s="21" t="str">
        <f aca="false">'Player Data'!V321</f>
        <v>info@samarkandsc.uz</v>
      </c>
      <c r="Y321" s="28" t="str">
        <f aca="false">'Player Data'!W321</f>
        <v>Go through the player's agent - ask the club to confirm representation first</v>
      </c>
      <c r="Z321" s="28" t="str">
        <f aca="false">'Player Data'!X321</f>
        <v>UFF (Uzbekistan Football Federation) player registry</v>
      </c>
      <c r="AA321" s="19" t="str">
        <f aca="false">HYPERLINK("https://www.transfermarkt.com/schnellsuche/ergebnis/schnellsuche?query="&amp;SUBSTITUTE(A321," ","+"),"Search Transfermarkt")</f>
        <v>Search Transfermarkt</v>
      </c>
      <c r="AB321" s="29" t="n">
        <f aca="false">IFERROR('Player Data'!K321/('Player Data'!K321+'Player Data'!L321),0)</f>
        <v>0.9</v>
      </c>
      <c r="AC321" s="21" t="str">
        <f aca="false">IF(B321="GK",IF(AND(O321&gt;=Assumptions!$B$23,N321&gt;=Assumptions!$B$23),"Sweeper-Keeper / Build-from-the-Back",IF(O321&gt;=Assumptions!$B$23,"Sweeper-Keeper / High Line",IF(M321&gt;=Assumptions!$B$23,"Shot-Stopper / Traditional","Flexible / Multi-System"))),IF(AND(O321&gt;=Assumptions!$B$23,P321&gt;=Assumptions!$B$24),"High Press / Gegenpressing",IF(AND(N321&gt;=Assumptions!$B$23,AB321&gt;=Assumptions!$B$25),"Possession / Build-from-the-Back",IF(N321&gt;=Assumptions!$B$23,"Counter-Attack / Transition",IF(AND(O321&gt;=Assumptions!$B$23,N321&lt;Assumptions!$B$26),"Low Block / Park the Bus",IF(AND(B321="FW",M321&gt;=Assumptions!$B$23,N321&lt;Assumptions!$B$26),"Direct / Target Approach","Flexible / Multi-System"))))))</f>
        <v>Sweeper-Keeper / Build-from-the-Back</v>
      </c>
      <c r="AD321" s="21" t="str">
        <f aca="false">'Player Data'!Y321</f>
        <v>2026-07-17</v>
      </c>
      <c r="AE321" s="21" t="str">
        <f aca="false">'Player Data'!Z321</f>
        <v>2026-07-17</v>
      </c>
      <c r="AF321" s="28" t="str">
        <f aca="false">IFERROR(INDEX(Assumptions!$B$30:$B$61,MATCH(C321,Assumptions!$A$30:$A$61,0)),"--")</f>
        <v>Turkey, Saudi Arabia</v>
      </c>
      <c r="AG321" s="30" t="str">
        <f aca="false">IF(R321&gt;=0.7,"Step-Up Candidate",IF(R321&gt;=0.4,"Lateral Move","Stay &amp; Develop"))</f>
        <v>Step-Up Candidate</v>
      </c>
    </row>
    <row r="322" customFormat="false" ht="23.85" hidden="false" customHeight="false" outlineLevel="0" collapsed="false">
      <c r="A322" s="21" t="str">
        <f aca="false">'Player Data'!A322</f>
        <v>Kofi Mensah</v>
      </c>
      <c r="B322" s="21" t="str">
        <f aca="false">'Player Data'!F322</f>
        <v>MF</v>
      </c>
      <c r="C322" s="21" t="str">
        <f aca="false">'Player Data'!B322</f>
        <v>Ghana</v>
      </c>
      <c r="D322" s="21" t="str">
        <f aca="false">'Player Data'!C322</f>
        <v>Ghana Second Division</v>
      </c>
      <c r="E322" s="21" t="n">
        <f aca="false">'Player Data'!D322</f>
        <v>3</v>
      </c>
      <c r="F322" s="21" t="n">
        <f aca="false">'Player Data'!G322</f>
        <v>17</v>
      </c>
      <c r="G322" s="21" t="n">
        <f aca="false">'Player Data'!H322</f>
        <v>2107</v>
      </c>
      <c r="H322" s="22" t="n">
        <f aca="false">IF(B322="GK",IFERROR(('Player Data'!N322-1.5*'Player Data'!O322)/'Player Data'!H322*90,0),IFERROR(('Player Data'!I322+'Player Data'!J322)/'Player Data'!H322*90,0))</f>
        <v>0.939724727100142</v>
      </c>
      <c r="I322" s="22" t="n">
        <f aca="false">IF(B322="GK",'Player Data'!P322,IFERROR(('Player Data'!K322+'Player Data'!L322)/'Player Data'!H322*90,0))</f>
        <v>8.84195538680589</v>
      </c>
      <c r="J322" s="22" t="n">
        <f aca="false">IF(B322="GK",IFERROR('Player Data'!Q322/'Player Data'!H322*90,0),IFERROR('Player Data'!M322/'Player Data'!H322*90,0))</f>
        <v>1.19601328903655</v>
      </c>
      <c r="K322" s="23" t="n">
        <f aca="false">'Player Data'!S322</f>
        <v>80308</v>
      </c>
      <c r="L322" s="22" t="n">
        <f aca="false">INDEX(Assumptions!$B$13:$B$15,MATCH(E322,Assumptions!$A$13:$A$15,0))</f>
        <v>0.85</v>
      </c>
      <c r="M322" s="24" t="n">
        <f aca="false">IFERROR(SUMPRODUCT(($B$2:$B$1001=B322)*($H$2:$H$1001&lt;=H322))/SUMPRODUCT(($B$2:$B$1001=B322)*1),0)</f>
        <v>0.727272727272727</v>
      </c>
      <c r="N322" s="24" t="n">
        <f aca="false">IFERROR(SUMPRODUCT(($B$2:$B$1001=B322)*($I$2:$I$1001&lt;=I322))/SUMPRODUCT(($B$2:$B$1001=B322)*1),0)</f>
        <v>0.269360269360269</v>
      </c>
      <c r="O322" s="24" t="n">
        <f aca="false">IFERROR(SUMPRODUCT(($B$2:$B$1001=B322)*($J$2:$J$1001&lt;=J322))/SUMPRODUCT(($B$2:$B$1001=B322)*1),0)</f>
        <v>0.0538720538720539</v>
      </c>
      <c r="P322" s="24" t="n">
        <f aca="false">IFERROR(SUMPRODUCT(($B$2:$B$1001=B322)*((0-$F$2:$F$1001)&lt;=(0-F322)))/SUMPRODUCT(($B$2:$B$1001=B322)*1),0)</f>
        <v>1</v>
      </c>
      <c r="Q322" s="25" t="n">
        <f aca="false">(M322*Assumptions!$B$5+N322*Assumptions!$B$6+O322*Assumptions!$B$7+P322*Assumptions!$B$8)*L322</f>
        <v>0.413838383838384</v>
      </c>
      <c r="R322" s="24" t="n">
        <f aca="false">IFERROR(SUMPRODUCT(($B$2:$B$1001=B322)*($Q$2:$Q$1001&lt;=Q322))/SUMPRODUCT(($B$2:$B$1001=B322)*1),0)</f>
        <v>0.451178451178451</v>
      </c>
      <c r="S322" s="24" t="n">
        <f aca="false">IFERROR(SUMPRODUCT(($B$2:$B$1001=B322)*($K$2:$K$1001&lt;=K322))/SUMPRODUCT(($B$2:$B$1001=B322)*1),0)</f>
        <v>0.63973063973064</v>
      </c>
      <c r="T322" s="26" t="n">
        <f aca="false">(R322-S322)*100</f>
        <v>-18.8552188552189</v>
      </c>
      <c r="U322" s="21" t="str">
        <f aca="false">'Player Data'!T322</f>
        <v>No</v>
      </c>
      <c r="V322" s="27" t="n">
        <f aca="false">'Player Data'!U322</f>
        <v>2029</v>
      </c>
      <c r="W322" s="21" t="str">
        <f aca="false">IF(AND(T322&gt;=Assumptions!$B$19,U322="No"),"High Priority - Unrepresented",IF(T322&gt;=Assumptions!$B$19,"High Priority",IF(AND(T322&gt;=Assumptions!$B$20,U322="No"),"Watchlist - Unrepresented",IF(T322&gt;=Assumptions!$B$20,"Watchlist",""))))</f>
        <v/>
      </c>
      <c r="X322" s="21" t="str">
        <f aca="false">'Player Data'!V322</f>
        <v>info@sekonditown.gh</v>
      </c>
      <c r="Y322" s="28" t="str">
        <f aca="false">'Player Data'!W322</f>
        <v>Club youth/academy office ONLY - player is a minor, do not contact directly</v>
      </c>
      <c r="Z322" s="28" t="str">
        <f aca="false">'Player Data'!X322</f>
        <v>GFA (Ghana Football Association) player registry</v>
      </c>
      <c r="AA322" s="19" t="str">
        <f aca="false">HYPERLINK("https://www.transfermarkt.com/schnellsuche/ergebnis/schnellsuche?query="&amp;SUBSTITUTE(A322," ","+"),"Search Transfermarkt")</f>
        <v>Search Transfermarkt</v>
      </c>
      <c r="AB322" s="29" t="n">
        <f aca="false">IFERROR('Player Data'!K322/('Player Data'!K322+'Player Data'!L322),0)</f>
        <v>0.666666666666667</v>
      </c>
      <c r="AC322" s="21" t="str">
        <f aca="false">IF(B322="GK",IF(AND(O322&gt;=Assumptions!$B$23,N322&gt;=Assumptions!$B$23),"Sweeper-Keeper / Build-from-the-Back",IF(O322&gt;=Assumptions!$B$23,"Sweeper-Keeper / High Line",IF(M322&gt;=Assumptions!$B$23,"Shot-Stopper / Traditional","Flexible / Multi-System"))),IF(AND(O322&gt;=Assumptions!$B$23,P322&gt;=Assumptions!$B$24),"High Press / Gegenpressing",IF(AND(N322&gt;=Assumptions!$B$23,AB322&gt;=Assumptions!$B$25),"Possession / Build-from-the-Back",IF(N322&gt;=Assumptions!$B$23,"Counter-Attack / Transition",IF(AND(O322&gt;=Assumptions!$B$23,N322&lt;Assumptions!$B$26),"Low Block / Park the Bus",IF(AND(B322="FW",M322&gt;=Assumptions!$B$23,N322&lt;Assumptions!$B$26),"Direct / Target Approach","Flexible / Multi-System"))))))</f>
        <v>Flexible / Multi-System</v>
      </c>
      <c r="AD322" s="21" t="str">
        <f aca="false">'Player Data'!Y322</f>
        <v>2026-07-17</v>
      </c>
      <c r="AE322" s="21" t="str">
        <f aca="false">'Player Data'!Z322</f>
        <v>2026-07-17</v>
      </c>
      <c r="AF322" s="28" t="str">
        <f aca="false">IFERROR(INDEX(Assumptions!$B$30:$B$61,MATCH(C322,Assumptions!$A$30:$A$61,0)),"--")</f>
        <v>Belgium, Portugal</v>
      </c>
      <c r="AG322" s="30" t="str">
        <f aca="false">IF(R322&gt;=0.7,"Step-Up Candidate",IF(R322&gt;=0.4,"Lateral Move","Stay &amp; Develop"))</f>
        <v>Lateral Move</v>
      </c>
    </row>
    <row r="323" customFormat="false" ht="23.85" hidden="false" customHeight="false" outlineLevel="0" collapsed="false">
      <c r="A323" s="21" t="str">
        <f aca="false">'Player Data'!A323</f>
        <v>Filip Angelovski</v>
      </c>
      <c r="B323" s="21" t="str">
        <f aca="false">'Player Data'!F323</f>
        <v>GK</v>
      </c>
      <c r="C323" s="21" t="str">
        <f aca="false">'Player Data'!B323</f>
        <v>North Macedonia</v>
      </c>
      <c r="D323" s="21" t="str">
        <f aca="false">'Player Data'!C323</f>
        <v>North Macedonia Amateur League</v>
      </c>
      <c r="E323" s="21" t="n">
        <f aca="false">'Player Data'!D323</f>
        <v>3</v>
      </c>
      <c r="F323" s="21" t="n">
        <f aca="false">'Player Data'!G323</f>
        <v>21</v>
      </c>
      <c r="G323" s="21" t="n">
        <f aca="false">'Player Data'!H323</f>
        <v>2696</v>
      </c>
      <c r="H323" s="22" t="n">
        <f aca="false">IF(B323="GK",IFERROR(('Player Data'!N323-1.5*'Player Data'!O323)/'Player Data'!H323*90,0),IFERROR(('Player Data'!I323+'Player Data'!J323)/'Player Data'!H323*90,0))</f>
        <v>2.05304154302671</v>
      </c>
      <c r="I323" s="22" t="n">
        <f aca="false">IF(B323="GK",'Player Data'!P323,IFERROR(('Player Data'!K323+'Player Data'!L323)/'Player Data'!H323*90,0))</f>
        <v>89.6</v>
      </c>
      <c r="J323" s="22" t="n">
        <f aca="false">IF(B323="GK",IFERROR('Player Data'!Q323/'Player Data'!H323*90,0),IFERROR('Player Data'!M323/'Player Data'!H323*90,0))</f>
        <v>0.150222551928783</v>
      </c>
      <c r="K323" s="23" t="n">
        <f aca="false">'Player Data'!S323</f>
        <v>77557</v>
      </c>
      <c r="L323" s="22" t="n">
        <f aca="false">INDEX(Assumptions!$B$13:$B$15,MATCH(E323,Assumptions!$A$13:$A$15,0))</f>
        <v>0.85</v>
      </c>
      <c r="M323" s="24" t="n">
        <f aca="false">IFERROR(SUMPRODUCT(($B$2:$B$1001=B323)*($H$2:$H$1001&lt;=H323))/SUMPRODUCT(($B$2:$B$1001=B323)*1),0)</f>
        <v>0.918032786885246</v>
      </c>
      <c r="N323" s="24" t="n">
        <f aca="false">IFERROR(SUMPRODUCT(($B$2:$B$1001=B323)*($I$2:$I$1001&lt;=I323))/SUMPRODUCT(($B$2:$B$1001=B323)*1),0)</f>
        <v>0.945355191256831</v>
      </c>
      <c r="O323" s="24" t="n">
        <f aca="false">IFERROR(SUMPRODUCT(($B$2:$B$1001=B323)*($J$2:$J$1001&lt;=J323))/SUMPRODUCT(($B$2:$B$1001=B323)*1),0)</f>
        <v>0.0382513661202186</v>
      </c>
      <c r="P323" s="24" t="n">
        <f aca="false">IFERROR(SUMPRODUCT(($B$2:$B$1001=B323)*((0-$F$2:$F$1001)&lt;=(0-F323)))/SUMPRODUCT(($B$2:$B$1001=B323)*1),0)</f>
        <v>0.60655737704918</v>
      </c>
      <c r="Q323" s="25" t="n">
        <f aca="false">(M323*Assumptions!$B$5+N323*Assumptions!$B$6+O323*Assumptions!$B$7+P323*Assumptions!$B$8)*L323</f>
        <v>0.58594262295082</v>
      </c>
      <c r="R323" s="24" t="n">
        <f aca="false">IFERROR(SUMPRODUCT(($B$2:$B$1001=B323)*($Q$2:$Q$1001&lt;=Q323))/SUMPRODUCT(($B$2:$B$1001=B323)*1),0)</f>
        <v>0.836065573770492</v>
      </c>
      <c r="S323" s="24" t="n">
        <f aca="false">IFERROR(SUMPRODUCT(($B$2:$B$1001=B323)*($K$2:$K$1001&lt;=K323))/SUMPRODUCT(($B$2:$B$1001=B323)*1),0)</f>
        <v>0.562841530054645</v>
      </c>
      <c r="T323" s="26" t="n">
        <f aca="false">(R323-S323)*100</f>
        <v>27.3224043715847</v>
      </c>
      <c r="U323" s="21" t="str">
        <f aca="false">'Player Data'!T323</f>
        <v>No</v>
      </c>
      <c r="V323" s="27" t="n">
        <f aca="false">'Player Data'!U323</f>
        <v>2028</v>
      </c>
      <c r="W323" s="21" t="str">
        <f aca="false">IF(AND(T323&gt;=Assumptions!$B$19,U323="No"),"High Priority - Unrepresented",IF(T323&gt;=Assumptions!$B$19,"High Priority",IF(AND(T323&gt;=Assumptions!$B$20,U323="No"),"Watchlist - Unrepresented",IF(T323&gt;=Assumptions!$B$20,"Watchlist",""))))</f>
        <v>Watchlist - Unrepresented</v>
      </c>
      <c r="X323" s="21" t="str">
        <f aca="false">'Player Data'!V323</f>
        <v>info@ohridathletic.mk</v>
      </c>
      <c r="Y323" s="28" t="str">
        <f aca="false">'Player Data'!W323</f>
        <v>Club sporting director / first-team office</v>
      </c>
      <c r="Z323" s="28" t="str">
        <f aca="false">'Player Data'!X323</f>
        <v>FFM (Football Federation of North Macedonia) player registry</v>
      </c>
      <c r="AA323" s="19" t="str">
        <f aca="false">HYPERLINK("https://www.transfermarkt.com/schnellsuche/ergebnis/schnellsuche?query="&amp;SUBSTITUTE(A323," ","+"),"Search Transfermarkt")</f>
        <v>Search Transfermarkt</v>
      </c>
      <c r="AB323" s="29" t="n">
        <f aca="false">IFERROR('Player Data'!K323/('Player Data'!K323+'Player Data'!L323),0)</f>
        <v>0.76</v>
      </c>
      <c r="AC323" s="21" t="str">
        <f aca="false">IF(B323="GK",IF(AND(O323&gt;=Assumptions!$B$23,N323&gt;=Assumptions!$B$23),"Sweeper-Keeper / Build-from-the-Back",IF(O323&gt;=Assumptions!$B$23,"Sweeper-Keeper / High Line",IF(M323&gt;=Assumptions!$B$23,"Shot-Stopper / Traditional","Flexible / Multi-System"))),IF(AND(O323&gt;=Assumptions!$B$23,P323&gt;=Assumptions!$B$24),"High Press / Gegenpressing",IF(AND(N323&gt;=Assumptions!$B$23,AB323&gt;=Assumptions!$B$25),"Possession / Build-from-the-Back",IF(N323&gt;=Assumptions!$B$23,"Counter-Attack / Transition",IF(AND(O323&gt;=Assumptions!$B$23,N323&lt;Assumptions!$B$26),"Low Block / Park the Bus",IF(AND(B323="FW",M323&gt;=Assumptions!$B$23,N323&lt;Assumptions!$B$26),"Direct / Target Approach","Flexible / Multi-System"))))))</f>
        <v>Shot-Stopper / Traditional</v>
      </c>
      <c r="AD323" s="21" t="str">
        <f aca="false">'Player Data'!Y323</f>
        <v>2026-07-17</v>
      </c>
      <c r="AE323" s="21" t="str">
        <f aca="false">'Player Data'!Z323</f>
        <v>2026-07-17</v>
      </c>
      <c r="AF323" s="28" t="str">
        <f aca="false">IFERROR(INDEX(Assumptions!$B$30:$B$61,MATCH(C323,Assumptions!$A$30:$A$61,0)),"--")</f>
        <v>Austria, Turkey</v>
      </c>
      <c r="AG323" s="30" t="str">
        <f aca="false">IF(R323&gt;=0.7,"Step-Up Candidate",IF(R323&gt;=0.4,"Lateral Move","Stay &amp; Develop"))</f>
        <v>Step-Up Candidate</v>
      </c>
    </row>
    <row r="324" customFormat="false" ht="23.85" hidden="false" customHeight="false" outlineLevel="0" collapsed="false">
      <c r="A324" s="21" t="str">
        <f aca="false">'Player Data'!A324</f>
        <v>Kofi Agyemang</v>
      </c>
      <c r="B324" s="21" t="str">
        <f aca="false">'Player Data'!F324</f>
        <v>GK</v>
      </c>
      <c r="C324" s="21" t="str">
        <f aca="false">'Player Data'!B324</f>
        <v>Ghana</v>
      </c>
      <c r="D324" s="21" t="str">
        <f aca="false">'Player Data'!C324</f>
        <v>Ghana Second Division - East</v>
      </c>
      <c r="E324" s="21" t="n">
        <f aca="false">'Player Data'!D324</f>
        <v>2</v>
      </c>
      <c r="F324" s="21" t="n">
        <f aca="false">'Player Data'!G324</f>
        <v>21</v>
      </c>
      <c r="G324" s="21" t="n">
        <f aca="false">'Player Data'!H324</f>
        <v>1838</v>
      </c>
      <c r="H324" s="22" t="n">
        <f aca="false">IF(B324="GK",IFERROR(('Player Data'!N324-1.5*'Player Data'!O324)/'Player Data'!H324*90,0),IFERROR(('Player Data'!I324+'Player Data'!J324)/'Player Data'!H324*90,0))</f>
        <v>-0.636561479869423</v>
      </c>
      <c r="I324" s="22" t="n">
        <f aca="false">IF(B324="GK",'Player Data'!P324,IFERROR(('Player Data'!K324+'Player Data'!L324)/'Player Data'!H324*90,0))</f>
        <v>64.2</v>
      </c>
      <c r="J324" s="22" t="n">
        <f aca="false">IF(B324="GK",IFERROR('Player Data'!Q324/'Player Data'!H324*90,0),IFERROR('Player Data'!M324/'Player Data'!H324*90,0))</f>
        <v>0.142002176278564</v>
      </c>
      <c r="K324" s="23" t="n">
        <f aca="false">'Player Data'!S324</f>
        <v>73106</v>
      </c>
      <c r="L324" s="22" t="n">
        <f aca="false">INDEX(Assumptions!$B$13:$B$15,MATCH(E324,Assumptions!$A$13:$A$15,0))</f>
        <v>1</v>
      </c>
      <c r="M324" s="24" t="n">
        <f aca="false">IFERROR(SUMPRODUCT(($B$2:$B$1001=B324)*($H$2:$H$1001&lt;=H324))/SUMPRODUCT(($B$2:$B$1001=B324)*1),0)</f>
        <v>0.0546448087431694</v>
      </c>
      <c r="N324" s="24" t="n">
        <f aca="false">IFERROR(SUMPRODUCT(($B$2:$B$1001=B324)*($I$2:$I$1001&lt;=I324))/SUMPRODUCT(($B$2:$B$1001=B324)*1),0)</f>
        <v>0.284153005464481</v>
      </c>
      <c r="O324" s="24" t="n">
        <f aca="false">IFERROR(SUMPRODUCT(($B$2:$B$1001=B324)*($J$2:$J$1001&lt;=J324))/SUMPRODUCT(($B$2:$B$1001=B324)*1),0)</f>
        <v>0.0327868852459016</v>
      </c>
      <c r="P324" s="24" t="n">
        <f aca="false">IFERROR(SUMPRODUCT(($B$2:$B$1001=B324)*((0-$F$2:$F$1001)&lt;=(0-F324)))/SUMPRODUCT(($B$2:$B$1001=B324)*1),0)</f>
        <v>0.60655737704918</v>
      </c>
      <c r="Q324" s="25" t="n">
        <f aca="false">(M324*Assumptions!$B$5+N324*Assumptions!$B$6+O324*Assumptions!$B$7+P324*Assumptions!$B$8)*L324</f>
        <v>0.240983606557377</v>
      </c>
      <c r="R324" s="24" t="n">
        <f aca="false">IFERROR(SUMPRODUCT(($B$2:$B$1001=B324)*($Q$2:$Q$1001&lt;=Q324))/SUMPRODUCT(($B$2:$B$1001=B324)*1),0)</f>
        <v>0.0601092896174863</v>
      </c>
      <c r="S324" s="24" t="n">
        <f aca="false">IFERROR(SUMPRODUCT(($B$2:$B$1001=B324)*($K$2:$K$1001&lt;=K324))/SUMPRODUCT(($B$2:$B$1001=B324)*1),0)</f>
        <v>0.53551912568306</v>
      </c>
      <c r="T324" s="26" t="n">
        <f aca="false">(R324-S324)*100</f>
        <v>-47.5409836065574</v>
      </c>
      <c r="U324" s="21" t="str">
        <f aca="false">'Player Data'!T324</f>
        <v>Unknown</v>
      </c>
      <c r="V324" s="27" t="n">
        <f aca="false">'Player Data'!U324</f>
        <v>2028</v>
      </c>
      <c r="W324" s="21" t="str">
        <f aca="false">IF(AND(T324&gt;=Assumptions!$B$19,U324="No"),"High Priority - Unrepresented",IF(T324&gt;=Assumptions!$B$19,"High Priority",IF(AND(T324&gt;=Assumptions!$B$20,U324="No"),"Watchlist - Unrepresented",IF(T324&gt;=Assumptions!$B$20,"Watchlist",""))))</f>
        <v/>
      </c>
      <c r="X324" s="21" t="str">
        <f aca="false">'Player Data'!V324</f>
        <v>info@sekondirovers.gh</v>
      </c>
      <c r="Y324" s="28" t="str">
        <f aca="false">'Player Data'!W324</f>
        <v>Club sporting director / first-team office</v>
      </c>
      <c r="Z324" s="28" t="str">
        <f aca="false">'Player Data'!X324</f>
        <v>GFA (Ghana Football Association) player registry</v>
      </c>
      <c r="AA324" s="19" t="str">
        <f aca="false">HYPERLINK("https://www.transfermarkt.com/schnellsuche/ergebnis/schnellsuche?query="&amp;SUBSTITUTE(A324," ","+"),"Search Transfermarkt")</f>
        <v>Search Transfermarkt</v>
      </c>
      <c r="AB324" s="29" t="n">
        <f aca="false">IFERROR('Player Data'!K324/('Player Data'!K324+'Player Data'!L324),0)</f>
        <v>0.952380952380952</v>
      </c>
      <c r="AC324" s="21" t="str">
        <f aca="false">IF(B324="GK",IF(AND(O324&gt;=Assumptions!$B$23,N324&gt;=Assumptions!$B$23),"Sweeper-Keeper / Build-from-the-Back",IF(O324&gt;=Assumptions!$B$23,"Sweeper-Keeper / High Line",IF(M324&gt;=Assumptions!$B$23,"Shot-Stopper / Traditional","Flexible / Multi-System"))),IF(AND(O324&gt;=Assumptions!$B$23,P324&gt;=Assumptions!$B$24),"High Press / Gegenpressing",IF(AND(N324&gt;=Assumptions!$B$23,AB324&gt;=Assumptions!$B$25),"Possession / Build-from-the-Back",IF(N324&gt;=Assumptions!$B$23,"Counter-Attack / Transition",IF(AND(O324&gt;=Assumptions!$B$23,N324&lt;Assumptions!$B$26),"Low Block / Park the Bus",IF(AND(B324="FW",M324&gt;=Assumptions!$B$23,N324&lt;Assumptions!$B$26),"Direct / Target Approach","Flexible / Multi-System"))))))</f>
        <v>Flexible / Multi-System</v>
      </c>
      <c r="AD324" s="21" t="str">
        <f aca="false">'Player Data'!Y324</f>
        <v>2026-07-17</v>
      </c>
      <c r="AE324" s="21" t="str">
        <f aca="false">'Player Data'!Z324</f>
        <v>2026-07-17</v>
      </c>
      <c r="AF324" s="28" t="str">
        <f aca="false">IFERROR(INDEX(Assumptions!$B$30:$B$61,MATCH(C324,Assumptions!$A$30:$A$61,0)),"--")</f>
        <v>Belgium, Portugal</v>
      </c>
      <c r="AG324" s="30" t="str">
        <f aca="false">IF(R324&gt;=0.7,"Step-Up Candidate",IF(R324&gt;=0.4,"Lateral Move","Stay &amp; Develop"))</f>
        <v>Stay &amp; Develop</v>
      </c>
    </row>
    <row r="325" customFormat="false" ht="23.85" hidden="false" customHeight="false" outlineLevel="0" collapsed="false">
      <c r="A325" s="21" t="str">
        <f aca="false">'Player Data'!A325</f>
        <v>Sherzod Yusupov</v>
      </c>
      <c r="B325" s="21" t="str">
        <f aca="false">'Player Data'!F325</f>
        <v>DF</v>
      </c>
      <c r="C325" s="21" t="str">
        <f aca="false">'Player Data'!B325</f>
        <v>Uzbekistan</v>
      </c>
      <c r="D325" s="21" t="str">
        <f aca="false">'Player Data'!C325</f>
        <v>Uzbekistan Regional League</v>
      </c>
      <c r="E325" s="21" t="n">
        <f aca="false">'Player Data'!D325</f>
        <v>3</v>
      </c>
      <c r="F325" s="21" t="n">
        <f aca="false">'Player Data'!G325</f>
        <v>23</v>
      </c>
      <c r="G325" s="21" t="n">
        <f aca="false">'Player Data'!H325</f>
        <v>823</v>
      </c>
      <c r="H325" s="22" t="n">
        <f aca="false">IF(B325="GK",IFERROR(('Player Data'!N325-1.5*'Player Data'!O325)/'Player Data'!H325*90,0),IFERROR(('Player Data'!I325+'Player Data'!J325)/'Player Data'!H325*90,0))</f>
        <v>0.765492102065614</v>
      </c>
      <c r="I325" s="22" t="n">
        <f aca="false">IF(B325="GK",'Player Data'!P325,IFERROR(('Player Data'!K325+'Player Data'!L325)/'Player Data'!H325*90,0))</f>
        <v>10.0607533414338</v>
      </c>
      <c r="J325" s="22" t="n">
        <f aca="false">IF(B325="GK",IFERROR('Player Data'!Q325/'Player Data'!H325*90,0),IFERROR('Player Data'!M325/'Player Data'!H325*90,0))</f>
        <v>12.0291616038882</v>
      </c>
      <c r="K325" s="23" t="n">
        <f aca="false">'Player Data'!S325</f>
        <v>0</v>
      </c>
      <c r="L325" s="22" t="n">
        <f aca="false">INDEX(Assumptions!$B$13:$B$15,MATCH(E325,Assumptions!$A$13:$A$15,0))</f>
        <v>0.85</v>
      </c>
      <c r="M325" s="24" t="n">
        <f aca="false">IFERROR(SUMPRODUCT(($B$2:$B$1001=B325)*($H$2:$H$1001&lt;=H325))/SUMPRODUCT(($B$2:$B$1001=B325)*1),0)</f>
        <v>1</v>
      </c>
      <c r="N325" s="24" t="n">
        <f aca="false">IFERROR(SUMPRODUCT(($B$2:$B$1001=B325)*($I$2:$I$1001&lt;=I325))/SUMPRODUCT(($B$2:$B$1001=B325)*1),0)</f>
        <v>0.986394557823129</v>
      </c>
      <c r="O325" s="24" t="n">
        <f aca="false">IFERROR(SUMPRODUCT(($B$2:$B$1001=B325)*($J$2:$J$1001&lt;=J325))/SUMPRODUCT(($B$2:$B$1001=B325)*1),0)</f>
        <v>0.979591836734694</v>
      </c>
      <c r="P325" s="24" t="n">
        <f aca="false">IFERROR(SUMPRODUCT(($B$2:$B$1001=B325)*((0-$F$2:$F$1001)&lt;=(0-F325)))/SUMPRODUCT(($B$2:$B$1001=B325)*1),0)</f>
        <v>0.374149659863946</v>
      </c>
      <c r="Q325" s="25" t="n">
        <f aca="false">(M325*Assumptions!$B$5+N325*Assumptions!$B$6+O325*Assumptions!$B$7+P325*Assumptions!$B$8)*L325</f>
        <v>0.73608843537415</v>
      </c>
      <c r="R325" s="24" t="n">
        <f aca="false">IFERROR(SUMPRODUCT(($B$2:$B$1001=B325)*($Q$2:$Q$1001&lt;=Q325))/SUMPRODUCT(($B$2:$B$1001=B325)*1),0)</f>
        <v>0.914965986394558</v>
      </c>
      <c r="S325" s="24" t="n">
        <f aca="false">IFERROR(SUMPRODUCT(($B$2:$B$1001=B325)*($K$2:$K$1001&lt;=K325))/SUMPRODUCT(($B$2:$B$1001=B325)*1),0)</f>
        <v>0.248299319727891</v>
      </c>
      <c r="T325" s="26" t="n">
        <f aca="false">(R325-S325)*100</f>
        <v>66.6666666666667</v>
      </c>
      <c r="U325" s="21" t="str">
        <f aca="false">'Player Data'!T325</f>
        <v>Yes</v>
      </c>
      <c r="V325" s="27" t="n">
        <f aca="false">'Player Data'!U325</f>
        <v>2029</v>
      </c>
      <c r="W325" s="21" t="str">
        <f aca="false">IF(AND(T325&gt;=Assumptions!$B$19,U325="No"),"High Priority - Unrepresented",IF(T325&gt;=Assumptions!$B$19,"High Priority",IF(AND(T325&gt;=Assumptions!$B$20,U325="No"),"Watchlist - Unrepresented",IF(T325&gt;=Assumptions!$B$20,"Watchlist",""))))</f>
        <v>High Priority</v>
      </c>
      <c r="X325" s="21" t="str">
        <f aca="false">'Player Data'!V325</f>
        <v>info@samarkandathletic.uz</v>
      </c>
      <c r="Y325" s="28" t="str">
        <f aca="false">'Player Data'!W325</f>
        <v>Go through the player's agent - ask the club to confirm representation first</v>
      </c>
      <c r="Z325" s="28" t="str">
        <f aca="false">'Player Data'!X325</f>
        <v>UFF (Uzbekistan Football Federation) player registry</v>
      </c>
      <c r="AA325" s="19" t="str">
        <f aca="false">HYPERLINK("https://www.transfermarkt.com/schnellsuche/ergebnis/schnellsuche?query="&amp;SUBSTITUTE(A325," ","+"),"Search Transfermarkt")</f>
        <v>Search Transfermarkt</v>
      </c>
      <c r="AB325" s="29" t="n">
        <f aca="false">IFERROR('Player Data'!K325/('Player Data'!K325+'Player Data'!L325),0)</f>
        <v>0.565217391304348</v>
      </c>
      <c r="AC325" s="21" t="str">
        <f aca="false">IF(B325="GK",IF(AND(O325&gt;=Assumptions!$B$23,N325&gt;=Assumptions!$B$23),"Sweeper-Keeper / Build-from-the-Back",IF(O325&gt;=Assumptions!$B$23,"Sweeper-Keeper / High Line",IF(M325&gt;=Assumptions!$B$23,"Shot-Stopper / Traditional","Flexible / Multi-System"))),IF(AND(O325&gt;=Assumptions!$B$23,P325&gt;=Assumptions!$B$24),"High Press / Gegenpressing",IF(AND(N325&gt;=Assumptions!$B$23,AB325&gt;=Assumptions!$B$25),"Possession / Build-from-the-Back",IF(N325&gt;=Assumptions!$B$23,"Counter-Attack / Transition",IF(AND(O325&gt;=Assumptions!$B$23,N325&lt;Assumptions!$B$26),"Low Block / Park the Bus",IF(AND(B325="FW",M325&gt;=Assumptions!$B$23,N325&lt;Assumptions!$B$26),"Direct / Target Approach","Flexible / Multi-System"))))))</f>
        <v>Counter-Attack / Transition</v>
      </c>
      <c r="AD325" s="21" t="str">
        <f aca="false">'Player Data'!Y325</f>
        <v>2026-07-17</v>
      </c>
      <c r="AE325" s="21" t="str">
        <f aca="false">'Player Data'!Z325</f>
        <v>2026-07-17</v>
      </c>
      <c r="AF325" s="28" t="str">
        <f aca="false">IFERROR(INDEX(Assumptions!$B$30:$B$61,MATCH(C325,Assumptions!$A$30:$A$61,0)),"--")</f>
        <v>Turkey, Saudi Arabia</v>
      </c>
      <c r="AG325" s="30" t="str">
        <f aca="false">IF(R325&gt;=0.7,"Step-Up Candidate",IF(R325&gt;=0.4,"Lateral Move","Stay &amp; Develop"))</f>
        <v>Step-Up Candidate</v>
      </c>
    </row>
    <row r="326" customFormat="false" ht="23.85" hidden="false" customHeight="false" outlineLevel="0" collapsed="false">
      <c r="A326" s="21" t="str">
        <f aca="false">'Player Data'!A326</f>
        <v>Nattapong Srisawat</v>
      </c>
      <c r="B326" s="21" t="str">
        <f aca="false">'Player Data'!F326</f>
        <v>DF</v>
      </c>
      <c r="C326" s="21" t="str">
        <f aca="false">'Player Data'!B326</f>
        <v>Thailand</v>
      </c>
      <c r="D326" s="21" t="str">
        <f aca="false">'Player Data'!C326</f>
        <v>Thailand Second Division</v>
      </c>
      <c r="E326" s="21" t="n">
        <f aca="false">'Player Data'!D326</f>
        <v>4</v>
      </c>
      <c r="F326" s="21" t="n">
        <f aca="false">'Player Data'!G326</f>
        <v>17</v>
      </c>
      <c r="G326" s="21" t="n">
        <f aca="false">'Player Data'!H326</f>
        <v>1052</v>
      </c>
      <c r="H326" s="22" t="n">
        <f aca="false">IF(B326="GK",IFERROR(('Player Data'!N326-1.5*'Player Data'!O326)/'Player Data'!H326*90,0),IFERROR(('Player Data'!I326+'Player Data'!J326)/'Player Data'!H326*90,0))</f>
        <v>0.427756653992395</v>
      </c>
      <c r="I326" s="22" t="n">
        <f aca="false">IF(B326="GK",'Player Data'!P326,IFERROR(('Player Data'!K326+'Player Data'!L326)/'Player Data'!H326*90,0))</f>
        <v>6.24524714828897</v>
      </c>
      <c r="J326" s="22" t="n">
        <f aca="false">IF(B326="GK",IFERROR('Player Data'!Q326/'Player Data'!H326*90,0),IFERROR('Player Data'!M326/'Player Data'!H326*90,0))</f>
        <v>10.0095057034221</v>
      </c>
      <c r="K326" s="23" t="n">
        <f aca="false">'Player Data'!S326</f>
        <v>83163</v>
      </c>
      <c r="L326" s="22" t="n">
        <f aca="false">INDEX(Assumptions!$B$13:$B$15,MATCH(E326,Assumptions!$A$13:$A$15,0))</f>
        <v>0.7</v>
      </c>
      <c r="M326" s="24" t="n">
        <f aca="false">IFERROR(SUMPRODUCT(($B$2:$B$1001=B326)*($H$2:$H$1001&lt;=H326))/SUMPRODUCT(($B$2:$B$1001=B326)*1),0)</f>
        <v>0.918367346938776</v>
      </c>
      <c r="N326" s="24" t="n">
        <f aca="false">IFERROR(SUMPRODUCT(($B$2:$B$1001=B326)*($I$2:$I$1001&lt;=I326))/SUMPRODUCT(($B$2:$B$1001=B326)*1),0)</f>
        <v>0.761904761904762</v>
      </c>
      <c r="O326" s="24" t="n">
        <f aca="false">IFERROR(SUMPRODUCT(($B$2:$B$1001=B326)*($J$2:$J$1001&lt;=J326))/SUMPRODUCT(($B$2:$B$1001=B326)*1),0)</f>
        <v>0.931972789115646</v>
      </c>
      <c r="P326" s="24" t="n">
        <f aca="false">IFERROR(SUMPRODUCT(($B$2:$B$1001=B326)*((0-$F$2:$F$1001)&lt;=(0-F326)))/SUMPRODUCT(($B$2:$B$1001=B326)*1),0)</f>
        <v>1</v>
      </c>
      <c r="Q326" s="25" t="n">
        <f aca="false">(M326*Assumptions!$B$5+N326*Assumptions!$B$6+O326*Assumptions!$B$7+P326*Assumptions!$B$8)*L326</f>
        <v>0.617857142857143</v>
      </c>
      <c r="R326" s="24" t="n">
        <f aca="false">IFERROR(SUMPRODUCT(($B$2:$B$1001=B326)*($Q$2:$Q$1001&lt;=Q326))/SUMPRODUCT(($B$2:$B$1001=B326)*1),0)</f>
        <v>0.795918367346939</v>
      </c>
      <c r="S326" s="24" t="n">
        <f aca="false">IFERROR(SUMPRODUCT(($B$2:$B$1001=B326)*($K$2:$K$1001&lt;=K326))/SUMPRODUCT(($B$2:$B$1001=B326)*1),0)</f>
        <v>0.639455782312925</v>
      </c>
      <c r="T326" s="26" t="n">
        <f aca="false">(R326-S326)*100</f>
        <v>15.6462585034014</v>
      </c>
      <c r="U326" s="21" t="str">
        <f aca="false">'Player Data'!T326</f>
        <v>No</v>
      </c>
      <c r="V326" s="27" t="n">
        <f aca="false">'Player Data'!U326</f>
        <v>2027</v>
      </c>
      <c r="W326" s="21" t="str">
        <f aca="false">IF(AND(T326&gt;=Assumptions!$B$19,U326="No"),"High Priority - Unrepresented",IF(T326&gt;=Assumptions!$B$19,"High Priority",IF(AND(T326&gt;=Assumptions!$B$20,U326="No"),"Watchlist - Unrepresented",IF(T326&gt;=Assumptions!$B$20,"Watchlist",""))))</f>
        <v/>
      </c>
      <c r="X326" s="21" t="str">
        <f aca="false">'Player Data'!V326</f>
        <v>info@chiangmaisc.th</v>
      </c>
      <c r="Y326" s="28" t="str">
        <f aca="false">'Player Data'!W326</f>
        <v>Club youth/academy office ONLY - player is a minor, do not contact directly</v>
      </c>
      <c r="Z326" s="28" t="str">
        <f aca="false">'Player Data'!X326</f>
        <v>FAT (Football Association of Thailand) player registry</v>
      </c>
      <c r="AA326" s="19" t="str">
        <f aca="false">HYPERLINK("https://www.transfermarkt.com/schnellsuche/ergebnis/schnellsuche?query="&amp;SUBSTITUTE(A326," ","+"),"Search Transfermarkt")</f>
        <v>Search Transfermarkt</v>
      </c>
      <c r="AB326" s="29" t="n">
        <f aca="false">IFERROR('Player Data'!K326/('Player Data'!K326+'Player Data'!L326),0)</f>
        <v>0.657534246575342</v>
      </c>
      <c r="AC326" s="21" t="str">
        <f aca="false">IF(B326="GK",IF(AND(O326&gt;=Assumptions!$B$23,N326&gt;=Assumptions!$B$23),"Sweeper-Keeper / Build-from-the-Back",IF(O326&gt;=Assumptions!$B$23,"Sweeper-Keeper / High Line",IF(M326&gt;=Assumptions!$B$23,"Shot-Stopper / Traditional","Flexible / Multi-System"))),IF(AND(O326&gt;=Assumptions!$B$23,P326&gt;=Assumptions!$B$24),"High Press / Gegenpressing",IF(AND(N326&gt;=Assumptions!$B$23,AB326&gt;=Assumptions!$B$25),"Possession / Build-from-the-Back",IF(N326&gt;=Assumptions!$B$23,"Counter-Attack / Transition",IF(AND(O326&gt;=Assumptions!$B$23,N326&lt;Assumptions!$B$26),"Low Block / Park the Bus",IF(AND(B326="FW",M326&gt;=Assumptions!$B$23,N326&lt;Assumptions!$B$26),"Direct / Target Approach","Flexible / Multi-System"))))))</f>
        <v>High Press / Gegenpressing</v>
      </c>
      <c r="AD326" s="21" t="str">
        <f aca="false">'Player Data'!Y326</f>
        <v>2026-07-17</v>
      </c>
      <c r="AE326" s="21" t="str">
        <f aca="false">'Player Data'!Z326</f>
        <v>2026-07-17</v>
      </c>
      <c r="AF326" s="28" t="str">
        <f aca="false">IFERROR(INDEX(Assumptions!$B$30:$B$61,MATCH(C326,Assumptions!$A$30:$A$61,0)),"--")</f>
        <v>Australia, Saudi Arabia</v>
      </c>
      <c r="AG326" s="30" t="str">
        <f aca="false">IF(R326&gt;=0.7,"Step-Up Candidate",IF(R326&gt;=0.4,"Lateral Move","Stay &amp; Develop"))</f>
        <v>Step-Up Candidate</v>
      </c>
    </row>
    <row r="327" customFormat="false" ht="23.85" hidden="false" customHeight="false" outlineLevel="0" collapsed="false">
      <c r="A327" s="21" t="str">
        <f aca="false">'Player Data'!A327</f>
        <v>Stefan Krstic</v>
      </c>
      <c r="B327" s="21" t="str">
        <f aca="false">'Player Data'!F327</f>
        <v>GK</v>
      </c>
      <c r="C327" s="21" t="str">
        <f aca="false">'Player Data'!B327</f>
        <v>Serbia</v>
      </c>
      <c r="D327" s="21" t="str">
        <f aca="false">'Player Data'!C327</f>
        <v>Serbia Second Division - West</v>
      </c>
      <c r="E327" s="21" t="n">
        <f aca="false">'Player Data'!D327</f>
        <v>2</v>
      </c>
      <c r="F327" s="21" t="n">
        <f aca="false">'Player Data'!G327</f>
        <v>18</v>
      </c>
      <c r="G327" s="21" t="n">
        <f aca="false">'Player Data'!H327</f>
        <v>1030</v>
      </c>
      <c r="H327" s="22" t="n">
        <f aca="false">IF(B327="GK",IFERROR(('Player Data'!N327-1.5*'Player Data'!O327)/'Player Data'!H327*90,0),IFERROR(('Player Data'!I327+'Player Data'!J327)/'Player Data'!H327*90,0))</f>
        <v>1.17961165048544</v>
      </c>
      <c r="I327" s="22" t="n">
        <f aca="false">IF(B327="GK",'Player Data'!P327,IFERROR(('Player Data'!K327+'Player Data'!L327)/'Player Data'!H327*90,0))</f>
        <v>58</v>
      </c>
      <c r="J327" s="22" t="n">
        <f aca="false">IF(B327="GK",IFERROR('Player Data'!Q327/'Player Data'!H327*90,0),IFERROR('Player Data'!M327/'Player Data'!H327*90,0))</f>
        <v>0.384466019417476</v>
      </c>
      <c r="K327" s="23" t="n">
        <f aca="false">'Player Data'!S327</f>
        <v>48123</v>
      </c>
      <c r="L327" s="22" t="n">
        <f aca="false">INDEX(Assumptions!$B$13:$B$15,MATCH(E327,Assumptions!$A$13:$A$15,0))</f>
        <v>1</v>
      </c>
      <c r="M327" s="24" t="n">
        <f aca="false">IFERROR(SUMPRODUCT(($B$2:$B$1001=B327)*($H$2:$H$1001&lt;=H327))/SUMPRODUCT(($B$2:$B$1001=B327)*1),0)</f>
        <v>0.513661202185792</v>
      </c>
      <c r="N327" s="24" t="n">
        <f aca="false">IFERROR(SUMPRODUCT(($B$2:$B$1001=B327)*($I$2:$I$1001&lt;=I327))/SUMPRODUCT(($B$2:$B$1001=B327)*1),0)</f>
        <v>0.0710382513661202</v>
      </c>
      <c r="O327" s="24" t="n">
        <f aca="false">IFERROR(SUMPRODUCT(($B$2:$B$1001=B327)*($J$2:$J$1001&lt;=J327))/SUMPRODUCT(($B$2:$B$1001=B327)*1),0)</f>
        <v>0.169398907103825</v>
      </c>
      <c r="P327" s="24" t="n">
        <f aca="false">IFERROR(SUMPRODUCT(($B$2:$B$1001=B327)*((0-$F$2:$F$1001)&lt;=(0-F327)))/SUMPRODUCT(($B$2:$B$1001=B327)*1),0)</f>
        <v>0.907103825136612</v>
      </c>
      <c r="Q327" s="25" t="n">
        <f aca="false">(M327*Assumptions!$B$5+N327*Assumptions!$B$6+O327*Assumptions!$B$7+P327*Assumptions!$B$8)*L327</f>
        <v>0.368579234972678</v>
      </c>
      <c r="R327" s="24" t="n">
        <f aca="false">IFERROR(SUMPRODUCT(($B$2:$B$1001=B327)*($Q$2:$Q$1001&lt;=Q327))/SUMPRODUCT(($B$2:$B$1001=B327)*1),0)</f>
        <v>0.3224043715847</v>
      </c>
      <c r="S327" s="24" t="n">
        <f aca="false">IFERROR(SUMPRODUCT(($B$2:$B$1001=B327)*($K$2:$K$1001&lt;=K327))/SUMPRODUCT(($B$2:$B$1001=B327)*1),0)</f>
        <v>0.387978142076503</v>
      </c>
      <c r="T327" s="26" t="n">
        <f aca="false">(R327-S327)*100</f>
        <v>-6.55737704918032</v>
      </c>
      <c r="U327" s="21" t="str">
        <f aca="false">'Player Data'!T327</f>
        <v>No</v>
      </c>
      <c r="V327" s="27" t="n">
        <f aca="false">'Player Data'!U327</f>
        <v>2027</v>
      </c>
      <c r="W327" s="21" t="str">
        <f aca="false">IF(AND(T327&gt;=Assumptions!$B$19,U327="No"),"High Priority - Unrepresented",IF(T327&gt;=Assumptions!$B$19,"High Priority",IF(AND(T327&gt;=Assumptions!$B$20,U327="No"),"Watchlist - Unrepresented",IF(T327&gt;=Assumptions!$B$20,"Watchlist",""))))</f>
        <v/>
      </c>
      <c r="X327" s="21" t="str">
        <f aca="false">'Player Data'!V327</f>
        <v>info@kraljevocity.rs</v>
      </c>
      <c r="Y327" s="28" t="str">
        <f aca="false">'Player Data'!W327</f>
        <v>Club sporting director / first-team office</v>
      </c>
      <c r="Z327" s="28" t="str">
        <f aca="false">'Player Data'!X327</f>
        <v>FSS (Football Association of Serbia) player registry</v>
      </c>
      <c r="AA327" s="19" t="str">
        <f aca="false">HYPERLINK("https://www.transfermarkt.com/schnellsuche/ergebnis/schnellsuche?query="&amp;SUBSTITUTE(A327," ","+"),"Search Transfermarkt")</f>
        <v>Search Transfermarkt</v>
      </c>
      <c r="AB327" s="29" t="n">
        <f aca="false">IFERROR('Player Data'!K327/('Player Data'!K327+'Player Data'!L327),0)</f>
        <v>0.777777777777778</v>
      </c>
      <c r="AC327" s="21" t="str">
        <f aca="false">IF(B327="GK",IF(AND(O327&gt;=Assumptions!$B$23,N327&gt;=Assumptions!$B$23),"Sweeper-Keeper / Build-from-the-Back",IF(O327&gt;=Assumptions!$B$23,"Sweeper-Keeper / High Line",IF(M327&gt;=Assumptions!$B$23,"Shot-Stopper / Traditional","Flexible / Multi-System"))),IF(AND(O327&gt;=Assumptions!$B$23,P327&gt;=Assumptions!$B$24),"High Press / Gegenpressing",IF(AND(N327&gt;=Assumptions!$B$23,AB327&gt;=Assumptions!$B$25),"Possession / Build-from-the-Back",IF(N327&gt;=Assumptions!$B$23,"Counter-Attack / Transition",IF(AND(O327&gt;=Assumptions!$B$23,N327&lt;Assumptions!$B$26),"Low Block / Park the Bus",IF(AND(B327="FW",M327&gt;=Assumptions!$B$23,N327&lt;Assumptions!$B$26),"Direct / Target Approach","Flexible / Multi-System"))))))</f>
        <v>Flexible / Multi-System</v>
      </c>
      <c r="AD327" s="21" t="str">
        <f aca="false">'Player Data'!Y327</f>
        <v>2026-07-17</v>
      </c>
      <c r="AE327" s="21" t="str">
        <f aca="false">'Player Data'!Z327</f>
        <v>2026-07-17</v>
      </c>
      <c r="AF327" s="28" t="str">
        <f aca="false">IFERROR(INDEX(Assumptions!$B$30:$B$61,MATCH(C327,Assumptions!$A$30:$A$61,0)),"--")</f>
        <v>Austria, Turkey</v>
      </c>
      <c r="AG327" s="30" t="str">
        <f aca="false">IF(R327&gt;=0.7,"Step-Up Candidate",IF(R327&gt;=0.4,"Lateral Move","Stay &amp; Develop"))</f>
        <v>Stay &amp; Develop</v>
      </c>
    </row>
    <row r="328" customFormat="false" ht="23.85" hidden="false" customHeight="false" outlineLevel="0" collapsed="false">
      <c r="A328" s="21" t="str">
        <f aca="false">'Player Data'!A328</f>
        <v>Nicolas Rodriguez</v>
      </c>
      <c r="B328" s="21" t="str">
        <f aca="false">'Player Data'!F328</f>
        <v>MF</v>
      </c>
      <c r="C328" s="21" t="str">
        <f aca="false">'Player Data'!B328</f>
        <v>Bolivia</v>
      </c>
      <c r="D328" s="21" t="str">
        <f aca="false">'Player Data'!C328</f>
        <v>Bolivia Amateur League</v>
      </c>
      <c r="E328" s="21" t="n">
        <f aca="false">'Player Data'!D328</f>
        <v>2</v>
      </c>
      <c r="F328" s="21" t="n">
        <f aca="false">'Player Data'!G328</f>
        <v>26</v>
      </c>
      <c r="G328" s="21" t="n">
        <f aca="false">'Player Data'!H328</f>
        <v>1519</v>
      </c>
      <c r="H328" s="22" t="n">
        <f aca="false">IF(B328="GK",IFERROR(('Player Data'!N328-1.5*'Player Data'!O328)/'Player Data'!H328*90,0),IFERROR(('Player Data'!I328+'Player Data'!J328)/'Player Data'!H328*90,0))</f>
        <v>0.947992100065833</v>
      </c>
      <c r="I328" s="22" t="n">
        <f aca="false">IF(B328="GK",'Player Data'!P328,IFERROR(('Player Data'!K328+'Player Data'!L328)/'Player Data'!H328*90,0))</f>
        <v>14.2791310072416</v>
      </c>
      <c r="J328" s="22" t="n">
        <f aca="false">IF(B328="GK",IFERROR('Player Data'!Q328/'Player Data'!H328*90,0),IFERROR('Player Data'!M328/'Player Data'!H328*90,0))</f>
        <v>2.07373271889401</v>
      </c>
      <c r="K328" s="23" t="n">
        <f aca="false">'Player Data'!S328</f>
        <v>0</v>
      </c>
      <c r="L328" s="22" t="n">
        <f aca="false">INDEX(Assumptions!$B$13:$B$15,MATCH(E328,Assumptions!$A$13:$A$15,0))</f>
        <v>1</v>
      </c>
      <c r="M328" s="24" t="n">
        <f aca="false">IFERROR(SUMPRODUCT(($B$2:$B$1001=B328)*($H$2:$H$1001&lt;=H328))/SUMPRODUCT(($B$2:$B$1001=B328)*1),0)</f>
        <v>0.744107744107744</v>
      </c>
      <c r="N328" s="24" t="n">
        <f aca="false">IFERROR(SUMPRODUCT(($B$2:$B$1001=B328)*($I$2:$I$1001&lt;=I328))/SUMPRODUCT(($B$2:$B$1001=B328)*1),0)</f>
        <v>0.723905723905724</v>
      </c>
      <c r="O328" s="24" t="n">
        <f aca="false">IFERROR(SUMPRODUCT(($B$2:$B$1001=B328)*($J$2:$J$1001&lt;=J328))/SUMPRODUCT(($B$2:$B$1001=B328)*1),0)</f>
        <v>0.457912457912458</v>
      </c>
      <c r="P328" s="24" t="n">
        <f aca="false">IFERROR(SUMPRODUCT(($B$2:$B$1001=B328)*((0-$F$2:$F$1001)&lt;=(0-F328)))/SUMPRODUCT(($B$2:$B$1001=B328)*1),0)</f>
        <v>0.0909090909090909</v>
      </c>
      <c r="Q328" s="25" t="n">
        <f aca="false">(M328*Assumptions!$B$5+N328*Assumptions!$B$6+O328*Assumptions!$B$7+P328*Assumptions!$B$8)*L328</f>
        <v>0.549158249158249</v>
      </c>
      <c r="R328" s="24" t="n">
        <f aca="false">IFERROR(SUMPRODUCT(($B$2:$B$1001=B328)*($Q$2:$Q$1001&lt;=Q328))/SUMPRODUCT(($B$2:$B$1001=B328)*1),0)</f>
        <v>0.703703703703704</v>
      </c>
      <c r="S328" s="24" t="n">
        <f aca="false">IFERROR(SUMPRODUCT(($B$2:$B$1001=B328)*($K$2:$K$1001&lt;=K328))/SUMPRODUCT(($B$2:$B$1001=B328)*1),0)</f>
        <v>0.228956228956229</v>
      </c>
      <c r="T328" s="26" t="n">
        <f aca="false">(R328-S328)*100</f>
        <v>47.4747474747475</v>
      </c>
      <c r="U328" s="21" t="str">
        <f aca="false">'Player Data'!T328</f>
        <v>No</v>
      </c>
      <c r="V328" s="27" t="n">
        <f aca="false">'Player Data'!U328</f>
        <v>2026</v>
      </c>
      <c r="W328" s="21" t="str">
        <f aca="false">IF(AND(T328&gt;=Assumptions!$B$19,U328="No"),"High Priority - Unrepresented",IF(T328&gt;=Assumptions!$B$19,"High Priority",IF(AND(T328&gt;=Assumptions!$B$20,U328="No"),"Watchlist - Unrepresented",IF(T328&gt;=Assumptions!$B$20,"Watchlist",""))))</f>
        <v>High Priority - Unrepresented</v>
      </c>
      <c r="X328" s="21" t="str">
        <f aca="false">'Player Data'!V328</f>
        <v>info@santacruzrangers.bo</v>
      </c>
      <c r="Y328" s="28" t="str">
        <f aca="false">'Player Data'!W328</f>
        <v>Club sporting director / first-team office</v>
      </c>
      <c r="Z328" s="28" t="str">
        <f aca="false">'Player Data'!X328</f>
        <v>FBF (Bolivian Football Federation) player registry</v>
      </c>
      <c r="AA328" s="19" t="str">
        <f aca="false">HYPERLINK("https://www.transfermarkt.com/schnellsuche/ergebnis/schnellsuche?query="&amp;SUBSTITUTE(A328," ","+"),"Search Transfermarkt")</f>
        <v>Search Transfermarkt</v>
      </c>
      <c r="AB328" s="29" t="n">
        <f aca="false">IFERROR('Player Data'!K328/('Player Data'!K328+'Player Data'!L328),0)</f>
        <v>0.593360995850622</v>
      </c>
      <c r="AC328" s="21" t="str">
        <f aca="false">IF(B328="GK",IF(AND(O328&gt;=Assumptions!$B$23,N328&gt;=Assumptions!$B$23),"Sweeper-Keeper / Build-from-the-Back",IF(O328&gt;=Assumptions!$B$23,"Sweeper-Keeper / High Line",IF(M328&gt;=Assumptions!$B$23,"Shot-Stopper / Traditional","Flexible / Multi-System"))),IF(AND(O328&gt;=Assumptions!$B$23,P328&gt;=Assumptions!$B$24),"High Press / Gegenpressing",IF(AND(N328&gt;=Assumptions!$B$23,AB328&gt;=Assumptions!$B$25),"Possession / Build-from-the-Back",IF(N328&gt;=Assumptions!$B$23,"Counter-Attack / Transition",IF(AND(O328&gt;=Assumptions!$B$23,N328&lt;Assumptions!$B$26),"Low Block / Park the Bus",IF(AND(B328="FW",M328&gt;=Assumptions!$B$23,N328&lt;Assumptions!$B$26),"Direct / Target Approach","Flexible / Multi-System"))))))</f>
        <v>Counter-Attack / Transition</v>
      </c>
      <c r="AD328" s="21" t="str">
        <f aca="false">'Player Data'!Y328</f>
        <v>2026-07-17</v>
      </c>
      <c r="AE328" s="21" t="str">
        <f aca="false">'Player Data'!Z328</f>
        <v>2026-07-17</v>
      </c>
      <c r="AF328" s="28" t="str">
        <f aca="false">IFERROR(INDEX(Assumptions!$B$30:$B$61,MATCH(C328,Assumptions!$A$30:$A$61,0)),"--")</f>
        <v>Argentina, Portugal</v>
      </c>
      <c r="AG328" s="30" t="str">
        <f aca="false">IF(R328&gt;=0.7,"Step-Up Candidate",IF(R328&gt;=0.4,"Lateral Move","Stay &amp; Develop"))</f>
        <v>Step-Up Candidate</v>
      </c>
    </row>
    <row r="329" customFormat="false" ht="23.85" hidden="false" customHeight="false" outlineLevel="0" collapsed="false">
      <c r="A329" s="21" t="str">
        <f aca="false">'Player Data'!A329</f>
        <v>Matias Gonzalez</v>
      </c>
      <c r="B329" s="21" t="str">
        <f aca="false">'Player Data'!F329</f>
        <v>FW</v>
      </c>
      <c r="C329" s="21" t="str">
        <f aca="false">'Player Data'!B329</f>
        <v>Paraguay</v>
      </c>
      <c r="D329" s="21" t="str">
        <f aca="false">'Player Data'!C329</f>
        <v>Paraguay Third Tier - South</v>
      </c>
      <c r="E329" s="21" t="n">
        <f aca="false">'Player Data'!D329</f>
        <v>3</v>
      </c>
      <c r="F329" s="21" t="n">
        <f aca="false">'Player Data'!G329</f>
        <v>17</v>
      </c>
      <c r="G329" s="21" t="n">
        <f aca="false">'Player Data'!H329</f>
        <v>1172</v>
      </c>
      <c r="H329" s="22" t="n">
        <f aca="false">IF(B329="GK",IFERROR(('Player Data'!N329-1.5*'Player Data'!O329)/'Player Data'!H329*90,0),IFERROR(('Player Data'!I329+'Player Data'!J329)/'Player Data'!H329*90,0))</f>
        <v>1.07508532423208</v>
      </c>
      <c r="I329" s="22" t="n">
        <f aca="false">IF(B329="GK",'Player Data'!P329,IFERROR(('Player Data'!K329+'Player Data'!L329)/'Player Data'!H329*90,0))</f>
        <v>9.06143344709898</v>
      </c>
      <c r="J329" s="22" t="n">
        <f aca="false">IF(B329="GK",IFERROR('Player Data'!Q329/'Player Data'!H329*90,0),IFERROR('Player Data'!M329/'Player Data'!H329*90,0))</f>
        <v>0.614334470989761</v>
      </c>
      <c r="K329" s="23" t="n">
        <f aca="false">'Player Data'!S329</f>
        <v>73065</v>
      </c>
      <c r="L329" s="22" t="n">
        <f aca="false">INDEX(Assumptions!$B$13:$B$15,MATCH(E329,Assumptions!$A$13:$A$15,0))</f>
        <v>0.85</v>
      </c>
      <c r="M329" s="24" t="n">
        <f aca="false">IFERROR(SUMPRODUCT(($B$2:$B$1001=B329)*($H$2:$H$1001&lt;=H329))/SUMPRODUCT(($B$2:$B$1001=B329)*1),0)</f>
        <v>0.592920353982301</v>
      </c>
      <c r="N329" s="24" t="n">
        <f aca="false">IFERROR(SUMPRODUCT(($B$2:$B$1001=B329)*($I$2:$I$1001&lt;=I329))/SUMPRODUCT(($B$2:$B$1001=B329)*1),0)</f>
        <v>0.774336283185841</v>
      </c>
      <c r="O329" s="24" t="n">
        <f aca="false">IFERROR(SUMPRODUCT(($B$2:$B$1001=B329)*($J$2:$J$1001&lt;=J329))/SUMPRODUCT(($B$2:$B$1001=B329)*1),0)</f>
        <v>0.641592920353982</v>
      </c>
      <c r="P329" s="24" t="n">
        <f aca="false">IFERROR(SUMPRODUCT(($B$2:$B$1001=B329)*((0-$F$2:$F$1001)&lt;=(0-F329)))/SUMPRODUCT(($B$2:$B$1001=B329)*1),0)</f>
        <v>1</v>
      </c>
      <c r="Q329" s="25" t="n">
        <f aca="false">(M329*Assumptions!$B$5+N329*Assumptions!$B$6+O329*Assumptions!$B$7+P329*Assumptions!$B$8)*L329</f>
        <v>0.635431415929203</v>
      </c>
      <c r="R329" s="24" t="n">
        <f aca="false">IFERROR(SUMPRODUCT(($B$2:$B$1001=B329)*($Q$2:$Q$1001&lt;=Q329))/SUMPRODUCT(($B$2:$B$1001=B329)*1),0)</f>
        <v>0.800884955752212</v>
      </c>
      <c r="S329" s="24" t="n">
        <f aca="false">IFERROR(SUMPRODUCT(($B$2:$B$1001=B329)*($K$2:$K$1001&lt;=K329))/SUMPRODUCT(($B$2:$B$1001=B329)*1),0)</f>
        <v>0.570796460176991</v>
      </c>
      <c r="T329" s="26" t="n">
        <f aca="false">(R329-S329)*100</f>
        <v>23.0088495575221</v>
      </c>
      <c r="U329" s="21" t="str">
        <f aca="false">'Player Data'!T329</f>
        <v>No</v>
      </c>
      <c r="V329" s="27" t="n">
        <f aca="false">'Player Data'!U329</f>
        <v>2027</v>
      </c>
      <c r="W329" s="21" t="str">
        <f aca="false">IF(AND(T329&gt;=Assumptions!$B$19,U329="No"),"High Priority - Unrepresented",IF(T329&gt;=Assumptions!$B$19,"High Priority",IF(AND(T329&gt;=Assumptions!$B$20,U329="No"),"Watchlist - Unrepresented",IF(T329&gt;=Assumptions!$B$20,"Watchlist",""))))</f>
        <v>Watchlist - Unrepresented</v>
      </c>
      <c r="X329" s="21" t="str">
        <f aca="false">'Player Data'!V329</f>
        <v>info@asunciontown.py</v>
      </c>
      <c r="Y329" s="28" t="str">
        <f aca="false">'Player Data'!W329</f>
        <v>Club youth/academy office ONLY - player is a minor, do not contact directly</v>
      </c>
      <c r="Z329" s="28" t="str">
        <f aca="false">'Player Data'!X329</f>
        <v>APF (Paraguayan Football Association) player registry</v>
      </c>
      <c r="AA329" s="19" t="str">
        <f aca="false">HYPERLINK("https://www.transfermarkt.com/schnellsuche/ergebnis/schnellsuche?query="&amp;SUBSTITUTE(A329," ","+"),"Search Transfermarkt")</f>
        <v>Search Transfermarkt</v>
      </c>
      <c r="AB329" s="29" t="n">
        <f aca="false">IFERROR('Player Data'!K329/('Player Data'!K329+'Player Data'!L329),0)</f>
        <v>0.508474576271186</v>
      </c>
      <c r="AC329" s="21" t="str">
        <f aca="false">IF(B329="GK",IF(AND(O329&gt;=Assumptions!$B$23,N329&gt;=Assumptions!$B$23),"Sweeper-Keeper / Build-from-the-Back",IF(O329&gt;=Assumptions!$B$23,"Sweeper-Keeper / High Line",IF(M329&gt;=Assumptions!$B$23,"Shot-Stopper / Traditional","Flexible / Multi-System"))),IF(AND(O329&gt;=Assumptions!$B$23,P329&gt;=Assumptions!$B$24),"High Press / Gegenpressing",IF(AND(N329&gt;=Assumptions!$B$23,AB329&gt;=Assumptions!$B$25),"Possession / Build-from-the-Back",IF(N329&gt;=Assumptions!$B$23,"Counter-Attack / Transition",IF(AND(O329&gt;=Assumptions!$B$23,N329&lt;Assumptions!$B$26),"Low Block / Park the Bus",IF(AND(B329="FW",M329&gt;=Assumptions!$B$23,N329&lt;Assumptions!$B$26),"Direct / Target Approach","Flexible / Multi-System"))))))</f>
        <v>Counter-Attack / Transition</v>
      </c>
      <c r="AD329" s="21" t="str">
        <f aca="false">'Player Data'!Y329</f>
        <v>2026-07-17</v>
      </c>
      <c r="AE329" s="21" t="str">
        <f aca="false">'Player Data'!Z329</f>
        <v>2026-07-17</v>
      </c>
      <c r="AF329" s="28" t="str">
        <f aca="false">IFERROR(INDEX(Assumptions!$B$30:$B$61,MATCH(C329,Assumptions!$A$30:$A$61,0)),"--")</f>
        <v>Argentina, Portugal</v>
      </c>
      <c r="AG329" s="30" t="str">
        <f aca="false">IF(R329&gt;=0.7,"Step-Up Candidate",IF(R329&gt;=0.4,"Lateral Move","Stay &amp; Develop"))</f>
        <v>Step-Up Candidate</v>
      </c>
    </row>
    <row r="330" customFormat="false" ht="23.85" hidden="false" customHeight="false" outlineLevel="0" collapsed="false">
      <c r="A330" s="21" t="str">
        <f aca="false">'Player Data'!A330</f>
        <v>Chanda Tembo</v>
      </c>
      <c r="B330" s="21" t="str">
        <f aca="false">'Player Data'!F330</f>
        <v>GK</v>
      </c>
      <c r="C330" s="21" t="str">
        <f aca="false">'Player Data'!B330</f>
        <v>Zambia</v>
      </c>
      <c r="D330" s="21" t="str">
        <f aca="false">'Player Data'!C330</f>
        <v>Zambia Third Tier - South</v>
      </c>
      <c r="E330" s="21" t="n">
        <f aca="false">'Player Data'!D330</f>
        <v>2</v>
      </c>
      <c r="F330" s="21" t="n">
        <f aca="false">'Player Data'!G330</f>
        <v>21</v>
      </c>
      <c r="G330" s="21" t="n">
        <f aca="false">'Player Data'!H330</f>
        <v>2688</v>
      </c>
      <c r="H330" s="22" t="n">
        <f aca="false">IF(B330="GK",IFERROR(('Player Data'!N330-1.5*'Player Data'!O330)/'Player Data'!H330*90,0),IFERROR(('Player Data'!I330+'Player Data'!J330)/'Player Data'!H330*90,0))</f>
        <v>0.535714285714286</v>
      </c>
      <c r="I330" s="22" t="n">
        <f aca="false">IF(B330="GK",'Player Data'!P330,IFERROR(('Player Data'!K330+'Player Data'!L330)/'Player Data'!H330*90,0))</f>
        <v>81.8</v>
      </c>
      <c r="J330" s="22" t="n">
        <f aca="false">IF(B330="GK",IFERROR('Player Data'!Q330/'Player Data'!H330*90,0),IFERROR('Player Data'!M330/'Player Data'!H330*90,0))</f>
        <v>1.28571428571429</v>
      </c>
      <c r="K330" s="23" t="n">
        <f aca="false">'Player Data'!S330</f>
        <v>35660</v>
      </c>
      <c r="L330" s="22" t="n">
        <f aca="false">INDEX(Assumptions!$B$13:$B$15,MATCH(E330,Assumptions!$A$13:$A$15,0))</f>
        <v>1</v>
      </c>
      <c r="M330" s="24" t="n">
        <f aca="false">IFERROR(SUMPRODUCT(($B$2:$B$1001=B330)*($H$2:$H$1001&lt;=H330))/SUMPRODUCT(($B$2:$B$1001=B330)*1),0)</f>
        <v>0.295081967213115</v>
      </c>
      <c r="N330" s="24" t="n">
        <f aca="false">IFERROR(SUMPRODUCT(($B$2:$B$1001=B330)*($I$2:$I$1001&lt;=I330))/SUMPRODUCT(($B$2:$B$1001=B330)*1),0)</f>
        <v>0.715846994535519</v>
      </c>
      <c r="O330" s="24" t="n">
        <f aca="false">IFERROR(SUMPRODUCT(($B$2:$B$1001=B330)*($J$2:$J$1001&lt;=J330))/SUMPRODUCT(($B$2:$B$1001=B330)*1),0)</f>
        <v>0.808743169398907</v>
      </c>
      <c r="P330" s="24" t="n">
        <f aca="false">IFERROR(SUMPRODUCT(($B$2:$B$1001=B330)*((0-$F$2:$F$1001)&lt;=(0-F330)))/SUMPRODUCT(($B$2:$B$1001=B330)*1),0)</f>
        <v>0.60655737704918</v>
      </c>
      <c r="Q330" s="25" t="n">
        <f aca="false">(M330*Assumptions!$B$5+N330*Assumptions!$B$6+O330*Assumptions!$B$7+P330*Assumptions!$B$8)*L330</f>
        <v>0.607377049180328</v>
      </c>
      <c r="R330" s="24" t="n">
        <f aca="false">IFERROR(SUMPRODUCT(($B$2:$B$1001=B330)*($Q$2:$Q$1001&lt;=Q330))/SUMPRODUCT(($B$2:$B$1001=B330)*1),0)</f>
        <v>0.879781420765027</v>
      </c>
      <c r="S330" s="24" t="n">
        <f aca="false">IFERROR(SUMPRODUCT(($B$2:$B$1001=B330)*($K$2:$K$1001&lt;=K330))/SUMPRODUCT(($B$2:$B$1001=B330)*1),0)</f>
        <v>0.333333333333333</v>
      </c>
      <c r="T330" s="26" t="n">
        <f aca="false">(R330-S330)*100</f>
        <v>54.6448087431694</v>
      </c>
      <c r="U330" s="21" t="str">
        <f aca="false">'Player Data'!T330</f>
        <v>Unknown</v>
      </c>
      <c r="V330" s="27" t="n">
        <f aca="false">'Player Data'!U330</f>
        <v>2029</v>
      </c>
      <c r="W330" s="21" t="str">
        <f aca="false">IF(AND(T330&gt;=Assumptions!$B$19,U330="No"),"High Priority - Unrepresented",IF(T330&gt;=Assumptions!$B$19,"High Priority",IF(AND(T330&gt;=Assumptions!$B$20,U330="No"),"Watchlist - Unrepresented",IF(T330&gt;=Assumptions!$B$20,"Watchlist",""))))</f>
        <v>High Priority</v>
      </c>
      <c r="X330" s="21" t="str">
        <f aca="false">'Player Data'!V330</f>
        <v>info@ndolaunited.zm</v>
      </c>
      <c r="Y330" s="28" t="str">
        <f aca="false">'Player Data'!W330</f>
        <v>Club sporting director / first-team office</v>
      </c>
      <c r="Z330" s="28" t="str">
        <f aca="false">'Player Data'!X330</f>
        <v>FAZ (Football Association of Zambia) player registry</v>
      </c>
      <c r="AA330" s="19" t="str">
        <f aca="false">HYPERLINK("https://www.transfermarkt.com/schnellsuche/ergebnis/schnellsuche?query="&amp;SUBSTITUTE(A330," ","+"),"Search Transfermarkt")</f>
        <v>Search Transfermarkt</v>
      </c>
      <c r="AB330" s="29" t="n">
        <f aca="false">IFERROR('Player Data'!K330/('Player Data'!K330+'Player Data'!L330),0)</f>
        <v>0.666666666666667</v>
      </c>
      <c r="AC330" s="21" t="str">
        <f aca="false">IF(B330="GK",IF(AND(O330&gt;=Assumptions!$B$23,N330&gt;=Assumptions!$B$23),"Sweeper-Keeper / Build-from-the-Back",IF(O330&gt;=Assumptions!$B$23,"Sweeper-Keeper / High Line",IF(M330&gt;=Assumptions!$B$23,"Shot-Stopper / Traditional","Flexible / Multi-System"))),IF(AND(O330&gt;=Assumptions!$B$23,P330&gt;=Assumptions!$B$24),"High Press / Gegenpressing",IF(AND(N330&gt;=Assumptions!$B$23,AB330&gt;=Assumptions!$B$25),"Possession / Build-from-the-Back",IF(N330&gt;=Assumptions!$B$23,"Counter-Attack / Transition",IF(AND(O330&gt;=Assumptions!$B$23,N330&lt;Assumptions!$B$26),"Low Block / Park the Bus",IF(AND(B330="FW",M330&gt;=Assumptions!$B$23,N330&lt;Assumptions!$B$26),"Direct / Target Approach","Flexible / Multi-System"))))))</f>
        <v>Sweeper-Keeper / Build-from-the-Back</v>
      </c>
      <c r="AD330" s="21" t="str">
        <f aca="false">'Player Data'!Y330</f>
        <v>2026-07-17</v>
      </c>
      <c r="AE330" s="21" t="str">
        <f aca="false">'Player Data'!Z330</f>
        <v>2026-07-17</v>
      </c>
      <c r="AF330" s="28" t="str">
        <f aca="false">IFERROR(INDEX(Assumptions!$B$30:$B$61,MATCH(C330,Assumptions!$A$30:$A$61,0)),"--")</f>
        <v>Belgium, Portugal</v>
      </c>
      <c r="AG330" s="30" t="str">
        <f aca="false">IF(R330&gt;=0.7,"Step-Up Candidate",IF(R330&gt;=0.4,"Lateral Move","Stay &amp; Develop"))</f>
        <v>Step-Up Candidate</v>
      </c>
    </row>
    <row r="331" customFormat="false" ht="23.85" hidden="false" customHeight="false" outlineLevel="0" collapsed="false">
      <c r="A331" s="21" t="str">
        <f aca="false">'Player Data'!A331</f>
        <v>Stefan Jovanovic</v>
      </c>
      <c r="B331" s="21" t="str">
        <f aca="false">'Player Data'!F331</f>
        <v>MF</v>
      </c>
      <c r="C331" s="21" t="str">
        <f aca="false">'Player Data'!B331</f>
        <v>Serbia</v>
      </c>
      <c r="D331" s="21" t="str">
        <f aca="false">'Player Data'!C331</f>
        <v>Serbia Reserve League</v>
      </c>
      <c r="E331" s="21" t="n">
        <f aca="false">'Player Data'!D331</f>
        <v>3</v>
      </c>
      <c r="F331" s="21" t="n">
        <f aca="false">'Player Data'!G331</f>
        <v>22</v>
      </c>
      <c r="G331" s="21" t="n">
        <f aca="false">'Player Data'!H331</f>
        <v>971</v>
      </c>
      <c r="H331" s="22" t="n">
        <f aca="false">IF(B331="GK",IFERROR(('Player Data'!N331-1.5*'Player Data'!O331)/'Player Data'!H331*90,0),IFERROR(('Player Data'!I331+'Player Data'!J331)/'Player Data'!H331*90,0))</f>
        <v>1.48300720906282</v>
      </c>
      <c r="I331" s="22" t="n">
        <f aca="false">IF(B331="GK",'Player Data'!P331,IFERROR(('Player Data'!K331+'Player Data'!L331)/'Player Data'!H331*90,0))</f>
        <v>21.7816683831102</v>
      </c>
      <c r="J331" s="22" t="n">
        <f aca="false">IF(B331="GK",IFERROR('Player Data'!Q331/'Player Data'!H331*90,0),IFERROR('Player Data'!M331/'Player Data'!H331*90,0))</f>
        <v>3.89289392378991</v>
      </c>
      <c r="K331" s="23" t="n">
        <f aca="false">'Player Data'!S331</f>
        <v>15051</v>
      </c>
      <c r="L331" s="22" t="n">
        <f aca="false">INDEX(Assumptions!$B$13:$B$15,MATCH(E331,Assumptions!$A$13:$A$15,0))</f>
        <v>0.85</v>
      </c>
      <c r="M331" s="24" t="n">
        <f aca="false">IFERROR(SUMPRODUCT(($B$2:$B$1001=B331)*($H$2:$H$1001&lt;=H331))/SUMPRODUCT(($B$2:$B$1001=B331)*1),0)</f>
        <v>0.939393939393939</v>
      </c>
      <c r="N331" s="24" t="n">
        <f aca="false">IFERROR(SUMPRODUCT(($B$2:$B$1001=B331)*($I$2:$I$1001&lt;=I331))/SUMPRODUCT(($B$2:$B$1001=B331)*1),0)</f>
        <v>0.932659932659933</v>
      </c>
      <c r="O331" s="24" t="n">
        <f aca="false">IFERROR(SUMPRODUCT(($B$2:$B$1001=B331)*($J$2:$J$1001&lt;=J331))/SUMPRODUCT(($B$2:$B$1001=B331)*1),0)</f>
        <v>0.919191919191919</v>
      </c>
      <c r="P331" s="24" t="n">
        <f aca="false">IFERROR(SUMPRODUCT(($B$2:$B$1001=B331)*((0-$F$2:$F$1001)&lt;=(0-F331)))/SUMPRODUCT(($B$2:$B$1001=B331)*1),0)</f>
        <v>0.515151515151515</v>
      </c>
      <c r="Q331" s="25" t="n">
        <f aca="false">(M331*Assumptions!$B$5+N331*Assumptions!$B$6+O331*Assumptions!$B$7+P331*Assumptions!$B$8)*L331</f>
        <v>0.720925925925926</v>
      </c>
      <c r="R331" s="24" t="n">
        <f aca="false">IFERROR(SUMPRODUCT(($B$2:$B$1001=B331)*($Q$2:$Q$1001&lt;=Q331))/SUMPRODUCT(($B$2:$B$1001=B331)*1),0)</f>
        <v>0.885521885521886</v>
      </c>
      <c r="S331" s="24" t="n">
        <f aca="false">IFERROR(SUMPRODUCT(($B$2:$B$1001=B331)*($K$2:$K$1001&lt;=K331))/SUMPRODUCT(($B$2:$B$1001=B331)*1),0)</f>
        <v>0.259259259259259</v>
      </c>
      <c r="T331" s="26" t="n">
        <f aca="false">(R331-S331)*100</f>
        <v>62.6262626262626</v>
      </c>
      <c r="U331" s="21" t="str">
        <f aca="false">'Player Data'!T331</f>
        <v>No</v>
      </c>
      <c r="V331" s="27" t="n">
        <f aca="false">'Player Data'!U331</f>
        <v>2026</v>
      </c>
      <c r="W331" s="21" t="str">
        <f aca="false">IF(AND(T331&gt;=Assumptions!$B$19,U331="No"),"High Priority - Unrepresented",IF(T331&gt;=Assumptions!$B$19,"High Priority",IF(AND(T331&gt;=Assumptions!$B$20,U331="No"),"Watchlist - Unrepresented",IF(T331&gt;=Assumptions!$B$20,"Watchlist",""))))</f>
        <v>High Priority - Unrepresented</v>
      </c>
      <c r="X331" s="21" t="str">
        <f aca="false">'Player Data'!V331</f>
        <v>info@backatopolaunited.rs</v>
      </c>
      <c r="Y331" s="28" t="str">
        <f aca="false">'Player Data'!W331</f>
        <v>Club sporting director / first-team office</v>
      </c>
      <c r="Z331" s="28" t="str">
        <f aca="false">'Player Data'!X331</f>
        <v>FSS (Football Association of Serbia) player registry</v>
      </c>
      <c r="AA331" s="19" t="str">
        <f aca="false">HYPERLINK("https://www.transfermarkt.com/schnellsuche/ergebnis/schnellsuche?query="&amp;SUBSTITUTE(A331," ","+"),"Search Transfermarkt")</f>
        <v>Search Transfermarkt</v>
      </c>
      <c r="AB331" s="29" t="n">
        <f aca="false">IFERROR('Player Data'!K331/('Player Data'!K331+'Player Data'!L331),0)</f>
        <v>0.697872340425532</v>
      </c>
      <c r="AC331" s="21" t="str">
        <f aca="false">IF(B331="GK",IF(AND(O331&gt;=Assumptions!$B$23,N331&gt;=Assumptions!$B$23),"Sweeper-Keeper / Build-from-the-Back",IF(O331&gt;=Assumptions!$B$23,"Sweeper-Keeper / High Line",IF(M331&gt;=Assumptions!$B$23,"Shot-Stopper / Traditional","Flexible / Multi-System"))),IF(AND(O331&gt;=Assumptions!$B$23,P331&gt;=Assumptions!$B$24),"High Press / Gegenpressing",IF(AND(N331&gt;=Assumptions!$B$23,AB331&gt;=Assumptions!$B$25),"Possession / Build-from-the-Back",IF(N331&gt;=Assumptions!$B$23,"Counter-Attack / Transition",IF(AND(O331&gt;=Assumptions!$B$23,N331&lt;Assumptions!$B$26),"Low Block / Park the Bus",IF(AND(B331="FW",M331&gt;=Assumptions!$B$23,N331&lt;Assumptions!$B$26),"Direct / Target Approach","Flexible / Multi-System"))))))</f>
        <v>Possession / Build-from-the-Back</v>
      </c>
      <c r="AD331" s="21" t="str">
        <f aca="false">'Player Data'!Y331</f>
        <v>2026-07-17</v>
      </c>
      <c r="AE331" s="21" t="str">
        <f aca="false">'Player Data'!Z331</f>
        <v>2026-07-17</v>
      </c>
      <c r="AF331" s="28" t="str">
        <f aca="false">IFERROR(INDEX(Assumptions!$B$30:$B$61,MATCH(C331,Assumptions!$A$30:$A$61,0)),"--")</f>
        <v>Austria, Turkey</v>
      </c>
      <c r="AG331" s="30" t="str">
        <f aca="false">IF(R331&gt;=0.7,"Step-Up Candidate",IF(R331&gt;=0.4,"Lateral Move","Stay &amp; Develop"))</f>
        <v>Step-Up Candidate</v>
      </c>
    </row>
    <row r="332" customFormat="false" ht="23.85" hidden="false" customHeight="false" outlineLevel="0" collapsed="false">
      <c r="A332" s="21" t="str">
        <f aca="false">'Player Data'!A332</f>
        <v>Josip Novak</v>
      </c>
      <c r="B332" s="21" t="str">
        <f aca="false">'Player Data'!F332</f>
        <v>MF</v>
      </c>
      <c r="C332" s="21" t="str">
        <f aca="false">'Player Data'!B332</f>
        <v>Croatia</v>
      </c>
      <c r="D332" s="21" t="str">
        <f aca="false">'Player Data'!C332</f>
        <v>Croatia Provincial League</v>
      </c>
      <c r="E332" s="21" t="n">
        <f aca="false">'Player Data'!D332</f>
        <v>2</v>
      </c>
      <c r="F332" s="21" t="n">
        <f aca="false">'Player Data'!G332</f>
        <v>18</v>
      </c>
      <c r="G332" s="21" t="n">
        <f aca="false">'Player Data'!H332</f>
        <v>2235</v>
      </c>
      <c r="H332" s="22" t="n">
        <f aca="false">IF(B332="GK",IFERROR(('Player Data'!N332-1.5*'Player Data'!O332)/'Player Data'!H332*90,0),IFERROR(('Player Data'!I332+'Player Data'!J332)/'Player Data'!H332*90,0))</f>
        <v>0.76510067114094</v>
      </c>
      <c r="I332" s="22" t="n">
        <f aca="false">IF(B332="GK",'Player Data'!P332,IFERROR(('Player Data'!K332+'Player Data'!L332)/'Player Data'!H332*90,0))</f>
        <v>9.66442953020134</v>
      </c>
      <c r="J332" s="22" t="n">
        <f aca="false">IF(B332="GK",IFERROR('Player Data'!Q332/'Player Data'!H332*90,0),IFERROR('Player Data'!M332/'Player Data'!H332*90,0))</f>
        <v>1.12751677852349</v>
      </c>
      <c r="K332" s="23" t="n">
        <f aca="false">'Player Data'!S332</f>
        <v>96342</v>
      </c>
      <c r="L332" s="22" t="n">
        <f aca="false">INDEX(Assumptions!$B$13:$B$15,MATCH(E332,Assumptions!$A$13:$A$15,0))</f>
        <v>1</v>
      </c>
      <c r="M332" s="24" t="n">
        <f aca="false">IFERROR(SUMPRODUCT(($B$2:$B$1001=B332)*($H$2:$H$1001&lt;=H332))/SUMPRODUCT(($B$2:$B$1001=B332)*1),0)</f>
        <v>0.542087542087542</v>
      </c>
      <c r="N332" s="24" t="n">
        <f aca="false">IFERROR(SUMPRODUCT(($B$2:$B$1001=B332)*($I$2:$I$1001&lt;=I332))/SUMPRODUCT(($B$2:$B$1001=B332)*1),0)</f>
        <v>0.387205387205387</v>
      </c>
      <c r="O332" s="24" t="n">
        <f aca="false">IFERROR(SUMPRODUCT(($B$2:$B$1001=B332)*($J$2:$J$1001&lt;=J332))/SUMPRODUCT(($B$2:$B$1001=B332)*1),0)</f>
        <v>0.0336700336700337</v>
      </c>
      <c r="P332" s="24" t="n">
        <f aca="false">IFERROR(SUMPRODUCT(($B$2:$B$1001=B332)*((0-$F$2:$F$1001)&lt;=(0-F332)))/SUMPRODUCT(($B$2:$B$1001=B332)*1),0)</f>
        <v>0.929292929292929</v>
      </c>
      <c r="Q332" s="25" t="n">
        <f aca="false">(M332*Assumptions!$B$5+N332*Assumptions!$B$6+O332*Assumptions!$B$7+P332*Assumptions!$B$8)*L332</f>
        <v>0.463636363636364</v>
      </c>
      <c r="R332" s="24" t="n">
        <f aca="false">IFERROR(SUMPRODUCT(($B$2:$B$1001=B332)*($Q$2:$Q$1001&lt;=Q332))/SUMPRODUCT(($B$2:$B$1001=B332)*1),0)</f>
        <v>0.558922558922559</v>
      </c>
      <c r="S332" s="24" t="n">
        <f aca="false">IFERROR(SUMPRODUCT(($B$2:$B$1001=B332)*($K$2:$K$1001&lt;=K332))/SUMPRODUCT(($B$2:$B$1001=B332)*1),0)</f>
        <v>0.720538720538721</v>
      </c>
      <c r="T332" s="26" t="n">
        <f aca="false">(R332-S332)*100</f>
        <v>-16.1616161616162</v>
      </c>
      <c r="U332" s="21" t="str">
        <f aca="false">'Player Data'!T332</f>
        <v>No</v>
      </c>
      <c r="V332" s="27" t="n">
        <f aca="false">'Player Data'!U332</f>
        <v>2028</v>
      </c>
      <c r="W332" s="21" t="str">
        <f aca="false">IF(AND(T332&gt;=Assumptions!$B$19,U332="No"),"High Priority - Unrepresented",IF(T332&gt;=Assumptions!$B$19,"High Priority",IF(AND(T332&gt;=Assumptions!$B$20,U332="No"),"Watchlist - Unrepresented",IF(T332&gt;=Assumptions!$B$20,"Watchlist",""))))</f>
        <v/>
      </c>
      <c r="X332" s="21" t="str">
        <f aca="false">'Player Data'!V332</f>
        <v>info@zagrebwanderers.hr</v>
      </c>
      <c r="Y332" s="28" t="str">
        <f aca="false">'Player Data'!W332</f>
        <v>Club sporting director / first-team office</v>
      </c>
      <c r="Z332" s="28" t="str">
        <f aca="false">'Player Data'!X332</f>
        <v>HNS (Croatian Football Federation) player registry</v>
      </c>
      <c r="AA332" s="19" t="str">
        <f aca="false">HYPERLINK("https://www.transfermarkt.com/schnellsuche/ergebnis/schnellsuche?query="&amp;SUBSTITUTE(A332," ","+"),"Search Transfermarkt")</f>
        <v>Search Transfermarkt</v>
      </c>
      <c r="AB332" s="29" t="n">
        <f aca="false">IFERROR('Player Data'!K332/('Player Data'!K332+'Player Data'!L332),0)</f>
        <v>0.670833333333333</v>
      </c>
      <c r="AC332" s="21" t="str">
        <f aca="false">IF(B332="GK",IF(AND(O332&gt;=Assumptions!$B$23,N332&gt;=Assumptions!$B$23),"Sweeper-Keeper / Build-from-the-Back",IF(O332&gt;=Assumptions!$B$23,"Sweeper-Keeper / High Line",IF(M332&gt;=Assumptions!$B$23,"Shot-Stopper / Traditional","Flexible / Multi-System"))),IF(AND(O332&gt;=Assumptions!$B$23,P332&gt;=Assumptions!$B$24),"High Press / Gegenpressing",IF(AND(N332&gt;=Assumptions!$B$23,AB332&gt;=Assumptions!$B$25),"Possession / Build-from-the-Back",IF(N332&gt;=Assumptions!$B$23,"Counter-Attack / Transition",IF(AND(O332&gt;=Assumptions!$B$23,N332&lt;Assumptions!$B$26),"Low Block / Park the Bus",IF(AND(B332="FW",M332&gt;=Assumptions!$B$23,N332&lt;Assumptions!$B$26),"Direct / Target Approach","Flexible / Multi-System"))))))</f>
        <v>Flexible / Multi-System</v>
      </c>
      <c r="AD332" s="21" t="str">
        <f aca="false">'Player Data'!Y332</f>
        <v>2026-07-17</v>
      </c>
      <c r="AE332" s="21" t="str">
        <f aca="false">'Player Data'!Z332</f>
        <v>2026-07-17</v>
      </c>
      <c r="AF332" s="28" t="str">
        <f aca="false">IFERROR(INDEX(Assumptions!$B$30:$B$61,MATCH(C332,Assumptions!$A$30:$A$61,0)),"--")</f>
        <v>Austria, Turkey</v>
      </c>
      <c r="AG332" s="30" t="str">
        <f aca="false">IF(R332&gt;=0.7,"Step-Up Candidate",IF(R332&gt;=0.4,"Lateral Move","Stay &amp; Develop"))</f>
        <v>Lateral Move</v>
      </c>
    </row>
    <row r="333" customFormat="false" ht="23.85" hidden="false" customHeight="false" outlineLevel="0" collapsed="false">
      <c r="A333" s="21" t="str">
        <f aca="false">'Player Data'!A333</f>
        <v>Jefferson Zambrano</v>
      </c>
      <c r="B333" s="21" t="str">
        <f aca="false">'Player Data'!F333</f>
        <v>DF</v>
      </c>
      <c r="C333" s="21" t="str">
        <f aca="false">'Player Data'!B333</f>
        <v>Ecuador</v>
      </c>
      <c r="D333" s="21" t="str">
        <f aca="false">'Player Data'!C333</f>
        <v>Ecuador Second Division - West</v>
      </c>
      <c r="E333" s="21" t="n">
        <f aca="false">'Player Data'!D333</f>
        <v>2</v>
      </c>
      <c r="F333" s="21" t="n">
        <f aca="false">'Player Data'!G333</f>
        <v>17</v>
      </c>
      <c r="G333" s="21" t="n">
        <f aca="false">'Player Data'!H333</f>
        <v>1341</v>
      </c>
      <c r="H333" s="22" t="n">
        <f aca="false">IF(B333="GK",IFERROR(('Player Data'!N333-1.5*'Player Data'!O333)/'Player Data'!H333*90,0),IFERROR(('Player Data'!I333+'Player Data'!J333)/'Player Data'!H333*90,0))</f>
        <v>0.402684563758389</v>
      </c>
      <c r="I333" s="22" t="n">
        <f aca="false">IF(B333="GK",'Player Data'!P333,IFERROR(('Player Data'!K333+'Player Data'!L333)/'Player Data'!H333*90,0))</f>
        <v>5.57046979865772</v>
      </c>
      <c r="J333" s="22" t="n">
        <f aca="false">IF(B333="GK",IFERROR('Player Data'!Q333/'Player Data'!H333*90,0),IFERROR('Player Data'!M333/'Player Data'!H333*90,0))</f>
        <v>5.90604026845638</v>
      </c>
      <c r="K333" s="23" t="n">
        <f aca="false">'Player Data'!S333</f>
        <v>132955</v>
      </c>
      <c r="L333" s="22" t="n">
        <f aca="false">INDEX(Assumptions!$B$13:$B$15,MATCH(E333,Assumptions!$A$13:$A$15,0))</f>
        <v>1</v>
      </c>
      <c r="M333" s="24" t="n">
        <f aca="false">IFERROR(SUMPRODUCT(($B$2:$B$1001=B333)*($H$2:$H$1001&lt;=H333))/SUMPRODUCT(($B$2:$B$1001=B333)*1),0)</f>
        <v>0.901360544217687</v>
      </c>
      <c r="N333" s="24" t="n">
        <f aca="false">IFERROR(SUMPRODUCT(($B$2:$B$1001=B333)*($I$2:$I$1001&lt;=I333))/SUMPRODUCT(($B$2:$B$1001=B333)*1),0)</f>
        <v>0.687074829931973</v>
      </c>
      <c r="O333" s="24" t="n">
        <f aca="false">IFERROR(SUMPRODUCT(($B$2:$B$1001=B333)*($J$2:$J$1001&lt;=J333))/SUMPRODUCT(($B$2:$B$1001=B333)*1),0)</f>
        <v>0.602040816326531</v>
      </c>
      <c r="P333" s="24" t="n">
        <f aca="false">IFERROR(SUMPRODUCT(($B$2:$B$1001=B333)*((0-$F$2:$F$1001)&lt;=(0-F333)))/SUMPRODUCT(($B$2:$B$1001=B333)*1),0)</f>
        <v>1</v>
      </c>
      <c r="Q333" s="25" t="n">
        <f aca="false">(M333*Assumptions!$B$5+N333*Assumptions!$B$6+O333*Assumptions!$B$7+P333*Assumptions!$B$8)*L333</f>
        <v>0.786224489795918</v>
      </c>
      <c r="R333" s="24" t="n">
        <f aca="false">IFERROR(SUMPRODUCT(($B$2:$B$1001=B333)*($Q$2:$Q$1001&lt;=Q333))/SUMPRODUCT(($B$2:$B$1001=B333)*1),0)</f>
        <v>0.942176870748299</v>
      </c>
      <c r="S333" s="24" t="n">
        <f aca="false">IFERROR(SUMPRODUCT(($B$2:$B$1001=B333)*($K$2:$K$1001&lt;=K333))/SUMPRODUCT(($B$2:$B$1001=B333)*1),0)</f>
        <v>0.921768707482993</v>
      </c>
      <c r="T333" s="26" t="n">
        <f aca="false">(R333-S333)*100</f>
        <v>2.04081632653061</v>
      </c>
      <c r="U333" s="21" t="str">
        <f aca="false">'Player Data'!T333</f>
        <v>No</v>
      </c>
      <c r="V333" s="27" t="n">
        <f aca="false">'Player Data'!U333</f>
        <v>2028</v>
      </c>
      <c r="W333" s="21" t="str">
        <f aca="false">IF(AND(T333&gt;=Assumptions!$B$19,U333="No"),"High Priority - Unrepresented",IF(T333&gt;=Assumptions!$B$19,"High Priority",IF(AND(T333&gt;=Assumptions!$B$20,U333="No"),"Watchlist - Unrepresented",IF(T333&gt;=Assumptions!$B$20,"Watchlist",""))))</f>
        <v/>
      </c>
      <c r="X333" s="21" t="str">
        <f aca="false">'Player Data'!V333</f>
        <v>info@cuencarangers.ec</v>
      </c>
      <c r="Y333" s="28" t="str">
        <f aca="false">'Player Data'!W333</f>
        <v>Club youth/academy office ONLY - player is a minor, do not contact directly</v>
      </c>
      <c r="Z333" s="28" t="str">
        <f aca="false">'Player Data'!X333</f>
        <v>FEF (Ecuadorian Football Federation) player registry</v>
      </c>
      <c r="AA333" s="19" t="str">
        <f aca="false">HYPERLINK("https://www.transfermarkt.com/schnellsuche/ergebnis/schnellsuche?query="&amp;SUBSTITUTE(A333," ","+"),"Search Transfermarkt")</f>
        <v>Search Transfermarkt</v>
      </c>
      <c r="AB333" s="29" t="n">
        <f aca="false">IFERROR('Player Data'!K333/('Player Data'!K333+'Player Data'!L333),0)</f>
        <v>0.674698795180723</v>
      </c>
      <c r="AC333" s="21" t="str">
        <f aca="false">IF(B333="GK",IF(AND(O333&gt;=Assumptions!$B$23,N333&gt;=Assumptions!$B$23),"Sweeper-Keeper / Build-from-the-Back",IF(O333&gt;=Assumptions!$B$23,"Sweeper-Keeper / High Line",IF(M333&gt;=Assumptions!$B$23,"Shot-Stopper / Traditional","Flexible / Multi-System"))),IF(AND(O333&gt;=Assumptions!$B$23,P333&gt;=Assumptions!$B$24),"High Press / Gegenpressing",IF(AND(N333&gt;=Assumptions!$B$23,AB333&gt;=Assumptions!$B$25),"Possession / Build-from-the-Back",IF(N333&gt;=Assumptions!$B$23,"Counter-Attack / Transition",IF(AND(O333&gt;=Assumptions!$B$23,N333&lt;Assumptions!$B$26),"Low Block / Park the Bus",IF(AND(B333="FW",M333&gt;=Assumptions!$B$23,N333&lt;Assumptions!$B$26),"Direct / Target Approach","Flexible / Multi-System"))))))</f>
        <v>Possession / Build-from-the-Back</v>
      </c>
      <c r="AD333" s="21" t="str">
        <f aca="false">'Player Data'!Y333</f>
        <v>2026-07-17</v>
      </c>
      <c r="AE333" s="21" t="str">
        <f aca="false">'Player Data'!Z333</f>
        <v>2026-07-17</v>
      </c>
      <c r="AF333" s="28" t="str">
        <f aca="false">IFERROR(INDEX(Assumptions!$B$30:$B$61,MATCH(C333,Assumptions!$A$30:$A$61,0)),"--")</f>
        <v>Argentina, Portugal</v>
      </c>
      <c r="AG333" s="30" t="str">
        <f aca="false">IF(R333&gt;=0.7,"Step-Up Candidate",IF(R333&gt;=0.4,"Lateral Move","Stay &amp; Develop"))</f>
        <v>Step-Up Candidate</v>
      </c>
    </row>
    <row r="334" customFormat="false" ht="23.85" hidden="false" customHeight="false" outlineLevel="0" collapsed="false">
      <c r="A334" s="21" t="str">
        <f aca="false">'Player Data'!A334</f>
        <v>Igor Trajkovski</v>
      </c>
      <c r="B334" s="21" t="str">
        <f aca="false">'Player Data'!F334</f>
        <v>GK</v>
      </c>
      <c r="C334" s="21" t="str">
        <f aca="false">'Player Data'!B334</f>
        <v>North Macedonia</v>
      </c>
      <c r="D334" s="21" t="str">
        <f aca="false">'Player Data'!C334</f>
        <v>North Macedonia Third Tier - North</v>
      </c>
      <c r="E334" s="21" t="n">
        <f aca="false">'Player Data'!D334</f>
        <v>3</v>
      </c>
      <c r="F334" s="21" t="n">
        <f aca="false">'Player Data'!G334</f>
        <v>17</v>
      </c>
      <c r="G334" s="21" t="n">
        <f aca="false">'Player Data'!H334</f>
        <v>2112</v>
      </c>
      <c r="H334" s="22" t="n">
        <f aca="false">IF(B334="GK",IFERROR(('Player Data'!N334-1.5*'Player Data'!O334)/'Player Data'!H334*90,0),IFERROR(('Player Data'!I334+'Player Data'!J334)/'Player Data'!H334*90,0))</f>
        <v>0.9375</v>
      </c>
      <c r="I334" s="22" t="n">
        <f aca="false">IF(B334="GK",'Player Data'!P334,IFERROR(('Player Data'!K334+'Player Data'!L334)/'Player Data'!H334*90,0))</f>
        <v>57.6</v>
      </c>
      <c r="J334" s="22" t="n">
        <f aca="false">IF(B334="GK",IFERROR('Player Data'!Q334/'Player Data'!H334*90,0),IFERROR('Player Data'!M334/'Player Data'!H334*90,0))</f>
        <v>0.835227272727273</v>
      </c>
      <c r="K334" s="23" t="n">
        <f aca="false">'Player Data'!S334</f>
        <v>0</v>
      </c>
      <c r="L334" s="22" t="n">
        <f aca="false">INDEX(Assumptions!$B$13:$B$15,MATCH(E334,Assumptions!$A$13:$A$15,0))</f>
        <v>0.85</v>
      </c>
      <c r="M334" s="24" t="n">
        <f aca="false">IFERROR(SUMPRODUCT(($B$2:$B$1001=B334)*($H$2:$H$1001&lt;=H334))/SUMPRODUCT(($B$2:$B$1001=B334)*1),0)</f>
        <v>0.387978142076503</v>
      </c>
      <c r="N334" s="24" t="n">
        <f aca="false">IFERROR(SUMPRODUCT(($B$2:$B$1001=B334)*($I$2:$I$1001&lt;=I334))/SUMPRODUCT(($B$2:$B$1001=B334)*1),0)</f>
        <v>0.0546448087431694</v>
      </c>
      <c r="O334" s="24" t="n">
        <f aca="false">IFERROR(SUMPRODUCT(($B$2:$B$1001=B334)*($J$2:$J$1001&lt;=J334))/SUMPRODUCT(($B$2:$B$1001=B334)*1),0)</f>
        <v>0.486338797814208</v>
      </c>
      <c r="P334" s="24" t="n">
        <f aca="false">IFERROR(SUMPRODUCT(($B$2:$B$1001=B334)*((0-$F$2:$F$1001)&lt;=(0-F334)))/SUMPRODUCT(($B$2:$B$1001=B334)*1),0)</f>
        <v>1</v>
      </c>
      <c r="Q334" s="25" t="n">
        <f aca="false">(M334*Assumptions!$B$5+N334*Assumptions!$B$6+O334*Assumptions!$B$7+P334*Assumptions!$B$8)*L334</f>
        <v>0.351379781420765</v>
      </c>
      <c r="R334" s="24" t="n">
        <f aca="false">IFERROR(SUMPRODUCT(($B$2:$B$1001=B334)*($Q$2:$Q$1001&lt;=Q334))/SUMPRODUCT(($B$2:$B$1001=B334)*1),0)</f>
        <v>0.240437158469945</v>
      </c>
      <c r="S334" s="24" t="n">
        <f aca="false">IFERROR(SUMPRODUCT(($B$2:$B$1001=B334)*($K$2:$K$1001&lt;=K334))/SUMPRODUCT(($B$2:$B$1001=B334)*1),0)</f>
        <v>0.218579234972678</v>
      </c>
      <c r="T334" s="26" t="n">
        <f aca="false">(R334-S334)*100</f>
        <v>2.18579234972678</v>
      </c>
      <c r="U334" s="21" t="str">
        <f aca="false">'Player Data'!T334</f>
        <v>No</v>
      </c>
      <c r="V334" s="27" t="n">
        <f aca="false">'Player Data'!U334</f>
        <v>2026</v>
      </c>
      <c r="W334" s="21" t="str">
        <f aca="false">IF(AND(T334&gt;=Assumptions!$B$19,U334="No"),"High Priority - Unrepresented",IF(T334&gt;=Assumptions!$B$19,"High Priority",IF(AND(T334&gt;=Assumptions!$B$20,U334="No"),"Watchlist - Unrepresented",IF(T334&gt;=Assumptions!$B$20,"Watchlist",""))))</f>
        <v/>
      </c>
      <c r="X334" s="21" t="str">
        <f aca="false">'Player Data'!V334</f>
        <v>info@ohridfc.mk</v>
      </c>
      <c r="Y334" s="28" t="str">
        <f aca="false">'Player Data'!W334</f>
        <v>Club youth/academy office ONLY - player is a minor, do not contact directly</v>
      </c>
      <c r="Z334" s="28" t="str">
        <f aca="false">'Player Data'!X334</f>
        <v>FFM (Football Federation of North Macedonia) player registry</v>
      </c>
      <c r="AA334" s="19" t="str">
        <f aca="false">HYPERLINK("https://www.transfermarkt.com/schnellsuche/ergebnis/schnellsuche?query="&amp;SUBSTITUTE(A334," ","+"),"Search Transfermarkt")</f>
        <v>Search Transfermarkt</v>
      </c>
      <c r="AB334" s="29" t="n">
        <f aca="false">IFERROR('Player Data'!K334/('Player Data'!K334+'Player Data'!L334),0)</f>
        <v>1</v>
      </c>
      <c r="AC334" s="21" t="str">
        <f aca="false">IF(B334="GK",IF(AND(O334&gt;=Assumptions!$B$23,N334&gt;=Assumptions!$B$23),"Sweeper-Keeper / Build-from-the-Back",IF(O334&gt;=Assumptions!$B$23,"Sweeper-Keeper / High Line",IF(M334&gt;=Assumptions!$B$23,"Shot-Stopper / Traditional","Flexible / Multi-System"))),IF(AND(O334&gt;=Assumptions!$B$23,P334&gt;=Assumptions!$B$24),"High Press / Gegenpressing",IF(AND(N334&gt;=Assumptions!$B$23,AB334&gt;=Assumptions!$B$25),"Possession / Build-from-the-Back",IF(N334&gt;=Assumptions!$B$23,"Counter-Attack / Transition",IF(AND(O334&gt;=Assumptions!$B$23,N334&lt;Assumptions!$B$26),"Low Block / Park the Bus",IF(AND(B334="FW",M334&gt;=Assumptions!$B$23,N334&lt;Assumptions!$B$26),"Direct / Target Approach","Flexible / Multi-System"))))))</f>
        <v>Flexible / Multi-System</v>
      </c>
      <c r="AD334" s="21" t="str">
        <f aca="false">'Player Data'!Y334</f>
        <v>2026-07-17</v>
      </c>
      <c r="AE334" s="21" t="str">
        <f aca="false">'Player Data'!Z334</f>
        <v>2026-07-17</v>
      </c>
      <c r="AF334" s="28" t="str">
        <f aca="false">IFERROR(INDEX(Assumptions!$B$30:$B$61,MATCH(C334,Assumptions!$A$30:$A$61,0)),"--")</f>
        <v>Austria, Turkey</v>
      </c>
      <c r="AG334" s="30" t="str">
        <f aca="false">IF(R334&gt;=0.7,"Step-Up Candidate",IF(R334&gt;=0.4,"Lateral Move","Stay &amp; Develop"))</f>
        <v>Stay &amp; Develop</v>
      </c>
    </row>
    <row r="335" customFormat="false" ht="23.85" hidden="false" customHeight="false" outlineLevel="0" collapsed="false">
      <c r="A335" s="21" t="str">
        <f aca="false">'Player Data'!A335</f>
        <v>Devon Brown</v>
      </c>
      <c r="B335" s="21" t="str">
        <f aca="false">'Player Data'!F335</f>
        <v>DF</v>
      </c>
      <c r="C335" s="21" t="str">
        <f aca="false">'Player Data'!B335</f>
        <v>Jamaica</v>
      </c>
      <c r="D335" s="21" t="str">
        <f aca="false">'Player Data'!C335</f>
        <v>Jamaica Second Division</v>
      </c>
      <c r="E335" s="21" t="n">
        <f aca="false">'Player Data'!D335</f>
        <v>2</v>
      </c>
      <c r="F335" s="21" t="n">
        <f aca="false">'Player Data'!G335</f>
        <v>19</v>
      </c>
      <c r="G335" s="21" t="n">
        <f aca="false">'Player Data'!H335</f>
        <v>2571</v>
      </c>
      <c r="H335" s="22" t="n">
        <f aca="false">IF(B335="GK",IFERROR(('Player Data'!N335-1.5*'Player Data'!O335)/'Player Data'!H335*90,0),IFERROR(('Player Data'!I335+'Player Data'!J335)/'Player Data'!H335*90,0))</f>
        <v>0.105017502917153</v>
      </c>
      <c r="I335" s="22" t="n">
        <f aca="false">IF(B335="GK",'Player Data'!P335,IFERROR(('Player Data'!K335+'Player Data'!L335)/'Player Data'!H335*90,0))</f>
        <v>3.74562427071179</v>
      </c>
      <c r="J335" s="22" t="n">
        <f aca="false">IF(B335="GK",IFERROR('Player Data'!Q335/'Player Data'!H335*90,0),IFERROR('Player Data'!M335/'Player Data'!H335*90,0))</f>
        <v>3.5705950991832</v>
      </c>
      <c r="K335" s="23" t="n">
        <f aca="false">'Player Data'!S335</f>
        <v>61672</v>
      </c>
      <c r="L335" s="22" t="n">
        <f aca="false">INDEX(Assumptions!$B$13:$B$15,MATCH(E335,Assumptions!$A$13:$A$15,0))</f>
        <v>1</v>
      </c>
      <c r="M335" s="24" t="n">
        <f aca="false">IFERROR(SUMPRODUCT(($B$2:$B$1001=B335)*($H$2:$H$1001&lt;=H335))/SUMPRODUCT(($B$2:$B$1001=B335)*1),0)</f>
        <v>0.217687074829932</v>
      </c>
      <c r="N335" s="24" t="n">
        <f aca="false">IFERROR(SUMPRODUCT(($B$2:$B$1001=B335)*($I$2:$I$1001&lt;=I335))/SUMPRODUCT(($B$2:$B$1001=B335)*1),0)</f>
        <v>0.336734693877551</v>
      </c>
      <c r="O335" s="24" t="n">
        <f aca="false">IFERROR(SUMPRODUCT(($B$2:$B$1001=B335)*($J$2:$J$1001&lt;=J335))/SUMPRODUCT(($B$2:$B$1001=B335)*1),0)</f>
        <v>0.112244897959184</v>
      </c>
      <c r="P335" s="24" t="n">
        <f aca="false">IFERROR(SUMPRODUCT(($B$2:$B$1001=B335)*((0-$F$2:$F$1001)&lt;=(0-F335)))/SUMPRODUCT(($B$2:$B$1001=B335)*1),0)</f>
        <v>0.738095238095238</v>
      </c>
      <c r="Q335" s="25" t="n">
        <f aca="false">(M335*Assumptions!$B$5+N335*Assumptions!$B$6+O335*Assumptions!$B$7+P335*Assumptions!$B$8)*L335</f>
        <v>0.34234693877551</v>
      </c>
      <c r="R335" s="24" t="n">
        <f aca="false">IFERROR(SUMPRODUCT(($B$2:$B$1001=B335)*($Q$2:$Q$1001&lt;=Q335))/SUMPRODUCT(($B$2:$B$1001=B335)*1),0)</f>
        <v>0.336734693877551</v>
      </c>
      <c r="S335" s="24" t="n">
        <f aca="false">IFERROR(SUMPRODUCT(($B$2:$B$1001=B335)*($K$2:$K$1001&lt;=K335))/SUMPRODUCT(($B$2:$B$1001=B335)*1),0)</f>
        <v>0.496598639455782</v>
      </c>
      <c r="T335" s="26" t="n">
        <f aca="false">(R335-S335)*100</f>
        <v>-15.9863945578231</v>
      </c>
      <c r="U335" s="21" t="str">
        <f aca="false">'Player Data'!T335</f>
        <v>No</v>
      </c>
      <c r="V335" s="27" t="n">
        <f aca="false">'Player Data'!U335</f>
        <v>2026</v>
      </c>
      <c r="W335" s="21" t="str">
        <f aca="false">IF(AND(T335&gt;=Assumptions!$B$19,U335="No"),"High Priority - Unrepresented",IF(T335&gt;=Assumptions!$B$19,"High Priority",IF(AND(T335&gt;=Assumptions!$B$20,U335="No"),"Watchlist - Unrepresented",IF(T335&gt;=Assumptions!$B$20,"Watchlist",""))))</f>
        <v/>
      </c>
      <c r="X335" s="21" t="str">
        <f aca="false">'Player Data'!V335</f>
        <v>info@montegobayrangers.jm</v>
      </c>
      <c r="Y335" s="28" t="str">
        <f aca="false">'Player Data'!W335</f>
        <v>Club sporting director / first-team office</v>
      </c>
      <c r="Z335" s="28" t="str">
        <f aca="false">'Player Data'!X335</f>
        <v>JFF (Jamaica Football Federation) player registry</v>
      </c>
      <c r="AA335" s="19" t="str">
        <f aca="false">HYPERLINK("https://www.transfermarkt.com/schnellsuche/ergebnis/schnellsuche?query="&amp;SUBSTITUTE(A335," ","+"),"Search Transfermarkt")</f>
        <v>Search Transfermarkt</v>
      </c>
      <c r="AB335" s="29" t="n">
        <f aca="false">IFERROR('Player Data'!K335/('Player Data'!K335+'Player Data'!L335),0)</f>
        <v>0.644859813084112</v>
      </c>
      <c r="AC335" s="21" t="str">
        <f aca="false">IF(B335="GK",IF(AND(O335&gt;=Assumptions!$B$23,N335&gt;=Assumptions!$B$23),"Sweeper-Keeper / Build-from-the-Back",IF(O335&gt;=Assumptions!$B$23,"Sweeper-Keeper / High Line",IF(M335&gt;=Assumptions!$B$23,"Shot-Stopper / Traditional","Flexible / Multi-System"))),IF(AND(O335&gt;=Assumptions!$B$23,P335&gt;=Assumptions!$B$24),"High Press / Gegenpressing",IF(AND(N335&gt;=Assumptions!$B$23,AB335&gt;=Assumptions!$B$25),"Possession / Build-from-the-Back",IF(N335&gt;=Assumptions!$B$23,"Counter-Attack / Transition",IF(AND(O335&gt;=Assumptions!$B$23,N335&lt;Assumptions!$B$26),"Low Block / Park the Bus",IF(AND(B335="FW",M335&gt;=Assumptions!$B$23,N335&lt;Assumptions!$B$26),"Direct / Target Approach","Flexible / Multi-System"))))))</f>
        <v>Flexible / Multi-System</v>
      </c>
      <c r="AD335" s="21" t="str">
        <f aca="false">'Player Data'!Y335</f>
        <v>2026-07-17</v>
      </c>
      <c r="AE335" s="21" t="str">
        <f aca="false">'Player Data'!Z335</f>
        <v>2026-07-17</v>
      </c>
      <c r="AF335" s="28" t="str">
        <f aca="false">IFERROR(INDEX(Assumptions!$B$30:$B$61,MATCH(C335,Assumptions!$A$30:$A$61,0)),"--")</f>
        <v>United States, Mexico</v>
      </c>
      <c r="AG335" s="30" t="str">
        <f aca="false">IF(R335&gt;=0.7,"Step-Up Candidate",IF(R335&gt;=0.4,"Lateral Move","Stay &amp; Develop"))</f>
        <v>Stay &amp; Develop</v>
      </c>
    </row>
    <row r="336" customFormat="false" ht="23.85" hidden="false" customHeight="false" outlineLevel="0" collapsed="false">
      <c r="A336" s="21" t="str">
        <f aca="false">'Player Data'!A336</f>
        <v>Rok Krajnc</v>
      </c>
      <c r="B336" s="21" t="str">
        <f aca="false">'Player Data'!F336</f>
        <v>MF</v>
      </c>
      <c r="C336" s="21" t="str">
        <f aca="false">'Player Data'!B336</f>
        <v>Slovenia</v>
      </c>
      <c r="D336" s="21" t="str">
        <f aca="false">'Player Data'!C336</f>
        <v>Slovenia Reserve League</v>
      </c>
      <c r="E336" s="21" t="n">
        <f aca="false">'Player Data'!D336</f>
        <v>2</v>
      </c>
      <c r="F336" s="21" t="n">
        <f aca="false">'Player Data'!G336</f>
        <v>26</v>
      </c>
      <c r="G336" s="21" t="n">
        <f aca="false">'Player Data'!H336</f>
        <v>1363</v>
      </c>
      <c r="H336" s="22" t="n">
        <f aca="false">IF(B336="GK",IFERROR(('Player Data'!N336-1.5*'Player Data'!O336)/'Player Data'!H336*90,0),IFERROR(('Player Data'!I336+'Player Data'!J336)/'Player Data'!H336*90,0))</f>
        <v>0.792369772560528</v>
      </c>
      <c r="I336" s="22" t="n">
        <f aca="false">IF(B336="GK",'Player Data'!P336,IFERROR(('Player Data'!K336+'Player Data'!L336)/'Player Data'!H336*90,0))</f>
        <v>15.1870873074101</v>
      </c>
      <c r="J336" s="22" t="n">
        <f aca="false">IF(B336="GK",IFERROR('Player Data'!Q336/'Player Data'!H336*90,0),IFERROR('Player Data'!M336/'Player Data'!H336*90,0))</f>
        <v>1.84886280264123</v>
      </c>
      <c r="K336" s="23" t="n">
        <f aca="false">'Player Data'!S336</f>
        <v>81738</v>
      </c>
      <c r="L336" s="22" t="n">
        <f aca="false">INDEX(Assumptions!$B$13:$B$15,MATCH(E336,Assumptions!$A$13:$A$15,0))</f>
        <v>1</v>
      </c>
      <c r="M336" s="24" t="n">
        <f aca="false">IFERROR(SUMPRODUCT(($B$2:$B$1001=B336)*($H$2:$H$1001&lt;=H336))/SUMPRODUCT(($B$2:$B$1001=B336)*1),0)</f>
        <v>0.585858585858586</v>
      </c>
      <c r="N336" s="24" t="n">
        <f aca="false">IFERROR(SUMPRODUCT(($B$2:$B$1001=B336)*($I$2:$I$1001&lt;=I336))/SUMPRODUCT(($B$2:$B$1001=B336)*1),0)</f>
        <v>0.754208754208754</v>
      </c>
      <c r="O336" s="24" t="n">
        <f aca="false">IFERROR(SUMPRODUCT(($B$2:$B$1001=B336)*($J$2:$J$1001&lt;=J336))/SUMPRODUCT(($B$2:$B$1001=B336)*1),0)</f>
        <v>0.35016835016835</v>
      </c>
      <c r="P336" s="24" t="n">
        <f aca="false">IFERROR(SUMPRODUCT(($B$2:$B$1001=B336)*((0-$F$2:$F$1001)&lt;=(0-F336)))/SUMPRODUCT(($B$2:$B$1001=B336)*1),0)</f>
        <v>0.0909090909090909</v>
      </c>
      <c r="Q336" s="25" t="n">
        <f aca="false">(M336*Assumptions!$B$5+N336*Assumptions!$B$6+O336*Assumptions!$B$7+P336*Assumptions!$B$8)*L336</f>
        <v>0.498653198653199</v>
      </c>
      <c r="R336" s="24" t="n">
        <f aca="false">IFERROR(SUMPRODUCT(($B$2:$B$1001=B336)*($Q$2:$Q$1001&lt;=Q336))/SUMPRODUCT(($B$2:$B$1001=B336)*1),0)</f>
        <v>0.602693602693603</v>
      </c>
      <c r="S336" s="24" t="n">
        <f aca="false">IFERROR(SUMPRODUCT(($B$2:$B$1001=B336)*($K$2:$K$1001&lt;=K336))/SUMPRODUCT(($B$2:$B$1001=B336)*1),0)</f>
        <v>0.646464646464647</v>
      </c>
      <c r="T336" s="26" t="n">
        <f aca="false">(R336-S336)*100</f>
        <v>-4.37710437710438</v>
      </c>
      <c r="U336" s="21" t="str">
        <f aca="false">'Player Data'!T336</f>
        <v>No</v>
      </c>
      <c r="V336" s="27" t="n">
        <f aca="false">'Player Data'!U336</f>
        <v>2027</v>
      </c>
      <c r="W336" s="21" t="str">
        <f aca="false">IF(AND(T336&gt;=Assumptions!$B$19,U336="No"),"High Priority - Unrepresented",IF(T336&gt;=Assumptions!$B$19,"High Priority",IF(AND(T336&gt;=Assumptions!$B$20,U336="No"),"Watchlist - Unrepresented",IF(T336&gt;=Assumptions!$B$20,"Watchlist",""))))</f>
        <v/>
      </c>
      <c r="X336" s="21" t="str">
        <f aca="false">'Player Data'!V336</f>
        <v>info@kranjtown.si</v>
      </c>
      <c r="Y336" s="28" t="str">
        <f aca="false">'Player Data'!W336</f>
        <v>Club sporting director / first-team office</v>
      </c>
      <c r="Z336" s="28" t="str">
        <f aca="false">'Player Data'!X336</f>
        <v>NZS (Football Association of Slovenia) player registry</v>
      </c>
      <c r="AA336" s="19" t="str">
        <f aca="false">HYPERLINK("https://www.transfermarkt.com/schnellsuche/ergebnis/schnellsuche?query="&amp;SUBSTITUTE(A336," ","+"),"Search Transfermarkt")</f>
        <v>Search Transfermarkt</v>
      </c>
      <c r="AB336" s="29" t="n">
        <f aca="false">IFERROR('Player Data'!K336/('Player Data'!K336+'Player Data'!L336),0)</f>
        <v>0.730434782608696</v>
      </c>
      <c r="AC336" s="21" t="str">
        <f aca="false">IF(B336="GK",IF(AND(O336&gt;=Assumptions!$B$23,N336&gt;=Assumptions!$B$23),"Sweeper-Keeper / Build-from-the-Back",IF(O336&gt;=Assumptions!$B$23,"Sweeper-Keeper / High Line",IF(M336&gt;=Assumptions!$B$23,"Shot-Stopper / Traditional","Flexible / Multi-System"))),IF(AND(O336&gt;=Assumptions!$B$23,P336&gt;=Assumptions!$B$24),"High Press / Gegenpressing",IF(AND(N336&gt;=Assumptions!$B$23,AB336&gt;=Assumptions!$B$25),"Possession / Build-from-the-Back",IF(N336&gt;=Assumptions!$B$23,"Counter-Attack / Transition",IF(AND(O336&gt;=Assumptions!$B$23,N336&lt;Assumptions!$B$26),"Low Block / Park the Bus",IF(AND(B336="FW",M336&gt;=Assumptions!$B$23,N336&lt;Assumptions!$B$26),"Direct / Target Approach","Flexible / Multi-System"))))))</f>
        <v>Possession / Build-from-the-Back</v>
      </c>
      <c r="AD336" s="21" t="str">
        <f aca="false">'Player Data'!Y336</f>
        <v>2026-07-17</v>
      </c>
      <c r="AE336" s="21" t="str">
        <f aca="false">'Player Data'!Z336</f>
        <v>2026-07-17</v>
      </c>
      <c r="AF336" s="28" t="str">
        <f aca="false">IFERROR(INDEX(Assumptions!$B$30:$B$61,MATCH(C336,Assumptions!$A$30:$A$61,0)),"--")</f>
        <v>Austria, Poland</v>
      </c>
      <c r="AG336" s="30" t="str">
        <f aca="false">IF(R336&gt;=0.7,"Step-Up Candidate",IF(R336&gt;=0.4,"Lateral Move","Stay &amp; Develop"))</f>
        <v>Lateral Move</v>
      </c>
    </row>
    <row r="337" customFormat="false" ht="23.85" hidden="false" customHeight="false" outlineLevel="0" collapsed="false">
      <c r="A337" s="21" t="str">
        <f aca="false">'Player Data'!A337</f>
        <v>Andre Onana</v>
      </c>
      <c r="B337" s="21" t="str">
        <f aca="false">'Player Data'!F337</f>
        <v>DF</v>
      </c>
      <c r="C337" s="21" t="str">
        <f aca="false">'Player Data'!B337</f>
        <v>Cameroon</v>
      </c>
      <c r="D337" s="21" t="str">
        <f aca="false">'Player Data'!C337</f>
        <v>Cameroon Reserve League</v>
      </c>
      <c r="E337" s="21" t="n">
        <f aca="false">'Player Data'!D337</f>
        <v>3</v>
      </c>
      <c r="F337" s="21" t="n">
        <f aca="false">'Player Data'!G337</f>
        <v>26</v>
      </c>
      <c r="G337" s="21" t="n">
        <f aca="false">'Player Data'!H337</f>
        <v>2474</v>
      </c>
      <c r="H337" s="22" t="n">
        <f aca="false">IF(B337="GK",IFERROR(('Player Data'!N337-1.5*'Player Data'!O337)/'Player Data'!H337*90,0),IFERROR(('Player Data'!I337+'Player Data'!J337)/'Player Data'!H337*90,0))</f>
        <v>0.109135004042037</v>
      </c>
      <c r="I337" s="22" t="n">
        <f aca="false">IF(B337="GK",'Player Data'!P337,IFERROR(('Player Data'!K337+'Player Data'!L337)/'Player Data'!H337*90,0))</f>
        <v>4.03799514955538</v>
      </c>
      <c r="J337" s="22" t="n">
        <f aca="false">IF(B337="GK",IFERROR('Player Data'!Q337/'Player Data'!H337*90,0),IFERROR('Player Data'!M337/'Player Data'!H337*90,0))</f>
        <v>3.41956345998383</v>
      </c>
      <c r="K337" s="23" t="n">
        <f aca="false">'Player Data'!S337</f>
        <v>0</v>
      </c>
      <c r="L337" s="22" t="n">
        <f aca="false">INDEX(Assumptions!$B$13:$B$15,MATCH(E337,Assumptions!$A$13:$A$15,0))</f>
        <v>0.85</v>
      </c>
      <c r="M337" s="24" t="n">
        <f aca="false">IFERROR(SUMPRODUCT(($B$2:$B$1001=B337)*($H$2:$H$1001&lt;=H337))/SUMPRODUCT(($B$2:$B$1001=B337)*1),0)</f>
        <v>0.231292517006803</v>
      </c>
      <c r="N337" s="24" t="n">
        <f aca="false">IFERROR(SUMPRODUCT(($B$2:$B$1001=B337)*($I$2:$I$1001&lt;=I337))/SUMPRODUCT(($B$2:$B$1001=B337)*1),0)</f>
        <v>0.408163265306122</v>
      </c>
      <c r="O337" s="24" t="n">
        <f aca="false">IFERROR(SUMPRODUCT(($B$2:$B$1001=B337)*($J$2:$J$1001&lt;=J337))/SUMPRODUCT(($B$2:$B$1001=B337)*1),0)</f>
        <v>0.0714285714285714</v>
      </c>
      <c r="P337" s="24" t="n">
        <f aca="false">IFERROR(SUMPRODUCT(($B$2:$B$1001=B337)*((0-$F$2:$F$1001)&lt;=(0-F337)))/SUMPRODUCT(($B$2:$B$1001=B337)*1),0)</f>
        <v>0.0748299319727891</v>
      </c>
      <c r="Q337" s="25" t="n">
        <f aca="false">(M337*Assumptions!$B$5+N337*Assumptions!$B$6+O337*Assumptions!$B$7+P337*Assumptions!$B$8)*L337</f>
        <v>0.195442176870748</v>
      </c>
      <c r="R337" s="24" t="n">
        <f aca="false">IFERROR(SUMPRODUCT(($B$2:$B$1001=B337)*($Q$2:$Q$1001&lt;=Q337))/SUMPRODUCT(($B$2:$B$1001=B337)*1),0)</f>
        <v>0.0680272108843538</v>
      </c>
      <c r="S337" s="24" t="n">
        <f aca="false">IFERROR(SUMPRODUCT(($B$2:$B$1001=B337)*($K$2:$K$1001&lt;=K337))/SUMPRODUCT(($B$2:$B$1001=B337)*1),0)</f>
        <v>0.248299319727891</v>
      </c>
      <c r="T337" s="26" t="n">
        <f aca="false">(R337-S337)*100</f>
        <v>-18.0272108843537</v>
      </c>
      <c r="U337" s="21" t="str">
        <f aca="false">'Player Data'!T337</f>
        <v>Unknown</v>
      </c>
      <c r="V337" s="27" t="n">
        <f aca="false">'Player Data'!U337</f>
        <v>2029</v>
      </c>
      <c r="W337" s="21" t="str">
        <f aca="false">IF(AND(T337&gt;=Assumptions!$B$19,U337="No"),"High Priority - Unrepresented",IF(T337&gt;=Assumptions!$B$19,"High Priority",IF(AND(T337&gt;=Assumptions!$B$20,U337="No"),"Watchlist - Unrepresented",IF(T337&gt;=Assumptions!$B$20,"Watchlist",""))))</f>
        <v/>
      </c>
      <c r="X337" s="21" t="str">
        <f aca="false">'Player Data'!V337</f>
        <v>info@bafoussamtown.cm</v>
      </c>
      <c r="Y337" s="28" t="str">
        <f aca="false">'Player Data'!W337</f>
        <v>Club sporting director / first-team office</v>
      </c>
      <c r="Z337" s="28" t="str">
        <f aca="false">'Player Data'!X337</f>
        <v>FECAFOOT (Cameroonian Football Federation) player registry</v>
      </c>
      <c r="AA337" s="19" t="str">
        <f aca="false">HYPERLINK("https://www.transfermarkt.com/schnellsuche/ergebnis/schnellsuche?query="&amp;SUBSTITUTE(A337," ","+"),"Search Transfermarkt")</f>
        <v>Search Transfermarkt</v>
      </c>
      <c r="AB337" s="29" t="n">
        <f aca="false">IFERROR('Player Data'!K337/('Player Data'!K337+'Player Data'!L337),0)</f>
        <v>0.648648648648649</v>
      </c>
      <c r="AC337" s="21" t="str">
        <f aca="false">IF(B337="GK",IF(AND(O337&gt;=Assumptions!$B$23,N337&gt;=Assumptions!$B$23),"Sweeper-Keeper / Build-from-the-Back",IF(O337&gt;=Assumptions!$B$23,"Sweeper-Keeper / High Line",IF(M337&gt;=Assumptions!$B$23,"Shot-Stopper / Traditional","Flexible / Multi-System"))),IF(AND(O337&gt;=Assumptions!$B$23,P337&gt;=Assumptions!$B$24),"High Press / Gegenpressing",IF(AND(N337&gt;=Assumptions!$B$23,AB337&gt;=Assumptions!$B$25),"Possession / Build-from-the-Back",IF(N337&gt;=Assumptions!$B$23,"Counter-Attack / Transition",IF(AND(O337&gt;=Assumptions!$B$23,N337&lt;Assumptions!$B$26),"Low Block / Park the Bus",IF(AND(B337="FW",M337&gt;=Assumptions!$B$23,N337&lt;Assumptions!$B$26),"Direct / Target Approach","Flexible / Multi-System"))))))</f>
        <v>Flexible / Multi-System</v>
      </c>
      <c r="AD337" s="21" t="str">
        <f aca="false">'Player Data'!Y337</f>
        <v>2026-07-17</v>
      </c>
      <c r="AE337" s="21" t="str">
        <f aca="false">'Player Data'!Z337</f>
        <v>2026-07-17</v>
      </c>
      <c r="AF337" s="28" t="str">
        <f aca="false">IFERROR(INDEX(Assumptions!$B$30:$B$61,MATCH(C337,Assumptions!$A$30:$A$61,0)),"--")</f>
        <v>Belgium, Portugal</v>
      </c>
      <c r="AG337" s="30" t="str">
        <f aca="false">IF(R337&gt;=0.7,"Step-Up Candidate",IF(R337&gt;=0.4,"Lateral Move","Stay &amp; Develop"))</f>
        <v>Stay &amp; Develop</v>
      </c>
    </row>
    <row r="338" customFormat="false" ht="23.85" hidden="false" customHeight="false" outlineLevel="0" collapsed="false">
      <c r="A338" s="21" t="str">
        <f aca="false">'Player Data'!A338</f>
        <v>Uros Nikolic</v>
      </c>
      <c r="B338" s="21" t="str">
        <f aca="false">'Player Data'!F338</f>
        <v>MF</v>
      </c>
      <c r="C338" s="21" t="str">
        <f aca="false">'Player Data'!B338</f>
        <v>Serbia</v>
      </c>
      <c r="D338" s="21" t="str">
        <f aca="false">'Player Data'!C338</f>
        <v>Serbia Third Tier - North</v>
      </c>
      <c r="E338" s="21" t="n">
        <f aca="false">'Player Data'!D338</f>
        <v>3</v>
      </c>
      <c r="F338" s="21" t="n">
        <f aca="false">'Player Data'!G338</f>
        <v>23</v>
      </c>
      <c r="G338" s="21" t="n">
        <f aca="false">'Player Data'!H338</f>
        <v>1869</v>
      </c>
      <c r="H338" s="22" t="n">
        <f aca="false">IF(B338="GK",IFERROR(('Player Data'!N338-1.5*'Player Data'!O338)/'Player Data'!H338*90,0),IFERROR(('Player Data'!I338+'Player Data'!J338)/'Player Data'!H338*90,0))</f>
        <v>0.86677367576244</v>
      </c>
      <c r="I338" s="22" t="n">
        <f aca="false">IF(B338="GK",'Player Data'!P338,IFERROR(('Player Data'!K338+'Player Data'!L338)/'Player Data'!H338*90,0))</f>
        <v>12.0385232744783</v>
      </c>
      <c r="J338" s="22" t="n">
        <f aca="false">IF(B338="GK",IFERROR('Player Data'!Q338/'Player Data'!H338*90,0),IFERROR('Player Data'!M338/'Player Data'!H338*90,0))</f>
        <v>1.58908507223114</v>
      </c>
      <c r="K338" s="23" t="n">
        <f aca="false">'Player Data'!S338</f>
        <v>0</v>
      </c>
      <c r="L338" s="22" t="n">
        <f aca="false">INDEX(Assumptions!$B$13:$B$15,MATCH(E338,Assumptions!$A$13:$A$15,0))</f>
        <v>0.85</v>
      </c>
      <c r="M338" s="24" t="n">
        <f aca="false">IFERROR(SUMPRODUCT(($B$2:$B$1001=B338)*($H$2:$H$1001&lt;=H338))/SUMPRODUCT(($B$2:$B$1001=B338)*1),0)</f>
        <v>0.65993265993266</v>
      </c>
      <c r="N338" s="24" t="n">
        <f aca="false">IFERROR(SUMPRODUCT(($B$2:$B$1001=B338)*($I$2:$I$1001&lt;=I338))/SUMPRODUCT(($B$2:$B$1001=B338)*1),0)</f>
        <v>0.589225589225589</v>
      </c>
      <c r="O338" s="24" t="n">
        <f aca="false">IFERROR(SUMPRODUCT(($B$2:$B$1001=B338)*($J$2:$J$1001&lt;=J338))/SUMPRODUCT(($B$2:$B$1001=B338)*1),0)</f>
        <v>0.228956228956229</v>
      </c>
      <c r="P338" s="24" t="n">
        <f aca="false">IFERROR(SUMPRODUCT(($B$2:$B$1001=B338)*((0-$F$2:$F$1001)&lt;=(0-F338)))/SUMPRODUCT(($B$2:$B$1001=B338)*1),0)</f>
        <v>0.390572390572391</v>
      </c>
      <c r="Q338" s="25" t="n">
        <f aca="false">(M338*Assumptions!$B$5+N338*Assumptions!$B$6+O338*Assumptions!$B$7+P338*Assumptions!$B$8)*L338</f>
        <v>0.420850168350168</v>
      </c>
      <c r="R338" s="24" t="n">
        <f aca="false">IFERROR(SUMPRODUCT(($B$2:$B$1001=B338)*($Q$2:$Q$1001&lt;=Q338))/SUMPRODUCT(($B$2:$B$1001=B338)*1),0)</f>
        <v>0.468013468013468</v>
      </c>
      <c r="S338" s="24" t="n">
        <f aca="false">IFERROR(SUMPRODUCT(($B$2:$B$1001=B338)*($K$2:$K$1001&lt;=K338))/SUMPRODUCT(($B$2:$B$1001=B338)*1),0)</f>
        <v>0.228956228956229</v>
      </c>
      <c r="T338" s="26" t="n">
        <f aca="false">(R338-S338)*100</f>
        <v>23.9057239057239</v>
      </c>
      <c r="U338" s="21" t="str">
        <f aca="false">'Player Data'!T338</f>
        <v>No</v>
      </c>
      <c r="V338" s="27" t="n">
        <f aca="false">'Player Data'!U338</f>
        <v>2028</v>
      </c>
      <c r="W338" s="21" t="str">
        <f aca="false">IF(AND(T338&gt;=Assumptions!$B$19,U338="No"),"High Priority - Unrepresented",IF(T338&gt;=Assumptions!$B$19,"High Priority",IF(AND(T338&gt;=Assumptions!$B$20,U338="No"),"Watchlist - Unrepresented",IF(T338&gt;=Assumptions!$B$20,"Watchlist",""))))</f>
        <v>Watchlist - Unrepresented</v>
      </c>
      <c r="X338" s="21" t="str">
        <f aca="false">'Player Data'!V338</f>
        <v>info@kraljevounited.rs</v>
      </c>
      <c r="Y338" s="28" t="str">
        <f aca="false">'Player Data'!W338</f>
        <v>Club sporting director / first-team office</v>
      </c>
      <c r="Z338" s="28" t="str">
        <f aca="false">'Player Data'!X338</f>
        <v>FSS (Football Association of Serbia) player registry</v>
      </c>
      <c r="AA338" s="19" t="str">
        <f aca="false">HYPERLINK("https://www.transfermarkt.com/schnellsuche/ergebnis/schnellsuche?query="&amp;SUBSTITUTE(A338," ","+"),"Search Transfermarkt")</f>
        <v>Search Transfermarkt</v>
      </c>
      <c r="AB338" s="29" t="n">
        <f aca="false">IFERROR('Player Data'!K338/('Player Data'!K338+'Player Data'!L338),0)</f>
        <v>0.696</v>
      </c>
      <c r="AC338" s="21" t="str">
        <f aca="false">IF(B338="GK",IF(AND(O338&gt;=Assumptions!$B$23,N338&gt;=Assumptions!$B$23),"Sweeper-Keeper / Build-from-the-Back",IF(O338&gt;=Assumptions!$B$23,"Sweeper-Keeper / High Line",IF(M338&gt;=Assumptions!$B$23,"Shot-Stopper / Traditional","Flexible / Multi-System"))),IF(AND(O338&gt;=Assumptions!$B$23,P338&gt;=Assumptions!$B$24),"High Press / Gegenpressing",IF(AND(N338&gt;=Assumptions!$B$23,AB338&gt;=Assumptions!$B$25),"Possession / Build-from-the-Back",IF(N338&gt;=Assumptions!$B$23,"Counter-Attack / Transition",IF(AND(O338&gt;=Assumptions!$B$23,N338&lt;Assumptions!$B$26),"Low Block / Park the Bus",IF(AND(B338="FW",M338&gt;=Assumptions!$B$23,N338&lt;Assumptions!$B$26),"Direct / Target Approach","Flexible / Multi-System"))))))</f>
        <v>Flexible / Multi-System</v>
      </c>
      <c r="AD338" s="21" t="str">
        <f aca="false">'Player Data'!Y338</f>
        <v>2026-07-17</v>
      </c>
      <c r="AE338" s="21" t="str">
        <f aca="false">'Player Data'!Z338</f>
        <v>2026-07-17</v>
      </c>
      <c r="AF338" s="28" t="str">
        <f aca="false">IFERROR(INDEX(Assumptions!$B$30:$B$61,MATCH(C338,Assumptions!$A$30:$A$61,0)),"--")</f>
        <v>Austria, Turkey</v>
      </c>
      <c r="AG338" s="30" t="str">
        <f aca="false">IF(R338&gt;=0.7,"Step-Up Candidate",IF(R338&gt;=0.4,"Lateral Move","Stay &amp; Develop"))</f>
        <v>Lateral Move</v>
      </c>
    </row>
    <row r="339" customFormat="false" ht="23.85" hidden="false" customHeight="false" outlineLevel="0" collapsed="false">
      <c r="A339" s="21" t="str">
        <f aca="false">'Player Data'!A339</f>
        <v>Modibo Coulibaly</v>
      </c>
      <c r="B339" s="21" t="str">
        <f aca="false">'Player Data'!F339</f>
        <v>MF</v>
      </c>
      <c r="C339" s="21" t="str">
        <f aca="false">'Player Data'!B339</f>
        <v>Mali</v>
      </c>
      <c r="D339" s="21" t="str">
        <f aca="false">'Player Data'!C339</f>
        <v>Mali Amateur League</v>
      </c>
      <c r="E339" s="21" t="n">
        <f aca="false">'Player Data'!D339</f>
        <v>2</v>
      </c>
      <c r="F339" s="21" t="n">
        <f aca="false">'Player Data'!G339</f>
        <v>21</v>
      </c>
      <c r="G339" s="21" t="n">
        <f aca="false">'Player Data'!H339</f>
        <v>2233</v>
      </c>
      <c r="H339" s="22" t="n">
        <f aca="false">IF(B339="GK",IFERROR(('Player Data'!N339-1.5*'Player Data'!O339)/'Player Data'!H339*90,0),IFERROR(('Player Data'!I339+'Player Data'!J339)/'Player Data'!H339*90,0))</f>
        <v>0.806090461262875</v>
      </c>
      <c r="I339" s="22" t="n">
        <f aca="false">IF(B339="GK",'Player Data'!P339,IFERROR(('Player Data'!K339+'Player Data'!L339)/'Player Data'!H339*90,0))</f>
        <v>10.6000895656068</v>
      </c>
      <c r="J339" s="22" t="n">
        <f aca="false">IF(B339="GK",IFERROR('Player Data'!Q339/'Player Data'!H339*90,0),IFERROR('Player Data'!M339/'Player Data'!H339*90,0))</f>
        <v>2.25705329153605</v>
      </c>
      <c r="K339" s="23" t="n">
        <f aca="false">'Player Data'!S339</f>
        <v>129802</v>
      </c>
      <c r="L339" s="22" t="n">
        <f aca="false">INDEX(Assumptions!$B$13:$B$15,MATCH(E339,Assumptions!$A$13:$A$15,0))</f>
        <v>1</v>
      </c>
      <c r="M339" s="24" t="n">
        <f aca="false">IFERROR(SUMPRODUCT(($B$2:$B$1001=B339)*($H$2:$H$1001&lt;=H339))/SUMPRODUCT(($B$2:$B$1001=B339)*1),0)</f>
        <v>0.606060606060606</v>
      </c>
      <c r="N339" s="24" t="n">
        <f aca="false">IFERROR(SUMPRODUCT(($B$2:$B$1001=B339)*($I$2:$I$1001&lt;=I339))/SUMPRODUCT(($B$2:$B$1001=B339)*1),0)</f>
        <v>0.468013468013468</v>
      </c>
      <c r="O339" s="24" t="n">
        <f aca="false">IFERROR(SUMPRODUCT(($B$2:$B$1001=B339)*($J$2:$J$1001&lt;=J339))/SUMPRODUCT(($B$2:$B$1001=B339)*1),0)</f>
        <v>0.531986531986532</v>
      </c>
      <c r="P339" s="24" t="n">
        <f aca="false">IFERROR(SUMPRODUCT(($B$2:$B$1001=B339)*((0-$F$2:$F$1001)&lt;=(0-F339)))/SUMPRODUCT(($B$2:$B$1001=B339)*1),0)</f>
        <v>0.61952861952862</v>
      </c>
      <c r="Q339" s="25" t="n">
        <f aca="false">(M339*Assumptions!$B$5+N339*Assumptions!$B$6+O339*Assumptions!$B$7+P339*Assumptions!$B$8)*L339</f>
        <v>0.545622895622896</v>
      </c>
      <c r="R339" s="24" t="n">
        <f aca="false">IFERROR(SUMPRODUCT(($B$2:$B$1001=B339)*($Q$2:$Q$1001&lt;=Q339))/SUMPRODUCT(($B$2:$B$1001=B339)*1),0)</f>
        <v>0.7003367003367</v>
      </c>
      <c r="S339" s="24" t="n">
        <f aca="false">IFERROR(SUMPRODUCT(($B$2:$B$1001=B339)*($K$2:$K$1001&lt;=K339))/SUMPRODUCT(($B$2:$B$1001=B339)*1),0)</f>
        <v>0.919191919191919</v>
      </c>
      <c r="T339" s="26" t="n">
        <f aca="false">(R339-S339)*100</f>
        <v>-21.8855218855219</v>
      </c>
      <c r="U339" s="21" t="str">
        <f aca="false">'Player Data'!T339</f>
        <v>No</v>
      </c>
      <c r="V339" s="27" t="n">
        <f aca="false">'Player Data'!U339</f>
        <v>2026</v>
      </c>
      <c r="W339" s="21" t="str">
        <f aca="false">IF(AND(T339&gt;=Assumptions!$B$19,U339="No"),"High Priority - Unrepresented",IF(T339&gt;=Assumptions!$B$19,"High Priority",IF(AND(T339&gt;=Assumptions!$B$20,U339="No"),"Watchlist - Unrepresented",IF(T339&gt;=Assumptions!$B$20,"Watchlist",""))))</f>
        <v/>
      </c>
      <c r="X339" s="21" t="str">
        <f aca="false">'Player Data'!V339</f>
        <v>info@sikassowanderers.ml</v>
      </c>
      <c r="Y339" s="28" t="str">
        <f aca="false">'Player Data'!W339</f>
        <v>Club sporting director / first-team office</v>
      </c>
      <c r="Z339" s="28" t="str">
        <f aca="false">'Player Data'!X339</f>
        <v>FEMAFOOT (Malian Football Federation) player registry</v>
      </c>
      <c r="AA339" s="19" t="str">
        <f aca="false">HYPERLINK("https://www.transfermarkt.com/schnellsuche/ergebnis/schnellsuche?query="&amp;SUBSTITUTE(A339," ","+"),"Search Transfermarkt")</f>
        <v>Search Transfermarkt</v>
      </c>
      <c r="AB339" s="29" t="n">
        <f aca="false">IFERROR('Player Data'!K339/('Player Data'!K339+'Player Data'!L339),0)</f>
        <v>0.627376425855513</v>
      </c>
      <c r="AC339" s="21" t="str">
        <f aca="false">IF(B339="GK",IF(AND(O339&gt;=Assumptions!$B$23,N339&gt;=Assumptions!$B$23),"Sweeper-Keeper / Build-from-the-Back",IF(O339&gt;=Assumptions!$B$23,"Sweeper-Keeper / High Line",IF(M339&gt;=Assumptions!$B$23,"Shot-Stopper / Traditional","Flexible / Multi-System"))),IF(AND(O339&gt;=Assumptions!$B$23,P339&gt;=Assumptions!$B$24),"High Press / Gegenpressing",IF(AND(N339&gt;=Assumptions!$B$23,AB339&gt;=Assumptions!$B$25),"Possession / Build-from-the-Back",IF(N339&gt;=Assumptions!$B$23,"Counter-Attack / Transition",IF(AND(O339&gt;=Assumptions!$B$23,N339&lt;Assumptions!$B$26),"Low Block / Park the Bus",IF(AND(B339="FW",M339&gt;=Assumptions!$B$23,N339&lt;Assumptions!$B$26),"Direct / Target Approach","Flexible / Multi-System"))))))</f>
        <v>Flexible / Multi-System</v>
      </c>
      <c r="AD339" s="21" t="str">
        <f aca="false">'Player Data'!Y339</f>
        <v>2026-07-17</v>
      </c>
      <c r="AE339" s="21" t="str">
        <f aca="false">'Player Data'!Z339</f>
        <v>2026-07-17</v>
      </c>
      <c r="AF339" s="28" t="str">
        <f aca="false">IFERROR(INDEX(Assumptions!$B$30:$B$61,MATCH(C339,Assumptions!$A$30:$A$61,0)),"--")</f>
        <v>Belgium, Portugal</v>
      </c>
      <c r="AG339" s="30" t="str">
        <f aca="false">IF(R339&gt;=0.7,"Step-Up Candidate",IF(R339&gt;=0.4,"Lateral Move","Stay &amp; Develop"))</f>
        <v>Step-Up Candidate</v>
      </c>
    </row>
    <row r="340" customFormat="false" ht="23.85" hidden="false" customHeight="false" outlineLevel="0" collapsed="false">
      <c r="A340" s="21" t="str">
        <f aca="false">'Player Data'!A340</f>
        <v>Karlo Kovac</v>
      </c>
      <c r="B340" s="21" t="str">
        <f aca="false">'Player Data'!F340</f>
        <v>DF</v>
      </c>
      <c r="C340" s="21" t="str">
        <f aca="false">'Player Data'!B340</f>
        <v>Croatia</v>
      </c>
      <c r="D340" s="21" t="str">
        <f aca="false">'Player Data'!C340</f>
        <v>Croatia Second Division - West</v>
      </c>
      <c r="E340" s="21" t="n">
        <f aca="false">'Player Data'!D340</f>
        <v>3</v>
      </c>
      <c r="F340" s="21" t="n">
        <f aca="false">'Player Data'!G340</f>
        <v>23</v>
      </c>
      <c r="G340" s="21" t="n">
        <f aca="false">'Player Data'!H340</f>
        <v>1802</v>
      </c>
      <c r="H340" s="22" t="n">
        <f aca="false">IF(B340="GK",IFERROR(('Player Data'!N340-1.5*'Player Data'!O340)/'Player Data'!H340*90,0),IFERROR(('Player Data'!I340+'Player Data'!J340)/'Player Data'!H340*90,0))</f>
        <v>0.0998890122086571</v>
      </c>
      <c r="I340" s="22" t="n">
        <f aca="false">IF(B340="GK",'Player Data'!P340,IFERROR(('Player Data'!K340+'Player Data'!L340)/'Player Data'!H340*90,0))</f>
        <v>5.29411764705882</v>
      </c>
      <c r="J340" s="22" t="n">
        <f aca="false">IF(B340="GK",IFERROR('Player Data'!Q340/'Player Data'!H340*90,0),IFERROR('Player Data'!M340/'Player Data'!H340*90,0))</f>
        <v>5.14428412874584</v>
      </c>
      <c r="K340" s="23" t="n">
        <f aca="false">'Player Data'!S340</f>
        <v>122704</v>
      </c>
      <c r="L340" s="22" t="n">
        <f aca="false">INDEX(Assumptions!$B$13:$B$15,MATCH(E340,Assumptions!$A$13:$A$15,0))</f>
        <v>0.85</v>
      </c>
      <c r="M340" s="24" t="n">
        <f aca="false">IFERROR(SUMPRODUCT(($B$2:$B$1001=B340)*($H$2:$H$1001&lt;=H340))/SUMPRODUCT(($B$2:$B$1001=B340)*1),0)</f>
        <v>0.17687074829932</v>
      </c>
      <c r="N340" s="24" t="n">
        <f aca="false">IFERROR(SUMPRODUCT(($B$2:$B$1001=B340)*($I$2:$I$1001&lt;=I340))/SUMPRODUCT(($B$2:$B$1001=B340)*1),0)</f>
        <v>0.639455782312925</v>
      </c>
      <c r="O340" s="24" t="n">
        <f aca="false">IFERROR(SUMPRODUCT(($B$2:$B$1001=B340)*($J$2:$J$1001&lt;=J340))/SUMPRODUCT(($B$2:$B$1001=B340)*1),0)</f>
        <v>0.465986394557823</v>
      </c>
      <c r="P340" s="24" t="n">
        <f aca="false">IFERROR(SUMPRODUCT(($B$2:$B$1001=B340)*((0-$F$2:$F$1001)&lt;=(0-F340)))/SUMPRODUCT(($B$2:$B$1001=B340)*1),0)</f>
        <v>0.374149659863946</v>
      </c>
      <c r="Q340" s="25" t="n">
        <f aca="false">(M340*Assumptions!$B$5+N340*Assumptions!$B$6+O340*Assumptions!$B$7+P340*Assumptions!$B$8)*L340</f>
        <v>0.370646258503401</v>
      </c>
      <c r="R340" s="24" t="n">
        <f aca="false">IFERROR(SUMPRODUCT(($B$2:$B$1001=B340)*($Q$2:$Q$1001&lt;=Q340))/SUMPRODUCT(($B$2:$B$1001=B340)*1),0)</f>
        <v>0.384353741496599</v>
      </c>
      <c r="S340" s="24" t="n">
        <f aca="false">IFERROR(SUMPRODUCT(($B$2:$B$1001=B340)*($K$2:$K$1001&lt;=K340))/SUMPRODUCT(($B$2:$B$1001=B340)*1),0)</f>
        <v>0.86734693877551</v>
      </c>
      <c r="T340" s="26" t="n">
        <f aca="false">(R340-S340)*100</f>
        <v>-48.2993197278912</v>
      </c>
      <c r="U340" s="21" t="str">
        <f aca="false">'Player Data'!T340</f>
        <v>Yes</v>
      </c>
      <c r="V340" s="27" t="n">
        <f aca="false">'Player Data'!U340</f>
        <v>2029</v>
      </c>
      <c r="W340" s="21" t="str">
        <f aca="false">IF(AND(T340&gt;=Assumptions!$B$19,U340="No"),"High Priority - Unrepresented",IF(T340&gt;=Assumptions!$B$19,"High Priority",IF(AND(T340&gt;=Assumptions!$B$20,U340="No"),"Watchlist - Unrepresented",IF(T340&gt;=Assumptions!$B$20,"Watchlist",""))))</f>
        <v/>
      </c>
      <c r="X340" s="21" t="str">
        <f aca="false">'Player Data'!V340</f>
        <v>info@zagrebrovers.hr</v>
      </c>
      <c r="Y340" s="28" t="str">
        <f aca="false">'Player Data'!W340</f>
        <v>Go through the player's agent - ask the club to confirm representation first</v>
      </c>
      <c r="Z340" s="28" t="str">
        <f aca="false">'Player Data'!X340</f>
        <v>HNS (Croatian Football Federation) player registry</v>
      </c>
      <c r="AA340" s="19" t="str">
        <f aca="false">HYPERLINK("https://www.transfermarkt.com/schnellsuche/ergebnis/schnellsuche?query="&amp;SUBSTITUTE(A340," ","+"),"Search Transfermarkt")</f>
        <v>Search Transfermarkt</v>
      </c>
      <c r="AB340" s="29" t="n">
        <f aca="false">IFERROR('Player Data'!K340/('Player Data'!K340+'Player Data'!L340),0)</f>
        <v>0.556603773584906</v>
      </c>
      <c r="AC340" s="21" t="str">
        <f aca="false">IF(B340="GK",IF(AND(O340&gt;=Assumptions!$B$23,N340&gt;=Assumptions!$B$23),"Sweeper-Keeper / Build-from-the-Back",IF(O340&gt;=Assumptions!$B$23,"Sweeper-Keeper / High Line",IF(M340&gt;=Assumptions!$B$23,"Shot-Stopper / Traditional","Flexible / Multi-System"))),IF(AND(O340&gt;=Assumptions!$B$23,P340&gt;=Assumptions!$B$24),"High Press / Gegenpressing",IF(AND(N340&gt;=Assumptions!$B$23,AB340&gt;=Assumptions!$B$25),"Possession / Build-from-the-Back",IF(N340&gt;=Assumptions!$B$23,"Counter-Attack / Transition",IF(AND(O340&gt;=Assumptions!$B$23,N340&lt;Assumptions!$B$26),"Low Block / Park the Bus",IF(AND(B340="FW",M340&gt;=Assumptions!$B$23,N340&lt;Assumptions!$B$26),"Direct / Target Approach","Flexible / Multi-System"))))))</f>
        <v>Flexible / Multi-System</v>
      </c>
      <c r="AD340" s="21" t="str">
        <f aca="false">'Player Data'!Y340</f>
        <v>2026-07-17</v>
      </c>
      <c r="AE340" s="21" t="str">
        <f aca="false">'Player Data'!Z340</f>
        <v>2026-07-17</v>
      </c>
      <c r="AF340" s="28" t="str">
        <f aca="false">IFERROR(INDEX(Assumptions!$B$30:$B$61,MATCH(C340,Assumptions!$A$30:$A$61,0)),"--")</f>
        <v>Austria, Turkey</v>
      </c>
      <c r="AG340" s="30" t="str">
        <f aca="false">IF(R340&gt;=0.7,"Step-Up Candidate",IF(R340&gt;=0.4,"Lateral Move","Stay &amp; Develop"))</f>
        <v>Stay &amp; Develop</v>
      </c>
    </row>
    <row r="341" customFormat="false" ht="23.85" hidden="false" customHeight="false" outlineLevel="0" collapsed="false">
      <c r="A341" s="21" t="str">
        <f aca="false">'Player Data'!A341</f>
        <v>Sekou Sidibe</v>
      </c>
      <c r="B341" s="21" t="str">
        <f aca="false">'Player Data'!F341</f>
        <v>DF</v>
      </c>
      <c r="C341" s="21" t="str">
        <f aca="false">'Player Data'!B341</f>
        <v>Mali</v>
      </c>
      <c r="D341" s="21" t="str">
        <f aca="false">'Player Data'!C341</f>
        <v>Mali Provincial League</v>
      </c>
      <c r="E341" s="21" t="n">
        <f aca="false">'Player Data'!D341</f>
        <v>2</v>
      </c>
      <c r="F341" s="21" t="n">
        <f aca="false">'Player Data'!G341</f>
        <v>20</v>
      </c>
      <c r="G341" s="21" t="n">
        <f aca="false">'Player Data'!H341</f>
        <v>1067</v>
      </c>
      <c r="H341" s="22" t="n">
        <f aca="false">IF(B341="GK",IFERROR(('Player Data'!N341-1.5*'Player Data'!O341)/'Player Data'!H341*90,0),IFERROR(('Player Data'!I341+'Player Data'!J341)/'Player Data'!H341*90,0))</f>
        <v>0.168697282099344</v>
      </c>
      <c r="I341" s="22" t="n">
        <f aca="false">IF(B341="GK",'Player Data'!P341,IFERROR(('Player Data'!K341+'Player Data'!L341)/'Player Data'!H341*90,0))</f>
        <v>7.50702905342081</v>
      </c>
      <c r="J341" s="22" t="n">
        <f aca="false">IF(B341="GK",IFERROR('Player Data'!Q341/'Player Data'!H341*90,0),IFERROR('Player Data'!M341/'Player Data'!H341*90,0))</f>
        <v>10.543580131209</v>
      </c>
      <c r="K341" s="23" t="n">
        <f aca="false">'Player Data'!S341</f>
        <v>47993</v>
      </c>
      <c r="L341" s="22" t="n">
        <f aca="false">INDEX(Assumptions!$B$13:$B$15,MATCH(E341,Assumptions!$A$13:$A$15,0))</f>
        <v>1</v>
      </c>
      <c r="M341" s="24" t="n">
        <f aca="false">IFERROR(SUMPRODUCT(($B$2:$B$1001=B341)*($H$2:$H$1001&lt;=H341))/SUMPRODUCT(($B$2:$B$1001=B341)*1),0)</f>
        <v>0.435374149659864</v>
      </c>
      <c r="N341" s="24" t="n">
        <f aca="false">IFERROR(SUMPRODUCT(($B$2:$B$1001=B341)*($I$2:$I$1001&lt;=I341))/SUMPRODUCT(($B$2:$B$1001=B341)*1),0)</f>
        <v>0.86734693877551</v>
      </c>
      <c r="O341" s="24" t="n">
        <f aca="false">IFERROR(SUMPRODUCT(($B$2:$B$1001=B341)*($J$2:$J$1001&lt;=J341))/SUMPRODUCT(($B$2:$B$1001=B341)*1),0)</f>
        <v>0.945578231292517</v>
      </c>
      <c r="P341" s="24" t="n">
        <f aca="false">IFERROR(SUMPRODUCT(($B$2:$B$1001=B341)*((0-$F$2:$F$1001)&lt;=(0-F341)))/SUMPRODUCT(($B$2:$B$1001=B341)*1),0)</f>
        <v>0.656462585034014</v>
      </c>
      <c r="Q341" s="25" t="n">
        <f aca="false">(M341*Assumptions!$B$5+N341*Assumptions!$B$6+O341*Assumptions!$B$7+P341*Assumptions!$B$8)*L341</f>
        <v>0.732823129251701</v>
      </c>
      <c r="R341" s="24" t="n">
        <f aca="false">IFERROR(SUMPRODUCT(($B$2:$B$1001=B341)*($Q$2:$Q$1001&lt;=Q341))/SUMPRODUCT(($B$2:$B$1001=B341)*1),0)</f>
        <v>0.904761904761905</v>
      </c>
      <c r="S341" s="24" t="n">
        <f aca="false">IFERROR(SUMPRODUCT(($B$2:$B$1001=B341)*($K$2:$K$1001&lt;=K341))/SUMPRODUCT(($B$2:$B$1001=B341)*1),0)</f>
        <v>0.438775510204082</v>
      </c>
      <c r="T341" s="26" t="n">
        <f aca="false">(R341-S341)*100</f>
        <v>46.5986394557823</v>
      </c>
      <c r="U341" s="21" t="str">
        <f aca="false">'Player Data'!T341</f>
        <v>Unknown</v>
      </c>
      <c r="V341" s="27" t="n">
        <f aca="false">'Player Data'!U341</f>
        <v>2029</v>
      </c>
      <c r="W341" s="21" t="str">
        <f aca="false">IF(AND(T341&gt;=Assumptions!$B$19,U341="No"),"High Priority - Unrepresented",IF(T341&gt;=Assumptions!$B$19,"High Priority",IF(AND(T341&gt;=Assumptions!$B$20,U341="No"),"Watchlist - Unrepresented",IF(T341&gt;=Assumptions!$B$20,"Watchlist",""))))</f>
        <v>High Priority</v>
      </c>
      <c r="X341" s="21" t="str">
        <f aca="false">'Player Data'!V341</f>
        <v>info@kayesrovers.ml</v>
      </c>
      <c r="Y341" s="28" t="str">
        <f aca="false">'Player Data'!W341</f>
        <v>Club sporting director / first-team office</v>
      </c>
      <c r="Z341" s="28" t="str">
        <f aca="false">'Player Data'!X341</f>
        <v>FEMAFOOT (Malian Football Federation) player registry</v>
      </c>
      <c r="AA341" s="19" t="str">
        <f aca="false">HYPERLINK("https://www.transfermarkt.com/schnellsuche/ergebnis/schnellsuche?query="&amp;SUBSTITUTE(A341," ","+"),"Search Transfermarkt")</f>
        <v>Search Transfermarkt</v>
      </c>
      <c r="AB341" s="29" t="n">
        <f aca="false">IFERROR('Player Data'!K341/('Player Data'!K341+'Player Data'!L341),0)</f>
        <v>0.741573033707865</v>
      </c>
      <c r="AC341" s="21" t="str">
        <f aca="false">IF(B341="GK",IF(AND(O341&gt;=Assumptions!$B$23,N341&gt;=Assumptions!$B$23),"Sweeper-Keeper / Build-from-the-Back",IF(O341&gt;=Assumptions!$B$23,"Sweeper-Keeper / High Line",IF(M341&gt;=Assumptions!$B$23,"Shot-Stopper / Traditional","Flexible / Multi-System"))),IF(AND(O341&gt;=Assumptions!$B$23,P341&gt;=Assumptions!$B$24),"High Press / Gegenpressing",IF(AND(N341&gt;=Assumptions!$B$23,AB341&gt;=Assumptions!$B$25),"Possession / Build-from-the-Back",IF(N341&gt;=Assumptions!$B$23,"Counter-Attack / Transition",IF(AND(O341&gt;=Assumptions!$B$23,N341&lt;Assumptions!$B$26),"Low Block / Park the Bus",IF(AND(B341="FW",M341&gt;=Assumptions!$B$23,N341&lt;Assumptions!$B$26),"Direct / Target Approach","Flexible / Multi-System"))))))</f>
        <v>High Press / Gegenpressing</v>
      </c>
      <c r="AD341" s="21" t="str">
        <f aca="false">'Player Data'!Y341</f>
        <v>2026-07-17</v>
      </c>
      <c r="AE341" s="21" t="str">
        <f aca="false">'Player Data'!Z341</f>
        <v>2026-07-17</v>
      </c>
      <c r="AF341" s="28" t="str">
        <f aca="false">IFERROR(INDEX(Assumptions!$B$30:$B$61,MATCH(C341,Assumptions!$A$30:$A$61,0)),"--")</f>
        <v>Belgium, Portugal</v>
      </c>
      <c r="AG341" s="30" t="str">
        <f aca="false">IF(R341&gt;=0.7,"Step-Up Candidate",IF(R341&gt;=0.4,"Lateral Move","Stay &amp; Develop"))</f>
        <v>Step-Up Candidate</v>
      </c>
    </row>
    <row r="342" customFormat="false" ht="23.85" hidden="false" customHeight="false" outlineLevel="0" collapsed="false">
      <c r="A342" s="21" t="str">
        <f aca="false">'Player Data'!A342</f>
        <v>Bledi Shala</v>
      </c>
      <c r="B342" s="21" t="str">
        <f aca="false">'Player Data'!F342</f>
        <v>DF</v>
      </c>
      <c r="C342" s="21" t="str">
        <f aca="false">'Player Data'!B342</f>
        <v>Albania</v>
      </c>
      <c r="D342" s="21" t="str">
        <f aca="false">'Player Data'!C342</f>
        <v>Albania Third Tier - South</v>
      </c>
      <c r="E342" s="21" t="n">
        <f aca="false">'Player Data'!D342</f>
        <v>2</v>
      </c>
      <c r="F342" s="21" t="n">
        <f aca="false">'Player Data'!G342</f>
        <v>22</v>
      </c>
      <c r="G342" s="21" t="n">
        <f aca="false">'Player Data'!H342</f>
        <v>2319</v>
      </c>
      <c r="H342" s="22" t="n">
        <f aca="false">IF(B342="GK",IFERROR(('Player Data'!N342-1.5*'Player Data'!O342)/'Player Data'!H342*90,0),IFERROR(('Player Data'!I342+'Player Data'!J342)/'Player Data'!H342*90,0))</f>
        <v>0.310478654592497</v>
      </c>
      <c r="I342" s="22" t="n">
        <f aca="false">IF(B342="GK",'Player Data'!P342,IFERROR(('Player Data'!K342+'Player Data'!L342)/'Player Data'!H342*90,0))</f>
        <v>3.53169469598965</v>
      </c>
      <c r="J342" s="22" t="n">
        <f aca="false">IF(B342="GK",IFERROR('Player Data'!Q342/'Player Data'!H342*90,0),IFERROR('Player Data'!M342/'Player Data'!H342*90,0))</f>
        <v>2.94954721862872</v>
      </c>
      <c r="K342" s="23" t="n">
        <f aca="false">'Player Data'!S342</f>
        <v>66435</v>
      </c>
      <c r="L342" s="22" t="n">
        <f aca="false">INDEX(Assumptions!$B$13:$B$15,MATCH(E342,Assumptions!$A$13:$A$15,0))</f>
        <v>1</v>
      </c>
      <c r="M342" s="24" t="n">
        <f aca="false">IFERROR(SUMPRODUCT(($B$2:$B$1001=B342)*($H$2:$H$1001&lt;=H342))/SUMPRODUCT(($B$2:$B$1001=B342)*1),0)</f>
        <v>0.792517006802721</v>
      </c>
      <c r="N342" s="24" t="n">
        <f aca="false">IFERROR(SUMPRODUCT(($B$2:$B$1001=B342)*($I$2:$I$1001&lt;=I342))/SUMPRODUCT(($B$2:$B$1001=B342)*1),0)</f>
        <v>0.241496598639456</v>
      </c>
      <c r="O342" s="24" t="n">
        <f aca="false">IFERROR(SUMPRODUCT(($B$2:$B$1001=B342)*($J$2:$J$1001&lt;=J342))/SUMPRODUCT(($B$2:$B$1001=B342)*1),0)</f>
        <v>0.0272108843537415</v>
      </c>
      <c r="P342" s="24" t="n">
        <f aca="false">IFERROR(SUMPRODUCT(($B$2:$B$1001=B342)*((0-$F$2:$F$1001)&lt;=(0-F342)))/SUMPRODUCT(($B$2:$B$1001=B342)*1),0)</f>
        <v>0.493197278911565</v>
      </c>
      <c r="Q342" s="25" t="n">
        <f aca="false">(M342*Assumptions!$B$5+N342*Assumptions!$B$6+O342*Assumptions!$B$7+P342*Assumptions!$B$8)*L342</f>
        <v>0.386734693877551</v>
      </c>
      <c r="R342" s="24" t="n">
        <f aca="false">IFERROR(SUMPRODUCT(($B$2:$B$1001=B342)*($Q$2:$Q$1001&lt;=Q342))/SUMPRODUCT(($B$2:$B$1001=B342)*1),0)</f>
        <v>0.418367346938776</v>
      </c>
      <c r="S342" s="24" t="n">
        <f aca="false">IFERROR(SUMPRODUCT(($B$2:$B$1001=B342)*($K$2:$K$1001&lt;=K342))/SUMPRODUCT(($B$2:$B$1001=B342)*1),0)</f>
        <v>0.513605442176871</v>
      </c>
      <c r="T342" s="26" t="n">
        <f aca="false">(R342-S342)*100</f>
        <v>-9.52380952380952</v>
      </c>
      <c r="U342" s="21" t="str">
        <f aca="false">'Player Data'!T342</f>
        <v>Unknown</v>
      </c>
      <c r="V342" s="27" t="n">
        <f aca="false">'Player Data'!U342</f>
        <v>2027</v>
      </c>
      <c r="W342" s="21" t="str">
        <f aca="false">IF(AND(T342&gt;=Assumptions!$B$19,U342="No"),"High Priority - Unrepresented",IF(T342&gt;=Assumptions!$B$19,"High Priority",IF(AND(T342&gt;=Assumptions!$B$20,U342="No"),"Watchlist - Unrepresented",IF(T342&gt;=Assumptions!$B$20,"Watchlist",""))))</f>
        <v/>
      </c>
      <c r="X342" s="21" t="str">
        <f aca="false">'Player Data'!V342</f>
        <v>info@shkodertown.al</v>
      </c>
      <c r="Y342" s="28" t="str">
        <f aca="false">'Player Data'!W342</f>
        <v>Club sporting director / first-team office</v>
      </c>
      <c r="Z342" s="28" t="str">
        <f aca="false">'Player Data'!X342</f>
        <v>FSHF (Albanian Football Association) player registry</v>
      </c>
      <c r="AA342" s="19" t="str">
        <f aca="false">HYPERLINK("https://www.transfermarkt.com/schnellsuche/ergebnis/schnellsuche?query="&amp;SUBSTITUTE(A342," ","+"),"Search Transfermarkt")</f>
        <v>Search Transfermarkt</v>
      </c>
      <c r="AB342" s="29" t="n">
        <f aca="false">IFERROR('Player Data'!K342/('Player Data'!K342+'Player Data'!L342),0)</f>
        <v>0.714285714285714</v>
      </c>
      <c r="AC342" s="21" t="str">
        <f aca="false">IF(B342="GK",IF(AND(O342&gt;=Assumptions!$B$23,N342&gt;=Assumptions!$B$23),"Sweeper-Keeper / Build-from-the-Back",IF(O342&gt;=Assumptions!$B$23,"Sweeper-Keeper / High Line",IF(M342&gt;=Assumptions!$B$23,"Shot-Stopper / Traditional","Flexible / Multi-System"))),IF(AND(O342&gt;=Assumptions!$B$23,P342&gt;=Assumptions!$B$24),"High Press / Gegenpressing",IF(AND(N342&gt;=Assumptions!$B$23,AB342&gt;=Assumptions!$B$25),"Possession / Build-from-the-Back",IF(N342&gt;=Assumptions!$B$23,"Counter-Attack / Transition",IF(AND(O342&gt;=Assumptions!$B$23,N342&lt;Assumptions!$B$26),"Low Block / Park the Bus",IF(AND(B342="FW",M342&gt;=Assumptions!$B$23,N342&lt;Assumptions!$B$26),"Direct / Target Approach","Flexible / Multi-System"))))))</f>
        <v>Flexible / Multi-System</v>
      </c>
      <c r="AD342" s="21" t="str">
        <f aca="false">'Player Data'!Y342</f>
        <v>2026-07-17</v>
      </c>
      <c r="AE342" s="21" t="str">
        <f aca="false">'Player Data'!Z342</f>
        <v>2026-07-17</v>
      </c>
      <c r="AF342" s="28" t="str">
        <f aca="false">IFERROR(INDEX(Assumptions!$B$30:$B$61,MATCH(C342,Assumptions!$A$30:$A$61,0)),"--")</f>
        <v>Turkey, Poland</v>
      </c>
      <c r="AG342" s="30" t="str">
        <f aca="false">IF(R342&gt;=0.7,"Step-Up Candidate",IF(R342&gt;=0.4,"Lateral Move","Stay &amp; Develop"))</f>
        <v>Lateral Move</v>
      </c>
    </row>
    <row r="343" customFormat="false" ht="23.85" hidden="false" customHeight="false" outlineLevel="0" collapsed="false">
      <c r="A343" s="21" t="str">
        <f aca="false">'Player Data'!A343</f>
        <v>Diyorbek Tashkentov</v>
      </c>
      <c r="B343" s="21" t="str">
        <f aca="false">'Player Data'!F343</f>
        <v>FW</v>
      </c>
      <c r="C343" s="21" t="str">
        <f aca="false">'Player Data'!B343</f>
        <v>Uzbekistan</v>
      </c>
      <c r="D343" s="21" t="str">
        <f aca="false">'Player Data'!C343</f>
        <v>Uzbekistan Regional League</v>
      </c>
      <c r="E343" s="21" t="n">
        <f aca="false">'Player Data'!D343</f>
        <v>2</v>
      </c>
      <c r="F343" s="21" t="n">
        <f aca="false">'Player Data'!G343</f>
        <v>24</v>
      </c>
      <c r="G343" s="21" t="n">
        <f aca="false">'Player Data'!H343</f>
        <v>1976</v>
      </c>
      <c r="H343" s="22" t="n">
        <f aca="false">IF(B343="GK",IFERROR(('Player Data'!N343-1.5*'Player Data'!O343)/'Player Data'!H343*90,0),IFERROR(('Player Data'!I343+'Player Data'!J343)/'Player Data'!H343*90,0))</f>
        <v>0.637651821862348</v>
      </c>
      <c r="I343" s="22" t="n">
        <f aca="false">IF(B343="GK",'Player Data'!P343,IFERROR(('Player Data'!K343+'Player Data'!L343)/'Player Data'!H343*90,0))</f>
        <v>6.6497975708502</v>
      </c>
      <c r="J343" s="22" t="n">
        <f aca="false">IF(B343="GK",IFERROR('Player Data'!Q343/'Player Data'!H343*90,0),IFERROR('Player Data'!M343/'Player Data'!H343*90,0))</f>
        <v>0.409919028340081</v>
      </c>
      <c r="K343" s="23" t="n">
        <f aca="false">'Player Data'!S343</f>
        <v>0</v>
      </c>
      <c r="L343" s="22" t="n">
        <f aca="false">INDEX(Assumptions!$B$13:$B$15,MATCH(E343,Assumptions!$A$13:$A$15,0))</f>
        <v>1</v>
      </c>
      <c r="M343" s="24" t="n">
        <f aca="false">IFERROR(SUMPRODUCT(($B$2:$B$1001=B343)*($H$2:$H$1001&lt;=H343))/SUMPRODUCT(($B$2:$B$1001=B343)*1),0)</f>
        <v>0.18141592920354</v>
      </c>
      <c r="N343" s="24" t="n">
        <f aca="false">IFERROR(SUMPRODUCT(($B$2:$B$1001=B343)*($I$2:$I$1001&lt;=I343))/SUMPRODUCT(($B$2:$B$1001=B343)*1),0)</f>
        <v>0.530973451327434</v>
      </c>
      <c r="O343" s="24" t="n">
        <f aca="false">IFERROR(SUMPRODUCT(($B$2:$B$1001=B343)*($J$2:$J$1001&lt;=J343))/SUMPRODUCT(($B$2:$B$1001=B343)*1),0)</f>
        <v>0.358407079646018</v>
      </c>
      <c r="P343" s="24" t="n">
        <f aca="false">IFERROR(SUMPRODUCT(($B$2:$B$1001=B343)*((0-$F$2:$F$1001)&lt;=(0-F343)))/SUMPRODUCT(($B$2:$B$1001=B343)*1),0)</f>
        <v>0.305309734513274</v>
      </c>
      <c r="Q343" s="25" t="n">
        <f aca="false">(M343*Assumptions!$B$5+N343*Assumptions!$B$6+O343*Assumptions!$B$7+P343*Assumptions!$B$8)*L343</f>
        <v>0.363938053097345</v>
      </c>
      <c r="R343" s="24" t="n">
        <f aca="false">IFERROR(SUMPRODUCT(($B$2:$B$1001=B343)*($Q$2:$Q$1001&lt;=Q343))/SUMPRODUCT(($B$2:$B$1001=B343)*1),0)</f>
        <v>0.367256637168142</v>
      </c>
      <c r="S343" s="24" t="n">
        <f aca="false">IFERROR(SUMPRODUCT(($B$2:$B$1001=B343)*($K$2:$K$1001&lt;=K343))/SUMPRODUCT(($B$2:$B$1001=B343)*1),0)</f>
        <v>0.261061946902655</v>
      </c>
      <c r="T343" s="26" t="n">
        <f aca="false">(R343-S343)*100</f>
        <v>10.6194690265487</v>
      </c>
      <c r="U343" s="21" t="str">
        <f aca="false">'Player Data'!T343</f>
        <v>No</v>
      </c>
      <c r="V343" s="27" t="n">
        <f aca="false">'Player Data'!U343</f>
        <v>2027</v>
      </c>
      <c r="W343" s="21" t="str">
        <f aca="false">IF(AND(T343&gt;=Assumptions!$B$19,U343="No"),"High Priority - Unrepresented",IF(T343&gt;=Assumptions!$B$19,"High Priority",IF(AND(T343&gt;=Assumptions!$B$20,U343="No"),"Watchlist - Unrepresented",IF(T343&gt;=Assumptions!$B$20,"Watchlist",""))))</f>
        <v/>
      </c>
      <c r="X343" s="21" t="str">
        <f aca="false">'Player Data'!V343</f>
        <v>info@bukharaunited.uz</v>
      </c>
      <c r="Y343" s="28" t="str">
        <f aca="false">'Player Data'!W343</f>
        <v>Club sporting director / first-team office</v>
      </c>
      <c r="Z343" s="28" t="str">
        <f aca="false">'Player Data'!X343</f>
        <v>UFF (Uzbekistan Football Federation) player registry</v>
      </c>
      <c r="AA343" s="19" t="str">
        <f aca="false">HYPERLINK("https://www.transfermarkt.com/schnellsuche/ergebnis/schnellsuche?query="&amp;SUBSTITUTE(A343," ","+"),"Search Transfermarkt")</f>
        <v>Search Transfermarkt</v>
      </c>
      <c r="AB343" s="29" t="n">
        <f aca="false">IFERROR('Player Data'!K343/('Player Data'!K343+'Player Data'!L343),0)</f>
        <v>0.445205479452055</v>
      </c>
      <c r="AC343" s="21" t="str">
        <f aca="false">IF(B343="GK",IF(AND(O343&gt;=Assumptions!$B$23,N343&gt;=Assumptions!$B$23),"Sweeper-Keeper / Build-from-the-Back",IF(O343&gt;=Assumptions!$B$23,"Sweeper-Keeper / High Line",IF(M343&gt;=Assumptions!$B$23,"Shot-Stopper / Traditional","Flexible / Multi-System"))),IF(AND(O343&gt;=Assumptions!$B$23,P343&gt;=Assumptions!$B$24),"High Press / Gegenpressing",IF(AND(N343&gt;=Assumptions!$B$23,AB343&gt;=Assumptions!$B$25),"Possession / Build-from-the-Back",IF(N343&gt;=Assumptions!$B$23,"Counter-Attack / Transition",IF(AND(O343&gt;=Assumptions!$B$23,N343&lt;Assumptions!$B$26),"Low Block / Park the Bus",IF(AND(B343="FW",M343&gt;=Assumptions!$B$23,N343&lt;Assumptions!$B$26),"Direct / Target Approach","Flexible / Multi-System"))))))</f>
        <v>Flexible / Multi-System</v>
      </c>
      <c r="AD343" s="21" t="str">
        <f aca="false">'Player Data'!Y343</f>
        <v>2026-07-17</v>
      </c>
      <c r="AE343" s="21" t="str">
        <f aca="false">'Player Data'!Z343</f>
        <v>2026-07-17</v>
      </c>
      <c r="AF343" s="28" t="str">
        <f aca="false">IFERROR(INDEX(Assumptions!$B$30:$B$61,MATCH(C343,Assumptions!$A$30:$A$61,0)),"--")</f>
        <v>Turkey, Saudi Arabia</v>
      </c>
      <c r="AG343" s="30" t="str">
        <f aca="false">IF(R343&gt;=0.7,"Step-Up Candidate",IF(R343&gt;=0.4,"Lateral Move","Stay &amp; Develop"))</f>
        <v>Stay &amp; Develop</v>
      </c>
    </row>
    <row r="344" customFormat="false" ht="23.85" hidden="false" customHeight="false" outlineLevel="0" collapsed="false">
      <c r="A344" s="21" t="str">
        <f aca="false">'Player Data'!A344</f>
        <v>Given Banda</v>
      </c>
      <c r="B344" s="21" t="str">
        <f aca="false">'Player Data'!F344</f>
        <v>GK</v>
      </c>
      <c r="C344" s="21" t="str">
        <f aca="false">'Player Data'!B344</f>
        <v>Zambia</v>
      </c>
      <c r="D344" s="21" t="str">
        <f aca="false">'Player Data'!C344</f>
        <v>Zambia Second Division</v>
      </c>
      <c r="E344" s="21" t="n">
        <f aca="false">'Player Data'!D344</f>
        <v>2</v>
      </c>
      <c r="F344" s="21" t="n">
        <f aca="false">'Player Data'!G344</f>
        <v>22</v>
      </c>
      <c r="G344" s="21" t="n">
        <f aca="false">'Player Data'!H344</f>
        <v>1368</v>
      </c>
      <c r="H344" s="22" t="n">
        <f aca="false">IF(B344="GK",IFERROR(('Player Data'!N344-1.5*'Player Data'!O344)/'Player Data'!H344*90,0),IFERROR(('Player Data'!I344+'Player Data'!J344)/'Player Data'!H344*90,0))</f>
        <v>1.08552631578947</v>
      </c>
      <c r="I344" s="22" t="n">
        <f aca="false">IF(B344="GK",'Player Data'!P344,IFERROR(('Player Data'!K344+'Player Data'!L344)/'Player Data'!H344*90,0))</f>
        <v>84.3</v>
      </c>
      <c r="J344" s="22" t="n">
        <f aca="false">IF(B344="GK",IFERROR('Player Data'!Q344/'Player Data'!H344*90,0),IFERROR('Player Data'!M344/'Player Data'!H344*90,0))</f>
        <v>1.38157894736842</v>
      </c>
      <c r="K344" s="23" t="n">
        <f aca="false">'Player Data'!S344</f>
        <v>115165</v>
      </c>
      <c r="L344" s="22" t="n">
        <f aca="false">INDEX(Assumptions!$B$13:$B$15,MATCH(E344,Assumptions!$A$13:$A$15,0))</f>
        <v>1</v>
      </c>
      <c r="M344" s="24" t="n">
        <f aca="false">IFERROR(SUMPRODUCT(($B$2:$B$1001=B344)*($H$2:$H$1001&lt;=H344))/SUMPRODUCT(($B$2:$B$1001=B344)*1),0)</f>
        <v>0.469945355191257</v>
      </c>
      <c r="N344" s="24" t="n">
        <f aca="false">IFERROR(SUMPRODUCT(($B$2:$B$1001=B344)*($I$2:$I$1001&lt;=I344))/SUMPRODUCT(($B$2:$B$1001=B344)*1),0)</f>
        <v>0.836065573770492</v>
      </c>
      <c r="O344" s="24" t="n">
        <f aca="false">IFERROR(SUMPRODUCT(($B$2:$B$1001=B344)*($J$2:$J$1001&lt;=J344))/SUMPRODUCT(($B$2:$B$1001=B344)*1),0)</f>
        <v>0.879781420765027</v>
      </c>
      <c r="P344" s="24" t="n">
        <f aca="false">IFERROR(SUMPRODUCT(($B$2:$B$1001=B344)*((0-$F$2:$F$1001)&lt;=(0-F344)))/SUMPRODUCT(($B$2:$B$1001=B344)*1),0)</f>
        <v>0.530054644808743</v>
      </c>
      <c r="Q344" s="25" t="n">
        <f aca="false">(M344*Assumptions!$B$5+N344*Assumptions!$B$6+O344*Assumptions!$B$7+P344*Assumptions!$B$8)*L344</f>
        <v>0.692076502732241</v>
      </c>
      <c r="R344" s="24" t="n">
        <f aca="false">IFERROR(SUMPRODUCT(($B$2:$B$1001=B344)*($Q$2:$Q$1001&lt;=Q344))/SUMPRODUCT(($B$2:$B$1001=B344)*1),0)</f>
        <v>0.983606557377049</v>
      </c>
      <c r="S344" s="24" t="n">
        <f aca="false">IFERROR(SUMPRODUCT(($B$2:$B$1001=B344)*($K$2:$K$1001&lt;=K344))/SUMPRODUCT(($B$2:$B$1001=B344)*1),0)</f>
        <v>0.792349726775956</v>
      </c>
      <c r="T344" s="26" t="n">
        <f aca="false">(R344-S344)*100</f>
        <v>19.1256830601093</v>
      </c>
      <c r="U344" s="21" t="str">
        <f aca="false">'Player Data'!T344</f>
        <v>No</v>
      </c>
      <c r="V344" s="27" t="n">
        <f aca="false">'Player Data'!U344</f>
        <v>2029</v>
      </c>
      <c r="W344" s="21" t="str">
        <f aca="false">IF(AND(T344&gt;=Assumptions!$B$19,U344="No"),"High Priority - Unrepresented",IF(T344&gt;=Assumptions!$B$19,"High Priority",IF(AND(T344&gt;=Assumptions!$B$20,U344="No"),"Watchlist - Unrepresented",IF(T344&gt;=Assumptions!$B$20,"Watchlist",""))))</f>
        <v/>
      </c>
      <c r="X344" s="21" t="str">
        <f aca="false">'Player Data'!V344</f>
        <v>info@livingstonerangers.zm</v>
      </c>
      <c r="Y344" s="28" t="str">
        <f aca="false">'Player Data'!W344</f>
        <v>Club sporting director / first-team office</v>
      </c>
      <c r="Z344" s="28" t="str">
        <f aca="false">'Player Data'!X344</f>
        <v>FAZ (Football Association of Zambia) player registry</v>
      </c>
      <c r="AA344" s="19" t="str">
        <f aca="false">HYPERLINK("https://www.transfermarkt.com/schnellsuche/ergebnis/schnellsuche?query="&amp;SUBSTITUTE(A344," ","+"),"Search Transfermarkt")</f>
        <v>Search Transfermarkt</v>
      </c>
      <c r="AB344" s="29" t="n">
        <f aca="false">IFERROR('Player Data'!K344/('Player Data'!K344+'Player Data'!L344),0)</f>
        <v>1</v>
      </c>
      <c r="AC344" s="21" t="str">
        <f aca="false">IF(B344="GK",IF(AND(O344&gt;=Assumptions!$B$23,N344&gt;=Assumptions!$B$23),"Sweeper-Keeper / Build-from-the-Back",IF(O344&gt;=Assumptions!$B$23,"Sweeper-Keeper / High Line",IF(M344&gt;=Assumptions!$B$23,"Shot-Stopper / Traditional","Flexible / Multi-System"))),IF(AND(O344&gt;=Assumptions!$B$23,P344&gt;=Assumptions!$B$24),"High Press / Gegenpressing",IF(AND(N344&gt;=Assumptions!$B$23,AB344&gt;=Assumptions!$B$25),"Possession / Build-from-the-Back",IF(N344&gt;=Assumptions!$B$23,"Counter-Attack / Transition",IF(AND(O344&gt;=Assumptions!$B$23,N344&lt;Assumptions!$B$26),"Low Block / Park the Bus",IF(AND(B344="FW",M344&gt;=Assumptions!$B$23,N344&lt;Assumptions!$B$26),"Direct / Target Approach","Flexible / Multi-System"))))))</f>
        <v>Sweeper-Keeper / Build-from-the-Back</v>
      </c>
      <c r="AD344" s="21" t="str">
        <f aca="false">'Player Data'!Y344</f>
        <v>2026-07-17</v>
      </c>
      <c r="AE344" s="21" t="str">
        <f aca="false">'Player Data'!Z344</f>
        <v>2026-07-17</v>
      </c>
      <c r="AF344" s="28" t="str">
        <f aca="false">IFERROR(INDEX(Assumptions!$B$30:$B$61,MATCH(C344,Assumptions!$A$30:$A$61,0)),"--")</f>
        <v>Belgium, Portugal</v>
      </c>
      <c r="AG344" s="30" t="str">
        <f aca="false">IF(R344&gt;=0.7,"Step-Up Candidate",IF(R344&gt;=0.4,"Lateral Move","Stay &amp; Develop"))</f>
        <v>Step-Up Candidate</v>
      </c>
    </row>
    <row r="345" customFormat="false" ht="23.85" hidden="false" customHeight="false" outlineLevel="0" collapsed="false">
      <c r="A345" s="21" t="str">
        <f aca="false">'Player Data'!A345</f>
        <v>Emmanuel Agyemang</v>
      </c>
      <c r="B345" s="21" t="str">
        <f aca="false">'Player Data'!F345</f>
        <v>DF</v>
      </c>
      <c r="C345" s="21" t="str">
        <f aca="false">'Player Data'!B345</f>
        <v>Ghana</v>
      </c>
      <c r="D345" s="21" t="str">
        <f aca="false">'Player Data'!C345</f>
        <v>Ghana Third Tier - South</v>
      </c>
      <c r="E345" s="21" t="n">
        <f aca="false">'Player Data'!D345</f>
        <v>3</v>
      </c>
      <c r="F345" s="21" t="n">
        <f aca="false">'Player Data'!G345</f>
        <v>18</v>
      </c>
      <c r="G345" s="21" t="n">
        <f aca="false">'Player Data'!H345</f>
        <v>1841</v>
      </c>
      <c r="H345" s="22" t="n">
        <f aca="false">IF(B345="GK",IFERROR(('Player Data'!N345-1.5*'Player Data'!O345)/'Player Data'!H345*90,0),IFERROR(('Player Data'!I345+'Player Data'!J345)/'Player Data'!H345*90,0))</f>
        <v>0.195545898967952</v>
      </c>
      <c r="I345" s="22" t="n">
        <f aca="false">IF(B345="GK",'Player Data'!P345,IFERROR(('Player Data'!K345+'Player Data'!L345)/'Player Data'!H345*90,0))</f>
        <v>4.15535035306898</v>
      </c>
      <c r="J345" s="22" t="n">
        <f aca="false">IF(B345="GK",IFERROR('Player Data'!Q345/'Player Data'!H345*90,0),IFERROR('Player Data'!M345/'Player Data'!H345*90,0))</f>
        <v>4.30200977729495</v>
      </c>
      <c r="K345" s="23" t="n">
        <f aca="false">'Player Data'!S345</f>
        <v>42396</v>
      </c>
      <c r="L345" s="22" t="n">
        <f aca="false">INDEX(Assumptions!$B$13:$B$15,MATCH(E345,Assumptions!$A$13:$A$15,0))</f>
        <v>0.85</v>
      </c>
      <c r="M345" s="24" t="n">
        <f aca="false">IFERROR(SUMPRODUCT(($B$2:$B$1001=B345)*($H$2:$H$1001&lt;=H345))/SUMPRODUCT(($B$2:$B$1001=B345)*1),0)</f>
        <v>0.513605442176871</v>
      </c>
      <c r="N345" s="24" t="n">
        <f aca="false">IFERROR(SUMPRODUCT(($B$2:$B$1001=B345)*($I$2:$I$1001&lt;=I345))/SUMPRODUCT(($B$2:$B$1001=B345)*1),0)</f>
        <v>0.428571428571429</v>
      </c>
      <c r="O345" s="24" t="n">
        <f aca="false">IFERROR(SUMPRODUCT(($B$2:$B$1001=B345)*($J$2:$J$1001&lt;=J345))/SUMPRODUCT(($B$2:$B$1001=B345)*1),0)</f>
        <v>0.32312925170068</v>
      </c>
      <c r="P345" s="24" t="n">
        <f aca="false">IFERROR(SUMPRODUCT(($B$2:$B$1001=B345)*((0-$F$2:$F$1001)&lt;=(0-F345)))/SUMPRODUCT(($B$2:$B$1001=B345)*1),0)</f>
        <v>0.863945578231293</v>
      </c>
      <c r="Q345" s="25" t="n">
        <f aca="false">(M345*Assumptions!$B$5+N345*Assumptions!$B$6+O345*Assumptions!$B$7+P345*Assumptions!$B$8)*L345</f>
        <v>0.43844387755102</v>
      </c>
      <c r="R345" s="24" t="n">
        <f aca="false">IFERROR(SUMPRODUCT(($B$2:$B$1001=B345)*($Q$2:$Q$1001&lt;=Q345))/SUMPRODUCT(($B$2:$B$1001=B345)*1),0)</f>
        <v>0.547619047619048</v>
      </c>
      <c r="S345" s="24" t="n">
        <f aca="false">IFERROR(SUMPRODUCT(($B$2:$B$1001=B345)*($K$2:$K$1001&lt;=K345))/SUMPRODUCT(($B$2:$B$1001=B345)*1),0)</f>
        <v>0.408163265306122</v>
      </c>
      <c r="T345" s="26" t="n">
        <f aca="false">(R345-S345)*100</f>
        <v>13.9455782312925</v>
      </c>
      <c r="U345" s="21" t="str">
        <f aca="false">'Player Data'!T345</f>
        <v>Yes</v>
      </c>
      <c r="V345" s="27" t="n">
        <f aca="false">'Player Data'!U345</f>
        <v>2028</v>
      </c>
      <c r="W345" s="21" t="str">
        <f aca="false">IF(AND(T345&gt;=Assumptions!$B$19,U345="No"),"High Priority - Unrepresented",IF(T345&gt;=Assumptions!$B$19,"High Priority",IF(AND(T345&gt;=Assumptions!$B$20,U345="No"),"Watchlist - Unrepresented",IF(T345&gt;=Assumptions!$B$20,"Watchlist",""))))</f>
        <v/>
      </c>
      <c r="X345" s="21" t="str">
        <f aca="false">'Player Data'!V345</f>
        <v>info@tamaleathletic.gh</v>
      </c>
      <c r="Y345" s="28" t="str">
        <f aca="false">'Player Data'!W345</f>
        <v>Go through the player's agent - ask the club to confirm representation first</v>
      </c>
      <c r="Z345" s="28" t="str">
        <f aca="false">'Player Data'!X345</f>
        <v>GFA (Ghana Football Association) player registry</v>
      </c>
      <c r="AA345" s="19" t="str">
        <f aca="false">HYPERLINK("https://www.transfermarkt.com/schnellsuche/ergebnis/schnellsuche?query="&amp;SUBSTITUTE(A345," ","+"),"Search Transfermarkt")</f>
        <v>Search Transfermarkt</v>
      </c>
      <c r="AB345" s="29" t="n">
        <f aca="false">IFERROR('Player Data'!K345/('Player Data'!K345+'Player Data'!L345),0)</f>
        <v>0.764705882352941</v>
      </c>
      <c r="AC345" s="21" t="str">
        <f aca="false">IF(B345="GK",IF(AND(O345&gt;=Assumptions!$B$23,N345&gt;=Assumptions!$B$23),"Sweeper-Keeper / Build-from-the-Back",IF(O345&gt;=Assumptions!$B$23,"Sweeper-Keeper / High Line",IF(M345&gt;=Assumptions!$B$23,"Shot-Stopper / Traditional","Flexible / Multi-System"))),IF(AND(O345&gt;=Assumptions!$B$23,P345&gt;=Assumptions!$B$24),"High Press / Gegenpressing",IF(AND(N345&gt;=Assumptions!$B$23,AB345&gt;=Assumptions!$B$25),"Possession / Build-from-the-Back",IF(N345&gt;=Assumptions!$B$23,"Counter-Attack / Transition",IF(AND(O345&gt;=Assumptions!$B$23,N345&lt;Assumptions!$B$26),"Low Block / Park the Bus",IF(AND(B345="FW",M345&gt;=Assumptions!$B$23,N345&lt;Assumptions!$B$26),"Direct / Target Approach","Flexible / Multi-System"))))))</f>
        <v>Flexible / Multi-System</v>
      </c>
      <c r="AD345" s="21" t="str">
        <f aca="false">'Player Data'!Y345</f>
        <v>2026-07-17</v>
      </c>
      <c r="AE345" s="21" t="str">
        <f aca="false">'Player Data'!Z345</f>
        <v>2026-07-17</v>
      </c>
      <c r="AF345" s="28" t="str">
        <f aca="false">IFERROR(INDEX(Assumptions!$B$30:$B$61,MATCH(C345,Assumptions!$A$30:$A$61,0)),"--")</f>
        <v>Belgium, Portugal</v>
      </c>
      <c r="AG345" s="30" t="str">
        <f aca="false">IF(R345&gt;=0.7,"Step-Up Candidate",IF(R345&gt;=0.4,"Lateral Move","Stay &amp; Develop"))</f>
        <v>Lateral Move</v>
      </c>
    </row>
    <row r="346" customFormat="false" ht="23.85" hidden="false" customHeight="false" outlineLevel="0" collapsed="false">
      <c r="A346" s="21" t="str">
        <f aca="false">'Player Data'!A346</f>
        <v>Santiago Torres</v>
      </c>
      <c r="B346" s="21" t="str">
        <f aca="false">'Player Data'!F346</f>
        <v>FW</v>
      </c>
      <c r="C346" s="21" t="str">
        <f aca="false">'Player Data'!B346</f>
        <v>Bolivia</v>
      </c>
      <c r="D346" s="21" t="str">
        <f aca="false">'Player Data'!C346</f>
        <v>Bolivia Regional League</v>
      </c>
      <c r="E346" s="21" t="n">
        <f aca="false">'Player Data'!D346</f>
        <v>2</v>
      </c>
      <c r="F346" s="21" t="n">
        <f aca="false">'Player Data'!G346</f>
        <v>19</v>
      </c>
      <c r="G346" s="21" t="n">
        <f aca="false">'Player Data'!H346</f>
        <v>1986</v>
      </c>
      <c r="H346" s="22" t="n">
        <f aca="false">IF(B346="GK",IFERROR(('Player Data'!N346-1.5*'Player Data'!O346)/'Player Data'!H346*90,0),IFERROR(('Player Data'!I346+'Player Data'!J346)/'Player Data'!H346*90,0))</f>
        <v>0.6797583081571</v>
      </c>
      <c r="I346" s="22" t="n">
        <f aca="false">IF(B346="GK",'Player Data'!P346,IFERROR(('Player Data'!K346+'Player Data'!L346)/'Player Data'!H346*90,0))</f>
        <v>6.48036253776435</v>
      </c>
      <c r="J346" s="22" t="n">
        <f aca="false">IF(B346="GK",IFERROR('Player Data'!Q346/'Player Data'!H346*90,0),IFERROR('Player Data'!M346/'Player Data'!H346*90,0))</f>
        <v>0.6797583081571</v>
      </c>
      <c r="K346" s="23" t="n">
        <f aca="false">'Player Data'!S346</f>
        <v>10940</v>
      </c>
      <c r="L346" s="22" t="n">
        <f aca="false">INDEX(Assumptions!$B$13:$B$15,MATCH(E346,Assumptions!$A$13:$A$15,0))</f>
        <v>1</v>
      </c>
      <c r="M346" s="24" t="n">
        <f aca="false">IFERROR(SUMPRODUCT(($B$2:$B$1001=B346)*($H$2:$H$1001&lt;=H346))/SUMPRODUCT(($B$2:$B$1001=B346)*1),0)</f>
        <v>0.221238938053097</v>
      </c>
      <c r="N346" s="24" t="n">
        <f aca="false">IFERROR(SUMPRODUCT(($B$2:$B$1001=B346)*($I$2:$I$1001&lt;=I346))/SUMPRODUCT(($B$2:$B$1001=B346)*1),0)</f>
        <v>0.491150442477876</v>
      </c>
      <c r="O346" s="24" t="n">
        <f aca="false">IFERROR(SUMPRODUCT(($B$2:$B$1001=B346)*($J$2:$J$1001&lt;=J346))/SUMPRODUCT(($B$2:$B$1001=B346)*1),0)</f>
        <v>0.716814159292035</v>
      </c>
      <c r="P346" s="24" t="n">
        <f aca="false">IFERROR(SUMPRODUCT(($B$2:$B$1001=B346)*((0-$F$2:$F$1001)&lt;=(0-F346)))/SUMPRODUCT(($B$2:$B$1001=B346)*1),0)</f>
        <v>0.831858407079646</v>
      </c>
      <c r="Q346" s="25" t="n">
        <f aca="false">(M346*Assumptions!$B$5+N346*Assumptions!$B$6+O346*Assumptions!$B$7+P346*Assumptions!$B$8)*L346</f>
        <v>0.536946902654867</v>
      </c>
      <c r="R346" s="24" t="n">
        <f aca="false">IFERROR(SUMPRODUCT(($B$2:$B$1001=B346)*($Q$2:$Q$1001&lt;=Q346))/SUMPRODUCT(($B$2:$B$1001=B346)*1),0)</f>
        <v>0.663716814159292</v>
      </c>
      <c r="S346" s="24" t="n">
        <f aca="false">IFERROR(SUMPRODUCT(($B$2:$B$1001=B346)*($K$2:$K$1001&lt;=K346))/SUMPRODUCT(($B$2:$B$1001=B346)*1),0)</f>
        <v>0.278761061946903</v>
      </c>
      <c r="T346" s="26" t="n">
        <f aca="false">(R346-S346)*100</f>
        <v>38.4955752212389</v>
      </c>
      <c r="U346" s="21" t="str">
        <f aca="false">'Player Data'!T346</f>
        <v>No</v>
      </c>
      <c r="V346" s="27" t="n">
        <f aca="false">'Player Data'!U346</f>
        <v>2028</v>
      </c>
      <c r="W346" s="21" t="str">
        <f aca="false">IF(AND(T346&gt;=Assumptions!$B$19,U346="No"),"High Priority - Unrepresented",IF(T346&gt;=Assumptions!$B$19,"High Priority",IF(AND(T346&gt;=Assumptions!$B$20,U346="No"),"Watchlist - Unrepresented",IF(T346&gt;=Assumptions!$B$20,"Watchlist",""))))</f>
        <v>Watchlist - Unrepresented</v>
      </c>
      <c r="X346" s="21" t="str">
        <f aca="false">'Player Data'!V346</f>
        <v>info@santacruzrovers.bo</v>
      </c>
      <c r="Y346" s="28" t="str">
        <f aca="false">'Player Data'!W346</f>
        <v>Club sporting director / first-team office</v>
      </c>
      <c r="Z346" s="28" t="str">
        <f aca="false">'Player Data'!X346</f>
        <v>FBF (Bolivian Football Federation) player registry</v>
      </c>
      <c r="AA346" s="19" t="str">
        <f aca="false">HYPERLINK("https://www.transfermarkt.com/schnellsuche/ergebnis/schnellsuche?query="&amp;SUBSTITUTE(A346," ","+"),"Search Transfermarkt")</f>
        <v>Search Transfermarkt</v>
      </c>
      <c r="AB346" s="29" t="n">
        <f aca="false">IFERROR('Player Data'!K346/('Player Data'!K346+'Player Data'!L346),0)</f>
        <v>0.321678321678322</v>
      </c>
      <c r="AC346" s="21" t="str">
        <f aca="false">IF(B346="GK",IF(AND(O346&gt;=Assumptions!$B$23,N346&gt;=Assumptions!$B$23),"Sweeper-Keeper / Build-from-the-Back",IF(O346&gt;=Assumptions!$B$23,"Sweeper-Keeper / High Line",IF(M346&gt;=Assumptions!$B$23,"Shot-Stopper / Traditional","Flexible / Multi-System"))),IF(AND(O346&gt;=Assumptions!$B$23,P346&gt;=Assumptions!$B$24),"High Press / Gegenpressing",IF(AND(N346&gt;=Assumptions!$B$23,AB346&gt;=Assumptions!$B$25),"Possession / Build-from-the-Back",IF(N346&gt;=Assumptions!$B$23,"Counter-Attack / Transition",IF(AND(O346&gt;=Assumptions!$B$23,N346&lt;Assumptions!$B$26),"Low Block / Park the Bus",IF(AND(B346="FW",M346&gt;=Assumptions!$B$23,N346&lt;Assumptions!$B$26),"Direct / Target Approach","Flexible / Multi-System"))))))</f>
        <v>High Press / Gegenpressing</v>
      </c>
      <c r="AD346" s="21" t="str">
        <f aca="false">'Player Data'!Y346</f>
        <v>2026-07-17</v>
      </c>
      <c r="AE346" s="21" t="str">
        <f aca="false">'Player Data'!Z346</f>
        <v>2026-07-17</v>
      </c>
      <c r="AF346" s="28" t="str">
        <f aca="false">IFERROR(INDEX(Assumptions!$B$30:$B$61,MATCH(C346,Assumptions!$A$30:$A$61,0)),"--")</f>
        <v>Argentina, Portugal</v>
      </c>
      <c r="AG346" s="30" t="str">
        <f aca="false">IF(R346&gt;=0.7,"Step-Up Candidate",IF(R346&gt;=0.4,"Lateral Move","Stay &amp; Develop"))</f>
        <v>Lateral Move</v>
      </c>
    </row>
    <row r="347" customFormat="false" ht="23.85" hidden="false" customHeight="false" outlineLevel="0" collapsed="false">
      <c r="A347" s="21" t="str">
        <f aca="false">'Player Data'!A347</f>
        <v>Oumar Keita</v>
      </c>
      <c r="B347" s="21" t="str">
        <f aca="false">'Player Data'!F347</f>
        <v>DF</v>
      </c>
      <c r="C347" s="21" t="str">
        <f aca="false">'Player Data'!B347</f>
        <v>Mali</v>
      </c>
      <c r="D347" s="21" t="str">
        <f aca="false">'Player Data'!C347</f>
        <v>Mali Second Division</v>
      </c>
      <c r="E347" s="21" t="n">
        <f aca="false">'Player Data'!D347</f>
        <v>2</v>
      </c>
      <c r="F347" s="21" t="n">
        <f aca="false">'Player Data'!G347</f>
        <v>22</v>
      </c>
      <c r="G347" s="21" t="n">
        <f aca="false">'Player Data'!H347</f>
        <v>1792</v>
      </c>
      <c r="H347" s="22" t="n">
        <f aca="false">IF(B347="GK",IFERROR(('Player Data'!N347-1.5*'Player Data'!O347)/'Player Data'!H347*90,0),IFERROR(('Player Data'!I347+'Player Data'!J347)/'Player Data'!H347*90,0))</f>
        <v>0.251116071428571</v>
      </c>
      <c r="I347" s="22" t="n">
        <f aca="false">IF(B347="GK",'Player Data'!P347,IFERROR(('Player Data'!K347+'Player Data'!L347)/'Player Data'!H347*90,0))</f>
        <v>4.62053571428571</v>
      </c>
      <c r="J347" s="22" t="n">
        <f aca="false">IF(B347="GK",IFERROR('Player Data'!Q347/'Player Data'!H347*90,0),IFERROR('Player Data'!M347/'Player Data'!H347*90,0))</f>
        <v>4.921875</v>
      </c>
      <c r="K347" s="23" t="n">
        <f aca="false">'Player Data'!S347</f>
        <v>0</v>
      </c>
      <c r="L347" s="22" t="n">
        <f aca="false">INDEX(Assumptions!$B$13:$B$15,MATCH(E347,Assumptions!$A$13:$A$15,0))</f>
        <v>1</v>
      </c>
      <c r="M347" s="24" t="n">
        <f aca="false">IFERROR(SUMPRODUCT(($B$2:$B$1001=B347)*($H$2:$H$1001&lt;=H347))/SUMPRODUCT(($B$2:$B$1001=B347)*1),0)</f>
        <v>0.659863945578231</v>
      </c>
      <c r="N347" s="24" t="n">
        <f aca="false">IFERROR(SUMPRODUCT(($B$2:$B$1001=B347)*($I$2:$I$1001&lt;=I347))/SUMPRODUCT(($B$2:$B$1001=B347)*1),0)</f>
        <v>0.534013605442177</v>
      </c>
      <c r="O347" s="24" t="n">
        <f aca="false">IFERROR(SUMPRODUCT(($B$2:$B$1001=B347)*($J$2:$J$1001&lt;=J347))/SUMPRODUCT(($B$2:$B$1001=B347)*1),0)</f>
        <v>0.438775510204082</v>
      </c>
      <c r="P347" s="24" t="n">
        <f aca="false">IFERROR(SUMPRODUCT(($B$2:$B$1001=B347)*((0-$F$2:$F$1001)&lt;=(0-F347)))/SUMPRODUCT(($B$2:$B$1001=B347)*1),0)</f>
        <v>0.493197278911565</v>
      </c>
      <c r="Q347" s="25" t="n">
        <f aca="false">(M347*Assumptions!$B$5+N347*Assumptions!$B$6+O347*Assumptions!$B$7+P347*Assumptions!$B$8)*L347</f>
        <v>0.538265306122449</v>
      </c>
      <c r="R347" s="24" t="n">
        <f aca="false">IFERROR(SUMPRODUCT(($B$2:$B$1001=B347)*($Q$2:$Q$1001&lt;=Q347))/SUMPRODUCT(($B$2:$B$1001=B347)*1),0)</f>
        <v>0.67687074829932</v>
      </c>
      <c r="S347" s="24" t="n">
        <f aca="false">IFERROR(SUMPRODUCT(($B$2:$B$1001=B347)*($K$2:$K$1001&lt;=K347))/SUMPRODUCT(($B$2:$B$1001=B347)*1),0)</f>
        <v>0.248299319727891</v>
      </c>
      <c r="T347" s="26" t="n">
        <f aca="false">(R347-S347)*100</f>
        <v>42.8571428571429</v>
      </c>
      <c r="U347" s="21" t="str">
        <f aca="false">'Player Data'!T347</f>
        <v>No</v>
      </c>
      <c r="V347" s="27" t="n">
        <f aca="false">'Player Data'!U347</f>
        <v>2029</v>
      </c>
      <c r="W347" s="21" t="str">
        <f aca="false">IF(AND(T347&gt;=Assumptions!$B$19,U347="No"),"High Priority - Unrepresented",IF(T347&gt;=Assumptions!$B$19,"High Priority",IF(AND(T347&gt;=Assumptions!$B$20,U347="No"),"Watchlist - Unrepresented",IF(T347&gt;=Assumptions!$B$20,"Watchlist",""))))</f>
        <v>High Priority - Unrepresented</v>
      </c>
      <c r="X347" s="21" t="str">
        <f aca="false">'Player Data'!V347</f>
        <v>info@sikassocity.ml</v>
      </c>
      <c r="Y347" s="28" t="str">
        <f aca="false">'Player Data'!W347</f>
        <v>Club sporting director / first-team office</v>
      </c>
      <c r="Z347" s="28" t="str">
        <f aca="false">'Player Data'!X347</f>
        <v>FEMAFOOT (Malian Football Federation) player registry</v>
      </c>
      <c r="AA347" s="19" t="str">
        <f aca="false">HYPERLINK("https://www.transfermarkt.com/schnellsuche/ergebnis/schnellsuche?query="&amp;SUBSTITUTE(A347," ","+"),"Search Transfermarkt")</f>
        <v>Search Transfermarkt</v>
      </c>
      <c r="AB347" s="29" t="n">
        <f aca="false">IFERROR('Player Data'!K347/('Player Data'!K347+'Player Data'!L347),0)</f>
        <v>0.543478260869565</v>
      </c>
      <c r="AC347" s="21" t="str">
        <f aca="false">IF(B347="GK",IF(AND(O347&gt;=Assumptions!$B$23,N347&gt;=Assumptions!$B$23),"Sweeper-Keeper / Build-from-the-Back",IF(O347&gt;=Assumptions!$B$23,"Sweeper-Keeper / High Line",IF(M347&gt;=Assumptions!$B$23,"Shot-Stopper / Traditional","Flexible / Multi-System"))),IF(AND(O347&gt;=Assumptions!$B$23,P347&gt;=Assumptions!$B$24),"High Press / Gegenpressing",IF(AND(N347&gt;=Assumptions!$B$23,AB347&gt;=Assumptions!$B$25),"Possession / Build-from-the-Back",IF(N347&gt;=Assumptions!$B$23,"Counter-Attack / Transition",IF(AND(O347&gt;=Assumptions!$B$23,N347&lt;Assumptions!$B$26),"Low Block / Park the Bus",IF(AND(B347="FW",M347&gt;=Assumptions!$B$23,N347&lt;Assumptions!$B$26),"Direct / Target Approach","Flexible / Multi-System"))))))</f>
        <v>Flexible / Multi-System</v>
      </c>
      <c r="AD347" s="21" t="str">
        <f aca="false">'Player Data'!Y347</f>
        <v>2026-07-17</v>
      </c>
      <c r="AE347" s="21" t="str">
        <f aca="false">'Player Data'!Z347</f>
        <v>2026-07-17</v>
      </c>
      <c r="AF347" s="28" t="str">
        <f aca="false">IFERROR(INDEX(Assumptions!$B$30:$B$61,MATCH(C347,Assumptions!$A$30:$A$61,0)),"--")</f>
        <v>Belgium, Portugal</v>
      </c>
      <c r="AG347" s="30" t="str">
        <f aca="false">IF(R347&gt;=0.7,"Step-Up Candidate",IF(R347&gt;=0.4,"Lateral Move","Stay &amp; Develop"))</f>
        <v>Lateral Move</v>
      </c>
    </row>
    <row r="348" customFormat="false" ht="23.85" hidden="false" customHeight="false" outlineLevel="0" collapsed="false">
      <c r="A348" s="21" t="str">
        <f aca="false">'Player Data'!A348</f>
        <v>Gonzalo Torres</v>
      </c>
      <c r="B348" s="21" t="str">
        <f aca="false">'Player Data'!F348</f>
        <v>FW</v>
      </c>
      <c r="C348" s="21" t="str">
        <f aca="false">'Player Data'!B348</f>
        <v>Bolivia</v>
      </c>
      <c r="D348" s="21" t="str">
        <f aca="false">'Player Data'!C348</f>
        <v>Bolivia Third Tier - South</v>
      </c>
      <c r="E348" s="21" t="n">
        <f aca="false">'Player Data'!D348</f>
        <v>3</v>
      </c>
      <c r="F348" s="21" t="n">
        <f aca="false">'Player Data'!G348</f>
        <v>22</v>
      </c>
      <c r="G348" s="21" t="n">
        <f aca="false">'Player Data'!H348</f>
        <v>2270</v>
      </c>
      <c r="H348" s="22" t="n">
        <f aca="false">IF(B348="GK",IFERROR(('Player Data'!N348-1.5*'Player Data'!O348)/'Player Data'!H348*90,0),IFERROR(('Player Data'!I348+'Player Data'!J348)/'Player Data'!H348*90,0))</f>
        <v>0.79295154185022</v>
      </c>
      <c r="I348" s="22" t="n">
        <f aca="false">IF(B348="GK",'Player Data'!P348,IFERROR(('Player Data'!K348+'Player Data'!L348)/'Player Data'!H348*90,0))</f>
        <v>4.28193832599119</v>
      </c>
      <c r="J348" s="22" t="n">
        <f aca="false">IF(B348="GK",IFERROR('Player Data'!Q348/'Player Data'!H348*90,0),IFERROR('Player Data'!M348/'Player Data'!H348*90,0))</f>
        <v>0.356828193832599</v>
      </c>
      <c r="K348" s="23" t="n">
        <f aca="false">'Player Data'!S348</f>
        <v>121736</v>
      </c>
      <c r="L348" s="22" t="n">
        <f aca="false">INDEX(Assumptions!$B$13:$B$15,MATCH(E348,Assumptions!$A$13:$A$15,0))</f>
        <v>0.85</v>
      </c>
      <c r="M348" s="24" t="n">
        <f aca="false">IFERROR(SUMPRODUCT(($B$2:$B$1001=B348)*($H$2:$H$1001&lt;=H348))/SUMPRODUCT(($B$2:$B$1001=B348)*1),0)</f>
        <v>0.300884955752212</v>
      </c>
      <c r="N348" s="24" t="n">
        <f aca="false">IFERROR(SUMPRODUCT(($B$2:$B$1001=B348)*($I$2:$I$1001&lt;=I348))/SUMPRODUCT(($B$2:$B$1001=B348)*1),0)</f>
        <v>0.0752212389380531</v>
      </c>
      <c r="O348" s="24" t="n">
        <f aca="false">IFERROR(SUMPRODUCT(($B$2:$B$1001=B348)*($J$2:$J$1001&lt;=J348))/SUMPRODUCT(($B$2:$B$1001=B348)*1),0)</f>
        <v>0.265486725663717</v>
      </c>
      <c r="P348" s="24" t="n">
        <f aca="false">IFERROR(SUMPRODUCT(($B$2:$B$1001=B348)*((0-$F$2:$F$1001)&lt;=(0-F348)))/SUMPRODUCT(($B$2:$B$1001=B348)*1),0)</f>
        <v>0.504424778761062</v>
      </c>
      <c r="Q348" s="25" t="n">
        <f aca="false">(M348*Assumptions!$B$5+N348*Assumptions!$B$6+O348*Assumptions!$B$7+P348*Assumptions!$B$8)*L348</f>
        <v>0.217201327433628</v>
      </c>
      <c r="R348" s="24" t="n">
        <f aca="false">IFERROR(SUMPRODUCT(($B$2:$B$1001=B348)*($Q$2:$Q$1001&lt;=Q348))/SUMPRODUCT(($B$2:$B$1001=B348)*1),0)</f>
        <v>0.115044247787611</v>
      </c>
      <c r="S348" s="24" t="n">
        <f aca="false">IFERROR(SUMPRODUCT(($B$2:$B$1001=B348)*($K$2:$K$1001&lt;=K348))/SUMPRODUCT(($B$2:$B$1001=B348)*1),0)</f>
        <v>0.849557522123894</v>
      </c>
      <c r="T348" s="26" t="n">
        <f aca="false">(R348-S348)*100</f>
        <v>-73.4513274336283</v>
      </c>
      <c r="U348" s="21" t="str">
        <f aca="false">'Player Data'!T348</f>
        <v>Unknown</v>
      </c>
      <c r="V348" s="27" t="n">
        <f aca="false">'Player Data'!U348</f>
        <v>2027</v>
      </c>
      <c r="W348" s="21" t="str">
        <f aca="false">IF(AND(T348&gt;=Assumptions!$B$19,U348="No"),"High Priority - Unrepresented",IF(T348&gt;=Assumptions!$B$19,"High Priority",IF(AND(T348&gt;=Assumptions!$B$20,U348="No"),"Watchlist - Unrepresented",IF(T348&gt;=Assumptions!$B$20,"Watchlist",""))))</f>
        <v/>
      </c>
      <c r="X348" s="21" t="str">
        <f aca="false">'Player Data'!V348</f>
        <v>info@sucreunited.bo</v>
      </c>
      <c r="Y348" s="28" t="str">
        <f aca="false">'Player Data'!W348</f>
        <v>Club sporting director / first-team office</v>
      </c>
      <c r="Z348" s="28" t="str">
        <f aca="false">'Player Data'!X348</f>
        <v>FBF (Bolivian Football Federation) player registry</v>
      </c>
      <c r="AA348" s="19" t="str">
        <f aca="false">HYPERLINK("https://www.transfermarkt.com/schnellsuche/ergebnis/schnellsuche?query="&amp;SUBSTITUTE(A348," ","+"),"Search Transfermarkt")</f>
        <v>Search Transfermarkt</v>
      </c>
      <c r="AB348" s="29" t="n">
        <f aca="false">IFERROR('Player Data'!K348/('Player Data'!K348+'Player Data'!L348),0)</f>
        <v>0.333333333333333</v>
      </c>
      <c r="AC348" s="21" t="str">
        <f aca="false">IF(B348="GK",IF(AND(O348&gt;=Assumptions!$B$23,N348&gt;=Assumptions!$B$23),"Sweeper-Keeper / Build-from-the-Back",IF(O348&gt;=Assumptions!$B$23,"Sweeper-Keeper / High Line",IF(M348&gt;=Assumptions!$B$23,"Shot-Stopper / Traditional","Flexible / Multi-System"))),IF(AND(O348&gt;=Assumptions!$B$23,P348&gt;=Assumptions!$B$24),"High Press / Gegenpressing",IF(AND(N348&gt;=Assumptions!$B$23,AB348&gt;=Assumptions!$B$25),"Possession / Build-from-the-Back",IF(N348&gt;=Assumptions!$B$23,"Counter-Attack / Transition",IF(AND(O348&gt;=Assumptions!$B$23,N348&lt;Assumptions!$B$26),"Low Block / Park the Bus",IF(AND(B348="FW",M348&gt;=Assumptions!$B$23,N348&lt;Assumptions!$B$26),"Direct / Target Approach","Flexible / Multi-System"))))))</f>
        <v>Flexible / Multi-System</v>
      </c>
      <c r="AD348" s="21" t="str">
        <f aca="false">'Player Data'!Y348</f>
        <v>2026-07-17</v>
      </c>
      <c r="AE348" s="21" t="str">
        <f aca="false">'Player Data'!Z348</f>
        <v>2026-07-17</v>
      </c>
      <c r="AF348" s="28" t="str">
        <f aca="false">IFERROR(INDEX(Assumptions!$B$30:$B$61,MATCH(C348,Assumptions!$A$30:$A$61,0)),"--")</f>
        <v>Argentina, Portugal</v>
      </c>
      <c r="AG348" s="30" t="str">
        <f aca="false">IF(R348&gt;=0.7,"Step-Up Candidate",IF(R348&gt;=0.4,"Lateral Move","Stay &amp; Develop"))</f>
        <v>Stay &amp; Develop</v>
      </c>
    </row>
    <row r="349" customFormat="false" ht="23.85" hidden="false" customHeight="false" outlineLevel="0" collapsed="false">
      <c r="A349" s="21" t="str">
        <f aca="false">'Player Data'!A349</f>
        <v>Jose Torres</v>
      </c>
      <c r="B349" s="21" t="str">
        <f aca="false">'Player Data'!F349</f>
        <v>GK</v>
      </c>
      <c r="C349" s="21" t="str">
        <f aca="false">'Player Data'!B349</f>
        <v>Panama</v>
      </c>
      <c r="D349" s="21" t="str">
        <f aca="false">'Player Data'!C349</f>
        <v>Panama Third Tier - North</v>
      </c>
      <c r="E349" s="21" t="n">
        <f aca="false">'Player Data'!D349</f>
        <v>4</v>
      </c>
      <c r="F349" s="21" t="n">
        <f aca="false">'Player Data'!G349</f>
        <v>26</v>
      </c>
      <c r="G349" s="21" t="n">
        <f aca="false">'Player Data'!H349</f>
        <v>2603</v>
      </c>
      <c r="H349" s="22" t="n">
        <f aca="false">IF(B349="GK",IFERROR(('Player Data'!N349-1.5*'Player Data'!O349)/'Player Data'!H349*90,0),IFERROR(('Player Data'!I349+'Player Data'!J349)/'Player Data'!H349*90,0))</f>
        <v>2.48943526699962</v>
      </c>
      <c r="I349" s="22" t="n">
        <f aca="false">IF(B349="GK",'Player Data'!P349,IFERROR(('Player Data'!K349+'Player Data'!L349)/'Player Data'!H349*90,0))</f>
        <v>81.3</v>
      </c>
      <c r="J349" s="22" t="n">
        <f aca="false">IF(B349="GK",IFERROR('Player Data'!Q349/'Player Data'!H349*90,0),IFERROR('Player Data'!M349/'Player Data'!H349*90,0))</f>
        <v>1.08221283134844</v>
      </c>
      <c r="K349" s="23" t="n">
        <f aca="false">'Player Data'!S349</f>
        <v>35732</v>
      </c>
      <c r="L349" s="22" t="n">
        <f aca="false">INDEX(Assumptions!$B$13:$B$15,MATCH(E349,Assumptions!$A$13:$A$15,0))</f>
        <v>0.7</v>
      </c>
      <c r="M349" s="24" t="n">
        <f aca="false">IFERROR(SUMPRODUCT(($B$2:$B$1001=B349)*($H$2:$H$1001&lt;=H349))/SUMPRODUCT(($B$2:$B$1001=B349)*1),0)</f>
        <v>0.967213114754098</v>
      </c>
      <c r="N349" s="24" t="n">
        <f aca="false">IFERROR(SUMPRODUCT(($B$2:$B$1001=B349)*($I$2:$I$1001&lt;=I349))/SUMPRODUCT(($B$2:$B$1001=B349)*1),0)</f>
        <v>0.704918032786885</v>
      </c>
      <c r="O349" s="24" t="n">
        <f aca="false">IFERROR(SUMPRODUCT(($B$2:$B$1001=B349)*($J$2:$J$1001&lt;=J349))/SUMPRODUCT(($B$2:$B$1001=B349)*1),0)</f>
        <v>0.655737704918033</v>
      </c>
      <c r="P349" s="24" t="n">
        <f aca="false">IFERROR(SUMPRODUCT(($B$2:$B$1001=B349)*((0-$F$2:$F$1001)&lt;=(0-F349)))/SUMPRODUCT(($B$2:$B$1001=B349)*1),0)</f>
        <v>0.131147540983607</v>
      </c>
      <c r="Q349" s="25" t="n">
        <f aca="false">(M349*Assumptions!$B$5+N349*Assumptions!$B$6+O349*Assumptions!$B$7+P349*Assumptions!$B$8)*L349</f>
        <v>0.452131147540984</v>
      </c>
      <c r="R349" s="24" t="n">
        <f aca="false">IFERROR(SUMPRODUCT(($B$2:$B$1001=B349)*($Q$2:$Q$1001&lt;=Q349))/SUMPRODUCT(($B$2:$B$1001=B349)*1),0)</f>
        <v>0.459016393442623</v>
      </c>
      <c r="S349" s="24" t="n">
        <f aca="false">IFERROR(SUMPRODUCT(($B$2:$B$1001=B349)*($K$2:$K$1001&lt;=K349))/SUMPRODUCT(($B$2:$B$1001=B349)*1),0)</f>
        <v>0.33879781420765</v>
      </c>
      <c r="T349" s="26" t="n">
        <f aca="false">(R349-S349)*100</f>
        <v>12.0218579234973</v>
      </c>
      <c r="U349" s="21" t="str">
        <f aca="false">'Player Data'!T349</f>
        <v>No</v>
      </c>
      <c r="V349" s="27" t="n">
        <f aca="false">'Player Data'!U349</f>
        <v>2028</v>
      </c>
      <c r="W349" s="21" t="str">
        <f aca="false">IF(AND(T349&gt;=Assumptions!$B$19,U349="No"),"High Priority - Unrepresented",IF(T349&gt;=Assumptions!$B$19,"High Priority",IF(AND(T349&gt;=Assumptions!$B$20,U349="No"),"Watchlist - Unrepresented",IF(T349&gt;=Assumptions!$B$20,"Watchlist",""))))</f>
        <v/>
      </c>
      <c r="X349" s="21" t="str">
        <f aca="false">'Player Data'!V349</f>
        <v>info@panamacitytown.pa</v>
      </c>
      <c r="Y349" s="28" t="str">
        <f aca="false">'Player Data'!W349</f>
        <v>Club sporting director / first-team office</v>
      </c>
      <c r="Z349" s="28" t="str">
        <f aca="false">'Player Data'!X349</f>
        <v>FEPAFUT (Panamanian Football Federation) player registry</v>
      </c>
      <c r="AA349" s="19" t="str">
        <f aca="false">HYPERLINK("https://www.transfermarkt.com/schnellsuche/ergebnis/schnellsuche?query="&amp;SUBSTITUTE(A349," ","+"),"Search Transfermarkt")</f>
        <v>Search Transfermarkt</v>
      </c>
      <c r="AB349" s="29" t="n">
        <f aca="false">IFERROR('Player Data'!K349/('Player Data'!K349+'Player Data'!L349),0)</f>
        <v>1</v>
      </c>
      <c r="AC349" s="21" t="str">
        <f aca="false">IF(B349="GK",IF(AND(O349&gt;=Assumptions!$B$23,N349&gt;=Assumptions!$B$23),"Sweeper-Keeper / Build-from-the-Back",IF(O349&gt;=Assumptions!$B$23,"Sweeper-Keeper / High Line",IF(M349&gt;=Assumptions!$B$23,"Shot-Stopper / Traditional","Flexible / Multi-System"))),IF(AND(O349&gt;=Assumptions!$B$23,P349&gt;=Assumptions!$B$24),"High Press / Gegenpressing",IF(AND(N349&gt;=Assumptions!$B$23,AB349&gt;=Assumptions!$B$25),"Possession / Build-from-the-Back",IF(N349&gt;=Assumptions!$B$23,"Counter-Attack / Transition",IF(AND(O349&gt;=Assumptions!$B$23,N349&lt;Assumptions!$B$26),"Low Block / Park the Bus",IF(AND(B349="FW",M349&gt;=Assumptions!$B$23,N349&lt;Assumptions!$B$26),"Direct / Target Approach","Flexible / Multi-System"))))))</f>
        <v>Sweeper-Keeper / Build-from-the-Back</v>
      </c>
      <c r="AD349" s="21" t="str">
        <f aca="false">'Player Data'!Y349</f>
        <v>2026-07-17</v>
      </c>
      <c r="AE349" s="21" t="str">
        <f aca="false">'Player Data'!Z349</f>
        <v>2026-07-17</v>
      </c>
      <c r="AF349" s="28" t="str">
        <f aca="false">IFERROR(INDEX(Assumptions!$B$30:$B$61,MATCH(C349,Assumptions!$A$30:$A$61,0)),"--")</f>
        <v>Mexico, United States</v>
      </c>
      <c r="AG349" s="30" t="str">
        <f aca="false">IF(R349&gt;=0.7,"Step-Up Candidate",IF(R349&gt;=0.4,"Lateral Move","Stay &amp; Develop"))</f>
        <v>Lateral Move</v>
      </c>
    </row>
    <row r="350" customFormat="false" ht="23.85" hidden="false" customHeight="false" outlineLevel="0" collapsed="false">
      <c r="A350" s="21" t="str">
        <f aca="false">'Player Data'!A350</f>
        <v>Filip Mitrovski</v>
      </c>
      <c r="B350" s="21" t="str">
        <f aca="false">'Player Data'!F350</f>
        <v>MF</v>
      </c>
      <c r="C350" s="21" t="str">
        <f aca="false">'Player Data'!B350</f>
        <v>North Macedonia</v>
      </c>
      <c r="D350" s="21" t="str">
        <f aca="false">'Player Data'!C350</f>
        <v>North Macedonia Third Tier - South</v>
      </c>
      <c r="E350" s="21" t="n">
        <f aca="false">'Player Data'!D350</f>
        <v>2</v>
      </c>
      <c r="F350" s="21" t="n">
        <f aca="false">'Player Data'!G350</f>
        <v>18</v>
      </c>
      <c r="G350" s="21" t="n">
        <f aca="false">'Player Data'!H350</f>
        <v>1001</v>
      </c>
      <c r="H350" s="22" t="n">
        <f aca="false">IF(B350="GK",IFERROR(('Player Data'!N350-1.5*'Player Data'!O350)/'Player Data'!H350*90,0),IFERROR(('Player Data'!I350+'Player Data'!J350)/'Player Data'!H350*90,0))</f>
        <v>0.53946053946054</v>
      </c>
      <c r="I350" s="22" t="n">
        <f aca="false">IF(B350="GK",'Player Data'!P350,IFERROR(('Player Data'!K350+'Player Data'!L350)/'Player Data'!H350*90,0))</f>
        <v>22.027972027972</v>
      </c>
      <c r="J350" s="22" t="n">
        <f aca="false">IF(B350="GK",IFERROR('Player Data'!Q350/'Player Data'!H350*90,0),IFERROR('Player Data'!M350/'Player Data'!H350*90,0))</f>
        <v>5.12487512487513</v>
      </c>
      <c r="K350" s="23" t="n">
        <f aca="false">'Player Data'!S350</f>
        <v>137637</v>
      </c>
      <c r="L350" s="22" t="n">
        <f aca="false">INDEX(Assumptions!$B$13:$B$15,MATCH(E350,Assumptions!$A$13:$A$15,0))</f>
        <v>1</v>
      </c>
      <c r="M350" s="24" t="n">
        <f aca="false">IFERROR(SUMPRODUCT(($B$2:$B$1001=B350)*($H$2:$H$1001&lt;=H350))/SUMPRODUCT(($B$2:$B$1001=B350)*1),0)</f>
        <v>0.255892255892256</v>
      </c>
      <c r="N350" s="24" t="n">
        <f aca="false">IFERROR(SUMPRODUCT(($B$2:$B$1001=B350)*($I$2:$I$1001&lt;=I350))/SUMPRODUCT(($B$2:$B$1001=B350)*1),0)</f>
        <v>0.942760942760943</v>
      </c>
      <c r="O350" s="24" t="n">
        <f aca="false">IFERROR(SUMPRODUCT(($B$2:$B$1001=B350)*($J$2:$J$1001&lt;=J350))/SUMPRODUCT(($B$2:$B$1001=B350)*1),0)</f>
        <v>0.98989898989899</v>
      </c>
      <c r="P350" s="24" t="n">
        <f aca="false">IFERROR(SUMPRODUCT(($B$2:$B$1001=B350)*((0-$F$2:$F$1001)&lt;=(0-F350)))/SUMPRODUCT(($B$2:$B$1001=B350)*1),0)</f>
        <v>0.929292929292929</v>
      </c>
      <c r="Q350" s="25" t="n">
        <f aca="false">(M350*Assumptions!$B$5+N350*Assumptions!$B$6+O350*Assumptions!$B$7+P350*Assumptions!$B$8)*L350</f>
        <v>0.777777777777778</v>
      </c>
      <c r="R350" s="24" t="n">
        <f aca="false">IFERROR(SUMPRODUCT(($B$2:$B$1001=B350)*($Q$2:$Q$1001&lt;=Q350))/SUMPRODUCT(($B$2:$B$1001=B350)*1),0)</f>
        <v>0.929292929292929</v>
      </c>
      <c r="S350" s="24" t="n">
        <f aca="false">IFERROR(SUMPRODUCT(($B$2:$B$1001=B350)*($K$2:$K$1001&lt;=K350))/SUMPRODUCT(($B$2:$B$1001=B350)*1),0)</f>
        <v>0.95959595959596</v>
      </c>
      <c r="T350" s="26" t="n">
        <f aca="false">(R350-S350)*100</f>
        <v>-3.03030303030303</v>
      </c>
      <c r="U350" s="21" t="str">
        <f aca="false">'Player Data'!T350</f>
        <v>Yes</v>
      </c>
      <c r="V350" s="27" t="n">
        <f aca="false">'Player Data'!U350</f>
        <v>2029</v>
      </c>
      <c r="W350" s="21" t="str">
        <f aca="false">IF(AND(T350&gt;=Assumptions!$B$19,U350="No"),"High Priority - Unrepresented",IF(T350&gt;=Assumptions!$B$19,"High Priority",IF(AND(T350&gt;=Assumptions!$B$20,U350="No"),"Watchlist - Unrepresented",IF(T350&gt;=Assumptions!$B$20,"Watchlist",""))))</f>
        <v/>
      </c>
      <c r="X350" s="21" t="str">
        <f aca="false">'Player Data'!V350</f>
        <v>info@bitolaunited.mk</v>
      </c>
      <c r="Y350" s="28" t="str">
        <f aca="false">'Player Data'!W350</f>
        <v>Go through the player's agent - ask the club to confirm representation first</v>
      </c>
      <c r="Z350" s="28" t="str">
        <f aca="false">'Player Data'!X350</f>
        <v>FFM (Football Federation of North Macedonia) player registry</v>
      </c>
      <c r="AA350" s="19" t="str">
        <f aca="false">HYPERLINK("https://www.transfermarkt.com/schnellsuche/ergebnis/schnellsuche?query="&amp;SUBSTITUTE(A350," ","+"),"Search Transfermarkt")</f>
        <v>Search Transfermarkt</v>
      </c>
      <c r="AB350" s="29" t="n">
        <f aca="false">IFERROR('Player Data'!K350/('Player Data'!K350+'Player Data'!L350),0)</f>
        <v>0.616326530612245</v>
      </c>
      <c r="AC350" s="21" t="str">
        <f aca="false">IF(B350="GK",IF(AND(O350&gt;=Assumptions!$B$23,N350&gt;=Assumptions!$B$23),"Sweeper-Keeper / Build-from-the-Back",IF(O350&gt;=Assumptions!$B$23,"Sweeper-Keeper / High Line",IF(M350&gt;=Assumptions!$B$23,"Shot-Stopper / Traditional","Flexible / Multi-System"))),IF(AND(O350&gt;=Assumptions!$B$23,P350&gt;=Assumptions!$B$24),"High Press / Gegenpressing",IF(AND(N350&gt;=Assumptions!$B$23,AB350&gt;=Assumptions!$B$25),"Possession / Build-from-the-Back",IF(N350&gt;=Assumptions!$B$23,"Counter-Attack / Transition",IF(AND(O350&gt;=Assumptions!$B$23,N350&lt;Assumptions!$B$26),"Low Block / Park the Bus",IF(AND(B350="FW",M350&gt;=Assumptions!$B$23,N350&lt;Assumptions!$B$26),"Direct / Target Approach","Flexible / Multi-System"))))))</f>
        <v>High Press / Gegenpressing</v>
      </c>
      <c r="AD350" s="21" t="str">
        <f aca="false">'Player Data'!Y350</f>
        <v>2026-07-17</v>
      </c>
      <c r="AE350" s="21" t="str">
        <f aca="false">'Player Data'!Z350</f>
        <v>2026-07-17</v>
      </c>
      <c r="AF350" s="28" t="str">
        <f aca="false">IFERROR(INDEX(Assumptions!$B$30:$B$61,MATCH(C350,Assumptions!$A$30:$A$61,0)),"--")</f>
        <v>Austria, Turkey</v>
      </c>
      <c r="AG350" s="30" t="str">
        <f aca="false">IF(R350&gt;=0.7,"Step-Up Candidate",IF(R350&gt;=0.4,"Lateral Move","Stay &amp; Develop"))</f>
        <v>Step-Up Candidate</v>
      </c>
    </row>
    <row r="351" customFormat="false" ht="23.85" hidden="false" customHeight="false" outlineLevel="0" collapsed="false">
      <c r="A351" s="21" t="str">
        <f aca="false">'Player Data'!A351</f>
        <v>Andre Njie</v>
      </c>
      <c r="B351" s="21" t="str">
        <f aca="false">'Player Data'!F351</f>
        <v>DF</v>
      </c>
      <c r="C351" s="21" t="str">
        <f aca="false">'Player Data'!B351</f>
        <v>Cameroon</v>
      </c>
      <c r="D351" s="21" t="str">
        <f aca="false">'Player Data'!C351</f>
        <v>Cameroon Second Division - West</v>
      </c>
      <c r="E351" s="21" t="n">
        <f aca="false">'Player Data'!D351</f>
        <v>3</v>
      </c>
      <c r="F351" s="21" t="n">
        <f aca="false">'Player Data'!G351</f>
        <v>18</v>
      </c>
      <c r="G351" s="21" t="n">
        <f aca="false">'Player Data'!H351</f>
        <v>2611</v>
      </c>
      <c r="H351" s="22" t="n">
        <f aca="false">IF(B351="GK",IFERROR(('Player Data'!N351-1.5*'Player Data'!O351)/'Player Data'!H351*90,0),IFERROR(('Player Data'!I351+'Player Data'!J351)/'Player Data'!H351*90,0))</f>
        <v>0</v>
      </c>
      <c r="I351" s="22" t="n">
        <f aca="false">IF(B351="GK",'Player Data'!P351,IFERROR(('Player Data'!K351+'Player Data'!L351)/'Player Data'!H351*90,0))</f>
        <v>2.99885101493681</v>
      </c>
      <c r="J351" s="22" t="n">
        <f aca="false">IF(B351="GK",IFERROR('Player Data'!Q351/'Player Data'!H351*90,0),IFERROR('Player Data'!M351/'Player Data'!H351*90,0))</f>
        <v>3.82612026043661</v>
      </c>
      <c r="K351" s="23" t="n">
        <f aca="false">'Player Data'!S351</f>
        <v>38969</v>
      </c>
      <c r="L351" s="22" t="n">
        <f aca="false">INDEX(Assumptions!$B$13:$B$15,MATCH(E351,Assumptions!$A$13:$A$15,0))</f>
        <v>0.85</v>
      </c>
      <c r="M351" s="24" t="n">
        <f aca="false">IFERROR(SUMPRODUCT(($B$2:$B$1001=B351)*($H$2:$H$1001&lt;=H351))/SUMPRODUCT(($B$2:$B$1001=B351)*1),0)</f>
        <v>0.0408163265306122</v>
      </c>
      <c r="N351" s="24" t="n">
        <f aca="false">IFERROR(SUMPRODUCT(($B$2:$B$1001=B351)*($I$2:$I$1001&lt;=I351))/SUMPRODUCT(($B$2:$B$1001=B351)*1),0)</f>
        <v>0.0782312925170068</v>
      </c>
      <c r="O351" s="24" t="n">
        <f aca="false">IFERROR(SUMPRODUCT(($B$2:$B$1001=B351)*($J$2:$J$1001&lt;=J351))/SUMPRODUCT(($B$2:$B$1001=B351)*1),0)</f>
        <v>0.193877551020408</v>
      </c>
      <c r="P351" s="24" t="n">
        <f aca="false">IFERROR(SUMPRODUCT(($B$2:$B$1001=B351)*((0-$F$2:$F$1001)&lt;=(0-F351)))/SUMPRODUCT(($B$2:$B$1001=B351)*1),0)</f>
        <v>0.863945578231293</v>
      </c>
      <c r="Q351" s="25" t="n">
        <f aca="false">(M351*Assumptions!$B$5+N351*Assumptions!$B$6+O351*Assumptions!$B$7+P351*Assumptions!$B$8)*L351</f>
        <v>0.211777210884354</v>
      </c>
      <c r="R351" s="24" t="n">
        <f aca="false">IFERROR(SUMPRODUCT(($B$2:$B$1001=B351)*($Q$2:$Q$1001&lt;=Q351))/SUMPRODUCT(($B$2:$B$1001=B351)*1),0)</f>
        <v>0.0918367346938776</v>
      </c>
      <c r="S351" s="24" t="n">
        <f aca="false">IFERROR(SUMPRODUCT(($B$2:$B$1001=B351)*($K$2:$K$1001&lt;=K351))/SUMPRODUCT(($B$2:$B$1001=B351)*1),0)</f>
        <v>0.384353741496599</v>
      </c>
      <c r="T351" s="26" t="n">
        <f aca="false">(R351-S351)*100</f>
        <v>-29.2517006802721</v>
      </c>
      <c r="U351" s="21" t="str">
        <f aca="false">'Player Data'!T351</f>
        <v>Unknown</v>
      </c>
      <c r="V351" s="27" t="n">
        <f aca="false">'Player Data'!U351</f>
        <v>2029</v>
      </c>
      <c r="W351" s="21" t="str">
        <f aca="false">IF(AND(T351&gt;=Assumptions!$B$19,U351="No"),"High Priority - Unrepresented",IF(T351&gt;=Assumptions!$B$19,"High Priority",IF(AND(T351&gt;=Assumptions!$B$20,U351="No"),"Watchlist - Unrepresented",IF(T351&gt;=Assumptions!$B$20,"Watchlist",""))))</f>
        <v/>
      </c>
      <c r="X351" s="21" t="str">
        <f aca="false">'Player Data'!V351</f>
        <v>info@doualaunited.cm</v>
      </c>
      <c r="Y351" s="28" t="str">
        <f aca="false">'Player Data'!W351</f>
        <v>Club sporting director / first-team office</v>
      </c>
      <c r="Z351" s="28" t="str">
        <f aca="false">'Player Data'!X351</f>
        <v>FECAFOOT (Cameroonian Football Federation) player registry</v>
      </c>
      <c r="AA351" s="19" t="str">
        <f aca="false">HYPERLINK("https://www.transfermarkt.com/schnellsuche/ergebnis/schnellsuche?query="&amp;SUBSTITUTE(A351," ","+"),"Search Transfermarkt")</f>
        <v>Search Transfermarkt</v>
      </c>
      <c r="AB351" s="29" t="n">
        <f aca="false">IFERROR('Player Data'!K351/('Player Data'!K351+'Player Data'!L351),0)</f>
        <v>0.471264367816092</v>
      </c>
      <c r="AC351" s="21" t="str">
        <f aca="false">IF(B351="GK",IF(AND(O351&gt;=Assumptions!$B$23,N351&gt;=Assumptions!$B$23),"Sweeper-Keeper / Build-from-the-Back",IF(O351&gt;=Assumptions!$B$23,"Sweeper-Keeper / High Line",IF(M351&gt;=Assumptions!$B$23,"Shot-Stopper / Traditional","Flexible / Multi-System"))),IF(AND(O351&gt;=Assumptions!$B$23,P351&gt;=Assumptions!$B$24),"High Press / Gegenpressing",IF(AND(N351&gt;=Assumptions!$B$23,AB351&gt;=Assumptions!$B$25),"Possession / Build-from-the-Back",IF(N351&gt;=Assumptions!$B$23,"Counter-Attack / Transition",IF(AND(O351&gt;=Assumptions!$B$23,N351&lt;Assumptions!$B$26),"Low Block / Park the Bus",IF(AND(B351="FW",M351&gt;=Assumptions!$B$23,N351&lt;Assumptions!$B$26),"Direct / Target Approach","Flexible / Multi-System"))))))</f>
        <v>Flexible / Multi-System</v>
      </c>
      <c r="AD351" s="21" t="str">
        <f aca="false">'Player Data'!Y351</f>
        <v>2026-07-17</v>
      </c>
      <c r="AE351" s="21" t="str">
        <f aca="false">'Player Data'!Z351</f>
        <v>2026-07-17</v>
      </c>
      <c r="AF351" s="28" t="str">
        <f aca="false">IFERROR(INDEX(Assumptions!$B$30:$B$61,MATCH(C351,Assumptions!$A$30:$A$61,0)),"--")</f>
        <v>Belgium, Portugal</v>
      </c>
      <c r="AG351" s="30" t="str">
        <f aca="false">IF(R351&gt;=0.7,"Step-Up Candidate",IF(R351&gt;=0.4,"Lateral Move","Stay &amp; Develop"))</f>
        <v>Stay &amp; Develop</v>
      </c>
    </row>
    <row r="352" customFormat="false" ht="23.85" hidden="false" customHeight="false" outlineLevel="0" collapsed="false">
      <c r="A352" s="21" t="str">
        <f aca="false">'Player Data'!A352</f>
        <v>Domagoj Kovac</v>
      </c>
      <c r="B352" s="21" t="str">
        <f aca="false">'Player Data'!F352</f>
        <v>DF</v>
      </c>
      <c r="C352" s="21" t="str">
        <f aca="false">'Player Data'!B352</f>
        <v>Croatia</v>
      </c>
      <c r="D352" s="21" t="str">
        <f aca="false">'Player Data'!C352</f>
        <v>Croatia Amateur League</v>
      </c>
      <c r="E352" s="21" t="n">
        <f aca="false">'Player Data'!D352</f>
        <v>3</v>
      </c>
      <c r="F352" s="21" t="n">
        <f aca="false">'Player Data'!G352</f>
        <v>23</v>
      </c>
      <c r="G352" s="21" t="n">
        <f aca="false">'Player Data'!H352</f>
        <v>2577</v>
      </c>
      <c r="H352" s="22" t="n">
        <f aca="false">IF(B352="GK",IFERROR(('Player Data'!N352-1.5*'Player Data'!O352)/'Player Data'!H352*90,0),IFERROR(('Player Data'!I352+'Player Data'!J352)/'Player Data'!H352*90,0))</f>
        <v>0.139697322467986</v>
      </c>
      <c r="I352" s="22" t="n">
        <f aca="false">IF(B352="GK",'Player Data'!P352,IFERROR(('Player Data'!K352+'Player Data'!L352)/'Player Data'!H352*90,0))</f>
        <v>3.31781140861467</v>
      </c>
      <c r="J352" s="22" t="n">
        <f aca="false">IF(B352="GK",IFERROR('Player Data'!Q352/'Player Data'!H352*90,0),IFERROR('Player Data'!M352/'Player Data'!H352*90,0))</f>
        <v>3.35273573923167</v>
      </c>
      <c r="K352" s="23" t="n">
        <f aca="false">'Player Data'!S352</f>
        <v>112684</v>
      </c>
      <c r="L352" s="22" t="n">
        <f aca="false">INDEX(Assumptions!$B$13:$B$15,MATCH(E352,Assumptions!$A$13:$A$15,0))</f>
        <v>0.85</v>
      </c>
      <c r="M352" s="24" t="n">
        <f aca="false">IFERROR(SUMPRODUCT(($B$2:$B$1001=B352)*($H$2:$H$1001&lt;=H352))/SUMPRODUCT(($B$2:$B$1001=B352)*1),0)</f>
        <v>0.333333333333333</v>
      </c>
      <c r="N352" s="24" t="n">
        <f aca="false">IFERROR(SUMPRODUCT(($B$2:$B$1001=B352)*($I$2:$I$1001&lt;=I352))/SUMPRODUCT(($B$2:$B$1001=B352)*1),0)</f>
        <v>0.183673469387755</v>
      </c>
      <c r="O352" s="24" t="n">
        <f aca="false">IFERROR(SUMPRODUCT(($B$2:$B$1001=B352)*($J$2:$J$1001&lt;=J352))/SUMPRODUCT(($B$2:$B$1001=B352)*1),0)</f>
        <v>0.0612244897959184</v>
      </c>
      <c r="P352" s="24" t="n">
        <f aca="false">IFERROR(SUMPRODUCT(($B$2:$B$1001=B352)*((0-$F$2:$F$1001)&lt;=(0-F352)))/SUMPRODUCT(($B$2:$B$1001=B352)*1),0)</f>
        <v>0.374149659863946</v>
      </c>
      <c r="Q352" s="25" t="n">
        <f aca="false">(M352*Assumptions!$B$5+N352*Assumptions!$B$6+O352*Assumptions!$B$7+P352*Assumptions!$B$8)*L352</f>
        <v>0.199489795918367</v>
      </c>
      <c r="R352" s="24" t="n">
        <f aca="false">IFERROR(SUMPRODUCT(($B$2:$B$1001=B352)*($Q$2:$Q$1001&lt;=Q352))/SUMPRODUCT(($B$2:$B$1001=B352)*1),0)</f>
        <v>0.0748299319727891</v>
      </c>
      <c r="S352" s="24" t="n">
        <f aca="false">IFERROR(SUMPRODUCT(($B$2:$B$1001=B352)*($K$2:$K$1001&lt;=K352))/SUMPRODUCT(($B$2:$B$1001=B352)*1),0)</f>
        <v>0.812925170068027</v>
      </c>
      <c r="T352" s="26" t="n">
        <f aca="false">(R352-S352)*100</f>
        <v>-73.8095238095238</v>
      </c>
      <c r="U352" s="21" t="str">
        <f aca="false">'Player Data'!T352</f>
        <v>Yes</v>
      </c>
      <c r="V352" s="27" t="n">
        <f aca="false">'Player Data'!U352</f>
        <v>2026</v>
      </c>
      <c r="W352" s="21" t="str">
        <f aca="false">IF(AND(T352&gt;=Assumptions!$B$19,U352="No"),"High Priority - Unrepresented",IF(T352&gt;=Assumptions!$B$19,"High Priority",IF(AND(T352&gt;=Assumptions!$B$20,U352="No"),"Watchlist - Unrepresented",IF(T352&gt;=Assumptions!$B$20,"Watchlist",""))))</f>
        <v/>
      </c>
      <c r="X352" s="21" t="str">
        <f aca="false">'Player Data'!V352</f>
        <v>info@osijekfc.hr</v>
      </c>
      <c r="Y352" s="28" t="str">
        <f aca="false">'Player Data'!W352</f>
        <v>Go through the player's agent - ask the club to confirm representation first</v>
      </c>
      <c r="Z352" s="28" t="str">
        <f aca="false">'Player Data'!X352</f>
        <v>HNS (Croatian Football Federation) player registry</v>
      </c>
      <c r="AA352" s="19" t="str">
        <f aca="false">HYPERLINK("https://www.transfermarkt.com/schnellsuche/ergebnis/schnellsuche?query="&amp;SUBSTITUTE(A352," ","+"),"Search Transfermarkt")</f>
        <v>Search Transfermarkt</v>
      </c>
      <c r="AB352" s="29" t="n">
        <f aca="false">IFERROR('Player Data'!K352/('Player Data'!K352+'Player Data'!L352),0)</f>
        <v>0.494736842105263</v>
      </c>
      <c r="AC352" s="21" t="str">
        <f aca="false">IF(B352="GK",IF(AND(O352&gt;=Assumptions!$B$23,N352&gt;=Assumptions!$B$23),"Sweeper-Keeper / Build-from-the-Back",IF(O352&gt;=Assumptions!$B$23,"Sweeper-Keeper / High Line",IF(M352&gt;=Assumptions!$B$23,"Shot-Stopper / Traditional","Flexible / Multi-System"))),IF(AND(O352&gt;=Assumptions!$B$23,P352&gt;=Assumptions!$B$24),"High Press / Gegenpressing",IF(AND(N352&gt;=Assumptions!$B$23,AB352&gt;=Assumptions!$B$25),"Possession / Build-from-the-Back",IF(N352&gt;=Assumptions!$B$23,"Counter-Attack / Transition",IF(AND(O352&gt;=Assumptions!$B$23,N352&lt;Assumptions!$B$26),"Low Block / Park the Bus",IF(AND(B352="FW",M352&gt;=Assumptions!$B$23,N352&lt;Assumptions!$B$26),"Direct / Target Approach","Flexible / Multi-System"))))))</f>
        <v>Flexible / Multi-System</v>
      </c>
      <c r="AD352" s="21" t="str">
        <f aca="false">'Player Data'!Y352</f>
        <v>2026-07-17</v>
      </c>
      <c r="AE352" s="21" t="str">
        <f aca="false">'Player Data'!Z352</f>
        <v>2026-07-17</v>
      </c>
      <c r="AF352" s="28" t="str">
        <f aca="false">IFERROR(INDEX(Assumptions!$B$30:$B$61,MATCH(C352,Assumptions!$A$30:$A$61,0)),"--")</f>
        <v>Austria, Turkey</v>
      </c>
      <c r="AG352" s="30" t="str">
        <f aca="false">IF(R352&gt;=0.7,"Step-Up Candidate",IF(R352&gt;=0.4,"Lateral Move","Stay &amp; Develop"))</f>
        <v>Stay &amp; Develop</v>
      </c>
    </row>
    <row r="353" customFormat="false" ht="23.85" hidden="false" customHeight="false" outlineLevel="0" collapsed="false">
      <c r="A353" s="21" t="str">
        <f aca="false">'Player Data'!A353</f>
        <v>Kevin Suarez</v>
      </c>
      <c r="B353" s="21" t="str">
        <f aca="false">'Player Data'!F353</f>
        <v>GK</v>
      </c>
      <c r="C353" s="21" t="str">
        <f aca="false">'Player Data'!B353</f>
        <v>Ecuador</v>
      </c>
      <c r="D353" s="21" t="str">
        <f aca="false">'Player Data'!C353</f>
        <v>Ecuador Third Tier - North</v>
      </c>
      <c r="E353" s="21" t="n">
        <f aca="false">'Player Data'!D353</f>
        <v>3</v>
      </c>
      <c r="F353" s="21" t="n">
        <f aca="false">'Player Data'!G353</f>
        <v>17</v>
      </c>
      <c r="G353" s="21" t="n">
        <f aca="false">'Player Data'!H353</f>
        <v>1039</v>
      </c>
      <c r="H353" s="22" t="n">
        <f aca="false">IF(B353="GK",IFERROR(('Player Data'!N353-1.5*'Player Data'!O353)/'Player Data'!H353*90,0),IFERROR(('Player Data'!I353+'Player Data'!J353)/'Player Data'!H353*90,0))</f>
        <v>0.476419634263715</v>
      </c>
      <c r="I353" s="22" t="n">
        <f aca="false">IF(B353="GK",'Player Data'!P353,IFERROR(('Player Data'!K353+'Player Data'!L353)/'Player Data'!H353*90,0))</f>
        <v>66</v>
      </c>
      <c r="J353" s="22" t="n">
        <f aca="false">IF(B353="GK",IFERROR('Player Data'!Q353/'Player Data'!H353*90,0),IFERROR('Player Data'!M353/'Player Data'!H353*90,0))</f>
        <v>1.04812319538017</v>
      </c>
      <c r="K353" s="23" t="n">
        <f aca="false">'Player Data'!S353</f>
        <v>38498</v>
      </c>
      <c r="L353" s="22" t="n">
        <f aca="false">INDEX(Assumptions!$B$13:$B$15,MATCH(E353,Assumptions!$A$13:$A$15,0))</f>
        <v>0.85</v>
      </c>
      <c r="M353" s="24" t="n">
        <f aca="false">IFERROR(SUMPRODUCT(($B$2:$B$1001=B353)*($H$2:$H$1001&lt;=H353))/SUMPRODUCT(($B$2:$B$1001=B353)*1),0)</f>
        <v>0.273224043715847</v>
      </c>
      <c r="N353" s="24" t="n">
        <f aca="false">IFERROR(SUMPRODUCT(($B$2:$B$1001=B353)*($I$2:$I$1001&lt;=I353))/SUMPRODUCT(($B$2:$B$1001=B353)*1),0)</f>
        <v>0.306010928961749</v>
      </c>
      <c r="O353" s="24" t="n">
        <f aca="false">IFERROR(SUMPRODUCT(($B$2:$B$1001=B353)*($J$2:$J$1001&lt;=J353))/SUMPRODUCT(($B$2:$B$1001=B353)*1),0)</f>
        <v>0.628415300546448</v>
      </c>
      <c r="P353" s="24" t="n">
        <f aca="false">IFERROR(SUMPRODUCT(($B$2:$B$1001=B353)*((0-$F$2:$F$1001)&lt;=(0-F353)))/SUMPRODUCT(($B$2:$B$1001=B353)*1),0)</f>
        <v>1</v>
      </c>
      <c r="Q353" s="25" t="n">
        <f aca="false">(M353*Assumptions!$B$5+N353*Assumptions!$B$6+O353*Assumptions!$B$7+P353*Assumptions!$B$8)*L353</f>
        <v>0.425928961748634</v>
      </c>
      <c r="R353" s="24" t="n">
        <f aca="false">IFERROR(SUMPRODUCT(($B$2:$B$1001=B353)*($Q$2:$Q$1001&lt;=Q353))/SUMPRODUCT(($B$2:$B$1001=B353)*1),0)</f>
        <v>0.420765027322404</v>
      </c>
      <c r="S353" s="24" t="n">
        <f aca="false">IFERROR(SUMPRODUCT(($B$2:$B$1001=B353)*($K$2:$K$1001&lt;=K353))/SUMPRODUCT(($B$2:$B$1001=B353)*1),0)</f>
        <v>0.349726775956284</v>
      </c>
      <c r="T353" s="26" t="n">
        <f aca="false">(R353-S353)*100</f>
        <v>7.10382513661202</v>
      </c>
      <c r="U353" s="21" t="str">
        <f aca="false">'Player Data'!T353</f>
        <v>No</v>
      </c>
      <c r="V353" s="27" t="n">
        <f aca="false">'Player Data'!U353</f>
        <v>2029</v>
      </c>
      <c r="W353" s="21" t="str">
        <f aca="false">IF(AND(T353&gt;=Assumptions!$B$19,U353="No"),"High Priority - Unrepresented",IF(T353&gt;=Assumptions!$B$19,"High Priority",IF(AND(T353&gt;=Assumptions!$B$20,U353="No"),"Watchlist - Unrepresented",IF(T353&gt;=Assumptions!$B$20,"Watchlist",""))))</f>
        <v/>
      </c>
      <c r="X353" s="21" t="str">
        <f aca="false">'Player Data'!V353</f>
        <v>info@mantawanderers.ec</v>
      </c>
      <c r="Y353" s="28" t="str">
        <f aca="false">'Player Data'!W353</f>
        <v>Club youth/academy office ONLY - player is a minor, do not contact directly</v>
      </c>
      <c r="Z353" s="28" t="str">
        <f aca="false">'Player Data'!X353</f>
        <v>FEF (Ecuadorian Football Federation) player registry</v>
      </c>
      <c r="AA353" s="19" t="str">
        <f aca="false">HYPERLINK("https://www.transfermarkt.com/schnellsuche/ergebnis/schnellsuche?query="&amp;SUBSTITUTE(A353," ","+"),"Search Transfermarkt")</f>
        <v>Search Transfermarkt</v>
      </c>
      <c r="AB353" s="29" t="n">
        <f aca="false">IFERROR('Player Data'!K353/('Player Data'!K353+'Player Data'!L353),0)</f>
        <v>1</v>
      </c>
      <c r="AC353" s="21" t="str">
        <f aca="false">IF(B353="GK",IF(AND(O353&gt;=Assumptions!$B$23,N353&gt;=Assumptions!$B$23),"Sweeper-Keeper / Build-from-the-Back",IF(O353&gt;=Assumptions!$B$23,"Sweeper-Keeper / High Line",IF(M353&gt;=Assumptions!$B$23,"Shot-Stopper / Traditional","Flexible / Multi-System"))),IF(AND(O353&gt;=Assumptions!$B$23,P353&gt;=Assumptions!$B$24),"High Press / Gegenpressing",IF(AND(N353&gt;=Assumptions!$B$23,AB353&gt;=Assumptions!$B$25),"Possession / Build-from-the-Back",IF(N353&gt;=Assumptions!$B$23,"Counter-Attack / Transition",IF(AND(O353&gt;=Assumptions!$B$23,N353&lt;Assumptions!$B$26),"Low Block / Park the Bus",IF(AND(B353="FW",M353&gt;=Assumptions!$B$23,N353&lt;Assumptions!$B$26),"Direct / Target Approach","Flexible / Multi-System"))))))</f>
        <v>Flexible / Multi-System</v>
      </c>
      <c r="AD353" s="21" t="str">
        <f aca="false">'Player Data'!Y353</f>
        <v>2026-07-17</v>
      </c>
      <c r="AE353" s="21" t="str">
        <f aca="false">'Player Data'!Z353</f>
        <v>2026-07-17</v>
      </c>
      <c r="AF353" s="28" t="str">
        <f aca="false">IFERROR(INDEX(Assumptions!$B$30:$B$61,MATCH(C353,Assumptions!$A$30:$A$61,0)),"--")</f>
        <v>Argentina, Portugal</v>
      </c>
      <c r="AG353" s="30" t="str">
        <f aca="false">IF(R353&gt;=0.7,"Step-Up Candidate",IF(R353&gt;=0.4,"Lateral Move","Stay &amp; Develop"))</f>
        <v>Lateral Move</v>
      </c>
    </row>
    <row r="354" customFormat="false" ht="23.85" hidden="false" customHeight="false" outlineLevel="0" collapsed="false">
      <c r="A354" s="21" t="str">
        <f aca="false">'Player Data'!A354</f>
        <v>Modibo Sidibe</v>
      </c>
      <c r="B354" s="21" t="str">
        <f aca="false">'Player Data'!F354</f>
        <v>MF</v>
      </c>
      <c r="C354" s="21" t="str">
        <f aca="false">'Player Data'!B354</f>
        <v>Mali</v>
      </c>
      <c r="D354" s="21" t="str">
        <f aca="false">'Player Data'!C354</f>
        <v>Mali Second Division - West</v>
      </c>
      <c r="E354" s="21" t="n">
        <f aca="false">'Player Data'!D354</f>
        <v>3</v>
      </c>
      <c r="F354" s="21" t="n">
        <f aca="false">'Player Data'!G354</f>
        <v>25</v>
      </c>
      <c r="G354" s="21" t="n">
        <f aca="false">'Player Data'!H354</f>
        <v>1125</v>
      </c>
      <c r="H354" s="22" t="n">
        <f aca="false">IF(B354="GK",IFERROR(('Player Data'!N354-1.5*'Player Data'!O354)/'Player Data'!H354*90,0),IFERROR(('Player Data'!I354+'Player Data'!J354)/'Player Data'!H354*90,0))</f>
        <v>0.48</v>
      </c>
      <c r="I354" s="22" t="n">
        <f aca="false">IF(B354="GK",'Player Data'!P354,IFERROR(('Player Data'!K354+'Player Data'!L354)/'Player Data'!H354*90,0))</f>
        <v>15.68</v>
      </c>
      <c r="J354" s="22" t="n">
        <f aca="false">IF(B354="GK",IFERROR('Player Data'!Q354/'Player Data'!H354*90,0),IFERROR('Player Data'!M354/'Player Data'!H354*90,0))</f>
        <v>2.72</v>
      </c>
      <c r="K354" s="23" t="n">
        <f aca="false">'Player Data'!S354</f>
        <v>0</v>
      </c>
      <c r="L354" s="22" t="n">
        <f aca="false">INDEX(Assumptions!$B$13:$B$15,MATCH(E354,Assumptions!$A$13:$A$15,0))</f>
        <v>0.85</v>
      </c>
      <c r="M354" s="24" t="n">
        <f aca="false">IFERROR(SUMPRODUCT(($B$2:$B$1001=B354)*($H$2:$H$1001&lt;=H354))/SUMPRODUCT(($B$2:$B$1001=B354)*1),0)</f>
        <v>0.198653198653199</v>
      </c>
      <c r="N354" s="24" t="n">
        <f aca="false">IFERROR(SUMPRODUCT(($B$2:$B$1001=B354)*($I$2:$I$1001&lt;=I354))/SUMPRODUCT(($B$2:$B$1001=B354)*1),0)</f>
        <v>0.774410774410774</v>
      </c>
      <c r="O354" s="24" t="n">
        <f aca="false">IFERROR(SUMPRODUCT(($B$2:$B$1001=B354)*($J$2:$J$1001&lt;=J354))/SUMPRODUCT(($B$2:$B$1001=B354)*1),0)</f>
        <v>0.71043771043771</v>
      </c>
      <c r="P354" s="24" t="n">
        <f aca="false">IFERROR(SUMPRODUCT(($B$2:$B$1001=B354)*((0-$F$2:$F$1001)&lt;=(0-F354)))/SUMPRODUCT(($B$2:$B$1001=B354)*1),0)</f>
        <v>0.202020202020202</v>
      </c>
      <c r="Q354" s="25" t="n">
        <f aca="false">(M354*Assumptions!$B$5+N354*Assumptions!$B$6+O354*Assumptions!$B$7+P354*Assumptions!$B$8)*L354</f>
        <v>0.427718855218855</v>
      </c>
      <c r="R354" s="24" t="n">
        <f aca="false">IFERROR(SUMPRODUCT(($B$2:$B$1001=B354)*($Q$2:$Q$1001&lt;=Q354))/SUMPRODUCT(($B$2:$B$1001=B354)*1),0)</f>
        <v>0.481481481481481</v>
      </c>
      <c r="S354" s="24" t="n">
        <f aca="false">IFERROR(SUMPRODUCT(($B$2:$B$1001=B354)*($K$2:$K$1001&lt;=K354))/SUMPRODUCT(($B$2:$B$1001=B354)*1),0)</f>
        <v>0.228956228956229</v>
      </c>
      <c r="T354" s="26" t="n">
        <f aca="false">(R354-S354)*100</f>
        <v>25.2525252525253</v>
      </c>
      <c r="U354" s="21" t="str">
        <f aca="false">'Player Data'!T354</f>
        <v>Unknown</v>
      </c>
      <c r="V354" s="27" t="n">
        <f aca="false">'Player Data'!U354</f>
        <v>2026</v>
      </c>
      <c r="W354" s="21" t="str">
        <f aca="false">IF(AND(T354&gt;=Assumptions!$B$19,U354="No"),"High Priority - Unrepresented",IF(T354&gt;=Assumptions!$B$19,"High Priority",IF(AND(T354&gt;=Assumptions!$B$20,U354="No"),"Watchlist - Unrepresented",IF(T354&gt;=Assumptions!$B$20,"Watchlist",""))))</f>
        <v>Watchlist</v>
      </c>
      <c r="X354" s="21" t="str">
        <f aca="false">'Player Data'!V354</f>
        <v>info@moptisc.ml</v>
      </c>
      <c r="Y354" s="28" t="str">
        <f aca="false">'Player Data'!W354</f>
        <v>Club sporting director / first-team office</v>
      </c>
      <c r="Z354" s="28" t="str">
        <f aca="false">'Player Data'!X354</f>
        <v>FEMAFOOT (Malian Football Federation) player registry</v>
      </c>
      <c r="AA354" s="19" t="str">
        <f aca="false">HYPERLINK("https://www.transfermarkt.com/schnellsuche/ergebnis/schnellsuche?query="&amp;SUBSTITUTE(A354," ","+"),"Search Transfermarkt")</f>
        <v>Search Transfermarkt</v>
      </c>
      <c r="AB354" s="29" t="n">
        <f aca="false">IFERROR('Player Data'!K354/('Player Data'!K354+'Player Data'!L354),0)</f>
        <v>0.642857142857143</v>
      </c>
      <c r="AC354" s="21" t="str">
        <f aca="false">IF(B354="GK",IF(AND(O354&gt;=Assumptions!$B$23,N354&gt;=Assumptions!$B$23),"Sweeper-Keeper / Build-from-the-Back",IF(O354&gt;=Assumptions!$B$23,"Sweeper-Keeper / High Line",IF(M354&gt;=Assumptions!$B$23,"Shot-Stopper / Traditional","Flexible / Multi-System"))),IF(AND(O354&gt;=Assumptions!$B$23,P354&gt;=Assumptions!$B$24),"High Press / Gegenpressing",IF(AND(N354&gt;=Assumptions!$B$23,AB354&gt;=Assumptions!$B$25),"Possession / Build-from-the-Back",IF(N354&gt;=Assumptions!$B$23,"Counter-Attack / Transition",IF(AND(O354&gt;=Assumptions!$B$23,N354&lt;Assumptions!$B$26),"Low Block / Park the Bus",IF(AND(B354="FW",M354&gt;=Assumptions!$B$23,N354&lt;Assumptions!$B$26),"Direct / Target Approach","Flexible / Multi-System"))))))</f>
        <v>Possession / Build-from-the-Back</v>
      </c>
      <c r="AD354" s="21" t="str">
        <f aca="false">'Player Data'!Y354</f>
        <v>2026-07-17</v>
      </c>
      <c r="AE354" s="21" t="str">
        <f aca="false">'Player Data'!Z354</f>
        <v>2026-07-17</v>
      </c>
      <c r="AF354" s="28" t="str">
        <f aca="false">IFERROR(INDEX(Assumptions!$B$30:$B$61,MATCH(C354,Assumptions!$A$30:$A$61,0)),"--")</f>
        <v>Belgium, Portugal</v>
      </c>
      <c r="AG354" s="30" t="str">
        <f aca="false">IF(R354&gt;=0.7,"Step-Up Candidate",IF(R354&gt;=0.4,"Lateral Move","Stay &amp; Develop"))</f>
        <v>Lateral Move</v>
      </c>
    </row>
    <row r="355" customFormat="false" ht="23.85" hidden="false" customHeight="false" outlineLevel="0" collapsed="false">
      <c r="A355" s="21" t="str">
        <f aca="false">'Player Data'!A355</f>
        <v>Federico Acosta</v>
      </c>
      <c r="B355" s="21" t="str">
        <f aca="false">'Player Data'!F355</f>
        <v>DF</v>
      </c>
      <c r="C355" s="21" t="str">
        <f aca="false">'Player Data'!B355</f>
        <v>Uruguay</v>
      </c>
      <c r="D355" s="21" t="str">
        <f aca="false">'Player Data'!C355</f>
        <v>Uruguay Amateur League</v>
      </c>
      <c r="E355" s="21" t="n">
        <f aca="false">'Player Data'!D355</f>
        <v>2</v>
      </c>
      <c r="F355" s="21" t="n">
        <f aca="false">'Player Data'!G355</f>
        <v>25</v>
      </c>
      <c r="G355" s="21" t="n">
        <f aca="false">'Player Data'!H355</f>
        <v>2140</v>
      </c>
      <c r="H355" s="22" t="n">
        <f aca="false">IF(B355="GK",IFERROR(('Player Data'!N355-1.5*'Player Data'!O355)/'Player Data'!H355*90,0),IFERROR(('Player Data'!I355+'Player Data'!J355)/'Player Data'!H355*90,0))</f>
        <v>0.168224299065421</v>
      </c>
      <c r="I355" s="22" t="n">
        <f aca="false">IF(B355="GK",'Player Data'!P355,IFERROR(('Player Data'!K355+'Player Data'!L355)/'Player Data'!H355*90,0))</f>
        <v>3.74299065420561</v>
      </c>
      <c r="J355" s="22" t="n">
        <f aca="false">IF(B355="GK",IFERROR('Player Data'!Q355/'Player Data'!H355*90,0),IFERROR('Player Data'!M355/'Player Data'!H355*90,0))</f>
        <v>4.45794392523365</v>
      </c>
      <c r="K355" s="23" t="n">
        <f aca="false">'Player Data'!S355</f>
        <v>20312</v>
      </c>
      <c r="L355" s="22" t="n">
        <f aca="false">INDEX(Assumptions!$B$13:$B$15,MATCH(E355,Assumptions!$A$13:$A$15,0))</f>
        <v>1</v>
      </c>
      <c r="M355" s="24" t="n">
        <f aca="false">IFERROR(SUMPRODUCT(($B$2:$B$1001=B355)*($H$2:$H$1001&lt;=H355))/SUMPRODUCT(($B$2:$B$1001=B355)*1),0)</f>
        <v>0.425170068027211</v>
      </c>
      <c r="N355" s="24" t="n">
        <f aca="false">IFERROR(SUMPRODUCT(($B$2:$B$1001=B355)*($I$2:$I$1001&lt;=I355))/SUMPRODUCT(($B$2:$B$1001=B355)*1),0)</f>
        <v>0.333333333333333</v>
      </c>
      <c r="O355" s="24" t="n">
        <f aca="false">IFERROR(SUMPRODUCT(($B$2:$B$1001=B355)*($J$2:$J$1001&lt;=J355))/SUMPRODUCT(($B$2:$B$1001=B355)*1),0)</f>
        <v>0.346938775510204</v>
      </c>
      <c r="P355" s="24" t="n">
        <f aca="false">IFERROR(SUMPRODUCT(($B$2:$B$1001=B355)*((0-$F$2:$F$1001)&lt;=(0-F355)))/SUMPRODUCT(($B$2:$B$1001=B355)*1),0)</f>
        <v>0.146258503401361</v>
      </c>
      <c r="Q355" s="25" t="n">
        <f aca="false">(M355*Assumptions!$B$5+N355*Assumptions!$B$6+O355*Assumptions!$B$7+P355*Assumptions!$B$8)*L355</f>
        <v>0.321598639455782</v>
      </c>
      <c r="R355" s="24" t="n">
        <f aca="false">IFERROR(SUMPRODUCT(($B$2:$B$1001=B355)*($Q$2:$Q$1001&lt;=Q355))/SUMPRODUCT(($B$2:$B$1001=B355)*1),0)</f>
        <v>0.295918367346939</v>
      </c>
      <c r="S355" s="24" t="n">
        <f aca="false">IFERROR(SUMPRODUCT(($B$2:$B$1001=B355)*($K$2:$K$1001&lt;=K355))/SUMPRODUCT(($B$2:$B$1001=B355)*1),0)</f>
        <v>0.306122448979592</v>
      </c>
      <c r="T355" s="26" t="n">
        <f aca="false">(R355-S355)*100</f>
        <v>-1.02040816326531</v>
      </c>
      <c r="U355" s="21" t="str">
        <f aca="false">'Player Data'!T355</f>
        <v>Unknown</v>
      </c>
      <c r="V355" s="27" t="n">
        <f aca="false">'Player Data'!U355</f>
        <v>2026</v>
      </c>
      <c r="W355" s="21" t="str">
        <f aca="false">IF(AND(T355&gt;=Assumptions!$B$19,U355="No"),"High Priority - Unrepresented",IF(T355&gt;=Assumptions!$B$19,"High Priority",IF(AND(T355&gt;=Assumptions!$B$20,U355="No"),"Watchlist - Unrepresented",IF(T355&gt;=Assumptions!$B$20,"Watchlist",""))))</f>
        <v/>
      </c>
      <c r="X355" s="21" t="str">
        <f aca="false">'Player Data'!V355</f>
        <v>info@riverasc.uy</v>
      </c>
      <c r="Y355" s="28" t="str">
        <f aca="false">'Player Data'!W355</f>
        <v>Club sporting director / first-team office</v>
      </c>
      <c r="Z355" s="28" t="str">
        <f aca="false">'Player Data'!X355</f>
        <v>AUF (Uruguayan Football Association) player registry</v>
      </c>
      <c r="AA355" s="19" t="str">
        <f aca="false">HYPERLINK("https://www.transfermarkt.com/schnellsuche/ergebnis/schnellsuche?query="&amp;SUBSTITUTE(A355," ","+"),"Search Transfermarkt")</f>
        <v>Search Transfermarkt</v>
      </c>
      <c r="AB355" s="29" t="n">
        <f aca="false">IFERROR('Player Data'!K355/('Player Data'!K355+'Player Data'!L355),0)</f>
        <v>0.752808988764045</v>
      </c>
      <c r="AC355" s="21" t="str">
        <f aca="false">IF(B355="GK",IF(AND(O355&gt;=Assumptions!$B$23,N355&gt;=Assumptions!$B$23),"Sweeper-Keeper / Build-from-the-Back",IF(O355&gt;=Assumptions!$B$23,"Sweeper-Keeper / High Line",IF(M355&gt;=Assumptions!$B$23,"Shot-Stopper / Traditional","Flexible / Multi-System"))),IF(AND(O355&gt;=Assumptions!$B$23,P355&gt;=Assumptions!$B$24),"High Press / Gegenpressing",IF(AND(N355&gt;=Assumptions!$B$23,AB355&gt;=Assumptions!$B$25),"Possession / Build-from-the-Back",IF(N355&gt;=Assumptions!$B$23,"Counter-Attack / Transition",IF(AND(O355&gt;=Assumptions!$B$23,N355&lt;Assumptions!$B$26),"Low Block / Park the Bus",IF(AND(B355="FW",M355&gt;=Assumptions!$B$23,N355&lt;Assumptions!$B$26),"Direct / Target Approach","Flexible / Multi-System"))))))</f>
        <v>Flexible / Multi-System</v>
      </c>
      <c r="AD355" s="21" t="str">
        <f aca="false">'Player Data'!Y355</f>
        <v>2026-07-17</v>
      </c>
      <c r="AE355" s="21" t="str">
        <f aca="false">'Player Data'!Z355</f>
        <v>2026-07-17</v>
      </c>
      <c r="AF355" s="28" t="str">
        <f aca="false">IFERROR(INDEX(Assumptions!$B$30:$B$61,MATCH(C355,Assumptions!$A$30:$A$61,0)),"--")</f>
        <v>Argentina, Portugal</v>
      </c>
      <c r="AG355" s="30" t="str">
        <f aca="false">IF(R355&gt;=0.7,"Step-Up Candidate",IF(R355&gt;=0.4,"Lateral Move","Stay &amp; Develop"))</f>
        <v>Stay &amp; Develop</v>
      </c>
    </row>
    <row r="356" customFormat="false" ht="23.85" hidden="false" customHeight="false" outlineLevel="0" collapsed="false">
      <c r="A356" s="21" t="str">
        <f aca="false">'Player Data'!A356</f>
        <v>Ethan Mitchell</v>
      </c>
      <c r="B356" s="21" t="str">
        <f aca="false">'Player Data'!F356</f>
        <v>DF</v>
      </c>
      <c r="C356" s="21" t="str">
        <f aca="false">'Player Data'!B356</f>
        <v>New Zealand</v>
      </c>
      <c r="D356" s="21" t="str">
        <f aca="false">'Player Data'!C356</f>
        <v>New Zealand Reserve League</v>
      </c>
      <c r="E356" s="21" t="n">
        <f aca="false">'Player Data'!D356</f>
        <v>2</v>
      </c>
      <c r="F356" s="21" t="n">
        <f aca="false">'Player Data'!G356</f>
        <v>21</v>
      </c>
      <c r="G356" s="21" t="n">
        <f aca="false">'Player Data'!H356</f>
        <v>2109</v>
      </c>
      <c r="H356" s="22" t="n">
        <f aca="false">IF(B356="GK",IFERROR(('Player Data'!N356-1.5*'Player Data'!O356)/'Player Data'!H356*90,0),IFERROR(('Player Data'!I356+'Player Data'!J356)/'Player Data'!H356*90,0))</f>
        <v>0.042674253200569</v>
      </c>
      <c r="I356" s="22" t="n">
        <f aca="false">IF(B356="GK",'Player Data'!P356,IFERROR(('Player Data'!K356+'Player Data'!L356)/'Player Data'!H356*90,0))</f>
        <v>3.15789473684211</v>
      </c>
      <c r="J356" s="22" t="n">
        <f aca="false">IF(B356="GK",IFERROR('Player Data'!Q356/'Player Data'!H356*90,0),IFERROR('Player Data'!M356/'Player Data'!H356*90,0))</f>
        <v>5.03556187766714</v>
      </c>
      <c r="K356" s="23" t="n">
        <f aca="false">'Player Data'!S356</f>
        <v>67962</v>
      </c>
      <c r="L356" s="22" t="n">
        <f aca="false">INDEX(Assumptions!$B$13:$B$15,MATCH(E356,Assumptions!$A$13:$A$15,0))</f>
        <v>1</v>
      </c>
      <c r="M356" s="24" t="n">
        <f aca="false">IFERROR(SUMPRODUCT(($B$2:$B$1001=B356)*($H$2:$H$1001&lt;=H356))/SUMPRODUCT(($B$2:$B$1001=B356)*1),0)</f>
        <v>0.054421768707483</v>
      </c>
      <c r="N356" s="24" t="n">
        <f aca="false">IFERROR(SUMPRODUCT(($B$2:$B$1001=B356)*($I$2:$I$1001&lt;=I356))/SUMPRODUCT(($B$2:$B$1001=B356)*1),0)</f>
        <v>0.119047619047619</v>
      </c>
      <c r="O356" s="24" t="n">
        <f aca="false">IFERROR(SUMPRODUCT(($B$2:$B$1001=B356)*($J$2:$J$1001&lt;=J356))/SUMPRODUCT(($B$2:$B$1001=B356)*1),0)</f>
        <v>0.459183673469388</v>
      </c>
      <c r="P356" s="24" t="n">
        <f aca="false">IFERROR(SUMPRODUCT(($B$2:$B$1001=B356)*((0-$F$2:$F$1001)&lt;=(0-F356)))/SUMPRODUCT(($B$2:$B$1001=B356)*1),0)</f>
        <v>0.568027210884354</v>
      </c>
      <c r="Q356" s="25" t="n">
        <f aca="false">(M356*Assumptions!$B$5+N356*Assumptions!$B$6+O356*Assumptions!$B$7+P356*Assumptions!$B$8)*L356</f>
        <v>0.260714285714286</v>
      </c>
      <c r="R356" s="24" t="n">
        <f aca="false">IFERROR(SUMPRODUCT(($B$2:$B$1001=B356)*($Q$2:$Q$1001&lt;=Q356))/SUMPRODUCT(($B$2:$B$1001=B356)*1),0)</f>
        <v>0.183673469387755</v>
      </c>
      <c r="S356" s="24" t="n">
        <f aca="false">IFERROR(SUMPRODUCT(($B$2:$B$1001=B356)*($K$2:$K$1001&lt;=K356))/SUMPRODUCT(($B$2:$B$1001=B356)*1),0)</f>
        <v>0.530612244897959</v>
      </c>
      <c r="T356" s="26" t="n">
        <f aca="false">(R356-S356)*100</f>
        <v>-34.6938775510204</v>
      </c>
      <c r="U356" s="21" t="str">
        <f aca="false">'Player Data'!T356</f>
        <v>Unknown</v>
      </c>
      <c r="V356" s="27" t="n">
        <f aca="false">'Player Data'!U356</f>
        <v>2028</v>
      </c>
      <c r="W356" s="21" t="str">
        <f aca="false">IF(AND(T356&gt;=Assumptions!$B$19,U356="No"),"High Priority - Unrepresented",IF(T356&gt;=Assumptions!$B$19,"High Priority",IF(AND(T356&gt;=Assumptions!$B$20,U356="No"),"Watchlist - Unrepresented",IF(T356&gt;=Assumptions!$B$20,"Watchlist",""))))</f>
        <v/>
      </c>
      <c r="X356" s="21" t="str">
        <f aca="false">'Player Data'!V356</f>
        <v>info@aucklandrangers.nz</v>
      </c>
      <c r="Y356" s="28" t="str">
        <f aca="false">'Player Data'!W356</f>
        <v>Club sporting director / first-team office</v>
      </c>
      <c r="Z356" s="28" t="str">
        <f aca="false">'Player Data'!X356</f>
        <v>NZF (New Zealand Football) player registry</v>
      </c>
      <c r="AA356" s="19" t="str">
        <f aca="false">HYPERLINK("https://www.transfermarkt.com/schnellsuche/ergebnis/schnellsuche?query="&amp;SUBSTITUTE(A356," ","+"),"Search Transfermarkt")</f>
        <v>Search Transfermarkt</v>
      </c>
      <c r="AB356" s="29" t="n">
        <f aca="false">IFERROR('Player Data'!K356/('Player Data'!K356+'Player Data'!L356),0)</f>
        <v>0.513513513513514</v>
      </c>
      <c r="AC356" s="21" t="str">
        <f aca="false">IF(B356="GK",IF(AND(O356&gt;=Assumptions!$B$23,N356&gt;=Assumptions!$B$23),"Sweeper-Keeper / Build-from-the-Back",IF(O356&gt;=Assumptions!$B$23,"Sweeper-Keeper / High Line",IF(M356&gt;=Assumptions!$B$23,"Shot-Stopper / Traditional","Flexible / Multi-System"))),IF(AND(O356&gt;=Assumptions!$B$23,P356&gt;=Assumptions!$B$24),"High Press / Gegenpressing",IF(AND(N356&gt;=Assumptions!$B$23,AB356&gt;=Assumptions!$B$25),"Possession / Build-from-the-Back",IF(N356&gt;=Assumptions!$B$23,"Counter-Attack / Transition",IF(AND(O356&gt;=Assumptions!$B$23,N356&lt;Assumptions!$B$26),"Low Block / Park the Bus",IF(AND(B356="FW",M356&gt;=Assumptions!$B$23,N356&lt;Assumptions!$B$26),"Direct / Target Approach","Flexible / Multi-System"))))))</f>
        <v>Flexible / Multi-System</v>
      </c>
      <c r="AD356" s="21" t="str">
        <f aca="false">'Player Data'!Y356</f>
        <v>2026-07-17</v>
      </c>
      <c r="AE356" s="21" t="str">
        <f aca="false">'Player Data'!Z356</f>
        <v>2026-07-17</v>
      </c>
      <c r="AF356" s="28" t="str">
        <f aca="false">IFERROR(INDEX(Assumptions!$B$30:$B$61,MATCH(C356,Assumptions!$A$30:$A$61,0)),"--")</f>
        <v>Australia, United States</v>
      </c>
      <c r="AG356" s="30" t="str">
        <f aca="false">IF(R356&gt;=0.7,"Step-Up Candidate",IF(R356&gt;=0.4,"Lateral Move","Stay &amp; Develop"))</f>
        <v>Stay &amp; Develop</v>
      </c>
    </row>
    <row r="357" customFormat="false" ht="23.85" hidden="false" customHeight="false" outlineLevel="0" collapsed="false">
      <c r="A357" s="21" t="str">
        <f aca="false">'Player Data'!A357</f>
        <v>Karlo Novak</v>
      </c>
      <c r="B357" s="21" t="str">
        <f aca="false">'Player Data'!F357</f>
        <v>DF</v>
      </c>
      <c r="C357" s="21" t="str">
        <f aca="false">'Player Data'!B357</f>
        <v>Croatia</v>
      </c>
      <c r="D357" s="21" t="str">
        <f aca="false">'Player Data'!C357</f>
        <v>Croatia Second Division - East</v>
      </c>
      <c r="E357" s="21" t="n">
        <f aca="false">'Player Data'!D357</f>
        <v>3</v>
      </c>
      <c r="F357" s="21" t="n">
        <f aca="false">'Player Data'!G357</f>
        <v>20</v>
      </c>
      <c r="G357" s="21" t="n">
        <f aca="false">'Player Data'!H357</f>
        <v>1216</v>
      </c>
      <c r="H357" s="22" t="n">
        <f aca="false">IF(B357="GK",IFERROR(('Player Data'!N357-1.5*'Player Data'!O357)/'Player Data'!H357*90,0),IFERROR(('Player Data'!I357+'Player Data'!J357)/'Player Data'!H357*90,0))</f>
        <v>0.296052631578947</v>
      </c>
      <c r="I357" s="22" t="n">
        <f aca="false">IF(B357="GK",'Player Data'!P357,IFERROR(('Player Data'!K357+'Player Data'!L357)/'Player Data'!H357*90,0))</f>
        <v>7.47532894736842</v>
      </c>
      <c r="J357" s="22" t="n">
        <f aca="false">IF(B357="GK",IFERROR('Player Data'!Q357/'Player Data'!H357*90,0),IFERROR('Player Data'!M357/'Player Data'!H357*90,0))</f>
        <v>7.40131578947369</v>
      </c>
      <c r="K357" s="23" t="n">
        <f aca="false">'Player Data'!S357</f>
        <v>0</v>
      </c>
      <c r="L357" s="22" t="n">
        <f aca="false">INDEX(Assumptions!$B$13:$B$15,MATCH(E357,Assumptions!$A$13:$A$15,0))</f>
        <v>0.85</v>
      </c>
      <c r="M357" s="24" t="n">
        <f aca="false">IFERROR(SUMPRODUCT(($B$2:$B$1001=B357)*($H$2:$H$1001&lt;=H357))/SUMPRODUCT(($B$2:$B$1001=B357)*1),0)</f>
        <v>0.758503401360544</v>
      </c>
      <c r="N357" s="24" t="n">
        <f aca="false">IFERROR(SUMPRODUCT(($B$2:$B$1001=B357)*($I$2:$I$1001&lt;=I357))/SUMPRODUCT(($B$2:$B$1001=B357)*1),0)</f>
        <v>0.857142857142857</v>
      </c>
      <c r="O357" s="24" t="n">
        <f aca="false">IFERROR(SUMPRODUCT(($B$2:$B$1001=B357)*($J$2:$J$1001&lt;=J357))/SUMPRODUCT(($B$2:$B$1001=B357)*1),0)</f>
        <v>0.799319727891157</v>
      </c>
      <c r="P357" s="24" t="n">
        <f aca="false">IFERROR(SUMPRODUCT(($B$2:$B$1001=B357)*((0-$F$2:$F$1001)&lt;=(0-F357)))/SUMPRODUCT(($B$2:$B$1001=B357)*1),0)</f>
        <v>0.656462585034014</v>
      </c>
      <c r="Q357" s="25" t="n">
        <f aca="false">(M357*Assumptions!$B$5+N357*Assumptions!$B$6+O357*Assumptions!$B$7+P357*Assumptions!$B$8)*L357</f>
        <v>0.663664965986395</v>
      </c>
      <c r="R357" s="24" t="n">
        <f aca="false">IFERROR(SUMPRODUCT(($B$2:$B$1001=B357)*($Q$2:$Q$1001&lt;=Q357))/SUMPRODUCT(($B$2:$B$1001=B357)*1),0)</f>
        <v>0.833333333333333</v>
      </c>
      <c r="S357" s="24" t="n">
        <f aca="false">IFERROR(SUMPRODUCT(($B$2:$B$1001=B357)*($K$2:$K$1001&lt;=K357))/SUMPRODUCT(($B$2:$B$1001=B357)*1),0)</f>
        <v>0.248299319727891</v>
      </c>
      <c r="T357" s="26" t="n">
        <f aca="false">(R357-S357)*100</f>
        <v>58.5034013605442</v>
      </c>
      <c r="U357" s="21" t="str">
        <f aca="false">'Player Data'!T357</f>
        <v>No</v>
      </c>
      <c r="V357" s="27" t="n">
        <f aca="false">'Player Data'!U357</f>
        <v>2028</v>
      </c>
      <c r="W357" s="21" t="str">
        <f aca="false">IF(AND(T357&gt;=Assumptions!$B$19,U357="No"),"High Priority - Unrepresented",IF(T357&gt;=Assumptions!$B$19,"High Priority",IF(AND(T357&gt;=Assumptions!$B$20,U357="No"),"Watchlist - Unrepresented",IF(T357&gt;=Assumptions!$B$20,"Watchlist",""))))</f>
        <v>High Priority - Unrepresented</v>
      </c>
      <c r="X357" s="21" t="str">
        <f aca="false">'Player Data'!V357</f>
        <v>info@belisceathletic.hr</v>
      </c>
      <c r="Y357" s="28" t="str">
        <f aca="false">'Player Data'!W357</f>
        <v>Club sporting director / first-team office</v>
      </c>
      <c r="Z357" s="28" t="str">
        <f aca="false">'Player Data'!X357</f>
        <v>HNS (Croatian Football Federation) player registry</v>
      </c>
      <c r="AA357" s="19" t="str">
        <f aca="false">HYPERLINK("https://www.transfermarkt.com/schnellsuche/ergebnis/schnellsuche?query="&amp;SUBSTITUTE(A357," ","+"),"Search Transfermarkt")</f>
        <v>Search Transfermarkt</v>
      </c>
      <c r="AB357" s="29" t="n">
        <f aca="false">IFERROR('Player Data'!K357/('Player Data'!K357+'Player Data'!L357),0)</f>
        <v>0.633663366336634</v>
      </c>
      <c r="AC357" s="21" t="str">
        <f aca="false">IF(B357="GK",IF(AND(O357&gt;=Assumptions!$B$23,N357&gt;=Assumptions!$B$23),"Sweeper-Keeper / Build-from-the-Back",IF(O357&gt;=Assumptions!$B$23,"Sweeper-Keeper / High Line",IF(M357&gt;=Assumptions!$B$23,"Shot-Stopper / Traditional","Flexible / Multi-System"))),IF(AND(O357&gt;=Assumptions!$B$23,P357&gt;=Assumptions!$B$24),"High Press / Gegenpressing",IF(AND(N357&gt;=Assumptions!$B$23,AB357&gt;=Assumptions!$B$25),"Possession / Build-from-the-Back",IF(N357&gt;=Assumptions!$B$23,"Counter-Attack / Transition",IF(AND(O357&gt;=Assumptions!$B$23,N357&lt;Assumptions!$B$26),"Low Block / Park the Bus",IF(AND(B357="FW",M357&gt;=Assumptions!$B$23,N357&lt;Assumptions!$B$26),"Direct / Target Approach","Flexible / Multi-System"))))))</f>
        <v>High Press / Gegenpressing</v>
      </c>
      <c r="AD357" s="21" t="str">
        <f aca="false">'Player Data'!Y357</f>
        <v>2026-07-17</v>
      </c>
      <c r="AE357" s="21" t="str">
        <f aca="false">'Player Data'!Z357</f>
        <v>2026-07-17</v>
      </c>
      <c r="AF357" s="28" t="str">
        <f aca="false">IFERROR(INDEX(Assumptions!$B$30:$B$61,MATCH(C357,Assumptions!$A$30:$A$61,0)),"--")</f>
        <v>Austria, Turkey</v>
      </c>
      <c r="AG357" s="30" t="str">
        <f aca="false">IF(R357&gt;=0.7,"Step-Up Candidate",IF(R357&gt;=0.4,"Lateral Move","Stay &amp; Develop"))</f>
        <v>Step-Up Candidate</v>
      </c>
    </row>
    <row r="358" customFormat="false" ht="23.85" hidden="false" customHeight="false" outlineLevel="0" collapsed="false">
      <c r="A358" s="21" t="str">
        <f aca="false">'Player Data'!A358</f>
        <v>Mustafa Abbas</v>
      </c>
      <c r="B358" s="21" t="str">
        <f aca="false">'Player Data'!F358</f>
        <v>DF</v>
      </c>
      <c r="C358" s="21" t="str">
        <f aca="false">'Player Data'!B358</f>
        <v>Iraq</v>
      </c>
      <c r="D358" s="21" t="str">
        <f aca="false">'Player Data'!C358</f>
        <v>Iraq Third Tier - South</v>
      </c>
      <c r="E358" s="21" t="n">
        <f aca="false">'Player Data'!D358</f>
        <v>2</v>
      </c>
      <c r="F358" s="21" t="n">
        <f aca="false">'Player Data'!G358</f>
        <v>26</v>
      </c>
      <c r="G358" s="21" t="n">
        <f aca="false">'Player Data'!H358</f>
        <v>2377</v>
      </c>
      <c r="H358" s="22" t="n">
        <f aca="false">IF(B358="GK",IFERROR(('Player Data'!N358-1.5*'Player Data'!O358)/'Player Data'!H358*90,0),IFERROR(('Player Data'!I358+'Player Data'!J358)/'Player Data'!H358*90,0))</f>
        <v>0.113588557004628</v>
      </c>
      <c r="I358" s="22" t="n">
        <f aca="false">IF(B358="GK",'Player Data'!P358,IFERROR(('Player Data'!K358+'Player Data'!L358)/'Player Data'!H358*90,0))</f>
        <v>3.44551956247371</v>
      </c>
      <c r="J358" s="22" t="n">
        <f aca="false">IF(B358="GK",IFERROR('Player Data'!Q358/'Player Data'!H358*90,0),IFERROR('Player Data'!M358/'Player Data'!H358*90,0))</f>
        <v>4.3920908708456</v>
      </c>
      <c r="K358" s="23" t="n">
        <f aca="false">'Player Data'!S358</f>
        <v>0</v>
      </c>
      <c r="L358" s="22" t="n">
        <f aca="false">INDEX(Assumptions!$B$13:$B$15,MATCH(E358,Assumptions!$A$13:$A$15,0))</f>
        <v>1</v>
      </c>
      <c r="M358" s="24" t="n">
        <f aca="false">IFERROR(SUMPRODUCT(($B$2:$B$1001=B358)*($H$2:$H$1001&lt;=H358))/SUMPRODUCT(($B$2:$B$1001=B358)*1),0)</f>
        <v>0.251700680272109</v>
      </c>
      <c r="N358" s="24" t="n">
        <f aca="false">IFERROR(SUMPRODUCT(($B$2:$B$1001=B358)*($I$2:$I$1001&lt;=I358))/SUMPRODUCT(($B$2:$B$1001=B358)*1),0)</f>
        <v>0.217687074829932</v>
      </c>
      <c r="O358" s="24" t="n">
        <f aca="false">IFERROR(SUMPRODUCT(($B$2:$B$1001=B358)*($J$2:$J$1001&lt;=J358))/SUMPRODUCT(($B$2:$B$1001=B358)*1),0)</f>
        <v>0.336734693877551</v>
      </c>
      <c r="P358" s="24" t="n">
        <f aca="false">IFERROR(SUMPRODUCT(($B$2:$B$1001=B358)*((0-$F$2:$F$1001)&lt;=(0-F358)))/SUMPRODUCT(($B$2:$B$1001=B358)*1),0)</f>
        <v>0.0748299319727891</v>
      </c>
      <c r="Q358" s="25" t="n">
        <f aca="false">(M358*Assumptions!$B$5+N358*Assumptions!$B$6+O358*Assumptions!$B$7+P358*Assumptions!$B$8)*L358</f>
        <v>0.221428571428571</v>
      </c>
      <c r="R358" s="24" t="n">
        <f aca="false">IFERROR(SUMPRODUCT(($B$2:$B$1001=B358)*($Q$2:$Q$1001&lt;=Q358))/SUMPRODUCT(($B$2:$B$1001=B358)*1),0)</f>
        <v>0.105442176870748</v>
      </c>
      <c r="S358" s="24" t="n">
        <f aca="false">IFERROR(SUMPRODUCT(($B$2:$B$1001=B358)*($K$2:$K$1001&lt;=K358))/SUMPRODUCT(($B$2:$B$1001=B358)*1),0)</f>
        <v>0.248299319727891</v>
      </c>
      <c r="T358" s="26" t="n">
        <f aca="false">(R358-S358)*100</f>
        <v>-14.2857142857143</v>
      </c>
      <c r="U358" s="21" t="str">
        <f aca="false">'Player Data'!T358</f>
        <v>Yes</v>
      </c>
      <c r="V358" s="27" t="n">
        <f aca="false">'Player Data'!U358</f>
        <v>2026</v>
      </c>
      <c r="W358" s="21" t="str">
        <f aca="false">IF(AND(T358&gt;=Assumptions!$B$19,U358="No"),"High Priority - Unrepresented",IF(T358&gt;=Assumptions!$B$19,"High Priority",IF(AND(T358&gt;=Assumptions!$B$20,U358="No"),"Watchlist - Unrepresented",IF(T358&gt;=Assumptions!$B$20,"Watchlist",""))))</f>
        <v/>
      </c>
      <c r="X358" s="21" t="str">
        <f aca="false">'Player Data'!V358</f>
        <v>info@erbilrangers.iq</v>
      </c>
      <c r="Y358" s="28" t="str">
        <f aca="false">'Player Data'!W358</f>
        <v>Go through the player's agent - ask the club to confirm representation first</v>
      </c>
      <c r="Z358" s="28" t="str">
        <f aca="false">'Player Data'!X358</f>
        <v>IFA (Iraq Football Association) player registry</v>
      </c>
      <c r="AA358" s="19" t="str">
        <f aca="false">HYPERLINK("https://www.transfermarkt.com/schnellsuche/ergebnis/schnellsuche?query="&amp;SUBSTITUTE(A358," ","+"),"Search Transfermarkt")</f>
        <v>Search Transfermarkt</v>
      </c>
      <c r="AB358" s="29" t="n">
        <f aca="false">IFERROR('Player Data'!K358/('Player Data'!K358+'Player Data'!L358),0)</f>
        <v>0.736263736263736</v>
      </c>
      <c r="AC358" s="21" t="str">
        <f aca="false">IF(B358="GK",IF(AND(O358&gt;=Assumptions!$B$23,N358&gt;=Assumptions!$B$23),"Sweeper-Keeper / Build-from-the-Back",IF(O358&gt;=Assumptions!$B$23,"Sweeper-Keeper / High Line",IF(M358&gt;=Assumptions!$B$23,"Shot-Stopper / Traditional","Flexible / Multi-System"))),IF(AND(O358&gt;=Assumptions!$B$23,P358&gt;=Assumptions!$B$24),"High Press / Gegenpressing",IF(AND(N358&gt;=Assumptions!$B$23,AB358&gt;=Assumptions!$B$25),"Possession / Build-from-the-Back",IF(N358&gt;=Assumptions!$B$23,"Counter-Attack / Transition",IF(AND(O358&gt;=Assumptions!$B$23,N358&lt;Assumptions!$B$26),"Low Block / Park the Bus",IF(AND(B358="FW",M358&gt;=Assumptions!$B$23,N358&lt;Assumptions!$B$26),"Direct / Target Approach","Flexible / Multi-System"))))))</f>
        <v>Flexible / Multi-System</v>
      </c>
      <c r="AD358" s="21" t="str">
        <f aca="false">'Player Data'!Y358</f>
        <v>2026-07-17</v>
      </c>
      <c r="AE358" s="21" t="str">
        <f aca="false">'Player Data'!Z358</f>
        <v>2026-07-17</v>
      </c>
      <c r="AF358" s="28" t="str">
        <f aca="false">IFERROR(INDEX(Assumptions!$B$30:$B$61,MATCH(C358,Assumptions!$A$30:$A$61,0)),"--")</f>
        <v>Turkey, Saudi Arabia</v>
      </c>
      <c r="AG358" s="30" t="str">
        <f aca="false">IF(R358&gt;=0.7,"Step-Up Candidate",IF(R358&gt;=0.4,"Lateral Move","Stay &amp; Develop"))</f>
        <v>Stay &amp; Develop</v>
      </c>
    </row>
    <row r="359" customFormat="false" ht="23.85" hidden="false" customHeight="false" outlineLevel="0" collapsed="false">
      <c r="A359" s="21" t="str">
        <f aca="false">'Player Data'!A359</f>
        <v>Nattapong Wongsa</v>
      </c>
      <c r="B359" s="21" t="str">
        <f aca="false">'Player Data'!F359</f>
        <v>DF</v>
      </c>
      <c r="C359" s="21" t="str">
        <f aca="false">'Player Data'!B359</f>
        <v>Thailand</v>
      </c>
      <c r="D359" s="21" t="str">
        <f aca="false">'Player Data'!C359</f>
        <v>Thailand Third Tier - South</v>
      </c>
      <c r="E359" s="21" t="n">
        <f aca="false">'Player Data'!D359</f>
        <v>4</v>
      </c>
      <c r="F359" s="21" t="n">
        <f aca="false">'Player Data'!G359</f>
        <v>22</v>
      </c>
      <c r="G359" s="21" t="n">
        <f aca="false">'Player Data'!H359</f>
        <v>836</v>
      </c>
      <c r="H359" s="22" t="n">
        <f aca="false">IF(B359="GK",IFERROR(('Player Data'!N359-1.5*'Player Data'!O359)/'Player Data'!H359*90,0),IFERROR(('Player Data'!I359+'Player Data'!J359)/'Player Data'!H359*90,0))</f>
        <v>0.322966507177034</v>
      </c>
      <c r="I359" s="22" t="n">
        <f aca="false">IF(B359="GK",'Player Data'!P359,IFERROR(('Player Data'!K359+'Player Data'!L359)/'Player Data'!H359*90,0))</f>
        <v>9.58133971291866</v>
      </c>
      <c r="J359" s="22" t="n">
        <f aca="false">IF(B359="GK",IFERROR('Player Data'!Q359/'Player Data'!H359*90,0),IFERROR('Player Data'!M359/'Player Data'!H359*90,0))</f>
        <v>10.9808612440191</v>
      </c>
      <c r="K359" s="23" t="n">
        <f aca="false">'Player Data'!S359</f>
        <v>31062</v>
      </c>
      <c r="L359" s="22" t="n">
        <f aca="false">INDEX(Assumptions!$B$13:$B$15,MATCH(E359,Assumptions!$A$13:$A$15,0))</f>
        <v>0.7</v>
      </c>
      <c r="M359" s="24" t="n">
        <f aca="false">IFERROR(SUMPRODUCT(($B$2:$B$1001=B359)*($H$2:$H$1001&lt;=H359))/SUMPRODUCT(($B$2:$B$1001=B359)*1),0)</f>
        <v>0.816326530612245</v>
      </c>
      <c r="N359" s="24" t="n">
        <f aca="false">IFERROR(SUMPRODUCT(($B$2:$B$1001=B359)*($I$2:$I$1001&lt;=I359))/SUMPRODUCT(($B$2:$B$1001=B359)*1),0)</f>
        <v>0.969387755102041</v>
      </c>
      <c r="O359" s="24" t="n">
        <f aca="false">IFERROR(SUMPRODUCT(($B$2:$B$1001=B359)*($J$2:$J$1001&lt;=J359))/SUMPRODUCT(($B$2:$B$1001=B359)*1),0)</f>
        <v>0.952380952380952</v>
      </c>
      <c r="P359" s="24" t="n">
        <f aca="false">IFERROR(SUMPRODUCT(($B$2:$B$1001=B359)*((0-$F$2:$F$1001)&lt;=(0-F359)))/SUMPRODUCT(($B$2:$B$1001=B359)*1),0)</f>
        <v>0.493197278911565</v>
      </c>
      <c r="Q359" s="25" t="n">
        <f aca="false">(M359*Assumptions!$B$5+N359*Assumptions!$B$6+O359*Assumptions!$B$7+P359*Assumptions!$B$8)*L359</f>
        <v>0.582738095238095</v>
      </c>
      <c r="R359" s="24" t="n">
        <f aca="false">IFERROR(SUMPRODUCT(($B$2:$B$1001=B359)*($Q$2:$Q$1001&lt;=Q359))/SUMPRODUCT(($B$2:$B$1001=B359)*1),0)</f>
        <v>0.724489795918367</v>
      </c>
      <c r="S359" s="24" t="n">
        <f aca="false">IFERROR(SUMPRODUCT(($B$2:$B$1001=B359)*($K$2:$K$1001&lt;=K359))/SUMPRODUCT(($B$2:$B$1001=B359)*1),0)</f>
        <v>0.374149659863946</v>
      </c>
      <c r="T359" s="26" t="n">
        <f aca="false">(R359-S359)*100</f>
        <v>35.0340136054422</v>
      </c>
      <c r="U359" s="21" t="str">
        <f aca="false">'Player Data'!T359</f>
        <v>No</v>
      </c>
      <c r="V359" s="27" t="n">
        <f aca="false">'Player Data'!U359</f>
        <v>2028</v>
      </c>
      <c r="W359" s="21" t="str">
        <f aca="false">IF(AND(T359&gt;=Assumptions!$B$19,U359="No"),"High Priority - Unrepresented",IF(T359&gt;=Assumptions!$B$19,"High Priority",IF(AND(T359&gt;=Assumptions!$B$20,U359="No"),"Watchlist - Unrepresented",IF(T359&gt;=Assumptions!$B$20,"Watchlist",""))))</f>
        <v>Watchlist - Unrepresented</v>
      </c>
      <c r="X359" s="21" t="str">
        <f aca="false">'Player Data'!V359</f>
        <v>info@nonthaburirangers.th</v>
      </c>
      <c r="Y359" s="28" t="str">
        <f aca="false">'Player Data'!W359</f>
        <v>Club sporting director / first-team office</v>
      </c>
      <c r="Z359" s="28" t="str">
        <f aca="false">'Player Data'!X359</f>
        <v>FAT (Football Association of Thailand) player registry</v>
      </c>
      <c r="AA359" s="19" t="str">
        <f aca="false">HYPERLINK("https://www.transfermarkt.com/schnellsuche/ergebnis/schnellsuche?query="&amp;SUBSTITUTE(A359," ","+"),"Search Transfermarkt")</f>
        <v>Search Transfermarkt</v>
      </c>
      <c r="AB359" s="29" t="n">
        <f aca="false">IFERROR('Player Data'!K359/('Player Data'!K359+'Player Data'!L359),0)</f>
        <v>0.550561797752809</v>
      </c>
      <c r="AC359" s="21" t="str">
        <f aca="false">IF(B359="GK",IF(AND(O359&gt;=Assumptions!$B$23,N359&gt;=Assumptions!$B$23),"Sweeper-Keeper / Build-from-the-Back",IF(O359&gt;=Assumptions!$B$23,"Sweeper-Keeper / High Line",IF(M359&gt;=Assumptions!$B$23,"Shot-Stopper / Traditional","Flexible / Multi-System"))),IF(AND(O359&gt;=Assumptions!$B$23,P359&gt;=Assumptions!$B$24),"High Press / Gegenpressing",IF(AND(N359&gt;=Assumptions!$B$23,AB359&gt;=Assumptions!$B$25),"Possession / Build-from-the-Back",IF(N359&gt;=Assumptions!$B$23,"Counter-Attack / Transition",IF(AND(O359&gt;=Assumptions!$B$23,N359&lt;Assumptions!$B$26),"Low Block / Park the Bus",IF(AND(B359="FW",M359&gt;=Assumptions!$B$23,N359&lt;Assumptions!$B$26),"Direct / Target Approach","Flexible / Multi-System"))))))</f>
        <v>Counter-Attack / Transition</v>
      </c>
      <c r="AD359" s="21" t="str">
        <f aca="false">'Player Data'!Y359</f>
        <v>2026-07-17</v>
      </c>
      <c r="AE359" s="21" t="str">
        <f aca="false">'Player Data'!Z359</f>
        <v>2026-07-17</v>
      </c>
      <c r="AF359" s="28" t="str">
        <f aca="false">IFERROR(INDEX(Assumptions!$B$30:$B$61,MATCH(C359,Assumptions!$A$30:$A$61,0)),"--")</f>
        <v>Australia, Saudi Arabia</v>
      </c>
      <c r="AG359" s="30" t="str">
        <f aca="false">IF(R359&gt;=0.7,"Step-Up Candidate",IF(R359&gt;=0.4,"Lateral Move","Stay &amp; Develop"))</f>
        <v>Step-Up Candidate</v>
      </c>
    </row>
    <row r="360" customFormat="false" ht="23.85" hidden="false" customHeight="false" outlineLevel="0" collapsed="false">
      <c r="A360" s="21" t="str">
        <f aca="false">'Player Data'!A360</f>
        <v>Esteban Vargas</v>
      </c>
      <c r="B360" s="21" t="str">
        <f aca="false">'Player Data'!F360</f>
        <v>MF</v>
      </c>
      <c r="C360" s="21" t="str">
        <f aca="false">'Player Data'!B360</f>
        <v>Costa Rica</v>
      </c>
      <c r="D360" s="21" t="str">
        <f aca="false">'Player Data'!C360</f>
        <v>Costa Rica Reserve League</v>
      </c>
      <c r="E360" s="21" t="n">
        <f aca="false">'Player Data'!D360</f>
        <v>2</v>
      </c>
      <c r="F360" s="21" t="n">
        <f aca="false">'Player Data'!G360</f>
        <v>22</v>
      </c>
      <c r="G360" s="21" t="n">
        <f aca="false">'Player Data'!H360</f>
        <v>2367</v>
      </c>
      <c r="H360" s="22" t="n">
        <f aca="false">IF(B360="GK",IFERROR(('Player Data'!N360-1.5*'Player Data'!O360)/'Player Data'!H360*90,0),IFERROR(('Player Data'!I360+'Player Data'!J360)/'Player Data'!H360*90,0))</f>
        <v>0.380228136882129</v>
      </c>
      <c r="I360" s="22" t="n">
        <f aca="false">IF(B360="GK",'Player Data'!P360,IFERROR(('Player Data'!K360+'Player Data'!L360)/'Player Data'!H360*90,0))</f>
        <v>9.08745247148289</v>
      </c>
      <c r="J360" s="22" t="n">
        <f aca="false">IF(B360="GK",IFERROR('Player Data'!Q360/'Player Data'!H360*90,0),IFERROR('Player Data'!M360/'Player Data'!H360*90,0))</f>
        <v>1.78707224334601</v>
      </c>
      <c r="K360" s="23" t="n">
        <f aca="false">'Player Data'!S360</f>
        <v>77473</v>
      </c>
      <c r="L360" s="22" t="n">
        <f aca="false">INDEX(Assumptions!$B$13:$B$15,MATCH(E360,Assumptions!$A$13:$A$15,0))</f>
        <v>1</v>
      </c>
      <c r="M360" s="24" t="n">
        <f aca="false">IFERROR(SUMPRODUCT(($B$2:$B$1001=B360)*($H$2:$H$1001&lt;=H360))/SUMPRODUCT(($B$2:$B$1001=B360)*1),0)</f>
        <v>0.0875420875420876</v>
      </c>
      <c r="N360" s="24" t="n">
        <f aca="false">IFERROR(SUMPRODUCT(($B$2:$B$1001=B360)*($I$2:$I$1001&lt;=I360))/SUMPRODUCT(($B$2:$B$1001=B360)*1),0)</f>
        <v>0.303030303030303</v>
      </c>
      <c r="O360" s="24" t="n">
        <f aca="false">IFERROR(SUMPRODUCT(($B$2:$B$1001=B360)*($J$2:$J$1001&lt;=J360))/SUMPRODUCT(($B$2:$B$1001=B360)*1),0)</f>
        <v>0.306397306397306</v>
      </c>
      <c r="P360" s="24" t="n">
        <f aca="false">IFERROR(SUMPRODUCT(($B$2:$B$1001=B360)*((0-$F$2:$F$1001)&lt;=(0-F360)))/SUMPRODUCT(($B$2:$B$1001=B360)*1),0)</f>
        <v>0.515151515151515</v>
      </c>
      <c r="Q360" s="25" t="n">
        <f aca="false">(M360*Assumptions!$B$5+N360*Assumptions!$B$6+O360*Assumptions!$B$7+P360*Assumptions!$B$8)*L360</f>
        <v>0.292255892255892</v>
      </c>
      <c r="R360" s="24" t="n">
        <f aca="false">IFERROR(SUMPRODUCT(($B$2:$B$1001=B360)*($Q$2:$Q$1001&lt;=Q360))/SUMPRODUCT(($B$2:$B$1001=B360)*1),0)</f>
        <v>0.239057239057239</v>
      </c>
      <c r="S360" s="24" t="n">
        <f aca="false">IFERROR(SUMPRODUCT(($B$2:$B$1001=B360)*($K$2:$K$1001&lt;=K360))/SUMPRODUCT(($B$2:$B$1001=B360)*1),0)</f>
        <v>0.609427609427609</v>
      </c>
      <c r="T360" s="26" t="n">
        <f aca="false">(R360-S360)*100</f>
        <v>-37.037037037037</v>
      </c>
      <c r="U360" s="21" t="str">
        <f aca="false">'Player Data'!T360</f>
        <v>No</v>
      </c>
      <c r="V360" s="27" t="n">
        <f aca="false">'Player Data'!U360</f>
        <v>2028</v>
      </c>
      <c r="W360" s="21" t="str">
        <f aca="false">IF(AND(T360&gt;=Assumptions!$B$19,U360="No"),"High Priority - Unrepresented",IF(T360&gt;=Assumptions!$B$19,"High Priority",IF(AND(T360&gt;=Assumptions!$B$20,U360="No"),"Watchlist - Unrepresented",IF(T360&gt;=Assumptions!$B$20,"Watchlist",""))))</f>
        <v/>
      </c>
      <c r="X360" s="21" t="str">
        <f aca="false">'Player Data'!V360</f>
        <v>info@herediaathletic.cr</v>
      </c>
      <c r="Y360" s="28" t="str">
        <f aca="false">'Player Data'!W360</f>
        <v>Club sporting director / first-team office</v>
      </c>
      <c r="Z360" s="28" t="str">
        <f aca="false">'Player Data'!X360</f>
        <v>FEDEFUTBOL (Costa Rican Football Federation) player registry</v>
      </c>
      <c r="AA360" s="19" t="str">
        <f aca="false">HYPERLINK("https://www.transfermarkt.com/schnellsuche/ergebnis/schnellsuche?query="&amp;SUBSTITUTE(A360," ","+"),"Search Transfermarkt")</f>
        <v>Search Transfermarkt</v>
      </c>
      <c r="AB360" s="29" t="n">
        <f aca="false">IFERROR('Player Data'!K360/('Player Data'!K360+'Player Data'!L360),0)</f>
        <v>0.610878661087866</v>
      </c>
      <c r="AC360" s="21" t="str">
        <f aca="false">IF(B360="GK",IF(AND(O360&gt;=Assumptions!$B$23,N360&gt;=Assumptions!$B$23),"Sweeper-Keeper / Build-from-the-Back",IF(O360&gt;=Assumptions!$B$23,"Sweeper-Keeper / High Line",IF(M360&gt;=Assumptions!$B$23,"Shot-Stopper / Traditional","Flexible / Multi-System"))),IF(AND(O360&gt;=Assumptions!$B$23,P360&gt;=Assumptions!$B$24),"High Press / Gegenpressing",IF(AND(N360&gt;=Assumptions!$B$23,AB360&gt;=Assumptions!$B$25),"Possession / Build-from-the-Back",IF(N360&gt;=Assumptions!$B$23,"Counter-Attack / Transition",IF(AND(O360&gt;=Assumptions!$B$23,N360&lt;Assumptions!$B$26),"Low Block / Park the Bus",IF(AND(B360="FW",M360&gt;=Assumptions!$B$23,N360&lt;Assumptions!$B$26),"Direct / Target Approach","Flexible / Multi-System"))))))</f>
        <v>Flexible / Multi-System</v>
      </c>
      <c r="AD360" s="21" t="str">
        <f aca="false">'Player Data'!Y360</f>
        <v>2026-07-17</v>
      </c>
      <c r="AE360" s="21" t="str">
        <f aca="false">'Player Data'!Z360</f>
        <v>2026-07-17</v>
      </c>
      <c r="AF360" s="28" t="str">
        <f aca="false">IFERROR(INDEX(Assumptions!$B$30:$B$61,MATCH(C360,Assumptions!$A$30:$A$61,0)),"--")</f>
        <v>Mexico, United States</v>
      </c>
      <c r="AG360" s="30" t="str">
        <f aca="false">IF(R360&gt;=0.7,"Step-Up Candidate",IF(R360&gt;=0.4,"Lateral Move","Stay &amp; Develop"))</f>
        <v>Stay &amp; Develop</v>
      </c>
    </row>
    <row r="361" customFormat="false" ht="23.85" hidden="false" customHeight="false" outlineLevel="0" collapsed="false">
      <c r="A361" s="21" t="str">
        <f aca="false">'Player Data'!A361</f>
        <v>Irakli Kapanadze</v>
      </c>
      <c r="B361" s="21" t="str">
        <f aca="false">'Player Data'!F361</f>
        <v>GK</v>
      </c>
      <c r="C361" s="21" t="str">
        <f aca="false">'Player Data'!B361</f>
        <v>Georgia</v>
      </c>
      <c r="D361" s="21" t="str">
        <f aca="false">'Player Data'!C361</f>
        <v>Georgia Reserve League</v>
      </c>
      <c r="E361" s="21" t="n">
        <f aca="false">'Player Data'!D361</f>
        <v>4</v>
      </c>
      <c r="F361" s="21" t="n">
        <f aca="false">'Player Data'!G361</f>
        <v>26</v>
      </c>
      <c r="G361" s="21" t="n">
        <f aca="false">'Player Data'!H361</f>
        <v>2354</v>
      </c>
      <c r="H361" s="22" t="n">
        <f aca="false">IF(B361="GK",IFERROR(('Player Data'!N361-1.5*'Player Data'!O361)/'Player Data'!H361*90,0),IFERROR(('Player Data'!I361+'Player Data'!J361)/'Player Data'!H361*90,0))</f>
        <v>1.8160577740017</v>
      </c>
      <c r="I361" s="22" t="n">
        <f aca="false">IF(B361="GK",'Player Data'!P361,IFERROR(('Player Data'!K361+'Player Data'!L361)/'Player Data'!H361*90,0))</f>
        <v>70</v>
      </c>
      <c r="J361" s="22" t="n">
        <f aca="false">IF(B361="GK",IFERROR('Player Data'!Q361/'Player Data'!H361*90,0),IFERROR('Player Data'!M361/'Player Data'!H361*90,0))</f>
        <v>1.10875106202209</v>
      </c>
      <c r="K361" s="23" t="n">
        <f aca="false">'Player Data'!S361</f>
        <v>56751</v>
      </c>
      <c r="L361" s="22" t="n">
        <f aca="false">INDEX(Assumptions!$B$13:$B$15,MATCH(E361,Assumptions!$A$13:$A$15,0))</f>
        <v>0.7</v>
      </c>
      <c r="M361" s="24" t="n">
        <f aca="false">IFERROR(SUMPRODUCT(($B$2:$B$1001=B361)*($H$2:$H$1001&lt;=H361))/SUMPRODUCT(($B$2:$B$1001=B361)*1),0)</f>
        <v>0.814207650273224</v>
      </c>
      <c r="N361" s="24" t="n">
        <f aca="false">IFERROR(SUMPRODUCT(($B$2:$B$1001=B361)*($I$2:$I$1001&lt;=I361))/SUMPRODUCT(($B$2:$B$1001=B361)*1),0)</f>
        <v>0.409836065573771</v>
      </c>
      <c r="O361" s="24" t="n">
        <f aca="false">IFERROR(SUMPRODUCT(($B$2:$B$1001=B361)*($J$2:$J$1001&lt;=J361))/SUMPRODUCT(($B$2:$B$1001=B361)*1),0)</f>
        <v>0.688524590163934</v>
      </c>
      <c r="P361" s="24" t="n">
        <f aca="false">IFERROR(SUMPRODUCT(($B$2:$B$1001=B361)*((0-$F$2:$F$1001)&lt;=(0-F361)))/SUMPRODUCT(($B$2:$B$1001=B361)*1),0)</f>
        <v>0.131147540983607</v>
      </c>
      <c r="Q361" s="25" t="n">
        <f aca="false">(M361*Assumptions!$B$5+N361*Assumptions!$B$6+O361*Assumptions!$B$7+P361*Assumptions!$B$8)*L361</f>
        <v>0.357650273224044</v>
      </c>
      <c r="R361" s="24" t="n">
        <f aca="false">IFERROR(SUMPRODUCT(($B$2:$B$1001=B361)*($Q$2:$Q$1001&lt;=Q361))/SUMPRODUCT(($B$2:$B$1001=B361)*1),0)</f>
        <v>0.26775956284153</v>
      </c>
      <c r="S361" s="24" t="n">
        <f aca="false">IFERROR(SUMPRODUCT(($B$2:$B$1001=B361)*($K$2:$K$1001&lt;=K361))/SUMPRODUCT(($B$2:$B$1001=B361)*1),0)</f>
        <v>0.437158469945355</v>
      </c>
      <c r="T361" s="26" t="n">
        <f aca="false">(R361-S361)*100</f>
        <v>-16.9398907103825</v>
      </c>
      <c r="U361" s="21" t="str">
        <f aca="false">'Player Data'!T361</f>
        <v>Unknown</v>
      </c>
      <c r="V361" s="27" t="n">
        <f aca="false">'Player Data'!U361</f>
        <v>2029</v>
      </c>
      <c r="W361" s="21" t="str">
        <f aca="false">IF(AND(T361&gt;=Assumptions!$B$19,U361="No"),"High Priority - Unrepresented",IF(T361&gt;=Assumptions!$B$19,"High Priority",IF(AND(T361&gt;=Assumptions!$B$20,U361="No"),"Watchlist - Unrepresented",IF(T361&gt;=Assumptions!$B$20,"Watchlist",""))))</f>
        <v/>
      </c>
      <c r="X361" s="21" t="str">
        <f aca="false">'Player Data'!V361</f>
        <v>info@batumitown.ge</v>
      </c>
      <c r="Y361" s="28" t="str">
        <f aca="false">'Player Data'!W361</f>
        <v>Club sporting director / first-team office</v>
      </c>
      <c r="Z361" s="28" t="str">
        <f aca="false">'Player Data'!X361</f>
        <v>GFF (Georgian Football Federation) player registry</v>
      </c>
      <c r="AA361" s="19" t="str">
        <f aca="false">HYPERLINK("https://www.transfermarkt.com/schnellsuche/ergebnis/schnellsuche?query="&amp;SUBSTITUTE(A361," ","+"),"Search Transfermarkt")</f>
        <v>Search Transfermarkt</v>
      </c>
      <c r="AB361" s="29" t="n">
        <f aca="false">IFERROR('Player Data'!K361/('Player Data'!K361+'Player Data'!L361),0)</f>
        <v>0.8125</v>
      </c>
      <c r="AC361" s="21" t="str">
        <f aca="false">IF(B361="GK",IF(AND(O361&gt;=Assumptions!$B$23,N361&gt;=Assumptions!$B$23),"Sweeper-Keeper / Build-from-the-Back",IF(O361&gt;=Assumptions!$B$23,"Sweeper-Keeper / High Line",IF(M361&gt;=Assumptions!$B$23,"Shot-Stopper / Traditional","Flexible / Multi-System"))),IF(AND(O361&gt;=Assumptions!$B$23,P361&gt;=Assumptions!$B$24),"High Press / Gegenpressing",IF(AND(N361&gt;=Assumptions!$B$23,AB361&gt;=Assumptions!$B$25),"Possession / Build-from-the-Back",IF(N361&gt;=Assumptions!$B$23,"Counter-Attack / Transition",IF(AND(O361&gt;=Assumptions!$B$23,N361&lt;Assumptions!$B$26),"Low Block / Park the Bus",IF(AND(B361="FW",M361&gt;=Assumptions!$B$23,N361&lt;Assumptions!$B$26),"Direct / Target Approach","Flexible / Multi-System"))))))</f>
        <v>Sweeper-Keeper / High Line</v>
      </c>
      <c r="AD361" s="21" t="str">
        <f aca="false">'Player Data'!Y361</f>
        <v>2026-07-17</v>
      </c>
      <c r="AE361" s="21" t="str">
        <f aca="false">'Player Data'!Z361</f>
        <v>2026-07-17</v>
      </c>
      <c r="AF361" s="28" t="str">
        <f aca="false">IFERROR(INDEX(Assumptions!$B$30:$B$61,MATCH(C361,Assumptions!$A$30:$A$61,0)),"--")</f>
        <v>Turkey, Poland</v>
      </c>
      <c r="AG361" s="30" t="str">
        <f aca="false">IF(R361&gt;=0.7,"Step-Up Candidate",IF(R361&gt;=0.4,"Lateral Move","Stay &amp; Develop"))</f>
        <v>Stay &amp; Develop</v>
      </c>
    </row>
    <row r="362" customFormat="false" ht="23.85" hidden="false" customHeight="false" outlineLevel="0" collapsed="false">
      <c r="A362" s="21" t="str">
        <f aca="false">'Player Data'!A362</f>
        <v>Giorgi Kapanadze</v>
      </c>
      <c r="B362" s="21" t="str">
        <f aca="false">'Player Data'!F362</f>
        <v>MF</v>
      </c>
      <c r="C362" s="21" t="str">
        <f aca="false">'Player Data'!B362</f>
        <v>Georgia</v>
      </c>
      <c r="D362" s="21" t="str">
        <f aca="false">'Player Data'!C362</f>
        <v>Georgia Second Division - West</v>
      </c>
      <c r="E362" s="21" t="n">
        <f aca="false">'Player Data'!D362</f>
        <v>2</v>
      </c>
      <c r="F362" s="21" t="n">
        <f aca="false">'Player Data'!G362</f>
        <v>21</v>
      </c>
      <c r="G362" s="21" t="n">
        <f aca="false">'Player Data'!H362</f>
        <v>2153</v>
      </c>
      <c r="H362" s="22" t="n">
        <f aca="false">IF(B362="GK",IFERROR(('Player Data'!N362-1.5*'Player Data'!O362)/'Player Data'!H362*90,0),IFERROR(('Player Data'!I362+'Player Data'!J362)/'Player Data'!H362*90,0))</f>
        <v>0.836042731072922</v>
      </c>
      <c r="I362" s="22" t="n">
        <f aca="false">IF(B362="GK",'Player Data'!P362,IFERROR(('Player Data'!K362+'Player Data'!L362)/'Player Data'!H362*90,0))</f>
        <v>10.868555503948</v>
      </c>
      <c r="J362" s="22" t="n">
        <f aca="false">IF(B362="GK",IFERROR('Player Data'!Q362/'Player Data'!H362*90,0),IFERROR('Player Data'!M362/'Player Data'!H362*90,0))</f>
        <v>1.79749187180678</v>
      </c>
      <c r="K362" s="23" t="n">
        <f aca="false">'Player Data'!S362</f>
        <v>0</v>
      </c>
      <c r="L362" s="22" t="n">
        <f aca="false">INDEX(Assumptions!$B$13:$B$15,MATCH(E362,Assumptions!$A$13:$A$15,0))</f>
        <v>1</v>
      </c>
      <c r="M362" s="24" t="n">
        <f aca="false">IFERROR(SUMPRODUCT(($B$2:$B$1001=B362)*($H$2:$H$1001&lt;=H362))/SUMPRODUCT(($B$2:$B$1001=B362)*1),0)</f>
        <v>0.63973063973064</v>
      </c>
      <c r="N362" s="24" t="n">
        <f aca="false">IFERROR(SUMPRODUCT(($B$2:$B$1001=B362)*($I$2:$I$1001&lt;=I362))/SUMPRODUCT(($B$2:$B$1001=B362)*1),0)</f>
        <v>0.494949494949495</v>
      </c>
      <c r="O362" s="24" t="n">
        <f aca="false">IFERROR(SUMPRODUCT(($B$2:$B$1001=B362)*($J$2:$J$1001&lt;=J362))/SUMPRODUCT(($B$2:$B$1001=B362)*1),0)</f>
        <v>0.31986531986532</v>
      </c>
      <c r="P362" s="24" t="n">
        <f aca="false">IFERROR(SUMPRODUCT(($B$2:$B$1001=B362)*((0-$F$2:$F$1001)&lt;=(0-F362)))/SUMPRODUCT(($B$2:$B$1001=B362)*1),0)</f>
        <v>0.61952861952862</v>
      </c>
      <c r="Q362" s="25" t="n">
        <f aca="false">(M362*Assumptions!$B$5+N362*Assumptions!$B$6+O362*Assumptions!$B$7+P362*Assumptions!$B$8)*L362</f>
        <v>0.521043771043771</v>
      </c>
      <c r="R362" s="24" t="n">
        <f aca="false">IFERROR(SUMPRODUCT(($B$2:$B$1001=B362)*($Q$2:$Q$1001&lt;=Q362))/SUMPRODUCT(($B$2:$B$1001=B362)*1),0)</f>
        <v>0.663299663299663</v>
      </c>
      <c r="S362" s="24" t="n">
        <f aca="false">IFERROR(SUMPRODUCT(($B$2:$B$1001=B362)*($K$2:$K$1001&lt;=K362))/SUMPRODUCT(($B$2:$B$1001=B362)*1),0)</f>
        <v>0.228956228956229</v>
      </c>
      <c r="T362" s="26" t="n">
        <f aca="false">(R362-S362)*100</f>
        <v>43.4343434343434</v>
      </c>
      <c r="U362" s="21" t="str">
        <f aca="false">'Player Data'!T362</f>
        <v>No</v>
      </c>
      <c r="V362" s="27" t="n">
        <f aca="false">'Player Data'!U362</f>
        <v>2026</v>
      </c>
      <c r="W362" s="21" t="str">
        <f aca="false">IF(AND(T362&gt;=Assumptions!$B$19,U362="No"),"High Priority - Unrepresented",IF(T362&gt;=Assumptions!$B$19,"High Priority",IF(AND(T362&gt;=Assumptions!$B$20,U362="No"),"Watchlist - Unrepresented",IF(T362&gt;=Assumptions!$B$20,"Watchlist",""))))</f>
        <v>High Priority - Unrepresented</v>
      </c>
      <c r="X362" s="21" t="str">
        <f aca="false">'Player Data'!V362</f>
        <v>info@kutaisitown.ge</v>
      </c>
      <c r="Y362" s="28" t="str">
        <f aca="false">'Player Data'!W362</f>
        <v>Club sporting director / first-team office</v>
      </c>
      <c r="Z362" s="28" t="str">
        <f aca="false">'Player Data'!X362</f>
        <v>GFF (Georgian Football Federation) player registry</v>
      </c>
      <c r="AA362" s="19" t="str">
        <f aca="false">HYPERLINK("https://www.transfermarkt.com/schnellsuche/ergebnis/schnellsuche?query="&amp;SUBSTITUTE(A362," ","+"),"Search Transfermarkt")</f>
        <v>Search Transfermarkt</v>
      </c>
      <c r="AB362" s="29" t="n">
        <f aca="false">IFERROR('Player Data'!K362/('Player Data'!K362+'Player Data'!L362),0)</f>
        <v>0.646153846153846</v>
      </c>
      <c r="AC362" s="21" t="str">
        <f aca="false">IF(B362="GK",IF(AND(O362&gt;=Assumptions!$B$23,N362&gt;=Assumptions!$B$23),"Sweeper-Keeper / Build-from-the-Back",IF(O362&gt;=Assumptions!$B$23,"Sweeper-Keeper / High Line",IF(M362&gt;=Assumptions!$B$23,"Shot-Stopper / Traditional","Flexible / Multi-System"))),IF(AND(O362&gt;=Assumptions!$B$23,P362&gt;=Assumptions!$B$24),"High Press / Gegenpressing",IF(AND(N362&gt;=Assumptions!$B$23,AB362&gt;=Assumptions!$B$25),"Possession / Build-from-the-Back",IF(N362&gt;=Assumptions!$B$23,"Counter-Attack / Transition",IF(AND(O362&gt;=Assumptions!$B$23,N362&lt;Assumptions!$B$26),"Low Block / Park the Bus",IF(AND(B362="FW",M362&gt;=Assumptions!$B$23,N362&lt;Assumptions!$B$26),"Direct / Target Approach","Flexible / Multi-System"))))))</f>
        <v>Flexible / Multi-System</v>
      </c>
      <c r="AD362" s="21" t="str">
        <f aca="false">'Player Data'!Y362</f>
        <v>2026-07-17</v>
      </c>
      <c r="AE362" s="21" t="str">
        <f aca="false">'Player Data'!Z362</f>
        <v>2026-07-17</v>
      </c>
      <c r="AF362" s="28" t="str">
        <f aca="false">IFERROR(INDEX(Assumptions!$B$30:$B$61,MATCH(C362,Assumptions!$A$30:$A$61,0)),"--")</f>
        <v>Turkey, Poland</v>
      </c>
      <c r="AG362" s="30" t="str">
        <f aca="false">IF(R362&gt;=0.7,"Step-Up Candidate",IF(R362&gt;=0.4,"Lateral Move","Stay &amp; Develop"))</f>
        <v>Lateral Move</v>
      </c>
    </row>
    <row r="363" customFormat="false" ht="23.85" hidden="false" customHeight="false" outlineLevel="0" collapsed="false">
      <c r="A363" s="21" t="str">
        <f aca="false">'Player Data'!A363</f>
        <v>Arturs Berzins</v>
      </c>
      <c r="B363" s="21" t="str">
        <f aca="false">'Player Data'!F363</f>
        <v>FW</v>
      </c>
      <c r="C363" s="21" t="str">
        <f aca="false">'Player Data'!B363</f>
        <v>Latvia</v>
      </c>
      <c r="D363" s="21" t="str">
        <f aca="false">'Player Data'!C363</f>
        <v>Latvia Second Division</v>
      </c>
      <c r="E363" s="21" t="n">
        <f aca="false">'Player Data'!D363</f>
        <v>4</v>
      </c>
      <c r="F363" s="21" t="n">
        <f aca="false">'Player Data'!G363</f>
        <v>22</v>
      </c>
      <c r="G363" s="21" t="n">
        <f aca="false">'Player Data'!H363</f>
        <v>2381</v>
      </c>
      <c r="H363" s="22" t="n">
        <f aca="false">IF(B363="GK",IFERROR(('Player Data'!N363-1.5*'Player Data'!O363)/'Player Data'!H363*90,0),IFERROR(('Player Data'!I363+'Player Data'!J363)/'Player Data'!H363*90,0))</f>
        <v>0.793784124317514</v>
      </c>
      <c r="I363" s="22" t="n">
        <f aca="false">IF(B363="GK",'Player Data'!P363,IFERROR(('Player Data'!K363+'Player Data'!L363)/'Player Data'!H363*90,0))</f>
        <v>4.19571608567829</v>
      </c>
      <c r="J363" s="22" t="n">
        <f aca="false">IF(B363="GK",IFERROR('Player Data'!Q363/'Player Data'!H363*90,0),IFERROR('Player Data'!M363/'Player Data'!H363*90,0))</f>
        <v>0.151196976060479</v>
      </c>
      <c r="K363" s="23" t="n">
        <f aca="false">'Player Data'!S363</f>
        <v>0</v>
      </c>
      <c r="L363" s="22" t="n">
        <f aca="false">INDEX(Assumptions!$B$13:$B$15,MATCH(E363,Assumptions!$A$13:$A$15,0))</f>
        <v>0.7</v>
      </c>
      <c r="M363" s="24" t="n">
        <f aca="false">IFERROR(SUMPRODUCT(($B$2:$B$1001=B363)*($H$2:$H$1001&lt;=H363))/SUMPRODUCT(($B$2:$B$1001=B363)*1),0)</f>
        <v>0.305309734513274</v>
      </c>
      <c r="N363" s="24" t="n">
        <f aca="false">IFERROR(SUMPRODUCT(($B$2:$B$1001=B363)*($I$2:$I$1001&lt;=I363))/SUMPRODUCT(($B$2:$B$1001=B363)*1),0)</f>
        <v>0.0707964601769912</v>
      </c>
      <c r="O363" s="24" t="n">
        <f aca="false">IFERROR(SUMPRODUCT(($B$2:$B$1001=B363)*($J$2:$J$1001&lt;=J363))/SUMPRODUCT(($B$2:$B$1001=B363)*1),0)</f>
        <v>0.00884955752212389</v>
      </c>
      <c r="P363" s="24" t="n">
        <f aca="false">IFERROR(SUMPRODUCT(($B$2:$B$1001=B363)*((0-$F$2:$F$1001)&lt;=(0-F363)))/SUMPRODUCT(($B$2:$B$1001=B363)*1),0)</f>
        <v>0.504424778761062</v>
      </c>
      <c r="Q363" s="25" t="n">
        <f aca="false">(M363*Assumptions!$B$5+N363*Assumptions!$B$6+O363*Assumptions!$B$7+P363*Assumptions!$B$8)*L363</f>
        <v>0.142632743362832</v>
      </c>
      <c r="R363" s="24" t="n">
        <f aca="false">IFERROR(SUMPRODUCT(($B$2:$B$1001=B363)*($Q$2:$Q$1001&lt;=Q363))/SUMPRODUCT(($B$2:$B$1001=B363)*1),0)</f>
        <v>0.0309734513274336</v>
      </c>
      <c r="S363" s="24" t="n">
        <f aca="false">IFERROR(SUMPRODUCT(($B$2:$B$1001=B363)*($K$2:$K$1001&lt;=K363))/SUMPRODUCT(($B$2:$B$1001=B363)*1),0)</f>
        <v>0.261061946902655</v>
      </c>
      <c r="T363" s="26" t="n">
        <f aca="false">(R363-S363)*100</f>
        <v>-23.0088495575221</v>
      </c>
      <c r="U363" s="21" t="str">
        <f aca="false">'Player Data'!T363</f>
        <v>Unknown</v>
      </c>
      <c r="V363" s="27" t="n">
        <f aca="false">'Player Data'!U363</f>
        <v>2026</v>
      </c>
      <c r="W363" s="21" t="str">
        <f aca="false">IF(AND(T363&gt;=Assumptions!$B$19,U363="No"),"High Priority - Unrepresented",IF(T363&gt;=Assumptions!$B$19,"High Priority",IF(AND(T363&gt;=Assumptions!$B$20,U363="No"),"Watchlist - Unrepresented",IF(T363&gt;=Assumptions!$B$20,"Watchlist",""))))</f>
        <v/>
      </c>
      <c r="X363" s="21" t="str">
        <f aca="false">'Player Data'!V363</f>
        <v>info@rigaunited.lv</v>
      </c>
      <c r="Y363" s="28" t="str">
        <f aca="false">'Player Data'!W363</f>
        <v>Club sporting director / first-team office</v>
      </c>
      <c r="Z363" s="28" t="str">
        <f aca="false">'Player Data'!X363</f>
        <v>LFF (Latvian Football Federation) player registry</v>
      </c>
      <c r="AA363" s="19" t="str">
        <f aca="false">HYPERLINK("https://www.transfermarkt.com/schnellsuche/ergebnis/schnellsuche?query="&amp;SUBSTITUTE(A363," ","+"),"Search Transfermarkt")</f>
        <v>Search Transfermarkt</v>
      </c>
      <c r="AB363" s="29" t="n">
        <f aca="false">IFERROR('Player Data'!K363/('Player Data'!K363+'Player Data'!L363),0)</f>
        <v>0.369369369369369</v>
      </c>
      <c r="AC363" s="21" t="str">
        <f aca="false">IF(B363="GK",IF(AND(O363&gt;=Assumptions!$B$23,N363&gt;=Assumptions!$B$23),"Sweeper-Keeper / Build-from-the-Back",IF(O363&gt;=Assumptions!$B$23,"Sweeper-Keeper / High Line",IF(M363&gt;=Assumptions!$B$23,"Shot-Stopper / Traditional","Flexible / Multi-System"))),IF(AND(O363&gt;=Assumptions!$B$23,P363&gt;=Assumptions!$B$24),"High Press / Gegenpressing",IF(AND(N363&gt;=Assumptions!$B$23,AB363&gt;=Assumptions!$B$25),"Possession / Build-from-the-Back",IF(N363&gt;=Assumptions!$B$23,"Counter-Attack / Transition",IF(AND(O363&gt;=Assumptions!$B$23,N363&lt;Assumptions!$B$26),"Low Block / Park the Bus",IF(AND(B363="FW",M363&gt;=Assumptions!$B$23,N363&lt;Assumptions!$B$26),"Direct / Target Approach","Flexible / Multi-System"))))))</f>
        <v>Flexible / Multi-System</v>
      </c>
      <c r="AD363" s="21" t="str">
        <f aca="false">'Player Data'!Y363</f>
        <v>2026-07-17</v>
      </c>
      <c r="AE363" s="21" t="str">
        <f aca="false">'Player Data'!Z363</f>
        <v>2026-07-17</v>
      </c>
      <c r="AF363" s="28" t="str">
        <f aca="false">IFERROR(INDEX(Assumptions!$B$30:$B$61,MATCH(C363,Assumptions!$A$30:$A$61,0)),"--")</f>
        <v>Poland, Norway</v>
      </c>
      <c r="AG363" s="30" t="str">
        <f aca="false">IF(R363&gt;=0.7,"Step-Up Candidate",IF(R363&gt;=0.4,"Lateral Move","Stay &amp; Develop"))</f>
        <v>Stay &amp; Develop</v>
      </c>
    </row>
    <row r="364" customFormat="false" ht="23.85" hidden="false" customHeight="false" outlineLevel="0" collapsed="false">
      <c r="A364" s="21" t="str">
        <f aca="false">'Player Data'!A364</f>
        <v>Ji-ho Kim</v>
      </c>
      <c r="B364" s="21" t="str">
        <f aca="false">'Player Data'!F364</f>
        <v>DF</v>
      </c>
      <c r="C364" s="21" t="str">
        <f aca="false">'Player Data'!B364</f>
        <v>South Korea</v>
      </c>
      <c r="D364" s="21" t="str">
        <f aca="false">'Player Data'!C364</f>
        <v>South Korea Reserve League</v>
      </c>
      <c r="E364" s="21" t="n">
        <f aca="false">'Player Data'!D364</f>
        <v>4</v>
      </c>
      <c r="F364" s="21" t="n">
        <f aca="false">'Player Data'!G364</f>
        <v>24</v>
      </c>
      <c r="G364" s="21" t="n">
        <f aca="false">'Player Data'!H364</f>
        <v>1450</v>
      </c>
      <c r="H364" s="22" t="n">
        <f aca="false">IF(B364="GK",IFERROR(('Player Data'!N364-1.5*'Player Data'!O364)/'Player Data'!H364*90,0),IFERROR(('Player Data'!I364+'Player Data'!J364)/'Player Data'!H364*90,0))</f>
        <v>0.124137931034483</v>
      </c>
      <c r="I364" s="22" t="n">
        <f aca="false">IF(B364="GK",'Player Data'!P364,IFERROR(('Player Data'!K364+'Player Data'!L364)/'Player Data'!H364*90,0))</f>
        <v>6.39310344827586</v>
      </c>
      <c r="J364" s="22" t="n">
        <f aca="false">IF(B364="GK",IFERROR('Player Data'!Q364/'Player Data'!H364*90,0),IFERROR('Player Data'!M364/'Player Data'!H364*90,0))</f>
        <v>5.77241379310345</v>
      </c>
      <c r="K364" s="23" t="n">
        <f aca="false">'Player Data'!S364</f>
        <v>26795</v>
      </c>
      <c r="L364" s="22" t="n">
        <f aca="false">INDEX(Assumptions!$B$13:$B$15,MATCH(E364,Assumptions!$A$13:$A$15,0))</f>
        <v>0.7</v>
      </c>
      <c r="M364" s="24" t="n">
        <f aca="false">IFERROR(SUMPRODUCT(($B$2:$B$1001=B364)*($H$2:$H$1001&lt;=H364))/SUMPRODUCT(($B$2:$B$1001=B364)*1),0)</f>
        <v>0.282312925170068</v>
      </c>
      <c r="N364" s="24" t="n">
        <f aca="false">IFERROR(SUMPRODUCT(($B$2:$B$1001=B364)*($I$2:$I$1001&lt;=I364))/SUMPRODUCT(($B$2:$B$1001=B364)*1),0)</f>
        <v>0.789115646258503</v>
      </c>
      <c r="O364" s="24" t="n">
        <f aca="false">IFERROR(SUMPRODUCT(($B$2:$B$1001=B364)*($J$2:$J$1001&lt;=J364))/SUMPRODUCT(($B$2:$B$1001=B364)*1),0)</f>
        <v>0.574829931972789</v>
      </c>
      <c r="P364" s="24" t="n">
        <f aca="false">IFERROR(SUMPRODUCT(($B$2:$B$1001=B364)*((0-$F$2:$F$1001)&lt;=(0-F364)))/SUMPRODUCT(($B$2:$B$1001=B364)*1),0)</f>
        <v>0.275510204081633</v>
      </c>
      <c r="Q364" s="25" t="n">
        <f aca="false">(M364*Assumptions!$B$5+N364*Assumptions!$B$6+O364*Assumptions!$B$7+P364*Assumptions!$B$8)*L364</f>
        <v>0.361785714285714</v>
      </c>
      <c r="R364" s="24" t="n">
        <f aca="false">IFERROR(SUMPRODUCT(($B$2:$B$1001=B364)*($Q$2:$Q$1001&lt;=Q364))/SUMPRODUCT(($B$2:$B$1001=B364)*1),0)</f>
        <v>0.377551020408163</v>
      </c>
      <c r="S364" s="24" t="n">
        <f aca="false">IFERROR(SUMPRODUCT(($B$2:$B$1001=B364)*($K$2:$K$1001&lt;=K364))/SUMPRODUCT(($B$2:$B$1001=B364)*1),0)</f>
        <v>0.350340136054422</v>
      </c>
      <c r="T364" s="26" t="n">
        <f aca="false">(R364-S364)*100</f>
        <v>2.72108843537415</v>
      </c>
      <c r="U364" s="21" t="str">
        <f aca="false">'Player Data'!T364</f>
        <v>No</v>
      </c>
      <c r="V364" s="27" t="n">
        <f aca="false">'Player Data'!U364</f>
        <v>2029</v>
      </c>
      <c r="W364" s="21" t="str">
        <f aca="false">IF(AND(T364&gt;=Assumptions!$B$19,U364="No"),"High Priority - Unrepresented",IF(T364&gt;=Assumptions!$B$19,"High Priority",IF(AND(T364&gt;=Assumptions!$B$20,U364="No"),"Watchlist - Unrepresented",IF(T364&gt;=Assumptions!$B$20,"Watchlist",""))))</f>
        <v/>
      </c>
      <c r="X364" s="21" t="str">
        <f aca="false">'Player Data'!V364</f>
        <v>info@daejeonathletic.kr</v>
      </c>
      <c r="Y364" s="28" t="str">
        <f aca="false">'Player Data'!W364</f>
        <v>Club sporting director / first-team office</v>
      </c>
      <c r="Z364" s="28" t="str">
        <f aca="false">'Player Data'!X364</f>
        <v>KFA (Korea Football Association) player registry</v>
      </c>
      <c r="AA364" s="19" t="str">
        <f aca="false">HYPERLINK("https://www.transfermarkt.com/schnellsuche/ergebnis/schnellsuche?query="&amp;SUBSTITUTE(A364," ","+"),"Search Transfermarkt")</f>
        <v>Search Transfermarkt</v>
      </c>
      <c r="AB364" s="29" t="n">
        <f aca="false">IFERROR('Player Data'!K364/('Player Data'!K364+'Player Data'!L364),0)</f>
        <v>0.58252427184466</v>
      </c>
      <c r="AC364" s="21" t="str">
        <f aca="false">IF(B364="GK",IF(AND(O364&gt;=Assumptions!$B$23,N364&gt;=Assumptions!$B$23),"Sweeper-Keeper / Build-from-the-Back",IF(O364&gt;=Assumptions!$B$23,"Sweeper-Keeper / High Line",IF(M364&gt;=Assumptions!$B$23,"Shot-Stopper / Traditional","Flexible / Multi-System"))),IF(AND(O364&gt;=Assumptions!$B$23,P364&gt;=Assumptions!$B$24),"High Press / Gegenpressing",IF(AND(N364&gt;=Assumptions!$B$23,AB364&gt;=Assumptions!$B$25),"Possession / Build-from-the-Back",IF(N364&gt;=Assumptions!$B$23,"Counter-Attack / Transition",IF(AND(O364&gt;=Assumptions!$B$23,N364&lt;Assumptions!$B$26),"Low Block / Park the Bus",IF(AND(B364="FW",M364&gt;=Assumptions!$B$23,N364&lt;Assumptions!$B$26),"Direct / Target Approach","Flexible / Multi-System"))))))</f>
        <v>Counter-Attack / Transition</v>
      </c>
      <c r="AD364" s="21" t="str">
        <f aca="false">'Player Data'!Y364</f>
        <v>2026-07-17</v>
      </c>
      <c r="AE364" s="21" t="str">
        <f aca="false">'Player Data'!Z364</f>
        <v>2026-07-17</v>
      </c>
      <c r="AF364" s="28" t="str">
        <f aca="false">IFERROR(INDEX(Assumptions!$B$30:$B$61,MATCH(C364,Assumptions!$A$30:$A$61,0)),"--")</f>
        <v>Belgium, Saudi Arabia</v>
      </c>
      <c r="AG364" s="30" t="str">
        <f aca="false">IF(R364&gt;=0.7,"Step-Up Candidate",IF(R364&gt;=0.4,"Lateral Move","Stay &amp; Develop"))</f>
        <v>Stay &amp; Develop</v>
      </c>
    </row>
    <row r="365" customFormat="false" ht="23.85" hidden="false" customHeight="false" outlineLevel="0" collapsed="false">
      <c r="A365" s="21" t="str">
        <f aca="false">'Player Data'!A365</f>
        <v>Wilfried Kone</v>
      </c>
      <c r="B365" s="21" t="str">
        <f aca="false">'Player Data'!F365</f>
        <v>GK</v>
      </c>
      <c r="C365" s="21" t="str">
        <f aca="false">'Player Data'!B365</f>
        <v>Ivory Coast</v>
      </c>
      <c r="D365" s="21" t="str">
        <f aca="false">'Player Data'!C365</f>
        <v>Ivory Coast Reserve League</v>
      </c>
      <c r="E365" s="21" t="n">
        <f aca="false">'Player Data'!D365</f>
        <v>3</v>
      </c>
      <c r="F365" s="21" t="n">
        <f aca="false">'Player Data'!G365</f>
        <v>23</v>
      </c>
      <c r="G365" s="21" t="n">
        <f aca="false">'Player Data'!H365</f>
        <v>2126</v>
      </c>
      <c r="H365" s="22" t="n">
        <f aca="false">IF(B365="GK",IFERROR(('Player Data'!N365-1.5*'Player Data'!O365)/'Player Data'!H365*90,0),IFERROR(('Player Data'!I365+'Player Data'!J365)/'Player Data'!H365*90,0))</f>
        <v>1.12182502351834</v>
      </c>
      <c r="I365" s="22" t="n">
        <f aca="false">IF(B365="GK",'Player Data'!P365,IFERROR(('Player Data'!K365+'Player Data'!L365)/'Player Data'!H365*90,0))</f>
        <v>78.9</v>
      </c>
      <c r="J365" s="22" t="n">
        <f aca="false">IF(B365="GK",IFERROR('Player Data'!Q365/'Player Data'!H365*90,0),IFERROR('Player Data'!M365/'Player Data'!H365*90,0))</f>
        <v>0.910159924741298</v>
      </c>
      <c r="K365" s="23" t="n">
        <f aca="false">'Player Data'!S365</f>
        <v>136790</v>
      </c>
      <c r="L365" s="22" t="n">
        <f aca="false">INDEX(Assumptions!$B$13:$B$15,MATCH(E365,Assumptions!$A$13:$A$15,0))</f>
        <v>0.85</v>
      </c>
      <c r="M365" s="24" t="n">
        <f aca="false">IFERROR(SUMPRODUCT(($B$2:$B$1001=B365)*($H$2:$H$1001&lt;=H365))/SUMPRODUCT(($B$2:$B$1001=B365)*1),0)</f>
        <v>0.497267759562842</v>
      </c>
      <c r="N365" s="24" t="n">
        <f aca="false">IFERROR(SUMPRODUCT(($B$2:$B$1001=B365)*($I$2:$I$1001&lt;=I365))/SUMPRODUCT(($B$2:$B$1001=B365)*1),0)</f>
        <v>0.622950819672131</v>
      </c>
      <c r="O365" s="24" t="n">
        <f aca="false">IFERROR(SUMPRODUCT(($B$2:$B$1001=B365)*($J$2:$J$1001&lt;=J365))/SUMPRODUCT(($B$2:$B$1001=B365)*1),0)</f>
        <v>0.557377049180328</v>
      </c>
      <c r="P365" s="24" t="n">
        <f aca="false">IFERROR(SUMPRODUCT(($B$2:$B$1001=B365)*((0-$F$2:$F$1001)&lt;=(0-F365)))/SUMPRODUCT(($B$2:$B$1001=B365)*1),0)</f>
        <v>0.431693989071038</v>
      </c>
      <c r="Q365" s="25" t="n">
        <f aca="false">(M365*Assumptions!$B$5+N365*Assumptions!$B$6+O365*Assumptions!$B$7+P365*Assumptions!$B$8)*L365</f>
        <v>0.459139344262295</v>
      </c>
      <c r="R365" s="24" t="n">
        <f aca="false">IFERROR(SUMPRODUCT(($B$2:$B$1001=B365)*($Q$2:$Q$1001&lt;=Q365))/SUMPRODUCT(($B$2:$B$1001=B365)*1),0)</f>
        <v>0.491803278688525</v>
      </c>
      <c r="S365" s="24" t="n">
        <f aca="false">IFERROR(SUMPRODUCT(($B$2:$B$1001=B365)*($K$2:$K$1001&lt;=K365))/SUMPRODUCT(($B$2:$B$1001=B365)*1),0)</f>
        <v>0.918032786885246</v>
      </c>
      <c r="T365" s="26" t="n">
        <f aca="false">(R365-S365)*100</f>
        <v>-42.6229508196721</v>
      </c>
      <c r="U365" s="21" t="str">
        <f aca="false">'Player Data'!T365</f>
        <v>No</v>
      </c>
      <c r="V365" s="27" t="n">
        <f aca="false">'Player Data'!U365</f>
        <v>2028</v>
      </c>
      <c r="W365" s="21" t="str">
        <f aca="false">IF(AND(T365&gt;=Assumptions!$B$19,U365="No"),"High Priority - Unrepresented",IF(T365&gt;=Assumptions!$B$19,"High Priority",IF(AND(T365&gt;=Assumptions!$B$20,U365="No"),"Watchlist - Unrepresented",IF(T365&gt;=Assumptions!$B$20,"Watchlist",""))))</f>
        <v/>
      </c>
      <c r="X365" s="21" t="str">
        <f aca="false">'Player Data'!V365</f>
        <v>info@sanpedrofc.ci</v>
      </c>
      <c r="Y365" s="28" t="str">
        <f aca="false">'Player Data'!W365</f>
        <v>Club sporting director / first-team office</v>
      </c>
      <c r="Z365" s="28" t="str">
        <f aca="false">'Player Data'!X365</f>
        <v>FIF (Ivorian Football Federation) player registry</v>
      </c>
      <c r="AA365" s="19" t="str">
        <f aca="false">HYPERLINK("https://www.transfermarkt.com/schnellsuche/ergebnis/schnellsuche?query="&amp;SUBSTITUTE(A365," ","+"),"Search Transfermarkt")</f>
        <v>Search Transfermarkt</v>
      </c>
      <c r="AB365" s="29" t="n">
        <f aca="false">IFERROR('Player Data'!K365/('Player Data'!K365+'Player Data'!L365),0)</f>
        <v>0.75</v>
      </c>
      <c r="AC365" s="21" t="str">
        <f aca="false">IF(B365="GK",IF(AND(O365&gt;=Assumptions!$B$23,N365&gt;=Assumptions!$B$23),"Sweeper-Keeper / Build-from-the-Back",IF(O365&gt;=Assumptions!$B$23,"Sweeper-Keeper / High Line",IF(M365&gt;=Assumptions!$B$23,"Shot-Stopper / Traditional","Flexible / Multi-System"))),IF(AND(O365&gt;=Assumptions!$B$23,P365&gt;=Assumptions!$B$24),"High Press / Gegenpressing",IF(AND(N365&gt;=Assumptions!$B$23,AB365&gt;=Assumptions!$B$25),"Possession / Build-from-the-Back",IF(N365&gt;=Assumptions!$B$23,"Counter-Attack / Transition",IF(AND(O365&gt;=Assumptions!$B$23,N365&lt;Assumptions!$B$26),"Low Block / Park the Bus",IF(AND(B365="FW",M365&gt;=Assumptions!$B$23,N365&lt;Assumptions!$B$26),"Direct / Target Approach","Flexible / Multi-System"))))))</f>
        <v>Flexible / Multi-System</v>
      </c>
      <c r="AD365" s="21" t="str">
        <f aca="false">'Player Data'!Y365</f>
        <v>2026-07-17</v>
      </c>
      <c r="AE365" s="21" t="str">
        <f aca="false">'Player Data'!Z365</f>
        <v>2026-07-17</v>
      </c>
      <c r="AF365" s="28" t="str">
        <f aca="false">IFERROR(INDEX(Assumptions!$B$30:$B$61,MATCH(C365,Assumptions!$A$30:$A$61,0)),"--")</f>
        <v>Belgium, Portugal</v>
      </c>
      <c r="AG365" s="30" t="str">
        <f aca="false">IF(R365&gt;=0.7,"Step-Up Candidate",IF(R365&gt;=0.4,"Lateral Move","Stay &amp; Develop"))</f>
        <v>Lateral Move</v>
      </c>
    </row>
    <row r="366" customFormat="false" ht="23.85" hidden="false" customHeight="false" outlineLevel="0" collapsed="false">
      <c r="A366" s="21" t="str">
        <f aca="false">'Player Data'!A366</f>
        <v>Sebastian Cardozo</v>
      </c>
      <c r="B366" s="21" t="str">
        <f aca="false">'Player Data'!F366</f>
        <v>MF</v>
      </c>
      <c r="C366" s="21" t="str">
        <f aca="false">'Player Data'!B366</f>
        <v>Paraguay</v>
      </c>
      <c r="D366" s="21" t="str">
        <f aca="false">'Player Data'!C366</f>
        <v>Paraguay Second Division - East</v>
      </c>
      <c r="E366" s="21" t="n">
        <f aca="false">'Player Data'!D366</f>
        <v>2</v>
      </c>
      <c r="F366" s="21" t="n">
        <f aca="false">'Player Data'!G366</f>
        <v>22</v>
      </c>
      <c r="G366" s="21" t="n">
        <f aca="false">'Player Data'!H366</f>
        <v>1589</v>
      </c>
      <c r="H366" s="22" t="n">
        <f aca="false">IF(B366="GK",IFERROR(('Player Data'!N366-1.5*'Player Data'!O366)/'Player Data'!H366*90,0),IFERROR(('Player Data'!I366+'Player Data'!J366)/'Player Data'!H366*90,0))</f>
        <v>0.736312146003776</v>
      </c>
      <c r="I366" s="22" t="n">
        <f aca="false">IF(B366="GK",'Player Data'!P366,IFERROR(('Player Data'!K366+'Player Data'!L366)/'Player Data'!H366*90,0))</f>
        <v>12.1208307111391</v>
      </c>
      <c r="J366" s="22" t="n">
        <f aca="false">IF(B366="GK",IFERROR('Player Data'!Q366/'Player Data'!H366*90,0),IFERROR('Player Data'!M366/'Player Data'!H366*90,0))</f>
        <v>1.58590308370044</v>
      </c>
      <c r="K366" s="23" t="n">
        <f aca="false">'Player Data'!S366</f>
        <v>0</v>
      </c>
      <c r="L366" s="22" t="n">
        <f aca="false">INDEX(Assumptions!$B$13:$B$15,MATCH(E366,Assumptions!$A$13:$A$15,0))</f>
        <v>1</v>
      </c>
      <c r="M366" s="24" t="n">
        <f aca="false">IFERROR(SUMPRODUCT(($B$2:$B$1001=B366)*($H$2:$H$1001&lt;=H366))/SUMPRODUCT(($B$2:$B$1001=B366)*1),0)</f>
        <v>0.494949494949495</v>
      </c>
      <c r="N366" s="24" t="n">
        <f aca="false">IFERROR(SUMPRODUCT(($B$2:$B$1001=B366)*($I$2:$I$1001&lt;=I366))/SUMPRODUCT(($B$2:$B$1001=B366)*1),0)</f>
        <v>0.602693602693603</v>
      </c>
      <c r="O366" s="24" t="n">
        <f aca="false">IFERROR(SUMPRODUCT(($B$2:$B$1001=B366)*($J$2:$J$1001&lt;=J366))/SUMPRODUCT(($B$2:$B$1001=B366)*1),0)</f>
        <v>0.218855218855219</v>
      </c>
      <c r="P366" s="24" t="n">
        <f aca="false">IFERROR(SUMPRODUCT(($B$2:$B$1001=B366)*((0-$F$2:$F$1001)&lt;=(0-F366)))/SUMPRODUCT(($B$2:$B$1001=B366)*1),0)</f>
        <v>0.515151515151515</v>
      </c>
      <c r="Q366" s="25" t="n">
        <f aca="false">(M366*Assumptions!$B$5+N366*Assumptions!$B$6+O366*Assumptions!$B$7+P366*Assumptions!$B$8)*L366</f>
        <v>0.481481481481482</v>
      </c>
      <c r="R366" s="24" t="n">
        <f aca="false">IFERROR(SUMPRODUCT(($B$2:$B$1001=B366)*($Q$2:$Q$1001&lt;=Q366))/SUMPRODUCT(($B$2:$B$1001=B366)*1),0)</f>
        <v>0.592592592592593</v>
      </c>
      <c r="S366" s="24" t="n">
        <f aca="false">IFERROR(SUMPRODUCT(($B$2:$B$1001=B366)*($K$2:$K$1001&lt;=K366))/SUMPRODUCT(($B$2:$B$1001=B366)*1),0)</f>
        <v>0.228956228956229</v>
      </c>
      <c r="T366" s="26" t="n">
        <f aca="false">(R366-S366)*100</f>
        <v>36.3636363636364</v>
      </c>
      <c r="U366" s="21" t="str">
        <f aca="false">'Player Data'!T366</f>
        <v>Yes</v>
      </c>
      <c r="V366" s="27" t="n">
        <f aca="false">'Player Data'!U366</f>
        <v>2027</v>
      </c>
      <c r="W366" s="21" t="str">
        <f aca="false">IF(AND(T366&gt;=Assumptions!$B$19,U366="No"),"High Priority - Unrepresented",IF(T366&gt;=Assumptions!$B$19,"High Priority",IF(AND(T366&gt;=Assumptions!$B$20,U366="No"),"Watchlist - Unrepresented",IF(T366&gt;=Assumptions!$B$20,"Watchlist",""))))</f>
        <v>Watchlist</v>
      </c>
      <c r="X366" s="21" t="str">
        <f aca="false">'Player Data'!V366</f>
        <v>info@encarnacionwanderers.py</v>
      </c>
      <c r="Y366" s="28" t="str">
        <f aca="false">'Player Data'!W366</f>
        <v>Go through the player's agent - ask the club to confirm representation first</v>
      </c>
      <c r="Z366" s="28" t="str">
        <f aca="false">'Player Data'!X366</f>
        <v>APF (Paraguayan Football Association) player registry</v>
      </c>
      <c r="AA366" s="19" t="str">
        <f aca="false">HYPERLINK("https://www.transfermarkt.com/schnellsuche/ergebnis/schnellsuche?query="&amp;SUBSTITUTE(A366," ","+"),"Search Transfermarkt")</f>
        <v>Search Transfermarkt</v>
      </c>
      <c r="AB366" s="29" t="n">
        <f aca="false">IFERROR('Player Data'!K366/('Player Data'!K366+'Player Data'!L366),0)</f>
        <v>0.607476635514019</v>
      </c>
      <c r="AC366" s="21" t="str">
        <f aca="false">IF(B366="GK",IF(AND(O366&gt;=Assumptions!$B$23,N366&gt;=Assumptions!$B$23),"Sweeper-Keeper / Build-from-the-Back",IF(O366&gt;=Assumptions!$B$23,"Sweeper-Keeper / High Line",IF(M366&gt;=Assumptions!$B$23,"Shot-Stopper / Traditional","Flexible / Multi-System"))),IF(AND(O366&gt;=Assumptions!$B$23,P366&gt;=Assumptions!$B$24),"High Press / Gegenpressing",IF(AND(N366&gt;=Assumptions!$B$23,AB366&gt;=Assumptions!$B$25),"Possession / Build-from-the-Back",IF(N366&gt;=Assumptions!$B$23,"Counter-Attack / Transition",IF(AND(O366&gt;=Assumptions!$B$23,N366&lt;Assumptions!$B$26),"Low Block / Park the Bus",IF(AND(B366="FW",M366&gt;=Assumptions!$B$23,N366&lt;Assumptions!$B$26),"Direct / Target Approach","Flexible / Multi-System"))))))</f>
        <v>Flexible / Multi-System</v>
      </c>
      <c r="AD366" s="21" t="str">
        <f aca="false">'Player Data'!Y366</f>
        <v>2026-07-17</v>
      </c>
      <c r="AE366" s="21" t="str">
        <f aca="false">'Player Data'!Z366</f>
        <v>2026-07-17</v>
      </c>
      <c r="AF366" s="28" t="str">
        <f aca="false">IFERROR(INDEX(Assumptions!$B$30:$B$61,MATCH(C366,Assumptions!$A$30:$A$61,0)),"--")</f>
        <v>Argentina, Portugal</v>
      </c>
      <c r="AG366" s="30" t="str">
        <f aca="false">IF(R366&gt;=0.7,"Step-Up Candidate",IF(R366&gt;=0.4,"Lateral Move","Stay &amp; Develop"))</f>
        <v>Lateral Move</v>
      </c>
    </row>
    <row r="367" customFormat="false" ht="23.85" hidden="false" customHeight="false" outlineLevel="0" collapsed="false">
      <c r="A367" s="21" t="str">
        <f aca="false">'Player Data'!A367</f>
        <v>Saba Lomidze</v>
      </c>
      <c r="B367" s="21" t="str">
        <f aca="false">'Player Data'!F367</f>
        <v>FW</v>
      </c>
      <c r="C367" s="21" t="str">
        <f aca="false">'Player Data'!B367</f>
        <v>Georgia</v>
      </c>
      <c r="D367" s="21" t="str">
        <f aca="false">'Player Data'!C367</f>
        <v>Georgia Reserve League</v>
      </c>
      <c r="E367" s="21" t="n">
        <f aca="false">'Player Data'!D367</f>
        <v>3</v>
      </c>
      <c r="F367" s="21" t="n">
        <f aca="false">'Player Data'!G367</f>
        <v>26</v>
      </c>
      <c r="G367" s="21" t="n">
        <f aca="false">'Player Data'!H367</f>
        <v>2131</v>
      </c>
      <c r="H367" s="22" t="n">
        <f aca="false">IF(B367="GK",IFERROR(('Player Data'!N367-1.5*'Player Data'!O367)/'Player Data'!H367*90,0),IFERROR(('Player Data'!I367+'Player Data'!J367)/'Player Data'!H367*90,0))</f>
        <v>0.506804317221962</v>
      </c>
      <c r="I367" s="22" t="n">
        <f aca="false">IF(B367="GK",'Player Data'!P367,IFERROR(('Player Data'!K367+'Player Data'!L367)/'Player Data'!H367*90,0))</f>
        <v>5.53261379633975</v>
      </c>
      <c r="J367" s="22" t="n">
        <f aca="false">IF(B367="GK",IFERROR('Player Data'!Q367/'Player Data'!H367*90,0),IFERROR('Player Data'!M367/'Player Data'!H367*90,0))</f>
        <v>0.591271703425622</v>
      </c>
      <c r="K367" s="23" t="n">
        <f aca="false">'Player Data'!S367</f>
        <v>37241</v>
      </c>
      <c r="L367" s="22" t="n">
        <f aca="false">INDEX(Assumptions!$B$13:$B$15,MATCH(E367,Assumptions!$A$13:$A$15,0))</f>
        <v>0.85</v>
      </c>
      <c r="M367" s="24" t="n">
        <f aca="false">IFERROR(SUMPRODUCT(($B$2:$B$1001=B367)*($H$2:$H$1001&lt;=H367))/SUMPRODUCT(($B$2:$B$1001=B367)*1),0)</f>
        <v>0.079646017699115</v>
      </c>
      <c r="N367" s="24" t="n">
        <f aca="false">IFERROR(SUMPRODUCT(($B$2:$B$1001=B367)*($I$2:$I$1001&lt;=I367))/SUMPRODUCT(($B$2:$B$1001=B367)*1),0)</f>
        <v>0.323008849557522</v>
      </c>
      <c r="O367" s="24" t="n">
        <f aca="false">IFERROR(SUMPRODUCT(($B$2:$B$1001=B367)*($J$2:$J$1001&lt;=J367))/SUMPRODUCT(($B$2:$B$1001=B367)*1),0)</f>
        <v>0.615044247787611</v>
      </c>
      <c r="P367" s="24" t="n">
        <f aca="false">IFERROR(SUMPRODUCT(($B$2:$B$1001=B367)*((0-$F$2:$F$1001)&lt;=(0-F367)))/SUMPRODUCT(($B$2:$B$1001=B367)*1),0)</f>
        <v>0.0929203539823009</v>
      </c>
      <c r="Q367" s="25" t="n">
        <f aca="false">(M367*Assumptions!$B$5+N367*Assumptions!$B$6+O367*Assumptions!$B$7+P367*Assumptions!$B$8)*L367</f>
        <v>0.23337389380531</v>
      </c>
      <c r="R367" s="24" t="n">
        <f aca="false">IFERROR(SUMPRODUCT(($B$2:$B$1001=B367)*($Q$2:$Q$1001&lt;=Q367))/SUMPRODUCT(($B$2:$B$1001=B367)*1),0)</f>
        <v>0.154867256637168</v>
      </c>
      <c r="S367" s="24" t="n">
        <f aca="false">IFERROR(SUMPRODUCT(($B$2:$B$1001=B367)*($K$2:$K$1001&lt;=K367))/SUMPRODUCT(($B$2:$B$1001=B367)*1),0)</f>
        <v>0.402654867256637</v>
      </c>
      <c r="T367" s="26" t="n">
        <f aca="false">(R367-S367)*100</f>
        <v>-24.7787610619469</v>
      </c>
      <c r="U367" s="21" t="str">
        <f aca="false">'Player Data'!T367</f>
        <v>No</v>
      </c>
      <c r="V367" s="27" t="n">
        <f aca="false">'Player Data'!U367</f>
        <v>2026</v>
      </c>
      <c r="W367" s="21" t="str">
        <f aca="false">IF(AND(T367&gt;=Assumptions!$B$19,U367="No"),"High Priority - Unrepresented",IF(T367&gt;=Assumptions!$B$19,"High Priority",IF(AND(T367&gt;=Assumptions!$B$20,U367="No"),"Watchlist - Unrepresented",IF(T367&gt;=Assumptions!$B$20,"Watchlist",""))))</f>
        <v/>
      </c>
      <c r="X367" s="21" t="str">
        <f aca="false">'Player Data'!V367</f>
        <v>info@batumicity.ge</v>
      </c>
      <c r="Y367" s="28" t="str">
        <f aca="false">'Player Data'!W367</f>
        <v>Club sporting director / first-team office</v>
      </c>
      <c r="Z367" s="28" t="str">
        <f aca="false">'Player Data'!X367</f>
        <v>GFF (Georgian Football Federation) player registry</v>
      </c>
      <c r="AA367" s="19" t="str">
        <f aca="false">HYPERLINK("https://www.transfermarkt.com/schnellsuche/ergebnis/schnellsuche?query="&amp;SUBSTITUTE(A367," ","+"),"Search Transfermarkt")</f>
        <v>Search Transfermarkt</v>
      </c>
      <c r="AB367" s="29" t="n">
        <f aca="false">IFERROR('Player Data'!K367/('Player Data'!K367+'Player Data'!L367),0)</f>
        <v>0.251908396946565</v>
      </c>
      <c r="AC367" s="21" t="str">
        <f aca="false">IF(B367="GK",IF(AND(O367&gt;=Assumptions!$B$23,N367&gt;=Assumptions!$B$23),"Sweeper-Keeper / Build-from-the-Back",IF(O367&gt;=Assumptions!$B$23,"Sweeper-Keeper / High Line",IF(M367&gt;=Assumptions!$B$23,"Shot-Stopper / Traditional","Flexible / Multi-System"))),IF(AND(O367&gt;=Assumptions!$B$23,P367&gt;=Assumptions!$B$24),"High Press / Gegenpressing",IF(AND(N367&gt;=Assumptions!$B$23,AB367&gt;=Assumptions!$B$25),"Possession / Build-from-the-Back",IF(N367&gt;=Assumptions!$B$23,"Counter-Attack / Transition",IF(AND(O367&gt;=Assumptions!$B$23,N367&lt;Assumptions!$B$26),"Low Block / Park the Bus",IF(AND(B367="FW",M367&gt;=Assumptions!$B$23,N367&lt;Assumptions!$B$26),"Direct / Target Approach","Flexible / Multi-System"))))))</f>
        <v>Flexible / Multi-System</v>
      </c>
      <c r="AD367" s="21" t="str">
        <f aca="false">'Player Data'!Y367</f>
        <v>2026-07-17</v>
      </c>
      <c r="AE367" s="21" t="str">
        <f aca="false">'Player Data'!Z367</f>
        <v>2026-07-17</v>
      </c>
      <c r="AF367" s="28" t="str">
        <f aca="false">IFERROR(INDEX(Assumptions!$B$30:$B$61,MATCH(C367,Assumptions!$A$30:$A$61,0)),"--")</f>
        <v>Turkey, Poland</v>
      </c>
      <c r="AG367" s="30" t="str">
        <f aca="false">IF(R367&gt;=0.7,"Step-Up Candidate",IF(R367&gt;=0.4,"Lateral Move","Stay &amp; Develop"))</f>
        <v>Stay &amp; Develop</v>
      </c>
    </row>
    <row r="368" customFormat="false" ht="23.85" hidden="false" customHeight="false" outlineLevel="0" collapsed="false">
      <c r="A368" s="21" t="str">
        <f aca="false">'Player Data'!A368</f>
        <v>Sora Suzuki</v>
      </c>
      <c r="B368" s="21" t="str">
        <f aca="false">'Player Data'!F368</f>
        <v>DF</v>
      </c>
      <c r="C368" s="21" t="str">
        <f aca="false">'Player Data'!B368</f>
        <v>Japan</v>
      </c>
      <c r="D368" s="21" t="str">
        <f aca="false">'Player Data'!C368</f>
        <v>Japan Amateur League</v>
      </c>
      <c r="E368" s="21" t="n">
        <f aca="false">'Player Data'!D368</f>
        <v>4</v>
      </c>
      <c r="F368" s="21" t="n">
        <f aca="false">'Player Data'!G368</f>
        <v>17</v>
      </c>
      <c r="G368" s="21" t="n">
        <f aca="false">'Player Data'!H368</f>
        <v>2648</v>
      </c>
      <c r="H368" s="22" t="n">
        <f aca="false">IF(B368="GK",IFERROR(('Player Data'!N368-1.5*'Player Data'!O368)/'Player Data'!H368*90,0),IFERROR(('Player Data'!I368+'Player Data'!J368)/'Player Data'!H368*90,0))</f>
        <v>0.101963746223565</v>
      </c>
      <c r="I368" s="22" t="n">
        <f aca="false">IF(B368="GK",'Player Data'!P368,IFERROR(('Player Data'!K368+'Player Data'!L368)/'Player Data'!H368*90,0))</f>
        <v>3.29682779456193</v>
      </c>
      <c r="J368" s="22" t="n">
        <f aca="false">IF(B368="GK",IFERROR('Player Data'!Q368/'Player Data'!H368*90,0),IFERROR('Player Data'!M368/'Player Data'!H368*90,0))</f>
        <v>3.53474320241692</v>
      </c>
      <c r="K368" s="23" t="n">
        <f aca="false">'Player Data'!S368</f>
        <v>0</v>
      </c>
      <c r="L368" s="22" t="n">
        <f aca="false">INDEX(Assumptions!$B$13:$B$15,MATCH(E368,Assumptions!$A$13:$A$15,0))</f>
        <v>0.7</v>
      </c>
      <c r="M368" s="24" t="n">
        <f aca="false">IFERROR(SUMPRODUCT(($B$2:$B$1001=B368)*($H$2:$H$1001&lt;=H368))/SUMPRODUCT(($B$2:$B$1001=B368)*1),0)</f>
        <v>0.187074829931973</v>
      </c>
      <c r="N368" s="24" t="n">
        <f aca="false">IFERROR(SUMPRODUCT(($B$2:$B$1001=B368)*($I$2:$I$1001&lt;=I368))/SUMPRODUCT(($B$2:$B$1001=B368)*1),0)</f>
        <v>0.17687074829932</v>
      </c>
      <c r="O368" s="24" t="n">
        <f aca="false">IFERROR(SUMPRODUCT(($B$2:$B$1001=B368)*($J$2:$J$1001&lt;=J368))/SUMPRODUCT(($B$2:$B$1001=B368)*1),0)</f>
        <v>0.102040816326531</v>
      </c>
      <c r="P368" s="24" t="n">
        <f aca="false">IFERROR(SUMPRODUCT(($B$2:$B$1001=B368)*((0-$F$2:$F$1001)&lt;=(0-F368)))/SUMPRODUCT(($B$2:$B$1001=B368)*1),0)</f>
        <v>1</v>
      </c>
      <c r="Q368" s="25" t="n">
        <f aca="false">(M368*Assumptions!$B$5+N368*Assumptions!$B$6+O368*Assumptions!$B$7+P368*Assumptions!$B$8)*L368</f>
        <v>0.230357142857143</v>
      </c>
      <c r="R368" s="24" t="n">
        <f aca="false">IFERROR(SUMPRODUCT(($B$2:$B$1001=B368)*($Q$2:$Q$1001&lt;=Q368))/SUMPRODUCT(($B$2:$B$1001=B368)*1),0)</f>
        <v>0.122448979591837</v>
      </c>
      <c r="S368" s="24" t="n">
        <f aca="false">IFERROR(SUMPRODUCT(($B$2:$B$1001=B368)*($K$2:$K$1001&lt;=K368))/SUMPRODUCT(($B$2:$B$1001=B368)*1),0)</f>
        <v>0.248299319727891</v>
      </c>
      <c r="T368" s="26" t="n">
        <f aca="false">(R368-S368)*100</f>
        <v>-12.5850340136054</v>
      </c>
      <c r="U368" s="21" t="str">
        <f aca="false">'Player Data'!T368</f>
        <v>Yes</v>
      </c>
      <c r="V368" s="27" t="n">
        <f aca="false">'Player Data'!U368</f>
        <v>2027</v>
      </c>
      <c r="W368" s="21" t="str">
        <f aca="false">IF(AND(T368&gt;=Assumptions!$B$19,U368="No"),"High Priority - Unrepresented",IF(T368&gt;=Assumptions!$B$19,"High Priority",IF(AND(T368&gt;=Assumptions!$B$20,U368="No"),"Watchlist - Unrepresented",IF(T368&gt;=Assumptions!$B$20,"Watchlist",""))))</f>
        <v/>
      </c>
      <c r="X368" s="21" t="str">
        <f aca="false">'Player Data'!V368</f>
        <v>info@sendaisc.jp</v>
      </c>
      <c r="Y368" s="28" t="str">
        <f aca="false">'Player Data'!W368</f>
        <v>Club youth/academy office ONLY - player is a minor, do not contact directly</v>
      </c>
      <c r="Z368" s="28" t="str">
        <f aca="false">'Player Data'!X368</f>
        <v>JFA (Japan Football Association) player registry</v>
      </c>
      <c r="AA368" s="19" t="str">
        <f aca="false">HYPERLINK("https://www.transfermarkt.com/schnellsuche/ergebnis/schnellsuche?query="&amp;SUBSTITUTE(A368," ","+"),"Search Transfermarkt")</f>
        <v>Search Transfermarkt</v>
      </c>
      <c r="AB368" s="29" t="n">
        <f aca="false">IFERROR('Player Data'!K368/('Player Data'!K368+'Player Data'!L368),0)</f>
        <v>0.742268041237113</v>
      </c>
      <c r="AC368" s="21" t="str">
        <f aca="false">IF(B368="GK",IF(AND(O368&gt;=Assumptions!$B$23,N368&gt;=Assumptions!$B$23),"Sweeper-Keeper / Build-from-the-Back",IF(O368&gt;=Assumptions!$B$23,"Sweeper-Keeper / High Line",IF(M368&gt;=Assumptions!$B$23,"Shot-Stopper / Traditional","Flexible / Multi-System"))),IF(AND(O368&gt;=Assumptions!$B$23,P368&gt;=Assumptions!$B$24),"High Press / Gegenpressing",IF(AND(N368&gt;=Assumptions!$B$23,AB368&gt;=Assumptions!$B$25),"Possession / Build-from-the-Back",IF(N368&gt;=Assumptions!$B$23,"Counter-Attack / Transition",IF(AND(O368&gt;=Assumptions!$B$23,N368&lt;Assumptions!$B$26),"Low Block / Park the Bus",IF(AND(B368="FW",M368&gt;=Assumptions!$B$23,N368&lt;Assumptions!$B$26),"Direct / Target Approach","Flexible / Multi-System"))))))</f>
        <v>Flexible / Multi-System</v>
      </c>
      <c r="AD368" s="21" t="str">
        <f aca="false">'Player Data'!Y368</f>
        <v>2026-07-17</v>
      </c>
      <c r="AE368" s="21" t="str">
        <f aca="false">'Player Data'!Z368</f>
        <v>2026-07-17</v>
      </c>
      <c r="AF368" s="28" t="str">
        <f aca="false">IFERROR(INDEX(Assumptions!$B$30:$B$61,MATCH(C368,Assumptions!$A$30:$A$61,0)),"--")</f>
        <v>Belgium, Australia</v>
      </c>
      <c r="AG368" s="30" t="str">
        <f aca="false">IF(R368&gt;=0.7,"Step-Up Candidate",IF(R368&gt;=0.4,"Lateral Move","Stay &amp; Develop"))</f>
        <v>Stay &amp; Develop</v>
      </c>
    </row>
    <row r="369" customFormat="false" ht="23.85" hidden="false" customHeight="false" outlineLevel="0" collapsed="false">
      <c r="A369" s="21" t="str">
        <f aca="false">'Player Data'!A369</f>
        <v>Marlon Elvir</v>
      </c>
      <c r="B369" s="21" t="str">
        <f aca="false">'Player Data'!F369</f>
        <v>MF</v>
      </c>
      <c r="C369" s="21" t="str">
        <f aca="false">'Player Data'!B369</f>
        <v>Honduras</v>
      </c>
      <c r="D369" s="21" t="str">
        <f aca="false">'Player Data'!C369</f>
        <v>Honduras Reserve League</v>
      </c>
      <c r="E369" s="21" t="n">
        <f aca="false">'Player Data'!D369</f>
        <v>4</v>
      </c>
      <c r="F369" s="21" t="n">
        <f aca="false">'Player Data'!G369</f>
        <v>18</v>
      </c>
      <c r="G369" s="21" t="n">
        <f aca="false">'Player Data'!H369</f>
        <v>1751</v>
      </c>
      <c r="H369" s="22" t="n">
        <f aca="false">IF(B369="GK",IFERROR(('Player Data'!N369-1.5*'Player Data'!O369)/'Player Data'!H369*90,0),IFERROR(('Player Data'!I369+'Player Data'!J369)/'Player Data'!H369*90,0))</f>
        <v>0.411193603655054</v>
      </c>
      <c r="I369" s="22" t="n">
        <f aca="false">IF(B369="GK",'Player Data'!P369,IFERROR(('Player Data'!K369+'Player Data'!L369)/'Player Data'!H369*90,0))</f>
        <v>12.0788121073672</v>
      </c>
      <c r="J369" s="22" t="n">
        <f aca="false">IF(B369="GK",IFERROR('Player Data'!Q369/'Player Data'!H369*90,0),IFERROR('Player Data'!M369/'Player Data'!H369*90,0))</f>
        <v>1.85037121644774</v>
      </c>
      <c r="K369" s="23" t="n">
        <f aca="false">'Player Data'!S369</f>
        <v>99382</v>
      </c>
      <c r="L369" s="22" t="n">
        <f aca="false">INDEX(Assumptions!$B$13:$B$15,MATCH(E369,Assumptions!$A$13:$A$15,0))</f>
        <v>0.7</v>
      </c>
      <c r="M369" s="24" t="n">
        <f aca="false">IFERROR(SUMPRODUCT(($B$2:$B$1001=B369)*($H$2:$H$1001&lt;=H369))/SUMPRODUCT(($B$2:$B$1001=B369)*1),0)</f>
        <v>0.104377104377104</v>
      </c>
      <c r="N369" s="24" t="n">
        <f aca="false">IFERROR(SUMPRODUCT(($B$2:$B$1001=B369)*($I$2:$I$1001&lt;=I369))/SUMPRODUCT(($B$2:$B$1001=B369)*1),0)</f>
        <v>0.592592592592593</v>
      </c>
      <c r="O369" s="24" t="n">
        <f aca="false">IFERROR(SUMPRODUCT(($B$2:$B$1001=B369)*($J$2:$J$1001&lt;=J369))/SUMPRODUCT(($B$2:$B$1001=B369)*1),0)</f>
        <v>0.353535353535354</v>
      </c>
      <c r="P369" s="24" t="n">
        <f aca="false">IFERROR(SUMPRODUCT(($B$2:$B$1001=B369)*((0-$F$2:$F$1001)&lt;=(0-F369)))/SUMPRODUCT(($B$2:$B$1001=B369)*1),0)</f>
        <v>0.929292929292929</v>
      </c>
      <c r="Q369" s="25" t="n">
        <f aca="false">(M369*Assumptions!$B$5+N369*Assumptions!$B$6+O369*Assumptions!$B$7+P369*Assumptions!$B$8)*L369</f>
        <v>0.343047138047138</v>
      </c>
      <c r="R369" s="24" t="n">
        <f aca="false">IFERROR(SUMPRODUCT(($B$2:$B$1001=B369)*($Q$2:$Q$1001&lt;=Q369))/SUMPRODUCT(($B$2:$B$1001=B369)*1),0)</f>
        <v>0.31986531986532</v>
      </c>
      <c r="S369" s="24" t="n">
        <f aca="false">IFERROR(SUMPRODUCT(($B$2:$B$1001=B369)*($K$2:$K$1001&lt;=K369))/SUMPRODUCT(($B$2:$B$1001=B369)*1),0)</f>
        <v>0.730639730639731</v>
      </c>
      <c r="T369" s="26" t="n">
        <f aca="false">(R369-S369)*100</f>
        <v>-41.0774410774411</v>
      </c>
      <c r="U369" s="21" t="str">
        <f aca="false">'Player Data'!T369</f>
        <v>No</v>
      </c>
      <c r="V369" s="27" t="n">
        <f aca="false">'Player Data'!U369</f>
        <v>2028</v>
      </c>
      <c r="W369" s="21" t="str">
        <f aca="false">IF(AND(T369&gt;=Assumptions!$B$19,U369="No"),"High Priority - Unrepresented",IF(T369&gt;=Assumptions!$B$19,"High Priority",IF(AND(T369&gt;=Assumptions!$B$20,U369="No"),"Watchlist - Unrepresented",IF(T369&gt;=Assumptions!$B$20,"Watchlist",""))))</f>
        <v/>
      </c>
      <c r="X369" s="21" t="str">
        <f aca="false">'Player Data'!V369</f>
        <v>info@laceibatown.hn</v>
      </c>
      <c r="Y369" s="28" t="str">
        <f aca="false">'Player Data'!W369</f>
        <v>Club sporting director / first-team office</v>
      </c>
      <c r="Z369" s="28" t="str">
        <f aca="false">'Player Data'!X369</f>
        <v>FENAFUTH (Honduran Football Federation) player registry</v>
      </c>
      <c r="AA369" s="19" t="str">
        <f aca="false">HYPERLINK("https://www.transfermarkt.com/schnellsuche/ergebnis/schnellsuche?query="&amp;SUBSTITUTE(A369," ","+"),"Search Transfermarkt")</f>
        <v>Search Transfermarkt</v>
      </c>
      <c r="AB369" s="29" t="n">
        <f aca="false">IFERROR('Player Data'!K369/('Player Data'!K369+'Player Data'!L369),0)</f>
        <v>0.659574468085106</v>
      </c>
      <c r="AC369" s="21" t="str">
        <f aca="false">IF(B369="GK",IF(AND(O369&gt;=Assumptions!$B$23,N369&gt;=Assumptions!$B$23),"Sweeper-Keeper / Build-from-the-Back",IF(O369&gt;=Assumptions!$B$23,"Sweeper-Keeper / High Line",IF(M369&gt;=Assumptions!$B$23,"Shot-Stopper / Traditional","Flexible / Multi-System"))),IF(AND(O369&gt;=Assumptions!$B$23,P369&gt;=Assumptions!$B$24),"High Press / Gegenpressing",IF(AND(N369&gt;=Assumptions!$B$23,AB369&gt;=Assumptions!$B$25),"Possession / Build-from-the-Back",IF(N369&gt;=Assumptions!$B$23,"Counter-Attack / Transition",IF(AND(O369&gt;=Assumptions!$B$23,N369&lt;Assumptions!$B$26),"Low Block / Park the Bus",IF(AND(B369="FW",M369&gt;=Assumptions!$B$23,N369&lt;Assumptions!$B$26),"Direct / Target Approach","Flexible / Multi-System"))))))</f>
        <v>Flexible / Multi-System</v>
      </c>
      <c r="AD369" s="21" t="str">
        <f aca="false">'Player Data'!Y369</f>
        <v>2026-07-17</v>
      </c>
      <c r="AE369" s="21" t="str">
        <f aca="false">'Player Data'!Z369</f>
        <v>2026-07-17</v>
      </c>
      <c r="AF369" s="28" t="str">
        <f aca="false">IFERROR(INDEX(Assumptions!$B$30:$B$61,MATCH(C369,Assumptions!$A$30:$A$61,0)),"--")</f>
        <v>Mexico, United States</v>
      </c>
      <c r="AG369" s="30" t="str">
        <f aca="false">IF(R369&gt;=0.7,"Step-Up Candidate",IF(R369&gt;=0.4,"Lateral Move","Stay &amp; Develop"))</f>
        <v>Stay &amp; Develop</v>
      </c>
    </row>
    <row r="370" customFormat="false" ht="23.85" hidden="false" customHeight="false" outlineLevel="0" collapsed="false">
      <c r="A370" s="21" t="str">
        <f aca="false">'Player Data'!A370</f>
        <v>Ji-ho Jung</v>
      </c>
      <c r="B370" s="21" t="str">
        <f aca="false">'Player Data'!F370</f>
        <v>FW</v>
      </c>
      <c r="C370" s="21" t="str">
        <f aca="false">'Player Data'!B370</f>
        <v>South Korea</v>
      </c>
      <c r="D370" s="21" t="str">
        <f aca="false">'Player Data'!C370</f>
        <v>South Korea Regional League</v>
      </c>
      <c r="E370" s="21" t="n">
        <f aca="false">'Player Data'!D370</f>
        <v>2</v>
      </c>
      <c r="F370" s="21" t="n">
        <f aca="false">'Player Data'!G370</f>
        <v>20</v>
      </c>
      <c r="G370" s="21" t="n">
        <f aca="false">'Player Data'!H370</f>
        <v>1435</v>
      </c>
      <c r="H370" s="22" t="n">
        <f aca="false">IF(B370="GK",IFERROR(('Player Data'!N370-1.5*'Player Data'!O370)/'Player Data'!H370*90,0),IFERROR(('Player Data'!I370+'Player Data'!J370)/'Player Data'!H370*90,0))</f>
        <v>0.878048780487805</v>
      </c>
      <c r="I370" s="22" t="n">
        <f aca="false">IF(B370="GK",'Player Data'!P370,IFERROR(('Player Data'!K370+'Player Data'!L370)/'Player Data'!H370*90,0))</f>
        <v>6.64808362369338</v>
      </c>
      <c r="J370" s="22" t="n">
        <f aca="false">IF(B370="GK",IFERROR('Player Data'!Q370/'Player Data'!H370*90,0),IFERROR('Player Data'!M370/'Player Data'!H370*90,0))</f>
        <v>0.250871080139373</v>
      </c>
      <c r="K370" s="23" t="n">
        <f aca="false">'Player Data'!S370</f>
        <v>34001</v>
      </c>
      <c r="L370" s="22" t="n">
        <f aca="false">INDEX(Assumptions!$B$13:$B$15,MATCH(E370,Assumptions!$A$13:$A$15,0))</f>
        <v>1</v>
      </c>
      <c r="M370" s="24" t="n">
        <f aca="false">IFERROR(SUMPRODUCT(($B$2:$B$1001=B370)*($H$2:$H$1001&lt;=H370))/SUMPRODUCT(($B$2:$B$1001=B370)*1),0)</f>
        <v>0.393805309734513</v>
      </c>
      <c r="N370" s="24" t="n">
        <f aca="false">IFERROR(SUMPRODUCT(($B$2:$B$1001=B370)*($I$2:$I$1001&lt;=I370))/SUMPRODUCT(($B$2:$B$1001=B370)*1),0)</f>
        <v>0.526548672566372</v>
      </c>
      <c r="O370" s="24" t="n">
        <f aca="false">IFERROR(SUMPRODUCT(($B$2:$B$1001=B370)*($J$2:$J$1001&lt;=J370))/SUMPRODUCT(($B$2:$B$1001=B370)*1),0)</f>
        <v>0.101769911504425</v>
      </c>
      <c r="P370" s="24" t="n">
        <f aca="false">IFERROR(SUMPRODUCT(($B$2:$B$1001=B370)*((0-$F$2:$F$1001)&lt;=(0-F370)))/SUMPRODUCT(($B$2:$B$1001=B370)*1),0)</f>
        <v>0.712389380530973</v>
      </c>
      <c r="Q370" s="25" t="n">
        <f aca="false">(M370*Assumptions!$B$5+N370*Assumptions!$B$6+O370*Assumptions!$B$7+P370*Assumptions!$B$8)*L370</f>
        <v>0.445575221238938</v>
      </c>
      <c r="R370" s="24" t="n">
        <f aca="false">IFERROR(SUMPRODUCT(($B$2:$B$1001=B370)*($Q$2:$Q$1001&lt;=Q370))/SUMPRODUCT(($B$2:$B$1001=B370)*1),0)</f>
        <v>0.504424778761062</v>
      </c>
      <c r="S370" s="24" t="n">
        <f aca="false">IFERROR(SUMPRODUCT(($B$2:$B$1001=B370)*($K$2:$K$1001&lt;=K370))/SUMPRODUCT(($B$2:$B$1001=B370)*1),0)</f>
        <v>0.384955752212389</v>
      </c>
      <c r="T370" s="26" t="n">
        <f aca="false">(R370-S370)*100</f>
        <v>11.9469026548673</v>
      </c>
      <c r="U370" s="21" t="str">
        <f aca="false">'Player Data'!T370</f>
        <v>No</v>
      </c>
      <c r="V370" s="27" t="n">
        <f aca="false">'Player Data'!U370</f>
        <v>2027</v>
      </c>
      <c r="W370" s="21" t="str">
        <f aca="false">IF(AND(T370&gt;=Assumptions!$B$19,U370="No"),"High Priority - Unrepresented",IF(T370&gt;=Assumptions!$B$19,"High Priority",IF(AND(T370&gt;=Assumptions!$B$20,U370="No"),"Watchlist - Unrepresented",IF(T370&gt;=Assumptions!$B$20,"Watchlist",""))))</f>
        <v/>
      </c>
      <c r="X370" s="21" t="str">
        <f aca="false">'Player Data'!V370</f>
        <v>info@busanunited.kr</v>
      </c>
      <c r="Y370" s="28" t="str">
        <f aca="false">'Player Data'!W370</f>
        <v>Club sporting director / first-team office</v>
      </c>
      <c r="Z370" s="28" t="str">
        <f aca="false">'Player Data'!X370</f>
        <v>KFA (Korea Football Association) player registry</v>
      </c>
      <c r="AA370" s="19" t="str">
        <f aca="false">HYPERLINK("https://www.transfermarkt.com/schnellsuche/ergebnis/schnellsuche?query="&amp;SUBSTITUTE(A370," ","+"),"Search Transfermarkt")</f>
        <v>Search Transfermarkt</v>
      </c>
      <c r="AB370" s="29" t="n">
        <f aca="false">IFERROR('Player Data'!K370/('Player Data'!K370+'Player Data'!L370),0)</f>
        <v>0.273584905660377</v>
      </c>
      <c r="AC370" s="21" t="str">
        <f aca="false">IF(B370="GK",IF(AND(O370&gt;=Assumptions!$B$23,N370&gt;=Assumptions!$B$23),"Sweeper-Keeper / Build-from-the-Back",IF(O370&gt;=Assumptions!$B$23,"Sweeper-Keeper / High Line",IF(M370&gt;=Assumptions!$B$23,"Shot-Stopper / Traditional","Flexible / Multi-System"))),IF(AND(O370&gt;=Assumptions!$B$23,P370&gt;=Assumptions!$B$24),"High Press / Gegenpressing",IF(AND(N370&gt;=Assumptions!$B$23,AB370&gt;=Assumptions!$B$25),"Possession / Build-from-the-Back",IF(N370&gt;=Assumptions!$B$23,"Counter-Attack / Transition",IF(AND(O370&gt;=Assumptions!$B$23,N370&lt;Assumptions!$B$26),"Low Block / Park the Bus",IF(AND(B370="FW",M370&gt;=Assumptions!$B$23,N370&lt;Assumptions!$B$26),"Direct / Target Approach","Flexible / Multi-System"))))))</f>
        <v>Flexible / Multi-System</v>
      </c>
      <c r="AD370" s="21" t="str">
        <f aca="false">'Player Data'!Y370</f>
        <v>2026-07-17</v>
      </c>
      <c r="AE370" s="21" t="str">
        <f aca="false">'Player Data'!Z370</f>
        <v>2026-07-17</v>
      </c>
      <c r="AF370" s="28" t="str">
        <f aca="false">IFERROR(INDEX(Assumptions!$B$30:$B$61,MATCH(C370,Assumptions!$A$30:$A$61,0)),"--")</f>
        <v>Belgium, Saudi Arabia</v>
      </c>
      <c r="AG370" s="30" t="str">
        <f aca="false">IF(R370&gt;=0.7,"Step-Up Candidate",IF(R370&gt;=0.4,"Lateral Move","Stay &amp; Develop"))</f>
        <v>Lateral Move</v>
      </c>
    </row>
    <row r="371" customFormat="false" ht="23.85" hidden="false" customHeight="false" outlineLevel="0" collapsed="false">
      <c r="A371" s="21" t="str">
        <f aca="false">'Player Data'!A371</f>
        <v>Vuk Perovic</v>
      </c>
      <c r="B371" s="21" t="str">
        <f aca="false">'Player Data'!F371</f>
        <v>FW</v>
      </c>
      <c r="C371" s="21" t="str">
        <f aca="false">'Player Data'!B371</f>
        <v>Montenegro</v>
      </c>
      <c r="D371" s="21" t="str">
        <f aca="false">'Player Data'!C371</f>
        <v>Montenegro Third Tier - South</v>
      </c>
      <c r="E371" s="21" t="n">
        <f aca="false">'Player Data'!D371</f>
        <v>3</v>
      </c>
      <c r="F371" s="21" t="n">
        <f aca="false">'Player Data'!G371</f>
        <v>24</v>
      </c>
      <c r="G371" s="21" t="n">
        <f aca="false">'Player Data'!H371</f>
        <v>1193</v>
      </c>
      <c r="H371" s="22" t="n">
        <f aca="false">IF(B371="GK",IFERROR(('Player Data'!N371-1.5*'Player Data'!O371)/'Player Data'!H371*90,0),IFERROR(('Player Data'!I371+'Player Data'!J371)/'Player Data'!H371*90,0))</f>
        <v>1.73512154233026</v>
      </c>
      <c r="I371" s="22" t="n">
        <f aca="false">IF(B371="GK",'Player Data'!P371,IFERROR(('Player Data'!K371+'Player Data'!L371)/'Player Data'!H371*90,0))</f>
        <v>9.50544844928751</v>
      </c>
      <c r="J371" s="22" t="n">
        <f aca="false">IF(B371="GK",IFERROR('Player Data'!Q371/'Player Data'!H371*90,0),IFERROR('Player Data'!M371/'Player Data'!H371*90,0))</f>
        <v>0.603520536462699</v>
      </c>
      <c r="K371" s="23" t="n">
        <f aca="false">'Player Data'!S371</f>
        <v>0</v>
      </c>
      <c r="L371" s="22" t="n">
        <f aca="false">INDEX(Assumptions!$B$13:$B$15,MATCH(E371,Assumptions!$A$13:$A$15,0))</f>
        <v>0.85</v>
      </c>
      <c r="M371" s="24" t="n">
        <f aca="false">IFERROR(SUMPRODUCT(($B$2:$B$1001=B371)*($H$2:$H$1001&lt;=H371))/SUMPRODUCT(($B$2:$B$1001=B371)*1),0)</f>
        <v>0.902654867256637</v>
      </c>
      <c r="N371" s="24" t="n">
        <f aca="false">IFERROR(SUMPRODUCT(($B$2:$B$1001=B371)*($I$2:$I$1001&lt;=I371))/SUMPRODUCT(($B$2:$B$1001=B371)*1),0)</f>
        <v>0.805309734513274</v>
      </c>
      <c r="O371" s="24" t="n">
        <f aca="false">IFERROR(SUMPRODUCT(($B$2:$B$1001=B371)*($J$2:$J$1001&lt;=J371))/SUMPRODUCT(($B$2:$B$1001=B371)*1),0)</f>
        <v>0.632743362831858</v>
      </c>
      <c r="P371" s="24" t="n">
        <f aca="false">IFERROR(SUMPRODUCT(($B$2:$B$1001=B371)*((0-$F$2:$F$1001)&lt;=(0-F371)))/SUMPRODUCT(($B$2:$B$1001=B371)*1),0)</f>
        <v>0.305309734513274</v>
      </c>
      <c r="Q371" s="25" t="n">
        <f aca="false">(M371*Assumptions!$B$5+N371*Assumptions!$B$6+O371*Assumptions!$B$7+P371*Assumptions!$B$8)*L371</f>
        <v>0.590862831858407</v>
      </c>
      <c r="R371" s="24" t="n">
        <f aca="false">IFERROR(SUMPRODUCT(($B$2:$B$1001=B371)*($Q$2:$Q$1001&lt;=Q371))/SUMPRODUCT(($B$2:$B$1001=B371)*1),0)</f>
        <v>0.743362831858407</v>
      </c>
      <c r="S371" s="24" t="n">
        <f aca="false">IFERROR(SUMPRODUCT(($B$2:$B$1001=B371)*($K$2:$K$1001&lt;=K371))/SUMPRODUCT(($B$2:$B$1001=B371)*1),0)</f>
        <v>0.261061946902655</v>
      </c>
      <c r="T371" s="26" t="n">
        <f aca="false">(R371-S371)*100</f>
        <v>48.2300884955752</v>
      </c>
      <c r="U371" s="21" t="str">
        <f aca="false">'Player Data'!T371</f>
        <v>Yes</v>
      </c>
      <c r="V371" s="27" t="n">
        <f aca="false">'Player Data'!U371</f>
        <v>2026</v>
      </c>
      <c r="W371" s="21" t="str">
        <f aca="false">IF(AND(T371&gt;=Assumptions!$B$19,U371="No"),"High Priority - Unrepresented",IF(T371&gt;=Assumptions!$B$19,"High Priority",IF(AND(T371&gt;=Assumptions!$B$20,U371="No"),"Watchlist - Unrepresented",IF(T371&gt;=Assumptions!$B$20,"Watchlist",""))))</f>
        <v>High Priority</v>
      </c>
      <c r="X371" s="21" t="str">
        <f aca="false">'Player Data'!V371</f>
        <v>info@danilovgradunited.me</v>
      </c>
      <c r="Y371" s="28" t="str">
        <f aca="false">'Player Data'!W371</f>
        <v>Go through the player's agent - ask the club to confirm representation first</v>
      </c>
      <c r="Z371" s="28" t="str">
        <f aca="false">'Player Data'!X371</f>
        <v>FSCG (Football Association of Montenegro) player registry</v>
      </c>
      <c r="AA371" s="19" t="str">
        <f aca="false">HYPERLINK("https://www.transfermarkt.com/schnellsuche/ergebnis/schnellsuche?query="&amp;SUBSTITUTE(A371," ","+"),"Search Transfermarkt")</f>
        <v>Search Transfermarkt</v>
      </c>
      <c r="AB371" s="29" t="n">
        <f aca="false">IFERROR('Player Data'!K371/('Player Data'!K371+'Player Data'!L371),0)</f>
        <v>0.357142857142857</v>
      </c>
      <c r="AC371" s="21" t="str">
        <f aca="false">IF(B371="GK",IF(AND(O371&gt;=Assumptions!$B$23,N371&gt;=Assumptions!$B$23),"Sweeper-Keeper / Build-from-the-Back",IF(O371&gt;=Assumptions!$B$23,"Sweeper-Keeper / High Line",IF(M371&gt;=Assumptions!$B$23,"Shot-Stopper / Traditional","Flexible / Multi-System"))),IF(AND(O371&gt;=Assumptions!$B$23,P371&gt;=Assumptions!$B$24),"High Press / Gegenpressing",IF(AND(N371&gt;=Assumptions!$B$23,AB371&gt;=Assumptions!$B$25),"Possession / Build-from-the-Back",IF(N371&gt;=Assumptions!$B$23,"Counter-Attack / Transition",IF(AND(O371&gt;=Assumptions!$B$23,N371&lt;Assumptions!$B$26),"Low Block / Park the Bus",IF(AND(B371="FW",M371&gt;=Assumptions!$B$23,N371&lt;Assumptions!$B$26),"Direct / Target Approach","Flexible / Multi-System"))))))</f>
        <v>Counter-Attack / Transition</v>
      </c>
      <c r="AD371" s="21" t="str">
        <f aca="false">'Player Data'!Y371</f>
        <v>2026-07-17</v>
      </c>
      <c r="AE371" s="21" t="str">
        <f aca="false">'Player Data'!Z371</f>
        <v>2026-07-17</v>
      </c>
      <c r="AF371" s="28" t="str">
        <f aca="false">IFERROR(INDEX(Assumptions!$B$30:$B$61,MATCH(C371,Assumptions!$A$30:$A$61,0)),"--")</f>
        <v>Austria, Turkey</v>
      </c>
      <c r="AG371" s="30" t="str">
        <f aca="false">IF(R371&gt;=0.7,"Step-Up Candidate",IF(R371&gt;=0.4,"Lateral Move","Stay &amp; Develop"))</f>
        <v>Step-Up Candidate</v>
      </c>
    </row>
    <row r="372" customFormat="false" ht="23.85" hidden="false" customHeight="false" outlineLevel="0" collapsed="false">
      <c r="A372" s="21" t="str">
        <f aca="false">'Player Data'!A372</f>
        <v>Ali Kareem</v>
      </c>
      <c r="B372" s="21" t="str">
        <f aca="false">'Player Data'!F372</f>
        <v>GK</v>
      </c>
      <c r="C372" s="21" t="str">
        <f aca="false">'Player Data'!B372</f>
        <v>Iraq</v>
      </c>
      <c r="D372" s="21" t="str">
        <f aca="false">'Player Data'!C372</f>
        <v>Iraq Second Division - West</v>
      </c>
      <c r="E372" s="21" t="n">
        <f aca="false">'Player Data'!D372</f>
        <v>3</v>
      </c>
      <c r="F372" s="21" t="n">
        <f aca="false">'Player Data'!G372</f>
        <v>20</v>
      </c>
      <c r="G372" s="21" t="n">
        <f aca="false">'Player Data'!H372</f>
        <v>964</v>
      </c>
      <c r="H372" s="22" t="n">
        <f aca="false">IF(B372="GK",IFERROR(('Player Data'!N372-1.5*'Player Data'!O372)/'Player Data'!H372*90,0),IFERROR(('Player Data'!I372+'Player Data'!J372)/'Player Data'!H372*90,0))</f>
        <v>1.2603734439834</v>
      </c>
      <c r="I372" s="22" t="n">
        <f aca="false">IF(B372="GK",'Player Data'!P372,IFERROR(('Player Data'!K372+'Player Data'!L372)/'Player Data'!H372*90,0))</f>
        <v>60.1</v>
      </c>
      <c r="J372" s="22" t="n">
        <f aca="false">IF(B372="GK",IFERROR('Player Data'!Q372/'Player Data'!H372*90,0),IFERROR('Player Data'!M372/'Player Data'!H372*90,0))</f>
        <v>1.12033195020747</v>
      </c>
      <c r="K372" s="23" t="n">
        <f aca="false">'Player Data'!S372</f>
        <v>40385</v>
      </c>
      <c r="L372" s="22" t="n">
        <f aca="false">INDEX(Assumptions!$B$13:$B$15,MATCH(E372,Assumptions!$A$13:$A$15,0))</f>
        <v>0.85</v>
      </c>
      <c r="M372" s="24" t="n">
        <f aca="false">IFERROR(SUMPRODUCT(($B$2:$B$1001=B372)*($H$2:$H$1001&lt;=H372))/SUMPRODUCT(($B$2:$B$1001=B372)*1),0)</f>
        <v>0.557377049180328</v>
      </c>
      <c r="N372" s="24" t="n">
        <f aca="false">IFERROR(SUMPRODUCT(($B$2:$B$1001=B372)*($I$2:$I$1001&lt;=I372))/SUMPRODUCT(($B$2:$B$1001=B372)*1),0)</f>
        <v>0.163934426229508</v>
      </c>
      <c r="O372" s="24" t="n">
        <f aca="false">IFERROR(SUMPRODUCT(($B$2:$B$1001=B372)*($J$2:$J$1001&lt;=J372))/SUMPRODUCT(($B$2:$B$1001=B372)*1),0)</f>
        <v>0.699453551912568</v>
      </c>
      <c r="P372" s="24" t="n">
        <f aca="false">IFERROR(SUMPRODUCT(($B$2:$B$1001=B372)*((0-$F$2:$F$1001)&lt;=(0-F372)))/SUMPRODUCT(($B$2:$B$1001=B372)*1),0)</f>
        <v>0.677595628415301</v>
      </c>
      <c r="Q372" s="25" t="n">
        <f aca="false">(M372*Assumptions!$B$5+N372*Assumptions!$B$6+O372*Assumptions!$B$7+P372*Assumptions!$B$8)*L372</f>
        <v>0.401311475409836</v>
      </c>
      <c r="R372" s="24" t="n">
        <f aca="false">IFERROR(SUMPRODUCT(($B$2:$B$1001=B372)*($Q$2:$Q$1001&lt;=Q372))/SUMPRODUCT(($B$2:$B$1001=B372)*1),0)</f>
        <v>0.377049180327869</v>
      </c>
      <c r="S372" s="24" t="n">
        <f aca="false">IFERROR(SUMPRODUCT(($B$2:$B$1001=B372)*($K$2:$K$1001&lt;=K372))/SUMPRODUCT(($B$2:$B$1001=B372)*1),0)</f>
        <v>0.355191256830601</v>
      </c>
      <c r="T372" s="26" t="n">
        <f aca="false">(R372-S372)*100</f>
        <v>2.18579234972677</v>
      </c>
      <c r="U372" s="21" t="str">
        <f aca="false">'Player Data'!T372</f>
        <v>No</v>
      </c>
      <c r="V372" s="27" t="n">
        <f aca="false">'Player Data'!U372</f>
        <v>2028</v>
      </c>
      <c r="W372" s="21" t="str">
        <f aca="false">IF(AND(T372&gt;=Assumptions!$B$19,U372="No"),"High Priority - Unrepresented",IF(T372&gt;=Assumptions!$B$19,"High Priority",IF(AND(T372&gt;=Assumptions!$B$20,U372="No"),"Watchlist - Unrepresented",IF(T372&gt;=Assumptions!$B$20,"Watchlist",""))))</f>
        <v/>
      </c>
      <c r="X372" s="21" t="str">
        <f aca="false">'Player Data'!V372</f>
        <v>info@baghdadwanderers.iq</v>
      </c>
      <c r="Y372" s="28" t="str">
        <f aca="false">'Player Data'!W372</f>
        <v>Club sporting director / first-team office</v>
      </c>
      <c r="Z372" s="28" t="str">
        <f aca="false">'Player Data'!X372</f>
        <v>IFA (Iraq Football Association) player registry</v>
      </c>
      <c r="AA372" s="19" t="str">
        <f aca="false">HYPERLINK("https://www.transfermarkt.com/schnellsuche/ergebnis/schnellsuche?query="&amp;SUBSTITUTE(A372," ","+"),"Search Transfermarkt")</f>
        <v>Search Transfermarkt</v>
      </c>
      <c r="AB372" s="29" t="n">
        <f aca="false">IFERROR('Player Data'!K372/('Player Data'!K372+'Player Data'!L372),0)</f>
        <v>0.857142857142857</v>
      </c>
      <c r="AC372" s="21" t="str">
        <f aca="false">IF(B372="GK",IF(AND(O372&gt;=Assumptions!$B$23,N372&gt;=Assumptions!$B$23),"Sweeper-Keeper / Build-from-the-Back",IF(O372&gt;=Assumptions!$B$23,"Sweeper-Keeper / High Line",IF(M372&gt;=Assumptions!$B$23,"Shot-Stopper / Traditional","Flexible / Multi-System"))),IF(AND(O372&gt;=Assumptions!$B$23,P372&gt;=Assumptions!$B$24),"High Press / Gegenpressing",IF(AND(N372&gt;=Assumptions!$B$23,AB372&gt;=Assumptions!$B$25),"Possession / Build-from-the-Back",IF(N372&gt;=Assumptions!$B$23,"Counter-Attack / Transition",IF(AND(O372&gt;=Assumptions!$B$23,N372&lt;Assumptions!$B$26),"Low Block / Park the Bus",IF(AND(B372="FW",M372&gt;=Assumptions!$B$23,N372&lt;Assumptions!$B$26),"Direct / Target Approach","Flexible / Multi-System"))))))</f>
        <v>Sweeper-Keeper / High Line</v>
      </c>
      <c r="AD372" s="21" t="str">
        <f aca="false">'Player Data'!Y372</f>
        <v>2026-07-17</v>
      </c>
      <c r="AE372" s="21" t="str">
        <f aca="false">'Player Data'!Z372</f>
        <v>2026-07-17</v>
      </c>
      <c r="AF372" s="28" t="str">
        <f aca="false">IFERROR(INDEX(Assumptions!$B$30:$B$61,MATCH(C372,Assumptions!$A$30:$A$61,0)),"--")</f>
        <v>Turkey, Saudi Arabia</v>
      </c>
      <c r="AG372" s="30" t="str">
        <f aca="false">IF(R372&gt;=0.7,"Step-Up Candidate",IF(R372&gt;=0.4,"Lateral Move","Stay &amp; Develop"))</f>
        <v>Stay &amp; Develop</v>
      </c>
    </row>
    <row r="373" customFormat="false" ht="23.85" hidden="false" customHeight="false" outlineLevel="0" collapsed="false">
      <c r="A373" s="21" t="str">
        <f aca="false">'Player Data'!A373</f>
        <v>Rasmus Pikk</v>
      </c>
      <c r="B373" s="21" t="str">
        <f aca="false">'Player Data'!F373</f>
        <v>DF</v>
      </c>
      <c r="C373" s="21" t="str">
        <f aca="false">'Player Data'!B373</f>
        <v>Estonia</v>
      </c>
      <c r="D373" s="21" t="str">
        <f aca="false">'Player Data'!C373</f>
        <v>Estonia Second Division - West</v>
      </c>
      <c r="E373" s="21" t="n">
        <f aca="false">'Player Data'!D373</f>
        <v>4</v>
      </c>
      <c r="F373" s="21" t="n">
        <f aca="false">'Player Data'!G373</f>
        <v>22</v>
      </c>
      <c r="G373" s="21" t="n">
        <f aca="false">'Player Data'!H373</f>
        <v>1607</v>
      </c>
      <c r="H373" s="22" t="n">
        <f aca="false">IF(B373="GK",IFERROR(('Player Data'!N373-1.5*'Player Data'!O373)/'Player Data'!H373*90,0),IFERROR(('Player Data'!I373+'Player Data'!J373)/'Player Data'!H373*90,0))</f>
        <v>0.336029869321717</v>
      </c>
      <c r="I373" s="22" t="n">
        <f aca="false">IF(B373="GK",'Player Data'!P373,IFERROR(('Player Data'!K373+'Player Data'!L373)/'Player Data'!H373*90,0))</f>
        <v>5.04044803982576</v>
      </c>
      <c r="J373" s="22" t="n">
        <f aca="false">IF(B373="GK",IFERROR('Player Data'!Q373/'Player Data'!H373*90,0),IFERROR('Player Data'!M373/'Player Data'!H373*90,0))</f>
        <v>6.1045426260112</v>
      </c>
      <c r="K373" s="23" t="n">
        <f aca="false">'Player Data'!S373</f>
        <v>66982</v>
      </c>
      <c r="L373" s="22" t="n">
        <f aca="false">INDEX(Assumptions!$B$13:$B$15,MATCH(E373,Assumptions!$A$13:$A$15,0))</f>
        <v>0.7</v>
      </c>
      <c r="M373" s="24" t="n">
        <f aca="false">IFERROR(SUMPRODUCT(($B$2:$B$1001=B373)*($H$2:$H$1001&lt;=H373))/SUMPRODUCT(($B$2:$B$1001=B373)*1),0)</f>
        <v>0.833333333333333</v>
      </c>
      <c r="N373" s="24" t="n">
        <f aca="false">IFERROR(SUMPRODUCT(($B$2:$B$1001=B373)*($I$2:$I$1001&lt;=I373))/SUMPRODUCT(($B$2:$B$1001=B373)*1),0)</f>
        <v>0.602040816326531</v>
      </c>
      <c r="O373" s="24" t="n">
        <f aca="false">IFERROR(SUMPRODUCT(($B$2:$B$1001=B373)*($J$2:$J$1001&lt;=J373))/SUMPRODUCT(($B$2:$B$1001=B373)*1),0)</f>
        <v>0.642857142857143</v>
      </c>
      <c r="P373" s="24" t="n">
        <f aca="false">IFERROR(SUMPRODUCT(($B$2:$B$1001=B373)*((0-$F$2:$F$1001)&lt;=(0-F373)))/SUMPRODUCT(($B$2:$B$1001=B373)*1),0)</f>
        <v>0.493197278911565</v>
      </c>
      <c r="Q373" s="25" t="n">
        <f aca="false">(M373*Assumptions!$B$5+N373*Assumptions!$B$6+O373*Assumptions!$B$7+P373*Assumptions!$B$8)*L373</f>
        <v>0.452380952380952</v>
      </c>
      <c r="R373" s="24" t="n">
        <f aca="false">IFERROR(SUMPRODUCT(($B$2:$B$1001=B373)*($Q$2:$Q$1001&lt;=Q373))/SUMPRODUCT(($B$2:$B$1001=B373)*1),0)</f>
        <v>0.578231292517007</v>
      </c>
      <c r="S373" s="24" t="n">
        <f aca="false">IFERROR(SUMPRODUCT(($B$2:$B$1001=B373)*($K$2:$K$1001&lt;=K373))/SUMPRODUCT(($B$2:$B$1001=B373)*1),0)</f>
        <v>0.520408163265306</v>
      </c>
      <c r="T373" s="26" t="n">
        <f aca="false">(R373-S373)*100</f>
        <v>5.78231292517006</v>
      </c>
      <c r="U373" s="21" t="str">
        <f aca="false">'Player Data'!T373</f>
        <v>No</v>
      </c>
      <c r="V373" s="27" t="n">
        <f aca="false">'Player Data'!U373</f>
        <v>2026</v>
      </c>
      <c r="W373" s="21" t="str">
        <f aca="false">IF(AND(T373&gt;=Assumptions!$B$19,U373="No"),"High Priority - Unrepresented",IF(T373&gt;=Assumptions!$B$19,"High Priority",IF(AND(T373&gt;=Assumptions!$B$20,U373="No"),"Watchlist - Unrepresented",IF(T373&gt;=Assumptions!$B$20,"Watchlist",""))))</f>
        <v/>
      </c>
      <c r="X373" s="21" t="str">
        <f aca="false">'Player Data'!V373</f>
        <v>info@parnuunited.ee</v>
      </c>
      <c r="Y373" s="28" t="str">
        <f aca="false">'Player Data'!W373</f>
        <v>Club sporting director / first-team office</v>
      </c>
      <c r="Z373" s="28" t="str">
        <f aca="false">'Player Data'!X373</f>
        <v>EJL (Estonian Football Association) player registry</v>
      </c>
      <c r="AA373" s="19" t="str">
        <f aca="false">HYPERLINK("https://www.transfermarkt.com/schnellsuche/ergebnis/schnellsuche?query="&amp;SUBSTITUTE(A373," ","+"),"Search Transfermarkt")</f>
        <v>Search Transfermarkt</v>
      </c>
      <c r="AB373" s="29" t="n">
        <f aca="false">IFERROR('Player Data'!K373/('Player Data'!K373+'Player Data'!L373),0)</f>
        <v>0.644444444444445</v>
      </c>
      <c r="AC373" s="21" t="str">
        <f aca="false">IF(B373="GK",IF(AND(O373&gt;=Assumptions!$B$23,N373&gt;=Assumptions!$B$23),"Sweeper-Keeper / Build-from-the-Back",IF(O373&gt;=Assumptions!$B$23,"Sweeper-Keeper / High Line",IF(M373&gt;=Assumptions!$B$23,"Shot-Stopper / Traditional","Flexible / Multi-System"))),IF(AND(O373&gt;=Assumptions!$B$23,P373&gt;=Assumptions!$B$24),"High Press / Gegenpressing",IF(AND(N373&gt;=Assumptions!$B$23,AB373&gt;=Assumptions!$B$25),"Possession / Build-from-the-Back",IF(N373&gt;=Assumptions!$B$23,"Counter-Attack / Transition",IF(AND(O373&gt;=Assumptions!$B$23,N373&lt;Assumptions!$B$26),"Low Block / Park the Bus",IF(AND(B373="FW",M373&gt;=Assumptions!$B$23,N373&lt;Assumptions!$B$26),"Direct / Target Approach","Flexible / Multi-System"))))))</f>
        <v>Flexible / Multi-System</v>
      </c>
      <c r="AD373" s="21" t="str">
        <f aca="false">'Player Data'!Y373</f>
        <v>2026-07-17</v>
      </c>
      <c r="AE373" s="21" t="str">
        <f aca="false">'Player Data'!Z373</f>
        <v>2026-07-17</v>
      </c>
      <c r="AF373" s="28" t="str">
        <f aca="false">IFERROR(INDEX(Assumptions!$B$30:$B$61,MATCH(C373,Assumptions!$A$30:$A$61,0)),"--")</f>
        <v>Poland, Norway</v>
      </c>
      <c r="AG373" s="30" t="str">
        <f aca="false">IF(R373&gt;=0.7,"Step-Up Candidate",IF(R373&gt;=0.4,"Lateral Move","Stay &amp; Develop"))</f>
        <v>Lateral Move</v>
      </c>
    </row>
    <row r="374" customFormat="false" ht="23.85" hidden="false" customHeight="false" outlineLevel="0" collapsed="false">
      <c r="A374" s="21" t="str">
        <f aca="false">'Player Data'!A374</f>
        <v>Ji-ho Choi</v>
      </c>
      <c r="B374" s="21" t="str">
        <f aca="false">'Player Data'!F374</f>
        <v>GK</v>
      </c>
      <c r="C374" s="21" t="str">
        <f aca="false">'Player Data'!B374</f>
        <v>South Korea</v>
      </c>
      <c r="D374" s="21" t="str">
        <f aca="false">'Player Data'!C374</f>
        <v>South Korea Second Division</v>
      </c>
      <c r="E374" s="21" t="n">
        <f aca="false">'Player Data'!D374</f>
        <v>2</v>
      </c>
      <c r="F374" s="21" t="n">
        <f aca="false">'Player Data'!G374</f>
        <v>23</v>
      </c>
      <c r="G374" s="21" t="n">
        <f aca="false">'Player Data'!H374</f>
        <v>1487</v>
      </c>
      <c r="H374" s="22" t="n">
        <f aca="false">IF(B374="GK",IFERROR(('Player Data'!N374-1.5*'Player Data'!O374)/'Player Data'!H374*90,0),IFERROR(('Player Data'!I374+'Player Data'!J374)/'Player Data'!H374*90,0))</f>
        <v>0.756556825823806</v>
      </c>
      <c r="I374" s="22" t="n">
        <f aca="false">IF(B374="GK",'Player Data'!P374,IFERROR(('Player Data'!K374+'Player Data'!L374)/'Player Data'!H374*90,0))</f>
        <v>82.2</v>
      </c>
      <c r="J374" s="22" t="n">
        <f aca="false">IF(B374="GK",IFERROR('Player Data'!Q374/'Player Data'!H374*90,0),IFERROR('Player Data'!M374/'Player Data'!H374*90,0))</f>
        <v>1.27101546738399</v>
      </c>
      <c r="K374" s="23" t="n">
        <f aca="false">'Player Data'!S374</f>
        <v>59068</v>
      </c>
      <c r="L374" s="22" t="n">
        <f aca="false">INDEX(Assumptions!$B$13:$B$15,MATCH(E374,Assumptions!$A$13:$A$15,0))</f>
        <v>1</v>
      </c>
      <c r="M374" s="24" t="n">
        <f aca="false">IFERROR(SUMPRODUCT(($B$2:$B$1001=B374)*($H$2:$H$1001&lt;=H374))/SUMPRODUCT(($B$2:$B$1001=B374)*1),0)</f>
        <v>0.3224043715847</v>
      </c>
      <c r="N374" s="24" t="n">
        <f aca="false">IFERROR(SUMPRODUCT(($B$2:$B$1001=B374)*($I$2:$I$1001&lt;=I374))/SUMPRODUCT(($B$2:$B$1001=B374)*1),0)</f>
        <v>0.743169398907104</v>
      </c>
      <c r="O374" s="24" t="n">
        <f aca="false">IFERROR(SUMPRODUCT(($B$2:$B$1001=B374)*($J$2:$J$1001&lt;=J374))/SUMPRODUCT(($B$2:$B$1001=B374)*1),0)</f>
        <v>0.797814207650273</v>
      </c>
      <c r="P374" s="24" t="n">
        <f aca="false">IFERROR(SUMPRODUCT(($B$2:$B$1001=B374)*((0-$F$2:$F$1001)&lt;=(0-F374)))/SUMPRODUCT(($B$2:$B$1001=B374)*1),0)</f>
        <v>0.431693989071038</v>
      </c>
      <c r="Q374" s="25" t="n">
        <f aca="false">(M374*Assumptions!$B$5+N374*Assumptions!$B$6+O374*Assumptions!$B$7+P374*Assumptions!$B$8)*L374</f>
        <v>0.586612021857924</v>
      </c>
      <c r="R374" s="24" t="n">
        <f aca="false">IFERROR(SUMPRODUCT(($B$2:$B$1001=B374)*($Q$2:$Q$1001&lt;=Q374))/SUMPRODUCT(($B$2:$B$1001=B374)*1),0)</f>
        <v>0.841530054644809</v>
      </c>
      <c r="S374" s="24" t="n">
        <f aca="false">IFERROR(SUMPRODUCT(($B$2:$B$1001=B374)*($K$2:$K$1001&lt;=K374))/SUMPRODUCT(($B$2:$B$1001=B374)*1),0)</f>
        <v>0.453551912568306</v>
      </c>
      <c r="T374" s="26" t="n">
        <f aca="false">(R374-S374)*100</f>
        <v>38.7978142076503</v>
      </c>
      <c r="U374" s="21" t="str">
        <f aca="false">'Player Data'!T374</f>
        <v>No</v>
      </c>
      <c r="V374" s="27" t="n">
        <f aca="false">'Player Data'!U374</f>
        <v>2026</v>
      </c>
      <c r="W374" s="21" t="str">
        <f aca="false">IF(AND(T374&gt;=Assumptions!$B$19,U374="No"),"High Priority - Unrepresented",IF(T374&gt;=Assumptions!$B$19,"High Priority",IF(AND(T374&gt;=Assumptions!$B$20,U374="No"),"Watchlist - Unrepresented",IF(T374&gt;=Assumptions!$B$20,"Watchlist",""))))</f>
        <v>Watchlist - Unrepresented</v>
      </c>
      <c r="X374" s="21" t="str">
        <f aca="false">'Player Data'!V374</f>
        <v>info@daejeonsc.kr</v>
      </c>
      <c r="Y374" s="28" t="str">
        <f aca="false">'Player Data'!W374</f>
        <v>Club sporting director / first-team office</v>
      </c>
      <c r="Z374" s="28" t="str">
        <f aca="false">'Player Data'!X374</f>
        <v>KFA (Korea Football Association) player registry</v>
      </c>
      <c r="AA374" s="19" t="str">
        <f aca="false">HYPERLINK("https://www.transfermarkt.com/schnellsuche/ergebnis/schnellsuche?query="&amp;SUBSTITUTE(A374," ","+"),"Search Transfermarkt")</f>
        <v>Search Transfermarkt</v>
      </c>
      <c r="AB374" s="29" t="n">
        <f aca="false">IFERROR('Player Data'!K374/('Player Data'!K374+'Player Data'!L374),0)</f>
        <v>0.642857142857143</v>
      </c>
      <c r="AC374" s="21" t="str">
        <f aca="false">IF(B374="GK",IF(AND(O374&gt;=Assumptions!$B$23,N374&gt;=Assumptions!$B$23),"Sweeper-Keeper / Build-from-the-Back",IF(O374&gt;=Assumptions!$B$23,"Sweeper-Keeper / High Line",IF(M374&gt;=Assumptions!$B$23,"Shot-Stopper / Traditional","Flexible / Multi-System"))),IF(AND(O374&gt;=Assumptions!$B$23,P374&gt;=Assumptions!$B$24),"High Press / Gegenpressing",IF(AND(N374&gt;=Assumptions!$B$23,AB374&gt;=Assumptions!$B$25),"Possession / Build-from-the-Back",IF(N374&gt;=Assumptions!$B$23,"Counter-Attack / Transition",IF(AND(O374&gt;=Assumptions!$B$23,N374&lt;Assumptions!$B$26),"Low Block / Park the Bus",IF(AND(B374="FW",M374&gt;=Assumptions!$B$23,N374&lt;Assumptions!$B$26),"Direct / Target Approach","Flexible / Multi-System"))))))</f>
        <v>Sweeper-Keeper / Build-from-the-Back</v>
      </c>
      <c r="AD374" s="21" t="str">
        <f aca="false">'Player Data'!Y374</f>
        <v>2026-07-17</v>
      </c>
      <c r="AE374" s="21" t="str">
        <f aca="false">'Player Data'!Z374</f>
        <v>2026-07-17</v>
      </c>
      <c r="AF374" s="28" t="str">
        <f aca="false">IFERROR(INDEX(Assumptions!$B$30:$B$61,MATCH(C374,Assumptions!$A$30:$A$61,0)),"--")</f>
        <v>Belgium, Saudi Arabia</v>
      </c>
      <c r="AG374" s="30" t="str">
        <f aca="false">IF(R374&gt;=0.7,"Step-Up Candidate",IF(R374&gt;=0.4,"Lateral Move","Stay &amp; Develop"))</f>
        <v>Step-Up Candidate</v>
      </c>
    </row>
    <row r="375" customFormat="false" ht="23.85" hidden="false" customHeight="false" outlineLevel="0" collapsed="false">
      <c r="A375" s="21" t="str">
        <f aca="false">'Player Data'!A375</f>
        <v>Stefan Karlsson</v>
      </c>
      <c r="B375" s="21" t="str">
        <f aca="false">'Player Data'!F375</f>
        <v>MF</v>
      </c>
      <c r="C375" s="21" t="str">
        <f aca="false">'Player Data'!B375</f>
        <v>Iceland</v>
      </c>
      <c r="D375" s="21" t="str">
        <f aca="false">'Player Data'!C375</f>
        <v>Iceland Third Tier - South</v>
      </c>
      <c r="E375" s="21" t="n">
        <f aca="false">'Player Data'!D375</f>
        <v>4</v>
      </c>
      <c r="F375" s="21" t="n">
        <f aca="false">'Player Data'!G375</f>
        <v>24</v>
      </c>
      <c r="G375" s="21" t="n">
        <f aca="false">'Player Data'!H375</f>
        <v>2379</v>
      </c>
      <c r="H375" s="22" t="n">
        <f aca="false">IF(B375="GK",IFERROR(('Player Data'!N375-1.5*'Player Data'!O375)/'Player Data'!H375*90,0),IFERROR(('Player Data'!I375+'Player Data'!J375)/'Player Data'!H375*90,0))</f>
        <v>0.453972257250946</v>
      </c>
      <c r="I375" s="22" t="n">
        <f aca="false">IF(B375="GK",'Player Data'!P375,IFERROR(('Player Data'!K375+'Player Data'!L375)/'Player Data'!H375*90,0))</f>
        <v>10.1008827238335</v>
      </c>
      <c r="J375" s="22" t="n">
        <f aca="false">IF(B375="GK",IFERROR('Player Data'!Q375/'Player Data'!H375*90,0),IFERROR('Player Data'!M375/'Player Data'!H375*90,0))</f>
        <v>1.58890290037831</v>
      </c>
      <c r="K375" s="23" t="n">
        <f aca="false">'Player Data'!S375</f>
        <v>105504</v>
      </c>
      <c r="L375" s="22" t="n">
        <f aca="false">INDEX(Assumptions!$B$13:$B$15,MATCH(E375,Assumptions!$A$13:$A$15,0))</f>
        <v>0.7</v>
      </c>
      <c r="M375" s="24" t="n">
        <f aca="false">IFERROR(SUMPRODUCT(($B$2:$B$1001=B375)*($H$2:$H$1001&lt;=H375))/SUMPRODUCT(($B$2:$B$1001=B375)*1),0)</f>
        <v>0.161616161616162</v>
      </c>
      <c r="N375" s="24" t="n">
        <f aca="false">IFERROR(SUMPRODUCT(($B$2:$B$1001=B375)*($I$2:$I$1001&lt;=I375))/SUMPRODUCT(($B$2:$B$1001=B375)*1),0)</f>
        <v>0.430976430976431</v>
      </c>
      <c r="O375" s="24" t="n">
        <f aca="false">IFERROR(SUMPRODUCT(($B$2:$B$1001=B375)*($J$2:$J$1001&lt;=J375))/SUMPRODUCT(($B$2:$B$1001=B375)*1),0)</f>
        <v>0.222222222222222</v>
      </c>
      <c r="P375" s="24" t="n">
        <f aca="false">IFERROR(SUMPRODUCT(($B$2:$B$1001=B375)*((0-$F$2:$F$1001)&lt;=(0-F375)))/SUMPRODUCT(($B$2:$B$1001=B375)*1),0)</f>
        <v>0.326599326599327</v>
      </c>
      <c r="Q375" s="25" t="n">
        <f aca="false">(M375*Assumptions!$B$5+N375*Assumptions!$B$6+O375*Assumptions!$B$7+P375*Assumptions!$B$8)*L375</f>
        <v>0.210707070707071</v>
      </c>
      <c r="R375" s="24" t="n">
        <f aca="false">IFERROR(SUMPRODUCT(($B$2:$B$1001=B375)*($Q$2:$Q$1001&lt;=Q375))/SUMPRODUCT(($B$2:$B$1001=B375)*1),0)</f>
        <v>0.107744107744108</v>
      </c>
      <c r="S375" s="24" t="n">
        <f aca="false">IFERROR(SUMPRODUCT(($B$2:$B$1001=B375)*($K$2:$K$1001&lt;=K375))/SUMPRODUCT(($B$2:$B$1001=B375)*1),0)</f>
        <v>0.757575757575758</v>
      </c>
      <c r="T375" s="26" t="n">
        <f aca="false">(R375-S375)*100</f>
        <v>-64.983164983165</v>
      </c>
      <c r="U375" s="21" t="str">
        <f aca="false">'Player Data'!T375</f>
        <v>Yes</v>
      </c>
      <c r="V375" s="27" t="n">
        <f aca="false">'Player Data'!U375</f>
        <v>2028</v>
      </c>
      <c r="W375" s="21" t="str">
        <f aca="false">IF(AND(T375&gt;=Assumptions!$B$19,U375="No"),"High Priority - Unrepresented",IF(T375&gt;=Assumptions!$B$19,"High Priority",IF(AND(T375&gt;=Assumptions!$B$20,U375="No"),"Watchlist - Unrepresented",IF(T375&gt;=Assumptions!$B$20,"Watchlist",""))))</f>
        <v/>
      </c>
      <c r="X375" s="21" t="str">
        <f aca="false">'Player Data'!V375</f>
        <v>info@reykjavikathletic.is</v>
      </c>
      <c r="Y375" s="28" t="str">
        <f aca="false">'Player Data'!W375</f>
        <v>Go through the player's agent - ask the club to confirm representation first</v>
      </c>
      <c r="Z375" s="28" t="str">
        <f aca="false">'Player Data'!X375</f>
        <v>KSI (Icelandic Football Association) player registry</v>
      </c>
      <c r="AA375" s="19" t="str">
        <f aca="false">HYPERLINK("https://www.transfermarkt.com/schnellsuche/ergebnis/schnellsuche?query="&amp;SUBSTITUTE(A375," ","+"),"Search Transfermarkt")</f>
        <v>Search Transfermarkt</v>
      </c>
      <c r="AB375" s="29" t="n">
        <f aca="false">IFERROR('Player Data'!K375/('Player Data'!K375+'Player Data'!L375),0)</f>
        <v>0.632958801498127</v>
      </c>
      <c r="AC375" s="21" t="str">
        <f aca="false">IF(B375="GK",IF(AND(O375&gt;=Assumptions!$B$23,N375&gt;=Assumptions!$B$23),"Sweeper-Keeper / Build-from-the-Back",IF(O375&gt;=Assumptions!$B$23,"Sweeper-Keeper / High Line",IF(M375&gt;=Assumptions!$B$23,"Shot-Stopper / Traditional","Flexible / Multi-System"))),IF(AND(O375&gt;=Assumptions!$B$23,P375&gt;=Assumptions!$B$24),"High Press / Gegenpressing",IF(AND(N375&gt;=Assumptions!$B$23,AB375&gt;=Assumptions!$B$25),"Possession / Build-from-the-Back",IF(N375&gt;=Assumptions!$B$23,"Counter-Attack / Transition",IF(AND(O375&gt;=Assumptions!$B$23,N375&lt;Assumptions!$B$26),"Low Block / Park the Bus",IF(AND(B375="FW",M375&gt;=Assumptions!$B$23,N375&lt;Assumptions!$B$26),"Direct / Target Approach","Flexible / Multi-System"))))))</f>
        <v>Flexible / Multi-System</v>
      </c>
      <c r="AD375" s="21" t="str">
        <f aca="false">'Player Data'!Y375</f>
        <v>2026-07-17</v>
      </c>
      <c r="AE375" s="21" t="str">
        <f aca="false">'Player Data'!Z375</f>
        <v>2026-07-17</v>
      </c>
      <c r="AF375" s="28" t="str">
        <f aca="false">IFERROR(INDEX(Assumptions!$B$30:$B$61,MATCH(C375,Assumptions!$A$30:$A$61,0)),"--")</f>
        <v>Norway, Belgium</v>
      </c>
      <c r="AG375" s="30" t="str">
        <f aca="false">IF(R375&gt;=0.7,"Step-Up Candidate",IF(R375&gt;=0.4,"Lateral Move","Stay &amp; Develop"))</f>
        <v>Stay &amp; Develop</v>
      </c>
    </row>
    <row r="376" customFormat="false" ht="23.85" hidden="false" customHeight="false" outlineLevel="0" collapsed="false">
      <c r="A376" s="21" t="str">
        <f aca="false">'Player Data'!A376</f>
        <v>Mwansa Banda</v>
      </c>
      <c r="B376" s="21" t="str">
        <f aca="false">'Player Data'!F376</f>
        <v>FW</v>
      </c>
      <c r="C376" s="21" t="str">
        <f aca="false">'Player Data'!B376</f>
        <v>Zambia</v>
      </c>
      <c r="D376" s="21" t="str">
        <f aca="false">'Player Data'!C376</f>
        <v>Zambia Third Tier - North</v>
      </c>
      <c r="E376" s="21" t="n">
        <f aca="false">'Player Data'!D376</f>
        <v>3</v>
      </c>
      <c r="F376" s="21" t="n">
        <f aca="false">'Player Data'!G376</f>
        <v>22</v>
      </c>
      <c r="G376" s="21" t="n">
        <f aca="false">'Player Data'!H376</f>
        <v>1244</v>
      </c>
      <c r="H376" s="22" t="n">
        <f aca="false">IF(B376="GK",IFERROR(('Player Data'!N376-1.5*'Player Data'!O376)/'Player Data'!H376*90,0),IFERROR(('Player Data'!I376+'Player Data'!J376)/'Player Data'!H376*90,0))</f>
        <v>1.08520900321543</v>
      </c>
      <c r="I376" s="22" t="n">
        <f aca="false">IF(B376="GK",'Player Data'!P376,IFERROR(('Player Data'!K376+'Player Data'!L376)/'Player Data'!H376*90,0))</f>
        <v>9.2604501607717</v>
      </c>
      <c r="J376" s="22" t="n">
        <f aca="false">IF(B376="GK",IFERROR('Player Data'!Q376/'Player Data'!H376*90,0),IFERROR('Player Data'!M376/'Player Data'!H376*90,0))</f>
        <v>1.01286173633441</v>
      </c>
      <c r="K376" s="23" t="n">
        <f aca="false">'Player Data'!S376</f>
        <v>134782</v>
      </c>
      <c r="L376" s="22" t="n">
        <f aca="false">INDEX(Assumptions!$B$13:$B$15,MATCH(E376,Assumptions!$A$13:$A$15,0))</f>
        <v>0.85</v>
      </c>
      <c r="M376" s="24" t="n">
        <f aca="false">IFERROR(SUMPRODUCT(($B$2:$B$1001=B376)*($H$2:$H$1001&lt;=H376))/SUMPRODUCT(($B$2:$B$1001=B376)*1),0)</f>
        <v>0.606194690265487</v>
      </c>
      <c r="N376" s="24" t="n">
        <f aca="false">IFERROR(SUMPRODUCT(($B$2:$B$1001=B376)*($I$2:$I$1001&lt;=I376))/SUMPRODUCT(($B$2:$B$1001=B376)*1),0)</f>
        <v>0.792035398230089</v>
      </c>
      <c r="O376" s="24" t="n">
        <f aca="false">IFERROR(SUMPRODUCT(($B$2:$B$1001=B376)*($J$2:$J$1001&lt;=J376))/SUMPRODUCT(($B$2:$B$1001=B376)*1),0)</f>
        <v>0.902654867256637</v>
      </c>
      <c r="P376" s="24" t="n">
        <f aca="false">IFERROR(SUMPRODUCT(($B$2:$B$1001=B376)*((0-$F$2:$F$1001)&lt;=(0-F376)))/SUMPRODUCT(($B$2:$B$1001=B376)*1),0)</f>
        <v>0.504424778761062</v>
      </c>
      <c r="Q376" s="25" t="n">
        <f aca="false">(M376*Assumptions!$B$5+N376*Assumptions!$B$6+O376*Assumptions!$B$7+P376*Assumptions!$B$8)*L376</f>
        <v>0.603650442477876</v>
      </c>
      <c r="R376" s="24" t="n">
        <f aca="false">IFERROR(SUMPRODUCT(($B$2:$B$1001=B376)*($Q$2:$Q$1001&lt;=Q376))/SUMPRODUCT(($B$2:$B$1001=B376)*1),0)</f>
        <v>0.756637168141593</v>
      </c>
      <c r="S376" s="24" t="n">
        <f aca="false">IFERROR(SUMPRODUCT(($B$2:$B$1001=B376)*($K$2:$K$1001&lt;=K376))/SUMPRODUCT(($B$2:$B$1001=B376)*1),0)</f>
        <v>0.915929203539823</v>
      </c>
      <c r="T376" s="26" t="n">
        <f aca="false">(R376-S376)*100</f>
        <v>-15.929203539823</v>
      </c>
      <c r="U376" s="21" t="str">
        <f aca="false">'Player Data'!T376</f>
        <v>No</v>
      </c>
      <c r="V376" s="27" t="n">
        <f aca="false">'Player Data'!U376</f>
        <v>2029</v>
      </c>
      <c r="W376" s="21" t="str">
        <f aca="false">IF(AND(T376&gt;=Assumptions!$B$19,U376="No"),"High Priority - Unrepresented",IF(T376&gt;=Assumptions!$B$19,"High Priority",IF(AND(T376&gt;=Assumptions!$B$20,U376="No"),"Watchlist - Unrepresented",IF(T376&gt;=Assumptions!$B$20,"Watchlist",""))))</f>
        <v/>
      </c>
      <c r="X376" s="21" t="str">
        <f aca="false">'Player Data'!V376</f>
        <v>info@livingstonewanderers.zm</v>
      </c>
      <c r="Y376" s="28" t="str">
        <f aca="false">'Player Data'!W376</f>
        <v>Club sporting director / first-team office</v>
      </c>
      <c r="Z376" s="28" t="str">
        <f aca="false">'Player Data'!X376</f>
        <v>FAZ (Football Association of Zambia) player registry</v>
      </c>
      <c r="AA376" s="19" t="str">
        <f aca="false">HYPERLINK("https://www.transfermarkt.com/schnellsuche/ergebnis/schnellsuche?query="&amp;SUBSTITUTE(A376," ","+"),"Search Transfermarkt")</f>
        <v>Search Transfermarkt</v>
      </c>
      <c r="AB376" s="29" t="n">
        <f aca="false">IFERROR('Player Data'!K376/('Player Data'!K376+'Player Data'!L376),0)</f>
        <v>0.4609375</v>
      </c>
      <c r="AC376" s="21" t="str">
        <f aca="false">IF(B376="GK",IF(AND(O376&gt;=Assumptions!$B$23,N376&gt;=Assumptions!$B$23),"Sweeper-Keeper / Build-from-the-Back",IF(O376&gt;=Assumptions!$B$23,"Sweeper-Keeper / High Line",IF(M376&gt;=Assumptions!$B$23,"Shot-Stopper / Traditional","Flexible / Multi-System"))),IF(AND(O376&gt;=Assumptions!$B$23,P376&gt;=Assumptions!$B$24),"High Press / Gegenpressing",IF(AND(N376&gt;=Assumptions!$B$23,AB376&gt;=Assumptions!$B$25),"Possession / Build-from-the-Back",IF(N376&gt;=Assumptions!$B$23,"Counter-Attack / Transition",IF(AND(O376&gt;=Assumptions!$B$23,N376&lt;Assumptions!$B$26),"Low Block / Park the Bus",IF(AND(B376="FW",M376&gt;=Assumptions!$B$23,N376&lt;Assumptions!$B$26),"Direct / Target Approach","Flexible / Multi-System"))))))</f>
        <v>Counter-Attack / Transition</v>
      </c>
      <c r="AD376" s="21" t="str">
        <f aca="false">'Player Data'!Y376</f>
        <v>2026-07-17</v>
      </c>
      <c r="AE376" s="21" t="str">
        <f aca="false">'Player Data'!Z376</f>
        <v>2026-07-17</v>
      </c>
      <c r="AF376" s="28" t="str">
        <f aca="false">IFERROR(INDEX(Assumptions!$B$30:$B$61,MATCH(C376,Assumptions!$A$30:$A$61,0)),"--")</f>
        <v>Belgium, Portugal</v>
      </c>
      <c r="AG376" s="30" t="str">
        <f aca="false">IF(R376&gt;=0.7,"Step-Up Candidate",IF(R376&gt;=0.4,"Lateral Move","Stay &amp; Develop"))</f>
        <v>Step-Up Candidate</v>
      </c>
    </row>
    <row r="377" customFormat="false" ht="23.85" hidden="false" customHeight="false" outlineLevel="0" collapsed="false">
      <c r="A377" s="21" t="str">
        <f aca="false">'Player Data'!A377</f>
        <v>Jesus Gonzalez</v>
      </c>
      <c r="B377" s="21" t="str">
        <f aca="false">'Player Data'!F377</f>
        <v>DF</v>
      </c>
      <c r="C377" s="21" t="str">
        <f aca="false">'Player Data'!B377</f>
        <v>Venezuela</v>
      </c>
      <c r="D377" s="21" t="str">
        <f aca="false">'Player Data'!C377</f>
        <v>Venezuela Second Division</v>
      </c>
      <c r="E377" s="21" t="n">
        <f aca="false">'Player Data'!D377</f>
        <v>3</v>
      </c>
      <c r="F377" s="21" t="n">
        <f aca="false">'Player Data'!G377</f>
        <v>25</v>
      </c>
      <c r="G377" s="21" t="n">
        <f aca="false">'Player Data'!H377</f>
        <v>1628</v>
      </c>
      <c r="H377" s="22" t="n">
        <f aca="false">IF(B377="GK",IFERROR(('Player Data'!N377-1.5*'Player Data'!O377)/'Player Data'!H377*90,0),IFERROR(('Player Data'!I377+'Player Data'!J377)/'Player Data'!H377*90,0))</f>
        <v>0.0552825552825553</v>
      </c>
      <c r="I377" s="22" t="n">
        <f aca="false">IF(B377="GK",'Player Data'!P377,IFERROR(('Player Data'!K377+'Player Data'!L377)/'Player Data'!H377*90,0))</f>
        <v>4.6990171990172</v>
      </c>
      <c r="J377" s="22" t="n">
        <f aca="false">IF(B377="GK",IFERROR('Player Data'!Q377/'Player Data'!H377*90,0),IFERROR('Player Data'!M377/'Player Data'!H377*90,0))</f>
        <v>5.58353808353808</v>
      </c>
      <c r="K377" s="23" t="n">
        <f aca="false">'Player Data'!S377</f>
        <v>0</v>
      </c>
      <c r="L377" s="22" t="n">
        <f aca="false">INDEX(Assumptions!$B$13:$B$15,MATCH(E377,Assumptions!$A$13:$A$15,0))</f>
        <v>0.85</v>
      </c>
      <c r="M377" s="24" t="n">
        <f aca="false">IFERROR(SUMPRODUCT(($B$2:$B$1001=B377)*($H$2:$H$1001&lt;=H377))/SUMPRODUCT(($B$2:$B$1001=B377)*1),0)</f>
        <v>0.0748299319727891</v>
      </c>
      <c r="N377" s="24" t="n">
        <f aca="false">IFERROR(SUMPRODUCT(($B$2:$B$1001=B377)*($I$2:$I$1001&lt;=I377))/SUMPRODUCT(($B$2:$B$1001=B377)*1),0)</f>
        <v>0.554421768707483</v>
      </c>
      <c r="O377" s="24" t="n">
        <f aca="false">IFERROR(SUMPRODUCT(($B$2:$B$1001=B377)*($J$2:$J$1001&lt;=J377))/SUMPRODUCT(($B$2:$B$1001=B377)*1),0)</f>
        <v>0.537414965986395</v>
      </c>
      <c r="P377" s="24" t="n">
        <f aca="false">IFERROR(SUMPRODUCT(($B$2:$B$1001=B377)*((0-$F$2:$F$1001)&lt;=(0-F377)))/SUMPRODUCT(($B$2:$B$1001=B377)*1),0)</f>
        <v>0.146258503401361</v>
      </c>
      <c r="Q377" s="25" t="n">
        <f aca="false">(M377*Assumptions!$B$5+N377*Assumptions!$B$6+O377*Assumptions!$B$7+P377*Assumptions!$B$8)*L377</f>
        <v>0.297066326530612</v>
      </c>
      <c r="R377" s="24" t="n">
        <f aca="false">IFERROR(SUMPRODUCT(($B$2:$B$1001=B377)*($Q$2:$Q$1001&lt;=Q377))/SUMPRODUCT(($B$2:$B$1001=B377)*1),0)</f>
        <v>0.251700680272109</v>
      </c>
      <c r="S377" s="24" t="n">
        <f aca="false">IFERROR(SUMPRODUCT(($B$2:$B$1001=B377)*($K$2:$K$1001&lt;=K377))/SUMPRODUCT(($B$2:$B$1001=B377)*1),0)</f>
        <v>0.248299319727891</v>
      </c>
      <c r="T377" s="26" t="n">
        <f aca="false">(R377-S377)*100</f>
        <v>0.340136054421769</v>
      </c>
      <c r="U377" s="21" t="str">
        <f aca="false">'Player Data'!T377</f>
        <v>No</v>
      </c>
      <c r="V377" s="27" t="n">
        <f aca="false">'Player Data'!U377</f>
        <v>2029</v>
      </c>
      <c r="W377" s="21" t="str">
        <f aca="false">IF(AND(T377&gt;=Assumptions!$B$19,U377="No"),"High Priority - Unrepresented",IF(T377&gt;=Assumptions!$B$19,"High Priority",IF(AND(T377&gt;=Assumptions!$B$20,U377="No"),"Watchlist - Unrepresented",IF(T377&gt;=Assumptions!$B$20,"Watchlist",""))))</f>
        <v/>
      </c>
      <c r="X377" s="21" t="str">
        <f aca="false">'Player Data'!V377</f>
        <v>info@caracaswanderers.ve</v>
      </c>
      <c r="Y377" s="28" t="str">
        <f aca="false">'Player Data'!W377</f>
        <v>Club sporting director / first-team office</v>
      </c>
      <c r="Z377" s="28" t="str">
        <f aca="false">'Player Data'!X377</f>
        <v>FVF (Venezuelan Football Federation) player registry</v>
      </c>
      <c r="AA377" s="19" t="str">
        <f aca="false">HYPERLINK("https://www.transfermarkt.com/schnellsuche/ergebnis/schnellsuche?query="&amp;SUBSTITUTE(A377," ","+"),"Search Transfermarkt")</f>
        <v>Search Transfermarkt</v>
      </c>
      <c r="AB377" s="29" t="n">
        <f aca="false">IFERROR('Player Data'!K377/('Player Data'!K377+'Player Data'!L377),0)</f>
        <v>0.764705882352941</v>
      </c>
      <c r="AC377" s="21" t="str">
        <f aca="false">IF(B377="GK",IF(AND(O377&gt;=Assumptions!$B$23,N377&gt;=Assumptions!$B$23),"Sweeper-Keeper / Build-from-the-Back",IF(O377&gt;=Assumptions!$B$23,"Sweeper-Keeper / High Line",IF(M377&gt;=Assumptions!$B$23,"Shot-Stopper / Traditional","Flexible / Multi-System"))),IF(AND(O377&gt;=Assumptions!$B$23,P377&gt;=Assumptions!$B$24),"High Press / Gegenpressing",IF(AND(N377&gt;=Assumptions!$B$23,AB377&gt;=Assumptions!$B$25),"Possession / Build-from-the-Back",IF(N377&gt;=Assumptions!$B$23,"Counter-Attack / Transition",IF(AND(O377&gt;=Assumptions!$B$23,N377&lt;Assumptions!$B$26),"Low Block / Park the Bus",IF(AND(B377="FW",M377&gt;=Assumptions!$B$23,N377&lt;Assumptions!$B$26),"Direct / Target Approach","Flexible / Multi-System"))))))</f>
        <v>Flexible / Multi-System</v>
      </c>
      <c r="AD377" s="21" t="str">
        <f aca="false">'Player Data'!Y377</f>
        <v>2026-07-17</v>
      </c>
      <c r="AE377" s="21" t="str">
        <f aca="false">'Player Data'!Z377</f>
        <v>2026-07-17</v>
      </c>
      <c r="AF377" s="28" t="str">
        <f aca="false">IFERROR(INDEX(Assumptions!$B$30:$B$61,MATCH(C377,Assumptions!$A$30:$A$61,0)),"--")</f>
        <v>Argentina, Portugal</v>
      </c>
      <c r="AG377" s="30" t="str">
        <f aca="false">IF(R377&gt;=0.7,"Step-Up Candidate",IF(R377&gt;=0.4,"Lateral Move","Stay &amp; Develop"))</f>
        <v>Stay &amp; Develop</v>
      </c>
    </row>
    <row r="378" customFormat="false" ht="23.85" hidden="false" customHeight="false" outlineLevel="0" collapsed="false">
      <c r="A378" s="21" t="str">
        <f aca="false">'Player Data'!A378</f>
        <v>Janis Vitols</v>
      </c>
      <c r="B378" s="21" t="str">
        <f aca="false">'Player Data'!F378</f>
        <v>GK</v>
      </c>
      <c r="C378" s="21" t="str">
        <f aca="false">'Player Data'!B378</f>
        <v>Latvia</v>
      </c>
      <c r="D378" s="21" t="str">
        <f aca="false">'Player Data'!C378</f>
        <v>Latvia Third Tier - North</v>
      </c>
      <c r="E378" s="21" t="n">
        <f aca="false">'Player Data'!D378</f>
        <v>3</v>
      </c>
      <c r="F378" s="21" t="n">
        <f aca="false">'Player Data'!G378</f>
        <v>24</v>
      </c>
      <c r="G378" s="21" t="n">
        <f aca="false">'Player Data'!H378</f>
        <v>1151</v>
      </c>
      <c r="H378" s="22" t="n">
        <f aca="false">IF(B378="GK",IFERROR(('Player Data'!N378-1.5*'Player Data'!O378)/'Player Data'!H378*90,0),IFERROR(('Player Data'!I378+'Player Data'!J378)/'Player Data'!H378*90,0))</f>
        <v>2.07211120764553</v>
      </c>
      <c r="I378" s="22" t="n">
        <f aca="false">IF(B378="GK",'Player Data'!P378,IFERROR(('Player Data'!K378+'Player Data'!L378)/'Player Data'!H378*90,0))</f>
        <v>75.3</v>
      </c>
      <c r="J378" s="22" t="n">
        <f aca="false">IF(B378="GK",IFERROR('Player Data'!Q378/'Player Data'!H378*90,0),IFERROR('Player Data'!M378/'Player Data'!H378*90,0))</f>
        <v>0.398783666377063</v>
      </c>
      <c r="K378" s="23" t="n">
        <f aca="false">'Player Data'!S378</f>
        <v>47164</v>
      </c>
      <c r="L378" s="22" t="n">
        <f aca="false">INDEX(Assumptions!$B$13:$B$15,MATCH(E378,Assumptions!$A$13:$A$15,0))</f>
        <v>0.85</v>
      </c>
      <c r="M378" s="24" t="n">
        <f aca="false">IFERROR(SUMPRODUCT(($B$2:$B$1001=B378)*($H$2:$H$1001&lt;=H378))/SUMPRODUCT(($B$2:$B$1001=B378)*1),0)</f>
        <v>0.923497267759563</v>
      </c>
      <c r="N378" s="24" t="n">
        <f aca="false">IFERROR(SUMPRODUCT(($B$2:$B$1001=B378)*($I$2:$I$1001&lt;=I378))/SUMPRODUCT(($B$2:$B$1001=B378)*1),0)</f>
        <v>0.562841530054645</v>
      </c>
      <c r="O378" s="24" t="n">
        <f aca="false">IFERROR(SUMPRODUCT(($B$2:$B$1001=B378)*($J$2:$J$1001&lt;=J378))/SUMPRODUCT(($B$2:$B$1001=B378)*1),0)</f>
        <v>0.180327868852459</v>
      </c>
      <c r="P378" s="24" t="n">
        <f aca="false">IFERROR(SUMPRODUCT(($B$2:$B$1001=B378)*((0-$F$2:$F$1001)&lt;=(0-F378)))/SUMPRODUCT(($B$2:$B$1001=B378)*1),0)</f>
        <v>0.300546448087432</v>
      </c>
      <c r="Q378" s="25" t="n">
        <f aca="false">(M378*Assumptions!$B$5+N378*Assumptions!$B$6+O378*Assumptions!$B$7+P378*Assumptions!$B$8)*L378</f>
        <v>0.445437158469945</v>
      </c>
      <c r="R378" s="24" t="n">
        <f aca="false">IFERROR(SUMPRODUCT(($B$2:$B$1001=B378)*($Q$2:$Q$1001&lt;=Q378))/SUMPRODUCT(($B$2:$B$1001=B378)*1),0)</f>
        <v>0.453551912568306</v>
      </c>
      <c r="S378" s="24" t="n">
        <f aca="false">IFERROR(SUMPRODUCT(($B$2:$B$1001=B378)*($K$2:$K$1001&lt;=K378))/SUMPRODUCT(($B$2:$B$1001=B378)*1),0)</f>
        <v>0.382513661202186</v>
      </c>
      <c r="T378" s="26" t="n">
        <f aca="false">(R378-S378)*100</f>
        <v>7.10382513661202</v>
      </c>
      <c r="U378" s="21" t="str">
        <f aca="false">'Player Data'!T378</f>
        <v>Yes</v>
      </c>
      <c r="V378" s="27" t="n">
        <f aca="false">'Player Data'!U378</f>
        <v>2027</v>
      </c>
      <c r="W378" s="21" t="str">
        <f aca="false">IF(AND(T378&gt;=Assumptions!$B$19,U378="No"),"High Priority - Unrepresented",IF(T378&gt;=Assumptions!$B$19,"High Priority",IF(AND(T378&gt;=Assumptions!$B$20,U378="No"),"Watchlist - Unrepresented",IF(T378&gt;=Assumptions!$B$20,"Watchlist",""))))</f>
        <v/>
      </c>
      <c r="X378" s="21" t="str">
        <f aca="false">'Player Data'!V378</f>
        <v>info@daugavpilscity.lv</v>
      </c>
      <c r="Y378" s="28" t="str">
        <f aca="false">'Player Data'!W378</f>
        <v>Go through the player's agent - ask the club to confirm representation first</v>
      </c>
      <c r="Z378" s="28" t="str">
        <f aca="false">'Player Data'!X378</f>
        <v>LFF (Latvian Football Federation) player registry</v>
      </c>
      <c r="AA378" s="19" t="str">
        <f aca="false">HYPERLINK("https://www.transfermarkt.com/schnellsuche/ergebnis/schnellsuche?query="&amp;SUBSTITUTE(A378," ","+"),"Search Transfermarkt")</f>
        <v>Search Transfermarkt</v>
      </c>
      <c r="AB378" s="29" t="n">
        <f aca="false">IFERROR('Player Data'!K378/('Player Data'!K378+'Player Data'!L378),0)</f>
        <v>0.769230769230769</v>
      </c>
      <c r="AC378" s="21" t="str">
        <f aca="false">IF(B378="GK",IF(AND(O378&gt;=Assumptions!$B$23,N378&gt;=Assumptions!$B$23),"Sweeper-Keeper / Build-from-the-Back",IF(O378&gt;=Assumptions!$B$23,"Sweeper-Keeper / High Line",IF(M378&gt;=Assumptions!$B$23,"Shot-Stopper / Traditional","Flexible / Multi-System"))),IF(AND(O378&gt;=Assumptions!$B$23,P378&gt;=Assumptions!$B$24),"High Press / Gegenpressing",IF(AND(N378&gt;=Assumptions!$B$23,AB378&gt;=Assumptions!$B$25),"Possession / Build-from-the-Back",IF(N378&gt;=Assumptions!$B$23,"Counter-Attack / Transition",IF(AND(O378&gt;=Assumptions!$B$23,N378&lt;Assumptions!$B$26),"Low Block / Park the Bus",IF(AND(B378="FW",M378&gt;=Assumptions!$B$23,N378&lt;Assumptions!$B$26),"Direct / Target Approach","Flexible / Multi-System"))))))</f>
        <v>Shot-Stopper / Traditional</v>
      </c>
      <c r="AD378" s="21" t="str">
        <f aca="false">'Player Data'!Y378</f>
        <v>2026-07-17</v>
      </c>
      <c r="AE378" s="21" t="str">
        <f aca="false">'Player Data'!Z378</f>
        <v>2026-07-17</v>
      </c>
      <c r="AF378" s="28" t="str">
        <f aca="false">IFERROR(INDEX(Assumptions!$B$30:$B$61,MATCH(C378,Assumptions!$A$30:$A$61,0)),"--")</f>
        <v>Poland, Norway</v>
      </c>
      <c r="AG378" s="30" t="str">
        <f aca="false">IF(R378&gt;=0.7,"Step-Up Candidate",IF(R378&gt;=0.4,"Lateral Move","Stay &amp; Develop"))</f>
        <v>Lateral Move</v>
      </c>
    </row>
    <row r="379" customFormat="false" ht="23.85" hidden="false" customHeight="false" outlineLevel="0" collapsed="false">
      <c r="A379" s="21" t="str">
        <f aca="false">'Player Data'!A379</f>
        <v>Diego Fernandez</v>
      </c>
      <c r="B379" s="21" t="str">
        <f aca="false">'Player Data'!F379</f>
        <v>GK</v>
      </c>
      <c r="C379" s="21" t="str">
        <f aca="false">'Player Data'!B379</f>
        <v>Bolivia</v>
      </c>
      <c r="D379" s="21" t="str">
        <f aca="false">'Player Data'!C379</f>
        <v>Bolivia Amateur League</v>
      </c>
      <c r="E379" s="21" t="n">
        <f aca="false">'Player Data'!D379</f>
        <v>2</v>
      </c>
      <c r="F379" s="21" t="n">
        <f aca="false">'Player Data'!G379</f>
        <v>21</v>
      </c>
      <c r="G379" s="21" t="n">
        <f aca="false">'Player Data'!H379</f>
        <v>2331</v>
      </c>
      <c r="H379" s="22" t="n">
        <f aca="false">IF(B379="GK",IFERROR(('Player Data'!N379-1.5*'Player Data'!O379)/'Player Data'!H379*90,0),IFERROR(('Player Data'!I379+'Player Data'!J379)/'Player Data'!H379*90,0))</f>
        <v>1.42857142857143</v>
      </c>
      <c r="I379" s="22" t="n">
        <f aca="false">IF(B379="GK",'Player Data'!P379,IFERROR(('Player Data'!K379+'Player Data'!L379)/'Player Data'!H379*90,0))</f>
        <v>58.6</v>
      </c>
      <c r="J379" s="22" t="n">
        <f aca="false">IF(B379="GK",IFERROR('Player Data'!Q379/'Player Data'!H379*90,0),IFERROR('Player Data'!M379/'Player Data'!H379*90,0))</f>
        <v>0.544401544401544</v>
      </c>
      <c r="K379" s="23" t="n">
        <f aca="false">'Player Data'!S379</f>
        <v>89972</v>
      </c>
      <c r="L379" s="22" t="n">
        <f aca="false">INDEX(Assumptions!$B$13:$B$15,MATCH(E379,Assumptions!$A$13:$A$15,0))</f>
        <v>1</v>
      </c>
      <c r="M379" s="24" t="n">
        <f aca="false">IFERROR(SUMPRODUCT(($B$2:$B$1001=B379)*($H$2:$H$1001&lt;=H379))/SUMPRODUCT(($B$2:$B$1001=B379)*1),0)</f>
        <v>0.655737704918033</v>
      </c>
      <c r="N379" s="24" t="n">
        <f aca="false">IFERROR(SUMPRODUCT(($B$2:$B$1001=B379)*($I$2:$I$1001&lt;=I379))/SUMPRODUCT(($B$2:$B$1001=B379)*1),0)</f>
        <v>0.092896174863388</v>
      </c>
      <c r="O379" s="24" t="n">
        <f aca="false">IFERROR(SUMPRODUCT(($B$2:$B$1001=B379)*($J$2:$J$1001&lt;=J379))/SUMPRODUCT(($B$2:$B$1001=B379)*1),0)</f>
        <v>0.289617486338798</v>
      </c>
      <c r="P379" s="24" t="n">
        <f aca="false">IFERROR(SUMPRODUCT(($B$2:$B$1001=B379)*((0-$F$2:$F$1001)&lt;=(0-F379)))/SUMPRODUCT(($B$2:$B$1001=B379)*1),0)</f>
        <v>0.60655737704918</v>
      </c>
      <c r="Q379" s="25" t="n">
        <f aca="false">(M379*Assumptions!$B$5+N379*Assumptions!$B$6+O379*Assumptions!$B$7+P379*Assumptions!$B$8)*L379</f>
        <v>0.37568306010929</v>
      </c>
      <c r="R379" s="24" t="n">
        <f aca="false">IFERROR(SUMPRODUCT(($B$2:$B$1001=B379)*($Q$2:$Q$1001&lt;=Q379))/SUMPRODUCT(($B$2:$B$1001=B379)*1),0)</f>
        <v>0.327868852459016</v>
      </c>
      <c r="S379" s="24" t="n">
        <f aca="false">IFERROR(SUMPRODUCT(($B$2:$B$1001=B379)*($K$2:$K$1001&lt;=K379))/SUMPRODUCT(($B$2:$B$1001=B379)*1),0)</f>
        <v>0.644808743169399</v>
      </c>
      <c r="T379" s="26" t="n">
        <f aca="false">(R379-S379)*100</f>
        <v>-31.6939890710383</v>
      </c>
      <c r="U379" s="21" t="str">
        <f aca="false">'Player Data'!T379</f>
        <v>Yes</v>
      </c>
      <c r="V379" s="27" t="n">
        <f aca="false">'Player Data'!U379</f>
        <v>2027</v>
      </c>
      <c r="W379" s="21" t="str">
        <f aca="false">IF(AND(T379&gt;=Assumptions!$B$19,U379="No"),"High Priority - Unrepresented",IF(T379&gt;=Assumptions!$B$19,"High Priority",IF(AND(T379&gt;=Assumptions!$B$20,U379="No"),"Watchlist - Unrepresented",IF(T379&gt;=Assumptions!$B$20,"Watchlist",""))))</f>
        <v/>
      </c>
      <c r="X379" s="21" t="str">
        <f aca="false">'Player Data'!V379</f>
        <v>info@sucretown.bo</v>
      </c>
      <c r="Y379" s="28" t="str">
        <f aca="false">'Player Data'!W379</f>
        <v>Go through the player's agent - ask the club to confirm representation first</v>
      </c>
      <c r="Z379" s="28" t="str">
        <f aca="false">'Player Data'!X379</f>
        <v>FBF (Bolivian Football Federation) player registry</v>
      </c>
      <c r="AA379" s="19" t="str">
        <f aca="false">HYPERLINK("https://www.transfermarkt.com/schnellsuche/ergebnis/schnellsuche?query="&amp;SUBSTITUTE(A379," ","+"),"Search Transfermarkt")</f>
        <v>Search Transfermarkt</v>
      </c>
      <c r="AB379" s="29" t="n">
        <f aca="false">IFERROR('Player Data'!K379/('Player Data'!K379+'Player Data'!L379),0)</f>
        <v>0.769230769230769</v>
      </c>
      <c r="AC379" s="21" t="str">
        <f aca="false">IF(B379="GK",IF(AND(O379&gt;=Assumptions!$B$23,N379&gt;=Assumptions!$B$23),"Sweeper-Keeper / Build-from-the-Back",IF(O379&gt;=Assumptions!$B$23,"Sweeper-Keeper / High Line",IF(M379&gt;=Assumptions!$B$23,"Shot-Stopper / Traditional","Flexible / Multi-System"))),IF(AND(O379&gt;=Assumptions!$B$23,P379&gt;=Assumptions!$B$24),"High Press / Gegenpressing",IF(AND(N379&gt;=Assumptions!$B$23,AB379&gt;=Assumptions!$B$25),"Possession / Build-from-the-Back",IF(N379&gt;=Assumptions!$B$23,"Counter-Attack / Transition",IF(AND(O379&gt;=Assumptions!$B$23,N379&lt;Assumptions!$B$26),"Low Block / Park the Bus",IF(AND(B379="FW",M379&gt;=Assumptions!$B$23,N379&lt;Assumptions!$B$26),"Direct / Target Approach","Flexible / Multi-System"))))))</f>
        <v>Shot-Stopper / Traditional</v>
      </c>
      <c r="AD379" s="21" t="str">
        <f aca="false">'Player Data'!Y379</f>
        <v>2026-07-17</v>
      </c>
      <c r="AE379" s="21" t="str">
        <f aca="false">'Player Data'!Z379</f>
        <v>2026-07-17</v>
      </c>
      <c r="AF379" s="28" t="str">
        <f aca="false">IFERROR(INDEX(Assumptions!$B$30:$B$61,MATCH(C379,Assumptions!$A$30:$A$61,0)),"--")</f>
        <v>Argentina, Portugal</v>
      </c>
      <c r="AG379" s="30" t="str">
        <f aca="false">IF(R379&gt;=0.7,"Step-Up Candidate",IF(R379&gt;=0.4,"Lateral Move","Stay &amp; Develop"))</f>
        <v>Stay &amp; Develop</v>
      </c>
    </row>
    <row r="380" customFormat="false" ht="23.85" hidden="false" customHeight="false" outlineLevel="0" collapsed="false">
      <c r="A380" s="21" t="str">
        <f aca="false">'Player Data'!A380</f>
        <v>Wesly Elvir</v>
      </c>
      <c r="B380" s="21" t="str">
        <f aca="false">'Player Data'!F380</f>
        <v>DF</v>
      </c>
      <c r="C380" s="21" t="str">
        <f aca="false">'Player Data'!B380</f>
        <v>Honduras</v>
      </c>
      <c r="D380" s="21" t="str">
        <f aca="false">'Player Data'!C380</f>
        <v>Honduras Third Tier - North</v>
      </c>
      <c r="E380" s="21" t="n">
        <f aca="false">'Player Data'!D380</f>
        <v>4</v>
      </c>
      <c r="F380" s="21" t="n">
        <f aca="false">'Player Data'!G380</f>
        <v>26</v>
      </c>
      <c r="G380" s="21" t="n">
        <f aca="false">'Player Data'!H380</f>
        <v>1754</v>
      </c>
      <c r="H380" s="22" t="n">
        <f aca="false">IF(B380="GK",IFERROR(('Player Data'!N380-1.5*'Player Data'!O380)/'Player Data'!H380*90,0),IFERROR(('Player Data'!I380+'Player Data'!J380)/'Player Data'!H380*90,0))</f>
        <v>0.256556442417332</v>
      </c>
      <c r="I380" s="22" t="n">
        <f aca="false">IF(B380="GK",'Player Data'!P380,IFERROR(('Player Data'!K380+'Player Data'!L380)/'Player Data'!H380*90,0))</f>
        <v>5.6442417331813</v>
      </c>
      <c r="J380" s="22" t="n">
        <f aca="false">IF(B380="GK",IFERROR('Player Data'!Q380/'Player Data'!H380*90,0),IFERROR('Player Data'!M380/'Player Data'!H380*90,0))</f>
        <v>5.7981755986317</v>
      </c>
      <c r="K380" s="23" t="n">
        <f aca="false">'Player Data'!S380</f>
        <v>0</v>
      </c>
      <c r="L380" s="22" t="n">
        <f aca="false">INDEX(Assumptions!$B$13:$B$15,MATCH(E380,Assumptions!$A$13:$A$15,0))</f>
        <v>0.7</v>
      </c>
      <c r="M380" s="24" t="n">
        <f aca="false">IFERROR(SUMPRODUCT(($B$2:$B$1001=B380)*($H$2:$H$1001&lt;=H380))/SUMPRODUCT(($B$2:$B$1001=B380)*1),0)</f>
        <v>0.670068027210884</v>
      </c>
      <c r="N380" s="24" t="n">
        <f aca="false">IFERROR(SUMPRODUCT(($B$2:$B$1001=B380)*($I$2:$I$1001&lt;=I380))/SUMPRODUCT(($B$2:$B$1001=B380)*1),0)</f>
        <v>0.693877551020408</v>
      </c>
      <c r="O380" s="24" t="n">
        <f aca="false">IFERROR(SUMPRODUCT(($B$2:$B$1001=B380)*($J$2:$J$1001&lt;=J380))/SUMPRODUCT(($B$2:$B$1001=B380)*1),0)</f>
        <v>0.581632653061225</v>
      </c>
      <c r="P380" s="24" t="n">
        <f aca="false">IFERROR(SUMPRODUCT(($B$2:$B$1001=B380)*((0-$F$2:$F$1001)&lt;=(0-F380)))/SUMPRODUCT(($B$2:$B$1001=B380)*1),0)</f>
        <v>0.0748299319727891</v>
      </c>
      <c r="Q380" s="25" t="n">
        <f aca="false">(M380*Assumptions!$B$5+N380*Assumptions!$B$6+O380*Assumptions!$B$7+P380*Assumptions!$B$8)*L380</f>
        <v>0.379166666666667</v>
      </c>
      <c r="R380" s="24" t="n">
        <f aca="false">IFERROR(SUMPRODUCT(($B$2:$B$1001=B380)*($Q$2:$Q$1001&lt;=Q380))/SUMPRODUCT(($B$2:$B$1001=B380)*1),0)</f>
        <v>0.394557823129252</v>
      </c>
      <c r="S380" s="24" t="n">
        <f aca="false">IFERROR(SUMPRODUCT(($B$2:$B$1001=B380)*($K$2:$K$1001&lt;=K380))/SUMPRODUCT(($B$2:$B$1001=B380)*1),0)</f>
        <v>0.248299319727891</v>
      </c>
      <c r="T380" s="26" t="n">
        <f aca="false">(R380-S380)*100</f>
        <v>14.6258503401361</v>
      </c>
      <c r="U380" s="21" t="str">
        <f aca="false">'Player Data'!T380</f>
        <v>Yes</v>
      </c>
      <c r="V380" s="27" t="n">
        <f aca="false">'Player Data'!U380</f>
        <v>2029</v>
      </c>
      <c r="W380" s="21" t="str">
        <f aca="false">IF(AND(T380&gt;=Assumptions!$B$19,U380="No"),"High Priority - Unrepresented",IF(T380&gt;=Assumptions!$B$19,"High Priority",IF(AND(T380&gt;=Assumptions!$B$20,U380="No"),"Watchlist - Unrepresented",IF(T380&gt;=Assumptions!$B$20,"Watchlist",""))))</f>
        <v/>
      </c>
      <c r="X380" s="21" t="str">
        <f aca="false">'Player Data'!V380</f>
        <v>info@tegucigalparovers.hn</v>
      </c>
      <c r="Y380" s="28" t="str">
        <f aca="false">'Player Data'!W380</f>
        <v>Go through the player's agent - ask the club to confirm representation first</v>
      </c>
      <c r="Z380" s="28" t="str">
        <f aca="false">'Player Data'!X380</f>
        <v>FENAFUTH (Honduran Football Federation) player registry</v>
      </c>
      <c r="AA380" s="19" t="str">
        <f aca="false">HYPERLINK("https://www.transfermarkt.com/schnellsuche/ergebnis/schnellsuche?query="&amp;SUBSTITUTE(A380," ","+"),"Search Transfermarkt")</f>
        <v>Search Transfermarkt</v>
      </c>
      <c r="AB380" s="29" t="n">
        <f aca="false">IFERROR('Player Data'!K380/('Player Data'!K380+'Player Data'!L380),0)</f>
        <v>0.636363636363636</v>
      </c>
      <c r="AC380" s="21" t="str">
        <f aca="false">IF(B380="GK",IF(AND(O380&gt;=Assumptions!$B$23,N380&gt;=Assumptions!$B$23),"Sweeper-Keeper / Build-from-the-Back",IF(O380&gt;=Assumptions!$B$23,"Sweeper-Keeper / High Line",IF(M380&gt;=Assumptions!$B$23,"Shot-Stopper / Traditional","Flexible / Multi-System"))),IF(AND(O380&gt;=Assumptions!$B$23,P380&gt;=Assumptions!$B$24),"High Press / Gegenpressing",IF(AND(N380&gt;=Assumptions!$B$23,AB380&gt;=Assumptions!$B$25),"Possession / Build-from-the-Back",IF(N380&gt;=Assumptions!$B$23,"Counter-Attack / Transition",IF(AND(O380&gt;=Assumptions!$B$23,N380&lt;Assumptions!$B$26),"Low Block / Park the Bus",IF(AND(B380="FW",M380&gt;=Assumptions!$B$23,N380&lt;Assumptions!$B$26),"Direct / Target Approach","Flexible / Multi-System"))))))</f>
        <v>Possession / Build-from-the-Back</v>
      </c>
      <c r="AD380" s="21" t="str">
        <f aca="false">'Player Data'!Y380</f>
        <v>2026-07-17</v>
      </c>
      <c r="AE380" s="21" t="str">
        <f aca="false">'Player Data'!Z380</f>
        <v>2026-07-17</v>
      </c>
      <c r="AF380" s="28" t="str">
        <f aca="false">IFERROR(INDEX(Assumptions!$B$30:$B$61,MATCH(C380,Assumptions!$A$30:$A$61,0)),"--")</f>
        <v>Mexico, United States</v>
      </c>
      <c r="AG380" s="30" t="str">
        <f aca="false">IF(R380&gt;=0.7,"Step-Up Candidate",IF(R380&gt;=0.4,"Lateral Move","Stay &amp; Develop"))</f>
        <v>Stay &amp; Develop</v>
      </c>
    </row>
    <row r="381" customFormat="false" ht="23.85" hidden="false" customHeight="false" outlineLevel="0" collapsed="false">
      <c r="A381" s="21" t="str">
        <f aca="false">'Player Data'!A381</f>
        <v>Luka Horvat</v>
      </c>
      <c r="B381" s="21" t="str">
        <f aca="false">'Player Data'!F381</f>
        <v>DF</v>
      </c>
      <c r="C381" s="21" t="str">
        <f aca="false">'Player Data'!B381</f>
        <v>Slovenia</v>
      </c>
      <c r="D381" s="21" t="str">
        <f aca="false">'Player Data'!C381</f>
        <v>Slovenia Regional League</v>
      </c>
      <c r="E381" s="21" t="n">
        <f aca="false">'Player Data'!D381</f>
        <v>3</v>
      </c>
      <c r="F381" s="21" t="n">
        <f aca="false">'Player Data'!G381</f>
        <v>25</v>
      </c>
      <c r="G381" s="21" t="n">
        <f aca="false">'Player Data'!H381</f>
        <v>1242</v>
      </c>
      <c r="H381" s="22" t="n">
        <f aca="false">IF(B381="GK",IFERROR(('Player Data'!N381-1.5*'Player Data'!O381)/'Player Data'!H381*90,0),IFERROR(('Player Data'!I381+'Player Data'!J381)/'Player Data'!H381*90,0))</f>
        <v>0.072463768115942</v>
      </c>
      <c r="I381" s="22" t="n">
        <f aca="false">IF(B381="GK",'Player Data'!P381,IFERROR(('Player Data'!K381+'Player Data'!L381)/'Player Data'!H381*90,0))</f>
        <v>6.23188405797102</v>
      </c>
      <c r="J381" s="22" t="n">
        <f aca="false">IF(B381="GK",IFERROR('Player Data'!Q381/'Player Data'!H381*90,0),IFERROR('Player Data'!M381/'Player Data'!H381*90,0))</f>
        <v>8.33333333333333</v>
      </c>
      <c r="K381" s="23" t="n">
        <f aca="false">'Player Data'!S381</f>
        <v>0</v>
      </c>
      <c r="L381" s="22" t="n">
        <f aca="false">INDEX(Assumptions!$B$13:$B$15,MATCH(E381,Assumptions!$A$13:$A$15,0))</f>
        <v>0.85</v>
      </c>
      <c r="M381" s="24" t="n">
        <f aca="false">IFERROR(SUMPRODUCT(($B$2:$B$1001=B381)*($H$2:$H$1001&lt;=H381))/SUMPRODUCT(($B$2:$B$1001=B381)*1),0)</f>
        <v>0.115646258503401</v>
      </c>
      <c r="N381" s="24" t="n">
        <f aca="false">IFERROR(SUMPRODUCT(($B$2:$B$1001=B381)*($I$2:$I$1001&lt;=I381))/SUMPRODUCT(($B$2:$B$1001=B381)*1),0)</f>
        <v>0.758503401360544</v>
      </c>
      <c r="O381" s="24" t="n">
        <f aca="false">IFERROR(SUMPRODUCT(($B$2:$B$1001=B381)*($J$2:$J$1001&lt;=J381))/SUMPRODUCT(($B$2:$B$1001=B381)*1),0)</f>
        <v>0.86734693877551</v>
      </c>
      <c r="P381" s="24" t="n">
        <f aca="false">IFERROR(SUMPRODUCT(($B$2:$B$1001=B381)*((0-$F$2:$F$1001)&lt;=(0-F381)))/SUMPRODUCT(($B$2:$B$1001=B381)*1),0)</f>
        <v>0.146258503401361</v>
      </c>
      <c r="Q381" s="25" t="n">
        <f aca="false">(M381*Assumptions!$B$5+N381*Assumptions!$B$6+O381*Assumptions!$B$7+P381*Assumptions!$B$8)*L381</f>
        <v>0.422542517006803</v>
      </c>
      <c r="R381" s="24" t="n">
        <f aca="false">IFERROR(SUMPRODUCT(($B$2:$B$1001=B381)*($Q$2:$Q$1001&lt;=Q381))/SUMPRODUCT(($B$2:$B$1001=B381)*1),0)</f>
        <v>0.517006802721089</v>
      </c>
      <c r="S381" s="24" t="n">
        <f aca="false">IFERROR(SUMPRODUCT(($B$2:$B$1001=B381)*($K$2:$K$1001&lt;=K381))/SUMPRODUCT(($B$2:$B$1001=B381)*1),0)</f>
        <v>0.248299319727891</v>
      </c>
      <c r="T381" s="26" t="n">
        <f aca="false">(R381-S381)*100</f>
        <v>26.8707482993197</v>
      </c>
      <c r="U381" s="21" t="str">
        <f aca="false">'Player Data'!T381</f>
        <v>No</v>
      </c>
      <c r="V381" s="27" t="n">
        <f aca="false">'Player Data'!U381</f>
        <v>2027</v>
      </c>
      <c r="W381" s="21" t="str">
        <f aca="false">IF(AND(T381&gt;=Assumptions!$B$19,U381="No"),"High Priority - Unrepresented",IF(T381&gt;=Assumptions!$B$19,"High Priority",IF(AND(T381&gt;=Assumptions!$B$20,U381="No"),"Watchlist - Unrepresented",IF(T381&gt;=Assumptions!$B$20,"Watchlist",""))))</f>
        <v>Watchlist - Unrepresented</v>
      </c>
      <c r="X381" s="21" t="str">
        <f aca="false">'Player Data'!V381</f>
        <v>info@kopersc.si</v>
      </c>
      <c r="Y381" s="28" t="str">
        <f aca="false">'Player Data'!W381</f>
        <v>Club sporting director / first-team office</v>
      </c>
      <c r="Z381" s="28" t="str">
        <f aca="false">'Player Data'!X381</f>
        <v>NZS (Football Association of Slovenia) player registry</v>
      </c>
      <c r="AA381" s="19" t="str">
        <f aca="false">HYPERLINK("https://www.transfermarkt.com/schnellsuche/ergebnis/schnellsuche?query="&amp;SUBSTITUTE(A381," ","+"),"Search Transfermarkt")</f>
        <v>Search Transfermarkt</v>
      </c>
      <c r="AB381" s="29" t="n">
        <f aca="false">IFERROR('Player Data'!K381/('Player Data'!K381+'Player Data'!L381),0)</f>
        <v>0.709302325581395</v>
      </c>
      <c r="AC381" s="21" t="str">
        <f aca="false">IF(B381="GK",IF(AND(O381&gt;=Assumptions!$B$23,N381&gt;=Assumptions!$B$23),"Sweeper-Keeper / Build-from-the-Back",IF(O381&gt;=Assumptions!$B$23,"Sweeper-Keeper / High Line",IF(M381&gt;=Assumptions!$B$23,"Shot-Stopper / Traditional","Flexible / Multi-System"))),IF(AND(O381&gt;=Assumptions!$B$23,P381&gt;=Assumptions!$B$24),"High Press / Gegenpressing",IF(AND(N381&gt;=Assumptions!$B$23,AB381&gt;=Assumptions!$B$25),"Possession / Build-from-the-Back",IF(N381&gt;=Assumptions!$B$23,"Counter-Attack / Transition",IF(AND(O381&gt;=Assumptions!$B$23,N381&lt;Assumptions!$B$26),"Low Block / Park the Bus",IF(AND(B381="FW",M381&gt;=Assumptions!$B$23,N381&lt;Assumptions!$B$26),"Direct / Target Approach","Flexible / Multi-System"))))))</f>
        <v>Possession / Build-from-the-Back</v>
      </c>
      <c r="AD381" s="21" t="str">
        <f aca="false">'Player Data'!Y381</f>
        <v>2026-07-17</v>
      </c>
      <c r="AE381" s="21" t="str">
        <f aca="false">'Player Data'!Z381</f>
        <v>2026-07-17</v>
      </c>
      <c r="AF381" s="28" t="str">
        <f aca="false">IFERROR(INDEX(Assumptions!$B$30:$B$61,MATCH(C381,Assumptions!$A$30:$A$61,0)),"--")</f>
        <v>Austria, Poland</v>
      </c>
      <c r="AG381" s="30" t="str">
        <f aca="false">IF(R381&gt;=0.7,"Step-Up Candidate",IF(R381&gt;=0.4,"Lateral Move","Stay &amp; Develop"))</f>
        <v>Lateral Move</v>
      </c>
    </row>
    <row r="382" customFormat="false" ht="23.85" hidden="false" customHeight="false" outlineLevel="0" collapsed="false">
      <c r="A382" s="21" t="str">
        <f aca="false">'Player Data'!A382</f>
        <v>Stefan Petrovic</v>
      </c>
      <c r="B382" s="21" t="str">
        <f aca="false">'Player Data'!F382</f>
        <v>DF</v>
      </c>
      <c r="C382" s="21" t="str">
        <f aca="false">'Player Data'!B382</f>
        <v>Serbia</v>
      </c>
      <c r="D382" s="21" t="str">
        <f aca="false">'Player Data'!C382</f>
        <v>Serbia Third Tier - North</v>
      </c>
      <c r="E382" s="21" t="n">
        <f aca="false">'Player Data'!D382</f>
        <v>4</v>
      </c>
      <c r="F382" s="21" t="n">
        <f aca="false">'Player Data'!G382</f>
        <v>22</v>
      </c>
      <c r="G382" s="21" t="n">
        <f aca="false">'Player Data'!H382</f>
        <v>2605</v>
      </c>
      <c r="H382" s="22" t="n">
        <f aca="false">IF(B382="GK",IFERROR(('Player Data'!N382-1.5*'Player Data'!O382)/'Player Data'!H382*90,0),IFERROR(('Player Data'!I382+'Player Data'!J382)/'Player Data'!H382*90,0))</f>
        <v>0.138195777351248</v>
      </c>
      <c r="I382" s="22" t="n">
        <f aca="false">IF(B382="GK",'Player Data'!P382,IFERROR(('Player Data'!K382+'Player Data'!L382)/'Player Data'!H382*90,0))</f>
        <v>2.10748560460653</v>
      </c>
      <c r="J382" s="22" t="n">
        <f aca="false">IF(B382="GK",IFERROR('Player Data'!Q382/'Player Data'!H382*90,0),IFERROR('Player Data'!M382/'Player Data'!H382*90,0))</f>
        <v>4.18042226487524</v>
      </c>
      <c r="K382" s="23" t="n">
        <f aca="false">'Player Data'!S382</f>
        <v>135389</v>
      </c>
      <c r="L382" s="22" t="n">
        <f aca="false">INDEX(Assumptions!$B$13:$B$15,MATCH(E382,Assumptions!$A$13:$A$15,0))</f>
        <v>0.7</v>
      </c>
      <c r="M382" s="24" t="n">
        <f aca="false">IFERROR(SUMPRODUCT(($B$2:$B$1001=B382)*($H$2:$H$1001&lt;=H382))/SUMPRODUCT(($B$2:$B$1001=B382)*1),0)</f>
        <v>0.32312925170068</v>
      </c>
      <c r="N382" s="24" t="n">
        <f aca="false">IFERROR(SUMPRODUCT(($B$2:$B$1001=B382)*($I$2:$I$1001&lt;=I382))/SUMPRODUCT(($B$2:$B$1001=B382)*1),0)</f>
        <v>0.00340136054421769</v>
      </c>
      <c r="O382" s="24" t="n">
        <f aca="false">IFERROR(SUMPRODUCT(($B$2:$B$1001=B382)*($J$2:$J$1001&lt;=J382))/SUMPRODUCT(($B$2:$B$1001=B382)*1),0)</f>
        <v>0.282312925170068</v>
      </c>
      <c r="P382" s="24" t="n">
        <f aca="false">IFERROR(SUMPRODUCT(($B$2:$B$1001=B382)*((0-$F$2:$F$1001)&lt;=(0-F382)))/SUMPRODUCT(($B$2:$B$1001=B382)*1),0)</f>
        <v>0.493197278911565</v>
      </c>
      <c r="Q382" s="25" t="n">
        <f aca="false">(M382*Assumptions!$B$5+N382*Assumptions!$B$6+O382*Assumptions!$B$7+P382*Assumptions!$B$8)*L382</f>
        <v>0.165952380952381</v>
      </c>
      <c r="R382" s="24" t="n">
        <f aca="false">IFERROR(SUMPRODUCT(($B$2:$B$1001=B382)*($Q$2:$Q$1001&lt;=Q382))/SUMPRODUCT(($B$2:$B$1001=B382)*1),0)</f>
        <v>0.0476190476190476</v>
      </c>
      <c r="S382" s="24" t="n">
        <f aca="false">IFERROR(SUMPRODUCT(($B$2:$B$1001=B382)*($K$2:$K$1001&lt;=K382))/SUMPRODUCT(($B$2:$B$1001=B382)*1),0)</f>
        <v>0.935374149659864</v>
      </c>
      <c r="T382" s="26" t="n">
        <f aca="false">(R382-S382)*100</f>
        <v>-88.7755102040816</v>
      </c>
      <c r="U382" s="21" t="str">
        <f aca="false">'Player Data'!T382</f>
        <v>Unknown</v>
      </c>
      <c r="V382" s="27" t="n">
        <f aca="false">'Player Data'!U382</f>
        <v>2027</v>
      </c>
      <c r="W382" s="21" t="str">
        <f aca="false">IF(AND(T382&gt;=Assumptions!$B$19,U382="No"),"High Priority - Unrepresented",IF(T382&gt;=Assumptions!$B$19,"High Priority",IF(AND(T382&gt;=Assumptions!$B$20,U382="No"),"Watchlist - Unrepresented",IF(T382&gt;=Assumptions!$B$20,"Watchlist",""))))</f>
        <v/>
      </c>
      <c r="X382" s="21" t="str">
        <f aca="false">'Player Data'!V382</f>
        <v>info@dobanovcirovers.rs</v>
      </c>
      <c r="Y382" s="28" t="str">
        <f aca="false">'Player Data'!W382</f>
        <v>Club sporting director / first-team office</v>
      </c>
      <c r="Z382" s="28" t="str">
        <f aca="false">'Player Data'!X382</f>
        <v>FSS (Football Association of Serbia) player registry</v>
      </c>
      <c r="AA382" s="19" t="str">
        <f aca="false">HYPERLINK("https://www.transfermarkt.com/schnellsuche/ergebnis/schnellsuche?query="&amp;SUBSTITUTE(A382," ","+"),"Search Transfermarkt")</f>
        <v>Search Transfermarkt</v>
      </c>
      <c r="AB382" s="29" t="n">
        <f aca="false">IFERROR('Player Data'!K382/('Player Data'!K382+'Player Data'!L382),0)</f>
        <v>0.622950819672131</v>
      </c>
      <c r="AC382" s="21" t="str">
        <f aca="false">IF(B382="GK",IF(AND(O382&gt;=Assumptions!$B$23,N382&gt;=Assumptions!$B$23),"Sweeper-Keeper / Build-from-the-Back",IF(O382&gt;=Assumptions!$B$23,"Sweeper-Keeper / High Line",IF(M382&gt;=Assumptions!$B$23,"Shot-Stopper / Traditional","Flexible / Multi-System"))),IF(AND(O382&gt;=Assumptions!$B$23,P382&gt;=Assumptions!$B$24),"High Press / Gegenpressing",IF(AND(N382&gt;=Assumptions!$B$23,AB382&gt;=Assumptions!$B$25),"Possession / Build-from-the-Back",IF(N382&gt;=Assumptions!$B$23,"Counter-Attack / Transition",IF(AND(O382&gt;=Assumptions!$B$23,N382&lt;Assumptions!$B$26),"Low Block / Park the Bus",IF(AND(B382="FW",M382&gt;=Assumptions!$B$23,N382&lt;Assumptions!$B$26),"Direct / Target Approach","Flexible / Multi-System"))))))</f>
        <v>Flexible / Multi-System</v>
      </c>
      <c r="AD382" s="21" t="str">
        <f aca="false">'Player Data'!Y382</f>
        <v>2026-07-17</v>
      </c>
      <c r="AE382" s="21" t="str">
        <f aca="false">'Player Data'!Z382</f>
        <v>2026-07-17</v>
      </c>
      <c r="AF382" s="28" t="str">
        <f aca="false">IFERROR(INDEX(Assumptions!$B$30:$B$61,MATCH(C382,Assumptions!$A$30:$A$61,0)),"--")</f>
        <v>Austria, Turkey</v>
      </c>
      <c r="AG382" s="30" t="str">
        <f aca="false">IF(R382&gt;=0.7,"Step-Up Candidate",IF(R382&gt;=0.4,"Lateral Move","Stay &amp; Develop"))</f>
        <v>Stay &amp; Develop</v>
      </c>
    </row>
    <row r="383" customFormat="false" ht="23.85" hidden="false" customHeight="false" outlineLevel="0" collapsed="false">
      <c r="A383" s="21" t="str">
        <f aca="false">'Player Data'!A383</f>
        <v>Kemar Powell</v>
      </c>
      <c r="B383" s="21" t="str">
        <f aca="false">'Player Data'!F383</f>
        <v>DF</v>
      </c>
      <c r="C383" s="21" t="str">
        <f aca="false">'Player Data'!B383</f>
        <v>Jamaica</v>
      </c>
      <c r="D383" s="21" t="str">
        <f aca="false">'Player Data'!C383</f>
        <v>Jamaica Second Division</v>
      </c>
      <c r="E383" s="21" t="n">
        <f aca="false">'Player Data'!D383</f>
        <v>3</v>
      </c>
      <c r="F383" s="21" t="n">
        <f aca="false">'Player Data'!G383</f>
        <v>17</v>
      </c>
      <c r="G383" s="21" t="n">
        <f aca="false">'Player Data'!H383</f>
        <v>1499</v>
      </c>
      <c r="H383" s="22" t="n">
        <f aca="false">IF(B383="GK",IFERROR(('Player Data'!N383-1.5*'Player Data'!O383)/'Player Data'!H383*90,0),IFERROR(('Player Data'!I383+'Player Data'!J383)/'Player Data'!H383*90,0))</f>
        <v>0.120080053368913</v>
      </c>
      <c r="I383" s="22" t="n">
        <f aca="false">IF(B383="GK",'Player Data'!P383,IFERROR(('Player Data'!K383+'Player Data'!L383)/'Player Data'!H383*90,0))</f>
        <v>5.10340226817879</v>
      </c>
      <c r="J383" s="22" t="n">
        <f aca="false">IF(B383="GK",IFERROR('Player Data'!Q383/'Player Data'!H383*90,0),IFERROR('Player Data'!M383/'Player Data'!H383*90,0))</f>
        <v>7.32488325550367</v>
      </c>
      <c r="K383" s="23" t="n">
        <f aca="false">'Player Data'!S383</f>
        <v>18972</v>
      </c>
      <c r="L383" s="22" t="n">
        <f aca="false">INDEX(Assumptions!$B$13:$B$15,MATCH(E383,Assumptions!$A$13:$A$15,0))</f>
        <v>0.85</v>
      </c>
      <c r="M383" s="24" t="n">
        <f aca="false">IFERROR(SUMPRODUCT(($B$2:$B$1001=B383)*($H$2:$H$1001&lt;=H383))/SUMPRODUCT(($B$2:$B$1001=B383)*1),0)</f>
        <v>0.272108843537415</v>
      </c>
      <c r="N383" s="24" t="n">
        <f aca="false">IFERROR(SUMPRODUCT(($B$2:$B$1001=B383)*($I$2:$I$1001&lt;=I383))/SUMPRODUCT(($B$2:$B$1001=B383)*1),0)</f>
        <v>0.608843537414966</v>
      </c>
      <c r="O383" s="24" t="n">
        <f aca="false">IFERROR(SUMPRODUCT(($B$2:$B$1001=B383)*($J$2:$J$1001&lt;=J383))/SUMPRODUCT(($B$2:$B$1001=B383)*1),0)</f>
        <v>0.789115646258503</v>
      </c>
      <c r="P383" s="24" t="n">
        <f aca="false">IFERROR(SUMPRODUCT(($B$2:$B$1001=B383)*((0-$F$2:$F$1001)&lt;=(0-F383)))/SUMPRODUCT(($B$2:$B$1001=B383)*1),0)</f>
        <v>1</v>
      </c>
      <c r="Q383" s="25" t="n">
        <f aca="false">(M383*Assumptions!$B$5+N383*Assumptions!$B$6+O383*Assumptions!$B$7+P383*Assumptions!$B$8)*L383</f>
        <v>0.543103741496599</v>
      </c>
      <c r="R383" s="24" t="n">
        <f aca="false">IFERROR(SUMPRODUCT(($B$2:$B$1001=B383)*($Q$2:$Q$1001&lt;=Q383))/SUMPRODUCT(($B$2:$B$1001=B383)*1),0)</f>
        <v>0.690476190476191</v>
      </c>
      <c r="S383" s="24" t="n">
        <f aca="false">IFERROR(SUMPRODUCT(($B$2:$B$1001=B383)*($K$2:$K$1001&lt;=K383))/SUMPRODUCT(($B$2:$B$1001=B383)*1),0)</f>
        <v>0.292517006802721</v>
      </c>
      <c r="T383" s="26" t="n">
        <f aca="false">(R383-S383)*100</f>
        <v>39.7959183673469</v>
      </c>
      <c r="U383" s="21" t="str">
        <f aca="false">'Player Data'!T383</f>
        <v>Yes</v>
      </c>
      <c r="V383" s="27" t="n">
        <f aca="false">'Player Data'!U383</f>
        <v>2029</v>
      </c>
      <c r="W383" s="21" t="str">
        <f aca="false">IF(AND(T383&gt;=Assumptions!$B$19,U383="No"),"High Priority - Unrepresented",IF(T383&gt;=Assumptions!$B$19,"High Priority",IF(AND(T383&gt;=Assumptions!$B$20,U383="No"),"Watchlist - Unrepresented",IF(T383&gt;=Assumptions!$B$20,"Watchlist",""))))</f>
        <v>Watchlist</v>
      </c>
      <c r="X383" s="21" t="str">
        <f aca="false">'Player Data'!V383</f>
        <v>info@spanishtownfc.jm</v>
      </c>
      <c r="Y383" s="28" t="str">
        <f aca="false">'Player Data'!W383</f>
        <v>Club youth/academy office ONLY - player is a minor, do not contact directly</v>
      </c>
      <c r="Z383" s="28" t="str">
        <f aca="false">'Player Data'!X383</f>
        <v>JFF (Jamaica Football Federation) player registry</v>
      </c>
      <c r="AA383" s="19" t="str">
        <f aca="false">HYPERLINK("https://www.transfermarkt.com/schnellsuche/ergebnis/schnellsuche?query="&amp;SUBSTITUTE(A383," ","+"),"Search Transfermarkt")</f>
        <v>Search Transfermarkt</v>
      </c>
      <c r="AB383" s="29" t="n">
        <f aca="false">IFERROR('Player Data'!K383/('Player Data'!K383+'Player Data'!L383),0)</f>
        <v>0.623529411764706</v>
      </c>
      <c r="AC383" s="21" t="str">
        <f aca="false">IF(B383="GK",IF(AND(O383&gt;=Assumptions!$B$23,N383&gt;=Assumptions!$B$23),"Sweeper-Keeper / Build-from-the-Back",IF(O383&gt;=Assumptions!$B$23,"Sweeper-Keeper / High Line",IF(M383&gt;=Assumptions!$B$23,"Shot-Stopper / Traditional","Flexible / Multi-System"))),IF(AND(O383&gt;=Assumptions!$B$23,P383&gt;=Assumptions!$B$24),"High Press / Gegenpressing",IF(AND(N383&gt;=Assumptions!$B$23,AB383&gt;=Assumptions!$B$25),"Possession / Build-from-the-Back",IF(N383&gt;=Assumptions!$B$23,"Counter-Attack / Transition",IF(AND(O383&gt;=Assumptions!$B$23,N383&lt;Assumptions!$B$26),"Low Block / Park the Bus",IF(AND(B383="FW",M383&gt;=Assumptions!$B$23,N383&lt;Assumptions!$B$26),"Direct / Target Approach","Flexible / Multi-System"))))))</f>
        <v>High Press / Gegenpressing</v>
      </c>
      <c r="AD383" s="21" t="str">
        <f aca="false">'Player Data'!Y383</f>
        <v>2026-07-17</v>
      </c>
      <c r="AE383" s="21" t="str">
        <f aca="false">'Player Data'!Z383</f>
        <v>2026-07-17</v>
      </c>
      <c r="AF383" s="28" t="str">
        <f aca="false">IFERROR(INDEX(Assumptions!$B$30:$B$61,MATCH(C383,Assumptions!$A$30:$A$61,0)),"--")</f>
        <v>United States, Mexico</v>
      </c>
      <c r="AG383" s="30" t="str">
        <f aca="false">IF(R383&gt;=0.7,"Step-Up Candidate",IF(R383&gt;=0.4,"Lateral Move","Stay &amp; Develop"))</f>
        <v>Lateral Move</v>
      </c>
    </row>
    <row r="384" customFormat="false" ht="23.85" hidden="false" customHeight="false" outlineLevel="0" collapsed="false">
      <c r="A384" s="21" t="str">
        <f aca="false">'Player Data'!A384</f>
        <v>Anthony Suarez</v>
      </c>
      <c r="B384" s="21" t="str">
        <f aca="false">'Player Data'!F384</f>
        <v>FW</v>
      </c>
      <c r="C384" s="21" t="str">
        <f aca="false">'Player Data'!B384</f>
        <v>Ecuador</v>
      </c>
      <c r="D384" s="21" t="str">
        <f aca="false">'Player Data'!C384</f>
        <v>Ecuador Second Division</v>
      </c>
      <c r="E384" s="21" t="n">
        <f aca="false">'Player Data'!D384</f>
        <v>2</v>
      </c>
      <c r="F384" s="21" t="n">
        <f aca="false">'Player Data'!G384</f>
        <v>20</v>
      </c>
      <c r="G384" s="21" t="n">
        <f aca="false">'Player Data'!H384</f>
        <v>1409</v>
      </c>
      <c r="H384" s="22" t="n">
        <f aca="false">IF(B384="GK",IFERROR(('Player Data'!N384-1.5*'Player Data'!O384)/'Player Data'!H384*90,0),IFERROR(('Player Data'!I384+'Player Data'!J384)/'Player Data'!H384*90,0))</f>
        <v>0.830376153300213</v>
      </c>
      <c r="I384" s="22" t="n">
        <f aca="false">IF(B384="GK",'Player Data'!P384,IFERROR(('Player Data'!K384+'Player Data'!L384)/'Player Data'!H384*90,0))</f>
        <v>9.00638750887154</v>
      </c>
      <c r="J384" s="22" t="n">
        <f aca="false">IF(B384="GK",IFERROR('Player Data'!Q384/'Player Data'!H384*90,0),IFERROR('Player Data'!M384/'Player Data'!H384*90,0))</f>
        <v>0.383250532292406</v>
      </c>
      <c r="K384" s="23" t="n">
        <f aca="false">'Player Data'!S384</f>
        <v>34795</v>
      </c>
      <c r="L384" s="22" t="n">
        <f aca="false">INDEX(Assumptions!$B$13:$B$15,MATCH(E384,Assumptions!$A$13:$A$15,0))</f>
        <v>1</v>
      </c>
      <c r="M384" s="24" t="n">
        <f aca="false">IFERROR(SUMPRODUCT(($B$2:$B$1001=B384)*($H$2:$H$1001&lt;=H384))/SUMPRODUCT(($B$2:$B$1001=B384)*1),0)</f>
        <v>0.331858407079646</v>
      </c>
      <c r="N384" s="24" t="n">
        <f aca="false">IFERROR(SUMPRODUCT(($B$2:$B$1001=B384)*($I$2:$I$1001&lt;=I384))/SUMPRODUCT(($B$2:$B$1001=B384)*1),0)</f>
        <v>0.769911504424779</v>
      </c>
      <c r="O384" s="24" t="n">
        <f aca="false">IFERROR(SUMPRODUCT(($B$2:$B$1001=B384)*($J$2:$J$1001&lt;=J384))/SUMPRODUCT(($B$2:$B$1001=B384)*1),0)</f>
        <v>0.331858407079646</v>
      </c>
      <c r="P384" s="24" t="n">
        <f aca="false">IFERROR(SUMPRODUCT(($B$2:$B$1001=B384)*((0-$F$2:$F$1001)&lt;=(0-F384)))/SUMPRODUCT(($B$2:$B$1001=B384)*1),0)</f>
        <v>0.712389380530973</v>
      </c>
      <c r="Q384" s="25" t="n">
        <f aca="false">(M384*Assumptions!$B$5+N384*Assumptions!$B$6+O384*Assumptions!$B$7+P384*Assumptions!$B$8)*L384</f>
        <v>0.561283185840708</v>
      </c>
      <c r="R384" s="24" t="n">
        <f aca="false">IFERROR(SUMPRODUCT(($B$2:$B$1001=B384)*($Q$2:$Q$1001&lt;=Q384))/SUMPRODUCT(($B$2:$B$1001=B384)*1),0)</f>
        <v>0.699115044247788</v>
      </c>
      <c r="S384" s="24" t="n">
        <f aca="false">IFERROR(SUMPRODUCT(($B$2:$B$1001=B384)*($K$2:$K$1001&lt;=K384))/SUMPRODUCT(($B$2:$B$1001=B384)*1),0)</f>
        <v>0.389380530973451</v>
      </c>
      <c r="T384" s="26" t="n">
        <f aca="false">(R384-S384)*100</f>
        <v>30.9734513274336</v>
      </c>
      <c r="U384" s="21" t="str">
        <f aca="false">'Player Data'!T384</f>
        <v>Unknown</v>
      </c>
      <c r="V384" s="27" t="n">
        <f aca="false">'Player Data'!U384</f>
        <v>2029</v>
      </c>
      <c r="W384" s="21" t="str">
        <f aca="false">IF(AND(T384&gt;=Assumptions!$B$19,U384="No"),"High Priority - Unrepresented",IF(T384&gt;=Assumptions!$B$19,"High Priority",IF(AND(T384&gt;=Assumptions!$B$20,U384="No"),"Watchlist - Unrepresented",IF(T384&gt;=Assumptions!$B$20,"Watchlist",""))))</f>
        <v>Watchlist</v>
      </c>
      <c r="X384" s="21" t="str">
        <f aca="false">'Player Data'!V384</f>
        <v>info@guayaquilathletic.ec</v>
      </c>
      <c r="Y384" s="28" t="str">
        <f aca="false">'Player Data'!W384</f>
        <v>Club sporting director / first-team office</v>
      </c>
      <c r="Z384" s="28" t="str">
        <f aca="false">'Player Data'!X384</f>
        <v>FEF (Ecuadorian Football Federation) player registry</v>
      </c>
      <c r="AA384" s="19" t="str">
        <f aca="false">HYPERLINK("https://www.transfermarkt.com/schnellsuche/ergebnis/schnellsuche?query="&amp;SUBSTITUTE(A384," ","+"),"Search Transfermarkt")</f>
        <v>Search Transfermarkt</v>
      </c>
      <c r="AB384" s="29" t="n">
        <f aca="false">IFERROR('Player Data'!K384/('Player Data'!K384+'Player Data'!L384),0)</f>
        <v>0.354609929078014</v>
      </c>
      <c r="AC384" s="21" t="str">
        <f aca="false">IF(B384="GK",IF(AND(O384&gt;=Assumptions!$B$23,N384&gt;=Assumptions!$B$23),"Sweeper-Keeper / Build-from-the-Back",IF(O384&gt;=Assumptions!$B$23,"Sweeper-Keeper / High Line",IF(M384&gt;=Assumptions!$B$23,"Shot-Stopper / Traditional","Flexible / Multi-System"))),IF(AND(O384&gt;=Assumptions!$B$23,P384&gt;=Assumptions!$B$24),"High Press / Gegenpressing",IF(AND(N384&gt;=Assumptions!$B$23,AB384&gt;=Assumptions!$B$25),"Possession / Build-from-the-Back",IF(N384&gt;=Assumptions!$B$23,"Counter-Attack / Transition",IF(AND(O384&gt;=Assumptions!$B$23,N384&lt;Assumptions!$B$26),"Low Block / Park the Bus",IF(AND(B384="FW",M384&gt;=Assumptions!$B$23,N384&lt;Assumptions!$B$26),"Direct / Target Approach","Flexible / Multi-System"))))))</f>
        <v>Counter-Attack / Transition</v>
      </c>
      <c r="AD384" s="21" t="str">
        <f aca="false">'Player Data'!Y384</f>
        <v>2026-07-17</v>
      </c>
      <c r="AE384" s="21" t="str">
        <f aca="false">'Player Data'!Z384</f>
        <v>2026-07-17</v>
      </c>
      <c r="AF384" s="28" t="str">
        <f aca="false">IFERROR(INDEX(Assumptions!$B$30:$B$61,MATCH(C384,Assumptions!$A$30:$A$61,0)),"--")</f>
        <v>Argentina, Portugal</v>
      </c>
      <c r="AG384" s="30" t="str">
        <f aca="false">IF(R384&gt;=0.7,"Step-Up Candidate",IF(R384&gt;=0.4,"Lateral Move","Stay &amp; Develop"))</f>
        <v>Lateral Move</v>
      </c>
    </row>
    <row r="385" customFormat="false" ht="23.85" hidden="false" customHeight="false" outlineLevel="0" collapsed="false">
      <c r="A385" s="21" t="str">
        <f aca="false">'Player Data'!A385</f>
        <v>Kristijan Ristovski</v>
      </c>
      <c r="B385" s="21" t="str">
        <f aca="false">'Player Data'!F385</f>
        <v>FW</v>
      </c>
      <c r="C385" s="21" t="str">
        <f aca="false">'Player Data'!B385</f>
        <v>North Macedonia</v>
      </c>
      <c r="D385" s="21" t="str">
        <f aca="false">'Player Data'!C385</f>
        <v>North Macedonia Second Division - East</v>
      </c>
      <c r="E385" s="21" t="n">
        <f aca="false">'Player Data'!D385</f>
        <v>2</v>
      </c>
      <c r="F385" s="21" t="n">
        <f aca="false">'Player Data'!G385</f>
        <v>17</v>
      </c>
      <c r="G385" s="21" t="n">
        <f aca="false">'Player Data'!H385</f>
        <v>2440</v>
      </c>
      <c r="H385" s="22" t="n">
        <f aca="false">IF(B385="GK",IFERROR(('Player Data'!N385-1.5*'Player Data'!O385)/'Player Data'!H385*90,0),IFERROR(('Player Data'!I385+'Player Data'!J385)/'Player Data'!H385*90,0))</f>
        <v>0.922131147540984</v>
      </c>
      <c r="I385" s="22" t="n">
        <f aca="false">IF(B385="GK",'Player Data'!P385,IFERROR(('Player Data'!K385+'Player Data'!L385)/'Player Data'!H385*90,0))</f>
        <v>4.97950819672131</v>
      </c>
      <c r="J385" s="22" t="n">
        <f aca="false">IF(B385="GK",IFERROR('Player Data'!Q385/'Player Data'!H385*90,0),IFERROR('Player Data'!M385/'Player Data'!H385*90,0))</f>
        <v>0.516393442622951</v>
      </c>
      <c r="K385" s="23" t="n">
        <f aca="false">'Player Data'!S385</f>
        <v>0</v>
      </c>
      <c r="L385" s="22" t="n">
        <f aca="false">INDEX(Assumptions!$B$13:$B$15,MATCH(E385,Assumptions!$A$13:$A$15,0))</f>
        <v>1</v>
      </c>
      <c r="M385" s="24" t="n">
        <f aca="false">IFERROR(SUMPRODUCT(($B$2:$B$1001=B385)*($H$2:$H$1001&lt;=H385))/SUMPRODUCT(($B$2:$B$1001=B385)*1),0)</f>
        <v>0.429203539823009</v>
      </c>
      <c r="N385" s="24" t="n">
        <f aca="false">IFERROR(SUMPRODUCT(($B$2:$B$1001=B385)*($I$2:$I$1001&lt;=I385))/SUMPRODUCT(($B$2:$B$1001=B385)*1),0)</f>
        <v>0.216814159292035</v>
      </c>
      <c r="O385" s="24" t="n">
        <f aca="false">IFERROR(SUMPRODUCT(($B$2:$B$1001=B385)*($J$2:$J$1001&lt;=J385))/SUMPRODUCT(($B$2:$B$1001=B385)*1),0)</f>
        <v>0.530973451327434</v>
      </c>
      <c r="P385" s="24" t="n">
        <f aca="false">IFERROR(SUMPRODUCT(($B$2:$B$1001=B385)*((0-$F$2:$F$1001)&lt;=(0-F385)))/SUMPRODUCT(($B$2:$B$1001=B385)*1),0)</f>
        <v>1</v>
      </c>
      <c r="Q385" s="25" t="n">
        <f aca="false">(M385*Assumptions!$B$5+N385*Assumptions!$B$6+O385*Assumptions!$B$7+P385*Assumptions!$B$8)*L385</f>
        <v>0.489380530973451</v>
      </c>
      <c r="R385" s="24" t="n">
        <f aca="false">IFERROR(SUMPRODUCT(($B$2:$B$1001=B385)*($Q$2:$Q$1001&lt;=Q385))/SUMPRODUCT(($B$2:$B$1001=B385)*1),0)</f>
        <v>0.597345132743363</v>
      </c>
      <c r="S385" s="24" t="n">
        <f aca="false">IFERROR(SUMPRODUCT(($B$2:$B$1001=B385)*($K$2:$K$1001&lt;=K385))/SUMPRODUCT(($B$2:$B$1001=B385)*1),0)</f>
        <v>0.261061946902655</v>
      </c>
      <c r="T385" s="26" t="n">
        <f aca="false">(R385-S385)*100</f>
        <v>33.6283185840708</v>
      </c>
      <c r="U385" s="21" t="str">
        <f aca="false">'Player Data'!T385</f>
        <v>Unknown</v>
      </c>
      <c r="V385" s="27" t="n">
        <f aca="false">'Player Data'!U385</f>
        <v>2027</v>
      </c>
      <c r="W385" s="21" t="str">
        <f aca="false">IF(AND(T385&gt;=Assumptions!$B$19,U385="No"),"High Priority - Unrepresented",IF(T385&gt;=Assumptions!$B$19,"High Priority",IF(AND(T385&gt;=Assumptions!$B$20,U385="No"),"Watchlist - Unrepresented",IF(T385&gt;=Assumptions!$B$20,"Watchlist",""))))</f>
        <v>Watchlist</v>
      </c>
      <c r="X385" s="21" t="str">
        <f aca="false">'Player Data'!V385</f>
        <v>info@stipcity.mk</v>
      </c>
      <c r="Y385" s="28" t="str">
        <f aca="false">'Player Data'!W385</f>
        <v>Club youth/academy office ONLY - player is a minor, do not contact directly</v>
      </c>
      <c r="Z385" s="28" t="str">
        <f aca="false">'Player Data'!X385</f>
        <v>FFM (Football Federation of North Macedonia) player registry</v>
      </c>
      <c r="AA385" s="19" t="str">
        <f aca="false">HYPERLINK("https://www.transfermarkt.com/schnellsuche/ergebnis/schnellsuche?query="&amp;SUBSTITUTE(A385," ","+"),"Search Transfermarkt")</f>
        <v>Search Transfermarkt</v>
      </c>
      <c r="AB385" s="29" t="n">
        <f aca="false">IFERROR('Player Data'!K385/('Player Data'!K385+'Player Data'!L385),0)</f>
        <v>0.42962962962963</v>
      </c>
      <c r="AC385" s="21" t="str">
        <f aca="false">IF(B385="GK",IF(AND(O385&gt;=Assumptions!$B$23,N385&gt;=Assumptions!$B$23),"Sweeper-Keeper / Build-from-the-Back",IF(O385&gt;=Assumptions!$B$23,"Sweeper-Keeper / High Line",IF(M385&gt;=Assumptions!$B$23,"Shot-Stopper / Traditional","Flexible / Multi-System"))),IF(AND(O385&gt;=Assumptions!$B$23,P385&gt;=Assumptions!$B$24),"High Press / Gegenpressing",IF(AND(N385&gt;=Assumptions!$B$23,AB385&gt;=Assumptions!$B$25),"Possession / Build-from-the-Back",IF(N385&gt;=Assumptions!$B$23,"Counter-Attack / Transition",IF(AND(O385&gt;=Assumptions!$B$23,N385&lt;Assumptions!$B$26),"Low Block / Park the Bus",IF(AND(B385="FW",M385&gt;=Assumptions!$B$23,N385&lt;Assumptions!$B$26),"Direct / Target Approach","Flexible / Multi-System"))))))</f>
        <v>Flexible / Multi-System</v>
      </c>
      <c r="AD385" s="21" t="str">
        <f aca="false">'Player Data'!Y385</f>
        <v>2026-07-17</v>
      </c>
      <c r="AE385" s="21" t="str">
        <f aca="false">'Player Data'!Z385</f>
        <v>2026-07-17</v>
      </c>
      <c r="AF385" s="28" t="str">
        <f aca="false">IFERROR(INDEX(Assumptions!$B$30:$B$61,MATCH(C385,Assumptions!$A$30:$A$61,0)),"--")</f>
        <v>Austria, Turkey</v>
      </c>
      <c r="AG385" s="30" t="str">
        <f aca="false">IF(R385&gt;=0.7,"Step-Up Candidate",IF(R385&gt;=0.4,"Lateral Move","Stay &amp; Develop"))</f>
        <v>Lateral Move</v>
      </c>
    </row>
    <row r="386" customFormat="false" ht="23.85" hidden="false" customHeight="false" outlineLevel="0" collapsed="false">
      <c r="A386" s="21" t="str">
        <f aca="false">'Player Data'!A386</f>
        <v>Marlon Figueroa</v>
      </c>
      <c r="B386" s="21" t="str">
        <f aca="false">'Player Data'!F386</f>
        <v>MF</v>
      </c>
      <c r="C386" s="21" t="str">
        <f aca="false">'Player Data'!B386</f>
        <v>Honduras</v>
      </c>
      <c r="D386" s="21" t="str">
        <f aca="false">'Player Data'!C386</f>
        <v>Honduras Second Division</v>
      </c>
      <c r="E386" s="21" t="n">
        <f aca="false">'Player Data'!D386</f>
        <v>2</v>
      </c>
      <c r="F386" s="21" t="n">
        <f aca="false">'Player Data'!G386</f>
        <v>25</v>
      </c>
      <c r="G386" s="21" t="n">
        <f aca="false">'Player Data'!H386</f>
        <v>1812</v>
      </c>
      <c r="H386" s="22" t="n">
        <f aca="false">IF(B386="GK",IFERROR(('Player Data'!N386-1.5*'Player Data'!O386)/'Player Data'!H386*90,0),IFERROR(('Player Data'!I386+'Player Data'!J386)/'Player Data'!H386*90,0))</f>
        <v>0.645695364238411</v>
      </c>
      <c r="I386" s="22" t="n">
        <f aca="false">IF(B386="GK",'Player Data'!P386,IFERROR(('Player Data'!K386+'Player Data'!L386)/'Player Data'!H386*90,0))</f>
        <v>10.8278145695364</v>
      </c>
      <c r="J386" s="22" t="n">
        <f aca="false">IF(B386="GK",IFERROR('Player Data'!Q386/'Player Data'!H386*90,0),IFERROR('Player Data'!M386/'Player Data'!H386*90,0))</f>
        <v>1.78807947019868</v>
      </c>
      <c r="K386" s="23" t="n">
        <f aca="false">'Player Data'!S386</f>
        <v>0</v>
      </c>
      <c r="L386" s="22" t="n">
        <f aca="false">INDEX(Assumptions!$B$13:$B$15,MATCH(E386,Assumptions!$A$13:$A$15,0))</f>
        <v>1</v>
      </c>
      <c r="M386" s="24" t="n">
        <f aca="false">IFERROR(SUMPRODUCT(($B$2:$B$1001=B386)*($H$2:$H$1001&lt;=H386))/SUMPRODUCT(($B$2:$B$1001=B386)*1),0)</f>
        <v>0.373737373737374</v>
      </c>
      <c r="N386" s="24" t="n">
        <f aca="false">IFERROR(SUMPRODUCT(($B$2:$B$1001=B386)*($I$2:$I$1001&lt;=I386))/SUMPRODUCT(($B$2:$B$1001=B386)*1),0)</f>
        <v>0.491582491582492</v>
      </c>
      <c r="O386" s="24" t="n">
        <f aca="false">IFERROR(SUMPRODUCT(($B$2:$B$1001=B386)*($J$2:$J$1001&lt;=J386))/SUMPRODUCT(($B$2:$B$1001=B386)*1),0)</f>
        <v>0.30976430976431</v>
      </c>
      <c r="P386" s="24" t="n">
        <f aca="false">IFERROR(SUMPRODUCT(($B$2:$B$1001=B386)*((0-$F$2:$F$1001)&lt;=(0-F386)))/SUMPRODUCT(($B$2:$B$1001=B386)*1),0)</f>
        <v>0.202020202020202</v>
      </c>
      <c r="Q386" s="25" t="n">
        <f aca="false">(M386*Assumptions!$B$5+N386*Assumptions!$B$6+O386*Assumptions!$B$7+P386*Assumptions!$B$8)*L386</f>
        <v>0.367845117845118</v>
      </c>
      <c r="R386" s="24" t="n">
        <f aca="false">IFERROR(SUMPRODUCT(($B$2:$B$1001=B386)*($Q$2:$Q$1001&lt;=Q386))/SUMPRODUCT(($B$2:$B$1001=B386)*1),0)</f>
        <v>0.367003367003367</v>
      </c>
      <c r="S386" s="24" t="n">
        <f aca="false">IFERROR(SUMPRODUCT(($B$2:$B$1001=B386)*($K$2:$K$1001&lt;=K386))/SUMPRODUCT(($B$2:$B$1001=B386)*1),0)</f>
        <v>0.228956228956229</v>
      </c>
      <c r="T386" s="26" t="n">
        <f aca="false">(R386-S386)*100</f>
        <v>13.8047138047138</v>
      </c>
      <c r="U386" s="21" t="str">
        <f aca="false">'Player Data'!T386</f>
        <v>No</v>
      </c>
      <c r="V386" s="27" t="n">
        <f aca="false">'Player Data'!U386</f>
        <v>2028</v>
      </c>
      <c r="W386" s="21" t="str">
        <f aca="false">IF(AND(T386&gt;=Assumptions!$B$19,U386="No"),"High Priority - Unrepresented",IF(T386&gt;=Assumptions!$B$19,"High Priority",IF(AND(T386&gt;=Assumptions!$B$20,U386="No"),"Watchlist - Unrepresented",IF(T386&gt;=Assumptions!$B$20,"Watchlist",""))))</f>
        <v/>
      </c>
      <c r="X386" s="21" t="str">
        <f aca="false">'Player Data'!V386</f>
        <v>info@laceibatown.hn</v>
      </c>
      <c r="Y386" s="28" t="str">
        <f aca="false">'Player Data'!W386</f>
        <v>Club sporting director / first-team office</v>
      </c>
      <c r="Z386" s="28" t="str">
        <f aca="false">'Player Data'!X386</f>
        <v>FENAFUTH (Honduran Football Federation) player registry</v>
      </c>
      <c r="AA386" s="19" t="str">
        <f aca="false">HYPERLINK("https://www.transfermarkt.com/schnellsuche/ergebnis/schnellsuche?query="&amp;SUBSTITUTE(A386," ","+"),"Search Transfermarkt")</f>
        <v>Search Transfermarkt</v>
      </c>
      <c r="AB386" s="29" t="n">
        <f aca="false">IFERROR('Player Data'!K386/('Player Data'!K386+'Player Data'!L386),0)</f>
        <v>0.761467889908257</v>
      </c>
      <c r="AC386" s="21" t="str">
        <f aca="false">IF(B386="GK",IF(AND(O386&gt;=Assumptions!$B$23,N386&gt;=Assumptions!$B$23),"Sweeper-Keeper / Build-from-the-Back",IF(O386&gt;=Assumptions!$B$23,"Sweeper-Keeper / High Line",IF(M386&gt;=Assumptions!$B$23,"Shot-Stopper / Traditional","Flexible / Multi-System"))),IF(AND(O386&gt;=Assumptions!$B$23,P386&gt;=Assumptions!$B$24),"High Press / Gegenpressing",IF(AND(N386&gt;=Assumptions!$B$23,AB386&gt;=Assumptions!$B$25),"Possession / Build-from-the-Back",IF(N386&gt;=Assumptions!$B$23,"Counter-Attack / Transition",IF(AND(O386&gt;=Assumptions!$B$23,N386&lt;Assumptions!$B$26),"Low Block / Park the Bus",IF(AND(B386="FW",M386&gt;=Assumptions!$B$23,N386&lt;Assumptions!$B$26),"Direct / Target Approach","Flexible / Multi-System"))))))</f>
        <v>Flexible / Multi-System</v>
      </c>
      <c r="AD386" s="21" t="str">
        <f aca="false">'Player Data'!Y386</f>
        <v>2026-07-17</v>
      </c>
      <c r="AE386" s="21" t="str">
        <f aca="false">'Player Data'!Z386</f>
        <v>2026-07-17</v>
      </c>
      <c r="AF386" s="28" t="str">
        <f aca="false">IFERROR(INDEX(Assumptions!$B$30:$B$61,MATCH(C386,Assumptions!$A$30:$A$61,0)),"--")</f>
        <v>Mexico, United States</v>
      </c>
      <c r="AG386" s="30" t="str">
        <f aca="false">IF(R386&gt;=0.7,"Step-Up Candidate",IF(R386&gt;=0.4,"Lateral Move","Stay &amp; Develop"))</f>
        <v>Stay &amp; Develop</v>
      </c>
    </row>
    <row r="387" customFormat="false" ht="23.85" hidden="false" customHeight="false" outlineLevel="0" collapsed="false">
      <c r="A387" s="21" t="str">
        <f aca="false">'Player Data'!A387</f>
        <v>Carlos Zambrano</v>
      </c>
      <c r="B387" s="21" t="str">
        <f aca="false">'Player Data'!F387</f>
        <v>GK</v>
      </c>
      <c r="C387" s="21" t="str">
        <f aca="false">'Player Data'!B387</f>
        <v>Ecuador</v>
      </c>
      <c r="D387" s="21" t="str">
        <f aca="false">'Player Data'!C387</f>
        <v>Ecuador Second Division - East</v>
      </c>
      <c r="E387" s="21" t="n">
        <f aca="false">'Player Data'!D387</f>
        <v>3</v>
      </c>
      <c r="F387" s="21" t="n">
        <f aca="false">'Player Data'!G387</f>
        <v>23</v>
      </c>
      <c r="G387" s="21" t="n">
        <f aca="false">'Player Data'!H387</f>
        <v>1254</v>
      </c>
      <c r="H387" s="22" t="n">
        <f aca="false">IF(B387="GK",IFERROR(('Player Data'!N387-1.5*'Player Data'!O387)/'Player Data'!H387*90,0),IFERROR(('Player Data'!I387+'Player Data'!J387)/'Player Data'!H387*90,0))</f>
        <v>0.968899521531101</v>
      </c>
      <c r="I387" s="22" t="n">
        <f aca="false">IF(B387="GK",'Player Data'!P387,IFERROR(('Player Data'!K387+'Player Data'!L387)/'Player Data'!H387*90,0))</f>
        <v>59.1</v>
      </c>
      <c r="J387" s="22" t="n">
        <f aca="false">IF(B387="GK",IFERROR('Player Data'!Q387/'Player Data'!H387*90,0),IFERROR('Player Data'!M387/'Player Data'!H387*90,0))</f>
        <v>1.23444976076555</v>
      </c>
      <c r="K387" s="23" t="n">
        <f aca="false">'Player Data'!S387</f>
        <v>94196</v>
      </c>
      <c r="L387" s="22" t="n">
        <f aca="false">INDEX(Assumptions!$B$13:$B$15,MATCH(E387,Assumptions!$A$13:$A$15,0))</f>
        <v>0.85</v>
      </c>
      <c r="M387" s="24" t="n">
        <f aca="false">IFERROR(SUMPRODUCT(($B$2:$B$1001=B387)*($H$2:$H$1001&lt;=H387))/SUMPRODUCT(($B$2:$B$1001=B387)*1),0)</f>
        <v>0.409836065573771</v>
      </c>
      <c r="N387" s="24" t="n">
        <f aca="false">IFERROR(SUMPRODUCT(($B$2:$B$1001=B387)*($I$2:$I$1001&lt;=I387))/SUMPRODUCT(($B$2:$B$1001=B387)*1),0)</f>
        <v>0.120218579234973</v>
      </c>
      <c r="O387" s="24" t="n">
        <f aca="false">IFERROR(SUMPRODUCT(($B$2:$B$1001=B387)*($J$2:$J$1001&lt;=J387))/SUMPRODUCT(($B$2:$B$1001=B387)*1),0)</f>
        <v>0.754098360655738</v>
      </c>
      <c r="P387" s="24" t="n">
        <f aca="false">IFERROR(SUMPRODUCT(($B$2:$B$1001=B387)*((0-$F$2:$F$1001)&lt;=(0-F387)))/SUMPRODUCT(($B$2:$B$1001=B387)*1),0)</f>
        <v>0.431693989071038</v>
      </c>
      <c r="Q387" s="25" t="n">
        <f aca="false">(M387*Assumptions!$B$5+N387*Assumptions!$B$6+O387*Assumptions!$B$7+P387*Assumptions!$B$8)*L387</f>
        <v>0.324439890710383</v>
      </c>
      <c r="R387" s="24" t="n">
        <f aca="false">IFERROR(SUMPRODUCT(($B$2:$B$1001=B387)*($Q$2:$Q$1001&lt;=Q387))/SUMPRODUCT(($B$2:$B$1001=B387)*1),0)</f>
        <v>0.174863387978142</v>
      </c>
      <c r="S387" s="24" t="n">
        <f aca="false">IFERROR(SUMPRODUCT(($B$2:$B$1001=B387)*($K$2:$K$1001&lt;=K387))/SUMPRODUCT(($B$2:$B$1001=B387)*1),0)</f>
        <v>0.66120218579235</v>
      </c>
      <c r="T387" s="26" t="n">
        <f aca="false">(R387-S387)*100</f>
        <v>-48.6338797814208</v>
      </c>
      <c r="U387" s="21" t="str">
        <f aca="false">'Player Data'!T387</f>
        <v>No</v>
      </c>
      <c r="V387" s="27" t="n">
        <f aca="false">'Player Data'!U387</f>
        <v>2026</v>
      </c>
      <c r="W387" s="21" t="str">
        <f aca="false">IF(AND(T387&gt;=Assumptions!$B$19,U387="No"),"High Priority - Unrepresented",IF(T387&gt;=Assumptions!$B$19,"High Priority",IF(AND(T387&gt;=Assumptions!$B$20,U387="No"),"Watchlist - Unrepresented",IF(T387&gt;=Assumptions!$B$20,"Watchlist",""))))</f>
        <v/>
      </c>
      <c r="X387" s="21" t="str">
        <f aca="false">'Player Data'!V387</f>
        <v>info@quitofc.ec</v>
      </c>
      <c r="Y387" s="28" t="str">
        <f aca="false">'Player Data'!W387</f>
        <v>Club sporting director / first-team office</v>
      </c>
      <c r="Z387" s="28" t="str">
        <f aca="false">'Player Data'!X387</f>
        <v>FEF (Ecuadorian Football Federation) player registry</v>
      </c>
      <c r="AA387" s="19" t="str">
        <f aca="false">HYPERLINK("https://www.transfermarkt.com/schnellsuche/ergebnis/schnellsuche?query="&amp;SUBSTITUTE(A387," ","+"),"Search Transfermarkt")</f>
        <v>Search Transfermarkt</v>
      </c>
      <c r="AB387" s="29" t="n">
        <f aca="false">IFERROR('Player Data'!K387/('Player Data'!K387+'Player Data'!L387),0)</f>
        <v>0.842105263157895</v>
      </c>
      <c r="AC387" s="21" t="str">
        <f aca="false">IF(B387="GK",IF(AND(O387&gt;=Assumptions!$B$23,N387&gt;=Assumptions!$B$23),"Sweeper-Keeper / Build-from-the-Back",IF(O387&gt;=Assumptions!$B$23,"Sweeper-Keeper / High Line",IF(M387&gt;=Assumptions!$B$23,"Shot-Stopper / Traditional","Flexible / Multi-System"))),IF(AND(O387&gt;=Assumptions!$B$23,P387&gt;=Assumptions!$B$24),"High Press / Gegenpressing",IF(AND(N387&gt;=Assumptions!$B$23,AB387&gt;=Assumptions!$B$25),"Possession / Build-from-the-Back",IF(N387&gt;=Assumptions!$B$23,"Counter-Attack / Transition",IF(AND(O387&gt;=Assumptions!$B$23,N387&lt;Assumptions!$B$26),"Low Block / Park the Bus",IF(AND(B387="FW",M387&gt;=Assumptions!$B$23,N387&lt;Assumptions!$B$26),"Direct / Target Approach","Flexible / Multi-System"))))))</f>
        <v>Sweeper-Keeper / High Line</v>
      </c>
      <c r="AD387" s="21" t="str">
        <f aca="false">'Player Data'!Y387</f>
        <v>2026-07-17</v>
      </c>
      <c r="AE387" s="21" t="str">
        <f aca="false">'Player Data'!Z387</f>
        <v>2026-07-17</v>
      </c>
      <c r="AF387" s="28" t="str">
        <f aca="false">IFERROR(INDEX(Assumptions!$B$30:$B$61,MATCH(C387,Assumptions!$A$30:$A$61,0)),"--")</f>
        <v>Argentina, Portugal</v>
      </c>
      <c r="AG387" s="30" t="str">
        <f aca="false">IF(R387&gt;=0.7,"Step-Up Candidate",IF(R387&gt;=0.4,"Lateral Move","Stay &amp; Develop"))</f>
        <v>Stay &amp; Develop</v>
      </c>
    </row>
    <row r="388" customFormat="false" ht="23.85" hidden="false" customHeight="false" outlineLevel="0" collapsed="false">
      <c r="A388" s="21" t="str">
        <f aca="false">'Player Data'!A388</f>
        <v>Nicolas Pereira</v>
      </c>
      <c r="B388" s="21" t="str">
        <f aca="false">'Player Data'!F388</f>
        <v>DF</v>
      </c>
      <c r="C388" s="21" t="str">
        <f aca="false">'Player Data'!B388</f>
        <v>Uruguay</v>
      </c>
      <c r="D388" s="21" t="str">
        <f aca="false">'Player Data'!C388</f>
        <v>Uruguay Second Division</v>
      </c>
      <c r="E388" s="21" t="n">
        <f aca="false">'Player Data'!D388</f>
        <v>4</v>
      </c>
      <c r="F388" s="21" t="n">
        <f aca="false">'Player Data'!G388</f>
        <v>19</v>
      </c>
      <c r="G388" s="21" t="n">
        <f aca="false">'Player Data'!H388</f>
        <v>2362</v>
      </c>
      <c r="H388" s="22" t="n">
        <f aca="false">IF(B388="GK",IFERROR(('Player Data'!N388-1.5*'Player Data'!O388)/'Player Data'!H388*90,0),IFERROR(('Player Data'!I388+'Player Data'!J388)/'Player Data'!H388*90,0))</f>
        <v>0.152413209144793</v>
      </c>
      <c r="I388" s="22" t="n">
        <f aca="false">IF(B388="GK",'Player Data'!P388,IFERROR(('Player Data'!K388+'Player Data'!L388)/'Player Data'!H388*90,0))</f>
        <v>2.93395427603726</v>
      </c>
      <c r="J388" s="22" t="n">
        <f aca="false">IF(B388="GK",IFERROR('Player Data'!Q388/'Player Data'!H388*90,0),IFERROR('Player Data'!M388/'Player Data'!H388*90,0))</f>
        <v>3.92464013547841</v>
      </c>
      <c r="K388" s="23" t="n">
        <f aca="false">'Player Data'!S388</f>
        <v>121785</v>
      </c>
      <c r="L388" s="22" t="n">
        <f aca="false">INDEX(Assumptions!$B$13:$B$15,MATCH(E388,Assumptions!$A$13:$A$15,0))</f>
        <v>0.7</v>
      </c>
      <c r="M388" s="24" t="n">
        <f aca="false">IFERROR(SUMPRODUCT(($B$2:$B$1001=B388)*($H$2:$H$1001&lt;=H388))/SUMPRODUCT(($B$2:$B$1001=B388)*1),0)</f>
        <v>0.36734693877551</v>
      </c>
      <c r="N388" s="24" t="n">
        <f aca="false">IFERROR(SUMPRODUCT(($B$2:$B$1001=B388)*($I$2:$I$1001&lt;=I388))/SUMPRODUCT(($B$2:$B$1001=B388)*1),0)</f>
        <v>0.0646258503401361</v>
      </c>
      <c r="O388" s="24" t="n">
        <f aca="false">IFERROR(SUMPRODUCT(($B$2:$B$1001=B388)*($J$2:$J$1001&lt;=J388))/SUMPRODUCT(($B$2:$B$1001=B388)*1),0)</f>
        <v>0.214285714285714</v>
      </c>
      <c r="P388" s="24" t="n">
        <f aca="false">IFERROR(SUMPRODUCT(($B$2:$B$1001=B388)*((0-$F$2:$F$1001)&lt;=(0-F388)))/SUMPRODUCT(($B$2:$B$1001=B388)*1),0)</f>
        <v>0.738095238095238</v>
      </c>
      <c r="Q388" s="25" t="n">
        <f aca="false">(M388*Assumptions!$B$5+N388*Assumptions!$B$6+O388*Assumptions!$B$7+P388*Assumptions!$B$8)*L388</f>
        <v>0.213452380952381</v>
      </c>
      <c r="R388" s="24" t="n">
        <f aca="false">IFERROR(SUMPRODUCT(($B$2:$B$1001=B388)*($Q$2:$Q$1001&lt;=Q388))/SUMPRODUCT(($B$2:$B$1001=B388)*1),0)</f>
        <v>0.0986394557823129</v>
      </c>
      <c r="S388" s="24" t="n">
        <f aca="false">IFERROR(SUMPRODUCT(($B$2:$B$1001=B388)*($K$2:$K$1001&lt;=K388))/SUMPRODUCT(($B$2:$B$1001=B388)*1),0)</f>
        <v>0.857142857142857</v>
      </c>
      <c r="T388" s="26" t="n">
        <f aca="false">(R388-S388)*100</f>
        <v>-75.8503401360544</v>
      </c>
      <c r="U388" s="21" t="str">
        <f aca="false">'Player Data'!T388</f>
        <v>No</v>
      </c>
      <c r="V388" s="27" t="n">
        <f aca="false">'Player Data'!U388</f>
        <v>2027</v>
      </c>
      <c r="W388" s="21" t="str">
        <f aca="false">IF(AND(T388&gt;=Assumptions!$B$19,U388="No"),"High Priority - Unrepresented",IF(T388&gt;=Assumptions!$B$19,"High Priority",IF(AND(T388&gt;=Assumptions!$B$20,U388="No"),"Watchlist - Unrepresented",IF(T388&gt;=Assumptions!$B$20,"Watchlist",""))))</f>
        <v/>
      </c>
      <c r="X388" s="21" t="str">
        <f aca="false">'Player Data'!V388</f>
        <v>info@montevideoathletic.uy</v>
      </c>
      <c r="Y388" s="28" t="str">
        <f aca="false">'Player Data'!W388</f>
        <v>Club sporting director / first-team office</v>
      </c>
      <c r="Z388" s="28" t="str">
        <f aca="false">'Player Data'!X388</f>
        <v>AUF (Uruguayan Football Association) player registry</v>
      </c>
      <c r="AA388" s="19" t="str">
        <f aca="false">HYPERLINK("https://www.transfermarkt.com/schnellsuche/ergebnis/schnellsuche?query="&amp;SUBSTITUTE(A388," ","+"),"Search Transfermarkt")</f>
        <v>Search Transfermarkt</v>
      </c>
      <c r="AB388" s="29" t="n">
        <f aca="false">IFERROR('Player Data'!K388/('Player Data'!K388+'Player Data'!L388),0)</f>
        <v>0.506493506493506</v>
      </c>
      <c r="AC388" s="21" t="str">
        <f aca="false">IF(B388="GK",IF(AND(O388&gt;=Assumptions!$B$23,N388&gt;=Assumptions!$B$23),"Sweeper-Keeper / Build-from-the-Back",IF(O388&gt;=Assumptions!$B$23,"Sweeper-Keeper / High Line",IF(M388&gt;=Assumptions!$B$23,"Shot-Stopper / Traditional","Flexible / Multi-System"))),IF(AND(O388&gt;=Assumptions!$B$23,P388&gt;=Assumptions!$B$24),"High Press / Gegenpressing",IF(AND(N388&gt;=Assumptions!$B$23,AB388&gt;=Assumptions!$B$25),"Possession / Build-from-the-Back",IF(N388&gt;=Assumptions!$B$23,"Counter-Attack / Transition",IF(AND(O388&gt;=Assumptions!$B$23,N388&lt;Assumptions!$B$26),"Low Block / Park the Bus",IF(AND(B388="FW",M388&gt;=Assumptions!$B$23,N388&lt;Assumptions!$B$26),"Direct / Target Approach","Flexible / Multi-System"))))))</f>
        <v>Flexible / Multi-System</v>
      </c>
      <c r="AD388" s="21" t="str">
        <f aca="false">'Player Data'!Y388</f>
        <v>2026-07-17</v>
      </c>
      <c r="AE388" s="21" t="str">
        <f aca="false">'Player Data'!Z388</f>
        <v>2026-07-17</v>
      </c>
      <c r="AF388" s="28" t="str">
        <f aca="false">IFERROR(INDEX(Assumptions!$B$30:$B$61,MATCH(C388,Assumptions!$A$30:$A$61,0)),"--")</f>
        <v>Argentina, Portugal</v>
      </c>
      <c r="AG388" s="30" t="str">
        <f aca="false">IF(R388&gt;=0.7,"Step-Up Candidate",IF(R388&gt;=0.4,"Lateral Move","Stay &amp; Develop"))</f>
        <v>Stay &amp; Develop</v>
      </c>
    </row>
    <row r="389" customFormat="false" ht="23.85" hidden="false" customHeight="false" outlineLevel="0" collapsed="false">
      <c r="A389" s="21" t="str">
        <f aca="false">'Player Data'!A389</f>
        <v>Andre Fotso</v>
      </c>
      <c r="B389" s="21" t="str">
        <f aca="false">'Player Data'!F389</f>
        <v>DF</v>
      </c>
      <c r="C389" s="21" t="str">
        <f aca="false">'Player Data'!B389</f>
        <v>Cameroon</v>
      </c>
      <c r="D389" s="21" t="str">
        <f aca="false">'Player Data'!C389</f>
        <v>Cameroon Provincial League</v>
      </c>
      <c r="E389" s="21" t="n">
        <f aca="false">'Player Data'!D389</f>
        <v>4</v>
      </c>
      <c r="F389" s="21" t="n">
        <f aca="false">'Player Data'!G389</f>
        <v>24</v>
      </c>
      <c r="G389" s="21" t="n">
        <f aca="false">'Player Data'!H389</f>
        <v>1528</v>
      </c>
      <c r="H389" s="22" t="n">
        <f aca="false">IF(B389="GK",IFERROR(('Player Data'!N389-1.5*'Player Data'!O389)/'Player Data'!H389*90,0),IFERROR(('Player Data'!I389+'Player Data'!J389)/'Player Data'!H389*90,0))</f>
        <v>0.0589005235602094</v>
      </c>
      <c r="I389" s="22" t="n">
        <f aca="false">IF(B389="GK",'Player Data'!P389,IFERROR(('Player Data'!K389+'Player Data'!L389)/'Player Data'!H389*90,0))</f>
        <v>5.30104712041885</v>
      </c>
      <c r="J389" s="22" t="n">
        <f aca="false">IF(B389="GK",IFERROR('Player Data'!Q389/'Player Data'!H389*90,0),IFERROR('Player Data'!M389/'Player Data'!H389*90,0))</f>
        <v>5.89005235602094</v>
      </c>
      <c r="K389" s="23" t="n">
        <f aca="false">'Player Data'!S389</f>
        <v>0</v>
      </c>
      <c r="L389" s="22" t="n">
        <f aca="false">INDEX(Assumptions!$B$13:$B$15,MATCH(E389,Assumptions!$A$13:$A$15,0))</f>
        <v>0.7</v>
      </c>
      <c r="M389" s="24" t="n">
        <f aca="false">IFERROR(SUMPRODUCT(($B$2:$B$1001=B389)*($H$2:$H$1001&lt;=H389))/SUMPRODUCT(($B$2:$B$1001=B389)*1),0)</f>
        <v>0.0816326530612245</v>
      </c>
      <c r="N389" s="24" t="n">
        <f aca="false">IFERROR(SUMPRODUCT(($B$2:$B$1001=B389)*($I$2:$I$1001&lt;=I389))/SUMPRODUCT(($B$2:$B$1001=B389)*1),0)</f>
        <v>0.642857142857143</v>
      </c>
      <c r="O389" s="24" t="n">
        <f aca="false">IFERROR(SUMPRODUCT(($B$2:$B$1001=B389)*($J$2:$J$1001&lt;=J389))/SUMPRODUCT(($B$2:$B$1001=B389)*1),0)</f>
        <v>0.595238095238095</v>
      </c>
      <c r="P389" s="24" t="n">
        <f aca="false">IFERROR(SUMPRODUCT(($B$2:$B$1001=B389)*((0-$F$2:$F$1001)&lt;=(0-F389)))/SUMPRODUCT(($B$2:$B$1001=B389)*1),0)</f>
        <v>0.275510204081633</v>
      </c>
      <c r="Q389" s="25" t="n">
        <f aca="false">(M389*Assumptions!$B$5+N389*Assumptions!$B$6+O389*Assumptions!$B$7+P389*Assumptions!$B$8)*L389</f>
        <v>0.293690476190476</v>
      </c>
      <c r="R389" s="24" t="n">
        <f aca="false">IFERROR(SUMPRODUCT(($B$2:$B$1001=B389)*($Q$2:$Q$1001&lt;=Q389))/SUMPRODUCT(($B$2:$B$1001=B389)*1),0)</f>
        <v>0.238095238095238</v>
      </c>
      <c r="S389" s="24" t="n">
        <f aca="false">IFERROR(SUMPRODUCT(($B$2:$B$1001=B389)*($K$2:$K$1001&lt;=K389))/SUMPRODUCT(($B$2:$B$1001=B389)*1),0)</f>
        <v>0.248299319727891</v>
      </c>
      <c r="T389" s="26" t="n">
        <f aca="false">(R389-S389)*100</f>
        <v>-1.02040816326531</v>
      </c>
      <c r="U389" s="21" t="str">
        <f aca="false">'Player Data'!T389</f>
        <v>No</v>
      </c>
      <c r="V389" s="27" t="n">
        <f aca="false">'Player Data'!U389</f>
        <v>2026</v>
      </c>
      <c r="W389" s="21" t="str">
        <f aca="false">IF(AND(T389&gt;=Assumptions!$B$19,U389="No"),"High Priority - Unrepresented",IF(T389&gt;=Assumptions!$B$19,"High Priority",IF(AND(T389&gt;=Assumptions!$B$20,U389="No"),"Watchlist - Unrepresented",IF(T389&gt;=Assumptions!$B$20,"Watchlist",""))))</f>
        <v/>
      </c>
      <c r="X389" s="21" t="str">
        <f aca="false">'Player Data'!V389</f>
        <v>info@doualarangers.cm</v>
      </c>
      <c r="Y389" s="28" t="str">
        <f aca="false">'Player Data'!W389</f>
        <v>Club sporting director / first-team office</v>
      </c>
      <c r="Z389" s="28" t="str">
        <f aca="false">'Player Data'!X389</f>
        <v>FECAFOOT (Cameroonian Football Federation) player registry</v>
      </c>
      <c r="AA389" s="19" t="str">
        <f aca="false">HYPERLINK("https://www.transfermarkt.com/schnellsuche/ergebnis/schnellsuche?query="&amp;SUBSTITUTE(A389," ","+"),"Search Transfermarkt")</f>
        <v>Search Transfermarkt</v>
      </c>
      <c r="AB389" s="29" t="n">
        <f aca="false">IFERROR('Player Data'!K389/('Player Data'!K389+'Player Data'!L389),0)</f>
        <v>0.688888888888889</v>
      </c>
      <c r="AC389" s="21" t="str">
        <f aca="false">IF(B389="GK",IF(AND(O389&gt;=Assumptions!$B$23,N389&gt;=Assumptions!$B$23),"Sweeper-Keeper / Build-from-the-Back",IF(O389&gt;=Assumptions!$B$23,"Sweeper-Keeper / High Line",IF(M389&gt;=Assumptions!$B$23,"Shot-Stopper / Traditional","Flexible / Multi-System"))),IF(AND(O389&gt;=Assumptions!$B$23,P389&gt;=Assumptions!$B$24),"High Press / Gegenpressing",IF(AND(N389&gt;=Assumptions!$B$23,AB389&gt;=Assumptions!$B$25),"Possession / Build-from-the-Back",IF(N389&gt;=Assumptions!$B$23,"Counter-Attack / Transition",IF(AND(O389&gt;=Assumptions!$B$23,N389&lt;Assumptions!$B$26),"Low Block / Park the Bus",IF(AND(B389="FW",M389&gt;=Assumptions!$B$23,N389&lt;Assumptions!$B$26),"Direct / Target Approach","Flexible / Multi-System"))))))</f>
        <v>Flexible / Multi-System</v>
      </c>
      <c r="AD389" s="21" t="str">
        <f aca="false">'Player Data'!Y389</f>
        <v>2026-07-17</v>
      </c>
      <c r="AE389" s="21" t="str">
        <f aca="false">'Player Data'!Z389</f>
        <v>2026-07-17</v>
      </c>
      <c r="AF389" s="28" t="str">
        <f aca="false">IFERROR(INDEX(Assumptions!$B$30:$B$61,MATCH(C389,Assumptions!$A$30:$A$61,0)),"--")</f>
        <v>Belgium, Portugal</v>
      </c>
      <c r="AG389" s="30" t="str">
        <f aca="false">IF(R389&gt;=0.7,"Step-Up Candidate",IF(R389&gt;=0.4,"Lateral Move","Stay &amp; Develop"))</f>
        <v>Stay &amp; Develop</v>
      </c>
    </row>
    <row r="390" customFormat="false" ht="23.85" hidden="false" customHeight="false" outlineLevel="0" collapsed="false">
      <c r="A390" s="21" t="str">
        <f aca="false">'Player Data'!A390</f>
        <v>Mwansa Sakala</v>
      </c>
      <c r="B390" s="21" t="str">
        <f aca="false">'Player Data'!F390</f>
        <v>DF</v>
      </c>
      <c r="C390" s="21" t="str">
        <f aca="false">'Player Data'!B390</f>
        <v>Zambia</v>
      </c>
      <c r="D390" s="21" t="str">
        <f aca="false">'Player Data'!C390</f>
        <v>Zambia Provincial League</v>
      </c>
      <c r="E390" s="21" t="n">
        <f aca="false">'Player Data'!D390</f>
        <v>2</v>
      </c>
      <c r="F390" s="21" t="n">
        <f aca="false">'Player Data'!G390</f>
        <v>23</v>
      </c>
      <c r="G390" s="21" t="n">
        <f aca="false">'Player Data'!H390</f>
        <v>922</v>
      </c>
      <c r="H390" s="22" t="n">
        <f aca="false">IF(B390="GK",IFERROR(('Player Data'!N390-1.5*'Player Data'!O390)/'Player Data'!H390*90,0),IFERROR(('Player Data'!I390+'Player Data'!J390)/'Player Data'!H390*90,0))</f>
        <v>0.292841648590022</v>
      </c>
      <c r="I390" s="22" t="n">
        <f aca="false">IF(B390="GK",'Player Data'!P390,IFERROR(('Player Data'!K390+'Player Data'!L390)/'Player Data'!H390*90,0))</f>
        <v>8.88286334056399</v>
      </c>
      <c r="J390" s="22" t="n">
        <f aca="false">IF(B390="GK",IFERROR('Player Data'!Q390/'Player Data'!H390*90,0),IFERROR('Player Data'!M390/'Player Data'!H390*90,0))</f>
        <v>8.59002169197397</v>
      </c>
      <c r="K390" s="23" t="n">
        <f aca="false">'Player Data'!S390</f>
        <v>143931</v>
      </c>
      <c r="L390" s="22" t="n">
        <f aca="false">INDEX(Assumptions!$B$13:$B$15,MATCH(E390,Assumptions!$A$13:$A$15,0))</f>
        <v>1</v>
      </c>
      <c r="M390" s="24" t="n">
        <f aca="false">IFERROR(SUMPRODUCT(($B$2:$B$1001=B390)*($H$2:$H$1001&lt;=H390))/SUMPRODUCT(($B$2:$B$1001=B390)*1),0)</f>
        <v>0.755102040816327</v>
      </c>
      <c r="N390" s="24" t="n">
        <f aca="false">IFERROR(SUMPRODUCT(($B$2:$B$1001=B390)*($I$2:$I$1001&lt;=I390))/SUMPRODUCT(($B$2:$B$1001=B390)*1),0)</f>
        <v>0.931972789115646</v>
      </c>
      <c r="O390" s="24" t="n">
        <f aca="false">IFERROR(SUMPRODUCT(($B$2:$B$1001=B390)*($J$2:$J$1001&lt;=J390))/SUMPRODUCT(($B$2:$B$1001=B390)*1),0)</f>
        <v>0.884353741496599</v>
      </c>
      <c r="P390" s="24" t="n">
        <f aca="false">IFERROR(SUMPRODUCT(($B$2:$B$1001=B390)*((0-$F$2:$F$1001)&lt;=(0-F390)))/SUMPRODUCT(($B$2:$B$1001=B390)*1),0)</f>
        <v>0.374149659863946</v>
      </c>
      <c r="Q390" s="25" t="n">
        <f aca="false">(M390*Assumptions!$B$5+N390*Assumptions!$B$6+O390*Assumptions!$B$7+P390*Assumptions!$B$8)*L390</f>
        <v>0.766666666666667</v>
      </c>
      <c r="R390" s="24" t="n">
        <f aca="false">IFERROR(SUMPRODUCT(($B$2:$B$1001=B390)*($Q$2:$Q$1001&lt;=Q390))/SUMPRODUCT(($B$2:$B$1001=B390)*1),0)</f>
        <v>0.925170068027211</v>
      </c>
      <c r="S390" s="24" t="n">
        <f aca="false">IFERROR(SUMPRODUCT(($B$2:$B$1001=B390)*($K$2:$K$1001&lt;=K390))/SUMPRODUCT(($B$2:$B$1001=B390)*1),0)</f>
        <v>0.962585034013605</v>
      </c>
      <c r="T390" s="26" t="n">
        <f aca="false">(R390-S390)*100</f>
        <v>-3.74149659863945</v>
      </c>
      <c r="U390" s="21" t="str">
        <f aca="false">'Player Data'!T390</f>
        <v>Unknown</v>
      </c>
      <c r="V390" s="27" t="n">
        <f aca="false">'Player Data'!U390</f>
        <v>2027</v>
      </c>
      <c r="W390" s="21" t="str">
        <f aca="false">IF(AND(T390&gt;=Assumptions!$B$19,U390="No"),"High Priority - Unrepresented",IF(T390&gt;=Assumptions!$B$19,"High Priority",IF(AND(T390&gt;=Assumptions!$B$20,U390="No"),"Watchlist - Unrepresented",IF(T390&gt;=Assumptions!$B$20,"Watchlist",""))))</f>
        <v/>
      </c>
      <c r="X390" s="21" t="str">
        <f aca="false">'Player Data'!V390</f>
        <v>info@lusakacity.zm</v>
      </c>
      <c r="Y390" s="28" t="str">
        <f aca="false">'Player Data'!W390</f>
        <v>Club sporting director / first-team office</v>
      </c>
      <c r="Z390" s="28" t="str">
        <f aca="false">'Player Data'!X390</f>
        <v>FAZ (Football Association of Zambia) player registry</v>
      </c>
      <c r="AA390" s="19" t="str">
        <f aca="false">HYPERLINK("https://www.transfermarkt.com/schnellsuche/ergebnis/schnellsuche?query="&amp;SUBSTITUTE(A390," ","+"),"Search Transfermarkt")</f>
        <v>Search Transfermarkt</v>
      </c>
      <c r="AB390" s="29" t="n">
        <f aca="false">IFERROR('Player Data'!K390/('Player Data'!K390+'Player Data'!L390),0)</f>
        <v>0.67032967032967</v>
      </c>
      <c r="AC390" s="21" t="str">
        <f aca="false">IF(B390="GK",IF(AND(O390&gt;=Assumptions!$B$23,N390&gt;=Assumptions!$B$23),"Sweeper-Keeper / Build-from-the-Back",IF(O390&gt;=Assumptions!$B$23,"Sweeper-Keeper / High Line",IF(M390&gt;=Assumptions!$B$23,"Shot-Stopper / Traditional","Flexible / Multi-System"))),IF(AND(O390&gt;=Assumptions!$B$23,P390&gt;=Assumptions!$B$24),"High Press / Gegenpressing",IF(AND(N390&gt;=Assumptions!$B$23,AB390&gt;=Assumptions!$B$25),"Possession / Build-from-the-Back",IF(N390&gt;=Assumptions!$B$23,"Counter-Attack / Transition",IF(AND(O390&gt;=Assumptions!$B$23,N390&lt;Assumptions!$B$26),"Low Block / Park the Bus",IF(AND(B390="FW",M390&gt;=Assumptions!$B$23,N390&lt;Assumptions!$B$26),"Direct / Target Approach","Flexible / Multi-System"))))))</f>
        <v>Possession / Build-from-the-Back</v>
      </c>
      <c r="AD390" s="21" t="str">
        <f aca="false">'Player Data'!Y390</f>
        <v>2026-07-17</v>
      </c>
      <c r="AE390" s="21" t="str">
        <f aca="false">'Player Data'!Z390</f>
        <v>2026-07-17</v>
      </c>
      <c r="AF390" s="28" t="str">
        <f aca="false">IFERROR(INDEX(Assumptions!$B$30:$B$61,MATCH(C390,Assumptions!$A$30:$A$61,0)),"--")</f>
        <v>Belgium, Portugal</v>
      </c>
      <c r="AG390" s="30" t="str">
        <f aca="false">IF(R390&gt;=0.7,"Step-Up Candidate",IF(R390&gt;=0.4,"Lateral Move","Stay &amp; Develop"))</f>
        <v>Step-Up Candidate</v>
      </c>
    </row>
    <row r="391" customFormat="false" ht="23.85" hidden="false" customHeight="false" outlineLevel="0" collapsed="false">
      <c r="A391" s="21" t="str">
        <f aca="false">'Player Data'!A391</f>
        <v>Yaw Mensah</v>
      </c>
      <c r="B391" s="21" t="str">
        <f aca="false">'Player Data'!F391</f>
        <v>GK</v>
      </c>
      <c r="C391" s="21" t="str">
        <f aca="false">'Player Data'!B391</f>
        <v>Ghana</v>
      </c>
      <c r="D391" s="21" t="str">
        <f aca="false">'Player Data'!C391</f>
        <v>Ghana Second Division</v>
      </c>
      <c r="E391" s="21" t="n">
        <f aca="false">'Player Data'!D391</f>
        <v>4</v>
      </c>
      <c r="F391" s="21" t="n">
        <f aca="false">'Player Data'!G391</f>
        <v>25</v>
      </c>
      <c r="G391" s="21" t="n">
        <f aca="false">'Player Data'!H391</f>
        <v>1824</v>
      </c>
      <c r="H391" s="22" t="n">
        <f aca="false">IF(B391="GK",IFERROR(('Player Data'!N391-1.5*'Player Data'!O391)/'Player Data'!H391*90,0),IFERROR(('Player Data'!I391+'Player Data'!J391)/'Player Data'!H391*90,0))</f>
        <v>0.838815789473684</v>
      </c>
      <c r="I391" s="22" t="n">
        <f aca="false">IF(B391="GK",'Player Data'!P391,IFERROR(('Player Data'!K391+'Player Data'!L391)/'Player Data'!H391*90,0))</f>
        <v>72.7</v>
      </c>
      <c r="J391" s="22" t="n">
        <f aca="false">IF(B391="GK",IFERROR('Player Data'!Q391/'Player Data'!H391*90,0),IFERROR('Player Data'!M391/'Player Data'!H391*90,0))</f>
        <v>1.46546052631579</v>
      </c>
      <c r="K391" s="23" t="n">
        <f aca="false">'Player Data'!S391</f>
        <v>0</v>
      </c>
      <c r="L391" s="22" t="n">
        <f aca="false">INDEX(Assumptions!$B$13:$B$15,MATCH(E391,Assumptions!$A$13:$A$15,0))</f>
        <v>0.7</v>
      </c>
      <c r="M391" s="24" t="n">
        <f aca="false">IFERROR(SUMPRODUCT(($B$2:$B$1001=B391)*($H$2:$H$1001&lt;=H391))/SUMPRODUCT(($B$2:$B$1001=B391)*1),0)</f>
        <v>0.355191256830601</v>
      </c>
      <c r="N391" s="24" t="n">
        <f aca="false">IFERROR(SUMPRODUCT(($B$2:$B$1001=B391)*($I$2:$I$1001&lt;=I391))/SUMPRODUCT(($B$2:$B$1001=B391)*1),0)</f>
        <v>0.497267759562842</v>
      </c>
      <c r="O391" s="24" t="n">
        <f aca="false">IFERROR(SUMPRODUCT(($B$2:$B$1001=B391)*($J$2:$J$1001&lt;=J391))/SUMPRODUCT(($B$2:$B$1001=B391)*1),0)</f>
        <v>0.978142076502732</v>
      </c>
      <c r="P391" s="24" t="n">
        <f aca="false">IFERROR(SUMPRODUCT(($B$2:$B$1001=B391)*((0-$F$2:$F$1001)&lt;=(0-F391)))/SUMPRODUCT(($B$2:$B$1001=B391)*1),0)</f>
        <v>0.240437158469945</v>
      </c>
      <c r="Q391" s="25" t="n">
        <f aca="false">(M391*Assumptions!$B$5+N391*Assumptions!$B$6+O391*Assumptions!$B$7+P391*Assumptions!$B$8)*L391</f>
        <v>0.354590163934426</v>
      </c>
      <c r="R391" s="24" t="n">
        <f aca="false">IFERROR(SUMPRODUCT(($B$2:$B$1001=B391)*($Q$2:$Q$1001&lt;=Q391))/SUMPRODUCT(($B$2:$B$1001=B391)*1),0)</f>
        <v>0.251366120218579</v>
      </c>
      <c r="S391" s="24" t="n">
        <f aca="false">IFERROR(SUMPRODUCT(($B$2:$B$1001=B391)*($K$2:$K$1001&lt;=K391))/SUMPRODUCT(($B$2:$B$1001=B391)*1),0)</f>
        <v>0.218579234972678</v>
      </c>
      <c r="T391" s="26" t="n">
        <f aca="false">(R391-S391)*100</f>
        <v>3.27868852459017</v>
      </c>
      <c r="U391" s="21" t="str">
        <f aca="false">'Player Data'!T391</f>
        <v>No</v>
      </c>
      <c r="V391" s="27" t="n">
        <f aca="false">'Player Data'!U391</f>
        <v>2029</v>
      </c>
      <c r="W391" s="21" t="str">
        <f aca="false">IF(AND(T391&gt;=Assumptions!$B$19,U391="No"),"High Priority - Unrepresented",IF(T391&gt;=Assumptions!$B$19,"High Priority",IF(AND(T391&gt;=Assumptions!$B$20,U391="No"),"Watchlist - Unrepresented",IF(T391&gt;=Assumptions!$B$20,"Watchlist",""))))</f>
        <v/>
      </c>
      <c r="X391" s="21" t="str">
        <f aca="false">'Player Data'!V391</f>
        <v>info@accrarovers.gh</v>
      </c>
      <c r="Y391" s="28" t="str">
        <f aca="false">'Player Data'!W391</f>
        <v>Club sporting director / first-team office</v>
      </c>
      <c r="Z391" s="28" t="str">
        <f aca="false">'Player Data'!X391</f>
        <v>GFA (Ghana Football Association) player registry</v>
      </c>
      <c r="AA391" s="19" t="str">
        <f aca="false">HYPERLINK("https://www.transfermarkt.com/schnellsuche/ergebnis/schnellsuche?query="&amp;SUBSTITUTE(A391," ","+"),"Search Transfermarkt")</f>
        <v>Search Transfermarkt</v>
      </c>
      <c r="AB391" s="29" t="n">
        <f aca="false">IFERROR('Player Data'!K391/('Player Data'!K391+'Player Data'!L391),0)</f>
        <v>0.692307692307692</v>
      </c>
      <c r="AC391" s="21" t="str">
        <f aca="false">IF(B391="GK",IF(AND(O391&gt;=Assumptions!$B$23,N391&gt;=Assumptions!$B$23),"Sweeper-Keeper / Build-from-the-Back",IF(O391&gt;=Assumptions!$B$23,"Sweeper-Keeper / High Line",IF(M391&gt;=Assumptions!$B$23,"Shot-Stopper / Traditional","Flexible / Multi-System"))),IF(AND(O391&gt;=Assumptions!$B$23,P391&gt;=Assumptions!$B$24),"High Press / Gegenpressing",IF(AND(N391&gt;=Assumptions!$B$23,AB391&gt;=Assumptions!$B$25),"Possession / Build-from-the-Back",IF(N391&gt;=Assumptions!$B$23,"Counter-Attack / Transition",IF(AND(O391&gt;=Assumptions!$B$23,N391&lt;Assumptions!$B$26),"Low Block / Park the Bus",IF(AND(B391="FW",M391&gt;=Assumptions!$B$23,N391&lt;Assumptions!$B$26),"Direct / Target Approach","Flexible / Multi-System"))))))</f>
        <v>Sweeper-Keeper / High Line</v>
      </c>
      <c r="AD391" s="21" t="str">
        <f aca="false">'Player Data'!Y391</f>
        <v>2026-07-17</v>
      </c>
      <c r="AE391" s="21" t="str">
        <f aca="false">'Player Data'!Z391</f>
        <v>2026-07-17</v>
      </c>
      <c r="AF391" s="28" t="str">
        <f aca="false">IFERROR(INDEX(Assumptions!$B$30:$B$61,MATCH(C391,Assumptions!$A$30:$A$61,0)),"--")</f>
        <v>Belgium, Portugal</v>
      </c>
      <c r="AG391" s="30" t="str">
        <f aca="false">IF(R391&gt;=0.7,"Step-Up Candidate",IF(R391&gt;=0.4,"Lateral Move","Stay &amp; Develop"))</f>
        <v>Stay &amp; Develop</v>
      </c>
    </row>
    <row r="392" customFormat="false" ht="23.85" hidden="false" customHeight="false" outlineLevel="0" collapsed="false">
      <c r="A392" s="21" t="str">
        <f aca="false">'Player Data'!A392</f>
        <v>Moussa Ndiaye</v>
      </c>
      <c r="B392" s="21" t="str">
        <f aca="false">'Player Data'!F392</f>
        <v>DF</v>
      </c>
      <c r="C392" s="21" t="str">
        <f aca="false">'Player Data'!B392</f>
        <v>Senegal</v>
      </c>
      <c r="D392" s="21" t="str">
        <f aca="false">'Player Data'!C392</f>
        <v>Senegal Second Division</v>
      </c>
      <c r="E392" s="21" t="n">
        <f aca="false">'Player Data'!D392</f>
        <v>2</v>
      </c>
      <c r="F392" s="21" t="n">
        <f aca="false">'Player Data'!G392</f>
        <v>17</v>
      </c>
      <c r="G392" s="21" t="n">
        <f aca="false">'Player Data'!H392</f>
        <v>2047</v>
      </c>
      <c r="H392" s="22" t="n">
        <f aca="false">IF(B392="GK",IFERROR(('Player Data'!N392-1.5*'Player Data'!O392)/'Player Data'!H392*90,0),IFERROR(('Player Data'!I392+'Player Data'!J392)/'Player Data'!H392*90,0))</f>
        <v>0.087933561309233</v>
      </c>
      <c r="I392" s="22" t="n">
        <f aca="false">IF(B392="GK",'Player Data'!P392,IFERROR(('Player Data'!K392+'Player Data'!L392)/'Player Data'!H392*90,0))</f>
        <v>3.64924279433317</v>
      </c>
      <c r="J392" s="22" t="n">
        <f aca="false">IF(B392="GK",IFERROR('Player Data'!Q392/'Player Data'!H392*90,0),IFERROR('Player Data'!M392/'Player Data'!H392*90,0))</f>
        <v>4.7923790913532</v>
      </c>
      <c r="K392" s="23" t="n">
        <f aca="false">'Player Data'!S392</f>
        <v>9919</v>
      </c>
      <c r="L392" s="22" t="n">
        <f aca="false">INDEX(Assumptions!$B$13:$B$15,MATCH(E392,Assumptions!$A$13:$A$15,0))</f>
        <v>1</v>
      </c>
      <c r="M392" s="24" t="n">
        <f aca="false">IFERROR(SUMPRODUCT(($B$2:$B$1001=B392)*($H$2:$H$1001&lt;=H392))/SUMPRODUCT(($B$2:$B$1001=B392)*1),0)</f>
        <v>0.146258503401361</v>
      </c>
      <c r="N392" s="24" t="n">
        <f aca="false">IFERROR(SUMPRODUCT(($B$2:$B$1001=B392)*($I$2:$I$1001&lt;=I392))/SUMPRODUCT(($B$2:$B$1001=B392)*1),0)</f>
        <v>0.289115646258503</v>
      </c>
      <c r="O392" s="24" t="n">
        <f aca="false">IFERROR(SUMPRODUCT(($B$2:$B$1001=B392)*($J$2:$J$1001&lt;=J392))/SUMPRODUCT(($B$2:$B$1001=B392)*1),0)</f>
        <v>0.421768707482993</v>
      </c>
      <c r="P392" s="24" t="n">
        <f aca="false">IFERROR(SUMPRODUCT(($B$2:$B$1001=B392)*((0-$F$2:$F$1001)&lt;=(0-F392)))/SUMPRODUCT(($B$2:$B$1001=B392)*1),0)</f>
        <v>1</v>
      </c>
      <c r="Q392" s="25" t="n">
        <f aca="false">(M392*Assumptions!$B$5+N392*Assumptions!$B$6+O392*Assumptions!$B$7+P392*Assumptions!$B$8)*L392</f>
        <v>0.422108843537415</v>
      </c>
      <c r="R392" s="24" t="n">
        <f aca="false">IFERROR(SUMPRODUCT(($B$2:$B$1001=B392)*($Q$2:$Q$1001&lt;=Q392))/SUMPRODUCT(($B$2:$B$1001=B392)*1),0)</f>
        <v>0.513605442176871</v>
      </c>
      <c r="S392" s="24" t="n">
        <f aca="false">IFERROR(SUMPRODUCT(($B$2:$B$1001=B392)*($K$2:$K$1001&lt;=K392))/SUMPRODUCT(($B$2:$B$1001=B392)*1),0)</f>
        <v>0.255102040816327</v>
      </c>
      <c r="T392" s="26" t="n">
        <f aca="false">(R392-S392)*100</f>
        <v>25.8503401360544</v>
      </c>
      <c r="U392" s="21" t="str">
        <f aca="false">'Player Data'!T392</f>
        <v>Unknown</v>
      </c>
      <c r="V392" s="27" t="n">
        <f aca="false">'Player Data'!U392</f>
        <v>2028</v>
      </c>
      <c r="W392" s="21" t="str">
        <f aca="false">IF(AND(T392&gt;=Assumptions!$B$19,U392="No"),"High Priority - Unrepresented",IF(T392&gt;=Assumptions!$B$19,"High Priority",IF(AND(T392&gt;=Assumptions!$B$20,U392="No"),"Watchlist - Unrepresented",IF(T392&gt;=Assumptions!$B$20,"Watchlist",""))))</f>
        <v>Watchlist</v>
      </c>
      <c r="X392" s="21" t="str">
        <f aca="false">'Player Data'!V392</f>
        <v>info@ziguinchorathletic.sn</v>
      </c>
      <c r="Y392" s="28" t="str">
        <f aca="false">'Player Data'!W392</f>
        <v>Club youth/academy office ONLY - player is a minor, do not contact directly</v>
      </c>
      <c r="Z392" s="28" t="str">
        <f aca="false">'Player Data'!X392</f>
        <v>FSF (Senegalese Football Federation) player registry</v>
      </c>
      <c r="AA392" s="19" t="str">
        <f aca="false">HYPERLINK("https://www.transfermarkt.com/schnellsuche/ergebnis/schnellsuche?query="&amp;SUBSTITUTE(A392," ","+"),"Search Transfermarkt")</f>
        <v>Search Transfermarkt</v>
      </c>
      <c r="AB392" s="29" t="n">
        <f aca="false">IFERROR('Player Data'!K392/('Player Data'!K392+'Player Data'!L392),0)</f>
        <v>0.674698795180723</v>
      </c>
      <c r="AC392" s="21" t="str">
        <f aca="false">IF(B392="GK",IF(AND(O392&gt;=Assumptions!$B$23,N392&gt;=Assumptions!$B$23),"Sweeper-Keeper / Build-from-the-Back",IF(O392&gt;=Assumptions!$B$23,"Sweeper-Keeper / High Line",IF(M392&gt;=Assumptions!$B$23,"Shot-Stopper / Traditional","Flexible / Multi-System"))),IF(AND(O392&gt;=Assumptions!$B$23,P392&gt;=Assumptions!$B$24),"High Press / Gegenpressing",IF(AND(N392&gt;=Assumptions!$B$23,AB392&gt;=Assumptions!$B$25),"Possession / Build-from-the-Back",IF(N392&gt;=Assumptions!$B$23,"Counter-Attack / Transition",IF(AND(O392&gt;=Assumptions!$B$23,N392&lt;Assumptions!$B$26),"Low Block / Park the Bus",IF(AND(B392="FW",M392&gt;=Assumptions!$B$23,N392&lt;Assumptions!$B$26),"Direct / Target Approach","Flexible / Multi-System"))))))</f>
        <v>Flexible / Multi-System</v>
      </c>
      <c r="AD392" s="21" t="str">
        <f aca="false">'Player Data'!Y392</f>
        <v>2026-07-17</v>
      </c>
      <c r="AE392" s="21" t="str">
        <f aca="false">'Player Data'!Z392</f>
        <v>2026-07-17</v>
      </c>
      <c r="AF392" s="28" t="str">
        <f aca="false">IFERROR(INDEX(Assumptions!$B$30:$B$61,MATCH(C392,Assumptions!$A$30:$A$61,0)),"--")</f>
        <v>Belgium, Portugal</v>
      </c>
      <c r="AG392" s="30" t="str">
        <f aca="false">IF(R392&gt;=0.7,"Step-Up Candidate",IF(R392&gt;=0.4,"Lateral Move","Stay &amp; Develop"))</f>
        <v>Lateral Move</v>
      </c>
    </row>
    <row r="393" customFormat="false" ht="23.85" hidden="false" customHeight="false" outlineLevel="0" collapsed="false">
      <c r="A393" s="21" t="str">
        <f aca="false">'Player Data'!A393</f>
        <v>Fidel Perez</v>
      </c>
      <c r="B393" s="21" t="str">
        <f aca="false">'Player Data'!F393</f>
        <v>FW</v>
      </c>
      <c r="C393" s="21" t="str">
        <f aca="false">'Player Data'!B393</f>
        <v>Panama</v>
      </c>
      <c r="D393" s="21" t="str">
        <f aca="false">'Player Data'!C393</f>
        <v>Panama Third Tier - South</v>
      </c>
      <c r="E393" s="21" t="n">
        <f aca="false">'Player Data'!D393</f>
        <v>2</v>
      </c>
      <c r="F393" s="21" t="n">
        <f aca="false">'Player Data'!G393</f>
        <v>22</v>
      </c>
      <c r="G393" s="21" t="n">
        <f aca="false">'Player Data'!H393</f>
        <v>1787</v>
      </c>
      <c r="H393" s="22" t="n">
        <f aca="false">IF(B393="GK",IFERROR(('Player Data'!N393-1.5*'Player Data'!O393)/'Player Data'!H393*90,0),IFERROR(('Player Data'!I393+'Player Data'!J393)/'Player Data'!H393*90,0))</f>
        <v>1.10800223838836</v>
      </c>
      <c r="I393" s="22" t="n">
        <f aca="false">IF(B393="GK",'Player Data'!P393,IFERROR(('Player Data'!K393+'Player Data'!L393)/'Player Data'!H393*90,0))</f>
        <v>6.64801343033016</v>
      </c>
      <c r="J393" s="22" t="n">
        <f aca="false">IF(B393="GK",IFERROR('Player Data'!Q393/'Player Data'!H393*90,0),IFERROR('Player Data'!M393/'Player Data'!H393*90,0))</f>
        <v>0.705092333519866</v>
      </c>
      <c r="K393" s="23" t="n">
        <f aca="false">'Player Data'!S393</f>
        <v>104334</v>
      </c>
      <c r="L393" s="22" t="n">
        <f aca="false">INDEX(Assumptions!$B$13:$B$15,MATCH(E393,Assumptions!$A$13:$A$15,0))</f>
        <v>1</v>
      </c>
      <c r="M393" s="24" t="n">
        <f aca="false">IFERROR(SUMPRODUCT(($B$2:$B$1001=B393)*($H$2:$H$1001&lt;=H393))/SUMPRODUCT(($B$2:$B$1001=B393)*1),0)</f>
        <v>0.628318584070796</v>
      </c>
      <c r="N393" s="24" t="n">
        <f aca="false">IFERROR(SUMPRODUCT(($B$2:$B$1001=B393)*($I$2:$I$1001&lt;=I393))/SUMPRODUCT(($B$2:$B$1001=B393)*1),0)</f>
        <v>0.52212389380531</v>
      </c>
      <c r="O393" s="24" t="n">
        <f aca="false">IFERROR(SUMPRODUCT(($B$2:$B$1001=B393)*($J$2:$J$1001&lt;=J393))/SUMPRODUCT(($B$2:$B$1001=B393)*1),0)</f>
        <v>0.743362831858407</v>
      </c>
      <c r="P393" s="24" t="n">
        <f aca="false">IFERROR(SUMPRODUCT(($B$2:$B$1001=B393)*((0-$F$2:$F$1001)&lt;=(0-F393)))/SUMPRODUCT(($B$2:$B$1001=B393)*1),0)</f>
        <v>0.504424778761062</v>
      </c>
      <c r="Q393" s="25" t="n">
        <f aca="false">(M393*Assumptions!$B$5+N393*Assumptions!$B$6+O393*Assumptions!$B$7+P393*Assumptions!$B$8)*L393</f>
        <v>0.589380530973451</v>
      </c>
      <c r="R393" s="24" t="n">
        <f aca="false">IFERROR(SUMPRODUCT(($B$2:$B$1001=B393)*($Q$2:$Q$1001&lt;=Q393))/SUMPRODUCT(($B$2:$B$1001=B393)*1),0)</f>
        <v>0.734513274336283</v>
      </c>
      <c r="S393" s="24" t="n">
        <f aca="false">IFERROR(SUMPRODUCT(($B$2:$B$1001=B393)*($K$2:$K$1001&lt;=K393))/SUMPRODUCT(($B$2:$B$1001=B393)*1),0)</f>
        <v>0.721238938053097</v>
      </c>
      <c r="T393" s="26" t="n">
        <f aca="false">(R393-S393)*100</f>
        <v>1.32743362831859</v>
      </c>
      <c r="U393" s="21" t="str">
        <f aca="false">'Player Data'!T393</f>
        <v>No</v>
      </c>
      <c r="V393" s="27" t="n">
        <f aca="false">'Player Data'!U393</f>
        <v>2026</v>
      </c>
      <c r="W393" s="21" t="str">
        <f aca="false">IF(AND(T393&gt;=Assumptions!$B$19,U393="No"),"High Priority - Unrepresented",IF(T393&gt;=Assumptions!$B$19,"High Priority",IF(AND(T393&gt;=Assumptions!$B$20,U393="No"),"Watchlist - Unrepresented",IF(T393&gt;=Assumptions!$B$20,"Watchlist",""))))</f>
        <v/>
      </c>
      <c r="X393" s="21" t="str">
        <f aca="false">'Player Data'!V393</f>
        <v>info@colonfc.pa</v>
      </c>
      <c r="Y393" s="28" t="str">
        <f aca="false">'Player Data'!W393</f>
        <v>Club sporting director / first-team office</v>
      </c>
      <c r="Z393" s="28" t="str">
        <f aca="false">'Player Data'!X393</f>
        <v>FEPAFUT (Panamanian Football Federation) player registry</v>
      </c>
      <c r="AA393" s="19" t="str">
        <f aca="false">HYPERLINK("https://www.transfermarkt.com/schnellsuche/ergebnis/schnellsuche?query="&amp;SUBSTITUTE(A393," ","+"),"Search Transfermarkt")</f>
        <v>Search Transfermarkt</v>
      </c>
      <c r="AB393" s="29" t="n">
        <f aca="false">IFERROR('Player Data'!K393/('Player Data'!K393+'Player Data'!L393),0)</f>
        <v>0.318181818181818</v>
      </c>
      <c r="AC393" s="21" t="str">
        <f aca="false">IF(B393="GK",IF(AND(O393&gt;=Assumptions!$B$23,N393&gt;=Assumptions!$B$23),"Sweeper-Keeper / Build-from-the-Back",IF(O393&gt;=Assumptions!$B$23,"Sweeper-Keeper / High Line",IF(M393&gt;=Assumptions!$B$23,"Shot-Stopper / Traditional","Flexible / Multi-System"))),IF(AND(O393&gt;=Assumptions!$B$23,P393&gt;=Assumptions!$B$24),"High Press / Gegenpressing",IF(AND(N393&gt;=Assumptions!$B$23,AB393&gt;=Assumptions!$B$25),"Possession / Build-from-the-Back",IF(N393&gt;=Assumptions!$B$23,"Counter-Attack / Transition",IF(AND(O393&gt;=Assumptions!$B$23,N393&lt;Assumptions!$B$26),"Low Block / Park the Bus",IF(AND(B393="FW",M393&gt;=Assumptions!$B$23,N393&lt;Assumptions!$B$26),"Direct / Target Approach","Flexible / Multi-System"))))))</f>
        <v>Flexible / Multi-System</v>
      </c>
      <c r="AD393" s="21" t="str">
        <f aca="false">'Player Data'!Y393</f>
        <v>2026-07-17</v>
      </c>
      <c r="AE393" s="21" t="str">
        <f aca="false">'Player Data'!Z393</f>
        <v>2026-07-17</v>
      </c>
      <c r="AF393" s="28" t="str">
        <f aca="false">IFERROR(INDEX(Assumptions!$B$30:$B$61,MATCH(C393,Assumptions!$A$30:$A$61,0)),"--")</f>
        <v>Mexico, United States</v>
      </c>
      <c r="AG393" s="30" t="str">
        <f aca="false">IF(R393&gt;=0.7,"Step-Up Candidate",IF(R393&gt;=0.4,"Lateral Move","Stay &amp; Develop"))</f>
        <v>Step-Up Candidate</v>
      </c>
    </row>
    <row r="394" customFormat="false" ht="23.85" hidden="false" customHeight="false" outlineLevel="0" collapsed="false">
      <c r="A394" s="21" t="str">
        <f aca="false">'Player Data'!A394</f>
        <v>Kristers Berzins</v>
      </c>
      <c r="B394" s="21" t="str">
        <f aca="false">'Player Data'!F394</f>
        <v>DF</v>
      </c>
      <c r="C394" s="21" t="str">
        <f aca="false">'Player Data'!B394</f>
        <v>Latvia</v>
      </c>
      <c r="D394" s="21" t="str">
        <f aca="false">'Player Data'!C394</f>
        <v>Latvia Third Tier - North</v>
      </c>
      <c r="E394" s="21" t="n">
        <f aca="false">'Player Data'!D394</f>
        <v>2</v>
      </c>
      <c r="F394" s="21" t="n">
        <f aca="false">'Player Data'!G394</f>
        <v>19</v>
      </c>
      <c r="G394" s="21" t="n">
        <f aca="false">'Player Data'!H394</f>
        <v>2572</v>
      </c>
      <c r="H394" s="22" t="n">
        <f aca="false">IF(B394="GK",IFERROR(('Player Data'!N394-1.5*'Player Data'!O394)/'Player Data'!H394*90,0),IFERROR(('Player Data'!I394+'Player Data'!J394)/'Player Data'!H394*90,0))</f>
        <v>0.1049766718507</v>
      </c>
      <c r="I394" s="22" t="n">
        <f aca="false">IF(B394="GK",'Player Data'!P394,IFERROR(('Player Data'!K394+'Player Data'!L394)/'Player Data'!H394*90,0))</f>
        <v>3.149300155521</v>
      </c>
      <c r="J394" s="22" t="n">
        <f aca="false">IF(B394="GK",IFERROR('Player Data'!Q394/'Player Data'!H394*90,0),IFERROR('Player Data'!M394/'Player Data'!H394*90,0))</f>
        <v>2.9393468118196</v>
      </c>
      <c r="K394" s="23" t="n">
        <f aca="false">'Player Data'!S394</f>
        <v>129785</v>
      </c>
      <c r="L394" s="22" t="n">
        <f aca="false">INDEX(Assumptions!$B$13:$B$15,MATCH(E394,Assumptions!$A$13:$A$15,0))</f>
        <v>1</v>
      </c>
      <c r="M394" s="24" t="n">
        <f aca="false">IFERROR(SUMPRODUCT(($B$2:$B$1001=B394)*($H$2:$H$1001&lt;=H394))/SUMPRODUCT(($B$2:$B$1001=B394)*1),0)</f>
        <v>0.214285714285714</v>
      </c>
      <c r="N394" s="24" t="n">
        <f aca="false">IFERROR(SUMPRODUCT(($B$2:$B$1001=B394)*($I$2:$I$1001&lt;=I394))/SUMPRODUCT(($B$2:$B$1001=B394)*1),0)</f>
        <v>0.112244897959184</v>
      </c>
      <c r="O394" s="24" t="n">
        <f aca="false">IFERROR(SUMPRODUCT(($B$2:$B$1001=B394)*($J$2:$J$1001&lt;=J394))/SUMPRODUCT(($B$2:$B$1001=B394)*1),0)</f>
        <v>0.0238095238095238</v>
      </c>
      <c r="P394" s="24" t="n">
        <f aca="false">IFERROR(SUMPRODUCT(($B$2:$B$1001=B394)*((0-$F$2:$F$1001)&lt;=(0-F394)))/SUMPRODUCT(($B$2:$B$1001=B394)*1),0)</f>
        <v>0.738095238095238</v>
      </c>
      <c r="Q394" s="25" t="n">
        <f aca="false">(M394*Assumptions!$B$5+N394*Assumptions!$B$6+O394*Assumptions!$B$7+P394*Assumptions!$B$8)*L394</f>
        <v>0.245238095238095</v>
      </c>
      <c r="R394" s="24" t="n">
        <f aca="false">IFERROR(SUMPRODUCT(($B$2:$B$1001=B394)*($Q$2:$Q$1001&lt;=Q394))/SUMPRODUCT(($B$2:$B$1001=B394)*1),0)</f>
        <v>0.146258503401361</v>
      </c>
      <c r="S394" s="24" t="n">
        <f aca="false">IFERROR(SUMPRODUCT(($B$2:$B$1001=B394)*($K$2:$K$1001&lt;=K394))/SUMPRODUCT(($B$2:$B$1001=B394)*1),0)</f>
        <v>0.91156462585034</v>
      </c>
      <c r="T394" s="26" t="n">
        <f aca="false">(R394-S394)*100</f>
        <v>-76.530612244898</v>
      </c>
      <c r="U394" s="21" t="str">
        <f aca="false">'Player Data'!T394</f>
        <v>Unknown</v>
      </c>
      <c r="V394" s="27" t="n">
        <f aca="false">'Player Data'!U394</f>
        <v>2029</v>
      </c>
      <c r="W394" s="21" t="str">
        <f aca="false">IF(AND(T394&gt;=Assumptions!$B$19,U394="No"),"High Priority - Unrepresented",IF(T394&gt;=Assumptions!$B$19,"High Priority",IF(AND(T394&gt;=Assumptions!$B$20,U394="No"),"Watchlist - Unrepresented",IF(T394&gt;=Assumptions!$B$20,"Watchlist",""))))</f>
        <v/>
      </c>
      <c r="X394" s="21" t="str">
        <f aca="false">'Player Data'!V394</f>
        <v>info@rigaunited.lv</v>
      </c>
      <c r="Y394" s="28" t="str">
        <f aca="false">'Player Data'!W394</f>
        <v>Club sporting director / first-team office</v>
      </c>
      <c r="Z394" s="28" t="str">
        <f aca="false">'Player Data'!X394</f>
        <v>LFF (Latvian Football Federation) player registry</v>
      </c>
      <c r="AA394" s="19" t="str">
        <f aca="false">HYPERLINK("https://www.transfermarkt.com/schnellsuche/ergebnis/schnellsuche?query="&amp;SUBSTITUTE(A394," ","+"),"Search Transfermarkt")</f>
        <v>Search Transfermarkt</v>
      </c>
      <c r="AB394" s="29" t="n">
        <f aca="false">IFERROR('Player Data'!K394/('Player Data'!K394+'Player Data'!L394),0)</f>
        <v>0.588888888888889</v>
      </c>
      <c r="AC394" s="21" t="str">
        <f aca="false">IF(B394="GK",IF(AND(O394&gt;=Assumptions!$B$23,N394&gt;=Assumptions!$B$23),"Sweeper-Keeper / Build-from-the-Back",IF(O394&gt;=Assumptions!$B$23,"Sweeper-Keeper / High Line",IF(M394&gt;=Assumptions!$B$23,"Shot-Stopper / Traditional","Flexible / Multi-System"))),IF(AND(O394&gt;=Assumptions!$B$23,P394&gt;=Assumptions!$B$24),"High Press / Gegenpressing",IF(AND(N394&gt;=Assumptions!$B$23,AB394&gt;=Assumptions!$B$25),"Possession / Build-from-the-Back",IF(N394&gt;=Assumptions!$B$23,"Counter-Attack / Transition",IF(AND(O394&gt;=Assumptions!$B$23,N394&lt;Assumptions!$B$26),"Low Block / Park the Bus",IF(AND(B394="FW",M394&gt;=Assumptions!$B$23,N394&lt;Assumptions!$B$26),"Direct / Target Approach","Flexible / Multi-System"))))))</f>
        <v>Flexible / Multi-System</v>
      </c>
      <c r="AD394" s="21" t="str">
        <f aca="false">'Player Data'!Y394</f>
        <v>2026-07-17</v>
      </c>
      <c r="AE394" s="21" t="str">
        <f aca="false">'Player Data'!Z394</f>
        <v>2026-07-17</v>
      </c>
      <c r="AF394" s="28" t="str">
        <f aca="false">IFERROR(INDEX(Assumptions!$B$30:$B$61,MATCH(C394,Assumptions!$A$30:$A$61,0)),"--")</f>
        <v>Poland, Norway</v>
      </c>
      <c r="AG394" s="30" t="str">
        <f aca="false">IF(R394&gt;=0.7,"Step-Up Candidate",IF(R394&gt;=0.4,"Lateral Move","Stay &amp; Develop"))</f>
        <v>Stay &amp; Develop</v>
      </c>
    </row>
    <row r="395" customFormat="false" ht="23.85" hidden="false" customHeight="false" outlineLevel="0" collapsed="false">
      <c r="A395" s="21" t="str">
        <f aca="false">'Player Data'!A395</f>
        <v>Jasur Rashidov</v>
      </c>
      <c r="B395" s="21" t="str">
        <f aca="false">'Player Data'!F395</f>
        <v>DF</v>
      </c>
      <c r="C395" s="21" t="str">
        <f aca="false">'Player Data'!B395</f>
        <v>Uzbekistan</v>
      </c>
      <c r="D395" s="21" t="str">
        <f aca="false">'Player Data'!C395</f>
        <v>Uzbekistan Third Tier - North</v>
      </c>
      <c r="E395" s="21" t="n">
        <f aca="false">'Player Data'!D395</f>
        <v>4</v>
      </c>
      <c r="F395" s="21" t="n">
        <f aca="false">'Player Data'!G395</f>
        <v>25</v>
      </c>
      <c r="G395" s="21" t="n">
        <f aca="false">'Player Data'!H395</f>
        <v>1339</v>
      </c>
      <c r="H395" s="22" t="n">
        <f aca="false">IF(B395="GK",IFERROR(('Player Data'!N395-1.5*'Player Data'!O395)/'Player Data'!H395*90,0),IFERROR(('Player Data'!I395+'Player Data'!J395)/'Player Data'!H395*90,0))</f>
        <v>0.403286034353996</v>
      </c>
      <c r="I395" s="22" t="n">
        <f aca="false">IF(B395="GK",'Player Data'!P395,IFERROR(('Player Data'!K395+'Player Data'!L395)/'Player Data'!H395*90,0))</f>
        <v>7.19193427931292</v>
      </c>
      <c r="J395" s="22" t="n">
        <f aca="false">IF(B395="GK",IFERROR('Player Data'!Q395/'Player Data'!H395*90,0),IFERROR('Player Data'!M395/'Player Data'!H395*90,0))</f>
        <v>6.78864824495892</v>
      </c>
      <c r="K395" s="23" t="n">
        <f aca="false">'Player Data'!S395</f>
        <v>0</v>
      </c>
      <c r="L395" s="22" t="n">
        <f aca="false">INDEX(Assumptions!$B$13:$B$15,MATCH(E395,Assumptions!$A$13:$A$15,0))</f>
        <v>0.7</v>
      </c>
      <c r="M395" s="24" t="n">
        <f aca="false">IFERROR(SUMPRODUCT(($B$2:$B$1001=B395)*($H$2:$H$1001&lt;=H395))/SUMPRODUCT(($B$2:$B$1001=B395)*1),0)</f>
        <v>0.904761904761905</v>
      </c>
      <c r="N395" s="24" t="n">
        <f aca="false">IFERROR(SUMPRODUCT(($B$2:$B$1001=B395)*($I$2:$I$1001&lt;=I395))/SUMPRODUCT(($B$2:$B$1001=B395)*1),0)</f>
        <v>0.836734693877551</v>
      </c>
      <c r="O395" s="24" t="n">
        <f aca="false">IFERROR(SUMPRODUCT(($B$2:$B$1001=B395)*($J$2:$J$1001&lt;=J395))/SUMPRODUCT(($B$2:$B$1001=B395)*1),0)</f>
        <v>0.717687074829932</v>
      </c>
      <c r="P395" s="24" t="n">
        <f aca="false">IFERROR(SUMPRODUCT(($B$2:$B$1001=B395)*((0-$F$2:$F$1001)&lt;=(0-F395)))/SUMPRODUCT(($B$2:$B$1001=B395)*1),0)</f>
        <v>0.146258503401361</v>
      </c>
      <c r="Q395" s="25" t="n">
        <f aca="false">(M395*Assumptions!$B$5+N395*Assumptions!$B$6+O395*Assumptions!$B$7+P395*Assumptions!$B$8)*L395</f>
        <v>0.484285714285714</v>
      </c>
      <c r="R395" s="24" t="n">
        <f aca="false">IFERROR(SUMPRODUCT(($B$2:$B$1001=B395)*($Q$2:$Q$1001&lt;=Q395))/SUMPRODUCT(($B$2:$B$1001=B395)*1),0)</f>
        <v>0.612244897959184</v>
      </c>
      <c r="S395" s="24" t="n">
        <f aca="false">IFERROR(SUMPRODUCT(($B$2:$B$1001=B395)*($K$2:$K$1001&lt;=K395))/SUMPRODUCT(($B$2:$B$1001=B395)*1),0)</f>
        <v>0.248299319727891</v>
      </c>
      <c r="T395" s="26" t="n">
        <f aca="false">(R395-S395)*100</f>
        <v>36.3945578231293</v>
      </c>
      <c r="U395" s="21" t="str">
        <f aca="false">'Player Data'!T395</f>
        <v>Yes</v>
      </c>
      <c r="V395" s="27" t="n">
        <f aca="false">'Player Data'!U395</f>
        <v>2029</v>
      </c>
      <c r="W395" s="21" t="str">
        <f aca="false">IF(AND(T395&gt;=Assumptions!$B$19,U395="No"),"High Priority - Unrepresented",IF(T395&gt;=Assumptions!$B$19,"High Priority",IF(AND(T395&gt;=Assumptions!$B$20,U395="No"),"Watchlist - Unrepresented",IF(T395&gt;=Assumptions!$B$20,"Watchlist",""))))</f>
        <v>Watchlist</v>
      </c>
      <c r="X395" s="21" t="str">
        <f aca="false">'Player Data'!V395</f>
        <v>info@samarkandtown.uz</v>
      </c>
      <c r="Y395" s="28" t="str">
        <f aca="false">'Player Data'!W395</f>
        <v>Go through the player's agent - ask the club to confirm representation first</v>
      </c>
      <c r="Z395" s="28" t="str">
        <f aca="false">'Player Data'!X395</f>
        <v>UFF (Uzbekistan Football Federation) player registry</v>
      </c>
      <c r="AA395" s="19" t="str">
        <f aca="false">HYPERLINK("https://www.transfermarkt.com/schnellsuche/ergebnis/schnellsuche?query="&amp;SUBSTITUTE(A395," ","+"),"Search Transfermarkt")</f>
        <v>Search Transfermarkt</v>
      </c>
      <c r="AB395" s="29" t="n">
        <f aca="false">IFERROR('Player Data'!K395/('Player Data'!K395+'Player Data'!L395),0)</f>
        <v>0.635514018691589</v>
      </c>
      <c r="AC395" s="21" t="str">
        <f aca="false">IF(B395="GK",IF(AND(O395&gt;=Assumptions!$B$23,N395&gt;=Assumptions!$B$23),"Sweeper-Keeper / Build-from-the-Back",IF(O395&gt;=Assumptions!$B$23,"Sweeper-Keeper / High Line",IF(M395&gt;=Assumptions!$B$23,"Shot-Stopper / Traditional","Flexible / Multi-System"))),IF(AND(O395&gt;=Assumptions!$B$23,P395&gt;=Assumptions!$B$24),"High Press / Gegenpressing",IF(AND(N395&gt;=Assumptions!$B$23,AB395&gt;=Assumptions!$B$25),"Possession / Build-from-the-Back",IF(N395&gt;=Assumptions!$B$23,"Counter-Attack / Transition",IF(AND(O395&gt;=Assumptions!$B$23,N395&lt;Assumptions!$B$26),"Low Block / Park the Bus",IF(AND(B395="FW",M395&gt;=Assumptions!$B$23,N395&lt;Assumptions!$B$26),"Direct / Target Approach","Flexible / Multi-System"))))))</f>
        <v>Possession / Build-from-the-Back</v>
      </c>
      <c r="AD395" s="21" t="str">
        <f aca="false">'Player Data'!Y395</f>
        <v>2026-07-17</v>
      </c>
      <c r="AE395" s="21" t="str">
        <f aca="false">'Player Data'!Z395</f>
        <v>2026-07-17</v>
      </c>
      <c r="AF395" s="28" t="str">
        <f aca="false">IFERROR(INDEX(Assumptions!$B$30:$B$61,MATCH(C395,Assumptions!$A$30:$A$61,0)),"--")</f>
        <v>Turkey, Saudi Arabia</v>
      </c>
      <c r="AG395" s="30" t="str">
        <f aca="false">IF(R395&gt;=0.7,"Step-Up Candidate",IF(R395&gt;=0.4,"Lateral Move","Stay &amp; Develop"))</f>
        <v>Lateral Move</v>
      </c>
    </row>
    <row r="396" customFormat="false" ht="23.85" hidden="false" customHeight="false" outlineLevel="0" collapsed="false">
      <c r="A396" s="21" t="str">
        <f aca="false">'Player Data'!A396</f>
        <v>Levan Kapanadze</v>
      </c>
      <c r="B396" s="21" t="str">
        <f aca="false">'Player Data'!F396</f>
        <v>MF</v>
      </c>
      <c r="C396" s="21" t="str">
        <f aca="false">'Player Data'!B396</f>
        <v>Georgia</v>
      </c>
      <c r="D396" s="21" t="str">
        <f aca="false">'Player Data'!C396</f>
        <v>Georgia Regional League</v>
      </c>
      <c r="E396" s="21" t="n">
        <f aca="false">'Player Data'!D396</f>
        <v>4</v>
      </c>
      <c r="F396" s="21" t="n">
        <f aca="false">'Player Data'!G396</f>
        <v>17</v>
      </c>
      <c r="G396" s="21" t="n">
        <f aca="false">'Player Data'!H396</f>
        <v>1513</v>
      </c>
      <c r="H396" s="22" t="n">
        <f aca="false">IF(B396="GK",IFERROR(('Player Data'!N396-1.5*'Player Data'!O396)/'Player Data'!H396*90,0),IFERROR(('Player Data'!I396+'Player Data'!J396)/'Player Data'!H396*90,0))</f>
        <v>0.773298083278255</v>
      </c>
      <c r="I396" s="22" t="n">
        <f aca="false">IF(B396="GK",'Player Data'!P396,IFERROR(('Player Data'!K396+'Player Data'!L396)/'Player Data'!H396*90,0))</f>
        <v>9.93390614672835</v>
      </c>
      <c r="J396" s="22" t="n">
        <f aca="false">IF(B396="GK",IFERROR('Player Data'!Q396/'Player Data'!H396*90,0),IFERROR('Player Data'!M396/'Player Data'!H396*90,0))</f>
        <v>2.67680105750165</v>
      </c>
      <c r="K396" s="23" t="n">
        <f aca="false">'Player Data'!S396</f>
        <v>22550</v>
      </c>
      <c r="L396" s="22" t="n">
        <f aca="false">INDEX(Assumptions!$B$13:$B$15,MATCH(E396,Assumptions!$A$13:$A$15,0))</f>
        <v>0.7</v>
      </c>
      <c r="M396" s="24" t="n">
        <f aca="false">IFERROR(SUMPRODUCT(($B$2:$B$1001=B396)*($H$2:$H$1001&lt;=H396))/SUMPRODUCT(($B$2:$B$1001=B396)*1),0)</f>
        <v>0.555555555555556</v>
      </c>
      <c r="N396" s="24" t="n">
        <f aca="false">IFERROR(SUMPRODUCT(($B$2:$B$1001=B396)*($I$2:$I$1001&lt;=I396))/SUMPRODUCT(($B$2:$B$1001=B396)*1),0)</f>
        <v>0.417508417508418</v>
      </c>
      <c r="O396" s="24" t="n">
        <f aca="false">IFERROR(SUMPRODUCT(($B$2:$B$1001=B396)*($J$2:$J$1001&lt;=J396))/SUMPRODUCT(($B$2:$B$1001=B396)*1),0)</f>
        <v>0.696969696969697</v>
      </c>
      <c r="P396" s="24" t="n">
        <f aca="false">IFERROR(SUMPRODUCT(($B$2:$B$1001=B396)*((0-$F$2:$F$1001)&lt;=(0-F396)))/SUMPRODUCT(($B$2:$B$1001=B396)*1),0)</f>
        <v>1</v>
      </c>
      <c r="Q396" s="25" t="n">
        <f aca="false">(M396*Assumptions!$B$5+N396*Assumptions!$B$6+O396*Assumptions!$B$7+P396*Assumptions!$B$8)*L396</f>
        <v>0.437087542087542</v>
      </c>
      <c r="R396" s="24" t="n">
        <f aca="false">IFERROR(SUMPRODUCT(($B$2:$B$1001=B396)*($Q$2:$Q$1001&lt;=Q396))/SUMPRODUCT(($B$2:$B$1001=B396)*1),0)</f>
        <v>0.498316498316498</v>
      </c>
      <c r="S396" s="24" t="n">
        <f aca="false">IFERROR(SUMPRODUCT(($B$2:$B$1001=B396)*($K$2:$K$1001&lt;=K396))/SUMPRODUCT(($B$2:$B$1001=B396)*1),0)</f>
        <v>0.286195286195286</v>
      </c>
      <c r="T396" s="26" t="n">
        <f aca="false">(R396-S396)*100</f>
        <v>21.2121212121212</v>
      </c>
      <c r="U396" s="21" t="str">
        <f aca="false">'Player Data'!T396</f>
        <v>Yes</v>
      </c>
      <c r="V396" s="27" t="n">
        <f aca="false">'Player Data'!U396</f>
        <v>2028</v>
      </c>
      <c r="W396" s="21" t="str">
        <f aca="false">IF(AND(T396&gt;=Assumptions!$B$19,U396="No"),"High Priority - Unrepresented",IF(T396&gt;=Assumptions!$B$19,"High Priority",IF(AND(T396&gt;=Assumptions!$B$20,U396="No"),"Watchlist - Unrepresented",IF(T396&gt;=Assumptions!$B$20,"Watchlist",""))))</f>
        <v>Watchlist</v>
      </c>
      <c r="X396" s="21" t="str">
        <f aca="false">'Player Data'!V396</f>
        <v>info@kutaisisc.ge</v>
      </c>
      <c r="Y396" s="28" t="str">
        <f aca="false">'Player Data'!W396</f>
        <v>Club youth/academy office ONLY - player is a minor, do not contact directly</v>
      </c>
      <c r="Z396" s="28" t="str">
        <f aca="false">'Player Data'!X396</f>
        <v>GFF (Georgian Football Federation) player registry</v>
      </c>
      <c r="AA396" s="19" t="str">
        <f aca="false">HYPERLINK("https://www.transfermarkt.com/schnellsuche/ergebnis/schnellsuche?query="&amp;SUBSTITUTE(A396," ","+"),"Search Transfermarkt")</f>
        <v>Search Transfermarkt</v>
      </c>
      <c r="AB396" s="29" t="n">
        <f aca="false">IFERROR('Player Data'!K396/('Player Data'!K396+'Player Data'!L396),0)</f>
        <v>0.670658682634731</v>
      </c>
      <c r="AC396" s="21" t="str">
        <f aca="false">IF(B396="GK",IF(AND(O396&gt;=Assumptions!$B$23,N396&gt;=Assumptions!$B$23),"Sweeper-Keeper / Build-from-the-Back",IF(O396&gt;=Assumptions!$B$23,"Sweeper-Keeper / High Line",IF(M396&gt;=Assumptions!$B$23,"Shot-Stopper / Traditional","Flexible / Multi-System"))),IF(AND(O396&gt;=Assumptions!$B$23,P396&gt;=Assumptions!$B$24),"High Press / Gegenpressing",IF(AND(N396&gt;=Assumptions!$B$23,AB396&gt;=Assumptions!$B$25),"Possession / Build-from-the-Back",IF(N396&gt;=Assumptions!$B$23,"Counter-Attack / Transition",IF(AND(O396&gt;=Assumptions!$B$23,N396&lt;Assumptions!$B$26),"Low Block / Park the Bus",IF(AND(B396="FW",M396&gt;=Assumptions!$B$23,N396&lt;Assumptions!$B$26),"Direct / Target Approach","Flexible / Multi-System"))))))</f>
        <v>High Press / Gegenpressing</v>
      </c>
      <c r="AD396" s="21" t="str">
        <f aca="false">'Player Data'!Y396</f>
        <v>2026-07-17</v>
      </c>
      <c r="AE396" s="21" t="str">
        <f aca="false">'Player Data'!Z396</f>
        <v>2026-07-17</v>
      </c>
      <c r="AF396" s="28" t="str">
        <f aca="false">IFERROR(INDEX(Assumptions!$B$30:$B$61,MATCH(C396,Assumptions!$A$30:$A$61,0)),"--")</f>
        <v>Turkey, Poland</v>
      </c>
      <c r="AG396" s="30" t="str">
        <f aca="false">IF(R396&gt;=0.7,"Step-Up Candidate",IF(R396&gt;=0.4,"Lateral Move","Stay &amp; Develop"))</f>
        <v>Lateral Move</v>
      </c>
    </row>
    <row r="397" customFormat="false" ht="23.85" hidden="false" customHeight="false" outlineLevel="0" collapsed="false">
      <c r="A397" s="21" t="str">
        <f aca="false">'Player Data'!A397</f>
        <v>Anderson Martinez</v>
      </c>
      <c r="B397" s="21" t="str">
        <f aca="false">'Player Data'!F397</f>
        <v>DF</v>
      </c>
      <c r="C397" s="21" t="str">
        <f aca="false">'Player Data'!B397</f>
        <v>Venezuela</v>
      </c>
      <c r="D397" s="21" t="str">
        <f aca="false">'Player Data'!C397</f>
        <v>Venezuela Second Division</v>
      </c>
      <c r="E397" s="21" t="n">
        <f aca="false">'Player Data'!D397</f>
        <v>2</v>
      </c>
      <c r="F397" s="21" t="n">
        <f aca="false">'Player Data'!G397</f>
        <v>24</v>
      </c>
      <c r="G397" s="21" t="n">
        <f aca="false">'Player Data'!H397</f>
        <v>1024</v>
      </c>
      <c r="H397" s="22" t="n">
        <f aca="false">IF(B397="GK",IFERROR(('Player Data'!N397-1.5*'Player Data'!O397)/'Player Data'!H397*90,0),IFERROR(('Player Data'!I397+'Player Data'!J397)/'Player Data'!H397*90,0))</f>
        <v>0.263671875</v>
      </c>
      <c r="I397" s="22" t="n">
        <f aca="false">IF(B397="GK",'Player Data'!P397,IFERROR(('Player Data'!K397+'Player Data'!L397)/'Player Data'!H397*90,0))</f>
        <v>7.998046875</v>
      </c>
      <c r="J397" s="22" t="n">
        <f aca="false">IF(B397="GK",IFERROR('Player Data'!Q397/'Player Data'!H397*90,0),IFERROR('Player Data'!M397/'Player Data'!H397*90,0))</f>
        <v>11.162109375</v>
      </c>
      <c r="K397" s="23" t="n">
        <f aca="false">'Player Data'!S397</f>
        <v>0</v>
      </c>
      <c r="L397" s="22" t="n">
        <f aca="false">INDEX(Assumptions!$B$13:$B$15,MATCH(E397,Assumptions!$A$13:$A$15,0))</f>
        <v>1</v>
      </c>
      <c r="M397" s="24" t="n">
        <f aca="false">IFERROR(SUMPRODUCT(($B$2:$B$1001=B397)*($H$2:$H$1001&lt;=H397))/SUMPRODUCT(($B$2:$B$1001=B397)*1),0)</f>
        <v>0.690476190476191</v>
      </c>
      <c r="N397" s="24" t="n">
        <f aca="false">IFERROR(SUMPRODUCT(($B$2:$B$1001=B397)*($I$2:$I$1001&lt;=I397))/SUMPRODUCT(($B$2:$B$1001=B397)*1),0)</f>
        <v>0.894557823129252</v>
      </c>
      <c r="O397" s="24" t="n">
        <f aca="false">IFERROR(SUMPRODUCT(($B$2:$B$1001=B397)*($J$2:$J$1001&lt;=J397))/SUMPRODUCT(($B$2:$B$1001=B397)*1),0)</f>
        <v>0.965986394557823</v>
      </c>
      <c r="P397" s="24" t="n">
        <f aca="false">IFERROR(SUMPRODUCT(($B$2:$B$1001=B397)*((0-$F$2:$F$1001)&lt;=(0-F397)))/SUMPRODUCT(($B$2:$B$1001=B397)*1),0)</f>
        <v>0.275510204081633</v>
      </c>
      <c r="Q397" s="25" t="n">
        <f aca="false">(M397*Assumptions!$B$5+N397*Assumptions!$B$6+O397*Assumptions!$B$7+P397*Assumptions!$B$8)*L397</f>
        <v>0.734013605442177</v>
      </c>
      <c r="R397" s="24" t="n">
        <f aca="false">IFERROR(SUMPRODUCT(($B$2:$B$1001=B397)*($Q$2:$Q$1001&lt;=Q397))/SUMPRODUCT(($B$2:$B$1001=B397)*1),0)</f>
        <v>0.91156462585034</v>
      </c>
      <c r="S397" s="24" t="n">
        <f aca="false">IFERROR(SUMPRODUCT(($B$2:$B$1001=B397)*($K$2:$K$1001&lt;=K397))/SUMPRODUCT(($B$2:$B$1001=B397)*1),0)</f>
        <v>0.248299319727891</v>
      </c>
      <c r="T397" s="26" t="n">
        <f aca="false">(R397-S397)*100</f>
        <v>66.3265306122449</v>
      </c>
      <c r="U397" s="21" t="str">
        <f aca="false">'Player Data'!T397</f>
        <v>No</v>
      </c>
      <c r="V397" s="27" t="n">
        <f aca="false">'Player Data'!U397</f>
        <v>2026</v>
      </c>
      <c r="W397" s="21" t="str">
        <f aca="false">IF(AND(T397&gt;=Assumptions!$B$19,U397="No"),"High Priority - Unrepresented",IF(T397&gt;=Assumptions!$B$19,"High Priority",IF(AND(T397&gt;=Assumptions!$B$20,U397="No"),"Watchlist - Unrepresented",IF(T397&gt;=Assumptions!$B$20,"Watchlist",""))))</f>
        <v>High Priority - Unrepresented</v>
      </c>
      <c r="X397" s="21" t="str">
        <f aca="false">'Player Data'!V397</f>
        <v>info@valenciaunited.ve</v>
      </c>
      <c r="Y397" s="28" t="str">
        <f aca="false">'Player Data'!W397</f>
        <v>Club sporting director / first-team office</v>
      </c>
      <c r="Z397" s="28" t="str">
        <f aca="false">'Player Data'!X397</f>
        <v>FVF (Venezuelan Football Federation) player registry</v>
      </c>
      <c r="AA397" s="19" t="str">
        <f aca="false">HYPERLINK("https://www.transfermarkt.com/schnellsuche/ergebnis/schnellsuche?query="&amp;SUBSTITUTE(A397," ","+"),"Search Transfermarkt")</f>
        <v>Search Transfermarkt</v>
      </c>
      <c r="AB397" s="29" t="n">
        <f aca="false">IFERROR('Player Data'!K397/('Player Data'!K397+'Player Data'!L397),0)</f>
        <v>0.538461538461538</v>
      </c>
      <c r="AC397" s="21" t="str">
        <f aca="false">IF(B397="GK",IF(AND(O397&gt;=Assumptions!$B$23,N397&gt;=Assumptions!$B$23),"Sweeper-Keeper / Build-from-the-Back",IF(O397&gt;=Assumptions!$B$23,"Sweeper-Keeper / High Line",IF(M397&gt;=Assumptions!$B$23,"Shot-Stopper / Traditional","Flexible / Multi-System"))),IF(AND(O397&gt;=Assumptions!$B$23,P397&gt;=Assumptions!$B$24),"High Press / Gegenpressing",IF(AND(N397&gt;=Assumptions!$B$23,AB397&gt;=Assumptions!$B$25),"Possession / Build-from-the-Back",IF(N397&gt;=Assumptions!$B$23,"Counter-Attack / Transition",IF(AND(O397&gt;=Assumptions!$B$23,N397&lt;Assumptions!$B$26),"Low Block / Park the Bus",IF(AND(B397="FW",M397&gt;=Assumptions!$B$23,N397&lt;Assumptions!$B$26),"Direct / Target Approach","Flexible / Multi-System"))))))</f>
        <v>Counter-Attack / Transition</v>
      </c>
      <c r="AD397" s="21" t="str">
        <f aca="false">'Player Data'!Y397</f>
        <v>2026-07-17</v>
      </c>
      <c r="AE397" s="21" t="str">
        <f aca="false">'Player Data'!Z397</f>
        <v>2026-07-17</v>
      </c>
      <c r="AF397" s="28" t="str">
        <f aca="false">IFERROR(INDEX(Assumptions!$B$30:$B$61,MATCH(C397,Assumptions!$A$30:$A$61,0)),"--")</f>
        <v>Argentina, Portugal</v>
      </c>
      <c r="AG397" s="30" t="str">
        <f aca="false">IF(R397&gt;=0.7,"Step-Up Candidate",IF(R397&gt;=0.4,"Lateral Move","Stay &amp; Develop"))</f>
        <v>Step-Up Candidate</v>
      </c>
    </row>
    <row r="398" customFormat="false" ht="23.85" hidden="false" customHeight="false" outlineLevel="0" collapsed="false">
      <c r="A398" s="21" t="str">
        <f aca="false">'Player Data'!A398</f>
        <v>Ardit Duro</v>
      </c>
      <c r="B398" s="21" t="str">
        <f aca="false">'Player Data'!F398</f>
        <v>GK</v>
      </c>
      <c r="C398" s="21" t="str">
        <f aca="false">'Player Data'!B398</f>
        <v>Albania</v>
      </c>
      <c r="D398" s="21" t="str">
        <f aca="false">'Player Data'!C398</f>
        <v>Albania Third Tier - North</v>
      </c>
      <c r="E398" s="21" t="n">
        <f aca="false">'Player Data'!D398</f>
        <v>2</v>
      </c>
      <c r="F398" s="21" t="n">
        <f aca="false">'Player Data'!G398</f>
        <v>23</v>
      </c>
      <c r="G398" s="21" t="n">
        <f aca="false">'Player Data'!H398</f>
        <v>1682</v>
      </c>
      <c r="H398" s="22" t="n">
        <f aca="false">IF(B398="GK",IFERROR(('Player Data'!N398-1.5*'Player Data'!O398)/'Player Data'!H398*90,0),IFERROR(('Player Data'!I398+'Player Data'!J398)/'Player Data'!H398*90,0))</f>
        <v>-0.695600475624257</v>
      </c>
      <c r="I398" s="22" t="n">
        <f aca="false">IF(B398="GK",'Player Data'!P398,IFERROR(('Player Data'!K398+'Player Data'!L398)/'Player Data'!H398*90,0))</f>
        <v>55.4</v>
      </c>
      <c r="J398" s="22" t="n">
        <f aca="false">IF(B398="GK",IFERROR('Player Data'!Q398/'Player Data'!H398*90,0),IFERROR('Player Data'!M398/'Player Data'!H398*90,0))</f>
        <v>1.04340071343639</v>
      </c>
      <c r="K398" s="23" t="n">
        <f aca="false">'Player Data'!S398</f>
        <v>121171</v>
      </c>
      <c r="L398" s="22" t="n">
        <f aca="false">INDEX(Assumptions!$B$13:$B$15,MATCH(E398,Assumptions!$A$13:$A$15,0))</f>
        <v>1</v>
      </c>
      <c r="M398" s="24" t="n">
        <f aca="false">IFERROR(SUMPRODUCT(($B$2:$B$1001=B398)*($H$2:$H$1001&lt;=H398))/SUMPRODUCT(($B$2:$B$1001=B398)*1),0)</f>
        <v>0.0382513661202186</v>
      </c>
      <c r="N398" s="24" t="n">
        <f aca="false">IFERROR(SUMPRODUCT(($B$2:$B$1001=B398)*($I$2:$I$1001&lt;=I398))/SUMPRODUCT(($B$2:$B$1001=B398)*1),0)</f>
        <v>0.0163934426229508</v>
      </c>
      <c r="O398" s="24" t="n">
        <f aca="false">IFERROR(SUMPRODUCT(($B$2:$B$1001=B398)*($J$2:$J$1001&lt;=J398))/SUMPRODUCT(($B$2:$B$1001=B398)*1),0)</f>
        <v>0.622950819672131</v>
      </c>
      <c r="P398" s="24" t="n">
        <f aca="false">IFERROR(SUMPRODUCT(($B$2:$B$1001=B398)*((0-$F$2:$F$1001)&lt;=(0-F398)))/SUMPRODUCT(($B$2:$B$1001=B398)*1),0)</f>
        <v>0.431693989071038</v>
      </c>
      <c r="Q398" s="25" t="n">
        <f aca="false">(M398*Assumptions!$B$5+N398*Assumptions!$B$6+O398*Assumptions!$B$7+P398*Assumptions!$B$8)*L398</f>
        <v>0.226229508196721</v>
      </c>
      <c r="R398" s="24" t="n">
        <f aca="false">IFERROR(SUMPRODUCT(($B$2:$B$1001=B398)*($Q$2:$Q$1001&lt;=Q398))/SUMPRODUCT(($B$2:$B$1001=B398)*1),0)</f>
        <v>0.0382513661202186</v>
      </c>
      <c r="S398" s="24" t="n">
        <f aca="false">IFERROR(SUMPRODUCT(($B$2:$B$1001=B398)*($K$2:$K$1001&lt;=K398))/SUMPRODUCT(($B$2:$B$1001=B398)*1),0)</f>
        <v>0.819672131147541</v>
      </c>
      <c r="T398" s="26" t="n">
        <f aca="false">(R398-S398)*100</f>
        <v>-78.1420765027322</v>
      </c>
      <c r="U398" s="21" t="str">
        <f aca="false">'Player Data'!T398</f>
        <v>Unknown</v>
      </c>
      <c r="V398" s="27" t="n">
        <f aca="false">'Player Data'!U398</f>
        <v>2028</v>
      </c>
      <c r="W398" s="21" t="str">
        <f aca="false">IF(AND(T398&gt;=Assumptions!$B$19,U398="No"),"High Priority - Unrepresented",IF(T398&gt;=Assumptions!$B$19,"High Priority",IF(AND(T398&gt;=Assumptions!$B$20,U398="No"),"Watchlist - Unrepresented",IF(T398&gt;=Assumptions!$B$20,"Watchlist",""))))</f>
        <v/>
      </c>
      <c r="X398" s="21" t="str">
        <f aca="false">'Player Data'!V398</f>
        <v>info@tiranaunited.al</v>
      </c>
      <c r="Y398" s="28" t="str">
        <f aca="false">'Player Data'!W398</f>
        <v>Club sporting director / first-team office</v>
      </c>
      <c r="Z398" s="28" t="str">
        <f aca="false">'Player Data'!X398</f>
        <v>FSHF (Albanian Football Association) player registry</v>
      </c>
      <c r="AA398" s="19" t="str">
        <f aca="false">HYPERLINK("https://www.transfermarkt.com/schnellsuche/ergebnis/schnellsuche?query="&amp;SUBSTITUTE(A398," ","+"),"Search Transfermarkt")</f>
        <v>Search Transfermarkt</v>
      </c>
      <c r="AB398" s="29" t="n">
        <f aca="false">IFERROR('Player Data'!K398/('Player Data'!K398+'Player Data'!L398),0)</f>
        <v>0.826086956521739</v>
      </c>
      <c r="AC398" s="21" t="str">
        <f aca="false">IF(B398="GK",IF(AND(O398&gt;=Assumptions!$B$23,N398&gt;=Assumptions!$B$23),"Sweeper-Keeper / Build-from-the-Back",IF(O398&gt;=Assumptions!$B$23,"Sweeper-Keeper / High Line",IF(M398&gt;=Assumptions!$B$23,"Shot-Stopper / Traditional","Flexible / Multi-System"))),IF(AND(O398&gt;=Assumptions!$B$23,P398&gt;=Assumptions!$B$24),"High Press / Gegenpressing",IF(AND(N398&gt;=Assumptions!$B$23,AB398&gt;=Assumptions!$B$25),"Possession / Build-from-the-Back",IF(N398&gt;=Assumptions!$B$23,"Counter-Attack / Transition",IF(AND(O398&gt;=Assumptions!$B$23,N398&lt;Assumptions!$B$26),"Low Block / Park the Bus",IF(AND(B398="FW",M398&gt;=Assumptions!$B$23,N398&lt;Assumptions!$B$26),"Direct / Target Approach","Flexible / Multi-System"))))))</f>
        <v>Flexible / Multi-System</v>
      </c>
      <c r="AD398" s="21" t="str">
        <f aca="false">'Player Data'!Y398</f>
        <v>2026-07-17</v>
      </c>
      <c r="AE398" s="21" t="str">
        <f aca="false">'Player Data'!Z398</f>
        <v>2026-07-17</v>
      </c>
      <c r="AF398" s="28" t="str">
        <f aca="false">IFERROR(INDEX(Assumptions!$B$30:$B$61,MATCH(C398,Assumptions!$A$30:$A$61,0)),"--")</f>
        <v>Turkey, Poland</v>
      </c>
      <c r="AG398" s="30" t="str">
        <f aca="false">IF(R398&gt;=0.7,"Step-Up Candidate",IF(R398&gt;=0.4,"Lateral Move","Stay &amp; Develop"))</f>
        <v>Stay &amp; Develop</v>
      </c>
    </row>
    <row r="399" customFormat="false" ht="23.85" hidden="false" customHeight="false" outlineLevel="0" collapsed="false">
      <c r="A399" s="21" t="str">
        <f aca="false">'Player Data'!A399</f>
        <v>Souleymane Traore</v>
      </c>
      <c r="B399" s="21" t="str">
        <f aca="false">'Player Data'!F399</f>
        <v>GK</v>
      </c>
      <c r="C399" s="21" t="str">
        <f aca="false">'Player Data'!B399</f>
        <v>Mali</v>
      </c>
      <c r="D399" s="21" t="str">
        <f aca="false">'Player Data'!C399</f>
        <v>Mali Amateur League</v>
      </c>
      <c r="E399" s="21" t="n">
        <f aca="false">'Player Data'!D399</f>
        <v>2</v>
      </c>
      <c r="F399" s="21" t="n">
        <f aca="false">'Player Data'!G399</f>
        <v>18</v>
      </c>
      <c r="G399" s="21" t="n">
        <f aca="false">'Player Data'!H399</f>
        <v>884</v>
      </c>
      <c r="H399" s="22" t="n">
        <f aca="false">IF(B399="GK",IFERROR(('Player Data'!N399-1.5*'Player Data'!O399)/'Player Data'!H399*90,0),IFERROR(('Player Data'!I399+'Player Data'!J399)/'Player Data'!H399*90,0))</f>
        <v>-0.254524886877828</v>
      </c>
      <c r="I399" s="22" t="n">
        <f aca="false">IF(B399="GK",'Player Data'!P399,IFERROR(('Player Data'!K399+'Player Data'!L399)/'Player Data'!H399*90,0))</f>
        <v>83.4</v>
      </c>
      <c r="J399" s="22" t="n">
        <f aca="false">IF(B399="GK",IFERROR('Player Data'!Q399/'Player Data'!H399*90,0),IFERROR('Player Data'!M399/'Player Data'!H399*90,0))</f>
        <v>0.213800904977376</v>
      </c>
      <c r="K399" s="23" t="n">
        <f aca="false">'Player Data'!S399</f>
        <v>77670</v>
      </c>
      <c r="L399" s="22" t="n">
        <f aca="false">INDEX(Assumptions!$B$13:$B$15,MATCH(E399,Assumptions!$A$13:$A$15,0))</f>
        <v>1</v>
      </c>
      <c r="M399" s="24" t="n">
        <f aca="false">IFERROR(SUMPRODUCT(($B$2:$B$1001=B399)*($H$2:$H$1001&lt;=H399))/SUMPRODUCT(($B$2:$B$1001=B399)*1),0)</f>
        <v>0.12568306010929</v>
      </c>
      <c r="N399" s="24" t="n">
        <f aca="false">IFERROR(SUMPRODUCT(($B$2:$B$1001=B399)*($I$2:$I$1001&lt;=I399))/SUMPRODUCT(($B$2:$B$1001=B399)*1),0)</f>
        <v>0.792349726775956</v>
      </c>
      <c r="O399" s="24" t="n">
        <f aca="false">IFERROR(SUMPRODUCT(($B$2:$B$1001=B399)*($J$2:$J$1001&lt;=J399))/SUMPRODUCT(($B$2:$B$1001=B399)*1),0)</f>
        <v>0.0655737704918033</v>
      </c>
      <c r="P399" s="24" t="n">
        <f aca="false">IFERROR(SUMPRODUCT(($B$2:$B$1001=B399)*((0-$F$2:$F$1001)&lt;=(0-F399)))/SUMPRODUCT(($B$2:$B$1001=B399)*1),0)</f>
        <v>0.907103825136612</v>
      </c>
      <c r="Q399" s="25" t="n">
        <f aca="false">(M399*Assumptions!$B$5+N399*Assumptions!$B$6+O399*Assumptions!$B$7+P399*Assumptions!$B$8)*L399</f>
        <v>0.50327868852459</v>
      </c>
      <c r="R399" s="24" t="n">
        <f aca="false">IFERROR(SUMPRODUCT(($B$2:$B$1001=B399)*($Q$2:$Q$1001&lt;=Q399))/SUMPRODUCT(($B$2:$B$1001=B399)*1),0)</f>
        <v>0.639344262295082</v>
      </c>
      <c r="S399" s="24" t="n">
        <f aca="false">IFERROR(SUMPRODUCT(($B$2:$B$1001=B399)*($K$2:$K$1001&lt;=K399))/SUMPRODUCT(($B$2:$B$1001=B399)*1),0)</f>
        <v>0.568306010928962</v>
      </c>
      <c r="T399" s="26" t="n">
        <f aca="false">(R399-S399)*100</f>
        <v>7.10382513661203</v>
      </c>
      <c r="U399" s="21" t="str">
        <f aca="false">'Player Data'!T399</f>
        <v>Yes</v>
      </c>
      <c r="V399" s="27" t="n">
        <f aca="false">'Player Data'!U399</f>
        <v>2027</v>
      </c>
      <c r="W399" s="21" t="str">
        <f aca="false">IF(AND(T399&gt;=Assumptions!$B$19,U399="No"),"High Priority - Unrepresented",IF(T399&gt;=Assumptions!$B$19,"High Priority",IF(AND(T399&gt;=Assumptions!$B$20,U399="No"),"Watchlist - Unrepresented",IF(T399&gt;=Assumptions!$B$20,"Watchlist",""))))</f>
        <v/>
      </c>
      <c r="X399" s="21" t="str">
        <f aca="false">'Player Data'!V399</f>
        <v>info@sikassosc.ml</v>
      </c>
      <c r="Y399" s="28" t="str">
        <f aca="false">'Player Data'!W399</f>
        <v>Go through the player's agent - ask the club to confirm representation first</v>
      </c>
      <c r="Z399" s="28" t="str">
        <f aca="false">'Player Data'!X399</f>
        <v>FEMAFOOT (Malian Football Federation) player registry</v>
      </c>
      <c r="AA399" s="19" t="str">
        <f aca="false">HYPERLINK("https://www.transfermarkt.com/schnellsuche/ergebnis/schnellsuche?query="&amp;SUBSTITUTE(A399," ","+"),"Search Transfermarkt")</f>
        <v>Search Transfermarkt</v>
      </c>
      <c r="AB399" s="29" t="n">
        <f aca="false">IFERROR('Player Data'!K399/('Player Data'!K399+'Player Data'!L399),0)</f>
        <v>0.5</v>
      </c>
      <c r="AC399" s="21" t="str">
        <f aca="false">IF(B399="GK",IF(AND(O399&gt;=Assumptions!$B$23,N399&gt;=Assumptions!$B$23),"Sweeper-Keeper / Build-from-the-Back",IF(O399&gt;=Assumptions!$B$23,"Sweeper-Keeper / High Line",IF(M399&gt;=Assumptions!$B$23,"Shot-Stopper / Traditional","Flexible / Multi-System"))),IF(AND(O399&gt;=Assumptions!$B$23,P399&gt;=Assumptions!$B$24),"High Press / Gegenpressing",IF(AND(N399&gt;=Assumptions!$B$23,AB399&gt;=Assumptions!$B$25),"Possession / Build-from-the-Back",IF(N399&gt;=Assumptions!$B$23,"Counter-Attack / Transition",IF(AND(O399&gt;=Assumptions!$B$23,N399&lt;Assumptions!$B$26),"Low Block / Park the Bus",IF(AND(B399="FW",M399&gt;=Assumptions!$B$23,N399&lt;Assumptions!$B$26),"Direct / Target Approach","Flexible / Multi-System"))))))</f>
        <v>Flexible / Multi-System</v>
      </c>
      <c r="AD399" s="21" t="str">
        <f aca="false">'Player Data'!Y399</f>
        <v>2026-07-17</v>
      </c>
      <c r="AE399" s="21" t="str">
        <f aca="false">'Player Data'!Z399</f>
        <v>2026-07-17</v>
      </c>
      <c r="AF399" s="28" t="str">
        <f aca="false">IFERROR(INDEX(Assumptions!$B$30:$B$61,MATCH(C399,Assumptions!$A$30:$A$61,0)),"--")</f>
        <v>Belgium, Portugal</v>
      </c>
      <c r="AG399" s="30" t="str">
        <f aca="false">IF(R399&gt;=0.7,"Step-Up Candidate",IF(R399&gt;=0.4,"Lateral Move","Stay &amp; Develop"))</f>
        <v>Lateral Move</v>
      </c>
    </row>
    <row r="400" customFormat="false" ht="23.85" hidden="false" customHeight="false" outlineLevel="0" collapsed="false">
      <c r="A400" s="21" t="str">
        <f aca="false">'Player Data'!A400</f>
        <v>Kemar Bailey</v>
      </c>
      <c r="B400" s="21" t="str">
        <f aca="false">'Player Data'!F400</f>
        <v>DF</v>
      </c>
      <c r="C400" s="21" t="str">
        <f aca="false">'Player Data'!B400</f>
        <v>Jamaica</v>
      </c>
      <c r="D400" s="21" t="str">
        <f aca="false">'Player Data'!C400</f>
        <v>Jamaica Second Division</v>
      </c>
      <c r="E400" s="21" t="n">
        <f aca="false">'Player Data'!D400</f>
        <v>3</v>
      </c>
      <c r="F400" s="21" t="n">
        <f aca="false">'Player Data'!G400</f>
        <v>17</v>
      </c>
      <c r="G400" s="21" t="n">
        <f aca="false">'Player Data'!H400</f>
        <v>800</v>
      </c>
      <c r="H400" s="22" t="n">
        <f aca="false">IF(B400="GK",IFERROR(('Player Data'!N400-1.5*'Player Data'!O400)/'Player Data'!H400*90,0),IFERROR(('Player Data'!I400+'Player Data'!J400)/'Player Data'!H400*90,0))</f>
        <v>0.45</v>
      </c>
      <c r="I400" s="22" t="n">
        <f aca="false">IF(B400="GK",'Player Data'!P400,IFERROR(('Player Data'!K400+'Player Data'!L400)/'Player Data'!H400*90,0))</f>
        <v>11.25</v>
      </c>
      <c r="J400" s="22" t="n">
        <f aca="false">IF(B400="GK",IFERROR('Player Data'!Q400/'Player Data'!H400*90,0),IFERROR('Player Data'!M400/'Player Data'!H400*90,0))</f>
        <v>10.2375</v>
      </c>
      <c r="K400" s="23" t="n">
        <f aca="false">'Player Data'!S400</f>
        <v>0</v>
      </c>
      <c r="L400" s="22" t="n">
        <f aca="false">INDEX(Assumptions!$B$13:$B$15,MATCH(E400,Assumptions!$A$13:$A$15,0))</f>
        <v>0.85</v>
      </c>
      <c r="M400" s="24" t="n">
        <f aca="false">IFERROR(SUMPRODUCT(($B$2:$B$1001=B400)*($H$2:$H$1001&lt;=H400))/SUMPRODUCT(($B$2:$B$1001=B400)*1),0)</f>
        <v>0.931972789115646</v>
      </c>
      <c r="N400" s="24" t="n">
        <f aca="false">IFERROR(SUMPRODUCT(($B$2:$B$1001=B400)*($I$2:$I$1001&lt;=I400))/SUMPRODUCT(($B$2:$B$1001=B400)*1),0)</f>
        <v>0.993197278911565</v>
      </c>
      <c r="O400" s="24" t="n">
        <f aca="false">IFERROR(SUMPRODUCT(($B$2:$B$1001=B400)*($J$2:$J$1001&lt;=J400))/SUMPRODUCT(($B$2:$B$1001=B400)*1),0)</f>
        <v>0.938775510204082</v>
      </c>
      <c r="P400" s="24" t="n">
        <f aca="false">IFERROR(SUMPRODUCT(($B$2:$B$1001=B400)*((0-$F$2:$F$1001)&lt;=(0-F400)))/SUMPRODUCT(($B$2:$B$1001=B400)*1),0)</f>
        <v>1</v>
      </c>
      <c r="Q400" s="25" t="n">
        <f aca="false">(M400*Assumptions!$B$5+N400*Assumptions!$B$6+O400*Assumptions!$B$7+P400*Assumptions!$B$8)*L400</f>
        <v>0.823112244897959</v>
      </c>
      <c r="R400" s="24" t="n">
        <f aca="false">IFERROR(SUMPRODUCT(($B$2:$B$1001=B400)*($Q$2:$Q$1001&lt;=Q400))/SUMPRODUCT(($B$2:$B$1001=B400)*1),0)</f>
        <v>0.969387755102041</v>
      </c>
      <c r="S400" s="24" t="n">
        <f aca="false">IFERROR(SUMPRODUCT(($B$2:$B$1001=B400)*($K$2:$K$1001&lt;=K400))/SUMPRODUCT(($B$2:$B$1001=B400)*1),0)</f>
        <v>0.248299319727891</v>
      </c>
      <c r="T400" s="26" t="n">
        <f aca="false">(R400-S400)*100</f>
        <v>72.108843537415</v>
      </c>
      <c r="U400" s="21" t="str">
        <f aca="false">'Player Data'!T400</f>
        <v>Unknown</v>
      </c>
      <c r="V400" s="27" t="n">
        <f aca="false">'Player Data'!U400</f>
        <v>2026</v>
      </c>
      <c r="W400" s="21" t="str">
        <f aca="false">IF(AND(T400&gt;=Assumptions!$B$19,U400="No"),"High Priority - Unrepresented",IF(T400&gt;=Assumptions!$B$19,"High Priority",IF(AND(T400&gt;=Assumptions!$B$20,U400="No"),"Watchlist - Unrepresented",IF(T400&gt;=Assumptions!$B$20,"Watchlist",""))))</f>
        <v>High Priority</v>
      </c>
      <c r="X400" s="21" t="str">
        <f aca="false">'Player Data'!V400</f>
        <v>info@maypenrovers.jm</v>
      </c>
      <c r="Y400" s="28" t="str">
        <f aca="false">'Player Data'!W400</f>
        <v>Club youth/academy office ONLY - player is a minor, do not contact directly</v>
      </c>
      <c r="Z400" s="28" t="str">
        <f aca="false">'Player Data'!X400</f>
        <v>JFF (Jamaica Football Federation) player registry</v>
      </c>
      <c r="AA400" s="19" t="str">
        <f aca="false">HYPERLINK("https://www.transfermarkt.com/schnellsuche/ergebnis/schnellsuche?query="&amp;SUBSTITUTE(A400," ","+"),"Search Transfermarkt")</f>
        <v>Search Transfermarkt</v>
      </c>
      <c r="AB400" s="29" t="n">
        <f aca="false">IFERROR('Player Data'!K400/('Player Data'!K400+'Player Data'!L400),0)</f>
        <v>0.64</v>
      </c>
      <c r="AC400" s="21" t="str">
        <f aca="false">IF(B400="GK",IF(AND(O400&gt;=Assumptions!$B$23,N400&gt;=Assumptions!$B$23),"Sweeper-Keeper / Build-from-the-Back",IF(O400&gt;=Assumptions!$B$23,"Sweeper-Keeper / High Line",IF(M400&gt;=Assumptions!$B$23,"Shot-Stopper / Traditional","Flexible / Multi-System"))),IF(AND(O400&gt;=Assumptions!$B$23,P400&gt;=Assumptions!$B$24),"High Press / Gegenpressing",IF(AND(N400&gt;=Assumptions!$B$23,AB400&gt;=Assumptions!$B$25),"Possession / Build-from-the-Back",IF(N400&gt;=Assumptions!$B$23,"Counter-Attack / Transition",IF(AND(O400&gt;=Assumptions!$B$23,N400&lt;Assumptions!$B$26),"Low Block / Park the Bus",IF(AND(B400="FW",M400&gt;=Assumptions!$B$23,N400&lt;Assumptions!$B$26),"Direct / Target Approach","Flexible / Multi-System"))))))</f>
        <v>High Press / Gegenpressing</v>
      </c>
      <c r="AD400" s="21" t="str">
        <f aca="false">'Player Data'!Y400</f>
        <v>2026-07-17</v>
      </c>
      <c r="AE400" s="21" t="str">
        <f aca="false">'Player Data'!Z400</f>
        <v>2026-07-17</v>
      </c>
      <c r="AF400" s="28" t="str">
        <f aca="false">IFERROR(INDEX(Assumptions!$B$30:$B$61,MATCH(C400,Assumptions!$A$30:$A$61,0)),"--")</f>
        <v>United States, Mexico</v>
      </c>
      <c r="AG400" s="30" t="str">
        <f aca="false">IF(R400&gt;=0.7,"Step-Up Candidate",IF(R400&gt;=0.4,"Lateral Move","Stay &amp; Develop"))</f>
        <v>Step-Up Candidate</v>
      </c>
    </row>
    <row r="401" customFormat="false" ht="23.85" hidden="false" customHeight="false" outlineLevel="0" collapsed="false">
      <c r="A401" s="21" t="str">
        <f aca="false">'Player Data'!A401</f>
        <v>Ousmane Faye</v>
      </c>
      <c r="B401" s="21" t="str">
        <f aca="false">'Player Data'!F401</f>
        <v>FW</v>
      </c>
      <c r="C401" s="21" t="str">
        <f aca="false">'Player Data'!B401</f>
        <v>Senegal</v>
      </c>
      <c r="D401" s="21" t="str">
        <f aca="false">'Player Data'!C401</f>
        <v>Senegal Second Division - East</v>
      </c>
      <c r="E401" s="21" t="n">
        <f aca="false">'Player Data'!D401</f>
        <v>2</v>
      </c>
      <c r="F401" s="21" t="n">
        <f aca="false">'Player Data'!G401</f>
        <v>18</v>
      </c>
      <c r="G401" s="21" t="n">
        <f aca="false">'Player Data'!H401</f>
        <v>1492</v>
      </c>
      <c r="H401" s="22" t="n">
        <f aca="false">IF(B401="GK",IFERROR(('Player Data'!N401-1.5*'Player Data'!O401)/'Player Data'!H401*90,0),IFERROR(('Player Data'!I401+'Player Data'!J401)/'Player Data'!H401*90,0))</f>
        <v>0.603217158176944</v>
      </c>
      <c r="I401" s="22" t="n">
        <f aca="false">IF(B401="GK",'Player Data'!P401,IFERROR(('Player Data'!K401+'Player Data'!L401)/'Player Data'!H401*90,0))</f>
        <v>6.33378016085791</v>
      </c>
      <c r="J401" s="22" t="n">
        <f aca="false">IF(B401="GK",IFERROR('Player Data'!Q401/'Player Data'!H401*90,0),IFERROR('Player Data'!M401/'Player Data'!H401*90,0))</f>
        <v>0.422252010723861</v>
      </c>
      <c r="K401" s="23" t="n">
        <f aca="false">'Player Data'!S401</f>
        <v>144420</v>
      </c>
      <c r="L401" s="22" t="n">
        <f aca="false">INDEX(Assumptions!$B$13:$B$15,MATCH(E401,Assumptions!$A$13:$A$15,0))</f>
        <v>1</v>
      </c>
      <c r="M401" s="24" t="n">
        <f aca="false">IFERROR(SUMPRODUCT(($B$2:$B$1001=B401)*($H$2:$H$1001&lt;=H401))/SUMPRODUCT(($B$2:$B$1001=B401)*1),0)</f>
        <v>0.154867256637168</v>
      </c>
      <c r="N401" s="24" t="n">
        <f aca="false">IFERROR(SUMPRODUCT(($B$2:$B$1001=B401)*($I$2:$I$1001&lt;=I401))/SUMPRODUCT(($B$2:$B$1001=B401)*1),0)</f>
        <v>0.469026548672566</v>
      </c>
      <c r="O401" s="24" t="n">
        <f aca="false">IFERROR(SUMPRODUCT(($B$2:$B$1001=B401)*($J$2:$J$1001&lt;=J401))/SUMPRODUCT(($B$2:$B$1001=B401)*1),0)</f>
        <v>0.367256637168142</v>
      </c>
      <c r="P401" s="24" t="n">
        <f aca="false">IFERROR(SUMPRODUCT(($B$2:$B$1001=B401)*((0-$F$2:$F$1001)&lt;=(0-F401)))/SUMPRODUCT(($B$2:$B$1001=B401)*1),0)</f>
        <v>0.915929203539823</v>
      </c>
      <c r="Q401" s="25" t="n">
        <f aca="false">(M401*Assumptions!$B$5+N401*Assumptions!$B$6+O401*Assumptions!$B$7+P401*Assumptions!$B$8)*L401</f>
        <v>0.459513274336283</v>
      </c>
      <c r="R401" s="24" t="n">
        <f aca="false">IFERROR(SUMPRODUCT(($B$2:$B$1001=B401)*($Q$2:$Q$1001&lt;=Q401))/SUMPRODUCT(($B$2:$B$1001=B401)*1),0)</f>
        <v>0.530973451327434</v>
      </c>
      <c r="S401" s="24" t="n">
        <f aca="false">IFERROR(SUMPRODUCT(($B$2:$B$1001=B401)*($K$2:$K$1001&lt;=K401))/SUMPRODUCT(($B$2:$B$1001=B401)*1),0)</f>
        <v>0.969026548672566</v>
      </c>
      <c r="T401" s="26" t="n">
        <f aca="false">(R401-S401)*100</f>
        <v>-43.8053097345133</v>
      </c>
      <c r="U401" s="21" t="str">
        <f aca="false">'Player Data'!T401</f>
        <v>No</v>
      </c>
      <c r="V401" s="27" t="n">
        <f aca="false">'Player Data'!U401</f>
        <v>2028</v>
      </c>
      <c r="W401" s="21" t="str">
        <f aca="false">IF(AND(T401&gt;=Assumptions!$B$19,U401="No"),"High Priority - Unrepresented",IF(T401&gt;=Assumptions!$B$19,"High Priority",IF(AND(T401&gt;=Assumptions!$B$20,U401="No"),"Watchlist - Unrepresented",IF(T401&gt;=Assumptions!$B$20,"Watchlist",""))))</f>
        <v/>
      </c>
      <c r="X401" s="21" t="str">
        <f aca="false">'Player Data'!V401</f>
        <v>info@ziguinchorcity.sn</v>
      </c>
      <c r="Y401" s="28" t="str">
        <f aca="false">'Player Data'!W401</f>
        <v>Club sporting director / first-team office</v>
      </c>
      <c r="Z401" s="28" t="str">
        <f aca="false">'Player Data'!X401</f>
        <v>FSF (Senegalese Football Federation) player registry</v>
      </c>
      <c r="AA401" s="19" t="str">
        <f aca="false">HYPERLINK("https://www.transfermarkt.com/schnellsuche/ergebnis/schnellsuche?query="&amp;SUBSTITUTE(A401," ","+"),"Search Transfermarkt")</f>
        <v>Search Transfermarkt</v>
      </c>
      <c r="AB401" s="29" t="n">
        <f aca="false">IFERROR('Player Data'!K401/('Player Data'!K401+'Player Data'!L401),0)</f>
        <v>0.304761904761905</v>
      </c>
      <c r="AC401" s="21" t="str">
        <f aca="false">IF(B401="GK",IF(AND(O401&gt;=Assumptions!$B$23,N401&gt;=Assumptions!$B$23),"Sweeper-Keeper / Build-from-the-Back",IF(O401&gt;=Assumptions!$B$23,"Sweeper-Keeper / High Line",IF(M401&gt;=Assumptions!$B$23,"Shot-Stopper / Traditional","Flexible / Multi-System"))),IF(AND(O401&gt;=Assumptions!$B$23,P401&gt;=Assumptions!$B$24),"High Press / Gegenpressing",IF(AND(N401&gt;=Assumptions!$B$23,AB401&gt;=Assumptions!$B$25),"Possession / Build-from-the-Back",IF(N401&gt;=Assumptions!$B$23,"Counter-Attack / Transition",IF(AND(O401&gt;=Assumptions!$B$23,N401&lt;Assumptions!$B$26),"Low Block / Park the Bus",IF(AND(B401="FW",M401&gt;=Assumptions!$B$23,N401&lt;Assumptions!$B$26),"Direct / Target Approach","Flexible / Multi-System"))))))</f>
        <v>Flexible / Multi-System</v>
      </c>
      <c r="AD401" s="21" t="str">
        <f aca="false">'Player Data'!Y401</f>
        <v>2026-07-17</v>
      </c>
      <c r="AE401" s="21" t="str">
        <f aca="false">'Player Data'!Z401</f>
        <v>2026-07-17</v>
      </c>
      <c r="AF401" s="28" t="str">
        <f aca="false">IFERROR(INDEX(Assumptions!$B$30:$B$61,MATCH(C401,Assumptions!$A$30:$A$61,0)),"--")</f>
        <v>Belgium, Portugal</v>
      </c>
      <c r="AG401" s="30" t="str">
        <f aca="false">IF(R401&gt;=0.7,"Step-Up Candidate",IF(R401&gt;=0.4,"Lateral Move","Stay &amp; Develop"))</f>
        <v>Lateral Move</v>
      </c>
    </row>
    <row r="402" customFormat="false" ht="23.85" hidden="false" customHeight="false" outlineLevel="0" collapsed="false">
      <c r="A402" s="21" t="str">
        <f aca="false">'Player Data'!A402</f>
        <v>Ousmane Diop</v>
      </c>
      <c r="B402" s="21" t="str">
        <f aca="false">'Player Data'!F402</f>
        <v>GK</v>
      </c>
      <c r="C402" s="21" t="str">
        <f aca="false">'Player Data'!B402</f>
        <v>Senegal</v>
      </c>
      <c r="D402" s="21" t="str">
        <f aca="false">'Player Data'!C402</f>
        <v>Senegal Second Division</v>
      </c>
      <c r="E402" s="21" t="n">
        <f aca="false">'Player Data'!D402</f>
        <v>2</v>
      </c>
      <c r="F402" s="21" t="n">
        <f aca="false">'Player Data'!G402</f>
        <v>19</v>
      </c>
      <c r="G402" s="21" t="n">
        <f aca="false">'Player Data'!H402</f>
        <v>2057</v>
      </c>
      <c r="H402" s="22" t="n">
        <f aca="false">IF(B402="GK",IFERROR(('Player Data'!N402-1.5*'Player Data'!O402)/'Player Data'!H402*90,0),IFERROR(('Player Data'!I402+'Player Data'!J402)/'Player Data'!H402*90,0))</f>
        <v>1.88138065143413</v>
      </c>
      <c r="I402" s="22" t="n">
        <f aca="false">IF(B402="GK",'Player Data'!P402,IFERROR(('Player Data'!K402+'Player Data'!L402)/'Player Data'!H402*90,0))</f>
        <v>62.1</v>
      </c>
      <c r="J402" s="22" t="n">
        <f aca="false">IF(B402="GK",IFERROR('Player Data'!Q402/'Player Data'!H402*90,0),IFERROR('Player Data'!M402/'Player Data'!H402*90,0))</f>
        <v>1.13320369470102</v>
      </c>
      <c r="K402" s="23" t="n">
        <f aca="false">'Player Data'!S402</f>
        <v>61860</v>
      </c>
      <c r="L402" s="22" t="n">
        <f aca="false">INDEX(Assumptions!$B$13:$B$15,MATCH(E402,Assumptions!$A$13:$A$15,0))</f>
        <v>1</v>
      </c>
      <c r="M402" s="24" t="n">
        <f aca="false">IFERROR(SUMPRODUCT(($B$2:$B$1001=B402)*($H$2:$H$1001&lt;=H402))/SUMPRODUCT(($B$2:$B$1001=B402)*1),0)</f>
        <v>0.852459016393443</v>
      </c>
      <c r="N402" s="24" t="n">
        <f aca="false">IFERROR(SUMPRODUCT(($B$2:$B$1001=B402)*($I$2:$I$1001&lt;=I402))/SUMPRODUCT(($B$2:$B$1001=B402)*1),0)</f>
        <v>0.213114754098361</v>
      </c>
      <c r="O402" s="24" t="n">
        <f aca="false">IFERROR(SUMPRODUCT(($B$2:$B$1001=B402)*($J$2:$J$1001&lt;=J402))/SUMPRODUCT(($B$2:$B$1001=B402)*1),0)</f>
        <v>0.704918032786885</v>
      </c>
      <c r="P402" s="24" t="n">
        <f aca="false">IFERROR(SUMPRODUCT(($B$2:$B$1001=B402)*((0-$F$2:$F$1001)&lt;=(0-F402)))/SUMPRODUCT(($B$2:$B$1001=B402)*1),0)</f>
        <v>0.770491803278689</v>
      </c>
      <c r="Q402" s="25" t="n">
        <f aca="false">(M402*Assumptions!$B$5+N402*Assumptions!$B$6+O402*Assumptions!$B$7+P402*Assumptions!$B$8)*L402</f>
        <v>0.582786885245902</v>
      </c>
      <c r="R402" s="24" t="n">
        <f aca="false">IFERROR(SUMPRODUCT(($B$2:$B$1001=B402)*($Q$2:$Q$1001&lt;=Q402))/SUMPRODUCT(($B$2:$B$1001=B402)*1),0)</f>
        <v>0.819672131147541</v>
      </c>
      <c r="S402" s="24" t="n">
        <f aca="false">IFERROR(SUMPRODUCT(($B$2:$B$1001=B402)*($K$2:$K$1001&lt;=K402))/SUMPRODUCT(($B$2:$B$1001=B402)*1),0)</f>
        <v>0.469945355191257</v>
      </c>
      <c r="T402" s="26" t="n">
        <f aca="false">(R402-S402)*100</f>
        <v>34.9726775956284</v>
      </c>
      <c r="U402" s="21" t="str">
        <f aca="false">'Player Data'!T402</f>
        <v>Yes</v>
      </c>
      <c r="V402" s="27" t="n">
        <f aca="false">'Player Data'!U402</f>
        <v>2027</v>
      </c>
      <c r="W402" s="21" t="str">
        <f aca="false">IF(AND(T402&gt;=Assumptions!$B$19,U402="No"),"High Priority - Unrepresented",IF(T402&gt;=Assumptions!$B$19,"High Priority",IF(AND(T402&gt;=Assumptions!$B$20,U402="No"),"Watchlist - Unrepresented",IF(T402&gt;=Assumptions!$B$20,"Watchlist",""))))</f>
        <v>Watchlist</v>
      </c>
      <c r="X402" s="21" t="str">
        <f aca="false">'Player Data'!V402</f>
        <v>info@thiessc.sn</v>
      </c>
      <c r="Y402" s="28" t="str">
        <f aca="false">'Player Data'!W402</f>
        <v>Go through the player's agent - ask the club to confirm representation first</v>
      </c>
      <c r="Z402" s="28" t="str">
        <f aca="false">'Player Data'!X402</f>
        <v>FSF (Senegalese Football Federation) player registry</v>
      </c>
      <c r="AA402" s="19" t="str">
        <f aca="false">HYPERLINK("https://www.transfermarkt.com/schnellsuche/ergebnis/schnellsuche?query="&amp;SUBSTITUTE(A402," ","+"),"Search Transfermarkt")</f>
        <v>Search Transfermarkt</v>
      </c>
      <c r="AB402" s="29" t="n">
        <f aca="false">IFERROR('Player Data'!K402/('Player Data'!K402+'Player Data'!L402),0)</f>
        <v>0.727272727272727</v>
      </c>
      <c r="AC402" s="21" t="str">
        <f aca="false">IF(B402="GK",IF(AND(O402&gt;=Assumptions!$B$23,N402&gt;=Assumptions!$B$23),"Sweeper-Keeper / Build-from-the-Back",IF(O402&gt;=Assumptions!$B$23,"Sweeper-Keeper / High Line",IF(M402&gt;=Assumptions!$B$23,"Shot-Stopper / Traditional","Flexible / Multi-System"))),IF(AND(O402&gt;=Assumptions!$B$23,P402&gt;=Assumptions!$B$24),"High Press / Gegenpressing",IF(AND(N402&gt;=Assumptions!$B$23,AB402&gt;=Assumptions!$B$25),"Possession / Build-from-the-Back",IF(N402&gt;=Assumptions!$B$23,"Counter-Attack / Transition",IF(AND(O402&gt;=Assumptions!$B$23,N402&lt;Assumptions!$B$26),"Low Block / Park the Bus",IF(AND(B402="FW",M402&gt;=Assumptions!$B$23,N402&lt;Assumptions!$B$26),"Direct / Target Approach","Flexible / Multi-System"))))))</f>
        <v>Sweeper-Keeper / High Line</v>
      </c>
      <c r="AD402" s="21" t="str">
        <f aca="false">'Player Data'!Y402</f>
        <v>2026-07-17</v>
      </c>
      <c r="AE402" s="21" t="str">
        <f aca="false">'Player Data'!Z402</f>
        <v>2026-07-17</v>
      </c>
      <c r="AF402" s="28" t="str">
        <f aca="false">IFERROR(INDEX(Assumptions!$B$30:$B$61,MATCH(C402,Assumptions!$A$30:$A$61,0)),"--")</f>
        <v>Belgium, Portugal</v>
      </c>
      <c r="AG402" s="30" t="str">
        <f aca="false">IF(R402&gt;=0.7,"Step-Up Candidate",IF(R402&gt;=0.4,"Lateral Move","Stay &amp; Develop"))</f>
        <v>Step-Up Candidate</v>
      </c>
    </row>
    <row r="403" customFormat="false" ht="23.85" hidden="false" customHeight="false" outlineLevel="0" collapsed="false">
      <c r="A403" s="21" t="str">
        <f aca="false">'Player Data'!A403</f>
        <v>Filip Ristovski</v>
      </c>
      <c r="B403" s="21" t="str">
        <f aca="false">'Player Data'!F403</f>
        <v>GK</v>
      </c>
      <c r="C403" s="21" t="str">
        <f aca="false">'Player Data'!B403</f>
        <v>North Macedonia</v>
      </c>
      <c r="D403" s="21" t="str">
        <f aca="false">'Player Data'!C403</f>
        <v>North Macedonia Third Tier - South</v>
      </c>
      <c r="E403" s="21" t="n">
        <f aca="false">'Player Data'!D403</f>
        <v>3</v>
      </c>
      <c r="F403" s="21" t="n">
        <f aca="false">'Player Data'!G403</f>
        <v>25</v>
      </c>
      <c r="G403" s="21" t="n">
        <f aca="false">'Player Data'!H403</f>
        <v>2039</v>
      </c>
      <c r="H403" s="22" t="n">
        <f aca="false">IF(B403="GK",IFERROR(('Player Data'!N403-1.5*'Player Data'!O403)/'Player Data'!H403*90,0),IFERROR(('Player Data'!I403+'Player Data'!J403)/'Player Data'!H403*90,0))</f>
        <v>-0.176557135850907</v>
      </c>
      <c r="I403" s="22" t="n">
        <f aca="false">IF(B403="GK",'Player Data'!P403,IFERROR(('Player Data'!K403+'Player Data'!L403)/'Player Data'!H403*90,0))</f>
        <v>79.6</v>
      </c>
      <c r="J403" s="22" t="n">
        <f aca="false">IF(B403="GK",IFERROR('Player Data'!Q403/'Player Data'!H403*90,0),IFERROR('Player Data'!M403/'Player Data'!H403*90,0))</f>
        <v>0.710642471799902</v>
      </c>
      <c r="K403" s="23" t="n">
        <f aca="false">'Player Data'!S403</f>
        <v>23172</v>
      </c>
      <c r="L403" s="22" t="n">
        <f aca="false">INDEX(Assumptions!$B$13:$B$15,MATCH(E403,Assumptions!$A$13:$A$15,0))</f>
        <v>0.85</v>
      </c>
      <c r="M403" s="24" t="n">
        <f aca="false">IFERROR(SUMPRODUCT(($B$2:$B$1001=B403)*($H$2:$H$1001&lt;=H403))/SUMPRODUCT(($B$2:$B$1001=B403)*1),0)</f>
        <v>0.136612021857924</v>
      </c>
      <c r="N403" s="24" t="n">
        <f aca="false">IFERROR(SUMPRODUCT(($B$2:$B$1001=B403)*($I$2:$I$1001&lt;=I403))/SUMPRODUCT(($B$2:$B$1001=B403)*1),0)</f>
        <v>0.650273224043716</v>
      </c>
      <c r="O403" s="24" t="n">
        <f aca="false">IFERROR(SUMPRODUCT(($B$2:$B$1001=B403)*($J$2:$J$1001&lt;=J403))/SUMPRODUCT(($B$2:$B$1001=B403)*1),0)</f>
        <v>0.387978142076503</v>
      </c>
      <c r="P403" s="24" t="n">
        <f aca="false">IFERROR(SUMPRODUCT(($B$2:$B$1001=B403)*((0-$F$2:$F$1001)&lt;=(0-F403)))/SUMPRODUCT(($B$2:$B$1001=B403)*1),0)</f>
        <v>0.240437158469945</v>
      </c>
      <c r="Q403" s="25" t="n">
        <f aca="false">(M403*Assumptions!$B$5+N403*Assumptions!$B$6+O403*Assumptions!$B$7+P403*Assumptions!$B$8)*L403</f>
        <v>0.32931693989071</v>
      </c>
      <c r="R403" s="24" t="n">
        <f aca="false">IFERROR(SUMPRODUCT(($B$2:$B$1001=B403)*($Q$2:$Q$1001&lt;=Q403))/SUMPRODUCT(($B$2:$B$1001=B403)*1),0)</f>
        <v>0.191256830601093</v>
      </c>
      <c r="S403" s="24" t="n">
        <f aca="false">IFERROR(SUMPRODUCT(($B$2:$B$1001=B403)*($K$2:$K$1001&lt;=K403))/SUMPRODUCT(($B$2:$B$1001=B403)*1),0)</f>
        <v>0.295081967213115</v>
      </c>
      <c r="T403" s="26" t="n">
        <f aca="false">(R403-S403)*100</f>
        <v>-10.3825136612022</v>
      </c>
      <c r="U403" s="21" t="str">
        <f aca="false">'Player Data'!T403</f>
        <v>Unknown</v>
      </c>
      <c r="V403" s="27" t="n">
        <f aca="false">'Player Data'!U403</f>
        <v>2026</v>
      </c>
      <c r="W403" s="21" t="str">
        <f aca="false">IF(AND(T403&gt;=Assumptions!$B$19,U403="No"),"High Priority - Unrepresented",IF(T403&gt;=Assumptions!$B$19,"High Priority",IF(AND(T403&gt;=Assumptions!$B$20,U403="No"),"Watchlist - Unrepresented",IF(T403&gt;=Assumptions!$B$20,"Watchlist",""))))</f>
        <v/>
      </c>
      <c r="X403" s="21" t="str">
        <f aca="false">'Player Data'!V403</f>
        <v>info@stiprovers.mk</v>
      </c>
      <c r="Y403" s="28" t="str">
        <f aca="false">'Player Data'!W403</f>
        <v>Club sporting director / first-team office</v>
      </c>
      <c r="Z403" s="28" t="str">
        <f aca="false">'Player Data'!X403</f>
        <v>FFM (Football Federation of North Macedonia) player registry</v>
      </c>
      <c r="AA403" s="19" t="str">
        <f aca="false">HYPERLINK("https://www.transfermarkt.com/schnellsuche/ergebnis/schnellsuche?query="&amp;SUBSTITUTE(A403," ","+"),"Search Transfermarkt")</f>
        <v>Search Transfermarkt</v>
      </c>
      <c r="AB403" s="29" t="n">
        <f aca="false">IFERROR('Player Data'!K403/('Player Data'!K403+'Player Data'!L403),0)</f>
        <v>0.615384615384615</v>
      </c>
      <c r="AC403" s="21" t="str">
        <f aca="false">IF(B403="GK",IF(AND(O403&gt;=Assumptions!$B$23,N403&gt;=Assumptions!$B$23),"Sweeper-Keeper / Build-from-the-Back",IF(O403&gt;=Assumptions!$B$23,"Sweeper-Keeper / High Line",IF(M403&gt;=Assumptions!$B$23,"Shot-Stopper / Traditional","Flexible / Multi-System"))),IF(AND(O403&gt;=Assumptions!$B$23,P403&gt;=Assumptions!$B$24),"High Press / Gegenpressing",IF(AND(N403&gt;=Assumptions!$B$23,AB403&gt;=Assumptions!$B$25),"Possession / Build-from-the-Back",IF(N403&gt;=Assumptions!$B$23,"Counter-Attack / Transition",IF(AND(O403&gt;=Assumptions!$B$23,N403&lt;Assumptions!$B$26),"Low Block / Park the Bus",IF(AND(B403="FW",M403&gt;=Assumptions!$B$23,N403&lt;Assumptions!$B$26),"Direct / Target Approach","Flexible / Multi-System"))))))</f>
        <v>Flexible / Multi-System</v>
      </c>
      <c r="AD403" s="21" t="str">
        <f aca="false">'Player Data'!Y403</f>
        <v>2026-07-17</v>
      </c>
      <c r="AE403" s="21" t="str">
        <f aca="false">'Player Data'!Z403</f>
        <v>2026-07-17</v>
      </c>
      <c r="AF403" s="28" t="str">
        <f aca="false">IFERROR(INDEX(Assumptions!$B$30:$B$61,MATCH(C403,Assumptions!$A$30:$A$61,0)),"--")</f>
        <v>Austria, Turkey</v>
      </c>
      <c r="AG403" s="30" t="str">
        <f aca="false">IF(R403&gt;=0.7,"Step-Up Candidate",IF(R403&gt;=0.4,"Lateral Move","Stay &amp; Develop"))</f>
        <v>Stay &amp; Develop</v>
      </c>
    </row>
    <row r="404" customFormat="false" ht="23.85" hidden="false" customHeight="false" outlineLevel="0" collapsed="false">
      <c r="A404" s="21" t="str">
        <f aca="false">'Player Data'!A404</f>
        <v>Irakli Lomidze</v>
      </c>
      <c r="B404" s="21" t="str">
        <f aca="false">'Player Data'!F404</f>
        <v>DF</v>
      </c>
      <c r="C404" s="21" t="str">
        <f aca="false">'Player Data'!B404</f>
        <v>Georgia</v>
      </c>
      <c r="D404" s="21" t="str">
        <f aca="false">'Player Data'!C404</f>
        <v>Georgia Second Division</v>
      </c>
      <c r="E404" s="21" t="n">
        <f aca="false">'Player Data'!D404</f>
        <v>3</v>
      </c>
      <c r="F404" s="21" t="n">
        <f aca="false">'Player Data'!G404</f>
        <v>18</v>
      </c>
      <c r="G404" s="21" t="n">
        <f aca="false">'Player Data'!H404</f>
        <v>1121</v>
      </c>
      <c r="H404" s="22" t="n">
        <f aca="false">IF(B404="GK",IFERROR(('Player Data'!N404-1.5*'Player Data'!O404)/'Player Data'!H404*90,0),IFERROR(('Player Data'!I404+'Player Data'!J404)/'Player Data'!H404*90,0))</f>
        <v>0.16057091882248</v>
      </c>
      <c r="I404" s="22" t="n">
        <f aca="false">IF(B404="GK",'Player Data'!P404,IFERROR(('Player Data'!K404+'Player Data'!L404)/'Player Data'!H404*90,0))</f>
        <v>7.38626226583408</v>
      </c>
      <c r="J404" s="22" t="n">
        <f aca="false">IF(B404="GK",IFERROR('Player Data'!Q404/'Player Data'!H404*90,0),IFERROR('Player Data'!M404/'Player Data'!H404*90,0))</f>
        <v>7.14540588760036</v>
      </c>
      <c r="K404" s="23" t="n">
        <f aca="false">'Player Data'!S404</f>
        <v>127385</v>
      </c>
      <c r="L404" s="22" t="n">
        <f aca="false">INDEX(Assumptions!$B$13:$B$15,MATCH(E404,Assumptions!$A$13:$A$15,0))</f>
        <v>0.85</v>
      </c>
      <c r="M404" s="24" t="n">
        <f aca="false">IFERROR(SUMPRODUCT(($B$2:$B$1001=B404)*($H$2:$H$1001&lt;=H404))/SUMPRODUCT(($B$2:$B$1001=B404)*1),0)</f>
        <v>0.391156462585034</v>
      </c>
      <c r="N404" s="24" t="n">
        <f aca="false">IFERROR(SUMPRODUCT(($B$2:$B$1001=B404)*($I$2:$I$1001&lt;=I404))/SUMPRODUCT(($B$2:$B$1001=B404)*1),0)</f>
        <v>0.853741496598639</v>
      </c>
      <c r="O404" s="24" t="n">
        <f aca="false">IFERROR(SUMPRODUCT(($B$2:$B$1001=B404)*($J$2:$J$1001&lt;=J404))/SUMPRODUCT(($B$2:$B$1001=B404)*1),0)</f>
        <v>0.761904761904762</v>
      </c>
      <c r="P404" s="24" t="n">
        <f aca="false">IFERROR(SUMPRODUCT(($B$2:$B$1001=B404)*((0-$F$2:$F$1001)&lt;=(0-F404)))/SUMPRODUCT(($B$2:$B$1001=B404)*1),0)</f>
        <v>0.863945578231293</v>
      </c>
      <c r="Q404" s="25" t="n">
        <f aca="false">(M404*Assumptions!$B$5+N404*Assumptions!$B$6+O404*Assumptions!$B$7+P404*Assumptions!$B$8)*L404</f>
        <v>0.613503401360544</v>
      </c>
      <c r="R404" s="24" t="n">
        <f aca="false">IFERROR(SUMPRODUCT(($B$2:$B$1001=B404)*($Q$2:$Q$1001&lt;=Q404))/SUMPRODUCT(($B$2:$B$1001=B404)*1),0)</f>
        <v>0.789115646258503</v>
      </c>
      <c r="S404" s="24" t="n">
        <f aca="false">IFERROR(SUMPRODUCT(($B$2:$B$1001=B404)*($K$2:$K$1001&lt;=K404))/SUMPRODUCT(($B$2:$B$1001=B404)*1),0)</f>
        <v>0.897959183673469</v>
      </c>
      <c r="T404" s="26" t="n">
        <f aca="false">(R404-S404)*100</f>
        <v>-10.8843537414966</v>
      </c>
      <c r="U404" s="21" t="str">
        <f aca="false">'Player Data'!T404</f>
        <v>Yes</v>
      </c>
      <c r="V404" s="27" t="n">
        <f aca="false">'Player Data'!U404</f>
        <v>2028</v>
      </c>
      <c r="W404" s="21" t="str">
        <f aca="false">IF(AND(T404&gt;=Assumptions!$B$19,U404="No"),"High Priority - Unrepresented",IF(T404&gt;=Assumptions!$B$19,"High Priority",IF(AND(T404&gt;=Assumptions!$B$20,U404="No"),"Watchlist - Unrepresented",IF(T404&gt;=Assumptions!$B$20,"Watchlist",""))))</f>
        <v/>
      </c>
      <c r="X404" s="21" t="str">
        <f aca="false">'Player Data'!V404</f>
        <v>info@rustavitown.ge</v>
      </c>
      <c r="Y404" s="28" t="str">
        <f aca="false">'Player Data'!W404</f>
        <v>Go through the player's agent - ask the club to confirm representation first</v>
      </c>
      <c r="Z404" s="28" t="str">
        <f aca="false">'Player Data'!X404</f>
        <v>GFF (Georgian Football Federation) player registry</v>
      </c>
      <c r="AA404" s="19" t="str">
        <f aca="false">HYPERLINK("https://www.transfermarkt.com/schnellsuche/ergebnis/schnellsuche?query="&amp;SUBSTITUTE(A404," ","+"),"Search Transfermarkt")</f>
        <v>Search Transfermarkt</v>
      </c>
      <c r="AB404" s="29" t="n">
        <f aca="false">IFERROR('Player Data'!K404/('Player Data'!K404+'Player Data'!L404),0)</f>
        <v>0.608695652173913</v>
      </c>
      <c r="AC404" s="21" t="str">
        <f aca="false">IF(B404="GK",IF(AND(O404&gt;=Assumptions!$B$23,N404&gt;=Assumptions!$B$23),"Sweeper-Keeper / Build-from-the-Back",IF(O404&gt;=Assumptions!$B$23,"Sweeper-Keeper / High Line",IF(M404&gt;=Assumptions!$B$23,"Shot-Stopper / Traditional","Flexible / Multi-System"))),IF(AND(O404&gt;=Assumptions!$B$23,P404&gt;=Assumptions!$B$24),"High Press / Gegenpressing",IF(AND(N404&gt;=Assumptions!$B$23,AB404&gt;=Assumptions!$B$25),"Possession / Build-from-the-Back",IF(N404&gt;=Assumptions!$B$23,"Counter-Attack / Transition",IF(AND(O404&gt;=Assumptions!$B$23,N404&lt;Assumptions!$B$26),"Low Block / Park the Bus",IF(AND(B404="FW",M404&gt;=Assumptions!$B$23,N404&lt;Assumptions!$B$26),"Direct / Target Approach","Flexible / Multi-System"))))))</f>
        <v>High Press / Gegenpressing</v>
      </c>
      <c r="AD404" s="21" t="str">
        <f aca="false">'Player Data'!Y404</f>
        <v>2026-07-17</v>
      </c>
      <c r="AE404" s="21" t="str">
        <f aca="false">'Player Data'!Z404</f>
        <v>2026-07-17</v>
      </c>
      <c r="AF404" s="28" t="str">
        <f aca="false">IFERROR(INDEX(Assumptions!$B$30:$B$61,MATCH(C404,Assumptions!$A$30:$A$61,0)),"--")</f>
        <v>Turkey, Poland</v>
      </c>
      <c r="AG404" s="30" t="str">
        <f aca="false">IF(R404&gt;=0.7,"Step-Up Candidate",IF(R404&gt;=0.4,"Lateral Move","Stay &amp; Develop"))</f>
        <v>Step-Up Candidate</v>
      </c>
    </row>
    <row r="405" customFormat="false" ht="23.85" hidden="false" customHeight="false" outlineLevel="0" collapsed="false">
      <c r="A405" s="21" t="str">
        <f aca="false">'Player Data'!A405</f>
        <v>Sardor Karimov</v>
      </c>
      <c r="B405" s="21" t="str">
        <f aca="false">'Player Data'!F405</f>
        <v>FW</v>
      </c>
      <c r="C405" s="21" t="str">
        <f aca="false">'Player Data'!B405</f>
        <v>Uzbekistan</v>
      </c>
      <c r="D405" s="21" t="str">
        <f aca="false">'Player Data'!C405</f>
        <v>Uzbekistan Third Tier - South</v>
      </c>
      <c r="E405" s="21" t="n">
        <f aca="false">'Player Data'!D405</f>
        <v>4</v>
      </c>
      <c r="F405" s="21" t="n">
        <f aca="false">'Player Data'!G405</f>
        <v>22</v>
      </c>
      <c r="G405" s="21" t="n">
        <f aca="false">'Player Data'!H405</f>
        <v>2663</v>
      </c>
      <c r="H405" s="22" t="n">
        <f aca="false">IF(B405="GK",IFERROR(('Player Data'!N405-1.5*'Player Data'!O405)/'Player Data'!H405*90,0),IFERROR(('Player Data'!I405+'Player Data'!J405)/'Player Data'!H405*90,0))</f>
        <v>0.574539992489673</v>
      </c>
      <c r="I405" s="22" t="n">
        <f aca="false">IF(B405="GK",'Player Data'!P405,IFERROR(('Player Data'!K405+'Player Data'!L405)/'Player Data'!H405*90,0))</f>
        <v>4.32594817874578</v>
      </c>
      <c r="J405" s="22" t="n">
        <f aca="false">IF(B405="GK",IFERROR('Player Data'!Q405/'Player Data'!H405*90,0),IFERROR('Player Data'!M405/'Player Data'!H405*90,0))</f>
        <v>0.168982350732257</v>
      </c>
      <c r="K405" s="23" t="n">
        <f aca="false">'Player Data'!S405</f>
        <v>25906</v>
      </c>
      <c r="L405" s="22" t="n">
        <f aca="false">INDEX(Assumptions!$B$13:$B$15,MATCH(E405,Assumptions!$A$13:$A$15,0))</f>
        <v>0.7</v>
      </c>
      <c r="M405" s="24" t="n">
        <f aca="false">IFERROR(SUMPRODUCT(($B$2:$B$1001=B405)*($H$2:$H$1001&lt;=H405))/SUMPRODUCT(($B$2:$B$1001=B405)*1),0)</f>
        <v>0.141592920353982</v>
      </c>
      <c r="N405" s="24" t="n">
        <f aca="false">IFERROR(SUMPRODUCT(($B$2:$B$1001=B405)*($I$2:$I$1001&lt;=I405))/SUMPRODUCT(($B$2:$B$1001=B405)*1),0)</f>
        <v>0.0884955752212389</v>
      </c>
      <c r="O405" s="24" t="n">
        <f aca="false">IFERROR(SUMPRODUCT(($B$2:$B$1001=B405)*($J$2:$J$1001&lt;=J405))/SUMPRODUCT(($B$2:$B$1001=B405)*1),0)</f>
        <v>0.0132743362831858</v>
      </c>
      <c r="P405" s="24" t="n">
        <f aca="false">IFERROR(SUMPRODUCT(($B$2:$B$1001=B405)*((0-$F$2:$F$1001)&lt;=(0-F405)))/SUMPRODUCT(($B$2:$B$1001=B405)*1),0)</f>
        <v>0.504424778761062</v>
      </c>
      <c r="Q405" s="25" t="n">
        <f aca="false">(M405*Assumptions!$B$5+N405*Assumptions!$B$6+O405*Assumptions!$B$7+P405*Assumptions!$B$8)*L405</f>
        <v>0.118938053097345</v>
      </c>
      <c r="R405" s="24" t="n">
        <f aca="false">IFERROR(SUMPRODUCT(($B$2:$B$1001=B405)*($Q$2:$Q$1001&lt;=Q405))/SUMPRODUCT(($B$2:$B$1001=B405)*1),0)</f>
        <v>0.0176991150442478</v>
      </c>
      <c r="S405" s="24" t="n">
        <f aca="false">IFERROR(SUMPRODUCT(($B$2:$B$1001=B405)*($K$2:$K$1001&lt;=K405))/SUMPRODUCT(($B$2:$B$1001=B405)*1),0)</f>
        <v>0.349557522123894</v>
      </c>
      <c r="T405" s="26" t="n">
        <f aca="false">(R405-S405)*100</f>
        <v>-33.1858407079646</v>
      </c>
      <c r="U405" s="21" t="str">
        <f aca="false">'Player Data'!T405</f>
        <v>No</v>
      </c>
      <c r="V405" s="27" t="n">
        <f aca="false">'Player Data'!U405</f>
        <v>2027</v>
      </c>
      <c r="W405" s="21" t="str">
        <f aca="false">IF(AND(T405&gt;=Assumptions!$B$19,U405="No"),"High Priority - Unrepresented",IF(T405&gt;=Assumptions!$B$19,"High Priority",IF(AND(T405&gt;=Assumptions!$B$20,U405="No"),"Watchlist - Unrepresented",IF(T405&gt;=Assumptions!$B$20,"Watchlist",""))))</f>
        <v/>
      </c>
      <c r="X405" s="21" t="str">
        <f aca="false">'Player Data'!V405</f>
        <v>info@tashkenttown.uz</v>
      </c>
      <c r="Y405" s="28" t="str">
        <f aca="false">'Player Data'!W405</f>
        <v>Club sporting director / first-team office</v>
      </c>
      <c r="Z405" s="28" t="str">
        <f aca="false">'Player Data'!X405</f>
        <v>UFF (Uzbekistan Football Federation) player registry</v>
      </c>
      <c r="AA405" s="19" t="str">
        <f aca="false">HYPERLINK("https://www.transfermarkt.com/schnellsuche/ergebnis/schnellsuche?query="&amp;SUBSTITUTE(A405," ","+"),"Search Transfermarkt")</f>
        <v>Search Transfermarkt</v>
      </c>
      <c r="AB405" s="29" t="n">
        <f aca="false">IFERROR('Player Data'!K405/('Player Data'!K405+'Player Data'!L405),0)</f>
        <v>0.53125</v>
      </c>
      <c r="AC405" s="21" t="str">
        <f aca="false">IF(B405="GK",IF(AND(O405&gt;=Assumptions!$B$23,N405&gt;=Assumptions!$B$23),"Sweeper-Keeper / Build-from-the-Back",IF(O405&gt;=Assumptions!$B$23,"Sweeper-Keeper / High Line",IF(M405&gt;=Assumptions!$B$23,"Shot-Stopper / Traditional","Flexible / Multi-System"))),IF(AND(O405&gt;=Assumptions!$B$23,P405&gt;=Assumptions!$B$24),"High Press / Gegenpressing",IF(AND(N405&gt;=Assumptions!$B$23,AB405&gt;=Assumptions!$B$25),"Possession / Build-from-the-Back",IF(N405&gt;=Assumptions!$B$23,"Counter-Attack / Transition",IF(AND(O405&gt;=Assumptions!$B$23,N405&lt;Assumptions!$B$26),"Low Block / Park the Bus",IF(AND(B405="FW",M405&gt;=Assumptions!$B$23,N405&lt;Assumptions!$B$26),"Direct / Target Approach","Flexible / Multi-System"))))))</f>
        <v>Flexible / Multi-System</v>
      </c>
      <c r="AD405" s="21" t="str">
        <f aca="false">'Player Data'!Y405</f>
        <v>2026-07-17</v>
      </c>
      <c r="AE405" s="21" t="str">
        <f aca="false">'Player Data'!Z405</f>
        <v>2026-07-17</v>
      </c>
      <c r="AF405" s="28" t="str">
        <f aca="false">IFERROR(INDEX(Assumptions!$B$30:$B$61,MATCH(C405,Assumptions!$A$30:$A$61,0)),"--")</f>
        <v>Turkey, Saudi Arabia</v>
      </c>
      <c r="AG405" s="30" t="str">
        <f aca="false">IF(R405&gt;=0.7,"Step-Up Candidate",IF(R405&gt;=0.4,"Lateral Move","Stay &amp; Develop"))</f>
        <v>Stay &amp; Develop</v>
      </c>
    </row>
    <row r="406" customFormat="false" ht="23.85" hidden="false" customHeight="false" outlineLevel="0" collapsed="false">
      <c r="A406" s="21" t="str">
        <f aca="false">'Player Data'!A406</f>
        <v>Federico Ferreira</v>
      </c>
      <c r="B406" s="21" t="str">
        <f aca="false">'Player Data'!F406</f>
        <v>MF</v>
      </c>
      <c r="C406" s="21" t="str">
        <f aca="false">'Player Data'!B406</f>
        <v>Uruguay</v>
      </c>
      <c r="D406" s="21" t="str">
        <f aca="false">'Player Data'!C406</f>
        <v>Uruguay Provincial League</v>
      </c>
      <c r="E406" s="21" t="n">
        <f aca="false">'Player Data'!D406</f>
        <v>3</v>
      </c>
      <c r="F406" s="21" t="n">
        <f aca="false">'Player Data'!G406</f>
        <v>19</v>
      </c>
      <c r="G406" s="21" t="n">
        <f aca="false">'Player Data'!H406</f>
        <v>1016</v>
      </c>
      <c r="H406" s="22" t="n">
        <f aca="false">IF(B406="GK",IFERROR(('Player Data'!N406-1.5*'Player Data'!O406)/'Player Data'!H406*90,0),IFERROR(('Player Data'!I406+'Player Data'!J406)/'Player Data'!H406*90,0))</f>
        <v>1.59448818897638</v>
      </c>
      <c r="I406" s="22" t="n">
        <f aca="false">IF(B406="GK",'Player Data'!P406,IFERROR(('Player Data'!K406+'Player Data'!L406)/'Player Data'!H406*90,0))</f>
        <v>16.1220472440945</v>
      </c>
      <c r="J406" s="22" t="n">
        <f aca="false">IF(B406="GK",IFERROR('Player Data'!Q406/'Player Data'!H406*90,0),IFERROR('Player Data'!M406/'Player Data'!H406*90,0))</f>
        <v>3.36614173228347</v>
      </c>
      <c r="K406" s="23" t="n">
        <f aca="false">'Player Data'!S406</f>
        <v>0</v>
      </c>
      <c r="L406" s="22" t="n">
        <f aca="false">INDEX(Assumptions!$B$13:$B$15,MATCH(E406,Assumptions!$A$13:$A$15,0))</f>
        <v>0.85</v>
      </c>
      <c r="M406" s="24" t="n">
        <f aca="false">IFERROR(SUMPRODUCT(($B$2:$B$1001=B406)*($H$2:$H$1001&lt;=H406))/SUMPRODUCT(($B$2:$B$1001=B406)*1),0)</f>
        <v>0.95959595959596</v>
      </c>
      <c r="N406" s="24" t="n">
        <f aca="false">IFERROR(SUMPRODUCT(($B$2:$B$1001=B406)*($I$2:$I$1001&lt;=I406))/SUMPRODUCT(($B$2:$B$1001=B406)*1),0)</f>
        <v>0.801346801346801</v>
      </c>
      <c r="O406" s="24" t="n">
        <f aca="false">IFERROR(SUMPRODUCT(($B$2:$B$1001=B406)*($J$2:$J$1001&lt;=J406))/SUMPRODUCT(($B$2:$B$1001=B406)*1),0)</f>
        <v>0.821548821548822</v>
      </c>
      <c r="P406" s="24" t="n">
        <f aca="false">IFERROR(SUMPRODUCT(($B$2:$B$1001=B406)*((0-$F$2:$F$1001)&lt;=(0-F406)))/SUMPRODUCT(($B$2:$B$1001=B406)*1),0)</f>
        <v>0.868686868686869</v>
      </c>
      <c r="Q406" s="25" t="n">
        <f aca="false">(M406*Assumptions!$B$5+N406*Assumptions!$B$6+O406*Assumptions!$B$7+P406*Assumptions!$B$8)*L406</f>
        <v>0.729654882154882</v>
      </c>
      <c r="R406" s="24" t="n">
        <f aca="false">IFERROR(SUMPRODUCT(($B$2:$B$1001=B406)*($Q$2:$Q$1001&lt;=Q406))/SUMPRODUCT(($B$2:$B$1001=B406)*1),0)</f>
        <v>0.895622895622896</v>
      </c>
      <c r="S406" s="24" t="n">
        <f aca="false">IFERROR(SUMPRODUCT(($B$2:$B$1001=B406)*($K$2:$K$1001&lt;=K406))/SUMPRODUCT(($B$2:$B$1001=B406)*1),0)</f>
        <v>0.228956228956229</v>
      </c>
      <c r="T406" s="26" t="n">
        <f aca="false">(R406-S406)*100</f>
        <v>66.6666666666667</v>
      </c>
      <c r="U406" s="21" t="str">
        <f aca="false">'Player Data'!T406</f>
        <v>Unknown</v>
      </c>
      <c r="V406" s="27" t="n">
        <f aca="false">'Player Data'!U406</f>
        <v>2028</v>
      </c>
      <c r="W406" s="21" t="str">
        <f aca="false">IF(AND(T406&gt;=Assumptions!$B$19,U406="No"),"High Priority - Unrepresented",IF(T406&gt;=Assumptions!$B$19,"High Priority",IF(AND(T406&gt;=Assumptions!$B$20,U406="No"),"Watchlist - Unrepresented",IF(T406&gt;=Assumptions!$B$20,"Watchlist",""))))</f>
        <v>High Priority</v>
      </c>
      <c r="X406" s="21" t="str">
        <f aca="false">'Player Data'!V406</f>
        <v>info@paysanduathletic.uy</v>
      </c>
      <c r="Y406" s="28" t="str">
        <f aca="false">'Player Data'!W406</f>
        <v>Club sporting director / first-team office</v>
      </c>
      <c r="Z406" s="28" t="str">
        <f aca="false">'Player Data'!X406</f>
        <v>AUF (Uruguayan Football Association) player registry</v>
      </c>
      <c r="AA406" s="19" t="str">
        <f aca="false">HYPERLINK("https://www.transfermarkt.com/schnellsuche/ergebnis/schnellsuche?query="&amp;SUBSTITUTE(A406," ","+"),"Search Transfermarkt")</f>
        <v>Search Transfermarkt</v>
      </c>
      <c r="AB406" s="29" t="n">
        <f aca="false">IFERROR('Player Data'!K406/('Player Data'!K406+'Player Data'!L406),0)</f>
        <v>0.615384615384615</v>
      </c>
      <c r="AC406" s="21" t="str">
        <f aca="false">IF(B406="GK",IF(AND(O406&gt;=Assumptions!$B$23,N406&gt;=Assumptions!$B$23),"Sweeper-Keeper / Build-from-the-Back",IF(O406&gt;=Assumptions!$B$23,"Sweeper-Keeper / High Line",IF(M406&gt;=Assumptions!$B$23,"Shot-Stopper / Traditional","Flexible / Multi-System"))),IF(AND(O406&gt;=Assumptions!$B$23,P406&gt;=Assumptions!$B$24),"High Press / Gegenpressing",IF(AND(N406&gt;=Assumptions!$B$23,AB406&gt;=Assumptions!$B$25),"Possession / Build-from-the-Back",IF(N406&gt;=Assumptions!$B$23,"Counter-Attack / Transition",IF(AND(O406&gt;=Assumptions!$B$23,N406&lt;Assumptions!$B$26),"Low Block / Park the Bus",IF(AND(B406="FW",M406&gt;=Assumptions!$B$23,N406&lt;Assumptions!$B$26),"Direct / Target Approach","Flexible / Multi-System"))))))</f>
        <v>High Press / Gegenpressing</v>
      </c>
      <c r="AD406" s="21" t="str">
        <f aca="false">'Player Data'!Y406</f>
        <v>2026-07-17</v>
      </c>
      <c r="AE406" s="21" t="str">
        <f aca="false">'Player Data'!Z406</f>
        <v>2026-07-17</v>
      </c>
      <c r="AF406" s="28" t="str">
        <f aca="false">IFERROR(INDEX(Assumptions!$B$30:$B$61,MATCH(C406,Assumptions!$A$30:$A$61,0)),"--")</f>
        <v>Argentina, Portugal</v>
      </c>
      <c r="AG406" s="30" t="str">
        <f aca="false">IF(R406&gt;=0.7,"Step-Up Candidate",IF(R406&gt;=0.4,"Lateral Move","Stay &amp; Develop"))</f>
        <v>Step-Up Candidate</v>
      </c>
    </row>
    <row r="407" customFormat="false" ht="23.85" hidden="false" customHeight="false" outlineLevel="0" collapsed="false">
      <c r="A407" s="21" t="str">
        <f aca="false">'Player Data'!A407</f>
        <v>Max Diabate</v>
      </c>
      <c r="B407" s="21" t="str">
        <f aca="false">'Player Data'!F407</f>
        <v>MF</v>
      </c>
      <c r="C407" s="21" t="str">
        <f aca="false">'Player Data'!B407</f>
        <v>Ivory Coast</v>
      </c>
      <c r="D407" s="21" t="str">
        <f aca="false">'Player Data'!C407</f>
        <v>Ivory Coast Second Division</v>
      </c>
      <c r="E407" s="21" t="n">
        <f aca="false">'Player Data'!D407</f>
        <v>4</v>
      </c>
      <c r="F407" s="21" t="n">
        <f aca="false">'Player Data'!G407</f>
        <v>24</v>
      </c>
      <c r="G407" s="21" t="n">
        <f aca="false">'Player Data'!H407</f>
        <v>2518</v>
      </c>
      <c r="H407" s="22" t="n">
        <f aca="false">IF(B407="GK",IFERROR(('Player Data'!N407-1.5*'Player Data'!O407)/'Player Data'!H407*90,0),IFERROR(('Player Data'!I407+'Player Data'!J407)/'Player Data'!H407*90,0))</f>
        <v>0.607625099285147</v>
      </c>
      <c r="I407" s="22" t="n">
        <f aca="false">IF(B407="GK",'Player Data'!P407,IFERROR(('Player Data'!K407+'Player Data'!L407)/'Player Data'!H407*90,0))</f>
        <v>6.54090548054011</v>
      </c>
      <c r="J407" s="22" t="n">
        <f aca="false">IF(B407="GK",IFERROR('Player Data'!Q407/'Player Data'!H407*90,0),IFERROR('Player Data'!M407/'Player Data'!H407*90,0))</f>
        <v>1.64416203335981</v>
      </c>
      <c r="K407" s="23" t="n">
        <f aca="false">'Player Data'!S407</f>
        <v>43295</v>
      </c>
      <c r="L407" s="22" t="n">
        <f aca="false">INDEX(Assumptions!$B$13:$B$15,MATCH(E407,Assumptions!$A$13:$A$15,0))</f>
        <v>0.7</v>
      </c>
      <c r="M407" s="24" t="n">
        <f aca="false">IFERROR(SUMPRODUCT(($B$2:$B$1001=B407)*($H$2:$H$1001&lt;=H407))/SUMPRODUCT(($B$2:$B$1001=B407)*1),0)</f>
        <v>0.336700336700337</v>
      </c>
      <c r="N407" s="24" t="n">
        <f aca="false">IFERROR(SUMPRODUCT(($B$2:$B$1001=B407)*($I$2:$I$1001&lt;=I407))/SUMPRODUCT(($B$2:$B$1001=B407)*1),0)</f>
        <v>0.0269360269360269</v>
      </c>
      <c r="O407" s="24" t="n">
        <f aca="false">IFERROR(SUMPRODUCT(($B$2:$B$1001=B407)*($J$2:$J$1001&lt;=J407))/SUMPRODUCT(($B$2:$B$1001=B407)*1),0)</f>
        <v>0.255892255892256</v>
      </c>
      <c r="P407" s="24" t="n">
        <f aca="false">IFERROR(SUMPRODUCT(($B$2:$B$1001=B407)*((0-$F$2:$F$1001)&lt;=(0-F407)))/SUMPRODUCT(($B$2:$B$1001=B407)*1),0)</f>
        <v>0.326599326599327</v>
      </c>
      <c r="Q407" s="25" t="n">
        <f aca="false">(M407*Assumptions!$B$5+N407*Assumptions!$B$6+O407*Assumptions!$B$7+P407*Assumptions!$B$8)*L407</f>
        <v>0.147070707070707</v>
      </c>
      <c r="R407" s="24" t="n">
        <f aca="false">IFERROR(SUMPRODUCT(($B$2:$B$1001=B407)*($Q$2:$Q$1001&lt;=Q407))/SUMPRODUCT(($B$2:$B$1001=B407)*1),0)</f>
        <v>0.0336700336700337</v>
      </c>
      <c r="S407" s="24" t="n">
        <f aca="false">IFERROR(SUMPRODUCT(($B$2:$B$1001=B407)*($K$2:$K$1001&lt;=K407))/SUMPRODUCT(($B$2:$B$1001=B407)*1),0)</f>
        <v>0.383838383838384</v>
      </c>
      <c r="T407" s="26" t="n">
        <f aca="false">(R407-S407)*100</f>
        <v>-35.016835016835</v>
      </c>
      <c r="U407" s="21" t="str">
        <f aca="false">'Player Data'!T407</f>
        <v>No</v>
      </c>
      <c r="V407" s="27" t="n">
        <f aca="false">'Player Data'!U407</f>
        <v>2028</v>
      </c>
      <c r="W407" s="21" t="str">
        <f aca="false">IF(AND(T407&gt;=Assumptions!$B$19,U407="No"),"High Priority - Unrepresented",IF(T407&gt;=Assumptions!$B$19,"High Priority",IF(AND(T407&gt;=Assumptions!$B$20,U407="No"),"Watchlist - Unrepresented",IF(T407&gt;=Assumptions!$B$20,"Watchlist",""))))</f>
        <v/>
      </c>
      <c r="X407" s="21" t="str">
        <f aca="false">'Player Data'!V407</f>
        <v>info@yamoussoukrorovers.ci</v>
      </c>
      <c r="Y407" s="28" t="str">
        <f aca="false">'Player Data'!W407</f>
        <v>Club sporting director / first-team office</v>
      </c>
      <c r="Z407" s="28" t="str">
        <f aca="false">'Player Data'!X407</f>
        <v>FIF (Ivorian Football Federation) player registry</v>
      </c>
      <c r="AA407" s="19" t="str">
        <f aca="false">HYPERLINK("https://www.transfermarkt.com/schnellsuche/ergebnis/schnellsuche?query="&amp;SUBSTITUTE(A407," ","+"),"Search Transfermarkt")</f>
        <v>Search Transfermarkt</v>
      </c>
      <c r="AB407" s="29" t="n">
        <f aca="false">IFERROR('Player Data'!K407/('Player Data'!K407+'Player Data'!L407),0)</f>
        <v>0.699453551912568</v>
      </c>
      <c r="AC407" s="21" t="str">
        <f aca="false">IF(B407="GK",IF(AND(O407&gt;=Assumptions!$B$23,N407&gt;=Assumptions!$B$23),"Sweeper-Keeper / Build-from-the-Back",IF(O407&gt;=Assumptions!$B$23,"Sweeper-Keeper / High Line",IF(M407&gt;=Assumptions!$B$23,"Shot-Stopper / Traditional","Flexible / Multi-System"))),IF(AND(O407&gt;=Assumptions!$B$23,P407&gt;=Assumptions!$B$24),"High Press / Gegenpressing",IF(AND(N407&gt;=Assumptions!$B$23,AB407&gt;=Assumptions!$B$25),"Possession / Build-from-the-Back",IF(N407&gt;=Assumptions!$B$23,"Counter-Attack / Transition",IF(AND(O407&gt;=Assumptions!$B$23,N407&lt;Assumptions!$B$26),"Low Block / Park the Bus",IF(AND(B407="FW",M407&gt;=Assumptions!$B$23,N407&lt;Assumptions!$B$26),"Direct / Target Approach","Flexible / Multi-System"))))))</f>
        <v>Flexible / Multi-System</v>
      </c>
      <c r="AD407" s="21" t="str">
        <f aca="false">'Player Data'!Y407</f>
        <v>2026-07-17</v>
      </c>
      <c r="AE407" s="21" t="str">
        <f aca="false">'Player Data'!Z407</f>
        <v>2026-07-17</v>
      </c>
      <c r="AF407" s="28" t="str">
        <f aca="false">IFERROR(INDEX(Assumptions!$B$30:$B$61,MATCH(C407,Assumptions!$A$30:$A$61,0)),"--")</f>
        <v>Belgium, Portugal</v>
      </c>
      <c r="AG407" s="30" t="str">
        <f aca="false">IF(R407&gt;=0.7,"Step-Up Candidate",IF(R407&gt;=0.4,"Lateral Move","Stay &amp; Develop"))</f>
        <v>Stay &amp; Develop</v>
      </c>
    </row>
    <row r="408" customFormat="false" ht="23.85" hidden="false" customHeight="false" outlineLevel="0" collapsed="false">
      <c r="A408" s="21" t="str">
        <f aca="false">'Player Data'!A408</f>
        <v>Mamadou Sow</v>
      </c>
      <c r="B408" s="21" t="str">
        <f aca="false">'Player Data'!F408</f>
        <v>MF</v>
      </c>
      <c r="C408" s="21" t="str">
        <f aca="false">'Player Data'!B408</f>
        <v>Senegal</v>
      </c>
      <c r="D408" s="21" t="str">
        <f aca="false">'Player Data'!C408</f>
        <v>Senegal Third Tier - South</v>
      </c>
      <c r="E408" s="21" t="n">
        <f aca="false">'Player Data'!D408</f>
        <v>3</v>
      </c>
      <c r="F408" s="21" t="n">
        <f aca="false">'Player Data'!G408</f>
        <v>22</v>
      </c>
      <c r="G408" s="21" t="n">
        <f aca="false">'Player Data'!H408</f>
        <v>1123</v>
      </c>
      <c r="H408" s="22" t="n">
        <f aca="false">IF(B408="GK",IFERROR(('Player Data'!N408-1.5*'Player Data'!O408)/'Player Data'!H408*90,0),IFERROR(('Player Data'!I408+'Player Data'!J408)/'Player Data'!H408*90,0))</f>
        <v>1.68299198575245</v>
      </c>
      <c r="I408" s="22" t="n">
        <f aca="false">IF(B408="GK",'Player Data'!P408,IFERROR(('Player Data'!K408+'Player Data'!L408)/'Player Data'!H408*90,0))</f>
        <v>14.1050756901158</v>
      </c>
      <c r="J408" s="22" t="n">
        <f aca="false">IF(B408="GK",IFERROR('Player Data'!Q408/'Player Data'!H408*90,0),IFERROR('Player Data'!M408/'Player Data'!H408*90,0))</f>
        <v>2.80498664292075</v>
      </c>
      <c r="K408" s="23" t="n">
        <f aca="false">'Player Data'!S408</f>
        <v>48080</v>
      </c>
      <c r="L408" s="22" t="n">
        <f aca="false">INDEX(Assumptions!$B$13:$B$15,MATCH(E408,Assumptions!$A$13:$A$15,0))</f>
        <v>0.85</v>
      </c>
      <c r="M408" s="24" t="n">
        <f aca="false">IFERROR(SUMPRODUCT(($B$2:$B$1001=B408)*($H$2:$H$1001&lt;=H408))/SUMPRODUCT(($B$2:$B$1001=B408)*1),0)</f>
        <v>0.96969696969697</v>
      </c>
      <c r="N408" s="24" t="n">
        <f aca="false">IFERROR(SUMPRODUCT(($B$2:$B$1001=B408)*($I$2:$I$1001&lt;=I408))/SUMPRODUCT(($B$2:$B$1001=B408)*1),0)</f>
        <v>0.713804713804714</v>
      </c>
      <c r="O408" s="24" t="n">
        <f aca="false">IFERROR(SUMPRODUCT(($B$2:$B$1001=B408)*($J$2:$J$1001&lt;=J408))/SUMPRODUCT(($B$2:$B$1001=B408)*1),0)</f>
        <v>0.744107744107744</v>
      </c>
      <c r="P408" s="24" t="n">
        <f aca="false">IFERROR(SUMPRODUCT(($B$2:$B$1001=B408)*((0-$F$2:$F$1001)&lt;=(0-F408)))/SUMPRODUCT(($B$2:$B$1001=B408)*1),0)</f>
        <v>0.515151515151515</v>
      </c>
      <c r="Q408" s="25" t="n">
        <f aca="false">(M408*Assumptions!$B$5+N408*Assumptions!$B$6+O408*Assumptions!$B$7+P408*Assumptions!$B$8)*L408</f>
        <v>0.632491582491582</v>
      </c>
      <c r="R408" s="24" t="n">
        <f aca="false">IFERROR(SUMPRODUCT(($B$2:$B$1001=B408)*($Q$2:$Q$1001&lt;=Q408))/SUMPRODUCT(($B$2:$B$1001=B408)*1),0)</f>
        <v>0.808080808080808</v>
      </c>
      <c r="S408" s="24" t="n">
        <f aca="false">IFERROR(SUMPRODUCT(($B$2:$B$1001=B408)*($K$2:$K$1001&lt;=K408))/SUMPRODUCT(($B$2:$B$1001=B408)*1),0)</f>
        <v>0.437710437710438</v>
      </c>
      <c r="T408" s="26" t="n">
        <f aca="false">(R408-S408)*100</f>
        <v>37.037037037037</v>
      </c>
      <c r="U408" s="21" t="str">
        <f aca="false">'Player Data'!T408</f>
        <v>No</v>
      </c>
      <c r="V408" s="27" t="n">
        <f aca="false">'Player Data'!U408</f>
        <v>2028</v>
      </c>
      <c r="W408" s="21" t="str">
        <f aca="false">IF(AND(T408&gt;=Assumptions!$B$19,U408="No"),"High Priority - Unrepresented",IF(T408&gt;=Assumptions!$B$19,"High Priority",IF(AND(T408&gt;=Assumptions!$B$20,U408="No"),"Watchlist - Unrepresented",IF(T408&gt;=Assumptions!$B$20,"Watchlist",""))))</f>
        <v>Watchlist - Unrepresented</v>
      </c>
      <c r="X408" s="21" t="str">
        <f aca="false">'Player Data'!V408</f>
        <v>info@saintlouistown.sn</v>
      </c>
      <c r="Y408" s="28" t="str">
        <f aca="false">'Player Data'!W408</f>
        <v>Club sporting director / first-team office</v>
      </c>
      <c r="Z408" s="28" t="str">
        <f aca="false">'Player Data'!X408</f>
        <v>FSF (Senegalese Football Federation) player registry</v>
      </c>
      <c r="AA408" s="19" t="str">
        <f aca="false">HYPERLINK("https://www.transfermarkt.com/schnellsuche/ergebnis/schnellsuche?query="&amp;SUBSTITUTE(A408," ","+"),"Search Transfermarkt")</f>
        <v>Search Transfermarkt</v>
      </c>
      <c r="AB408" s="29" t="n">
        <f aca="false">IFERROR('Player Data'!K408/('Player Data'!K408+'Player Data'!L408),0)</f>
        <v>0.630681818181818</v>
      </c>
      <c r="AC408" s="21" t="str">
        <f aca="false">IF(B408="GK",IF(AND(O408&gt;=Assumptions!$B$23,N408&gt;=Assumptions!$B$23),"Sweeper-Keeper / Build-from-the-Back",IF(O408&gt;=Assumptions!$B$23,"Sweeper-Keeper / High Line",IF(M408&gt;=Assumptions!$B$23,"Shot-Stopper / Traditional","Flexible / Multi-System"))),IF(AND(O408&gt;=Assumptions!$B$23,P408&gt;=Assumptions!$B$24),"High Press / Gegenpressing",IF(AND(N408&gt;=Assumptions!$B$23,AB408&gt;=Assumptions!$B$25),"Possession / Build-from-the-Back",IF(N408&gt;=Assumptions!$B$23,"Counter-Attack / Transition",IF(AND(O408&gt;=Assumptions!$B$23,N408&lt;Assumptions!$B$26),"Low Block / Park the Bus",IF(AND(B408="FW",M408&gt;=Assumptions!$B$23,N408&lt;Assumptions!$B$26),"Direct / Target Approach","Flexible / Multi-System"))))))</f>
        <v>Possession / Build-from-the-Back</v>
      </c>
      <c r="AD408" s="21" t="str">
        <f aca="false">'Player Data'!Y408</f>
        <v>2026-07-17</v>
      </c>
      <c r="AE408" s="21" t="str">
        <f aca="false">'Player Data'!Z408</f>
        <v>2026-07-17</v>
      </c>
      <c r="AF408" s="28" t="str">
        <f aca="false">IFERROR(INDEX(Assumptions!$B$30:$B$61,MATCH(C408,Assumptions!$A$30:$A$61,0)),"--")</f>
        <v>Belgium, Portugal</v>
      </c>
      <c r="AG408" s="30" t="str">
        <f aca="false">IF(R408&gt;=0.7,"Step-Up Candidate",IF(R408&gt;=0.4,"Lateral Move","Stay &amp; Develop"))</f>
        <v>Step-Up Candidate</v>
      </c>
    </row>
    <row r="409" customFormat="false" ht="23.85" hidden="false" customHeight="false" outlineLevel="0" collapsed="false">
      <c r="A409" s="21" t="str">
        <f aca="false">'Player Data'!A409</f>
        <v>Haruto Takahashi</v>
      </c>
      <c r="B409" s="21" t="str">
        <f aca="false">'Player Data'!F409</f>
        <v>MF</v>
      </c>
      <c r="C409" s="21" t="str">
        <f aca="false">'Player Data'!B409</f>
        <v>Japan</v>
      </c>
      <c r="D409" s="21" t="str">
        <f aca="false">'Player Data'!C409</f>
        <v>Japan Amateur League</v>
      </c>
      <c r="E409" s="21" t="n">
        <f aca="false">'Player Data'!D409</f>
        <v>2</v>
      </c>
      <c r="F409" s="21" t="n">
        <f aca="false">'Player Data'!G409</f>
        <v>24</v>
      </c>
      <c r="G409" s="21" t="n">
        <f aca="false">'Player Data'!H409</f>
        <v>1509</v>
      </c>
      <c r="H409" s="22" t="n">
        <f aca="false">IF(B409="GK",IFERROR(('Player Data'!N409-1.5*'Player Data'!O409)/'Player Data'!H409*90,0),IFERROR(('Player Data'!I409+'Player Data'!J409)/'Player Data'!H409*90,0))</f>
        <v>0.775347912524851</v>
      </c>
      <c r="I409" s="22" t="n">
        <f aca="false">IF(B409="GK",'Player Data'!P409,IFERROR(('Player Data'!K409+'Player Data'!L409)/'Player Data'!H409*90,0))</f>
        <v>14.0159045725646</v>
      </c>
      <c r="J409" s="22" t="n">
        <f aca="false">IF(B409="GK",IFERROR('Player Data'!Q409/'Player Data'!H409*90,0),IFERROR('Player Data'!M409/'Player Data'!H409*90,0))</f>
        <v>2.74353876739563</v>
      </c>
      <c r="K409" s="23" t="n">
        <f aca="false">'Player Data'!S409</f>
        <v>80650</v>
      </c>
      <c r="L409" s="22" t="n">
        <f aca="false">INDEX(Assumptions!$B$13:$B$15,MATCH(E409,Assumptions!$A$13:$A$15,0))</f>
        <v>1</v>
      </c>
      <c r="M409" s="24" t="n">
        <f aca="false">IFERROR(SUMPRODUCT(($B$2:$B$1001=B409)*($H$2:$H$1001&lt;=H409))/SUMPRODUCT(($B$2:$B$1001=B409)*1),0)</f>
        <v>0.562289562289562</v>
      </c>
      <c r="N409" s="24" t="n">
        <f aca="false">IFERROR(SUMPRODUCT(($B$2:$B$1001=B409)*($I$2:$I$1001&lt;=I409))/SUMPRODUCT(($B$2:$B$1001=B409)*1),0)</f>
        <v>0.703703703703704</v>
      </c>
      <c r="O409" s="24" t="n">
        <f aca="false">IFERROR(SUMPRODUCT(($B$2:$B$1001=B409)*($J$2:$J$1001&lt;=J409))/SUMPRODUCT(($B$2:$B$1001=B409)*1),0)</f>
        <v>0.720538720538721</v>
      </c>
      <c r="P409" s="24" t="n">
        <f aca="false">IFERROR(SUMPRODUCT(($B$2:$B$1001=B409)*((0-$F$2:$F$1001)&lt;=(0-F409)))/SUMPRODUCT(($B$2:$B$1001=B409)*1),0)</f>
        <v>0.326599326599327</v>
      </c>
      <c r="Q409" s="25" t="n">
        <f aca="false">(M409*Assumptions!$B$5+N409*Assumptions!$B$6+O409*Assumptions!$B$7+P409*Assumptions!$B$8)*L409</f>
        <v>0.596296296296296</v>
      </c>
      <c r="R409" s="24" t="n">
        <f aca="false">IFERROR(SUMPRODUCT(($B$2:$B$1001=B409)*($Q$2:$Q$1001&lt;=Q409))/SUMPRODUCT(($B$2:$B$1001=B409)*1),0)</f>
        <v>0.744107744107744</v>
      </c>
      <c r="S409" s="24" t="n">
        <f aca="false">IFERROR(SUMPRODUCT(($B$2:$B$1001=B409)*($K$2:$K$1001&lt;=K409))/SUMPRODUCT(($B$2:$B$1001=B409)*1),0)</f>
        <v>0.643097643097643</v>
      </c>
      <c r="T409" s="26" t="n">
        <f aca="false">(R409-S409)*100</f>
        <v>10.1010101010101</v>
      </c>
      <c r="U409" s="21" t="str">
        <f aca="false">'Player Data'!T409</f>
        <v>Unknown</v>
      </c>
      <c r="V409" s="27" t="n">
        <f aca="false">'Player Data'!U409</f>
        <v>2029</v>
      </c>
      <c r="W409" s="21" t="str">
        <f aca="false">IF(AND(T409&gt;=Assumptions!$B$19,U409="No"),"High Priority - Unrepresented",IF(T409&gt;=Assumptions!$B$19,"High Priority",IF(AND(T409&gt;=Assumptions!$B$20,U409="No"),"Watchlist - Unrepresented",IF(T409&gt;=Assumptions!$B$20,"Watchlist",""))))</f>
        <v/>
      </c>
      <c r="X409" s="21" t="str">
        <f aca="false">'Player Data'!V409</f>
        <v>info@nagoyawanderers.jp</v>
      </c>
      <c r="Y409" s="28" t="str">
        <f aca="false">'Player Data'!W409</f>
        <v>Club sporting director / first-team office</v>
      </c>
      <c r="Z409" s="28" t="str">
        <f aca="false">'Player Data'!X409</f>
        <v>JFA (Japan Football Association) player registry</v>
      </c>
      <c r="AA409" s="19" t="str">
        <f aca="false">HYPERLINK("https://www.transfermarkt.com/schnellsuche/ergebnis/schnellsuche?query="&amp;SUBSTITUTE(A409," ","+"),"Search Transfermarkt")</f>
        <v>Search Transfermarkt</v>
      </c>
      <c r="AB409" s="29" t="n">
        <f aca="false">IFERROR('Player Data'!K409/('Player Data'!K409+'Player Data'!L409),0)</f>
        <v>0.697872340425532</v>
      </c>
      <c r="AC409" s="21" t="str">
        <f aca="false">IF(B409="GK",IF(AND(O409&gt;=Assumptions!$B$23,N409&gt;=Assumptions!$B$23),"Sweeper-Keeper / Build-from-the-Back",IF(O409&gt;=Assumptions!$B$23,"Sweeper-Keeper / High Line",IF(M409&gt;=Assumptions!$B$23,"Shot-Stopper / Traditional","Flexible / Multi-System"))),IF(AND(O409&gt;=Assumptions!$B$23,P409&gt;=Assumptions!$B$24),"High Press / Gegenpressing",IF(AND(N409&gt;=Assumptions!$B$23,AB409&gt;=Assumptions!$B$25),"Possession / Build-from-the-Back",IF(N409&gt;=Assumptions!$B$23,"Counter-Attack / Transition",IF(AND(O409&gt;=Assumptions!$B$23,N409&lt;Assumptions!$B$26),"Low Block / Park the Bus",IF(AND(B409="FW",M409&gt;=Assumptions!$B$23,N409&lt;Assumptions!$B$26),"Direct / Target Approach","Flexible / Multi-System"))))))</f>
        <v>Possession / Build-from-the-Back</v>
      </c>
      <c r="AD409" s="21" t="str">
        <f aca="false">'Player Data'!Y409</f>
        <v>2026-07-17</v>
      </c>
      <c r="AE409" s="21" t="str">
        <f aca="false">'Player Data'!Z409</f>
        <v>2026-07-17</v>
      </c>
      <c r="AF409" s="28" t="str">
        <f aca="false">IFERROR(INDEX(Assumptions!$B$30:$B$61,MATCH(C409,Assumptions!$A$30:$A$61,0)),"--")</f>
        <v>Belgium, Australia</v>
      </c>
      <c r="AG409" s="30" t="str">
        <f aca="false">IF(R409&gt;=0.7,"Step-Up Candidate",IF(R409&gt;=0.4,"Lateral Move","Stay &amp; Develop"))</f>
        <v>Step-Up Candidate</v>
      </c>
    </row>
    <row r="410" customFormat="false" ht="23.85" hidden="false" customHeight="false" outlineLevel="0" collapsed="false">
      <c r="A410" s="21" t="str">
        <f aca="false">'Player Data'!A410</f>
        <v>Igor Naumovski</v>
      </c>
      <c r="B410" s="21" t="str">
        <f aca="false">'Player Data'!F410</f>
        <v>FW</v>
      </c>
      <c r="C410" s="21" t="str">
        <f aca="false">'Player Data'!B410</f>
        <v>North Macedonia</v>
      </c>
      <c r="D410" s="21" t="str">
        <f aca="false">'Player Data'!C410</f>
        <v>North Macedonia Second Division</v>
      </c>
      <c r="E410" s="21" t="n">
        <f aca="false">'Player Data'!D410</f>
        <v>3</v>
      </c>
      <c r="F410" s="21" t="n">
        <f aca="false">'Player Data'!G410</f>
        <v>19</v>
      </c>
      <c r="G410" s="21" t="n">
        <f aca="false">'Player Data'!H410</f>
        <v>1332</v>
      </c>
      <c r="H410" s="22" t="n">
        <f aca="false">IF(B410="GK",IFERROR(('Player Data'!N410-1.5*'Player Data'!O410)/'Player Data'!H410*90,0),IFERROR(('Player Data'!I410+'Player Data'!J410)/'Player Data'!H410*90,0))</f>
        <v>1.08108108108108</v>
      </c>
      <c r="I410" s="22" t="n">
        <f aca="false">IF(B410="GK",'Player Data'!P410,IFERROR(('Player Data'!K410+'Player Data'!L410)/'Player Data'!H410*90,0))</f>
        <v>9.66216216216216</v>
      </c>
      <c r="J410" s="22" t="n">
        <f aca="false">IF(B410="GK",IFERROR('Player Data'!Q410/'Player Data'!H410*90,0),IFERROR('Player Data'!M410/'Player Data'!H410*90,0))</f>
        <v>1.01351351351351</v>
      </c>
      <c r="K410" s="23" t="n">
        <f aca="false">'Player Data'!S410</f>
        <v>101721</v>
      </c>
      <c r="L410" s="22" t="n">
        <f aca="false">INDEX(Assumptions!$B$13:$B$15,MATCH(E410,Assumptions!$A$13:$A$15,0))</f>
        <v>0.85</v>
      </c>
      <c r="M410" s="24" t="n">
        <f aca="false">IFERROR(SUMPRODUCT(($B$2:$B$1001=B410)*($H$2:$H$1001&lt;=H410))/SUMPRODUCT(($B$2:$B$1001=B410)*1),0)</f>
        <v>0.597345132743363</v>
      </c>
      <c r="N410" s="24" t="n">
        <f aca="false">IFERROR(SUMPRODUCT(($B$2:$B$1001=B410)*($I$2:$I$1001&lt;=I410))/SUMPRODUCT(($B$2:$B$1001=B410)*1),0)</f>
        <v>0.814159292035398</v>
      </c>
      <c r="O410" s="24" t="n">
        <f aca="false">IFERROR(SUMPRODUCT(($B$2:$B$1001=B410)*($J$2:$J$1001&lt;=J410))/SUMPRODUCT(($B$2:$B$1001=B410)*1),0)</f>
        <v>0.907079646017699</v>
      </c>
      <c r="P410" s="24" t="n">
        <f aca="false">IFERROR(SUMPRODUCT(($B$2:$B$1001=B410)*((0-$F$2:$F$1001)&lt;=(0-F410)))/SUMPRODUCT(($B$2:$B$1001=B410)*1),0)</f>
        <v>0.831858407079646</v>
      </c>
      <c r="Q410" s="25" t="n">
        <f aca="false">(M410*Assumptions!$B$5+N410*Assumptions!$B$6+O410*Assumptions!$B$7+P410*Assumptions!$B$8)*L410</f>
        <v>0.664767699115044</v>
      </c>
      <c r="R410" s="24" t="n">
        <f aca="false">IFERROR(SUMPRODUCT(($B$2:$B$1001=B410)*($Q$2:$Q$1001&lt;=Q410))/SUMPRODUCT(($B$2:$B$1001=B410)*1),0)</f>
        <v>0.836283185840708</v>
      </c>
      <c r="S410" s="24" t="n">
        <f aca="false">IFERROR(SUMPRODUCT(($B$2:$B$1001=B410)*($K$2:$K$1001&lt;=K410))/SUMPRODUCT(($B$2:$B$1001=B410)*1),0)</f>
        <v>0.699115044247788</v>
      </c>
      <c r="T410" s="26" t="n">
        <f aca="false">(R410-S410)*100</f>
        <v>13.716814159292</v>
      </c>
      <c r="U410" s="21" t="str">
        <f aca="false">'Player Data'!T410</f>
        <v>No</v>
      </c>
      <c r="V410" s="27" t="n">
        <f aca="false">'Player Data'!U410</f>
        <v>2026</v>
      </c>
      <c r="W410" s="21" t="str">
        <f aca="false">IF(AND(T410&gt;=Assumptions!$B$19,U410="No"),"High Priority - Unrepresented",IF(T410&gt;=Assumptions!$B$19,"High Priority",IF(AND(T410&gt;=Assumptions!$B$20,U410="No"),"Watchlist - Unrepresented",IF(T410&gt;=Assumptions!$B$20,"Watchlist",""))))</f>
        <v/>
      </c>
      <c r="X410" s="21" t="str">
        <f aca="false">'Player Data'!V410</f>
        <v>info@stipathletic.mk</v>
      </c>
      <c r="Y410" s="28" t="str">
        <f aca="false">'Player Data'!W410</f>
        <v>Club sporting director / first-team office</v>
      </c>
      <c r="Z410" s="28" t="str">
        <f aca="false">'Player Data'!X410</f>
        <v>FFM (Football Federation of North Macedonia) player registry</v>
      </c>
      <c r="AA410" s="19" t="str">
        <f aca="false">HYPERLINK("https://www.transfermarkt.com/schnellsuche/ergebnis/schnellsuche?query="&amp;SUBSTITUTE(A410," ","+"),"Search Transfermarkt")</f>
        <v>Search Transfermarkt</v>
      </c>
      <c r="AB410" s="29" t="n">
        <f aca="false">IFERROR('Player Data'!K410/('Player Data'!K410+'Player Data'!L410),0)</f>
        <v>0.377622377622378</v>
      </c>
      <c r="AC410" s="21" t="str">
        <f aca="false">IF(B410="GK",IF(AND(O410&gt;=Assumptions!$B$23,N410&gt;=Assumptions!$B$23),"Sweeper-Keeper / Build-from-the-Back",IF(O410&gt;=Assumptions!$B$23,"Sweeper-Keeper / High Line",IF(M410&gt;=Assumptions!$B$23,"Shot-Stopper / Traditional","Flexible / Multi-System"))),IF(AND(O410&gt;=Assumptions!$B$23,P410&gt;=Assumptions!$B$24),"High Press / Gegenpressing",IF(AND(N410&gt;=Assumptions!$B$23,AB410&gt;=Assumptions!$B$25),"Possession / Build-from-the-Back",IF(N410&gt;=Assumptions!$B$23,"Counter-Attack / Transition",IF(AND(O410&gt;=Assumptions!$B$23,N410&lt;Assumptions!$B$26),"Low Block / Park the Bus",IF(AND(B410="FW",M410&gt;=Assumptions!$B$23,N410&lt;Assumptions!$B$26),"Direct / Target Approach","Flexible / Multi-System"))))))</f>
        <v>High Press / Gegenpressing</v>
      </c>
      <c r="AD410" s="21" t="str">
        <f aca="false">'Player Data'!Y410</f>
        <v>2026-07-17</v>
      </c>
      <c r="AE410" s="21" t="str">
        <f aca="false">'Player Data'!Z410</f>
        <v>2026-07-17</v>
      </c>
      <c r="AF410" s="28" t="str">
        <f aca="false">IFERROR(INDEX(Assumptions!$B$30:$B$61,MATCH(C410,Assumptions!$A$30:$A$61,0)),"--")</f>
        <v>Austria, Turkey</v>
      </c>
      <c r="AG410" s="30" t="str">
        <f aca="false">IF(R410&gt;=0.7,"Step-Up Candidate",IF(R410&gt;=0.4,"Lateral Move","Stay &amp; Develop"))</f>
        <v>Step-Up Candidate</v>
      </c>
    </row>
    <row r="411" customFormat="false" ht="23.85" hidden="false" customHeight="false" outlineLevel="0" collapsed="false">
      <c r="A411" s="21" t="str">
        <f aca="false">'Player Data'!A411</f>
        <v>Giorgi Beridze</v>
      </c>
      <c r="B411" s="21" t="str">
        <f aca="false">'Player Data'!F411</f>
        <v>GK</v>
      </c>
      <c r="C411" s="21" t="str">
        <f aca="false">'Player Data'!B411</f>
        <v>Georgia</v>
      </c>
      <c r="D411" s="21" t="str">
        <f aca="false">'Player Data'!C411</f>
        <v>Georgia Reserve League</v>
      </c>
      <c r="E411" s="21" t="n">
        <f aca="false">'Player Data'!D411</f>
        <v>4</v>
      </c>
      <c r="F411" s="21" t="n">
        <f aca="false">'Player Data'!G411</f>
        <v>23</v>
      </c>
      <c r="G411" s="21" t="n">
        <f aca="false">'Player Data'!H411</f>
        <v>2036</v>
      </c>
      <c r="H411" s="22" t="n">
        <f aca="false">IF(B411="GK",IFERROR(('Player Data'!N411-1.5*'Player Data'!O411)/'Player Data'!H411*90,0),IFERROR(('Player Data'!I411+'Player Data'!J411)/'Player Data'!H411*90,0))</f>
        <v>1.94499017681729</v>
      </c>
      <c r="I411" s="22" t="n">
        <f aca="false">IF(B411="GK",'Player Data'!P411,IFERROR(('Player Data'!K411+'Player Data'!L411)/'Player Data'!H411*90,0))</f>
        <v>59.7</v>
      </c>
      <c r="J411" s="22" t="n">
        <f aca="false">IF(B411="GK",IFERROR('Player Data'!Q411/'Player Data'!H411*90,0),IFERROR('Player Data'!M411/'Player Data'!H411*90,0))</f>
        <v>1.22888015717092</v>
      </c>
      <c r="K411" s="23" t="n">
        <f aca="false">'Player Data'!S411</f>
        <v>46924</v>
      </c>
      <c r="L411" s="22" t="n">
        <f aca="false">INDEX(Assumptions!$B$13:$B$15,MATCH(E411,Assumptions!$A$13:$A$15,0))</f>
        <v>0.7</v>
      </c>
      <c r="M411" s="24" t="n">
        <f aca="false">IFERROR(SUMPRODUCT(($B$2:$B$1001=B411)*($H$2:$H$1001&lt;=H411))/SUMPRODUCT(($B$2:$B$1001=B411)*1),0)</f>
        <v>0.890710382513661</v>
      </c>
      <c r="N411" s="24" t="n">
        <f aca="false">IFERROR(SUMPRODUCT(($B$2:$B$1001=B411)*($I$2:$I$1001&lt;=I411))/SUMPRODUCT(($B$2:$B$1001=B411)*1),0)</f>
        <v>0.147540983606557</v>
      </c>
      <c r="O411" s="24" t="n">
        <f aca="false">IFERROR(SUMPRODUCT(($B$2:$B$1001=B411)*($J$2:$J$1001&lt;=J411))/SUMPRODUCT(($B$2:$B$1001=B411)*1),0)</f>
        <v>0.743169398907104</v>
      </c>
      <c r="P411" s="24" t="n">
        <f aca="false">IFERROR(SUMPRODUCT(($B$2:$B$1001=B411)*((0-$F$2:$F$1001)&lt;=(0-F411)))/SUMPRODUCT(($B$2:$B$1001=B411)*1),0)</f>
        <v>0.431693989071038</v>
      </c>
      <c r="Q411" s="25" t="n">
        <f aca="false">(M411*Assumptions!$B$5+N411*Assumptions!$B$6+O411*Assumptions!$B$7+P411*Assumptions!$B$8)*L411</f>
        <v>0.356502732240437</v>
      </c>
      <c r="R411" s="24" t="n">
        <f aca="false">IFERROR(SUMPRODUCT(($B$2:$B$1001=B411)*($Q$2:$Q$1001&lt;=Q411))/SUMPRODUCT(($B$2:$B$1001=B411)*1),0)</f>
        <v>0.256830601092896</v>
      </c>
      <c r="S411" s="24" t="n">
        <f aca="false">IFERROR(SUMPRODUCT(($B$2:$B$1001=B411)*($K$2:$K$1001&lt;=K411))/SUMPRODUCT(($B$2:$B$1001=B411)*1),0)</f>
        <v>0.377049180327869</v>
      </c>
      <c r="T411" s="26" t="n">
        <f aca="false">(R411-S411)*100</f>
        <v>-12.0218579234973</v>
      </c>
      <c r="U411" s="21" t="str">
        <f aca="false">'Player Data'!T411</f>
        <v>Unknown</v>
      </c>
      <c r="V411" s="27" t="n">
        <f aca="false">'Player Data'!U411</f>
        <v>2027</v>
      </c>
      <c r="W411" s="21" t="str">
        <f aca="false">IF(AND(T411&gt;=Assumptions!$B$19,U411="No"),"High Priority - Unrepresented",IF(T411&gt;=Assumptions!$B$19,"High Priority",IF(AND(T411&gt;=Assumptions!$B$20,U411="No"),"Watchlist - Unrepresented",IF(T411&gt;=Assumptions!$B$20,"Watchlist",""))))</f>
        <v/>
      </c>
      <c r="X411" s="21" t="str">
        <f aca="false">'Player Data'!V411</f>
        <v>info@batumisc.ge</v>
      </c>
      <c r="Y411" s="28" t="str">
        <f aca="false">'Player Data'!W411</f>
        <v>Club sporting director / first-team office</v>
      </c>
      <c r="Z411" s="28" t="str">
        <f aca="false">'Player Data'!X411</f>
        <v>GFF (Georgian Football Federation) player registry</v>
      </c>
      <c r="AA411" s="19" t="str">
        <f aca="false">HYPERLINK("https://www.transfermarkt.com/schnellsuche/ergebnis/schnellsuche?query="&amp;SUBSTITUTE(A411," ","+"),"Search Transfermarkt")</f>
        <v>Search Transfermarkt</v>
      </c>
      <c r="AB411" s="29" t="n">
        <f aca="false">IFERROR('Player Data'!K411/('Player Data'!K411+'Player Data'!L411),0)</f>
        <v>0.833333333333333</v>
      </c>
      <c r="AC411" s="21" t="str">
        <f aca="false">IF(B411="GK",IF(AND(O411&gt;=Assumptions!$B$23,N411&gt;=Assumptions!$B$23),"Sweeper-Keeper / Build-from-the-Back",IF(O411&gt;=Assumptions!$B$23,"Sweeper-Keeper / High Line",IF(M411&gt;=Assumptions!$B$23,"Shot-Stopper / Traditional","Flexible / Multi-System"))),IF(AND(O411&gt;=Assumptions!$B$23,P411&gt;=Assumptions!$B$24),"High Press / Gegenpressing",IF(AND(N411&gt;=Assumptions!$B$23,AB411&gt;=Assumptions!$B$25),"Possession / Build-from-the-Back",IF(N411&gt;=Assumptions!$B$23,"Counter-Attack / Transition",IF(AND(O411&gt;=Assumptions!$B$23,N411&lt;Assumptions!$B$26),"Low Block / Park the Bus",IF(AND(B411="FW",M411&gt;=Assumptions!$B$23,N411&lt;Assumptions!$B$26),"Direct / Target Approach","Flexible / Multi-System"))))))</f>
        <v>Sweeper-Keeper / High Line</v>
      </c>
      <c r="AD411" s="21" t="str">
        <f aca="false">'Player Data'!Y411</f>
        <v>2026-07-17</v>
      </c>
      <c r="AE411" s="21" t="str">
        <f aca="false">'Player Data'!Z411</f>
        <v>2026-07-17</v>
      </c>
      <c r="AF411" s="28" t="str">
        <f aca="false">IFERROR(INDEX(Assumptions!$B$30:$B$61,MATCH(C411,Assumptions!$A$30:$A$61,0)),"--")</f>
        <v>Turkey, Poland</v>
      </c>
      <c r="AG411" s="30" t="str">
        <f aca="false">IF(R411&gt;=0.7,"Step-Up Candidate",IF(R411&gt;=0.4,"Lateral Move","Stay &amp; Develop"))</f>
        <v>Stay &amp; Develop</v>
      </c>
    </row>
    <row r="412" customFormat="false" ht="23.85" hidden="false" customHeight="false" outlineLevel="0" collapsed="false">
      <c r="A412" s="21" t="str">
        <f aca="false">'Player Data'!A412</f>
        <v>Esteban Campos</v>
      </c>
      <c r="B412" s="21" t="str">
        <f aca="false">'Player Data'!F412</f>
        <v>DF</v>
      </c>
      <c r="C412" s="21" t="str">
        <f aca="false">'Player Data'!B412</f>
        <v>Costa Rica</v>
      </c>
      <c r="D412" s="21" t="str">
        <f aca="false">'Player Data'!C412</f>
        <v>Costa Rica Second Division - West</v>
      </c>
      <c r="E412" s="21" t="n">
        <f aca="false">'Player Data'!D412</f>
        <v>4</v>
      </c>
      <c r="F412" s="21" t="n">
        <f aca="false">'Player Data'!G412</f>
        <v>22</v>
      </c>
      <c r="G412" s="21" t="n">
        <f aca="false">'Player Data'!H412</f>
        <v>2621</v>
      </c>
      <c r="H412" s="22" t="n">
        <f aca="false">IF(B412="GK",IFERROR(('Player Data'!N412-1.5*'Player Data'!O412)/'Player Data'!H412*90,0),IFERROR(('Player Data'!I412+'Player Data'!J412)/'Player Data'!H412*90,0))</f>
        <v>0.171690194582221</v>
      </c>
      <c r="I412" s="22" t="n">
        <f aca="false">IF(B412="GK",'Player Data'!P412,IFERROR(('Player Data'!K412+'Player Data'!L412)/'Player Data'!H412*90,0))</f>
        <v>3.26211369706219</v>
      </c>
      <c r="J412" s="22" t="n">
        <f aca="false">IF(B412="GK",IFERROR('Player Data'!Q412/'Player Data'!H412*90,0),IFERROR('Player Data'!M412/'Player Data'!H412*90,0))</f>
        <v>3.29645173597863</v>
      </c>
      <c r="K412" s="23" t="n">
        <f aca="false">'Player Data'!S412</f>
        <v>0</v>
      </c>
      <c r="L412" s="22" t="n">
        <f aca="false">INDEX(Assumptions!$B$13:$B$15,MATCH(E412,Assumptions!$A$13:$A$15,0))</f>
        <v>0.7</v>
      </c>
      <c r="M412" s="24" t="n">
        <f aca="false">IFERROR(SUMPRODUCT(($B$2:$B$1001=B412)*($H$2:$H$1001&lt;=H412))/SUMPRODUCT(($B$2:$B$1001=B412)*1),0)</f>
        <v>0.445578231292517</v>
      </c>
      <c r="N412" s="24" t="n">
        <f aca="false">IFERROR(SUMPRODUCT(($B$2:$B$1001=B412)*($I$2:$I$1001&lt;=I412))/SUMPRODUCT(($B$2:$B$1001=B412)*1),0)</f>
        <v>0.170068027210884</v>
      </c>
      <c r="O412" s="24" t="n">
        <f aca="false">IFERROR(SUMPRODUCT(($B$2:$B$1001=B412)*($J$2:$J$1001&lt;=J412))/SUMPRODUCT(($B$2:$B$1001=B412)*1),0)</f>
        <v>0.054421768707483</v>
      </c>
      <c r="P412" s="24" t="n">
        <f aca="false">IFERROR(SUMPRODUCT(($B$2:$B$1001=B412)*((0-$F$2:$F$1001)&lt;=(0-F412)))/SUMPRODUCT(($B$2:$B$1001=B412)*1),0)</f>
        <v>0.493197278911565</v>
      </c>
      <c r="Q412" s="25" t="n">
        <f aca="false">(M412*Assumptions!$B$5+N412*Assumptions!$B$6+O412*Assumptions!$B$7+P412*Assumptions!$B$8)*L412</f>
        <v>0.196309523809524</v>
      </c>
      <c r="R412" s="24" t="n">
        <f aca="false">IFERROR(SUMPRODUCT(($B$2:$B$1001=B412)*($Q$2:$Q$1001&lt;=Q412))/SUMPRODUCT(($B$2:$B$1001=B412)*1),0)</f>
        <v>0.0714285714285714</v>
      </c>
      <c r="S412" s="24" t="n">
        <f aca="false">IFERROR(SUMPRODUCT(($B$2:$B$1001=B412)*($K$2:$K$1001&lt;=K412))/SUMPRODUCT(($B$2:$B$1001=B412)*1),0)</f>
        <v>0.248299319727891</v>
      </c>
      <c r="T412" s="26" t="n">
        <f aca="false">(R412-S412)*100</f>
        <v>-17.687074829932</v>
      </c>
      <c r="U412" s="21" t="str">
        <f aca="false">'Player Data'!T412</f>
        <v>Yes</v>
      </c>
      <c r="V412" s="27" t="n">
        <f aca="false">'Player Data'!U412</f>
        <v>2027</v>
      </c>
      <c r="W412" s="21" t="str">
        <f aca="false">IF(AND(T412&gt;=Assumptions!$B$19,U412="No"),"High Priority - Unrepresented",IF(T412&gt;=Assumptions!$B$19,"High Priority",IF(AND(T412&gt;=Assumptions!$B$20,U412="No"),"Watchlist - Unrepresented",IF(T412&gt;=Assumptions!$B$20,"Watchlist",""))))</f>
        <v/>
      </c>
      <c r="X412" s="21" t="str">
        <f aca="false">'Player Data'!V412</f>
        <v>info@alajuelafc.cr</v>
      </c>
      <c r="Y412" s="28" t="str">
        <f aca="false">'Player Data'!W412</f>
        <v>Go through the player's agent - ask the club to confirm representation first</v>
      </c>
      <c r="Z412" s="28" t="str">
        <f aca="false">'Player Data'!X412</f>
        <v>FEDEFUTBOL (Costa Rican Football Federation) player registry</v>
      </c>
      <c r="AA412" s="19" t="str">
        <f aca="false">HYPERLINK("https://www.transfermarkt.com/schnellsuche/ergebnis/schnellsuche?query="&amp;SUBSTITUTE(A412," ","+"),"Search Transfermarkt")</f>
        <v>Search Transfermarkt</v>
      </c>
      <c r="AB412" s="29" t="n">
        <f aca="false">IFERROR('Player Data'!K412/('Player Data'!K412+'Player Data'!L412),0)</f>
        <v>0.526315789473684</v>
      </c>
      <c r="AC412" s="21" t="str">
        <f aca="false">IF(B412="GK",IF(AND(O412&gt;=Assumptions!$B$23,N412&gt;=Assumptions!$B$23),"Sweeper-Keeper / Build-from-the-Back",IF(O412&gt;=Assumptions!$B$23,"Sweeper-Keeper / High Line",IF(M412&gt;=Assumptions!$B$23,"Shot-Stopper / Traditional","Flexible / Multi-System"))),IF(AND(O412&gt;=Assumptions!$B$23,P412&gt;=Assumptions!$B$24),"High Press / Gegenpressing",IF(AND(N412&gt;=Assumptions!$B$23,AB412&gt;=Assumptions!$B$25),"Possession / Build-from-the-Back",IF(N412&gt;=Assumptions!$B$23,"Counter-Attack / Transition",IF(AND(O412&gt;=Assumptions!$B$23,N412&lt;Assumptions!$B$26),"Low Block / Park the Bus",IF(AND(B412="FW",M412&gt;=Assumptions!$B$23,N412&lt;Assumptions!$B$26),"Direct / Target Approach","Flexible / Multi-System"))))))</f>
        <v>Flexible / Multi-System</v>
      </c>
      <c r="AD412" s="21" t="str">
        <f aca="false">'Player Data'!Y412</f>
        <v>2026-07-17</v>
      </c>
      <c r="AE412" s="21" t="str">
        <f aca="false">'Player Data'!Z412</f>
        <v>2026-07-17</v>
      </c>
      <c r="AF412" s="28" t="str">
        <f aca="false">IFERROR(INDEX(Assumptions!$B$30:$B$61,MATCH(C412,Assumptions!$A$30:$A$61,0)),"--")</f>
        <v>Mexico, United States</v>
      </c>
      <c r="AG412" s="30" t="str">
        <f aca="false">IF(R412&gt;=0.7,"Step-Up Candidate",IF(R412&gt;=0.4,"Lateral Move","Stay &amp; Develop"))</f>
        <v>Stay &amp; Develop</v>
      </c>
    </row>
    <row r="413" customFormat="false" ht="23.85" hidden="false" customHeight="false" outlineLevel="0" collapsed="false">
      <c r="A413" s="21" t="str">
        <f aca="false">'Player Data'!A413</f>
        <v>Didier Traore</v>
      </c>
      <c r="B413" s="21" t="str">
        <f aca="false">'Player Data'!F413</f>
        <v>DF</v>
      </c>
      <c r="C413" s="21" t="str">
        <f aca="false">'Player Data'!B413</f>
        <v>Ivory Coast</v>
      </c>
      <c r="D413" s="21" t="str">
        <f aca="false">'Player Data'!C413</f>
        <v>Ivory Coast Third Tier - South</v>
      </c>
      <c r="E413" s="21" t="n">
        <f aca="false">'Player Data'!D413</f>
        <v>3</v>
      </c>
      <c r="F413" s="21" t="n">
        <f aca="false">'Player Data'!G413</f>
        <v>18</v>
      </c>
      <c r="G413" s="21" t="n">
        <f aca="false">'Player Data'!H413</f>
        <v>1378</v>
      </c>
      <c r="H413" s="22" t="n">
        <f aca="false">IF(B413="GK",IFERROR(('Player Data'!N413-1.5*'Player Data'!O413)/'Player Data'!H413*90,0),IFERROR(('Player Data'!I413+'Player Data'!J413)/'Player Data'!H413*90,0))</f>
        <v>0.130624092888244</v>
      </c>
      <c r="I413" s="22" t="n">
        <f aca="false">IF(B413="GK",'Player Data'!P413,IFERROR(('Player Data'!K413+'Player Data'!L413)/'Player Data'!H413*90,0))</f>
        <v>7.38026124818578</v>
      </c>
      <c r="J413" s="22" t="n">
        <f aca="false">IF(B413="GK",IFERROR('Player Data'!Q413/'Player Data'!H413*90,0),IFERROR('Player Data'!M413/'Player Data'!H413*90,0))</f>
        <v>7.90275761973875</v>
      </c>
      <c r="K413" s="23" t="n">
        <f aca="false">'Player Data'!S413</f>
        <v>53415</v>
      </c>
      <c r="L413" s="22" t="n">
        <f aca="false">INDEX(Assumptions!$B$13:$B$15,MATCH(E413,Assumptions!$A$13:$A$15,0))</f>
        <v>0.85</v>
      </c>
      <c r="M413" s="24" t="n">
        <f aca="false">IFERROR(SUMPRODUCT(($B$2:$B$1001=B413)*($H$2:$H$1001&lt;=H413))/SUMPRODUCT(($B$2:$B$1001=B413)*1),0)</f>
        <v>0.295918367346939</v>
      </c>
      <c r="N413" s="24" t="n">
        <f aca="false">IFERROR(SUMPRODUCT(($B$2:$B$1001=B413)*($I$2:$I$1001&lt;=I413))/SUMPRODUCT(($B$2:$B$1001=B413)*1),0)</f>
        <v>0.846938775510204</v>
      </c>
      <c r="O413" s="24" t="n">
        <f aca="false">IFERROR(SUMPRODUCT(($B$2:$B$1001=B413)*($J$2:$J$1001&lt;=J413))/SUMPRODUCT(($B$2:$B$1001=B413)*1),0)</f>
        <v>0.836734693877551</v>
      </c>
      <c r="P413" s="24" t="n">
        <f aca="false">IFERROR(SUMPRODUCT(($B$2:$B$1001=B413)*((0-$F$2:$F$1001)&lt;=(0-F413)))/SUMPRODUCT(($B$2:$B$1001=B413)*1),0)</f>
        <v>0.863945578231293</v>
      </c>
      <c r="Q413" s="25" t="n">
        <f aca="false">(M413*Assumptions!$B$5+N413*Assumptions!$B$6+O413*Assumptions!$B$7+P413*Assumptions!$B$8)*L413</f>
        <v>0.603962585034014</v>
      </c>
      <c r="R413" s="24" t="n">
        <f aca="false">IFERROR(SUMPRODUCT(($B$2:$B$1001=B413)*($Q$2:$Q$1001&lt;=Q413))/SUMPRODUCT(($B$2:$B$1001=B413)*1),0)</f>
        <v>0.775510204081633</v>
      </c>
      <c r="S413" s="24" t="n">
        <f aca="false">IFERROR(SUMPRODUCT(($B$2:$B$1001=B413)*($K$2:$K$1001&lt;=K413))/SUMPRODUCT(($B$2:$B$1001=B413)*1),0)</f>
        <v>0.445578231292517</v>
      </c>
      <c r="T413" s="26" t="n">
        <f aca="false">(R413-S413)*100</f>
        <v>32.9931972789116</v>
      </c>
      <c r="U413" s="21" t="str">
        <f aca="false">'Player Data'!T413</f>
        <v>No</v>
      </c>
      <c r="V413" s="27" t="n">
        <f aca="false">'Player Data'!U413</f>
        <v>2029</v>
      </c>
      <c r="W413" s="21" t="str">
        <f aca="false">IF(AND(T413&gt;=Assumptions!$B$19,U413="No"),"High Priority - Unrepresented",IF(T413&gt;=Assumptions!$B$19,"High Priority",IF(AND(T413&gt;=Assumptions!$B$20,U413="No"),"Watchlist - Unrepresented",IF(T413&gt;=Assumptions!$B$20,"Watchlist",""))))</f>
        <v>Watchlist - Unrepresented</v>
      </c>
      <c r="X413" s="21" t="str">
        <f aca="false">'Player Data'!V413</f>
        <v>info@abidjantown.ci</v>
      </c>
      <c r="Y413" s="28" t="str">
        <f aca="false">'Player Data'!W413</f>
        <v>Club sporting director / first-team office</v>
      </c>
      <c r="Z413" s="28" t="str">
        <f aca="false">'Player Data'!X413</f>
        <v>FIF (Ivorian Football Federation) player registry</v>
      </c>
      <c r="AA413" s="19" t="str">
        <f aca="false">HYPERLINK("https://www.transfermarkt.com/schnellsuche/ergebnis/schnellsuche?query="&amp;SUBSTITUTE(A413," ","+"),"Search Transfermarkt")</f>
        <v>Search Transfermarkt</v>
      </c>
      <c r="AB413" s="29" t="n">
        <f aca="false">IFERROR('Player Data'!K413/('Player Data'!K413+'Player Data'!L413),0)</f>
        <v>0.601769911504425</v>
      </c>
      <c r="AC413" s="21" t="str">
        <f aca="false">IF(B413="GK",IF(AND(O413&gt;=Assumptions!$B$23,N413&gt;=Assumptions!$B$23),"Sweeper-Keeper / Build-from-the-Back",IF(O413&gt;=Assumptions!$B$23,"Sweeper-Keeper / High Line",IF(M413&gt;=Assumptions!$B$23,"Shot-Stopper / Traditional","Flexible / Multi-System"))),IF(AND(O413&gt;=Assumptions!$B$23,P413&gt;=Assumptions!$B$24),"High Press / Gegenpressing",IF(AND(N413&gt;=Assumptions!$B$23,AB413&gt;=Assumptions!$B$25),"Possession / Build-from-the-Back",IF(N413&gt;=Assumptions!$B$23,"Counter-Attack / Transition",IF(AND(O413&gt;=Assumptions!$B$23,N413&lt;Assumptions!$B$26),"Low Block / Park the Bus",IF(AND(B413="FW",M413&gt;=Assumptions!$B$23,N413&lt;Assumptions!$B$26),"Direct / Target Approach","Flexible / Multi-System"))))))</f>
        <v>High Press / Gegenpressing</v>
      </c>
      <c r="AD413" s="21" t="str">
        <f aca="false">'Player Data'!Y413</f>
        <v>2026-07-17</v>
      </c>
      <c r="AE413" s="21" t="str">
        <f aca="false">'Player Data'!Z413</f>
        <v>2026-07-17</v>
      </c>
      <c r="AF413" s="28" t="str">
        <f aca="false">IFERROR(INDEX(Assumptions!$B$30:$B$61,MATCH(C413,Assumptions!$A$30:$A$61,0)),"--")</f>
        <v>Belgium, Portugal</v>
      </c>
      <c r="AG413" s="30" t="str">
        <f aca="false">IF(R413&gt;=0.7,"Step-Up Candidate",IF(R413&gt;=0.4,"Lateral Move","Stay &amp; Develop"))</f>
        <v>Step-Up Candidate</v>
      </c>
    </row>
    <row r="414" customFormat="false" ht="23.85" hidden="false" customHeight="false" outlineLevel="0" collapsed="false">
      <c r="A414" s="21" t="str">
        <f aca="false">'Player Data'!A414</f>
        <v>Jean Njie</v>
      </c>
      <c r="B414" s="21" t="str">
        <f aca="false">'Player Data'!F414</f>
        <v>GK</v>
      </c>
      <c r="C414" s="21" t="str">
        <f aca="false">'Player Data'!B414</f>
        <v>Cameroon</v>
      </c>
      <c r="D414" s="21" t="str">
        <f aca="false">'Player Data'!C414</f>
        <v>Cameroon Third Tier - South</v>
      </c>
      <c r="E414" s="21" t="n">
        <f aca="false">'Player Data'!D414</f>
        <v>3</v>
      </c>
      <c r="F414" s="21" t="n">
        <f aca="false">'Player Data'!G414</f>
        <v>20</v>
      </c>
      <c r="G414" s="21" t="n">
        <f aca="false">'Player Data'!H414</f>
        <v>2179</v>
      </c>
      <c r="H414" s="22" t="n">
        <f aca="false">IF(B414="GK",IFERROR(('Player Data'!N414-1.5*'Player Data'!O414)/'Player Data'!H414*90,0),IFERROR(('Player Data'!I414+'Player Data'!J414)/'Player Data'!H414*90,0))</f>
        <v>1.42496558054153</v>
      </c>
      <c r="I414" s="22" t="n">
        <f aca="false">IF(B414="GK",'Player Data'!P414,IFERROR(('Player Data'!K414+'Player Data'!L414)/'Player Data'!H414*90,0))</f>
        <v>72.9</v>
      </c>
      <c r="J414" s="22" t="n">
        <f aca="false">IF(B414="GK",IFERROR('Player Data'!Q414/'Player Data'!H414*90,0),IFERROR('Player Data'!M414/'Player Data'!H414*90,0))</f>
        <v>0.305644791188619</v>
      </c>
      <c r="K414" s="23" t="n">
        <f aca="false">'Player Data'!S414</f>
        <v>95119</v>
      </c>
      <c r="L414" s="22" t="n">
        <f aca="false">INDEX(Assumptions!$B$13:$B$15,MATCH(E414,Assumptions!$A$13:$A$15,0))</f>
        <v>0.85</v>
      </c>
      <c r="M414" s="24" t="n">
        <f aca="false">IFERROR(SUMPRODUCT(($B$2:$B$1001=B414)*($H$2:$H$1001&lt;=H414))/SUMPRODUCT(($B$2:$B$1001=B414)*1),0)</f>
        <v>0.644808743169399</v>
      </c>
      <c r="N414" s="24" t="n">
        <f aca="false">IFERROR(SUMPRODUCT(($B$2:$B$1001=B414)*($I$2:$I$1001&lt;=I414))/SUMPRODUCT(($B$2:$B$1001=B414)*1),0)</f>
        <v>0.508196721311475</v>
      </c>
      <c r="O414" s="24" t="n">
        <f aca="false">IFERROR(SUMPRODUCT(($B$2:$B$1001=B414)*($J$2:$J$1001&lt;=J414))/SUMPRODUCT(($B$2:$B$1001=B414)*1),0)</f>
        <v>0.131147540983607</v>
      </c>
      <c r="P414" s="24" t="n">
        <f aca="false">IFERROR(SUMPRODUCT(($B$2:$B$1001=B414)*((0-$F$2:$F$1001)&lt;=(0-F414)))/SUMPRODUCT(($B$2:$B$1001=B414)*1),0)</f>
        <v>0.677595628415301</v>
      </c>
      <c r="Q414" s="25" t="n">
        <f aca="false">(M414*Assumptions!$B$5+N414*Assumptions!$B$6+O414*Assumptions!$B$7+P414*Assumptions!$B$8)*L414</f>
        <v>0.425696721311475</v>
      </c>
      <c r="R414" s="24" t="n">
        <f aca="false">IFERROR(SUMPRODUCT(($B$2:$B$1001=B414)*($Q$2:$Q$1001&lt;=Q414))/SUMPRODUCT(($B$2:$B$1001=B414)*1),0)</f>
        <v>0.415300546448087</v>
      </c>
      <c r="S414" s="24" t="n">
        <f aca="false">IFERROR(SUMPRODUCT(($B$2:$B$1001=B414)*($K$2:$K$1001&lt;=K414))/SUMPRODUCT(($B$2:$B$1001=B414)*1),0)</f>
        <v>0.672131147540984</v>
      </c>
      <c r="T414" s="26" t="n">
        <f aca="false">(R414-S414)*100</f>
        <v>-25.6830601092896</v>
      </c>
      <c r="U414" s="21" t="str">
        <f aca="false">'Player Data'!T414</f>
        <v>Unknown</v>
      </c>
      <c r="V414" s="27" t="n">
        <f aca="false">'Player Data'!U414</f>
        <v>2028</v>
      </c>
      <c r="W414" s="21" t="str">
        <f aca="false">IF(AND(T414&gt;=Assumptions!$B$19,U414="No"),"High Priority - Unrepresented",IF(T414&gt;=Assumptions!$B$19,"High Priority",IF(AND(T414&gt;=Assumptions!$B$20,U414="No"),"Watchlist - Unrepresented",IF(T414&gt;=Assumptions!$B$20,"Watchlist",""))))</f>
        <v/>
      </c>
      <c r="X414" s="21" t="str">
        <f aca="false">'Player Data'!V414</f>
        <v>info@doualatown.cm</v>
      </c>
      <c r="Y414" s="28" t="str">
        <f aca="false">'Player Data'!W414</f>
        <v>Club sporting director / first-team office</v>
      </c>
      <c r="Z414" s="28" t="str">
        <f aca="false">'Player Data'!X414</f>
        <v>FECAFOOT (Cameroonian Football Federation) player registry</v>
      </c>
      <c r="AA414" s="19" t="str">
        <f aca="false">HYPERLINK("https://www.transfermarkt.com/schnellsuche/ergebnis/schnellsuche?query="&amp;SUBSTITUTE(A414," ","+"),"Search Transfermarkt")</f>
        <v>Search Transfermarkt</v>
      </c>
      <c r="AB414" s="29" t="n">
        <f aca="false">IFERROR('Player Data'!K414/('Player Data'!K414+'Player Data'!L414),0)</f>
        <v>0.5</v>
      </c>
      <c r="AC414" s="21" t="str">
        <f aca="false">IF(B414="GK",IF(AND(O414&gt;=Assumptions!$B$23,N414&gt;=Assumptions!$B$23),"Sweeper-Keeper / Build-from-the-Back",IF(O414&gt;=Assumptions!$B$23,"Sweeper-Keeper / High Line",IF(M414&gt;=Assumptions!$B$23,"Shot-Stopper / Traditional","Flexible / Multi-System"))),IF(AND(O414&gt;=Assumptions!$B$23,P414&gt;=Assumptions!$B$24),"High Press / Gegenpressing",IF(AND(N414&gt;=Assumptions!$B$23,AB414&gt;=Assumptions!$B$25),"Possession / Build-from-the-Back",IF(N414&gt;=Assumptions!$B$23,"Counter-Attack / Transition",IF(AND(O414&gt;=Assumptions!$B$23,N414&lt;Assumptions!$B$26),"Low Block / Park the Bus",IF(AND(B414="FW",M414&gt;=Assumptions!$B$23,N414&lt;Assumptions!$B$26),"Direct / Target Approach","Flexible / Multi-System"))))))</f>
        <v>Flexible / Multi-System</v>
      </c>
      <c r="AD414" s="21" t="str">
        <f aca="false">'Player Data'!Y414</f>
        <v>2026-07-17</v>
      </c>
      <c r="AE414" s="21" t="str">
        <f aca="false">'Player Data'!Z414</f>
        <v>2026-07-17</v>
      </c>
      <c r="AF414" s="28" t="str">
        <f aca="false">IFERROR(INDEX(Assumptions!$B$30:$B$61,MATCH(C414,Assumptions!$A$30:$A$61,0)),"--")</f>
        <v>Belgium, Portugal</v>
      </c>
      <c r="AG414" s="30" t="str">
        <f aca="false">IF(R414&gt;=0.7,"Step-Up Candidate",IF(R414&gt;=0.4,"Lateral Move","Stay &amp; Develop"))</f>
        <v>Lateral Move</v>
      </c>
    </row>
    <row r="415" customFormat="false" ht="23.85" hidden="false" customHeight="false" outlineLevel="0" collapsed="false">
      <c r="A415" s="21" t="str">
        <f aca="false">'Player Data'!A415</f>
        <v>Jon Olafsson</v>
      </c>
      <c r="B415" s="21" t="str">
        <f aca="false">'Player Data'!F415</f>
        <v>DF</v>
      </c>
      <c r="C415" s="21" t="str">
        <f aca="false">'Player Data'!B415</f>
        <v>Iceland</v>
      </c>
      <c r="D415" s="21" t="str">
        <f aca="false">'Player Data'!C415</f>
        <v>Iceland Third Tier - South</v>
      </c>
      <c r="E415" s="21" t="n">
        <f aca="false">'Player Data'!D415</f>
        <v>3</v>
      </c>
      <c r="F415" s="21" t="n">
        <f aca="false">'Player Data'!G415</f>
        <v>22</v>
      </c>
      <c r="G415" s="21" t="n">
        <f aca="false">'Player Data'!H415</f>
        <v>1541</v>
      </c>
      <c r="H415" s="22" t="n">
        <f aca="false">IF(B415="GK",IFERROR(('Player Data'!N415-1.5*'Player Data'!O415)/'Player Data'!H415*90,0),IFERROR(('Player Data'!I415+'Player Data'!J415)/'Player Data'!H415*90,0))</f>
        <v>0.233614536015574</v>
      </c>
      <c r="I415" s="22" t="n">
        <f aca="false">IF(B415="GK",'Player Data'!P415,IFERROR(('Player Data'!K415+'Player Data'!L415)/'Player Data'!H415*90,0))</f>
        <v>5.72355613238157</v>
      </c>
      <c r="J415" s="22" t="n">
        <f aca="false">IF(B415="GK",IFERROR('Player Data'!Q415/'Player Data'!H415*90,0),IFERROR('Player Data'!M415/'Player Data'!H415*90,0))</f>
        <v>6.54120700843608</v>
      </c>
      <c r="K415" s="23" t="n">
        <f aca="false">'Player Data'!S415</f>
        <v>80008</v>
      </c>
      <c r="L415" s="22" t="n">
        <f aca="false">INDEX(Assumptions!$B$13:$B$15,MATCH(E415,Assumptions!$A$13:$A$15,0))</f>
        <v>0.85</v>
      </c>
      <c r="M415" s="24" t="n">
        <f aca="false">IFERROR(SUMPRODUCT(($B$2:$B$1001=B415)*($H$2:$H$1001&lt;=H415))/SUMPRODUCT(($B$2:$B$1001=B415)*1),0)</f>
        <v>0.615646258503401</v>
      </c>
      <c r="N415" s="24" t="n">
        <f aca="false">IFERROR(SUMPRODUCT(($B$2:$B$1001=B415)*($I$2:$I$1001&lt;=I415))/SUMPRODUCT(($B$2:$B$1001=B415)*1),0)</f>
        <v>0.704081632653061</v>
      </c>
      <c r="O415" s="24" t="n">
        <f aca="false">IFERROR(SUMPRODUCT(($B$2:$B$1001=B415)*($J$2:$J$1001&lt;=J415))/SUMPRODUCT(($B$2:$B$1001=B415)*1),0)</f>
        <v>0.687074829931973</v>
      </c>
      <c r="P415" s="24" t="n">
        <f aca="false">IFERROR(SUMPRODUCT(($B$2:$B$1001=B415)*((0-$F$2:$F$1001)&lt;=(0-F415)))/SUMPRODUCT(($B$2:$B$1001=B415)*1),0)</f>
        <v>0.493197278911565</v>
      </c>
      <c r="Q415" s="25" t="n">
        <f aca="false">(M415*Assumptions!$B$5+N415*Assumptions!$B$6+O415*Assumptions!$B$7+P415*Assumptions!$B$8)*L415</f>
        <v>0.54093537414966</v>
      </c>
      <c r="R415" s="24" t="n">
        <f aca="false">IFERROR(SUMPRODUCT(($B$2:$B$1001=B415)*($Q$2:$Q$1001&lt;=Q415))/SUMPRODUCT(($B$2:$B$1001=B415)*1),0)</f>
        <v>0.680272108843537</v>
      </c>
      <c r="S415" s="24" t="n">
        <f aca="false">IFERROR(SUMPRODUCT(($B$2:$B$1001=B415)*($K$2:$K$1001&lt;=K415))/SUMPRODUCT(($B$2:$B$1001=B415)*1),0)</f>
        <v>0.615646258503401</v>
      </c>
      <c r="T415" s="26" t="n">
        <f aca="false">(R415-S415)*100</f>
        <v>6.4625850340136</v>
      </c>
      <c r="U415" s="21" t="str">
        <f aca="false">'Player Data'!T415</f>
        <v>No</v>
      </c>
      <c r="V415" s="27" t="n">
        <f aca="false">'Player Data'!U415</f>
        <v>2028</v>
      </c>
      <c r="W415" s="21" t="str">
        <f aca="false">IF(AND(T415&gt;=Assumptions!$B$19,U415="No"),"High Priority - Unrepresented",IF(T415&gt;=Assumptions!$B$19,"High Priority",IF(AND(T415&gt;=Assumptions!$B$20,U415="No"),"Watchlist - Unrepresented",IF(T415&gt;=Assumptions!$B$20,"Watchlist",""))))</f>
        <v/>
      </c>
      <c r="X415" s="21" t="str">
        <f aca="false">'Player Data'!V415</f>
        <v>info@vestmannaeyjartown.is</v>
      </c>
      <c r="Y415" s="28" t="str">
        <f aca="false">'Player Data'!W415</f>
        <v>Club sporting director / first-team office</v>
      </c>
      <c r="Z415" s="28" t="str">
        <f aca="false">'Player Data'!X415</f>
        <v>KSI (Icelandic Football Association) player registry</v>
      </c>
      <c r="AA415" s="19" t="str">
        <f aca="false">HYPERLINK("https://www.transfermarkt.com/schnellsuche/ergebnis/schnellsuche?query="&amp;SUBSTITUTE(A415," ","+"),"Search Transfermarkt")</f>
        <v>Search Transfermarkt</v>
      </c>
      <c r="AB415" s="29" t="n">
        <f aca="false">IFERROR('Player Data'!K415/('Player Data'!K415+'Player Data'!L415),0)</f>
        <v>0.622448979591837</v>
      </c>
      <c r="AC415" s="21" t="str">
        <f aca="false">IF(B415="GK",IF(AND(O415&gt;=Assumptions!$B$23,N415&gt;=Assumptions!$B$23),"Sweeper-Keeper / Build-from-the-Back",IF(O415&gt;=Assumptions!$B$23,"Sweeper-Keeper / High Line",IF(M415&gt;=Assumptions!$B$23,"Shot-Stopper / Traditional","Flexible / Multi-System"))),IF(AND(O415&gt;=Assumptions!$B$23,P415&gt;=Assumptions!$B$24),"High Press / Gegenpressing",IF(AND(N415&gt;=Assumptions!$B$23,AB415&gt;=Assumptions!$B$25),"Possession / Build-from-the-Back",IF(N415&gt;=Assumptions!$B$23,"Counter-Attack / Transition",IF(AND(O415&gt;=Assumptions!$B$23,N415&lt;Assumptions!$B$26),"Low Block / Park the Bus",IF(AND(B415="FW",M415&gt;=Assumptions!$B$23,N415&lt;Assumptions!$B$26),"Direct / Target Approach","Flexible / Multi-System"))))))</f>
        <v>Possession / Build-from-the-Back</v>
      </c>
      <c r="AD415" s="21" t="str">
        <f aca="false">'Player Data'!Y415</f>
        <v>2026-07-17</v>
      </c>
      <c r="AE415" s="21" t="str">
        <f aca="false">'Player Data'!Z415</f>
        <v>2026-07-17</v>
      </c>
      <c r="AF415" s="28" t="str">
        <f aca="false">IFERROR(INDEX(Assumptions!$B$30:$B$61,MATCH(C415,Assumptions!$A$30:$A$61,0)),"--")</f>
        <v>Norway, Belgium</v>
      </c>
      <c r="AG415" s="30" t="str">
        <f aca="false">IF(R415&gt;=0.7,"Step-Up Candidate",IF(R415&gt;=0.4,"Lateral Move","Stay &amp; Develop"))</f>
        <v>Lateral Move</v>
      </c>
    </row>
    <row r="416" customFormat="false" ht="23.85" hidden="false" customHeight="false" outlineLevel="0" collapsed="false">
      <c r="A416" s="21" t="str">
        <f aca="false">'Player Data'!A416</f>
        <v>Nika Beridze</v>
      </c>
      <c r="B416" s="21" t="str">
        <f aca="false">'Player Data'!F416</f>
        <v>MF</v>
      </c>
      <c r="C416" s="21" t="str">
        <f aca="false">'Player Data'!B416</f>
        <v>Georgia</v>
      </c>
      <c r="D416" s="21" t="str">
        <f aca="false">'Player Data'!C416</f>
        <v>Georgia Regional League</v>
      </c>
      <c r="E416" s="21" t="n">
        <f aca="false">'Player Data'!D416</f>
        <v>2</v>
      </c>
      <c r="F416" s="21" t="n">
        <f aca="false">'Player Data'!G416</f>
        <v>26</v>
      </c>
      <c r="G416" s="21" t="n">
        <f aca="false">'Player Data'!H416</f>
        <v>2029</v>
      </c>
      <c r="H416" s="22" t="n">
        <f aca="false">IF(B416="GK",IFERROR(('Player Data'!N416-1.5*'Player Data'!O416)/'Player Data'!H416*90,0),IFERROR(('Player Data'!I416+'Player Data'!J416)/'Player Data'!H416*90,0))</f>
        <v>0.842779694430754</v>
      </c>
      <c r="I416" s="22" t="n">
        <f aca="false">IF(B416="GK",'Player Data'!P416,IFERROR(('Player Data'!K416+'Player Data'!L416)/'Player Data'!H416*90,0))</f>
        <v>9.27057663873829</v>
      </c>
      <c r="J416" s="22" t="n">
        <f aca="false">IF(B416="GK",IFERROR('Player Data'!Q416/'Player Data'!H416*90,0),IFERROR('Player Data'!M416/'Player Data'!H416*90,0))</f>
        <v>2.35091177920158</v>
      </c>
      <c r="K416" s="23" t="n">
        <f aca="false">'Player Data'!S416</f>
        <v>91509</v>
      </c>
      <c r="L416" s="22" t="n">
        <f aca="false">INDEX(Assumptions!$B$13:$B$15,MATCH(E416,Assumptions!$A$13:$A$15,0))</f>
        <v>1</v>
      </c>
      <c r="M416" s="24" t="n">
        <f aca="false">IFERROR(SUMPRODUCT(($B$2:$B$1001=B416)*($H$2:$H$1001&lt;=H416))/SUMPRODUCT(($B$2:$B$1001=B416)*1),0)</f>
        <v>0.643097643097643</v>
      </c>
      <c r="N416" s="24" t="n">
        <f aca="false">IFERROR(SUMPRODUCT(($B$2:$B$1001=B416)*($I$2:$I$1001&lt;=I416))/SUMPRODUCT(($B$2:$B$1001=B416)*1),0)</f>
        <v>0.32996632996633</v>
      </c>
      <c r="O416" s="24" t="n">
        <f aca="false">IFERROR(SUMPRODUCT(($B$2:$B$1001=B416)*($J$2:$J$1001&lt;=J416))/SUMPRODUCT(($B$2:$B$1001=B416)*1),0)</f>
        <v>0.579124579124579</v>
      </c>
      <c r="P416" s="24" t="n">
        <f aca="false">IFERROR(SUMPRODUCT(($B$2:$B$1001=B416)*((0-$F$2:$F$1001)&lt;=(0-F416)))/SUMPRODUCT(($B$2:$B$1001=B416)*1),0)</f>
        <v>0.0909090909090909</v>
      </c>
      <c r="Q416" s="25" t="n">
        <f aca="false">(M416*Assumptions!$B$5+N416*Assumptions!$B$6+O416*Assumptions!$B$7+P416*Assumptions!$B$8)*L416</f>
        <v>0.41026936026936</v>
      </c>
      <c r="R416" s="24" t="n">
        <f aca="false">IFERROR(SUMPRODUCT(($B$2:$B$1001=B416)*($Q$2:$Q$1001&lt;=Q416))/SUMPRODUCT(($B$2:$B$1001=B416)*1),0)</f>
        <v>0.441077441077441</v>
      </c>
      <c r="S416" s="24" t="n">
        <f aca="false">IFERROR(SUMPRODUCT(($B$2:$B$1001=B416)*($K$2:$K$1001&lt;=K416))/SUMPRODUCT(($B$2:$B$1001=B416)*1),0)</f>
        <v>0.696969696969697</v>
      </c>
      <c r="T416" s="26" t="n">
        <f aca="false">(R416-S416)*100</f>
        <v>-25.5892255892256</v>
      </c>
      <c r="U416" s="21" t="str">
        <f aca="false">'Player Data'!T416</f>
        <v>Unknown</v>
      </c>
      <c r="V416" s="27" t="n">
        <f aca="false">'Player Data'!U416</f>
        <v>2028</v>
      </c>
      <c r="W416" s="21" t="str">
        <f aca="false">IF(AND(T416&gt;=Assumptions!$B$19,U416="No"),"High Priority - Unrepresented",IF(T416&gt;=Assumptions!$B$19,"High Priority",IF(AND(T416&gt;=Assumptions!$B$20,U416="No"),"Watchlist - Unrepresented",IF(T416&gt;=Assumptions!$B$20,"Watchlist",""))))</f>
        <v/>
      </c>
      <c r="X416" s="21" t="str">
        <f aca="false">'Player Data'!V416</f>
        <v>info@batumifc.ge</v>
      </c>
      <c r="Y416" s="28" t="str">
        <f aca="false">'Player Data'!W416</f>
        <v>Club sporting director / first-team office</v>
      </c>
      <c r="Z416" s="28" t="str">
        <f aca="false">'Player Data'!X416</f>
        <v>GFF (Georgian Football Federation) player registry</v>
      </c>
      <c r="AA416" s="19" t="str">
        <f aca="false">HYPERLINK("https://www.transfermarkt.com/schnellsuche/ergebnis/schnellsuche?query="&amp;SUBSTITUTE(A416," ","+"),"Search Transfermarkt")</f>
        <v>Search Transfermarkt</v>
      </c>
      <c r="AB416" s="29" t="n">
        <f aca="false">IFERROR('Player Data'!K416/('Player Data'!K416+'Player Data'!L416),0)</f>
        <v>0.703349282296651</v>
      </c>
      <c r="AC416" s="21" t="str">
        <f aca="false">IF(B416="GK",IF(AND(O416&gt;=Assumptions!$B$23,N416&gt;=Assumptions!$B$23),"Sweeper-Keeper / Build-from-the-Back",IF(O416&gt;=Assumptions!$B$23,"Sweeper-Keeper / High Line",IF(M416&gt;=Assumptions!$B$23,"Shot-Stopper / Traditional","Flexible / Multi-System"))),IF(AND(O416&gt;=Assumptions!$B$23,P416&gt;=Assumptions!$B$24),"High Press / Gegenpressing",IF(AND(N416&gt;=Assumptions!$B$23,AB416&gt;=Assumptions!$B$25),"Possession / Build-from-the-Back",IF(N416&gt;=Assumptions!$B$23,"Counter-Attack / Transition",IF(AND(O416&gt;=Assumptions!$B$23,N416&lt;Assumptions!$B$26),"Low Block / Park the Bus",IF(AND(B416="FW",M416&gt;=Assumptions!$B$23,N416&lt;Assumptions!$B$26),"Direct / Target Approach","Flexible / Multi-System"))))))</f>
        <v>Flexible / Multi-System</v>
      </c>
      <c r="AD416" s="21" t="str">
        <f aca="false">'Player Data'!Y416</f>
        <v>2026-07-17</v>
      </c>
      <c r="AE416" s="21" t="str">
        <f aca="false">'Player Data'!Z416</f>
        <v>2026-07-17</v>
      </c>
      <c r="AF416" s="28" t="str">
        <f aca="false">IFERROR(INDEX(Assumptions!$B$30:$B$61,MATCH(C416,Assumptions!$A$30:$A$61,0)),"--")</f>
        <v>Turkey, Poland</v>
      </c>
      <c r="AG416" s="30" t="str">
        <f aca="false">IF(R416&gt;=0.7,"Step-Up Candidate",IF(R416&gt;=0.4,"Lateral Move","Stay &amp; Develop"))</f>
        <v>Lateral Move</v>
      </c>
    </row>
    <row r="417" customFormat="false" ht="23.85" hidden="false" customHeight="false" outlineLevel="0" collapsed="false">
      <c r="A417" s="21" t="str">
        <f aca="false">'Player Data'!A417</f>
        <v>Matias Ramirez</v>
      </c>
      <c r="B417" s="21" t="str">
        <f aca="false">'Player Data'!F417</f>
        <v>DF</v>
      </c>
      <c r="C417" s="21" t="str">
        <f aca="false">'Player Data'!B417</f>
        <v>Paraguay</v>
      </c>
      <c r="D417" s="21" t="str">
        <f aca="false">'Player Data'!C417</f>
        <v>Paraguay Provincial League</v>
      </c>
      <c r="E417" s="21" t="n">
        <f aca="false">'Player Data'!D417</f>
        <v>4</v>
      </c>
      <c r="F417" s="21" t="n">
        <f aca="false">'Player Data'!G417</f>
        <v>23</v>
      </c>
      <c r="G417" s="21" t="n">
        <f aca="false">'Player Data'!H417</f>
        <v>2378</v>
      </c>
      <c r="H417" s="22" t="n">
        <f aca="false">IF(B417="GK",IFERROR(('Player Data'!N417-1.5*'Player Data'!O417)/'Player Data'!H417*90,0),IFERROR(('Player Data'!I417+'Player Data'!J417)/'Player Data'!H417*90,0))</f>
        <v>0.11354079058032</v>
      </c>
      <c r="I417" s="22" t="n">
        <f aca="false">IF(B417="GK",'Player Data'!P417,IFERROR(('Player Data'!K417+'Player Data'!L417)/'Player Data'!H417*90,0))</f>
        <v>3.25483599663583</v>
      </c>
      <c r="J417" s="22" t="n">
        <f aca="false">IF(B417="GK",IFERROR('Player Data'!Q417/'Player Data'!H417*90,0),IFERROR('Player Data'!M417/'Player Data'!H417*90,0))</f>
        <v>3.70899915895711</v>
      </c>
      <c r="K417" s="23" t="n">
        <f aca="false">'Player Data'!S417</f>
        <v>0</v>
      </c>
      <c r="L417" s="22" t="n">
        <f aca="false">INDEX(Assumptions!$B$13:$B$15,MATCH(E417,Assumptions!$A$13:$A$15,0))</f>
        <v>0.7</v>
      </c>
      <c r="M417" s="24" t="n">
        <f aca="false">IFERROR(SUMPRODUCT(($B$2:$B$1001=B417)*($H$2:$H$1001&lt;=H417))/SUMPRODUCT(($B$2:$B$1001=B417)*1),0)</f>
        <v>0.248299319727891</v>
      </c>
      <c r="N417" s="24" t="n">
        <f aca="false">IFERROR(SUMPRODUCT(($B$2:$B$1001=B417)*($I$2:$I$1001&lt;=I417))/SUMPRODUCT(($B$2:$B$1001=B417)*1),0)</f>
        <v>0.163265306122449</v>
      </c>
      <c r="O417" s="24" t="n">
        <f aca="false">IFERROR(SUMPRODUCT(($B$2:$B$1001=B417)*($J$2:$J$1001&lt;=J417))/SUMPRODUCT(($B$2:$B$1001=B417)*1),0)</f>
        <v>0.173469387755102</v>
      </c>
      <c r="P417" s="24" t="n">
        <f aca="false">IFERROR(SUMPRODUCT(($B$2:$B$1001=B417)*((0-$F$2:$F$1001)&lt;=(0-F417)))/SUMPRODUCT(($B$2:$B$1001=B417)*1),0)</f>
        <v>0.374149659863946</v>
      </c>
      <c r="Q417" s="25" t="n">
        <f aca="false">(M417*Assumptions!$B$5+N417*Assumptions!$B$6+O417*Assumptions!$B$7+P417*Assumptions!$B$8)*L417</f>
        <v>0.160119047619048</v>
      </c>
      <c r="R417" s="24" t="n">
        <f aca="false">IFERROR(SUMPRODUCT(($B$2:$B$1001=B417)*($Q$2:$Q$1001&lt;=Q417))/SUMPRODUCT(($B$2:$B$1001=B417)*1),0)</f>
        <v>0.0408163265306122</v>
      </c>
      <c r="S417" s="24" t="n">
        <f aca="false">IFERROR(SUMPRODUCT(($B$2:$B$1001=B417)*($K$2:$K$1001&lt;=K417))/SUMPRODUCT(($B$2:$B$1001=B417)*1),0)</f>
        <v>0.248299319727891</v>
      </c>
      <c r="T417" s="26" t="n">
        <f aca="false">(R417-S417)*100</f>
        <v>-20.7482993197279</v>
      </c>
      <c r="U417" s="21" t="str">
        <f aca="false">'Player Data'!T417</f>
        <v>No</v>
      </c>
      <c r="V417" s="27" t="n">
        <f aca="false">'Player Data'!U417</f>
        <v>2026</v>
      </c>
      <c r="W417" s="21" t="str">
        <f aca="false">IF(AND(T417&gt;=Assumptions!$B$19,U417="No"),"High Priority - Unrepresented",IF(T417&gt;=Assumptions!$B$19,"High Priority",IF(AND(T417&gt;=Assumptions!$B$20,U417="No"),"Watchlist - Unrepresented",IF(T417&gt;=Assumptions!$B$20,"Watchlist",""))))</f>
        <v/>
      </c>
      <c r="X417" s="21" t="str">
        <f aca="false">'Player Data'!V417</f>
        <v>info@encarnacionunited.py</v>
      </c>
      <c r="Y417" s="28" t="str">
        <f aca="false">'Player Data'!W417</f>
        <v>Club sporting director / first-team office</v>
      </c>
      <c r="Z417" s="28" t="str">
        <f aca="false">'Player Data'!X417</f>
        <v>APF (Paraguayan Football Association) player registry</v>
      </c>
      <c r="AA417" s="19" t="str">
        <f aca="false">HYPERLINK("https://www.transfermarkt.com/schnellsuche/ergebnis/schnellsuche?query="&amp;SUBSTITUTE(A417," ","+"),"Search Transfermarkt")</f>
        <v>Search Transfermarkt</v>
      </c>
      <c r="AB417" s="29" t="n">
        <f aca="false">IFERROR('Player Data'!K417/('Player Data'!K417+'Player Data'!L417),0)</f>
        <v>0.5</v>
      </c>
      <c r="AC417" s="21" t="str">
        <f aca="false">IF(B417="GK",IF(AND(O417&gt;=Assumptions!$B$23,N417&gt;=Assumptions!$B$23),"Sweeper-Keeper / Build-from-the-Back",IF(O417&gt;=Assumptions!$B$23,"Sweeper-Keeper / High Line",IF(M417&gt;=Assumptions!$B$23,"Shot-Stopper / Traditional","Flexible / Multi-System"))),IF(AND(O417&gt;=Assumptions!$B$23,P417&gt;=Assumptions!$B$24),"High Press / Gegenpressing",IF(AND(N417&gt;=Assumptions!$B$23,AB417&gt;=Assumptions!$B$25),"Possession / Build-from-the-Back",IF(N417&gt;=Assumptions!$B$23,"Counter-Attack / Transition",IF(AND(O417&gt;=Assumptions!$B$23,N417&lt;Assumptions!$B$26),"Low Block / Park the Bus",IF(AND(B417="FW",M417&gt;=Assumptions!$B$23,N417&lt;Assumptions!$B$26),"Direct / Target Approach","Flexible / Multi-System"))))))</f>
        <v>Flexible / Multi-System</v>
      </c>
      <c r="AD417" s="21" t="str">
        <f aca="false">'Player Data'!Y417</f>
        <v>2026-07-17</v>
      </c>
      <c r="AE417" s="21" t="str">
        <f aca="false">'Player Data'!Z417</f>
        <v>2026-07-17</v>
      </c>
      <c r="AF417" s="28" t="str">
        <f aca="false">IFERROR(INDEX(Assumptions!$B$30:$B$61,MATCH(C417,Assumptions!$A$30:$A$61,0)),"--")</f>
        <v>Argentina, Portugal</v>
      </c>
      <c r="AG417" s="30" t="str">
        <f aca="false">IF(R417&gt;=0.7,"Step-Up Candidate",IF(R417&gt;=0.4,"Lateral Move","Stay &amp; Develop"))</f>
        <v>Stay &amp; Develop</v>
      </c>
    </row>
    <row r="418" customFormat="false" ht="23.85" hidden="false" customHeight="false" outlineLevel="0" collapsed="false">
      <c r="A418" s="21" t="str">
        <f aca="false">'Player Data'!A418</f>
        <v>Sekou Coulibaly</v>
      </c>
      <c r="B418" s="21" t="str">
        <f aca="false">'Player Data'!F418</f>
        <v>DF</v>
      </c>
      <c r="C418" s="21" t="str">
        <f aca="false">'Player Data'!B418</f>
        <v>Mali</v>
      </c>
      <c r="D418" s="21" t="str">
        <f aca="false">'Player Data'!C418</f>
        <v>Mali Second Division - West</v>
      </c>
      <c r="E418" s="21" t="n">
        <f aca="false">'Player Data'!D418</f>
        <v>3</v>
      </c>
      <c r="F418" s="21" t="n">
        <f aca="false">'Player Data'!G418</f>
        <v>22</v>
      </c>
      <c r="G418" s="21" t="n">
        <f aca="false">'Player Data'!H418</f>
        <v>1355</v>
      </c>
      <c r="H418" s="22" t="n">
        <f aca="false">IF(B418="GK",IFERROR(('Player Data'!N418-1.5*'Player Data'!O418)/'Player Data'!H418*90,0),IFERROR(('Player Data'!I418+'Player Data'!J418)/'Player Data'!H418*90,0))</f>
        <v>0.531365313653137</v>
      </c>
      <c r="I418" s="22" t="n">
        <f aca="false">IF(B418="GK",'Player Data'!P418,IFERROR(('Player Data'!K418+'Player Data'!L418)/'Player Data'!H418*90,0))</f>
        <v>5.97785977859779</v>
      </c>
      <c r="J418" s="22" t="n">
        <f aca="false">IF(B418="GK",IFERROR('Player Data'!Q418/'Player Data'!H418*90,0),IFERROR('Player Data'!M418/'Player Data'!H418*90,0))</f>
        <v>8.30258302583026</v>
      </c>
      <c r="K418" s="23" t="n">
        <f aca="false">'Player Data'!S418</f>
        <v>0</v>
      </c>
      <c r="L418" s="22" t="n">
        <f aca="false">INDEX(Assumptions!$B$13:$B$15,MATCH(E418,Assumptions!$A$13:$A$15,0))</f>
        <v>0.85</v>
      </c>
      <c r="M418" s="24" t="n">
        <f aca="false">IFERROR(SUMPRODUCT(($B$2:$B$1001=B418)*($H$2:$H$1001&lt;=H418))/SUMPRODUCT(($B$2:$B$1001=B418)*1),0)</f>
        <v>0.95578231292517</v>
      </c>
      <c r="N418" s="24" t="n">
        <f aca="false">IFERROR(SUMPRODUCT(($B$2:$B$1001=B418)*($I$2:$I$1001&lt;=I418))/SUMPRODUCT(($B$2:$B$1001=B418)*1),0)</f>
        <v>0.738095238095238</v>
      </c>
      <c r="O418" s="24" t="n">
        <f aca="false">IFERROR(SUMPRODUCT(($B$2:$B$1001=B418)*($J$2:$J$1001&lt;=J418))/SUMPRODUCT(($B$2:$B$1001=B418)*1),0)</f>
        <v>0.860544217687075</v>
      </c>
      <c r="P418" s="24" t="n">
        <f aca="false">IFERROR(SUMPRODUCT(($B$2:$B$1001=B418)*((0-$F$2:$F$1001)&lt;=(0-F418)))/SUMPRODUCT(($B$2:$B$1001=B418)*1),0)</f>
        <v>0.493197278911565</v>
      </c>
      <c r="Q418" s="25" t="n">
        <f aca="false">(M418*Assumptions!$B$5+N418*Assumptions!$B$6+O418*Assumptions!$B$7+P418*Assumptions!$B$8)*L418</f>
        <v>0.652823129251701</v>
      </c>
      <c r="R418" s="24" t="n">
        <f aca="false">IFERROR(SUMPRODUCT(($B$2:$B$1001=B418)*($Q$2:$Q$1001&lt;=Q418))/SUMPRODUCT(($B$2:$B$1001=B418)*1),0)</f>
        <v>0.82312925170068</v>
      </c>
      <c r="S418" s="24" t="n">
        <f aca="false">IFERROR(SUMPRODUCT(($B$2:$B$1001=B418)*($K$2:$K$1001&lt;=K418))/SUMPRODUCT(($B$2:$B$1001=B418)*1),0)</f>
        <v>0.248299319727891</v>
      </c>
      <c r="T418" s="26" t="n">
        <f aca="false">(R418-S418)*100</f>
        <v>57.4829931972789</v>
      </c>
      <c r="U418" s="21" t="str">
        <f aca="false">'Player Data'!T418</f>
        <v>Yes</v>
      </c>
      <c r="V418" s="27" t="n">
        <f aca="false">'Player Data'!U418</f>
        <v>2026</v>
      </c>
      <c r="W418" s="21" t="str">
        <f aca="false">IF(AND(T418&gt;=Assumptions!$B$19,U418="No"),"High Priority - Unrepresented",IF(T418&gt;=Assumptions!$B$19,"High Priority",IF(AND(T418&gt;=Assumptions!$B$20,U418="No"),"Watchlist - Unrepresented",IF(T418&gt;=Assumptions!$B$20,"Watchlist",""))))</f>
        <v>High Priority</v>
      </c>
      <c r="X418" s="21" t="str">
        <f aca="false">'Player Data'!V418</f>
        <v>info@kayessc.ml</v>
      </c>
      <c r="Y418" s="28" t="str">
        <f aca="false">'Player Data'!W418</f>
        <v>Go through the player's agent - ask the club to confirm representation first</v>
      </c>
      <c r="Z418" s="28" t="str">
        <f aca="false">'Player Data'!X418</f>
        <v>FEMAFOOT (Malian Football Federation) player registry</v>
      </c>
      <c r="AA418" s="19" t="str">
        <f aca="false">HYPERLINK("https://www.transfermarkt.com/schnellsuche/ergebnis/schnellsuche?query="&amp;SUBSTITUTE(A418," ","+"),"Search Transfermarkt")</f>
        <v>Search Transfermarkt</v>
      </c>
      <c r="AB418" s="29" t="n">
        <f aca="false">IFERROR('Player Data'!K418/('Player Data'!K418+'Player Data'!L418),0)</f>
        <v>0.611111111111111</v>
      </c>
      <c r="AC418" s="21" t="str">
        <f aca="false">IF(B418="GK",IF(AND(O418&gt;=Assumptions!$B$23,N418&gt;=Assumptions!$B$23),"Sweeper-Keeper / Build-from-the-Back",IF(O418&gt;=Assumptions!$B$23,"Sweeper-Keeper / High Line",IF(M418&gt;=Assumptions!$B$23,"Shot-Stopper / Traditional","Flexible / Multi-System"))),IF(AND(O418&gt;=Assumptions!$B$23,P418&gt;=Assumptions!$B$24),"High Press / Gegenpressing",IF(AND(N418&gt;=Assumptions!$B$23,AB418&gt;=Assumptions!$B$25),"Possession / Build-from-the-Back",IF(N418&gt;=Assumptions!$B$23,"Counter-Attack / Transition",IF(AND(O418&gt;=Assumptions!$B$23,N418&lt;Assumptions!$B$26),"Low Block / Park the Bus",IF(AND(B418="FW",M418&gt;=Assumptions!$B$23,N418&lt;Assumptions!$B$26),"Direct / Target Approach","Flexible / Multi-System"))))))</f>
        <v>Counter-Attack / Transition</v>
      </c>
      <c r="AD418" s="21" t="str">
        <f aca="false">'Player Data'!Y418</f>
        <v>2026-07-17</v>
      </c>
      <c r="AE418" s="21" t="str">
        <f aca="false">'Player Data'!Z418</f>
        <v>2026-07-17</v>
      </c>
      <c r="AF418" s="28" t="str">
        <f aca="false">IFERROR(INDEX(Assumptions!$B$30:$B$61,MATCH(C418,Assumptions!$A$30:$A$61,0)),"--")</f>
        <v>Belgium, Portugal</v>
      </c>
      <c r="AG418" s="30" t="str">
        <f aca="false">IF(R418&gt;=0.7,"Step-Up Candidate",IF(R418&gt;=0.4,"Lateral Move","Stay &amp; Develop"))</f>
        <v>Step-Up Candidate</v>
      </c>
    </row>
    <row r="419" customFormat="false" ht="23.85" hidden="false" customHeight="false" outlineLevel="0" collapsed="false">
      <c r="A419" s="21" t="str">
        <f aca="false">'Player Data'!A419</f>
        <v>Nika Lomidze</v>
      </c>
      <c r="B419" s="21" t="str">
        <f aca="false">'Player Data'!F419</f>
        <v>MF</v>
      </c>
      <c r="C419" s="21" t="str">
        <f aca="false">'Player Data'!B419</f>
        <v>Georgia</v>
      </c>
      <c r="D419" s="21" t="str">
        <f aca="false">'Player Data'!C419</f>
        <v>Georgia Second Division - East</v>
      </c>
      <c r="E419" s="21" t="n">
        <f aca="false">'Player Data'!D419</f>
        <v>2</v>
      </c>
      <c r="F419" s="21" t="n">
        <f aca="false">'Player Data'!G419</f>
        <v>24</v>
      </c>
      <c r="G419" s="21" t="n">
        <f aca="false">'Player Data'!H419</f>
        <v>1217</v>
      </c>
      <c r="H419" s="22" t="n">
        <f aca="false">IF(B419="GK",IFERROR(('Player Data'!N419-1.5*'Player Data'!O419)/'Player Data'!H419*90,0),IFERROR(('Player Data'!I419+'Player Data'!J419)/'Player Data'!H419*90,0))</f>
        <v>0.961380443714051</v>
      </c>
      <c r="I419" s="22" t="n">
        <f aca="false">IF(B419="GK",'Player Data'!P419,IFERROR(('Player Data'!K419+'Player Data'!L419)/'Player Data'!H419*90,0))</f>
        <v>19.8931799506984</v>
      </c>
      <c r="J419" s="22" t="n">
        <f aca="false">IF(B419="GK",IFERROR('Player Data'!Q419/'Player Data'!H419*90,0),IFERROR('Player Data'!M419/'Player Data'!H419*90,0))</f>
        <v>4.21528348397699</v>
      </c>
      <c r="K419" s="23" t="n">
        <f aca="false">'Player Data'!S419</f>
        <v>43066</v>
      </c>
      <c r="L419" s="22" t="n">
        <f aca="false">INDEX(Assumptions!$B$13:$B$15,MATCH(E419,Assumptions!$A$13:$A$15,0))</f>
        <v>1</v>
      </c>
      <c r="M419" s="24" t="n">
        <f aca="false">IFERROR(SUMPRODUCT(($B$2:$B$1001=B419)*($H$2:$H$1001&lt;=H419))/SUMPRODUCT(($B$2:$B$1001=B419)*1),0)</f>
        <v>0.750841750841751</v>
      </c>
      <c r="N419" s="24" t="n">
        <f aca="false">IFERROR(SUMPRODUCT(($B$2:$B$1001=B419)*($I$2:$I$1001&lt;=I419))/SUMPRODUCT(($B$2:$B$1001=B419)*1),0)</f>
        <v>0.905723905723906</v>
      </c>
      <c r="O419" s="24" t="n">
        <f aca="false">IFERROR(SUMPRODUCT(($B$2:$B$1001=B419)*($J$2:$J$1001&lt;=J419))/SUMPRODUCT(($B$2:$B$1001=B419)*1),0)</f>
        <v>0.942760942760943</v>
      </c>
      <c r="P419" s="24" t="n">
        <f aca="false">IFERROR(SUMPRODUCT(($B$2:$B$1001=B419)*((0-$F$2:$F$1001)&lt;=(0-F419)))/SUMPRODUCT(($B$2:$B$1001=B419)*1),0)</f>
        <v>0.326599326599327</v>
      </c>
      <c r="Q419" s="25" t="n">
        <f aca="false">(M419*Assumptions!$B$5+N419*Assumptions!$B$6+O419*Assumptions!$B$7+P419*Assumptions!$B$8)*L419</f>
        <v>0.758585858585859</v>
      </c>
      <c r="R419" s="24" t="n">
        <f aca="false">IFERROR(SUMPRODUCT(($B$2:$B$1001=B419)*($Q$2:$Q$1001&lt;=Q419))/SUMPRODUCT(($B$2:$B$1001=B419)*1),0)</f>
        <v>0.909090909090909</v>
      </c>
      <c r="S419" s="24" t="n">
        <f aca="false">IFERROR(SUMPRODUCT(($B$2:$B$1001=B419)*($K$2:$K$1001&lt;=K419))/SUMPRODUCT(($B$2:$B$1001=B419)*1),0)</f>
        <v>0.38047138047138</v>
      </c>
      <c r="T419" s="26" t="n">
        <f aca="false">(R419-S419)*100</f>
        <v>52.8619528619529</v>
      </c>
      <c r="U419" s="21" t="str">
        <f aca="false">'Player Data'!T419</f>
        <v>Yes</v>
      </c>
      <c r="V419" s="27" t="n">
        <f aca="false">'Player Data'!U419</f>
        <v>2026</v>
      </c>
      <c r="W419" s="21" t="str">
        <f aca="false">IF(AND(T419&gt;=Assumptions!$B$19,U419="No"),"High Priority - Unrepresented",IF(T419&gt;=Assumptions!$B$19,"High Priority",IF(AND(T419&gt;=Assumptions!$B$20,U419="No"),"Watchlist - Unrepresented",IF(T419&gt;=Assumptions!$B$20,"Watchlist",""))))</f>
        <v>High Priority</v>
      </c>
      <c r="X419" s="21" t="str">
        <f aca="false">'Player Data'!V419</f>
        <v>info@kutaisitown.ge</v>
      </c>
      <c r="Y419" s="28" t="str">
        <f aca="false">'Player Data'!W419</f>
        <v>Go through the player's agent - ask the club to confirm representation first</v>
      </c>
      <c r="Z419" s="28" t="str">
        <f aca="false">'Player Data'!X419</f>
        <v>GFF (Georgian Football Federation) player registry</v>
      </c>
      <c r="AA419" s="19" t="str">
        <f aca="false">HYPERLINK("https://www.transfermarkt.com/schnellsuche/ergebnis/schnellsuche?query="&amp;SUBSTITUTE(A419," ","+"),"Search Transfermarkt")</f>
        <v>Search Transfermarkt</v>
      </c>
      <c r="AB419" s="29" t="n">
        <f aca="false">IFERROR('Player Data'!K419/('Player Data'!K419+'Player Data'!L419),0)</f>
        <v>0.646840148698885</v>
      </c>
      <c r="AC419" s="21" t="str">
        <f aca="false">IF(B419="GK",IF(AND(O419&gt;=Assumptions!$B$23,N419&gt;=Assumptions!$B$23),"Sweeper-Keeper / Build-from-the-Back",IF(O419&gt;=Assumptions!$B$23,"Sweeper-Keeper / High Line",IF(M419&gt;=Assumptions!$B$23,"Shot-Stopper / Traditional","Flexible / Multi-System"))),IF(AND(O419&gt;=Assumptions!$B$23,P419&gt;=Assumptions!$B$24),"High Press / Gegenpressing",IF(AND(N419&gt;=Assumptions!$B$23,AB419&gt;=Assumptions!$B$25),"Possession / Build-from-the-Back",IF(N419&gt;=Assumptions!$B$23,"Counter-Attack / Transition",IF(AND(O419&gt;=Assumptions!$B$23,N419&lt;Assumptions!$B$26),"Low Block / Park the Bus",IF(AND(B419="FW",M419&gt;=Assumptions!$B$23,N419&lt;Assumptions!$B$26),"Direct / Target Approach","Flexible / Multi-System"))))))</f>
        <v>Possession / Build-from-the-Back</v>
      </c>
      <c r="AD419" s="21" t="str">
        <f aca="false">'Player Data'!Y419</f>
        <v>2026-07-17</v>
      </c>
      <c r="AE419" s="21" t="str">
        <f aca="false">'Player Data'!Z419</f>
        <v>2026-07-17</v>
      </c>
      <c r="AF419" s="28" t="str">
        <f aca="false">IFERROR(INDEX(Assumptions!$B$30:$B$61,MATCH(C419,Assumptions!$A$30:$A$61,0)),"--")</f>
        <v>Turkey, Poland</v>
      </c>
      <c r="AG419" s="30" t="str">
        <f aca="false">IF(R419&gt;=0.7,"Step-Up Candidate",IF(R419&gt;=0.4,"Lateral Move","Stay &amp; Develop"))</f>
        <v>Step-Up Candidate</v>
      </c>
    </row>
    <row r="420" customFormat="false" ht="23.85" hidden="false" customHeight="false" outlineLevel="0" collapsed="false">
      <c r="A420" s="21" t="str">
        <f aca="false">'Player Data'!A420</f>
        <v>Nejc Horvat</v>
      </c>
      <c r="B420" s="21" t="str">
        <f aca="false">'Player Data'!F420</f>
        <v>GK</v>
      </c>
      <c r="C420" s="21" t="str">
        <f aca="false">'Player Data'!B420</f>
        <v>Slovenia</v>
      </c>
      <c r="D420" s="21" t="str">
        <f aca="false">'Player Data'!C420</f>
        <v>Slovenia Reserve League</v>
      </c>
      <c r="E420" s="21" t="n">
        <f aca="false">'Player Data'!D420</f>
        <v>4</v>
      </c>
      <c r="F420" s="21" t="n">
        <f aca="false">'Player Data'!G420</f>
        <v>26</v>
      </c>
      <c r="G420" s="21" t="n">
        <f aca="false">'Player Data'!H420</f>
        <v>1215</v>
      </c>
      <c r="H420" s="22" t="n">
        <f aca="false">IF(B420="GK",IFERROR(('Player Data'!N420-1.5*'Player Data'!O420)/'Player Data'!H420*90,0),IFERROR(('Player Data'!I420+'Player Data'!J420)/'Player Data'!H420*90,0))</f>
        <v>2.03703703703704</v>
      </c>
      <c r="I420" s="22" t="n">
        <f aca="false">IF(B420="GK",'Player Data'!P420,IFERROR(('Player Data'!K420+'Player Data'!L420)/'Player Data'!H420*90,0))</f>
        <v>75.9</v>
      </c>
      <c r="J420" s="22" t="n">
        <f aca="false">IF(B420="GK",IFERROR('Player Data'!Q420/'Player Data'!H420*90,0),IFERROR('Player Data'!M420/'Player Data'!H420*90,0))</f>
        <v>0.925925925925926</v>
      </c>
      <c r="K420" s="23" t="n">
        <f aca="false">'Player Data'!S420</f>
        <v>0</v>
      </c>
      <c r="L420" s="22" t="n">
        <f aca="false">INDEX(Assumptions!$B$13:$B$15,MATCH(E420,Assumptions!$A$13:$A$15,0))</f>
        <v>0.7</v>
      </c>
      <c r="M420" s="24" t="n">
        <f aca="false">IFERROR(SUMPRODUCT(($B$2:$B$1001=B420)*($H$2:$H$1001&lt;=H420))/SUMPRODUCT(($B$2:$B$1001=B420)*1),0)</f>
        <v>0.912568306010929</v>
      </c>
      <c r="N420" s="24" t="n">
        <f aca="false">IFERROR(SUMPRODUCT(($B$2:$B$1001=B420)*($I$2:$I$1001&lt;=I420))/SUMPRODUCT(($B$2:$B$1001=B420)*1),0)</f>
        <v>0.579234972677596</v>
      </c>
      <c r="O420" s="24" t="n">
        <f aca="false">IFERROR(SUMPRODUCT(($B$2:$B$1001=B420)*($J$2:$J$1001&lt;=J420))/SUMPRODUCT(($B$2:$B$1001=B420)*1),0)</f>
        <v>0.573770491803279</v>
      </c>
      <c r="P420" s="24" t="n">
        <f aca="false">IFERROR(SUMPRODUCT(($B$2:$B$1001=B420)*((0-$F$2:$F$1001)&lt;=(0-F420)))/SUMPRODUCT(($B$2:$B$1001=B420)*1),0)</f>
        <v>0.131147540983607</v>
      </c>
      <c r="Q420" s="25" t="n">
        <f aca="false">(M420*Assumptions!$B$5+N420*Assumptions!$B$6+O420*Assumptions!$B$7+P420*Assumptions!$B$8)*L420</f>
        <v>0.400300546448087</v>
      </c>
      <c r="R420" s="24" t="n">
        <f aca="false">IFERROR(SUMPRODUCT(($B$2:$B$1001=B420)*($Q$2:$Q$1001&lt;=Q420))/SUMPRODUCT(($B$2:$B$1001=B420)*1),0)</f>
        <v>0.371584699453552</v>
      </c>
      <c r="S420" s="24" t="n">
        <f aca="false">IFERROR(SUMPRODUCT(($B$2:$B$1001=B420)*($K$2:$K$1001&lt;=K420))/SUMPRODUCT(($B$2:$B$1001=B420)*1),0)</f>
        <v>0.218579234972678</v>
      </c>
      <c r="T420" s="26" t="n">
        <f aca="false">(R420-S420)*100</f>
        <v>15.3005464480874</v>
      </c>
      <c r="U420" s="21" t="str">
        <f aca="false">'Player Data'!T420</f>
        <v>Unknown</v>
      </c>
      <c r="V420" s="27" t="n">
        <f aca="false">'Player Data'!U420</f>
        <v>2027</v>
      </c>
      <c r="W420" s="21" t="str">
        <f aca="false">IF(AND(T420&gt;=Assumptions!$B$19,U420="No"),"High Priority - Unrepresented",IF(T420&gt;=Assumptions!$B$19,"High Priority",IF(AND(T420&gt;=Assumptions!$B$20,U420="No"),"Watchlist - Unrepresented",IF(T420&gt;=Assumptions!$B$20,"Watchlist",""))))</f>
        <v/>
      </c>
      <c r="X420" s="21" t="str">
        <f aca="false">'Player Data'!V420</f>
        <v>info@celjetown.si</v>
      </c>
      <c r="Y420" s="28" t="str">
        <f aca="false">'Player Data'!W420</f>
        <v>Club sporting director / first-team office</v>
      </c>
      <c r="Z420" s="28" t="str">
        <f aca="false">'Player Data'!X420</f>
        <v>NZS (Football Association of Slovenia) player registry</v>
      </c>
      <c r="AA420" s="19" t="str">
        <f aca="false">HYPERLINK("https://www.transfermarkt.com/schnellsuche/ergebnis/schnellsuche?query="&amp;SUBSTITUTE(A420," ","+"),"Search Transfermarkt")</f>
        <v>Search Transfermarkt</v>
      </c>
      <c r="AB420" s="29" t="n">
        <f aca="false">IFERROR('Player Data'!K420/('Player Data'!K420+'Player Data'!L420),0)</f>
        <v>0.7</v>
      </c>
      <c r="AC420" s="21" t="str">
        <f aca="false">IF(B420="GK",IF(AND(O420&gt;=Assumptions!$B$23,N420&gt;=Assumptions!$B$23),"Sweeper-Keeper / Build-from-the-Back",IF(O420&gt;=Assumptions!$B$23,"Sweeper-Keeper / High Line",IF(M420&gt;=Assumptions!$B$23,"Shot-Stopper / Traditional","Flexible / Multi-System"))),IF(AND(O420&gt;=Assumptions!$B$23,P420&gt;=Assumptions!$B$24),"High Press / Gegenpressing",IF(AND(N420&gt;=Assumptions!$B$23,AB420&gt;=Assumptions!$B$25),"Possession / Build-from-the-Back",IF(N420&gt;=Assumptions!$B$23,"Counter-Attack / Transition",IF(AND(O420&gt;=Assumptions!$B$23,N420&lt;Assumptions!$B$26),"Low Block / Park the Bus",IF(AND(B420="FW",M420&gt;=Assumptions!$B$23,N420&lt;Assumptions!$B$26),"Direct / Target Approach","Flexible / Multi-System"))))))</f>
        <v>Shot-Stopper / Traditional</v>
      </c>
      <c r="AD420" s="21" t="str">
        <f aca="false">'Player Data'!Y420</f>
        <v>2026-07-17</v>
      </c>
      <c r="AE420" s="21" t="str">
        <f aca="false">'Player Data'!Z420</f>
        <v>2026-07-17</v>
      </c>
      <c r="AF420" s="28" t="str">
        <f aca="false">IFERROR(INDEX(Assumptions!$B$30:$B$61,MATCH(C420,Assumptions!$A$30:$A$61,0)),"--")</f>
        <v>Austria, Poland</v>
      </c>
      <c r="AG420" s="30" t="str">
        <f aca="false">IF(R420&gt;=0.7,"Step-Up Candidate",IF(R420&gt;=0.4,"Lateral Move","Stay &amp; Develop"))</f>
        <v>Stay &amp; Develop</v>
      </c>
    </row>
    <row r="421" customFormat="false" ht="23.85" hidden="false" customHeight="false" outlineLevel="0" collapsed="false">
      <c r="A421" s="21" t="str">
        <f aca="false">'Player Data'!A421</f>
        <v>Blaze Trajkovski</v>
      </c>
      <c r="B421" s="21" t="str">
        <f aca="false">'Player Data'!F421</f>
        <v>DF</v>
      </c>
      <c r="C421" s="21" t="str">
        <f aca="false">'Player Data'!B421</f>
        <v>North Macedonia</v>
      </c>
      <c r="D421" s="21" t="str">
        <f aca="false">'Player Data'!C421</f>
        <v>North Macedonia Reserve League</v>
      </c>
      <c r="E421" s="21" t="n">
        <f aca="false">'Player Data'!D421</f>
        <v>4</v>
      </c>
      <c r="F421" s="21" t="n">
        <f aca="false">'Player Data'!G421</f>
        <v>24</v>
      </c>
      <c r="G421" s="21" t="n">
        <f aca="false">'Player Data'!H421</f>
        <v>2061</v>
      </c>
      <c r="H421" s="22" t="n">
        <f aca="false">IF(B421="GK",IFERROR(('Player Data'!N421-1.5*'Player Data'!O421)/'Player Data'!H421*90,0),IFERROR(('Player Data'!I421+'Player Data'!J421)/'Player Data'!H421*90,0))</f>
        <v>0.305676855895197</v>
      </c>
      <c r="I421" s="22" t="n">
        <f aca="false">IF(B421="GK",'Player Data'!P421,IFERROR(('Player Data'!K421+'Player Data'!L421)/'Player Data'!H421*90,0))</f>
        <v>3.62445414847162</v>
      </c>
      <c r="J421" s="22" t="n">
        <f aca="false">IF(B421="GK",IFERROR('Player Data'!Q421/'Player Data'!H421*90,0),IFERROR('Player Data'!M421/'Player Data'!H421*90,0))</f>
        <v>4.89082969432314</v>
      </c>
      <c r="K421" s="23" t="n">
        <f aca="false">'Player Data'!S421</f>
        <v>15828</v>
      </c>
      <c r="L421" s="22" t="n">
        <f aca="false">INDEX(Assumptions!$B$13:$B$15,MATCH(E421,Assumptions!$A$13:$A$15,0))</f>
        <v>0.7</v>
      </c>
      <c r="M421" s="24" t="n">
        <f aca="false">IFERROR(SUMPRODUCT(($B$2:$B$1001=B421)*($H$2:$H$1001&lt;=H421))/SUMPRODUCT(($B$2:$B$1001=B421)*1),0)</f>
        <v>0.785714285714286</v>
      </c>
      <c r="N421" s="24" t="n">
        <f aca="false">IFERROR(SUMPRODUCT(($B$2:$B$1001=B421)*($I$2:$I$1001&lt;=I421))/SUMPRODUCT(($B$2:$B$1001=B421)*1),0)</f>
        <v>0.282312925170068</v>
      </c>
      <c r="O421" s="24" t="n">
        <f aca="false">IFERROR(SUMPRODUCT(($B$2:$B$1001=B421)*($J$2:$J$1001&lt;=J421))/SUMPRODUCT(($B$2:$B$1001=B421)*1),0)</f>
        <v>0.435374149659864</v>
      </c>
      <c r="P421" s="24" t="n">
        <f aca="false">IFERROR(SUMPRODUCT(($B$2:$B$1001=B421)*((0-$F$2:$F$1001)&lt;=(0-F421)))/SUMPRODUCT(($B$2:$B$1001=B421)*1),0)</f>
        <v>0.275510204081633</v>
      </c>
      <c r="Q421" s="25" t="n">
        <f aca="false">(M421*Assumptions!$B$5+N421*Assumptions!$B$6+O421*Assumptions!$B$7+P421*Assumptions!$B$8)*L421</f>
        <v>0.306190476190476</v>
      </c>
      <c r="R421" s="24" t="n">
        <f aca="false">IFERROR(SUMPRODUCT(($B$2:$B$1001=B421)*($Q$2:$Q$1001&lt;=Q421))/SUMPRODUCT(($B$2:$B$1001=B421)*1),0)</f>
        <v>0.261904761904762</v>
      </c>
      <c r="S421" s="24" t="n">
        <f aca="false">IFERROR(SUMPRODUCT(($B$2:$B$1001=B421)*($K$2:$K$1001&lt;=K421))/SUMPRODUCT(($B$2:$B$1001=B421)*1),0)</f>
        <v>0.285714285714286</v>
      </c>
      <c r="T421" s="26" t="n">
        <f aca="false">(R421-S421)*100</f>
        <v>-2.38095238095238</v>
      </c>
      <c r="U421" s="21" t="str">
        <f aca="false">'Player Data'!T421</f>
        <v>Unknown</v>
      </c>
      <c r="V421" s="27" t="n">
        <f aca="false">'Player Data'!U421</f>
        <v>2028</v>
      </c>
      <c r="W421" s="21" t="str">
        <f aca="false">IF(AND(T421&gt;=Assumptions!$B$19,U421="No"),"High Priority - Unrepresented",IF(T421&gt;=Assumptions!$B$19,"High Priority",IF(AND(T421&gt;=Assumptions!$B$20,U421="No"),"Watchlist - Unrepresented",IF(T421&gt;=Assumptions!$B$20,"Watchlist",""))))</f>
        <v/>
      </c>
      <c r="X421" s="21" t="str">
        <f aca="false">'Player Data'!V421</f>
        <v>info@ohridfc.mk</v>
      </c>
      <c r="Y421" s="28" t="str">
        <f aca="false">'Player Data'!W421</f>
        <v>Club sporting director / first-team office</v>
      </c>
      <c r="Z421" s="28" t="str">
        <f aca="false">'Player Data'!X421</f>
        <v>FFM (Football Federation of North Macedonia) player registry</v>
      </c>
      <c r="AA421" s="19" t="str">
        <f aca="false">HYPERLINK("https://www.transfermarkt.com/schnellsuche/ergebnis/schnellsuche?query="&amp;SUBSTITUTE(A421," ","+"),"Search Transfermarkt")</f>
        <v>Search Transfermarkt</v>
      </c>
      <c r="AB421" s="29" t="n">
        <f aca="false">IFERROR('Player Data'!K421/('Player Data'!K421+'Player Data'!L421),0)</f>
        <v>0.63855421686747</v>
      </c>
      <c r="AC421" s="21" t="str">
        <f aca="false">IF(B421="GK",IF(AND(O421&gt;=Assumptions!$B$23,N421&gt;=Assumptions!$B$23),"Sweeper-Keeper / Build-from-the-Back",IF(O421&gt;=Assumptions!$B$23,"Sweeper-Keeper / High Line",IF(M421&gt;=Assumptions!$B$23,"Shot-Stopper / Traditional","Flexible / Multi-System"))),IF(AND(O421&gt;=Assumptions!$B$23,P421&gt;=Assumptions!$B$24),"High Press / Gegenpressing",IF(AND(N421&gt;=Assumptions!$B$23,AB421&gt;=Assumptions!$B$25),"Possession / Build-from-the-Back",IF(N421&gt;=Assumptions!$B$23,"Counter-Attack / Transition",IF(AND(O421&gt;=Assumptions!$B$23,N421&lt;Assumptions!$B$26),"Low Block / Park the Bus",IF(AND(B421="FW",M421&gt;=Assumptions!$B$23,N421&lt;Assumptions!$B$26),"Direct / Target Approach","Flexible / Multi-System"))))))</f>
        <v>Flexible / Multi-System</v>
      </c>
      <c r="AD421" s="21" t="str">
        <f aca="false">'Player Data'!Y421</f>
        <v>2026-07-17</v>
      </c>
      <c r="AE421" s="21" t="str">
        <f aca="false">'Player Data'!Z421</f>
        <v>2026-07-17</v>
      </c>
      <c r="AF421" s="28" t="str">
        <f aca="false">IFERROR(INDEX(Assumptions!$B$30:$B$61,MATCH(C421,Assumptions!$A$30:$A$61,0)),"--")</f>
        <v>Austria, Turkey</v>
      </c>
      <c r="AG421" s="30" t="str">
        <f aca="false">IF(R421&gt;=0.7,"Step-Up Candidate",IF(R421&gt;=0.4,"Lateral Move","Stay &amp; Develop"))</f>
        <v>Stay &amp; Develop</v>
      </c>
    </row>
    <row r="422" customFormat="false" ht="23.85" hidden="false" customHeight="false" outlineLevel="0" collapsed="false">
      <c r="A422" s="21" t="str">
        <f aca="false">'Player Data'!A422</f>
        <v>Hussein Hassan</v>
      </c>
      <c r="B422" s="21" t="str">
        <f aca="false">'Player Data'!F422</f>
        <v>MF</v>
      </c>
      <c r="C422" s="21" t="str">
        <f aca="false">'Player Data'!B422</f>
        <v>Iraq</v>
      </c>
      <c r="D422" s="21" t="str">
        <f aca="false">'Player Data'!C422</f>
        <v>Iraq Reserve League</v>
      </c>
      <c r="E422" s="21" t="n">
        <f aca="false">'Player Data'!D422</f>
        <v>3</v>
      </c>
      <c r="F422" s="21" t="n">
        <f aca="false">'Player Data'!G422</f>
        <v>25</v>
      </c>
      <c r="G422" s="21" t="n">
        <f aca="false">'Player Data'!H422</f>
        <v>1264</v>
      </c>
      <c r="H422" s="22" t="n">
        <f aca="false">IF(B422="GK",IFERROR(('Player Data'!N422-1.5*'Player Data'!O422)/'Player Data'!H422*90,0),IFERROR(('Player Data'!I422+'Player Data'!J422)/'Player Data'!H422*90,0))</f>
        <v>0.427215189873418</v>
      </c>
      <c r="I422" s="22" t="n">
        <f aca="false">IF(B422="GK",'Player Data'!P422,IFERROR(('Player Data'!K422+'Player Data'!L422)/'Player Data'!H422*90,0))</f>
        <v>16.376582278481</v>
      </c>
      <c r="J422" s="22" t="n">
        <f aca="false">IF(B422="GK",IFERROR('Player Data'!Q422/'Player Data'!H422*90,0),IFERROR('Player Data'!M422/'Player Data'!H422*90,0))</f>
        <v>2.56329113924051</v>
      </c>
      <c r="K422" s="23" t="n">
        <f aca="false">'Player Data'!S422</f>
        <v>29223</v>
      </c>
      <c r="L422" s="22" t="n">
        <f aca="false">INDEX(Assumptions!$B$13:$B$15,MATCH(E422,Assumptions!$A$13:$A$15,0))</f>
        <v>0.85</v>
      </c>
      <c r="M422" s="24" t="n">
        <f aca="false">IFERROR(SUMPRODUCT(($B$2:$B$1001=B422)*($H$2:$H$1001&lt;=H422))/SUMPRODUCT(($B$2:$B$1001=B422)*1),0)</f>
        <v>0.127946127946128</v>
      </c>
      <c r="N422" s="24" t="n">
        <f aca="false">IFERROR(SUMPRODUCT(($B$2:$B$1001=B422)*($I$2:$I$1001&lt;=I422))/SUMPRODUCT(($B$2:$B$1001=B422)*1),0)</f>
        <v>0.814814814814815</v>
      </c>
      <c r="O422" s="24" t="n">
        <f aca="false">IFERROR(SUMPRODUCT(($B$2:$B$1001=B422)*($J$2:$J$1001&lt;=J422))/SUMPRODUCT(($B$2:$B$1001=B422)*1),0)</f>
        <v>0.656565656565657</v>
      </c>
      <c r="P422" s="24" t="n">
        <f aca="false">IFERROR(SUMPRODUCT(($B$2:$B$1001=B422)*((0-$F$2:$F$1001)&lt;=(0-F422)))/SUMPRODUCT(($B$2:$B$1001=B422)*1),0)</f>
        <v>0.202020202020202</v>
      </c>
      <c r="Q422" s="25" t="n">
        <f aca="false">(M422*Assumptions!$B$5+N422*Assumptions!$B$6+O422*Assumptions!$B$7+P422*Assumptions!$B$8)*L422</f>
        <v>0.415555555555556</v>
      </c>
      <c r="R422" s="24" t="n">
        <f aca="false">IFERROR(SUMPRODUCT(($B$2:$B$1001=B422)*($Q$2:$Q$1001&lt;=Q422))/SUMPRODUCT(($B$2:$B$1001=B422)*1),0)</f>
        <v>0.454545454545455</v>
      </c>
      <c r="S422" s="24" t="n">
        <f aca="false">IFERROR(SUMPRODUCT(($B$2:$B$1001=B422)*($K$2:$K$1001&lt;=K422))/SUMPRODUCT(($B$2:$B$1001=B422)*1),0)</f>
        <v>0.316498316498317</v>
      </c>
      <c r="T422" s="26" t="n">
        <f aca="false">(R422-S422)*100</f>
        <v>13.8047138047138</v>
      </c>
      <c r="U422" s="21" t="str">
        <f aca="false">'Player Data'!T422</f>
        <v>No</v>
      </c>
      <c r="V422" s="27" t="n">
        <f aca="false">'Player Data'!U422</f>
        <v>2027</v>
      </c>
      <c r="W422" s="21" t="str">
        <f aca="false">IF(AND(T422&gt;=Assumptions!$B$19,U422="No"),"High Priority - Unrepresented",IF(T422&gt;=Assumptions!$B$19,"High Priority",IF(AND(T422&gt;=Assumptions!$B$20,U422="No"),"Watchlist - Unrepresented",IF(T422&gt;=Assumptions!$B$20,"Watchlist",""))))</f>
        <v/>
      </c>
      <c r="X422" s="21" t="str">
        <f aca="false">'Player Data'!V422</f>
        <v>info@najafrovers.iq</v>
      </c>
      <c r="Y422" s="28" t="str">
        <f aca="false">'Player Data'!W422</f>
        <v>Club sporting director / first-team office</v>
      </c>
      <c r="Z422" s="28" t="str">
        <f aca="false">'Player Data'!X422</f>
        <v>IFA (Iraq Football Association) player registry</v>
      </c>
      <c r="AA422" s="19" t="str">
        <f aca="false">HYPERLINK("https://www.transfermarkt.com/schnellsuche/ergebnis/schnellsuche?query="&amp;SUBSTITUTE(A422," ","+"),"Search Transfermarkt")</f>
        <v>Search Transfermarkt</v>
      </c>
      <c r="AB422" s="29" t="n">
        <f aca="false">IFERROR('Player Data'!K422/('Player Data'!K422+'Player Data'!L422),0)</f>
        <v>0.704347826086957</v>
      </c>
      <c r="AC422" s="21" t="str">
        <f aca="false">IF(B422="GK",IF(AND(O422&gt;=Assumptions!$B$23,N422&gt;=Assumptions!$B$23),"Sweeper-Keeper / Build-from-the-Back",IF(O422&gt;=Assumptions!$B$23,"Sweeper-Keeper / High Line",IF(M422&gt;=Assumptions!$B$23,"Shot-Stopper / Traditional","Flexible / Multi-System"))),IF(AND(O422&gt;=Assumptions!$B$23,P422&gt;=Assumptions!$B$24),"High Press / Gegenpressing",IF(AND(N422&gt;=Assumptions!$B$23,AB422&gt;=Assumptions!$B$25),"Possession / Build-from-the-Back",IF(N422&gt;=Assumptions!$B$23,"Counter-Attack / Transition",IF(AND(O422&gt;=Assumptions!$B$23,N422&lt;Assumptions!$B$26),"Low Block / Park the Bus",IF(AND(B422="FW",M422&gt;=Assumptions!$B$23,N422&lt;Assumptions!$B$26),"Direct / Target Approach","Flexible / Multi-System"))))))</f>
        <v>Possession / Build-from-the-Back</v>
      </c>
      <c r="AD422" s="21" t="str">
        <f aca="false">'Player Data'!Y422</f>
        <v>2026-07-17</v>
      </c>
      <c r="AE422" s="21" t="str">
        <f aca="false">'Player Data'!Z422</f>
        <v>2026-07-17</v>
      </c>
      <c r="AF422" s="28" t="str">
        <f aca="false">IFERROR(INDEX(Assumptions!$B$30:$B$61,MATCH(C422,Assumptions!$A$30:$A$61,0)),"--")</f>
        <v>Turkey, Saudi Arabia</v>
      </c>
      <c r="AG422" s="30" t="str">
        <f aca="false">IF(R422&gt;=0.7,"Step-Up Candidate",IF(R422&gt;=0.4,"Lateral Move","Stay &amp; Develop"))</f>
        <v>Lateral Move</v>
      </c>
    </row>
    <row r="423" customFormat="false" ht="23.85" hidden="false" customHeight="false" outlineLevel="0" collapsed="false">
      <c r="A423" s="21" t="str">
        <f aca="false">'Player Data'!A423</f>
        <v>Erion Hoxha</v>
      </c>
      <c r="B423" s="21" t="str">
        <f aca="false">'Player Data'!F423</f>
        <v>DF</v>
      </c>
      <c r="C423" s="21" t="str">
        <f aca="false">'Player Data'!B423</f>
        <v>Albania</v>
      </c>
      <c r="D423" s="21" t="str">
        <f aca="false">'Player Data'!C423</f>
        <v>Albania Third Tier - North</v>
      </c>
      <c r="E423" s="21" t="n">
        <f aca="false">'Player Data'!D423</f>
        <v>4</v>
      </c>
      <c r="F423" s="21" t="n">
        <f aca="false">'Player Data'!G423</f>
        <v>20</v>
      </c>
      <c r="G423" s="21" t="n">
        <f aca="false">'Player Data'!H423</f>
        <v>2471</v>
      </c>
      <c r="H423" s="22" t="n">
        <f aca="false">IF(B423="GK",IFERROR(('Player Data'!N423-1.5*'Player Data'!O423)/'Player Data'!H423*90,0),IFERROR(('Player Data'!I423+'Player Data'!J423)/'Player Data'!H423*90,0))</f>
        <v>0.109267503035208</v>
      </c>
      <c r="I423" s="22" t="n">
        <f aca="false">IF(B423="GK",'Player Data'!P423,IFERROR(('Player Data'!K423+'Player Data'!L423)/'Player Data'!H423*90,0))</f>
        <v>3.67867260218535</v>
      </c>
      <c r="J423" s="22" t="n">
        <f aca="false">IF(B423="GK",IFERROR('Player Data'!Q423/'Player Data'!H423*90,0),IFERROR('Player Data'!M423/'Player Data'!H423*90,0))</f>
        <v>3.4237150951032</v>
      </c>
      <c r="K423" s="23" t="n">
        <f aca="false">'Player Data'!S423</f>
        <v>113717</v>
      </c>
      <c r="L423" s="22" t="n">
        <f aca="false">INDEX(Assumptions!$B$13:$B$15,MATCH(E423,Assumptions!$A$13:$A$15,0))</f>
        <v>0.7</v>
      </c>
      <c r="M423" s="24" t="n">
        <f aca="false">IFERROR(SUMPRODUCT(($B$2:$B$1001=B423)*($H$2:$H$1001&lt;=H423))/SUMPRODUCT(($B$2:$B$1001=B423)*1),0)</f>
        <v>0.238095238095238</v>
      </c>
      <c r="N423" s="24" t="n">
        <f aca="false">IFERROR(SUMPRODUCT(($B$2:$B$1001=B423)*($I$2:$I$1001&lt;=I423))/SUMPRODUCT(($B$2:$B$1001=B423)*1),0)</f>
        <v>0.302721088435374</v>
      </c>
      <c r="O423" s="24" t="n">
        <f aca="false">IFERROR(SUMPRODUCT(($B$2:$B$1001=B423)*($J$2:$J$1001&lt;=J423))/SUMPRODUCT(($B$2:$B$1001=B423)*1),0)</f>
        <v>0.0748299319727891</v>
      </c>
      <c r="P423" s="24" t="n">
        <f aca="false">IFERROR(SUMPRODUCT(($B$2:$B$1001=B423)*((0-$F$2:$F$1001)&lt;=(0-F423)))/SUMPRODUCT(($B$2:$B$1001=B423)*1),0)</f>
        <v>0.656462585034014</v>
      </c>
      <c r="Q423" s="25" t="n">
        <f aca="false">(M423*Assumptions!$B$5+N423*Assumptions!$B$6+O423*Assumptions!$B$7+P423*Assumptions!$B$8)*L423</f>
        <v>0.218214285714286</v>
      </c>
      <c r="R423" s="24" t="n">
        <f aca="false">IFERROR(SUMPRODUCT(($B$2:$B$1001=B423)*($Q$2:$Q$1001&lt;=Q423))/SUMPRODUCT(($B$2:$B$1001=B423)*1),0)</f>
        <v>0.102040816326531</v>
      </c>
      <c r="S423" s="24" t="n">
        <f aca="false">IFERROR(SUMPRODUCT(($B$2:$B$1001=B423)*($K$2:$K$1001&lt;=K423))/SUMPRODUCT(($B$2:$B$1001=B423)*1),0)</f>
        <v>0.816326530612245</v>
      </c>
      <c r="T423" s="26" t="n">
        <f aca="false">(R423-S423)*100</f>
        <v>-71.4285714285714</v>
      </c>
      <c r="U423" s="21" t="str">
        <f aca="false">'Player Data'!T423</f>
        <v>No</v>
      </c>
      <c r="V423" s="27" t="n">
        <f aca="false">'Player Data'!U423</f>
        <v>2026</v>
      </c>
      <c r="W423" s="21" t="str">
        <f aca="false">IF(AND(T423&gt;=Assumptions!$B$19,U423="No"),"High Priority - Unrepresented",IF(T423&gt;=Assumptions!$B$19,"High Priority",IF(AND(T423&gt;=Assumptions!$B$20,U423="No"),"Watchlist - Unrepresented",IF(T423&gt;=Assumptions!$B$20,"Watchlist",""))))</f>
        <v/>
      </c>
      <c r="X423" s="21" t="str">
        <f aca="false">'Player Data'!V423</f>
        <v>info@vloresc.al</v>
      </c>
      <c r="Y423" s="28" t="str">
        <f aca="false">'Player Data'!W423</f>
        <v>Club sporting director / first-team office</v>
      </c>
      <c r="Z423" s="28" t="str">
        <f aca="false">'Player Data'!X423</f>
        <v>FSHF (Albanian Football Association) player registry</v>
      </c>
      <c r="AA423" s="19" t="str">
        <f aca="false">HYPERLINK("https://www.transfermarkt.com/schnellsuche/ergebnis/schnellsuche?query="&amp;SUBSTITUTE(A423," ","+"),"Search Transfermarkt")</f>
        <v>Search Transfermarkt</v>
      </c>
      <c r="AB423" s="29" t="n">
        <f aca="false">IFERROR('Player Data'!K423/('Player Data'!K423+'Player Data'!L423),0)</f>
        <v>0.633663366336634</v>
      </c>
      <c r="AC423" s="21" t="str">
        <f aca="false">IF(B423="GK",IF(AND(O423&gt;=Assumptions!$B$23,N423&gt;=Assumptions!$B$23),"Sweeper-Keeper / Build-from-the-Back",IF(O423&gt;=Assumptions!$B$23,"Sweeper-Keeper / High Line",IF(M423&gt;=Assumptions!$B$23,"Shot-Stopper / Traditional","Flexible / Multi-System"))),IF(AND(O423&gt;=Assumptions!$B$23,P423&gt;=Assumptions!$B$24),"High Press / Gegenpressing",IF(AND(N423&gt;=Assumptions!$B$23,AB423&gt;=Assumptions!$B$25),"Possession / Build-from-the-Back",IF(N423&gt;=Assumptions!$B$23,"Counter-Attack / Transition",IF(AND(O423&gt;=Assumptions!$B$23,N423&lt;Assumptions!$B$26),"Low Block / Park the Bus",IF(AND(B423="FW",M423&gt;=Assumptions!$B$23,N423&lt;Assumptions!$B$26),"Direct / Target Approach","Flexible / Multi-System"))))))</f>
        <v>Flexible / Multi-System</v>
      </c>
      <c r="AD423" s="21" t="str">
        <f aca="false">'Player Data'!Y423</f>
        <v>2026-07-17</v>
      </c>
      <c r="AE423" s="21" t="str">
        <f aca="false">'Player Data'!Z423</f>
        <v>2026-07-17</v>
      </c>
      <c r="AF423" s="28" t="str">
        <f aca="false">IFERROR(INDEX(Assumptions!$B$30:$B$61,MATCH(C423,Assumptions!$A$30:$A$61,0)),"--")</f>
        <v>Turkey, Poland</v>
      </c>
      <c r="AG423" s="30" t="str">
        <f aca="false">IF(R423&gt;=0.7,"Step-Up Candidate",IF(R423&gt;=0.4,"Lateral Move","Stay &amp; Develop"))</f>
        <v>Stay &amp; Develop</v>
      </c>
    </row>
    <row r="424" customFormat="false" ht="23.85" hidden="false" customHeight="false" outlineLevel="0" collapsed="false">
      <c r="A424" s="21" t="str">
        <f aca="false">'Player Data'!A424</f>
        <v>Kwabena Agyemang</v>
      </c>
      <c r="B424" s="21" t="str">
        <f aca="false">'Player Data'!F424</f>
        <v>DF</v>
      </c>
      <c r="C424" s="21" t="str">
        <f aca="false">'Player Data'!B424</f>
        <v>Ghana</v>
      </c>
      <c r="D424" s="21" t="str">
        <f aca="false">'Player Data'!C424</f>
        <v>Ghana Second Division - East</v>
      </c>
      <c r="E424" s="21" t="n">
        <f aca="false">'Player Data'!D424</f>
        <v>4</v>
      </c>
      <c r="F424" s="21" t="n">
        <f aca="false">'Player Data'!G424</f>
        <v>24</v>
      </c>
      <c r="G424" s="21" t="n">
        <f aca="false">'Player Data'!H424</f>
        <v>1246</v>
      </c>
      <c r="H424" s="22" t="n">
        <f aca="false">IF(B424="GK",IFERROR(('Player Data'!N424-1.5*'Player Data'!O424)/'Player Data'!H424*90,0),IFERROR(('Player Data'!I424+'Player Data'!J424)/'Player Data'!H424*90,0))</f>
        <v>0.07223113964687</v>
      </c>
      <c r="I424" s="22" t="n">
        <f aca="false">IF(B424="GK",'Player Data'!P424,IFERROR(('Player Data'!K424+'Player Data'!L424)/'Player Data'!H424*90,0))</f>
        <v>5.27287319422151</v>
      </c>
      <c r="J424" s="22" t="n">
        <f aca="false">IF(B424="GK",IFERROR('Player Data'!Q424/'Player Data'!H424*90,0),IFERROR('Player Data'!M424/'Player Data'!H424*90,0))</f>
        <v>6.71749598715891</v>
      </c>
      <c r="K424" s="23" t="n">
        <f aca="false">'Player Data'!S424</f>
        <v>66334</v>
      </c>
      <c r="L424" s="22" t="n">
        <f aca="false">INDEX(Assumptions!$B$13:$B$15,MATCH(E424,Assumptions!$A$13:$A$15,0))</f>
        <v>0.7</v>
      </c>
      <c r="M424" s="24" t="n">
        <f aca="false">IFERROR(SUMPRODUCT(($B$2:$B$1001=B424)*($H$2:$H$1001&lt;=H424))/SUMPRODUCT(($B$2:$B$1001=B424)*1),0)</f>
        <v>0.112244897959184</v>
      </c>
      <c r="N424" s="24" t="n">
        <f aca="false">IFERROR(SUMPRODUCT(($B$2:$B$1001=B424)*($I$2:$I$1001&lt;=I424))/SUMPRODUCT(($B$2:$B$1001=B424)*1),0)</f>
        <v>0.629251700680272</v>
      </c>
      <c r="O424" s="24" t="n">
        <f aca="false">IFERROR(SUMPRODUCT(($B$2:$B$1001=B424)*($J$2:$J$1001&lt;=J424))/SUMPRODUCT(($B$2:$B$1001=B424)*1),0)</f>
        <v>0.710884353741497</v>
      </c>
      <c r="P424" s="24" t="n">
        <f aca="false">IFERROR(SUMPRODUCT(($B$2:$B$1001=B424)*((0-$F$2:$F$1001)&lt;=(0-F424)))/SUMPRODUCT(($B$2:$B$1001=B424)*1),0)</f>
        <v>0.275510204081633</v>
      </c>
      <c r="Q424" s="25" t="n">
        <f aca="false">(M424*Assumptions!$B$5+N424*Assumptions!$B$6+O424*Assumptions!$B$7+P424*Assumptions!$B$8)*L424</f>
        <v>0.311904761904762</v>
      </c>
      <c r="R424" s="24" t="n">
        <f aca="false">IFERROR(SUMPRODUCT(($B$2:$B$1001=B424)*($Q$2:$Q$1001&lt;=Q424))/SUMPRODUCT(($B$2:$B$1001=B424)*1),0)</f>
        <v>0.282312925170068</v>
      </c>
      <c r="S424" s="24" t="n">
        <f aca="false">IFERROR(SUMPRODUCT(($B$2:$B$1001=B424)*($K$2:$K$1001&lt;=K424))/SUMPRODUCT(($B$2:$B$1001=B424)*1),0)</f>
        <v>0.510204081632653</v>
      </c>
      <c r="T424" s="26" t="n">
        <f aca="false">(R424-S424)*100</f>
        <v>-22.7891156462585</v>
      </c>
      <c r="U424" s="21" t="str">
        <f aca="false">'Player Data'!T424</f>
        <v>Unknown</v>
      </c>
      <c r="V424" s="27" t="n">
        <f aca="false">'Player Data'!U424</f>
        <v>2028</v>
      </c>
      <c r="W424" s="21" t="str">
        <f aca="false">IF(AND(T424&gt;=Assumptions!$B$19,U424="No"),"High Priority - Unrepresented",IF(T424&gt;=Assumptions!$B$19,"High Priority",IF(AND(T424&gt;=Assumptions!$B$20,U424="No"),"Watchlist - Unrepresented",IF(T424&gt;=Assumptions!$B$20,"Watchlist",""))))</f>
        <v/>
      </c>
      <c r="X424" s="21" t="str">
        <f aca="false">'Player Data'!V424</f>
        <v>info@tamalefc.gh</v>
      </c>
      <c r="Y424" s="28" t="str">
        <f aca="false">'Player Data'!W424</f>
        <v>Club sporting director / first-team office</v>
      </c>
      <c r="Z424" s="28" t="str">
        <f aca="false">'Player Data'!X424</f>
        <v>GFA (Ghana Football Association) player registry</v>
      </c>
      <c r="AA424" s="19" t="str">
        <f aca="false">HYPERLINK("https://www.transfermarkt.com/schnellsuche/ergebnis/schnellsuche?query="&amp;SUBSTITUTE(A424," ","+"),"Search Transfermarkt")</f>
        <v>Search Transfermarkt</v>
      </c>
      <c r="AB424" s="29" t="n">
        <f aca="false">IFERROR('Player Data'!K424/('Player Data'!K424+'Player Data'!L424),0)</f>
        <v>0.657534246575342</v>
      </c>
      <c r="AC424" s="21" t="str">
        <f aca="false">IF(B424="GK",IF(AND(O424&gt;=Assumptions!$B$23,N424&gt;=Assumptions!$B$23),"Sweeper-Keeper / Build-from-the-Back",IF(O424&gt;=Assumptions!$B$23,"Sweeper-Keeper / High Line",IF(M424&gt;=Assumptions!$B$23,"Shot-Stopper / Traditional","Flexible / Multi-System"))),IF(AND(O424&gt;=Assumptions!$B$23,P424&gt;=Assumptions!$B$24),"High Press / Gegenpressing",IF(AND(N424&gt;=Assumptions!$B$23,AB424&gt;=Assumptions!$B$25),"Possession / Build-from-the-Back",IF(N424&gt;=Assumptions!$B$23,"Counter-Attack / Transition",IF(AND(O424&gt;=Assumptions!$B$23,N424&lt;Assumptions!$B$26),"Low Block / Park the Bus",IF(AND(B424="FW",M424&gt;=Assumptions!$B$23,N424&lt;Assumptions!$B$26),"Direct / Target Approach","Flexible / Multi-System"))))))</f>
        <v>Flexible / Multi-System</v>
      </c>
      <c r="AD424" s="21" t="str">
        <f aca="false">'Player Data'!Y424</f>
        <v>2026-07-17</v>
      </c>
      <c r="AE424" s="21" t="str">
        <f aca="false">'Player Data'!Z424</f>
        <v>2026-07-17</v>
      </c>
      <c r="AF424" s="28" t="str">
        <f aca="false">IFERROR(INDEX(Assumptions!$B$30:$B$61,MATCH(C424,Assumptions!$A$30:$A$61,0)),"--")</f>
        <v>Belgium, Portugal</v>
      </c>
      <c r="AG424" s="30" t="str">
        <f aca="false">IF(R424&gt;=0.7,"Step-Up Candidate",IF(R424&gt;=0.4,"Lateral Move","Stay &amp; Develop"))</f>
        <v>Stay &amp; Develop</v>
      </c>
    </row>
    <row r="425" customFormat="false" ht="23.85" hidden="false" customHeight="false" outlineLevel="0" collapsed="false">
      <c r="A425" s="21" t="str">
        <f aca="false">'Player Data'!A425</f>
        <v>Sardor Yuldashev</v>
      </c>
      <c r="B425" s="21" t="str">
        <f aca="false">'Player Data'!F425</f>
        <v>FW</v>
      </c>
      <c r="C425" s="21" t="str">
        <f aca="false">'Player Data'!B425</f>
        <v>Uzbekistan</v>
      </c>
      <c r="D425" s="21" t="str">
        <f aca="false">'Player Data'!C425</f>
        <v>Uzbekistan Second Division - East</v>
      </c>
      <c r="E425" s="21" t="n">
        <f aca="false">'Player Data'!D425</f>
        <v>2</v>
      </c>
      <c r="F425" s="21" t="n">
        <f aca="false">'Player Data'!G425</f>
        <v>24</v>
      </c>
      <c r="G425" s="21" t="n">
        <f aca="false">'Player Data'!H425</f>
        <v>1349</v>
      </c>
      <c r="H425" s="22" t="n">
        <f aca="false">IF(B425="GK",IFERROR(('Player Data'!N425-1.5*'Player Data'!O425)/'Player Data'!H425*90,0),IFERROR(('Player Data'!I425+'Player Data'!J425)/'Player Data'!H425*90,0))</f>
        <v>1.73461823573017</v>
      </c>
      <c r="I425" s="22" t="n">
        <f aca="false">IF(B425="GK",'Player Data'!P425,IFERROR(('Player Data'!K425+'Player Data'!L425)/'Player Data'!H425*90,0))</f>
        <v>9.20681986656783</v>
      </c>
      <c r="J425" s="22" t="n">
        <f aca="false">IF(B425="GK",IFERROR('Player Data'!Q425/'Player Data'!H425*90,0),IFERROR('Player Data'!M425/'Player Data'!H425*90,0))</f>
        <v>0.467012601927354</v>
      </c>
      <c r="K425" s="23" t="n">
        <f aca="false">'Player Data'!S425</f>
        <v>0</v>
      </c>
      <c r="L425" s="22" t="n">
        <f aca="false">INDEX(Assumptions!$B$13:$B$15,MATCH(E425,Assumptions!$A$13:$A$15,0))</f>
        <v>1</v>
      </c>
      <c r="M425" s="24" t="n">
        <f aca="false">IFERROR(SUMPRODUCT(($B$2:$B$1001=B425)*($H$2:$H$1001&lt;=H425))/SUMPRODUCT(($B$2:$B$1001=B425)*1),0)</f>
        <v>0.898230088495575</v>
      </c>
      <c r="N425" s="24" t="n">
        <f aca="false">IFERROR(SUMPRODUCT(($B$2:$B$1001=B425)*($I$2:$I$1001&lt;=I425))/SUMPRODUCT(($B$2:$B$1001=B425)*1),0)</f>
        <v>0.783185840707965</v>
      </c>
      <c r="O425" s="24" t="n">
        <f aca="false">IFERROR(SUMPRODUCT(($B$2:$B$1001=B425)*($J$2:$J$1001&lt;=J425))/SUMPRODUCT(($B$2:$B$1001=B425)*1),0)</f>
        <v>0.446902654867257</v>
      </c>
      <c r="P425" s="24" t="n">
        <f aca="false">IFERROR(SUMPRODUCT(($B$2:$B$1001=B425)*((0-$F$2:$F$1001)&lt;=(0-F425)))/SUMPRODUCT(($B$2:$B$1001=B425)*1),0)</f>
        <v>0.305309734513274</v>
      </c>
      <c r="Q425" s="25" t="n">
        <f aca="false">(M425*Assumptions!$B$5+N425*Assumptions!$B$6+O425*Assumptions!$B$7+P425*Assumptions!$B$8)*L425</f>
        <v>0.649115044247788</v>
      </c>
      <c r="R425" s="24" t="n">
        <f aca="false">IFERROR(SUMPRODUCT(($B$2:$B$1001=B425)*($Q$2:$Q$1001&lt;=Q425))/SUMPRODUCT(($B$2:$B$1001=B425)*1),0)</f>
        <v>0.814159292035398</v>
      </c>
      <c r="S425" s="24" t="n">
        <f aca="false">IFERROR(SUMPRODUCT(($B$2:$B$1001=B425)*($K$2:$K$1001&lt;=K425))/SUMPRODUCT(($B$2:$B$1001=B425)*1),0)</f>
        <v>0.261061946902655</v>
      </c>
      <c r="T425" s="26" t="n">
        <f aca="false">(R425-S425)*100</f>
        <v>55.3097345132743</v>
      </c>
      <c r="U425" s="21" t="str">
        <f aca="false">'Player Data'!T425</f>
        <v>No</v>
      </c>
      <c r="V425" s="27" t="n">
        <f aca="false">'Player Data'!U425</f>
        <v>2029</v>
      </c>
      <c r="W425" s="21" t="str">
        <f aca="false">IF(AND(T425&gt;=Assumptions!$B$19,U425="No"),"High Priority - Unrepresented",IF(T425&gt;=Assumptions!$B$19,"High Priority",IF(AND(T425&gt;=Assumptions!$B$20,U425="No"),"Watchlist - Unrepresented",IF(T425&gt;=Assumptions!$B$20,"Watchlist",""))))</f>
        <v>High Priority - Unrepresented</v>
      </c>
      <c r="X425" s="21" t="str">
        <f aca="false">'Player Data'!V425</f>
        <v>info@andijanwanderers.uz</v>
      </c>
      <c r="Y425" s="28" t="str">
        <f aca="false">'Player Data'!W425</f>
        <v>Club sporting director / first-team office</v>
      </c>
      <c r="Z425" s="28" t="str">
        <f aca="false">'Player Data'!X425</f>
        <v>UFF (Uzbekistan Football Federation) player registry</v>
      </c>
      <c r="AA425" s="19" t="str">
        <f aca="false">HYPERLINK("https://www.transfermarkt.com/schnellsuche/ergebnis/schnellsuche?query="&amp;SUBSTITUTE(A425," ","+"),"Search Transfermarkt")</f>
        <v>Search Transfermarkt</v>
      </c>
      <c r="AB425" s="29" t="n">
        <f aca="false">IFERROR('Player Data'!K425/('Player Data'!K425+'Player Data'!L425),0)</f>
        <v>0.449275362318841</v>
      </c>
      <c r="AC425" s="21" t="str">
        <f aca="false">IF(B425="GK",IF(AND(O425&gt;=Assumptions!$B$23,N425&gt;=Assumptions!$B$23),"Sweeper-Keeper / Build-from-the-Back",IF(O425&gt;=Assumptions!$B$23,"Sweeper-Keeper / High Line",IF(M425&gt;=Assumptions!$B$23,"Shot-Stopper / Traditional","Flexible / Multi-System"))),IF(AND(O425&gt;=Assumptions!$B$23,P425&gt;=Assumptions!$B$24),"High Press / Gegenpressing",IF(AND(N425&gt;=Assumptions!$B$23,AB425&gt;=Assumptions!$B$25),"Possession / Build-from-the-Back",IF(N425&gt;=Assumptions!$B$23,"Counter-Attack / Transition",IF(AND(O425&gt;=Assumptions!$B$23,N425&lt;Assumptions!$B$26),"Low Block / Park the Bus",IF(AND(B425="FW",M425&gt;=Assumptions!$B$23,N425&lt;Assumptions!$B$26),"Direct / Target Approach","Flexible / Multi-System"))))))</f>
        <v>Counter-Attack / Transition</v>
      </c>
      <c r="AD425" s="21" t="str">
        <f aca="false">'Player Data'!Y425</f>
        <v>2026-07-17</v>
      </c>
      <c r="AE425" s="21" t="str">
        <f aca="false">'Player Data'!Z425</f>
        <v>2026-07-17</v>
      </c>
      <c r="AF425" s="28" t="str">
        <f aca="false">IFERROR(INDEX(Assumptions!$B$30:$B$61,MATCH(C425,Assumptions!$A$30:$A$61,0)),"--")</f>
        <v>Turkey, Saudi Arabia</v>
      </c>
      <c r="AG425" s="30" t="str">
        <f aca="false">IF(R425&gt;=0.7,"Step-Up Candidate",IF(R425&gt;=0.4,"Lateral Move","Stay &amp; Develop"))</f>
        <v>Step-Up Candidate</v>
      </c>
    </row>
    <row r="426" customFormat="false" ht="23.85" hidden="false" customHeight="false" outlineLevel="0" collapsed="false">
      <c r="A426" s="21" t="str">
        <f aca="false">'Player Data'!A426</f>
        <v>Noah Mitchell</v>
      </c>
      <c r="B426" s="21" t="str">
        <f aca="false">'Player Data'!F426</f>
        <v>MF</v>
      </c>
      <c r="C426" s="21" t="str">
        <f aca="false">'Player Data'!B426</f>
        <v>New Zealand</v>
      </c>
      <c r="D426" s="21" t="str">
        <f aca="false">'Player Data'!C426</f>
        <v>New Zealand Provincial League</v>
      </c>
      <c r="E426" s="21" t="n">
        <f aca="false">'Player Data'!D426</f>
        <v>4</v>
      </c>
      <c r="F426" s="21" t="n">
        <f aca="false">'Player Data'!G426</f>
        <v>22</v>
      </c>
      <c r="G426" s="21" t="n">
        <f aca="false">'Player Data'!H426</f>
        <v>1031</v>
      </c>
      <c r="H426" s="22" t="n">
        <f aca="false">IF(B426="GK",IFERROR(('Player Data'!N426-1.5*'Player Data'!O426)/'Player Data'!H426*90,0),IFERROR(('Player Data'!I426+'Player Data'!J426)/'Player Data'!H426*90,0))</f>
        <v>0.785645004849661</v>
      </c>
      <c r="I426" s="22" t="n">
        <f aca="false">IF(B426="GK",'Player Data'!P426,IFERROR(('Player Data'!K426+'Player Data'!L426)/'Player Data'!H426*90,0))</f>
        <v>21.5615906886518</v>
      </c>
      <c r="J426" s="22" t="n">
        <f aca="false">IF(B426="GK",IFERROR('Player Data'!Q426/'Player Data'!H426*90,0),IFERROR('Player Data'!M426/'Player Data'!H426*90,0))</f>
        <v>2.96799224054316</v>
      </c>
      <c r="K426" s="23" t="n">
        <f aca="false">'Player Data'!S426</f>
        <v>44250</v>
      </c>
      <c r="L426" s="22" t="n">
        <f aca="false">INDEX(Assumptions!$B$13:$B$15,MATCH(E426,Assumptions!$A$13:$A$15,0))</f>
        <v>0.7</v>
      </c>
      <c r="M426" s="24" t="n">
        <f aca="false">IFERROR(SUMPRODUCT(($B$2:$B$1001=B426)*($H$2:$H$1001&lt;=H426))/SUMPRODUCT(($B$2:$B$1001=B426)*1),0)</f>
        <v>0.572390572390572</v>
      </c>
      <c r="N426" s="24" t="n">
        <f aca="false">IFERROR(SUMPRODUCT(($B$2:$B$1001=B426)*($I$2:$I$1001&lt;=I426))/SUMPRODUCT(($B$2:$B$1001=B426)*1),0)</f>
        <v>0.929292929292929</v>
      </c>
      <c r="O426" s="24" t="n">
        <f aca="false">IFERROR(SUMPRODUCT(($B$2:$B$1001=B426)*($J$2:$J$1001&lt;=J426))/SUMPRODUCT(($B$2:$B$1001=B426)*1),0)</f>
        <v>0.774410774410774</v>
      </c>
      <c r="P426" s="24" t="n">
        <f aca="false">IFERROR(SUMPRODUCT(($B$2:$B$1001=B426)*((0-$F$2:$F$1001)&lt;=(0-F426)))/SUMPRODUCT(($B$2:$B$1001=B426)*1),0)</f>
        <v>0.515151515151515</v>
      </c>
      <c r="Q426" s="25" t="n">
        <f aca="false">(M426*Assumptions!$B$5+N426*Assumptions!$B$6+O426*Assumptions!$B$7+P426*Assumptions!$B$8)*L426</f>
        <v>0.508383838383838</v>
      </c>
      <c r="R426" s="24" t="n">
        <f aca="false">IFERROR(SUMPRODUCT(($B$2:$B$1001=B426)*($Q$2:$Q$1001&lt;=Q426))/SUMPRODUCT(($B$2:$B$1001=B426)*1),0)</f>
        <v>0.622895622895623</v>
      </c>
      <c r="S426" s="24" t="n">
        <f aca="false">IFERROR(SUMPRODUCT(($B$2:$B$1001=B426)*($K$2:$K$1001&lt;=K426))/SUMPRODUCT(($B$2:$B$1001=B426)*1),0)</f>
        <v>0.390572390572391</v>
      </c>
      <c r="T426" s="26" t="n">
        <f aca="false">(R426-S426)*100</f>
        <v>23.2323232323232</v>
      </c>
      <c r="U426" s="21" t="str">
        <f aca="false">'Player Data'!T426</f>
        <v>Yes</v>
      </c>
      <c r="V426" s="27" t="n">
        <f aca="false">'Player Data'!U426</f>
        <v>2028</v>
      </c>
      <c r="W426" s="21" t="str">
        <f aca="false">IF(AND(T426&gt;=Assumptions!$B$19,U426="No"),"High Priority - Unrepresented",IF(T426&gt;=Assumptions!$B$19,"High Priority",IF(AND(T426&gt;=Assumptions!$B$20,U426="No"),"Watchlist - Unrepresented",IF(T426&gt;=Assumptions!$B$20,"Watchlist",""))))</f>
        <v>Watchlist</v>
      </c>
      <c r="X426" s="21" t="str">
        <f aca="false">'Player Data'!V426</f>
        <v>info@christchurchathletic.nz</v>
      </c>
      <c r="Y426" s="28" t="str">
        <f aca="false">'Player Data'!W426</f>
        <v>Go through the player's agent - ask the club to confirm representation first</v>
      </c>
      <c r="Z426" s="28" t="str">
        <f aca="false">'Player Data'!X426</f>
        <v>NZF (New Zealand Football) player registry</v>
      </c>
      <c r="AA426" s="19" t="str">
        <f aca="false">HYPERLINK("https://www.transfermarkt.com/schnellsuche/ergebnis/schnellsuche?query="&amp;SUBSTITUTE(A426," ","+"),"Search Transfermarkt")</f>
        <v>Search Transfermarkt</v>
      </c>
      <c r="AB426" s="29" t="n">
        <f aca="false">IFERROR('Player Data'!K426/('Player Data'!K426+'Player Data'!L426),0)</f>
        <v>0.668016194331984</v>
      </c>
      <c r="AC426" s="21" t="str">
        <f aca="false">IF(B426="GK",IF(AND(O426&gt;=Assumptions!$B$23,N426&gt;=Assumptions!$B$23),"Sweeper-Keeper / Build-from-the-Back",IF(O426&gt;=Assumptions!$B$23,"Sweeper-Keeper / High Line",IF(M426&gt;=Assumptions!$B$23,"Shot-Stopper / Traditional","Flexible / Multi-System"))),IF(AND(O426&gt;=Assumptions!$B$23,P426&gt;=Assumptions!$B$24),"High Press / Gegenpressing",IF(AND(N426&gt;=Assumptions!$B$23,AB426&gt;=Assumptions!$B$25),"Possession / Build-from-the-Back",IF(N426&gt;=Assumptions!$B$23,"Counter-Attack / Transition",IF(AND(O426&gt;=Assumptions!$B$23,N426&lt;Assumptions!$B$26),"Low Block / Park the Bus",IF(AND(B426="FW",M426&gt;=Assumptions!$B$23,N426&lt;Assumptions!$B$26),"Direct / Target Approach","Flexible / Multi-System"))))))</f>
        <v>Possession / Build-from-the-Back</v>
      </c>
      <c r="AD426" s="21" t="str">
        <f aca="false">'Player Data'!Y426</f>
        <v>2026-07-17</v>
      </c>
      <c r="AE426" s="21" t="str">
        <f aca="false">'Player Data'!Z426</f>
        <v>2026-07-17</v>
      </c>
      <c r="AF426" s="28" t="str">
        <f aca="false">IFERROR(INDEX(Assumptions!$B$30:$B$61,MATCH(C426,Assumptions!$A$30:$A$61,0)),"--")</f>
        <v>Australia, United States</v>
      </c>
      <c r="AG426" s="30" t="str">
        <f aca="false">IF(R426&gt;=0.7,"Step-Up Candidate",IF(R426&gt;=0.4,"Lateral Move","Stay &amp; Develop"))</f>
        <v>Lateral Move</v>
      </c>
    </row>
    <row r="427" customFormat="false" ht="23.85" hidden="false" customHeight="false" outlineLevel="0" collapsed="false">
      <c r="A427" s="21" t="str">
        <f aca="false">'Player Data'!A427</f>
        <v>Ha-joon Park</v>
      </c>
      <c r="B427" s="21" t="str">
        <f aca="false">'Player Data'!F427</f>
        <v>MF</v>
      </c>
      <c r="C427" s="21" t="str">
        <f aca="false">'Player Data'!B427</f>
        <v>South Korea</v>
      </c>
      <c r="D427" s="21" t="str">
        <f aca="false">'Player Data'!C427</f>
        <v>South Korea Regional League</v>
      </c>
      <c r="E427" s="21" t="n">
        <f aca="false">'Player Data'!D427</f>
        <v>2</v>
      </c>
      <c r="F427" s="21" t="n">
        <f aca="false">'Player Data'!G427</f>
        <v>20</v>
      </c>
      <c r="G427" s="21" t="n">
        <f aca="false">'Player Data'!H427</f>
        <v>816</v>
      </c>
      <c r="H427" s="22" t="n">
        <f aca="false">IF(B427="GK",IFERROR(('Player Data'!N427-1.5*'Player Data'!O427)/'Player Data'!H427*90,0),IFERROR(('Player Data'!I427+'Player Data'!J427)/'Player Data'!H427*90,0))</f>
        <v>1.43382352941176</v>
      </c>
      <c r="I427" s="22" t="n">
        <f aca="false">IF(B427="GK",'Player Data'!P427,IFERROR(('Player Data'!K427+'Player Data'!L427)/'Player Data'!H427*90,0))</f>
        <v>21.5073529411765</v>
      </c>
      <c r="J427" s="22" t="n">
        <f aca="false">IF(B427="GK",IFERROR('Player Data'!Q427/'Player Data'!H427*90,0),IFERROR('Player Data'!M427/'Player Data'!H427*90,0))</f>
        <v>5.625</v>
      </c>
      <c r="K427" s="23" t="n">
        <f aca="false">'Player Data'!S427</f>
        <v>0</v>
      </c>
      <c r="L427" s="22" t="n">
        <f aca="false">INDEX(Assumptions!$B$13:$B$15,MATCH(E427,Assumptions!$A$13:$A$15,0))</f>
        <v>1</v>
      </c>
      <c r="M427" s="24" t="n">
        <f aca="false">IFERROR(SUMPRODUCT(($B$2:$B$1001=B427)*($H$2:$H$1001&lt;=H427))/SUMPRODUCT(($B$2:$B$1001=B427)*1),0)</f>
        <v>0.912457912457912</v>
      </c>
      <c r="N427" s="24" t="n">
        <f aca="false">IFERROR(SUMPRODUCT(($B$2:$B$1001=B427)*($I$2:$I$1001&lt;=I427))/SUMPRODUCT(($B$2:$B$1001=B427)*1),0)</f>
        <v>0.925925925925926</v>
      </c>
      <c r="O427" s="24" t="n">
        <f aca="false">IFERROR(SUMPRODUCT(($B$2:$B$1001=B427)*($J$2:$J$1001&lt;=J427))/SUMPRODUCT(($B$2:$B$1001=B427)*1),0)</f>
        <v>1</v>
      </c>
      <c r="P427" s="24" t="n">
        <f aca="false">IFERROR(SUMPRODUCT(($B$2:$B$1001=B427)*((0-$F$2:$F$1001)&lt;=(0-F427)))/SUMPRODUCT(($B$2:$B$1001=B427)*1),0)</f>
        <v>0.734006734006734</v>
      </c>
      <c r="Q427" s="25" t="n">
        <f aca="false">(M427*Assumptions!$B$5+N427*Assumptions!$B$6+O427*Assumptions!$B$7+P427*Assumptions!$B$8)*L427</f>
        <v>0.898989898989899</v>
      </c>
      <c r="R427" s="24" t="n">
        <f aca="false">IFERROR(SUMPRODUCT(($B$2:$B$1001=B427)*($Q$2:$Q$1001&lt;=Q427))/SUMPRODUCT(($B$2:$B$1001=B427)*1),0)</f>
        <v>0.986531986531987</v>
      </c>
      <c r="S427" s="24" t="n">
        <f aca="false">IFERROR(SUMPRODUCT(($B$2:$B$1001=B427)*($K$2:$K$1001&lt;=K427))/SUMPRODUCT(($B$2:$B$1001=B427)*1),0)</f>
        <v>0.228956228956229</v>
      </c>
      <c r="T427" s="26" t="n">
        <f aca="false">(R427-S427)*100</f>
        <v>75.7575757575758</v>
      </c>
      <c r="U427" s="21" t="str">
        <f aca="false">'Player Data'!T427</f>
        <v>No</v>
      </c>
      <c r="V427" s="27" t="n">
        <f aca="false">'Player Data'!U427</f>
        <v>2026</v>
      </c>
      <c r="W427" s="21" t="str">
        <f aca="false">IF(AND(T427&gt;=Assumptions!$B$19,U427="No"),"High Priority - Unrepresented",IF(T427&gt;=Assumptions!$B$19,"High Priority",IF(AND(T427&gt;=Assumptions!$B$20,U427="No"),"Watchlist - Unrepresented",IF(T427&gt;=Assumptions!$B$20,"Watchlist",""))))</f>
        <v>High Priority - Unrepresented</v>
      </c>
      <c r="X427" s="21" t="str">
        <f aca="false">'Player Data'!V427</f>
        <v>info@daejeontown.kr</v>
      </c>
      <c r="Y427" s="28" t="str">
        <f aca="false">'Player Data'!W427</f>
        <v>Club sporting director / first-team office</v>
      </c>
      <c r="Z427" s="28" t="str">
        <f aca="false">'Player Data'!X427</f>
        <v>KFA (Korea Football Association) player registry</v>
      </c>
      <c r="AA427" s="19" t="str">
        <f aca="false">HYPERLINK("https://www.transfermarkt.com/schnellsuche/ergebnis/schnellsuche?query="&amp;SUBSTITUTE(A427," ","+"),"Search Transfermarkt")</f>
        <v>Search Transfermarkt</v>
      </c>
      <c r="AB427" s="29" t="n">
        <f aca="false">IFERROR('Player Data'!K427/('Player Data'!K427+'Player Data'!L427),0)</f>
        <v>0.682051282051282</v>
      </c>
      <c r="AC427" s="21" t="str">
        <f aca="false">IF(B427="GK",IF(AND(O427&gt;=Assumptions!$B$23,N427&gt;=Assumptions!$B$23),"Sweeper-Keeper / Build-from-the-Back",IF(O427&gt;=Assumptions!$B$23,"Sweeper-Keeper / High Line",IF(M427&gt;=Assumptions!$B$23,"Shot-Stopper / Traditional","Flexible / Multi-System"))),IF(AND(O427&gt;=Assumptions!$B$23,P427&gt;=Assumptions!$B$24),"High Press / Gegenpressing",IF(AND(N427&gt;=Assumptions!$B$23,AB427&gt;=Assumptions!$B$25),"Possession / Build-from-the-Back",IF(N427&gt;=Assumptions!$B$23,"Counter-Attack / Transition",IF(AND(O427&gt;=Assumptions!$B$23,N427&lt;Assumptions!$B$26),"Low Block / Park the Bus",IF(AND(B427="FW",M427&gt;=Assumptions!$B$23,N427&lt;Assumptions!$B$26),"Direct / Target Approach","Flexible / Multi-System"))))))</f>
        <v>High Press / Gegenpressing</v>
      </c>
      <c r="AD427" s="21" t="str">
        <f aca="false">'Player Data'!Y427</f>
        <v>2026-07-17</v>
      </c>
      <c r="AE427" s="21" t="str">
        <f aca="false">'Player Data'!Z427</f>
        <v>2026-07-17</v>
      </c>
      <c r="AF427" s="28" t="str">
        <f aca="false">IFERROR(INDEX(Assumptions!$B$30:$B$61,MATCH(C427,Assumptions!$A$30:$A$61,0)),"--")</f>
        <v>Belgium, Saudi Arabia</v>
      </c>
      <c r="AG427" s="30" t="str">
        <f aca="false">IF(R427&gt;=0.7,"Step-Up Candidate",IF(R427&gt;=0.4,"Lateral Move","Stay &amp; Develop"))</f>
        <v>Step-Up Candidate</v>
      </c>
    </row>
    <row r="428" customFormat="false" ht="23.85" hidden="false" customHeight="false" outlineLevel="0" collapsed="false">
      <c r="A428" s="21" t="str">
        <f aca="false">'Player Data'!A428</f>
        <v>Duc Nguyen</v>
      </c>
      <c r="B428" s="21" t="str">
        <f aca="false">'Player Data'!F428</f>
        <v>FW</v>
      </c>
      <c r="C428" s="21" t="str">
        <f aca="false">'Player Data'!B428</f>
        <v>Vietnam</v>
      </c>
      <c r="D428" s="21" t="str">
        <f aca="false">'Player Data'!C428</f>
        <v>Vietnam Second Division</v>
      </c>
      <c r="E428" s="21" t="n">
        <f aca="false">'Player Data'!D428</f>
        <v>2</v>
      </c>
      <c r="F428" s="21" t="n">
        <f aca="false">'Player Data'!G428</f>
        <v>23</v>
      </c>
      <c r="G428" s="21" t="n">
        <f aca="false">'Player Data'!H428</f>
        <v>1418</v>
      </c>
      <c r="H428" s="22" t="n">
        <f aca="false">IF(B428="GK",IFERROR(('Player Data'!N428-1.5*'Player Data'!O428)/'Player Data'!H428*90,0),IFERROR(('Player Data'!I428+'Player Data'!J428)/'Player Data'!H428*90,0))</f>
        <v>1.20592383638928</v>
      </c>
      <c r="I428" s="22" t="n">
        <f aca="false">IF(B428="GK",'Player Data'!P428,IFERROR(('Player Data'!K428+'Player Data'!L428)/'Player Data'!H428*90,0))</f>
        <v>7.99717912552891</v>
      </c>
      <c r="J428" s="22" t="n">
        <f aca="false">IF(B428="GK",IFERROR('Player Data'!Q428/'Player Data'!H428*90,0),IFERROR('Player Data'!M428/'Player Data'!H428*90,0))</f>
        <v>0.76163610719323</v>
      </c>
      <c r="K428" s="23" t="n">
        <f aca="false">'Player Data'!S428</f>
        <v>0</v>
      </c>
      <c r="L428" s="22" t="n">
        <f aca="false">INDEX(Assumptions!$B$13:$B$15,MATCH(E428,Assumptions!$A$13:$A$15,0))</f>
        <v>1</v>
      </c>
      <c r="M428" s="24" t="n">
        <f aca="false">IFERROR(SUMPRODUCT(($B$2:$B$1001=B428)*($H$2:$H$1001&lt;=H428))/SUMPRODUCT(($B$2:$B$1001=B428)*1),0)</f>
        <v>0.707964601769912</v>
      </c>
      <c r="N428" s="24" t="n">
        <f aca="false">IFERROR(SUMPRODUCT(($B$2:$B$1001=B428)*($I$2:$I$1001&lt;=I428))/SUMPRODUCT(($B$2:$B$1001=B428)*1),0)</f>
        <v>0.65929203539823</v>
      </c>
      <c r="O428" s="24" t="n">
        <f aca="false">IFERROR(SUMPRODUCT(($B$2:$B$1001=B428)*($J$2:$J$1001&lt;=J428))/SUMPRODUCT(($B$2:$B$1001=B428)*1),0)</f>
        <v>0.765486725663717</v>
      </c>
      <c r="P428" s="24" t="n">
        <f aca="false">IFERROR(SUMPRODUCT(($B$2:$B$1001=B428)*((0-$F$2:$F$1001)&lt;=(0-F428)))/SUMPRODUCT(($B$2:$B$1001=B428)*1),0)</f>
        <v>0.389380530973451</v>
      </c>
      <c r="Q428" s="25" t="n">
        <f aca="false">(M428*Assumptions!$B$5+N428*Assumptions!$B$6+O428*Assumptions!$B$7+P428*Assumptions!$B$8)*L428</f>
        <v>0.638716814159292</v>
      </c>
      <c r="R428" s="24" t="n">
        <f aca="false">IFERROR(SUMPRODUCT(($B$2:$B$1001=B428)*($Q$2:$Q$1001&lt;=Q428))/SUMPRODUCT(($B$2:$B$1001=B428)*1),0)</f>
        <v>0.805309734513274</v>
      </c>
      <c r="S428" s="24" t="n">
        <f aca="false">IFERROR(SUMPRODUCT(($B$2:$B$1001=B428)*($K$2:$K$1001&lt;=K428))/SUMPRODUCT(($B$2:$B$1001=B428)*1),0)</f>
        <v>0.261061946902655</v>
      </c>
      <c r="T428" s="26" t="n">
        <f aca="false">(R428-S428)*100</f>
        <v>54.424778761062</v>
      </c>
      <c r="U428" s="21" t="str">
        <f aca="false">'Player Data'!T428</f>
        <v>No</v>
      </c>
      <c r="V428" s="27" t="n">
        <f aca="false">'Player Data'!U428</f>
        <v>2028</v>
      </c>
      <c r="W428" s="21" t="str">
        <f aca="false">IF(AND(T428&gt;=Assumptions!$B$19,U428="No"),"High Priority - Unrepresented",IF(T428&gt;=Assumptions!$B$19,"High Priority",IF(AND(T428&gt;=Assumptions!$B$20,U428="No"),"Watchlist - Unrepresented",IF(T428&gt;=Assumptions!$B$20,"Watchlist",""))))</f>
        <v>High Priority - Unrepresented</v>
      </c>
      <c r="X428" s="21" t="str">
        <f aca="false">'Player Data'!V428</f>
        <v>info@canthofc.vn</v>
      </c>
      <c r="Y428" s="28" t="str">
        <f aca="false">'Player Data'!W428</f>
        <v>Club sporting director / first-team office</v>
      </c>
      <c r="Z428" s="28" t="str">
        <f aca="false">'Player Data'!X428</f>
        <v>VFF (Vietnam Football Federation) player registry</v>
      </c>
      <c r="AA428" s="19" t="str">
        <f aca="false">HYPERLINK("https://www.transfermarkt.com/schnellsuche/ergebnis/schnellsuche?query="&amp;SUBSTITUTE(A428," ","+"),"Search Transfermarkt")</f>
        <v>Search Transfermarkt</v>
      </c>
      <c r="AB428" s="29" t="n">
        <f aca="false">IFERROR('Player Data'!K428/('Player Data'!K428+'Player Data'!L428),0)</f>
        <v>0.277777777777778</v>
      </c>
      <c r="AC428" s="21" t="str">
        <f aca="false">IF(B428="GK",IF(AND(O428&gt;=Assumptions!$B$23,N428&gt;=Assumptions!$B$23),"Sweeper-Keeper / Build-from-the-Back",IF(O428&gt;=Assumptions!$B$23,"Sweeper-Keeper / High Line",IF(M428&gt;=Assumptions!$B$23,"Shot-Stopper / Traditional","Flexible / Multi-System"))),IF(AND(O428&gt;=Assumptions!$B$23,P428&gt;=Assumptions!$B$24),"High Press / Gegenpressing",IF(AND(N428&gt;=Assumptions!$B$23,AB428&gt;=Assumptions!$B$25),"Possession / Build-from-the-Back",IF(N428&gt;=Assumptions!$B$23,"Counter-Attack / Transition",IF(AND(O428&gt;=Assumptions!$B$23,N428&lt;Assumptions!$B$26),"Low Block / Park the Bus",IF(AND(B428="FW",M428&gt;=Assumptions!$B$23,N428&lt;Assumptions!$B$26),"Direct / Target Approach","Flexible / Multi-System"))))))</f>
        <v>Counter-Attack / Transition</v>
      </c>
      <c r="AD428" s="21" t="str">
        <f aca="false">'Player Data'!Y428</f>
        <v>2026-07-17</v>
      </c>
      <c r="AE428" s="21" t="str">
        <f aca="false">'Player Data'!Z428</f>
        <v>2026-07-17</v>
      </c>
      <c r="AF428" s="28" t="str">
        <f aca="false">IFERROR(INDEX(Assumptions!$B$30:$B$61,MATCH(C428,Assumptions!$A$30:$A$61,0)),"--")</f>
        <v>Australia, Saudi Arabia</v>
      </c>
      <c r="AG428" s="30" t="str">
        <f aca="false">IF(R428&gt;=0.7,"Step-Up Candidate",IF(R428&gt;=0.4,"Lateral Move","Stay &amp; Develop"))</f>
        <v>Step-Up Candidate</v>
      </c>
    </row>
    <row r="429" customFormat="false" ht="23.85" hidden="false" customHeight="false" outlineLevel="0" collapsed="false">
      <c r="A429" s="21" t="str">
        <f aca="false">'Player Data'!A429</f>
        <v>Nicolas Gonzalez</v>
      </c>
      <c r="B429" s="21" t="str">
        <f aca="false">'Player Data'!F429</f>
        <v>DF</v>
      </c>
      <c r="C429" s="21" t="str">
        <f aca="false">'Player Data'!B429</f>
        <v>Uruguay</v>
      </c>
      <c r="D429" s="21" t="str">
        <f aca="false">'Player Data'!C429</f>
        <v>Uruguay Reserve League</v>
      </c>
      <c r="E429" s="21" t="n">
        <f aca="false">'Player Data'!D429</f>
        <v>2</v>
      </c>
      <c r="F429" s="21" t="n">
        <f aca="false">'Player Data'!G429</f>
        <v>26</v>
      </c>
      <c r="G429" s="21" t="n">
        <f aca="false">'Player Data'!H429</f>
        <v>2678</v>
      </c>
      <c r="H429" s="22" t="n">
        <f aca="false">IF(B429="GK",IFERROR(('Player Data'!N429-1.5*'Player Data'!O429)/'Player Data'!H429*90,0),IFERROR(('Player Data'!I429+'Player Data'!J429)/'Player Data'!H429*90,0))</f>
        <v>0.134428678117999</v>
      </c>
      <c r="I429" s="22" t="n">
        <f aca="false">IF(B429="GK",'Player Data'!P429,IFERROR(('Player Data'!K429+'Player Data'!L429)/'Player Data'!H429*90,0))</f>
        <v>2.38610903659447</v>
      </c>
      <c r="J429" s="22" t="n">
        <f aca="false">IF(B429="GK",IFERROR('Player Data'!Q429/'Player Data'!H429*90,0),IFERROR('Player Data'!M429/'Player Data'!H429*90,0))</f>
        <v>2.99103808812547</v>
      </c>
      <c r="K429" s="23" t="n">
        <f aca="false">'Player Data'!S429</f>
        <v>29063</v>
      </c>
      <c r="L429" s="22" t="n">
        <f aca="false">INDEX(Assumptions!$B$13:$B$15,MATCH(E429,Assumptions!$A$13:$A$15,0))</f>
        <v>1</v>
      </c>
      <c r="M429" s="24" t="n">
        <f aca="false">IFERROR(SUMPRODUCT(($B$2:$B$1001=B429)*($H$2:$H$1001&lt;=H429))/SUMPRODUCT(($B$2:$B$1001=B429)*1),0)</f>
        <v>0.312925170068027</v>
      </c>
      <c r="N429" s="24" t="n">
        <f aca="false">IFERROR(SUMPRODUCT(($B$2:$B$1001=B429)*($I$2:$I$1001&lt;=I429))/SUMPRODUCT(($B$2:$B$1001=B429)*1),0)</f>
        <v>0.0102040816326531</v>
      </c>
      <c r="O429" s="24" t="n">
        <f aca="false">IFERROR(SUMPRODUCT(($B$2:$B$1001=B429)*($J$2:$J$1001&lt;=J429))/SUMPRODUCT(($B$2:$B$1001=B429)*1),0)</f>
        <v>0.0306122448979592</v>
      </c>
      <c r="P429" s="24" t="n">
        <f aca="false">IFERROR(SUMPRODUCT(($B$2:$B$1001=B429)*((0-$F$2:$F$1001)&lt;=(0-F429)))/SUMPRODUCT(($B$2:$B$1001=B429)*1),0)</f>
        <v>0.0748299319727891</v>
      </c>
      <c r="Q429" s="25" t="n">
        <f aca="false">(M429*Assumptions!$B$5+N429*Assumptions!$B$6+O429*Assumptions!$B$7+P429*Assumptions!$B$8)*L429</f>
        <v>0.102891156462585</v>
      </c>
      <c r="R429" s="24" t="n">
        <f aca="false">IFERROR(SUMPRODUCT(($B$2:$B$1001=B429)*($Q$2:$Q$1001&lt;=Q429))/SUMPRODUCT(($B$2:$B$1001=B429)*1),0)</f>
        <v>0.0136054421768707</v>
      </c>
      <c r="S429" s="24" t="n">
        <f aca="false">IFERROR(SUMPRODUCT(($B$2:$B$1001=B429)*($K$2:$K$1001&lt;=K429))/SUMPRODUCT(($B$2:$B$1001=B429)*1),0)</f>
        <v>0.360544217687075</v>
      </c>
      <c r="T429" s="26" t="n">
        <f aca="false">(R429-S429)*100</f>
        <v>-34.6938775510204</v>
      </c>
      <c r="U429" s="21" t="str">
        <f aca="false">'Player Data'!T429</f>
        <v>No</v>
      </c>
      <c r="V429" s="27" t="n">
        <f aca="false">'Player Data'!U429</f>
        <v>2028</v>
      </c>
      <c r="W429" s="21" t="str">
        <f aca="false">IF(AND(T429&gt;=Assumptions!$B$19,U429="No"),"High Priority - Unrepresented",IF(T429&gt;=Assumptions!$B$19,"High Priority",IF(AND(T429&gt;=Assumptions!$B$20,U429="No"),"Watchlist - Unrepresented",IF(T429&gt;=Assumptions!$B$20,"Watchlist",""))))</f>
        <v/>
      </c>
      <c r="X429" s="21" t="str">
        <f aca="false">'Player Data'!V429</f>
        <v>info@riverarovers.uy</v>
      </c>
      <c r="Y429" s="28" t="str">
        <f aca="false">'Player Data'!W429</f>
        <v>Club sporting director / first-team office</v>
      </c>
      <c r="Z429" s="28" t="str">
        <f aca="false">'Player Data'!X429</f>
        <v>AUF (Uruguayan Football Association) player registry</v>
      </c>
      <c r="AA429" s="19" t="str">
        <f aca="false">HYPERLINK("https://www.transfermarkt.com/schnellsuche/ergebnis/schnellsuche?query="&amp;SUBSTITUTE(A429," ","+"),"Search Transfermarkt")</f>
        <v>Search Transfermarkt</v>
      </c>
      <c r="AB429" s="29" t="n">
        <f aca="false">IFERROR('Player Data'!K429/('Player Data'!K429+'Player Data'!L429),0)</f>
        <v>0.591549295774648</v>
      </c>
      <c r="AC429" s="21" t="str">
        <f aca="false">IF(B429="GK",IF(AND(O429&gt;=Assumptions!$B$23,N429&gt;=Assumptions!$B$23),"Sweeper-Keeper / Build-from-the-Back",IF(O429&gt;=Assumptions!$B$23,"Sweeper-Keeper / High Line",IF(M429&gt;=Assumptions!$B$23,"Shot-Stopper / Traditional","Flexible / Multi-System"))),IF(AND(O429&gt;=Assumptions!$B$23,P429&gt;=Assumptions!$B$24),"High Press / Gegenpressing",IF(AND(N429&gt;=Assumptions!$B$23,AB429&gt;=Assumptions!$B$25),"Possession / Build-from-the-Back",IF(N429&gt;=Assumptions!$B$23,"Counter-Attack / Transition",IF(AND(O429&gt;=Assumptions!$B$23,N429&lt;Assumptions!$B$26),"Low Block / Park the Bus",IF(AND(B429="FW",M429&gt;=Assumptions!$B$23,N429&lt;Assumptions!$B$26),"Direct / Target Approach","Flexible / Multi-System"))))))</f>
        <v>Flexible / Multi-System</v>
      </c>
      <c r="AD429" s="21" t="str">
        <f aca="false">'Player Data'!Y429</f>
        <v>2026-07-17</v>
      </c>
      <c r="AE429" s="21" t="str">
        <f aca="false">'Player Data'!Z429</f>
        <v>2026-07-17</v>
      </c>
      <c r="AF429" s="28" t="str">
        <f aca="false">IFERROR(INDEX(Assumptions!$B$30:$B$61,MATCH(C429,Assumptions!$A$30:$A$61,0)),"--")</f>
        <v>Argentina, Portugal</v>
      </c>
      <c r="AG429" s="30" t="str">
        <f aca="false">IF(R429&gt;=0.7,"Step-Up Candidate",IF(R429&gt;=0.4,"Lateral Move","Stay &amp; Develop"))</f>
        <v>Stay &amp; Develop</v>
      </c>
    </row>
    <row r="430" customFormat="false" ht="23.85" hidden="false" customHeight="false" outlineLevel="0" collapsed="false">
      <c r="A430" s="21" t="str">
        <f aca="false">'Player Data'!A430</f>
        <v>Ibrahim Appiah</v>
      </c>
      <c r="B430" s="21" t="str">
        <f aca="false">'Player Data'!F430</f>
        <v>FW</v>
      </c>
      <c r="C430" s="21" t="str">
        <f aca="false">'Player Data'!B430</f>
        <v>Ghana</v>
      </c>
      <c r="D430" s="21" t="str">
        <f aca="false">'Player Data'!C430</f>
        <v>Ghana Amateur League</v>
      </c>
      <c r="E430" s="21" t="n">
        <f aca="false">'Player Data'!D430</f>
        <v>3</v>
      </c>
      <c r="F430" s="21" t="n">
        <f aca="false">'Player Data'!G430</f>
        <v>17</v>
      </c>
      <c r="G430" s="21" t="n">
        <f aca="false">'Player Data'!H430</f>
        <v>1860</v>
      </c>
      <c r="H430" s="22" t="n">
        <f aca="false">IF(B430="GK",IFERROR(('Player Data'!N430-1.5*'Player Data'!O430)/'Player Data'!H430*90,0),IFERROR(('Player Data'!I430+'Player Data'!J430)/'Player Data'!H430*90,0))</f>
        <v>0.629032258064516</v>
      </c>
      <c r="I430" s="22" t="n">
        <f aca="false">IF(B430="GK",'Player Data'!P430,IFERROR(('Player Data'!K430+'Player Data'!L430)/'Player Data'!H430*90,0))</f>
        <v>6.09677419354839</v>
      </c>
      <c r="J430" s="22" t="n">
        <f aca="false">IF(B430="GK",IFERROR('Player Data'!Q430/'Player Data'!H430*90,0),IFERROR('Player Data'!M430/'Player Data'!H430*90,0))</f>
        <v>0.193548387096774</v>
      </c>
      <c r="K430" s="23" t="n">
        <f aca="false">'Player Data'!S430</f>
        <v>0</v>
      </c>
      <c r="L430" s="22" t="n">
        <f aca="false">INDEX(Assumptions!$B$13:$B$15,MATCH(E430,Assumptions!$A$13:$A$15,0))</f>
        <v>0.85</v>
      </c>
      <c r="M430" s="24" t="n">
        <f aca="false">IFERROR(SUMPRODUCT(($B$2:$B$1001=B430)*($H$2:$H$1001&lt;=H430))/SUMPRODUCT(($B$2:$B$1001=B430)*1),0)</f>
        <v>0.168141592920354</v>
      </c>
      <c r="N430" s="24" t="n">
        <f aca="false">IFERROR(SUMPRODUCT(($B$2:$B$1001=B430)*($I$2:$I$1001&lt;=I430))/SUMPRODUCT(($B$2:$B$1001=B430)*1),0)</f>
        <v>0.429203539823009</v>
      </c>
      <c r="O430" s="24" t="n">
        <f aca="false">IFERROR(SUMPRODUCT(($B$2:$B$1001=B430)*($J$2:$J$1001&lt;=J430))/SUMPRODUCT(($B$2:$B$1001=B430)*1),0)</f>
        <v>0.0398230088495575</v>
      </c>
      <c r="P430" s="24" t="n">
        <f aca="false">IFERROR(SUMPRODUCT(($B$2:$B$1001=B430)*((0-$F$2:$F$1001)&lt;=(0-F430)))/SUMPRODUCT(($B$2:$B$1001=B430)*1),0)</f>
        <v>1</v>
      </c>
      <c r="Q430" s="25" t="n">
        <f aca="false">(M430*Assumptions!$B$5+N430*Assumptions!$B$6+O430*Assumptions!$B$7+P430*Assumptions!$B$8)*L430</f>
        <v>0.340188053097345</v>
      </c>
      <c r="R430" s="24" t="n">
        <f aca="false">IFERROR(SUMPRODUCT(($B$2:$B$1001=B430)*($Q$2:$Q$1001&lt;=Q430))/SUMPRODUCT(($B$2:$B$1001=B430)*1),0)</f>
        <v>0.34070796460177</v>
      </c>
      <c r="S430" s="24" t="n">
        <f aca="false">IFERROR(SUMPRODUCT(($B$2:$B$1001=B430)*($K$2:$K$1001&lt;=K430))/SUMPRODUCT(($B$2:$B$1001=B430)*1),0)</f>
        <v>0.261061946902655</v>
      </c>
      <c r="T430" s="26" t="n">
        <f aca="false">(R430-S430)*100</f>
        <v>7.9646017699115</v>
      </c>
      <c r="U430" s="21" t="str">
        <f aca="false">'Player Data'!T430</f>
        <v>Unknown</v>
      </c>
      <c r="V430" s="27" t="n">
        <f aca="false">'Player Data'!U430</f>
        <v>2027</v>
      </c>
      <c r="W430" s="21" t="str">
        <f aca="false">IF(AND(T430&gt;=Assumptions!$B$19,U430="No"),"High Priority - Unrepresented",IF(T430&gt;=Assumptions!$B$19,"High Priority",IF(AND(T430&gt;=Assumptions!$B$20,U430="No"),"Watchlist - Unrepresented",IF(T430&gt;=Assumptions!$B$20,"Watchlist",""))))</f>
        <v/>
      </c>
      <c r="X430" s="21" t="str">
        <f aca="false">'Player Data'!V430</f>
        <v>info@accrasc.gh</v>
      </c>
      <c r="Y430" s="28" t="str">
        <f aca="false">'Player Data'!W430</f>
        <v>Club youth/academy office ONLY - player is a minor, do not contact directly</v>
      </c>
      <c r="Z430" s="28" t="str">
        <f aca="false">'Player Data'!X430</f>
        <v>GFA (Ghana Football Association) player registry</v>
      </c>
      <c r="AA430" s="19" t="str">
        <f aca="false">HYPERLINK("https://www.transfermarkt.com/schnellsuche/ergebnis/schnellsuche?query="&amp;SUBSTITUTE(A430," ","+"),"Search Transfermarkt")</f>
        <v>Search Transfermarkt</v>
      </c>
      <c r="AB430" s="29" t="n">
        <f aca="false">IFERROR('Player Data'!K430/('Player Data'!K430+'Player Data'!L430),0)</f>
        <v>0.492063492063492</v>
      </c>
      <c r="AC430" s="21" t="str">
        <f aca="false">IF(B430="GK",IF(AND(O430&gt;=Assumptions!$B$23,N430&gt;=Assumptions!$B$23),"Sweeper-Keeper / Build-from-the-Back",IF(O430&gt;=Assumptions!$B$23,"Sweeper-Keeper / High Line",IF(M430&gt;=Assumptions!$B$23,"Shot-Stopper / Traditional","Flexible / Multi-System"))),IF(AND(O430&gt;=Assumptions!$B$23,P430&gt;=Assumptions!$B$24),"High Press / Gegenpressing",IF(AND(N430&gt;=Assumptions!$B$23,AB430&gt;=Assumptions!$B$25),"Possession / Build-from-the-Back",IF(N430&gt;=Assumptions!$B$23,"Counter-Attack / Transition",IF(AND(O430&gt;=Assumptions!$B$23,N430&lt;Assumptions!$B$26),"Low Block / Park the Bus",IF(AND(B430="FW",M430&gt;=Assumptions!$B$23,N430&lt;Assumptions!$B$26),"Direct / Target Approach","Flexible / Multi-System"))))))</f>
        <v>Flexible / Multi-System</v>
      </c>
      <c r="AD430" s="21" t="str">
        <f aca="false">'Player Data'!Y430</f>
        <v>2026-07-17</v>
      </c>
      <c r="AE430" s="21" t="str">
        <f aca="false">'Player Data'!Z430</f>
        <v>2026-07-17</v>
      </c>
      <c r="AF430" s="28" t="str">
        <f aca="false">IFERROR(INDEX(Assumptions!$B$30:$B$61,MATCH(C430,Assumptions!$A$30:$A$61,0)),"--")</f>
        <v>Belgium, Portugal</v>
      </c>
      <c r="AG430" s="30" t="str">
        <f aca="false">IF(R430&gt;=0.7,"Step-Up Candidate",IF(R430&gt;=0.4,"Lateral Move","Stay &amp; Develop"))</f>
        <v>Stay &amp; Develop</v>
      </c>
    </row>
    <row r="431" customFormat="false" ht="23.85" hidden="false" customHeight="false" outlineLevel="0" collapsed="false">
      <c r="A431" s="21" t="str">
        <f aca="false">'Player Data'!A431</f>
        <v>Ahmed Salim</v>
      </c>
      <c r="B431" s="21" t="str">
        <f aca="false">'Player Data'!F431</f>
        <v>FW</v>
      </c>
      <c r="C431" s="21" t="str">
        <f aca="false">'Player Data'!B431</f>
        <v>Iraq</v>
      </c>
      <c r="D431" s="21" t="str">
        <f aca="false">'Player Data'!C431</f>
        <v>Iraq Second Division</v>
      </c>
      <c r="E431" s="21" t="n">
        <f aca="false">'Player Data'!D431</f>
        <v>2</v>
      </c>
      <c r="F431" s="21" t="n">
        <f aca="false">'Player Data'!G431</f>
        <v>22</v>
      </c>
      <c r="G431" s="21" t="n">
        <f aca="false">'Player Data'!H431</f>
        <v>2446</v>
      </c>
      <c r="H431" s="22" t="n">
        <f aca="false">IF(B431="GK",IFERROR(('Player Data'!N431-1.5*'Player Data'!O431)/'Player Data'!H431*90,0),IFERROR(('Player Data'!I431+'Player Data'!J431)/'Player Data'!H431*90,0))</f>
        <v>0.367947669664759</v>
      </c>
      <c r="I431" s="22" t="n">
        <f aca="false">IF(B431="GK",'Player Data'!P431,IFERROR(('Player Data'!K431+'Player Data'!L431)/'Player Data'!H431*90,0))</f>
        <v>4.52575633687653</v>
      </c>
      <c r="J431" s="22" t="n">
        <f aca="false">IF(B431="GK",IFERROR('Player Data'!Q431/'Player Data'!H431*90,0),IFERROR('Player Data'!M431/'Player Data'!H431*90,0))</f>
        <v>0.404742436631235</v>
      </c>
      <c r="K431" s="23" t="n">
        <f aca="false">'Player Data'!S431</f>
        <v>128913</v>
      </c>
      <c r="L431" s="22" t="n">
        <f aca="false">INDEX(Assumptions!$B$13:$B$15,MATCH(E431,Assumptions!$A$13:$A$15,0))</f>
        <v>1</v>
      </c>
      <c r="M431" s="24" t="n">
        <f aca="false">IFERROR(SUMPRODUCT(($B$2:$B$1001=B431)*($H$2:$H$1001&lt;=H431))/SUMPRODUCT(($B$2:$B$1001=B431)*1),0)</f>
        <v>0.0132743362831858</v>
      </c>
      <c r="N431" s="24" t="n">
        <f aca="false">IFERROR(SUMPRODUCT(($B$2:$B$1001=B431)*($I$2:$I$1001&lt;=I431))/SUMPRODUCT(($B$2:$B$1001=B431)*1),0)</f>
        <v>0.123893805309735</v>
      </c>
      <c r="O431" s="24" t="n">
        <f aca="false">IFERROR(SUMPRODUCT(($B$2:$B$1001=B431)*($J$2:$J$1001&lt;=J431))/SUMPRODUCT(($B$2:$B$1001=B431)*1),0)</f>
        <v>0.349557522123894</v>
      </c>
      <c r="P431" s="24" t="n">
        <f aca="false">IFERROR(SUMPRODUCT(($B$2:$B$1001=B431)*((0-$F$2:$F$1001)&lt;=(0-F431)))/SUMPRODUCT(($B$2:$B$1001=B431)*1),0)</f>
        <v>0.504424778761062</v>
      </c>
      <c r="Q431" s="25" t="n">
        <f aca="false">(M431*Assumptions!$B$5+N431*Assumptions!$B$6+O431*Assumptions!$B$7+P431*Assumptions!$B$8)*L431</f>
        <v>0.217477876106195</v>
      </c>
      <c r="R431" s="24" t="n">
        <f aca="false">IFERROR(SUMPRODUCT(($B$2:$B$1001=B431)*($Q$2:$Q$1001&lt;=Q431))/SUMPRODUCT(($B$2:$B$1001=B431)*1),0)</f>
        <v>0.123893805309735</v>
      </c>
      <c r="S431" s="24" t="n">
        <f aca="false">IFERROR(SUMPRODUCT(($B$2:$B$1001=B431)*($K$2:$K$1001&lt;=K431))/SUMPRODUCT(($B$2:$B$1001=B431)*1),0)</f>
        <v>0.898230088495575</v>
      </c>
      <c r="T431" s="26" t="n">
        <f aca="false">(R431-S431)*100</f>
        <v>-77.4336283185841</v>
      </c>
      <c r="U431" s="21" t="str">
        <f aca="false">'Player Data'!T431</f>
        <v>Yes</v>
      </c>
      <c r="V431" s="27" t="n">
        <f aca="false">'Player Data'!U431</f>
        <v>2029</v>
      </c>
      <c r="W431" s="21" t="str">
        <f aca="false">IF(AND(T431&gt;=Assumptions!$B$19,U431="No"),"High Priority - Unrepresented",IF(T431&gt;=Assumptions!$B$19,"High Priority",IF(AND(T431&gt;=Assumptions!$B$20,U431="No"),"Watchlist - Unrepresented",IF(T431&gt;=Assumptions!$B$20,"Watchlist",""))))</f>
        <v/>
      </c>
      <c r="X431" s="21" t="str">
        <f aca="false">'Player Data'!V431</f>
        <v>info@basrasc.iq</v>
      </c>
      <c r="Y431" s="28" t="str">
        <f aca="false">'Player Data'!W431</f>
        <v>Go through the player's agent - ask the club to confirm representation first</v>
      </c>
      <c r="Z431" s="28" t="str">
        <f aca="false">'Player Data'!X431</f>
        <v>IFA (Iraq Football Association) player registry</v>
      </c>
      <c r="AA431" s="19" t="str">
        <f aca="false">HYPERLINK("https://www.transfermarkt.com/schnellsuche/ergebnis/schnellsuche?query="&amp;SUBSTITUTE(A431," ","+"),"Search Transfermarkt")</f>
        <v>Search Transfermarkt</v>
      </c>
      <c r="AB431" s="29" t="n">
        <f aca="false">IFERROR('Player Data'!K431/('Player Data'!K431+'Player Data'!L431),0)</f>
        <v>0.365853658536585</v>
      </c>
      <c r="AC431" s="21" t="str">
        <f aca="false">IF(B431="GK",IF(AND(O431&gt;=Assumptions!$B$23,N431&gt;=Assumptions!$B$23),"Sweeper-Keeper / Build-from-the-Back",IF(O431&gt;=Assumptions!$B$23,"Sweeper-Keeper / High Line",IF(M431&gt;=Assumptions!$B$23,"Shot-Stopper / Traditional","Flexible / Multi-System"))),IF(AND(O431&gt;=Assumptions!$B$23,P431&gt;=Assumptions!$B$24),"High Press / Gegenpressing",IF(AND(N431&gt;=Assumptions!$B$23,AB431&gt;=Assumptions!$B$25),"Possession / Build-from-the-Back",IF(N431&gt;=Assumptions!$B$23,"Counter-Attack / Transition",IF(AND(O431&gt;=Assumptions!$B$23,N431&lt;Assumptions!$B$26),"Low Block / Park the Bus",IF(AND(B431="FW",M431&gt;=Assumptions!$B$23,N431&lt;Assumptions!$B$26),"Direct / Target Approach","Flexible / Multi-System"))))))</f>
        <v>Flexible / Multi-System</v>
      </c>
      <c r="AD431" s="21" t="str">
        <f aca="false">'Player Data'!Y431</f>
        <v>2026-07-17</v>
      </c>
      <c r="AE431" s="21" t="str">
        <f aca="false">'Player Data'!Z431</f>
        <v>2026-07-17</v>
      </c>
      <c r="AF431" s="28" t="str">
        <f aca="false">IFERROR(INDEX(Assumptions!$B$30:$B$61,MATCH(C431,Assumptions!$A$30:$A$61,0)),"--")</f>
        <v>Turkey, Saudi Arabia</v>
      </c>
      <c r="AG431" s="30" t="str">
        <f aca="false">IF(R431&gt;=0.7,"Step-Up Candidate",IF(R431&gt;=0.4,"Lateral Move","Stay &amp; Develop"))</f>
        <v>Stay &amp; Develop</v>
      </c>
    </row>
    <row r="432" customFormat="false" ht="23.85" hidden="false" customHeight="false" outlineLevel="0" collapsed="false">
      <c r="A432" s="21" t="str">
        <f aca="false">'Player Data'!A432</f>
        <v>Olafur Karlsson</v>
      </c>
      <c r="B432" s="21" t="str">
        <f aca="false">'Player Data'!F432</f>
        <v>DF</v>
      </c>
      <c r="C432" s="21" t="str">
        <f aca="false">'Player Data'!B432</f>
        <v>Iceland</v>
      </c>
      <c r="D432" s="21" t="str">
        <f aca="false">'Player Data'!C432</f>
        <v>Iceland Provincial League</v>
      </c>
      <c r="E432" s="21" t="n">
        <f aca="false">'Player Data'!D432</f>
        <v>3</v>
      </c>
      <c r="F432" s="21" t="n">
        <f aca="false">'Player Data'!G432</f>
        <v>21</v>
      </c>
      <c r="G432" s="21" t="n">
        <f aca="false">'Player Data'!H432</f>
        <v>2554</v>
      </c>
      <c r="H432" s="22" t="n">
        <f aca="false">IF(B432="GK",IFERROR(('Player Data'!N432-1.5*'Player Data'!O432)/'Player Data'!H432*90,0),IFERROR(('Player Data'!I432+'Player Data'!J432)/'Player Data'!H432*90,0))</f>
        <v>0.0704776820673453</v>
      </c>
      <c r="I432" s="22" t="n">
        <f aca="false">IF(B432="GK",'Player Data'!P432,IFERROR(('Player Data'!K432+'Player Data'!L432)/'Player Data'!H432*90,0))</f>
        <v>3.48864526233359</v>
      </c>
      <c r="J432" s="22" t="n">
        <f aca="false">IF(B432="GK",IFERROR('Player Data'!Q432/'Player Data'!H432*90,0),IFERROR('Player Data'!M432/'Player Data'!H432*90,0))</f>
        <v>3.48864526233359</v>
      </c>
      <c r="K432" s="23" t="n">
        <f aca="false">'Player Data'!S432</f>
        <v>144049</v>
      </c>
      <c r="L432" s="22" t="n">
        <f aca="false">INDEX(Assumptions!$B$13:$B$15,MATCH(E432,Assumptions!$A$13:$A$15,0))</f>
        <v>0.85</v>
      </c>
      <c r="M432" s="24" t="n">
        <f aca="false">IFERROR(SUMPRODUCT(($B$2:$B$1001=B432)*($H$2:$H$1001&lt;=H432))/SUMPRODUCT(($B$2:$B$1001=B432)*1),0)</f>
        <v>0.102040816326531</v>
      </c>
      <c r="N432" s="24" t="n">
        <f aca="false">IFERROR(SUMPRODUCT(($B$2:$B$1001=B432)*($I$2:$I$1001&lt;=I432))/SUMPRODUCT(($B$2:$B$1001=B432)*1),0)</f>
        <v>0.231292517006803</v>
      </c>
      <c r="O432" s="24" t="n">
        <f aca="false">IFERROR(SUMPRODUCT(($B$2:$B$1001=B432)*($J$2:$J$1001&lt;=J432))/SUMPRODUCT(($B$2:$B$1001=B432)*1),0)</f>
        <v>0.0884353741496599</v>
      </c>
      <c r="P432" s="24" t="n">
        <f aca="false">IFERROR(SUMPRODUCT(($B$2:$B$1001=B432)*((0-$F$2:$F$1001)&lt;=(0-F432)))/SUMPRODUCT(($B$2:$B$1001=B432)*1),0)</f>
        <v>0.568027210884354</v>
      </c>
      <c r="Q432" s="25" t="n">
        <f aca="false">(M432*Assumptions!$B$5+N432*Assumptions!$B$6+O432*Assumptions!$B$7+P432*Assumptions!$B$8)*L432</f>
        <v>0.202091836734694</v>
      </c>
      <c r="R432" s="24" t="n">
        <f aca="false">IFERROR(SUMPRODUCT(($B$2:$B$1001=B432)*($Q$2:$Q$1001&lt;=Q432))/SUMPRODUCT(($B$2:$B$1001=B432)*1),0)</f>
        <v>0.0782312925170068</v>
      </c>
      <c r="S432" s="24" t="n">
        <f aca="false">IFERROR(SUMPRODUCT(($B$2:$B$1001=B432)*($K$2:$K$1001&lt;=K432))/SUMPRODUCT(($B$2:$B$1001=B432)*1),0)</f>
        <v>0.965986394557823</v>
      </c>
      <c r="T432" s="26" t="n">
        <f aca="false">(R432-S432)*100</f>
        <v>-88.7755102040816</v>
      </c>
      <c r="U432" s="21" t="str">
        <f aca="false">'Player Data'!T432</f>
        <v>No</v>
      </c>
      <c r="V432" s="27" t="n">
        <f aca="false">'Player Data'!U432</f>
        <v>2029</v>
      </c>
      <c r="W432" s="21" t="str">
        <f aca="false">IF(AND(T432&gt;=Assumptions!$B$19,U432="No"),"High Priority - Unrepresented",IF(T432&gt;=Assumptions!$B$19,"High Priority",IF(AND(T432&gt;=Assumptions!$B$20,U432="No"),"Watchlist - Unrepresented",IF(T432&gt;=Assumptions!$B$20,"Watchlist",""))))</f>
        <v/>
      </c>
      <c r="X432" s="21" t="str">
        <f aca="false">'Player Data'!V432</f>
        <v>info@keflavikrovers.is</v>
      </c>
      <c r="Y432" s="28" t="str">
        <f aca="false">'Player Data'!W432</f>
        <v>Club sporting director / first-team office</v>
      </c>
      <c r="Z432" s="28" t="str">
        <f aca="false">'Player Data'!X432</f>
        <v>KSI (Icelandic Football Association) player registry</v>
      </c>
      <c r="AA432" s="19" t="str">
        <f aca="false">HYPERLINK("https://www.transfermarkt.com/schnellsuche/ergebnis/schnellsuche?query="&amp;SUBSTITUTE(A432," ","+"),"Search Transfermarkt")</f>
        <v>Search Transfermarkt</v>
      </c>
      <c r="AB432" s="29" t="n">
        <f aca="false">IFERROR('Player Data'!K432/('Player Data'!K432+'Player Data'!L432),0)</f>
        <v>0.696969696969697</v>
      </c>
      <c r="AC432" s="21" t="str">
        <f aca="false">IF(B432="GK",IF(AND(O432&gt;=Assumptions!$B$23,N432&gt;=Assumptions!$B$23),"Sweeper-Keeper / Build-from-the-Back",IF(O432&gt;=Assumptions!$B$23,"Sweeper-Keeper / High Line",IF(M432&gt;=Assumptions!$B$23,"Shot-Stopper / Traditional","Flexible / Multi-System"))),IF(AND(O432&gt;=Assumptions!$B$23,P432&gt;=Assumptions!$B$24),"High Press / Gegenpressing",IF(AND(N432&gt;=Assumptions!$B$23,AB432&gt;=Assumptions!$B$25),"Possession / Build-from-the-Back",IF(N432&gt;=Assumptions!$B$23,"Counter-Attack / Transition",IF(AND(O432&gt;=Assumptions!$B$23,N432&lt;Assumptions!$B$26),"Low Block / Park the Bus",IF(AND(B432="FW",M432&gt;=Assumptions!$B$23,N432&lt;Assumptions!$B$26),"Direct / Target Approach","Flexible / Multi-System"))))))</f>
        <v>Flexible / Multi-System</v>
      </c>
      <c r="AD432" s="21" t="str">
        <f aca="false">'Player Data'!Y432</f>
        <v>2026-07-17</v>
      </c>
      <c r="AE432" s="21" t="str">
        <f aca="false">'Player Data'!Z432</f>
        <v>2026-07-17</v>
      </c>
      <c r="AF432" s="28" t="str">
        <f aca="false">IFERROR(INDEX(Assumptions!$B$30:$B$61,MATCH(C432,Assumptions!$A$30:$A$61,0)),"--")</f>
        <v>Norway, Belgium</v>
      </c>
      <c r="AG432" s="30" t="str">
        <f aca="false">IF(R432&gt;=0.7,"Step-Up Candidate",IF(R432&gt;=0.4,"Lateral Move","Stay &amp; Develop"))</f>
        <v>Stay &amp; Develop</v>
      </c>
    </row>
    <row r="433" customFormat="false" ht="23.85" hidden="false" customHeight="false" outlineLevel="0" collapsed="false">
      <c r="A433" s="21" t="str">
        <f aca="false">'Player Data'!A433</f>
        <v>Anthony Mejia</v>
      </c>
      <c r="B433" s="21" t="str">
        <f aca="false">'Player Data'!F433</f>
        <v>FW</v>
      </c>
      <c r="C433" s="21" t="str">
        <f aca="false">'Player Data'!B433</f>
        <v>Honduras</v>
      </c>
      <c r="D433" s="21" t="str">
        <f aca="false">'Player Data'!C433</f>
        <v>Honduras Amateur League</v>
      </c>
      <c r="E433" s="21" t="n">
        <f aca="false">'Player Data'!D433</f>
        <v>2</v>
      </c>
      <c r="F433" s="21" t="n">
        <f aca="false">'Player Data'!G433</f>
        <v>24</v>
      </c>
      <c r="G433" s="21" t="n">
        <f aca="false">'Player Data'!H433</f>
        <v>2128</v>
      </c>
      <c r="H433" s="22" t="n">
        <f aca="false">IF(B433="GK",IFERROR(('Player Data'!N433-1.5*'Player Data'!O433)/'Player Data'!H433*90,0),IFERROR(('Player Data'!I433+'Player Data'!J433)/'Player Data'!H433*90,0))</f>
        <v>0.761278195488722</v>
      </c>
      <c r="I433" s="22" t="n">
        <f aca="false">IF(B433="GK",'Player Data'!P433,IFERROR(('Player Data'!K433+'Player Data'!L433)/'Player Data'!H433*90,0))</f>
        <v>4.56766917293233</v>
      </c>
      <c r="J433" s="22" t="n">
        <f aca="false">IF(B433="GK",IFERROR('Player Data'!Q433/'Player Data'!H433*90,0),IFERROR('Player Data'!M433/'Player Data'!H433*90,0))</f>
        <v>0.634398496240602</v>
      </c>
      <c r="K433" s="23" t="n">
        <f aca="false">'Player Data'!S433</f>
        <v>0</v>
      </c>
      <c r="L433" s="22" t="n">
        <f aca="false">INDEX(Assumptions!$B$13:$B$15,MATCH(E433,Assumptions!$A$13:$A$15,0))</f>
        <v>1</v>
      </c>
      <c r="M433" s="24" t="n">
        <f aca="false">IFERROR(SUMPRODUCT(($B$2:$B$1001=B433)*($H$2:$H$1001&lt;=H433))/SUMPRODUCT(($B$2:$B$1001=B433)*1),0)</f>
        <v>0.274336283185841</v>
      </c>
      <c r="N433" s="24" t="n">
        <f aca="false">IFERROR(SUMPRODUCT(($B$2:$B$1001=B433)*($I$2:$I$1001&lt;=I433))/SUMPRODUCT(($B$2:$B$1001=B433)*1),0)</f>
        <v>0.128318584070796</v>
      </c>
      <c r="O433" s="24" t="n">
        <f aca="false">IFERROR(SUMPRODUCT(($B$2:$B$1001=B433)*($J$2:$J$1001&lt;=J433))/SUMPRODUCT(($B$2:$B$1001=B433)*1),0)</f>
        <v>0.676991150442478</v>
      </c>
      <c r="P433" s="24" t="n">
        <f aca="false">IFERROR(SUMPRODUCT(($B$2:$B$1001=B433)*((0-$F$2:$F$1001)&lt;=(0-F433)))/SUMPRODUCT(($B$2:$B$1001=B433)*1),0)</f>
        <v>0.305309734513274</v>
      </c>
      <c r="Q433" s="25" t="n">
        <f aca="false">(M433*Assumptions!$B$5+N433*Assumptions!$B$6+O433*Assumptions!$B$7+P433*Assumptions!$B$8)*L433</f>
        <v>0.309955752212389</v>
      </c>
      <c r="R433" s="24" t="n">
        <f aca="false">IFERROR(SUMPRODUCT(($B$2:$B$1001=B433)*($Q$2:$Q$1001&lt;=Q433))/SUMPRODUCT(($B$2:$B$1001=B433)*1),0)</f>
        <v>0.287610619469027</v>
      </c>
      <c r="S433" s="24" t="n">
        <f aca="false">IFERROR(SUMPRODUCT(($B$2:$B$1001=B433)*($K$2:$K$1001&lt;=K433))/SUMPRODUCT(($B$2:$B$1001=B433)*1),0)</f>
        <v>0.261061946902655</v>
      </c>
      <c r="T433" s="26" t="n">
        <f aca="false">(R433-S433)*100</f>
        <v>2.65486725663717</v>
      </c>
      <c r="U433" s="21" t="str">
        <f aca="false">'Player Data'!T433</f>
        <v>Yes</v>
      </c>
      <c r="V433" s="27" t="n">
        <f aca="false">'Player Data'!U433</f>
        <v>2026</v>
      </c>
      <c r="W433" s="21" t="str">
        <f aca="false">IF(AND(T433&gt;=Assumptions!$B$19,U433="No"),"High Priority - Unrepresented",IF(T433&gt;=Assumptions!$B$19,"High Priority",IF(AND(T433&gt;=Assumptions!$B$20,U433="No"),"Watchlist - Unrepresented",IF(T433&gt;=Assumptions!$B$20,"Watchlist",""))))</f>
        <v/>
      </c>
      <c r="X433" s="21" t="str">
        <f aca="false">'Player Data'!V433</f>
        <v>info@sanpedrosulaathletic.hn</v>
      </c>
      <c r="Y433" s="28" t="str">
        <f aca="false">'Player Data'!W433</f>
        <v>Go through the player's agent - ask the club to confirm representation first</v>
      </c>
      <c r="Z433" s="28" t="str">
        <f aca="false">'Player Data'!X433</f>
        <v>FENAFUTH (Honduran Football Federation) player registry</v>
      </c>
      <c r="AA433" s="19" t="str">
        <f aca="false">HYPERLINK("https://www.transfermarkt.com/schnellsuche/ergebnis/schnellsuche?query="&amp;SUBSTITUTE(A433," ","+"),"Search Transfermarkt")</f>
        <v>Search Transfermarkt</v>
      </c>
      <c r="AB433" s="29" t="n">
        <f aca="false">IFERROR('Player Data'!K433/('Player Data'!K433+'Player Data'!L433),0)</f>
        <v>0.351851851851852</v>
      </c>
      <c r="AC433" s="21" t="str">
        <f aca="false">IF(B433="GK",IF(AND(O433&gt;=Assumptions!$B$23,N433&gt;=Assumptions!$B$23),"Sweeper-Keeper / Build-from-the-Back",IF(O433&gt;=Assumptions!$B$23,"Sweeper-Keeper / High Line",IF(M433&gt;=Assumptions!$B$23,"Shot-Stopper / Traditional","Flexible / Multi-System"))),IF(AND(O433&gt;=Assumptions!$B$23,P433&gt;=Assumptions!$B$24),"High Press / Gegenpressing",IF(AND(N433&gt;=Assumptions!$B$23,AB433&gt;=Assumptions!$B$25),"Possession / Build-from-the-Back",IF(N433&gt;=Assumptions!$B$23,"Counter-Attack / Transition",IF(AND(O433&gt;=Assumptions!$B$23,N433&lt;Assumptions!$B$26),"Low Block / Park the Bus",IF(AND(B433="FW",M433&gt;=Assumptions!$B$23,N433&lt;Assumptions!$B$26),"Direct / Target Approach","Flexible / Multi-System"))))))</f>
        <v>Low Block / Park the Bus</v>
      </c>
      <c r="AD433" s="21" t="str">
        <f aca="false">'Player Data'!Y433</f>
        <v>2026-07-17</v>
      </c>
      <c r="AE433" s="21" t="str">
        <f aca="false">'Player Data'!Z433</f>
        <v>2026-07-17</v>
      </c>
      <c r="AF433" s="28" t="str">
        <f aca="false">IFERROR(INDEX(Assumptions!$B$30:$B$61,MATCH(C433,Assumptions!$A$30:$A$61,0)),"--")</f>
        <v>Mexico, United States</v>
      </c>
      <c r="AG433" s="30" t="str">
        <f aca="false">IF(R433&gt;=0.7,"Step-Up Candidate",IF(R433&gt;=0.4,"Lateral Move","Stay &amp; Develop"))</f>
        <v>Stay &amp; Develop</v>
      </c>
    </row>
    <row r="434" customFormat="false" ht="23.85" hidden="false" customHeight="false" outlineLevel="0" collapsed="false">
      <c r="A434" s="21" t="str">
        <f aca="false">'Player Data'!A434</f>
        <v>Eric Etoo</v>
      </c>
      <c r="B434" s="21" t="str">
        <f aca="false">'Player Data'!F434</f>
        <v>MF</v>
      </c>
      <c r="C434" s="21" t="str">
        <f aca="false">'Player Data'!B434</f>
        <v>Cameroon</v>
      </c>
      <c r="D434" s="21" t="str">
        <f aca="false">'Player Data'!C434</f>
        <v>Cameroon Reserve League</v>
      </c>
      <c r="E434" s="21" t="n">
        <f aca="false">'Player Data'!D434</f>
        <v>2</v>
      </c>
      <c r="F434" s="21" t="n">
        <f aca="false">'Player Data'!G434</f>
        <v>26</v>
      </c>
      <c r="G434" s="21" t="n">
        <f aca="false">'Player Data'!H434</f>
        <v>1770</v>
      </c>
      <c r="H434" s="22" t="n">
        <f aca="false">IF(B434="GK",IFERROR(('Player Data'!N434-1.5*'Player Data'!O434)/'Player Data'!H434*90,0),IFERROR(('Player Data'!I434+'Player Data'!J434)/'Player Data'!H434*90,0))</f>
        <v>0.915254237288136</v>
      </c>
      <c r="I434" s="22" t="n">
        <f aca="false">IF(B434="GK",'Player Data'!P434,IFERROR(('Player Data'!K434+'Player Data'!L434)/'Player Data'!H434*90,0))</f>
        <v>11.2881355932203</v>
      </c>
      <c r="J434" s="22" t="n">
        <f aca="false">IF(B434="GK",IFERROR('Player Data'!Q434/'Player Data'!H434*90,0),IFERROR('Player Data'!M434/'Player Data'!H434*90,0))</f>
        <v>2.89830508474576</v>
      </c>
      <c r="K434" s="23" t="n">
        <f aca="false">'Player Data'!S434</f>
        <v>100647</v>
      </c>
      <c r="L434" s="22" t="n">
        <f aca="false">INDEX(Assumptions!$B$13:$B$15,MATCH(E434,Assumptions!$A$13:$A$15,0))</f>
        <v>1</v>
      </c>
      <c r="M434" s="24" t="n">
        <f aca="false">IFERROR(SUMPRODUCT(($B$2:$B$1001=B434)*($H$2:$H$1001&lt;=H434))/SUMPRODUCT(($B$2:$B$1001=B434)*1),0)</f>
        <v>0.69023569023569</v>
      </c>
      <c r="N434" s="24" t="n">
        <f aca="false">IFERROR(SUMPRODUCT(($B$2:$B$1001=B434)*($I$2:$I$1001&lt;=I434))/SUMPRODUCT(($B$2:$B$1001=B434)*1),0)</f>
        <v>0.528619528619529</v>
      </c>
      <c r="O434" s="24" t="n">
        <f aca="false">IFERROR(SUMPRODUCT(($B$2:$B$1001=B434)*($J$2:$J$1001&lt;=J434))/SUMPRODUCT(($B$2:$B$1001=B434)*1),0)</f>
        <v>0.764309764309764</v>
      </c>
      <c r="P434" s="24" t="n">
        <f aca="false">IFERROR(SUMPRODUCT(($B$2:$B$1001=B434)*((0-$F$2:$F$1001)&lt;=(0-F434)))/SUMPRODUCT(($B$2:$B$1001=B434)*1),0)</f>
        <v>0.0909090909090909</v>
      </c>
      <c r="Q434" s="25" t="n">
        <f aca="false">(M434*Assumptions!$B$5+N434*Assumptions!$B$6+O434*Assumptions!$B$7+P434*Assumptions!$B$8)*L434</f>
        <v>0.528619528619529</v>
      </c>
      <c r="R434" s="24" t="n">
        <f aca="false">IFERROR(SUMPRODUCT(($B$2:$B$1001=B434)*($Q$2:$Q$1001&lt;=Q434))/SUMPRODUCT(($B$2:$B$1001=B434)*1),0)</f>
        <v>0.676767676767677</v>
      </c>
      <c r="S434" s="24" t="n">
        <f aca="false">IFERROR(SUMPRODUCT(($B$2:$B$1001=B434)*($K$2:$K$1001&lt;=K434))/SUMPRODUCT(($B$2:$B$1001=B434)*1),0)</f>
        <v>0.737373737373737</v>
      </c>
      <c r="T434" s="26" t="n">
        <f aca="false">(R434-S434)*100</f>
        <v>-6.06060606060606</v>
      </c>
      <c r="U434" s="21" t="str">
        <f aca="false">'Player Data'!T434</f>
        <v>Yes</v>
      </c>
      <c r="V434" s="27" t="n">
        <f aca="false">'Player Data'!U434</f>
        <v>2027</v>
      </c>
      <c r="W434" s="21" t="str">
        <f aca="false">IF(AND(T434&gt;=Assumptions!$B$19,U434="No"),"High Priority - Unrepresented",IF(T434&gt;=Assumptions!$B$19,"High Priority",IF(AND(T434&gt;=Assumptions!$B$20,U434="No"),"Watchlist - Unrepresented",IF(T434&gt;=Assumptions!$B$20,"Watchlist",""))))</f>
        <v/>
      </c>
      <c r="X434" s="21" t="str">
        <f aca="false">'Player Data'!V434</f>
        <v>info@doualacity.cm</v>
      </c>
      <c r="Y434" s="28" t="str">
        <f aca="false">'Player Data'!W434</f>
        <v>Go through the player's agent - ask the club to confirm representation first</v>
      </c>
      <c r="Z434" s="28" t="str">
        <f aca="false">'Player Data'!X434</f>
        <v>FECAFOOT (Cameroonian Football Federation) player registry</v>
      </c>
      <c r="AA434" s="19" t="str">
        <f aca="false">HYPERLINK("https://www.transfermarkt.com/schnellsuche/ergebnis/schnellsuche?query="&amp;SUBSTITUTE(A434," ","+"),"Search Transfermarkt")</f>
        <v>Search Transfermarkt</v>
      </c>
      <c r="AB434" s="29" t="n">
        <f aca="false">IFERROR('Player Data'!K434/('Player Data'!K434+'Player Data'!L434),0)</f>
        <v>0.72972972972973</v>
      </c>
      <c r="AC434" s="21" t="str">
        <f aca="false">IF(B434="GK",IF(AND(O434&gt;=Assumptions!$B$23,N434&gt;=Assumptions!$B$23),"Sweeper-Keeper / Build-from-the-Back",IF(O434&gt;=Assumptions!$B$23,"Sweeper-Keeper / High Line",IF(M434&gt;=Assumptions!$B$23,"Shot-Stopper / Traditional","Flexible / Multi-System"))),IF(AND(O434&gt;=Assumptions!$B$23,P434&gt;=Assumptions!$B$24),"High Press / Gegenpressing",IF(AND(N434&gt;=Assumptions!$B$23,AB434&gt;=Assumptions!$B$25),"Possession / Build-from-the-Back",IF(N434&gt;=Assumptions!$B$23,"Counter-Attack / Transition",IF(AND(O434&gt;=Assumptions!$B$23,N434&lt;Assumptions!$B$26),"Low Block / Park the Bus",IF(AND(B434="FW",M434&gt;=Assumptions!$B$23,N434&lt;Assumptions!$B$26),"Direct / Target Approach","Flexible / Multi-System"))))))</f>
        <v>Flexible / Multi-System</v>
      </c>
      <c r="AD434" s="21" t="str">
        <f aca="false">'Player Data'!Y434</f>
        <v>2026-07-17</v>
      </c>
      <c r="AE434" s="21" t="str">
        <f aca="false">'Player Data'!Z434</f>
        <v>2026-07-17</v>
      </c>
      <c r="AF434" s="28" t="str">
        <f aca="false">IFERROR(INDEX(Assumptions!$B$30:$B$61,MATCH(C434,Assumptions!$A$30:$A$61,0)),"--")</f>
        <v>Belgium, Portugal</v>
      </c>
      <c r="AG434" s="30" t="str">
        <f aca="false">IF(R434&gt;=0.7,"Step-Up Candidate",IF(R434&gt;=0.4,"Lateral Move","Stay &amp; Develop"))</f>
        <v>Lateral Move</v>
      </c>
    </row>
    <row r="435" customFormat="false" ht="23.85" hidden="false" customHeight="false" outlineLevel="0" collapsed="false">
      <c r="A435" s="21" t="str">
        <f aca="false">'Player Data'!A435</f>
        <v>Irakli Gelashvili</v>
      </c>
      <c r="B435" s="21" t="str">
        <f aca="false">'Player Data'!F435</f>
        <v>MF</v>
      </c>
      <c r="C435" s="21" t="str">
        <f aca="false">'Player Data'!B435</f>
        <v>Georgia</v>
      </c>
      <c r="D435" s="21" t="str">
        <f aca="false">'Player Data'!C435</f>
        <v>Georgia Second Division</v>
      </c>
      <c r="E435" s="21" t="n">
        <f aca="false">'Player Data'!D435</f>
        <v>4</v>
      </c>
      <c r="F435" s="21" t="n">
        <f aca="false">'Player Data'!G435</f>
        <v>21</v>
      </c>
      <c r="G435" s="21" t="n">
        <f aca="false">'Player Data'!H435</f>
        <v>1942</v>
      </c>
      <c r="H435" s="22" t="n">
        <f aca="false">IF(B435="GK",IFERROR(('Player Data'!N435-1.5*'Player Data'!O435)/'Player Data'!H435*90,0),IFERROR(('Player Data'!I435+'Player Data'!J435)/'Player Data'!H435*90,0))</f>
        <v>0.648815653964985</v>
      </c>
      <c r="I435" s="22" t="n">
        <f aca="false">IF(B435="GK",'Player Data'!P435,IFERROR(('Player Data'!K435+'Player Data'!L435)/'Player Data'!H435*90,0))</f>
        <v>9.77857878475798</v>
      </c>
      <c r="J435" s="22" t="n">
        <f aca="false">IF(B435="GK",IFERROR('Player Data'!Q435/'Player Data'!H435*90,0),IFERROR('Player Data'!M435/'Player Data'!H435*90,0))</f>
        <v>1.3903192584964</v>
      </c>
      <c r="K435" s="23" t="n">
        <f aca="false">'Player Data'!S435</f>
        <v>100472</v>
      </c>
      <c r="L435" s="22" t="n">
        <f aca="false">INDEX(Assumptions!$B$13:$B$15,MATCH(E435,Assumptions!$A$13:$A$15,0))</f>
        <v>0.7</v>
      </c>
      <c r="M435" s="24" t="n">
        <f aca="false">IFERROR(SUMPRODUCT(($B$2:$B$1001=B435)*($H$2:$H$1001&lt;=H435))/SUMPRODUCT(($B$2:$B$1001=B435)*1),0)</f>
        <v>0.383838383838384</v>
      </c>
      <c r="N435" s="24" t="n">
        <f aca="false">IFERROR(SUMPRODUCT(($B$2:$B$1001=B435)*($I$2:$I$1001&lt;=I435))/SUMPRODUCT(($B$2:$B$1001=B435)*1),0)</f>
        <v>0.397306397306397</v>
      </c>
      <c r="O435" s="24" t="n">
        <f aca="false">IFERROR(SUMPRODUCT(($B$2:$B$1001=B435)*($J$2:$J$1001&lt;=J435))/SUMPRODUCT(($B$2:$B$1001=B435)*1),0)</f>
        <v>0.138047138047138</v>
      </c>
      <c r="P435" s="24" t="n">
        <f aca="false">IFERROR(SUMPRODUCT(($B$2:$B$1001=B435)*((0-$F$2:$F$1001)&lt;=(0-F435)))/SUMPRODUCT(($B$2:$B$1001=B435)*1),0)</f>
        <v>0.61952861952862</v>
      </c>
      <c r="Q435" s="25" t="n">
        <f aca="false">(M435*Assumptions!$B$5+N435*Assumptions!$B$6+O435*Assumptions!$B$7+P435*Assumptions!$B$8)*L435</f>
        <v>0.270572390572391</v>
      </c>
      <c r="R435" s="24" t="n">
        <f aca="false">IFERROR(SUMPRODUCT(($B$2:$B$1001=B435)*($Q$2:$Q$1001&lt;=Q435))/SUMPRODUCT(($B$2:$B$1001=B435)*1),0)</f>
        <v>0.212121212121212</v>
      </c>
      <c r="S435" s="24" t="n">
        <f aca="false">IFERROR(SUMPRODUCT(($B$2:$B$1001=B435)*($K$2:$K$1001&lt;=K435))/SUMPRODUCT(($B$2:$B$1001=B435)*1),0)</f>
        <v>0.734006734006734</v>
      </c>
      <c r="T435" s="26" t="n">
        <f aca="false">(R435-S435)*100</f>
        <v>-52.1885521885522</v>
      </c>
      <c r="U435" s="21" t="str">
        <f aca="false">'Player Data'!T435</f>
        <v>Unknown</v>
      </c>
      <c r="V435" s="27" t="n">
        <f aca="false">'Player Data'!U435</f>
        <v>2026</v>
      </c>
      <c r="W435" s="21" t="str">
        <f aca="false">IF(AND(T435&gt;=Assumptions!$B$19,U435="No"),"High Priority - Unrepresented",IF(T435&gt;=Assumptions!$B$19,"High Priority",IF(AND(T435&gt;=Assumptions!$B$20,U435="No"),"Watchlist - Unrepresented",IF(T435&gt;=Assumptions!$B$20,"Watchlist",""))))</f>
        <v/>
      </c>
      <c r="X435" s="21" t="str">
        <f aca="false">'Player Data'!V435</f>
        <v>info@tbilisiwanderers.ge</v>
      </c>
      <c r="Y435" s="28" t="str">
        <f aca="false">'Player Data'!W435</f>
        <v>Club sporting director / first-team office</v>
      </c>
      <c r="Z435" s="28" t="str">
        <f aca="false">'Player Data'!X435</f>
        <v>GFF (Georgian Football Federation) player registry</v>
      </c>
      <c r="AA435" s="19" t="str">
        <f aca="false">HYPERLINK("https://www.transfermarkt.com/schnellsuche/ergebnis/schnellsuche?query="&amp;SUBSTITUTE(A435," ","+"),"Search Transfermarkt")</f>
        <v>Search Transfermarkt</v>
      </c>
      <c r="AB435" s="29" t="n">
        <f aca="false">IFERROR('Player Data'!K435/('Player Data'!K435+'Player Data'!L435),0)</f>
        <v>0.672985781990521</v>
      </c>
      <c r="AC435" s="21" t="str">
        <f aca="false">IF(B435="GK",IF(AND(O435&gt;=Assumptions!$B$23,N435&gt;=Assumptions!$B$23),"Sweeper-Keeper / Build-from-the-Back",IF(O435&gt;=Assumptions!$B$23,"Sweeper-Keeper / High Line",IF(M435&gt;=Assumptions!$B$23,"Shot-Stopper / Traditional","Flexible / Multi-System"))),IF(AND(O435&gt;=Assumptions!$B$23,P435&gt;=Assumptions!$B$24),"High Press / Gegenpressing",IF(AND(N435&gt;=Assumptions!$B$23,AB435&gt;=Assumptions!$B$25),"Possession / Build-from-the-Back",IF(N435&gt;=Assumptions!$B$23,"Counter-Attack / Transition",IF(AND(O435&gt;=Assumptions!$B$23,N435&lt;Assumptions!$B$26),"Low Block / Park the Bus",IF(AND(B435="FW",M435&gt;=Assumptions!$B$23,N435&lt;Assumptions!$B$26),"Direct / Target Approach","Flexible / Multi-System"))))))</f>
        <v>Flexible / Multi-System</v>
      </c>
      <c r="AD435" s="21" t="str">
        <f aca="false">'Player Data'!Y435</f>
        <v>2026-07-17</v>
      </c>
      <c r="AE435" s="21" t="str">
        <f aca="false">'Player Data'!Z435</f>
        <v>2026-07-17</v>
      </c>
      <c r="AF435" s="28" t="str">
        <f aca="false">IFERROR(INDEX(Assumptions!$B$30:$B$61,MATCH(C435,Assumptions!$A$30:$A$61,0)),"--")</f>
        <v>Turkey, Poland</v>
      </c>
      <c r="AG435" s="30" t="str">
        <f aca="false">IF(R435&gt;=0.7,"Step-Up Candidate",IF(R435&gt;=0.4,"Lateral Move","Stay &amp; Develop"))</f>
        <v>Stay &amp; Develop</v>
      </c>
    </row>
    <row r="436" customFormat="false" ht="23.85" hidden="false" customHeight="false" outlineLevel="0" collapsed="false">
      <c r="A436" s="21" t="str">
        <f aca="false">'Player Data'!A436</f>
        <v>Shamar Campbell</v>
      </c>
      <c r="B436" s="21" t="str">
        <f aca="false">'Player Data'!F436</f>
        <v>MF</v>
      </c>
      <c r="C436" s="21" t="str">
        <f aca="false">'Player Data'!B436</f>
        <v>Jamaica</v>
      </c>
      <c r="D436" s="21" t="str">
        <f aca="false">'Player Data'!C436</f>
        <v>Jamaica Reserve League</v>
      </c>
      <c r="E436" s="21" t="n">
        <f aca="false">'Player Data'!D436</f>
        <v>2</v>
      </c>
      <c r="F436" s="21" t="n">
        <f aca="false">'Player Data'!G436</f>
        <v>25</v>
      </c>
      <c r="G436" s="21" t="n">
        <f aca="false">'Player Data'!H436</f>
        <v>1835</v>
      </c>
      <c r="H436" s="22" t="n">
        <f aca="false">IF(B436="GK",IFERROR(('Player Data'!N436-1.5*'Player Data'!O436)/'Player Data'!H436*90,0),IFERROR(('Player Data'!I436+'Player Data'!J436)/'Player Data'!H436*90,0))</f>
        <v>0.637602179836512</v>
      </c>
      <c r="I436" s="22" t="n">
        <f aca="false">IF(B436="GK",'Player Data'!P436,IFERROR(('Player Data'!K436+'Player Data'!L436)/'Player Data'!H436*90,0))</f>
        <v>9.07356948228883</v>
      </c>
      <c r="J436" s="22" t="n">
        <f aca="false">IF(B436="GK",IFERROR('Player Data'!Q436/'Player Data'!H436*90,0),IFERROR('Player Data'!M436/'Player Data'!H436*90,0))</f>
        <v>1.66757493188011</v>
      </c>
      <c r="K436" s="23" t="n">
        <f aca="false">'Player Data'!S436</f>
        <v>45894</v>
      </c>
      <c r="L436" s="22" t="n">
        <f aca="false">INDEX(Assumptions!$B$13:$B$15,MATCH(E436,Assumptions!$A$13:$A$15,0))</f>
        <v>1</v>
      </c>
      <c r="M436" s="24" t="n">
        <f aca="false">IFERROR(SUMPRODUCT(($B$2:$B$1001=B436)*($H$2:$H$1001&lt;=H436))/SUMPRODUCT(($B$2:$B$1001=B436)*1),0)</f>
        <v>0.37037037037037</v>
      </c>
      <c r="N436" s="24" t="n">
        <f aca="false">IFERROR(SUMPRODUCT(($B$2:$B$1001=B436)*($I$2:$I$1001&lt;=I436))/SUMPRODUCT(($B$2:$B$1001=B436)*1),0)</f>
        <v>0.296296296296296</v>
      </c>
      <c r="O436" s="24" t="n">
        <f aca="false">IFERROR(SUMPRODUCT(($B$2:$B$1001=B436)*($J$2:$J$1001&lt;=J436))/SUMPRODUCT(($B$2:$B$1001=B436)*1),0)</f>
        <v>0.262626262626263</v>
      </c>
      <c r="P436" s="24" t="n">
        <f aca="false">IFERROR(SUMPRODUCT(($B$2:$B$1001=B436)*((0-$F$2:$F$1001)&lt;=(0-F436)))/SUMPRODUCT(($B$2:$B$1001=B436)*1),0)</f>
        <v>0.202020202020202</v>
      </c>
      <c r="Q436" s="25" t="n">
        <f aca="false">(M436*Assumptions!$B$5+N436*Assumptions!$B$6+O436*Assumptions!$B$7+P436*Assumptions!$B$8)*L436</f>
        <v>0.289225589225589</v>
      </c>
      <c r="R436" s="24" t="n">
        <f aca="false">IFERROR(SUMPRODUCT(($B$2:$B$1001=B436)*($Q$2:$Q$1001&lt;=Q436))/SUMPRODUCT(($B$2:$B$1001=B436)*1),0)</f>
        <v>0.235690235690236</v>
      </c>
      <c r="S436" s="24" t="n">
        <f aca="false">IFERROR(SUMPRODUCT(($B$2:$B$1001=B436)*($K$2:$K$1001&lt;=K436))/SUMPRODUCT(($B$2:$B$1001=B436)*1),0)</f>
        <v>0.410774410774411</v>
      </c>
      <c r="T436" s="26" t="n">
        <f aca="false">(R436-S436)*100</f>
        <v>-17.5084175084175</v>
      </c>
      <c r="U436" s="21" t="str">
        <f aca="false">'Player Data'!T436</f>
        <v>Unknown</v>
      </c>
      <c r="V436" s="27" t="n">
        <f aca="false">'Player Data'!U436</f>
        <v>2027</v>
      </c>
      <c r="W436" s="21" t="str">
        <f aca="false">IF(AND(T436&gt;=Assumptions!$B$19,U436="No"),"High Priority - Unrepresented",IF(T436&gt;=Assumptions!$B$19,"High Priority",IF(AND(T436&gt;=Assumptions!$B$20,U436="No"),"Watchlist - Unrepresented",IF(T436&gt;=Assumptions!$B$20,"Watchlist",""))))</f>
        <v/>
      </c>
      <c r="X436" s="21" t="str">
        <f aca="false">'Player Data'!V436</f>
        <v>info@montegobayfc.jm</v>
      </c>
      <c r="Y436" s="28" t="str">
        <f aca="false">'Player Data'!W436</f>
        <v>Club sporting director / first-team office</v>
      </c>
      <c r="Z436" s="28" t="str">
        <f aca="false">'Player Data'!X436</f>
        <v>JFF (Jamaica Football Federation) player registry</v>
      </c>
      <c r="AA436" s="19" t="str">
        <f aca="false">HYPERLINK("https://www.transfermarkt.com/schnellsuche/ergebnis/schnellsuche?query="&amp;SUBSTITUTE(A436," ","+"),"Search Transfermarkt")</f>
        <v>Search Transfermarkt</v>
      </c>
      <c r="AB436" s="29" t="n">
        <f aca="false">IFERROR('Player Data'!K436/('Player Data'!K436+'Player Data'!L436),0)</f>
        <v>0.572972972972973</v>
      </c>
      <c r="AC436" s="21" t="str">
        <f aca="false">IF(B436="GK",IF(AND(O436&gt;=Assumptions!$B$23,N436&gt;=Assumptions!$B$23),"Sweeper-Keeper / Build-from-the-Back",IF(O436&gt;=Assumptions!$B$23,"Sweeper-Keeper / High Line",IF(M436&gt;=Assumptions!$B$23,"Shot-Stopper / Traditional","Flexible / Multi-System"))),IF(AND(O436&gt;=Assumptions!$B$23,P436&gt;=Assumptions!$B$24),"High Press / Gegenpressing",IF(AND(N436&gt;=Assumptions!$B$23,AB436&gt;=Assumptions!$B$25),"Possession / Build-from-the-Back",IF(N436&gt;=Assumptions!$B$23,"Counter-Attack / Transition",IF(AND(O436&gt;=Assumptions!$B$23,N436&lt;Assumptions!$B$26),"Low Block / Park the Bus",IF(AND(B436="FW",M436&gt;=Assumptions!$B$23,N436&lt;Assumptions!$B$26),"Direct / Target Approach","Flexible / Multi-System"))))))</f>
        <v>Flexible / Multi-System</v>
      </c>
      <c r="AD436" s="21" t="str">
        <f aca="false">'Player Data'!Y436</f>
        <v>2026-07-17</v>
      </c>
      <c r="AE436" s="21" t="str">
        <f aca="false">'Player Data'!Z436</f>
        <v>2026-07-17</v>
      </c>
      <c r="AF436" s="28" t="str">
        <f aca="false">IFERROR(INDEX(Assumptions!$B$30:$B$61,MATCH(C436,Assumptions!$A$30:$A$61,0)),"--")</f>
        <v>United States, Mexico</v>
      </c>
      <c r="AG436" s="30" t="str">
        <f aca="false">IF(R436&gt;=0.7,"Step-Up Candidate",IF(R436&gt;=0.4,"Lateral Move","Stay &amp; Develop"))</f>
        <v>Stay &amp; Develop</v>
      </c>
    </row>
    <row r="437" customFormat="false" ht="23.85" hidden="false" customHeight="false" outlineLevel="0" collapsed="false">
      <c r="A437" s="21" t="str">
        <f aca="false">'Player Data'!A437</f>
        <v>Marek Saar</v>
      </c>
      <c r="B437" s="21" t="str">
        <f aca="false">'Player Data'!F437</f>
        <v>FW</v>
      </c>
      <c r="C437" s="21" t="str">
        <f aca="false">'Player Data'!B437</f>
        <v>Estonia</v>
      </c>
      <c r="D437" s="21" t="str">
        <f aca="false">'Player Data'!C437</f>
        <v>Estonia Amateur League</v>
      </c>
      <c r="E437" s="21" t="n">
        <f aca="false">'Player Data'!D437</f>
        <v>2</v>
      </c>
      <c r="F437" s="21" t="n">
        <f aca="false">'Player Data'!G437</f>
        <v>23</v>
      </c>
      <c r="G437" s="21" t="n">
        <f aca="false">'Player Data'!H437</f>
        <v>2589</v>
      </c>
      <c r="H437" s="22" t="n">
        <f aca="false">IF(B437="GK",IFERROR(('Player Data'!N437-1.5*'Player Data'!O437)/'Player Data'!H437*90,0),IFERROR(('Player Data'!I437+'Player Data'!J437)/'Player Data'!H437*90,0))</f>
        <v>0.48667439165701</v>
      </c>
      <c r="I437" s="22" t="n">
        <f aca="false">IF(B437="GK",'Player Data'!P437,IFERROR(('Player Data'!K437+'Player Data'!L437)/'Player Data'!H437*90,0))</f>
        <v>3.99768250289687</v>
      </c>
      <c r="J437" s="22" t="n">
        <f aca="false">IF(B437="GK",IFERROR('Player Data'!Q437/'Player Data'!H437*90,0),IFERROR('Player Data'!M437/'Player Data'!H437*90,0))</f>
        <v>0.52143684820394</v>
      </c>
      <c r="K437" s="23" t="n">
        <f aca="false">'Player Data'!S437</f>
        <v>0</v>
      </c>
      <c r="L437" s="22" t="n">
        <f aca="false">INDEX(Assumptions!$B$13:$B$15,MATCH(E437,Assumptions!$A$13:$A$15,0))</f>
        <v>1</v>
      </c>
      <c r="M437" s="24" t="n">
        <f aca="false">IFERROR(SUMPRODUCT(($B$2:$B$1001=B437)*($H$2:$H$1001&lt;=H437))/SUMPRODUCT(($B$2:$B$1001=B437)*1),0)</f>
        <v>0.0619469026548673</v>
      </c>
      <c r="N437" s="24" t="n">
        <f aca="false">IFERROR(SUMPRODUCT(($B$2:$B$1001=B437)*($I$2:$I$1001&lt;=I437))/SUMPRODUCT(($B$2:$B$1001=B437)*1),0)</f>
        <v>0.0398230088495575</v>
      </c>
      <c r="O437" s="24" t="n">
        <f aca="false">IFERROR(SUMPRODUCT(($B$2:$B$1001=B437)*($J$2:$J$1001&lt;=J437))/SUMPRODUCT(($B$2:$B$1001=B437)*1),0)</f>
        <v>0.539823008849558</v>
      </c>
      <c r="P437" s="24" t="n">
        <f aca="false">IFERROR(SUMPRODUCT(($B$2:$B$1001=B437)*((0-$F$2:$F$1001)&lt;=(0-F437)))/SUMPRODUCT(($B$2:$B$1001=B437)*1),0)</f>
        <v>0.389380530973451</v>
      </c>
      <c r="Q437" s="25" t="n">
        <f aca="false">(M437*Assumptions!$B$5+N437*Assumptions!$B$6+O437*Assumptions!$B$7+P437*Assumptions!$B$8)*L437</f>
        <v>0.215265486725664</v>
      </c>
      <c r="R437" s="24" t="n">
        <f aca="false">IFERROR(SUMPRODUCT(($B$2:$B$1001=B437)*($Q$2:$Q$1001&lt;=Q437))/SUMPRODUCT(($B$2:$B$1001=B437)*1),0)</f>
        <v>0.106194690265487</v>
      </c>
      <c r="S437" s="24" t="n">
        <f aca="false">IFERROR(SUMPRODUCT(($B$2:$B$1001=B437)*($K$2:$K$1001&lt;=K437))/SUMPRODUCT(($B$2:$B$1001=B437)*1),0)</f>
        <v>0.261061946902655</v>
      </c>
      <c r="T437" s="26" t="n">
        <f aca="false">(R437-S437)*100</f>
        <v>-15.4867256637168</v>
      </c>
      <c r="U437" s="21" t="str">
        <f aca="false">'Player Data'!T437</f>
        <v>Unknown</v>
      </c>
      <c r="V437" s="27" t="n">
        <f aca="false">'Player Data'!U437</f>
        <v>2026</v>
      </c>
      <c r="W437" s="21" t="str">
        <f aca="false">IF(AND(T437&gt;=Assumptions!$B$19,U437="No"),"High Priority - Unrepresented",IF(T437&gt;=Assumptions!$B$19,"High Priority",IF(AND(T437&gt;=Assumptions!$B$20,U437="No"),"Watchlist - Unrepresented",IF(T437&gt;=Assumptions!$B$20,"Watchlist",""))))</f>
        <v/>
      </c>
      <c r="X437" s="21" t="str">
        <f aca="false">'Player Data'!V437</f>
        <v>info@tartucity.ee</v>
      </c>
      <c r="Y437" s="28" t="str">
        <f aca="false">'Player Data'!W437</f>
        <v>Club sporting director / first-team office</v>
      </c>
      <c r="Z437" s="28" t="str">
        <f aca="false">'Player Data'!X437</f>
        <v>EJL (Estonian Football Association) player registry</v>
      </c>
      <c r="AA437" s="19" t="str">
        <f aca="false">HYPERLINK("https://www.transfermarkt.com/schnellsuche/ergebnis/schnellsuche?query="&amp;SUBSTITUTE(A437," ","+"),"Search Transfermarkt")</f>
        <v>Search Transfermarkt</v>
      </c>
      <c r="AB437" s="29" t="n">
        <f aca="false">IFERROR('Player Data'!K437/('Player Data'!K437+'Player Data'!L437),0)</f>
        <v>0.478260869565217</v>
      </c>
      <c r="AC437" s="21" t="str">
        <f aca="false">IF(B437="GK",IF(AND(O437&gt;=Assumptions!$B$23,N437&gt;=Assumptions!$B$23),"Sweeper-Keeper / Build-from-the-Back",IF(O437&gt;=Assumptions!$B$23,"Sweeper-Keeper / High Line",IF(M437&gt;=Assumptions!$B$23,"Shot-Stopper / Traditional","Flexible / Multi-System"))),IF(AND(O437&gt;=Assumptions!$B$23,P437&gt;=Assumptions!$B$24),"High Press / Gegenpressing",IF(AND(N437&gt;=Assumptions!$B$23,AB437&gt;=Assumptions!$B$25),"Possession / Build-from-the-Back",IF(N437&gt;=Assumptions!$B$23,"Counter-Attack / Transition",IF(AND(O437&gt;=Assumptions!$B$23,N437&lt;Assumptions!$B$26),"Low Block / Park the Bus",IF(AND(B437="FW",M437&gt;=Assumptions!$B$23,N437&lt;Assumptions!$B$26),"Direct / Target Approach","Flexible / Multi-System"))))))</f>
        <v>Flexible / Multi-System</v>
      </c>
      <c r="AD437" s="21" t="str">
        <f aca="false">'Player Data'!Y437</f>
        <v>2026-07-17</v>
      </c>
      <c r="AE437" s="21" t="str">
        <f aca="false">'Player Data'!Z437</f>
        <v>2026-07-17</v>
      </c>
      <c r="AF437" s="28" t="str">
        <f aca="false">IFERROR(INDEX(Assumptions!$B$30:$B$61,MATCH(C437,Assumptions!$A$30:$A$61,0)),"--")</f>
        <v>Poland, Norway</v>
      </c>
      <c r="AG437" s="30" t="str">
        <f aca="false">IF(R437&gt;=0.7,"Step-Up Candidate",IF(R437&gt;=0.4,"Lateral Move","Stay &amp; Develop"))</f>
        <v>Stay &amp; Develop</v>
      </c>
    </row>
    <row r="438" customFormat="false" ht="23.85" hidden="false" customHeight="false" outlineLevel="0" collapsed="false">
      <c r="A438" s="21" t="str">
        <f aca="false">'Player Data'!A438</f>
        <v>Jack Mitchell</v>
      </c>
      <c r="B438" s="21" t="str">
        <f aca="false">'Player Data'!F438</f>
        <v>FW</v>
      </c>
      <c r="C438" s="21" t="str">
        <f aca="false">'Player Data'!B438</f>
        <v>New Zealand</v>
      </c>
      <c r="D438" s="21" t="str">
        <f aca="false">'Player Data'!C438</f>
        <v>New Zealand Reserve League</v>
      </c>
      <c r="E438" s="21" t="n">
        <f aca="false">'Player Data'!D438</f>
        <v>3</v>
      </c>
      <c r="F438" s="21" t="n">
        <f aca="false">'Player Data'!G438</f>
        <v>18</v>
      </c>
      <c r="G438" s="21" t="n">
        <f aca="false">'Player Data'!H438</f>
        <v>2671</v>
      </c>
      <c r="H438" s="22" t="n">
        <f aca="false">IF(B438="GK",IFERROR(('Player Data'!N438-1.5*'Player Data'!O438)/'Player Data'!H438*90,0),IFERROR(('Player Data'!I438+'Player Data'!J438)/'Player Data'!H438*90,0))</f>
        <v>0.640209659303632</v>
      </c>
      <c r="I438" s="22" t="n">
        <f aca="false">IF(B438="GK",'Player Data'!P438,IFERROR(('Player Data'!K438+'Player Data'!L438)/'Player Data'!H438*90,0))</f>
        <v>4.64994384125796</v>
      </c>
      <c r="J438" s="22" t="n">
        <f aca="false">IF(B438="GK",IFERROR('Player Data'!Q438/'Player Data'!H438*90,0),IFERROR('Player Data'!M438/'Player Data'!H438*90,0))</f>
        <v>0.336952452265069</v>
      </c>
      <c r="K438" s="23" t="n">
        <f aca="false">'Player Data'!S438</f>
        <v>141841</v>
      </c>
      <c r="L438" s="22" t="n">
        <f aca="false">INDEX(Assumptions!$B$13:$B$15,MATCH(E438,Assumptions!$A$13:$A$15,0))</f>
        <v>0.85</v>
      </c>
      <c r="M438" s="24" t="n">
        <f aca="false">IFERROR(SUMPRODUCT(($B$2:$B$1001=B438)*($H$2:$H$1001&lt;=H438))/SUMPRODUCT(($B$2:$B$1001=B438)*1),0)</f>
        <v>0.185840707964602</v>
      </c>
      <c r="N438" s="24" t="n">
        <f aca="false">IFERROR(SUMPRODUCT(($B$2:$B$1001=B438)*($I$2:$I$1001&lt;=I438))/SUMPRODUCT(($B$2:$B$1001=B438)*1),0)</f>
        <v>0.146017699115044</v>
      </c>
      <c r="O438" s="24" t="n">
        <f aca="false">IFERROR(SUMPRODUCT(($B$2:$B$1001=B438)*($J$2:$J$1001&lt;=J438))/SUMPRODUCT(($B$2:$B$1001=B438)*1),0)</f>
        <v>0.230088495575221</v>
      </c>
      <c r="P438" s="24" t="n">
        <f aca="false">IFERROR(SUMPRODUCT(($B$2:$B$1001=B438)*((0-$F$2:$F$1001)&lt;=(0-F438)))/SUMPRODUCT(($B$2:$B$1001=B438)*1),0)</f>
        <v>0.915929203539823</v>
      </c>
      <c r="Q438" s="25" t="n">
        <f aca="false">(M438*Assumptions!$B$5+N438*Assumptions!$B$6+O438*Assumptions!$B$7+P438*Assumptions!$B$8)*L438</f>
        <v>0.277754424778761</v>
      </c>
      <c r="R438" s="24" t="n">
        <f aca="false">IFERROR(SUMPRODUCT(($B$2:$B$1001=B438)*($Q$2:$Q$1001&lt;=Q438))/SUMPRODUCT(($B$2:$B$1001=B438)*1),0)</f>
        <v>0.238938053097345</v>
      </c>
      <c r="S438" s="24" t="n">
        <f aca="false">IFERROR(SUMPRODUCT(($B$2:$B$1001=B438)*($K$2:$K$1001&lt;=K438))/SUMPRODUCT(($B$2:$B$1001=B438)*1),0)</f>
        <v>0.955752212389381</v>
      </c>
      <c r="T438" s="26" t="n">
        <f aca="false">(R438-S438)*100</f>
        <v>-71.6814159292035</v>
      </c>
      <c r="U438" s="21" t="str">
        <f aca="false">'Player Data'!T438</f>
        <v>No</v>
      </c>
      <c r="V438" s="27" t="n">
        <f aca="false">'Player Data'!U438</f>
        <v>2028</v>
      </c>
      <c r="W438" s="21" t="str">
        <f aca="false">IF(AND(T438&gt;=Assumptions!$B$19,U438="No"),"High Priority - Unrepresented",IF(T438&gt;=Assumptions!$B$19,"High Priority",IF(AND(T438&gt;=Assumptions!$B$20,U438="No"),"Watchlist - Unrepresented",IF(T438&gt;=Assumptions!$B$20,"Watchlist",""))))</f>
        <v/>
      </c>
      <c r="X438" s="21" t="str">
        <f aca="false">'Player Data'!V438</f>
        <v>info@aucklandwanderers.nz</v>
      </c>
      <c r="Y438" s="28" t="str">
        <f aca="false">'Player Data'!W438</f>
        <v>Club sporting director / first-team office</v>
      </c>
      <c r="Z438" s="28" t="str">
        <f aca="false">'Player Data'!X438</f>
        <v>NZF (New Zealand Football) player registry</v>
      </c>
      <c r="AA438" s="19" t="str">
        <f aca="false">HYPERLINK("https://www.transfermarkt.com/schnellsuche/ergebnis/schnellsuche?query="&amp;SUBSTITUTE(A438," ","+"),"Search Transfermarkt")</f>
        <v>Search Transfermarkt</v>
      </c>
      <c r="AB438" s="29" t="n">
        <f aca="false">IFERROR('Player Data'!K438/('Player Data'!K438+'Player Data'!L438),0)</f>
        <v>0.471014492753623</v>
      </c>
      <c r="AC438" s="21" t="str">
        <f aca="false">IF(B438="GK",IF(AND(O438&gt;=Assumptions!$B$23,N438&gt;=Assumptions!$B$23),"Sweeper-Keeper / Build-from-the-Back",IF(O438&gt;=Assumptions!$B$23,"Sweeper-Keeper / High Line",IF(M438&gt;=Assumptions!$B$23,"Shot-Stopper / Traditional","Flexible / Multi-System"))),IF(AND(O438&gt;=Assumptions!$B$23,P438&gt;=Assumptions!$B$24),"High Press / Gegenpressing",IF(AND(N438&gt;=Assumptions!$B$23,AB438&gt;=Assumptions!$B$25),"Possession / Build-from-the-Back",IF(N438&gt;=Assumptions!$B$23,"Counter-Attack / Transition",IF(AND(O438&gt;=Assumptions!$B$23,N438&lt;Assumptions!$B$26),"Low Block / Park the Bus",IF(AND(B438="FW",M438&gt;=Assumptions!$B$23,N438&lt;Assumptions!$B$26),"Direct / Target Approach","Flexible / Multi-System"))))))</f>
        <v>Flexible / Multi-System</v>
      </c>
      <c r="AD438" s="21" t="str">
        <f aca="false">'Player Data'!Y438</f>
        <v>2026-07-17</v>
      </c>
      <c r="AE438" s="21" t="str">
        <f aca="false">'Player Data'!Z438</f>
        <v>2026-07-17</v>
      </c>
      <c r="AF438" s="28" t="str">
        <f aca="false">IFERROR(INDEX(Assumptions!$B$30:$B$61,MATCH(C438,Assumptions!$A$30:$A$61,0)),"--")</f>
        <v>Australia, United States</v>
      </c>
      <c r="AG438" s="30" t="str">
        <f aca="false">IF(R438&gt;=0.7,"Step-Up Candidate",IF(R438&gt;=0.4,"Lateral Move","Stay &amp; Develop"))</f>
        <v>Stay &amp; Develop</v>
      </c>
    </row>
    <row r="439" customFormat="false" ht="23.85" hidden="false" customHeight="false" outlineLevel="0" collapsed="false">
      <c r="A439" s="21" t="str">
        <f aca="false">'Player Data'!A439</f>
        <v>Kristers Ozols</v>
      </c>
      <c r="B439" s="21" t="str">
        <f aca="false">'Player Data'!F439</f>
        <v>FW</v>
      </c>
      <c r="C439" s="21" t="str">
        <f aca="false">'Player Data'!B439</f>
        <v>Latvia</v>
      </c>
      <c r="D439" s="21" t="str">
        <f aca="false">'Player Data'!C439</f>
        <v>Latvia Amateur League</v>
      </c>
      <c r="E439" s="21" t="n">
        <f aca="false">'Player Data'!D439</f>
        <v>3</v>
      </c>
      <c r="F439" s="21" t="n">
        <f aca="false">'Player Data'!G439</f>
        <v>20</v>
      </c>
      <c r="G439" s="21" t="n">
        <f aca="false">'Player Data'!H439</f>
        <v>2652</v>
      </c>
      <c r="H439" s="22" t="n">
        <f aca="false">IF(B439="GK",IFERROR(('Player Data'!N439-1.5*'Player Data'!O439)/'Player Data'!H439*90,0),IFERROR(('Player Data'!I439+'Player Data'!J439)/'Player Data'!H439*90,0))</f>
        <v>0.81447963800905</v>
      </c>
      <c r="I439" s="22" t="n">
        <f aca="false">IF(B439="GK",'Player Data'!P439,IFERROR(('Player Data'!K439+'Player Data'!L439)/'Player Data'!H439*90,0))</f>
        <v>4.71719457013575</v>
      </c>
      <c r="J439" s="22" t="n">
        <f aca="false">IF(B439="GK",IFERROR('Player Data'!Q439/'Player Data'!H439*90,0),IFERROR('Player Data'!M439/'Player Data'!H439*90,0))</f>
        <v>0.509049773755656</v>
      </c>
      <c r="K439" s="23" t="n">
        <f aca="false">'Player Data'!S439</f>
        <v>36445</v>
      </c>
      <c r="L439" s="22" t="n">
        <f aca="false">INDEX(Assumptions!$B$13:$B$15,MATCH(E439,Assumptions!$A$13:$A$15,0))</f>
        <v>0.85</v>
      </c>
      <c r="M439" s="24" t="n">
        <f aca="false">IFERROR(SUMPRODUCT(($B$2:$B$1001=B439)*($H$2:$H$1001&lt;=H439))/SUMPRODUCT(($B$2:$B$1001=B439)*1),0)</f>
        <v>0.323008849557522</v>
      </c>
      <c r="N439" s="24" t="n">
        <f aca="false">IFERROR(SUMPRODUCT(($B$2:$B$1001=B439)*($I$2:$I$1001&lt;=I439))/SUMPRODUCT(($B$2:$B$1001=B439)*1),0)</f>
        <v>0.154867256637168</v>
      </c>
      <c r="O439" s="24" t="n">
        <f aca="false">IFERROR(SUMPRODUCT(($B$2:$B$1001=B439)*($J$2:$J$1001&lt;=J439))/SUMPRODUCT(($B$2:$B$1001=B439)*1),0)</f>
        <v>0.513274336283186</v>
      </c>
      <c r="P439" s="24" t="n">
        <f aca="false">IFERROR(SUMPRODUCT(($B$2:$B$1001=B439)*((0-$F$2:$F$1001)&lt;=(0-F439)))/SUMPRODUCT(($B$2:$B$1001=B439)*1),0)</f>
        <v>0.712389380530973</v>
      </c>
      <c r="Q439" s="25" t="n">
        <f aca="false">(M439*Assumptions!$B$5+N439*Assumptions!$B$6+O439*Assumptions!$B$7+P439*Assumptions!$B$8)*L439</f>
        <v>0.323075221238938</v>
      </c>
      <c r="R439" s="24" t="n">
        <f aca="false">IFERROR(SUMPRODUCT(($B$2:$B$1001=B439)*($Q$2:$Q$1001&lt;=Q439))/SUMPRODUCT(($B$2:$B$1001=B439)*1),0)</f>
        <v>0.314159292035398</v>
      </c>
      <c r="S439" s="24" t="n">
        <f aca="false">IFERROR(SUMPRODUCT(($B$2:$B$1001=B439)*($K$2:$K$1001&lt;=K439))/SUMPRODUCT(($B$2:$B$1001=B439)*1),0)</f>
        <v>0.398230088495575</v>
      </c>
      <c r="T439" s="26" t="n">
        <f aca="false">(R439-S439)*100</f>
        <v>-8.4070796460177</v>
      </c>
      <c r="U439" s="21" t="str">
        <f aca="false">'Player Data'!T439</f>
        <v>Yes</v>
      </c>
      <c r="V439" s="27" t="n">
        <f aca="false">'Player Data'!U439</f>
        <v>2026</v>
      </c>
      <c r="W439" s="21" t="str">
        <f aca="false">IF(AND(T439&gt;=Assumptions!$B$19,U439="No"),"High Priority - Unrepresented",IF(T439&gt;=Assumptions!$B$19,"High Priority",IF(AND(T439&gt;=Assumptions!$B$20,U439="No"),"Watchlist - Unrepresented",IF(T439&gt;=Assumptions!$B$20,"Watchlist",""))))</f>
        <v/>
      </c>
      <c r="X439" s="21" t="str">
        <f aca="false">'Player Data'!V439</f>
        <v>info@rigarangers.lv</v>
      </c>
      <c r="Y439" s="28" t="str">
        <f aca="false">'Player Data'!W439</f>
        <v>Go through the player's agent - ask the club to confirm representation first</v>
      </c>
      <c r="Z439" s="28" t="str">
        <f aca="false">'Player Data'!X439</f>
        <v>LFF (Latvian Football Federation) player registry</v>
      </c>
      <c r="AA439" s="19" t="str">
        <f aca="false">HYPERLINK("https://www.transfermarkt.com/schnellsuche/ergebnis/schnellsuche?query="&amp;SUBSTITUTE(A439," ","+"),"Search Transfermarkt")</f>
        <v>Search Transfermarkt</v>
      </c>
      <c r="AB439" s="29" t="n">
        <f aca="false">IFERROR('Player Data'!K439/('Player Data'!K439+'Player Data'!L439),0)</f>
        <v>0.424460431654676</v>
      </c>
      <c r="AC439" s="21" t="str">
        <f aca="false">IF(B439="GK",IF(AND(O439&gt;=Assumptions!$B$23,N439&gt;=Assumptions!$B$23),"Sweeper-Keeper / Build-from-the-Back",IF(O439&gt;=Assumptions!$B$23,"Sweeper-Keeper / High Line",IF(M439&gt;=Assumptions!$B$23,"Shot-Stopper / Traditional","Flexible / Multi-System"))),IF(AND(O439&gt;=Assumptions!$B$23,P439&gt;=Assumptions!$B$24),"High Press / Gegenpressing",IF(AND(N439&gt;=Assumptions!$B$23,AB439&gt;=Assumptions!$B$25),"Possession / Build-from-the-Back",IF(N439&gt;=Assumptions!$B$23,"Counter-Attack / Transition",IF(AND(O439&gt;=Assumptions!$B$23,N439&lt;Assumptions!$B$26),"Low Block / Park the Bus",IF(AND(B439="FW",M439&gt;=Assumptions!$B$23,N439&lt;Assumptions!$B$26),"Direct / Target Approach","Flexible / Multi-System"))))))</f>
        <v>Flexible / Multi-System</v>
      </c>
      <c r="AD439" s="21" t="str">
        <f aca="false">'Player Data'!Y439</f>
        <v>2026-07-17</v>
      </c>
      <c r="AE439" s="21" t="str">
        <f aca="false">'Player Data'!Z439</f>
        <v>2026-07-17</v>
      </c>
      <c r="AF439" s="28" t="str">
        <f aca="false">IFERROR(INDEX(Assumptions!$B$30:$B$61,MATCH(C439,Assumptions!$A$30:$A$61,0)),"--")</f>
        <v>Poland, Norway</v>
      </c>
      <c r="AG439" s="30" t="str">
        <f aca="false">IF(R439&gt;=0.7,"Step-Up Candidate",IF(R439&gt;=0.4,"Lateral Move","Stay &amp; Develop"))</f>
        <v>Stay &amp; Develop</v>
      </c>
    </row>
    <row r="440" customFormat="false" ht="23.85" hidden="false" customHeight="false" outlineLevel="0" collapsed="false">
      <c r="A440" s="21" t="str">
        <f aca="false">'Player Data'!A440</f>
        <v>Ante Barisic</v>
      </c>
      <c r="B440" s="21" t="str">
        <f aca="false">'Player Data'!F440</f>
        <v>MF</v>
      </c>
      <c r="C440" s="21" t="str">
        <f aca="false">'Player Data'!B440</f>
        <v>Croatia</v>
      </c>
      <c r="D440" s="21" t="str">
        <f aca="false">'Player Data'!C440</f>
        <v>Croatia Second Division - East</v>
      </c>
      <c r="E440" s="21" t="n">
        <f aca="false">'Player Data'!D440</f>
        <v>2</v>
      </c>
      <c r="F440" s="21" t="n">
        <f aca="false">'Player Data'!G440</f>
        <v>24</v>
      </c>
      <c r="G440" s="21" t="n">
        <f aca="false">'Player Data'!H440</f>
        <v>2620</v>
      </c>
      <c r="H440" s="22" t="n">
        <f aca="false">IF(B440="GK",IFERROR(('Player Data'!N440-1.5*'Player Data'!O440)/'Player Data'!H440*90,0),IFERROR(('Player Data'!I440+'Player Data'!J440)/'Player Data'!H440*90,0))</f>
        <v>0.652671755725191</v>
      </c>
      <c r="I440" s="22" t="n">
        <f aca="false">IF(B440="GK",'Player Data'!P440,IFERROR(('Player Data'!K440+'Player Data'!L440)/'Player Data'!H440*90,0))</f>
        <v>7.24809160305344</v>
      </c>
      <c r="J440" s="22" t="n">
        <f aca="false">IF(B440="GK",IFERROR('Player Data'!Q440/'Player Data'!H440*90,0),IFERROR('Player Data'!M440/'Player Data'!H440*90,0))</f>
        <v>1.95801526717557</v>
      </c>
      <c r="K440" s="23" t="n">
        <f aca="false">'Player Data'!S440</f>
        <v>138838</v>
      </c>
      <c r="L440" s="22" t="n">
        <f aca="false">INDEX(Assumptions!$B$13:$B$15,MATCH(E440,Assumptions!$A$13:$A$15,0))</f>
        <v>1</v>
      </c>
      <c r="M440" s="24" t="n">
        <f aca="false">IFERROR(SUMPRODUCT(($B$2:$B$1001=B440)*($H$2:$H$1001&lt;=H440))/SUMPRODUCT(($B$2:$B$1001=B440)*1),0)</f>
        <v>0.390572390572391</v>
      </c>
      <c r="N440" s="24" t="n">
        <f aca="false">IFERROR(SUMPRODUCT(($B$2:$B$1001=B440)*($I$2:$I$1001&lt;=I440))/SUMPRODUCT(($B$2:$B$1001=B440)*1),0)</f>
        <v>0.0841750841750842</v>
      </c>
      <c r="O440" s="24" t="n">
        <f aca="false">IFERROR(SUMPRODUCT(($B$2:$B$1001=B440)*($J$2:$J$1001&lt;=J440))/SUMPRODUCT(($B$2:$B$1001=B440)*1),0)</f>
        <v>0.390572390572391</v>
      </c>
      <c r="P440" s="24" t="n">
        <f aca="false">IFERROR(SUMPRODUCT(($B$2:$B$1001=B440)*((0-$F$2:$F$1001)&lt;=(0-F440)))/SUMPRODUCT(($B$2:$B$1001=B440)*1),0)</f>
        <v>0.326599326599327</v>
      </c>
      <c r="Q440" s="25" t="n">
        <f aca="false">(M440*Assumptions!$B$5+N440*Assumptions!$B$6+O440*Assumptions!$B$7+P440*Assumptions!$B$8)*L440</f>
        <v>0.270538720538721</v>
      </c>
      <c r="R440" s="24" t="n">
        <f aca="false">IFERROR(SUMPRODUCT(($B$2:$B$1001=B440)*($Q$2:$Q$1001&lt;=Q440))/SUMPRODUCT(($B$2:$B$1001=B440)*1),0)</f>
        <v>0.208754208754209</v>
      </c>
      <c r="S440" s="24" t="n">
        <f aca="false">IFERROR(SUMPRODUCT(($B$2:$B$1001=B440)*($K$2:$K$1001&lt;=K440))/SUMPRODUCT(($B$2:$B$1001=B440)*1),0)</f>
        <v>0.962962962962963</v>
      </c>
      <c r="T440" s="26" t="n">
        <f aca="false">(R440-S440)*100</f>
        <v>-75.4208754208754</v>
      </c>
      <c r="U440" s="21" t="str">
        <f aca="false">'Player Data'!T440</f>
        <v>Unknown</v>
      </c>
      <c r="V440" s="27" t="n">
        <f aca="false">'Player Data'!U440</f>
        <v>2027</v>
      </c>
      <c r="W440" s="21" t="str">
        <f aca="false">IF(AND(T440&gt;=Assumptions!$B$19,U440="No"),"High Priority - Unrepresented",IF(T440&gt;=Assumptions!$B$19,"High Priority",IF(AND(T440&gt;=Assumptions!$B$20,U440="No"),"Watchlist - Unrepresented",IF(T440&gt;=Assumptions!$B$20,"Watchlist",""))))</f>
        <v/>
      </c>
      <c r="X440" s="21" t="str">
        <f aca="false">'Player Data'!V440</f>
        <v>info@bijelobrdorangers.hr</v>
      </c>
      <c r="Y440" s="28" t="str">
        <f aca="false">'Player Data'!W440</f>
        <v>Club sporting director / first-team office</v>
      </c>
      <c r="Z440" s="28" t="str">
        <f aca="false">'Player Data'!X440</f>
        <v>HNS (Croatian Football Federation) player registry</v>
      </c>
      <c r="AA440" s="19" t="str">
        <f aca="false">HYPERLINK("https://www.transfermarkt.com/schnellsuche/ergebnis/schnellsuche?query="&amp;SUBSTITUTE(A440," ","+"),"Search Transfermarkt")</f>
        <v>Search Transfermarkt</v>
      </c>
      <c r="AB440" s="29" t="n">
        <f aca="false">IFERROR('Player Data'!K440/('Player Data'!K440+'Player Data'!L440),0)</f>
        <v>0.62085308056872</v>
      </c>
      <c r="AC440" s="21" t="str">
        <f aca="false">IF(B440="GK",IF(AND(O440&gt;=Assumptions!$B$23,N440&gt;=Assumptions!$B$23),"Sweeper-Keeper / Build-from-the-Back",IF(O440&gt;=Assumptions!$B$23,"Sweeper-Keeper / High Line",IF(M440&gt;=Assumptions!$B$23,"Shot-Stopper / Traditional","Flexible / Multi-System"))),IF(AND(O440&gt;=Assumptions!$B$23,P440&gt;=Assumptions!$B$24),"High Press / Gegenpressing",IF(AND(N440&gt;=Assumptions!$B$23,AB440&gt;=Assumptions!$B$25),"Possession / Build-from-the-Back",IF(N440&gt;=Assumptions!$B$23,"Counter-Attack / Transition",IF(AND(O440&gt;=Assumptions!$B$23,N440&lt;Assumptions!$B$26),"Low Block / Park the Bus",IF(AND(B440="FW",M440&gt;=Assumptions!$B$23,N440&lt;Assumptions!$B$26),"Direct / Target Approach","Flexible / Multi-System"))))))</f>
        <v>Flexible / Multi-System</v>
      </c>
      <c r="AD440" s="21" t="str">
        <f aca="false">'Player Data'!Y440</f>
        <v>2026-07-17</v>
      </c>
      <c r="AE440" s="21" t="str">
        <f aca="false">'Player Data'!Z440</f>
        <v>2026-07-17</v>
      </c>
      <c r="AF440" s="28" t="str">
        <f aca="false">IFERROR(INDEX(Assumptions!$B$30:$B$61,MATCH(C440,Assumptions!$A$30:$A$61,0)),"--")</f>
        <v>Austria, Turkey</v>
      </c>
      <c r="AG440" s="30" t="str">
        <f aca="false">IF(R440&gt;=0.7,"Step-Up Candidate",IF(R440&gt;=0.4,"Lateral Move","Stay &amp; Develop"))</f>
        <v>Stay &amp; Develop</v>
      </c>
    </row>
    <row r="441" customFormat="false" ht="23.85" hidden="false" customHeight="false" outlineLevel="0" collapsed="false">
      <c r="A441" s="21" t="str">
        <f aca="false">'Player Data'!A441</f>
        <v>Jose Ramirez</v>
      </c>
      <c r="B441" s="21" t="str">
        <f aca="false">'Player Data'!F441</f>
        <v>FW</v>
      </c>
      <c r="C441" s="21" t="str">
        <f aca="false">'Player Data'!B441</f>
        <v>Costa Rica</v>
      </c>
      <c r="D441" s="21" t="str">
        <f aca="false">'Player Data'!C441</f>
        <v>Costa Rica Second Division - East</v>
      </c>
      <c r="E441" s="21" t="n">
        <f aca="false">'Player Data'!D441</f>
        <v>4</v>
      </c>
      <c r="F441" s="21" t="n">
        <f aca="false">'Player Data'!G441</f>
        <v>24</v>
      </c>
      <c r="G441" s="21" t="n">
        <f aca="false">'Player Data'!H441</f>
        <v>1525</v>
      </c>
      <c r="H441" s="22" t="n">
        <f aca="false">IF(B441="GK",IFERROR(('Player Data'!N441-1.5*'Player Data'!O441)/'Player Data'!H441*90,0),IFERROR(('Player Data'!I441+'Player Data'!J441)/'Player Data'!H441*90,0))</f>
        <v>0.885245901639344</v>
      </c>
      <c r="I441" s="22" t="n">
        <f aca="false">IF(B441="GK",'Player Data'!P441,IFERROR(('Player Data'!K441+'Player Data'!L441)/'Player Data'!H441*90,0))</f>
        <v>9.91475409836066</v>
      </c>
      <c r="J441" s="22" t="n">
        <f aca="false">IF(B441="GK",IFERROR('Player Data'!Q441/'Player Data'!H441*90,0),IFERROR('Player Data'!M441/'Player Data'!H441*90,0))</f>
        <v>0.295081967213115</v>
      </c>
      <c r="K441" s="23" t="n">
        <f aca="false">'Player Data'!S441</f>
        <v>0</v>
      </c>
      <c r="L441" s="22" t="n">
        <f aca="false">INDEX(Assumptions!$B$13:$B$15,MATCH(E441,Assumptions!$A$13:$A$15,0))</f>
        <v>0.7</v>
      </c>
      <c r="M441" s="24" t="n">
        <f aca="false">IFERROR(SUMPRODUCT(($B$2:$B$1001=B441)*($H$2:$H$1001&lt;=H441))/SUMPRODUCT(($B$2:$B$1001=B441)*1),0)</f>
        <v>0.402654867256637</v>
      </c>
      <c r="N441" s="24" t="n">
        <f aca="false">IFERROR(SUMPRODUCT(($B$2:$B$1001=B441)*($I$2:$I$1001&lt;=I441))/SUMPRODUCT(($B$2:$B$1001=B441)*1),0)</f>
        <v>0.831858407079646</v>
      </c>
      <c r="O441" s="24" t="n">
        <f aca="false">IFERROR(SUMPRODUCT(($B$2:$B$1001=B441)*($J$2:$J$1001&lt;=J441))/SUMPRODUCT(($B$2:$B$1001=B441)*1),0)</f>
        <v>0.168141592920354</v>
      </c>
      <c r="P441" s="24" t="n">
        <f aca="false">IFERROR(SUMPRODUCT(($B$2:$B$1001=B441)*((0-$F$2:$F$1001)&lt;=(0-F441)))/SUMPRODUCT(($B$2:$B$1001=B441)*1),0)</f>
        <v>0.305309734513274</v>
      </c>
      <c r="Q441" s="25" t="n">
        <f aca="false">(M441*Assumptions!$B$5+N441*Assumptions!$B$6+O441*Assumptions!$B$7+P441*Assumptions!$B$8)*L441</f>
        <v>0.340553097345133</v>
      </c>
      <c r="R441" s="24" t="n">
        <f aca="false">IFERROR(SUMPRODUCT(($B$2:$B$1001=B441)*($Q$2:$Q$1001&lt;=Q441))/SUMPRODUCT(($B$2:$B$1001=B441)*1),0)</f>
        <v>0.345132743362832</v>
      </c>
      <c r="S441" s="24" t="n">
        <f aca="false">IFERROR(SUMPRODUCT(($B$2:$B$1001=B441)*($K$2:$K$1001&lt;=K441))/SUMPRODUCT(($B$2:$B$1001=B441)*1),0)</f>
        <v>0.261061946902655</v>
      </c>
      <c r="T441" s="26" t="n">
        <f aca="false">(R441-S441)*100</f>
        <v>8.4070796460177</v>
      </c>
      <c r="U441" s="21" t="str">
        <f aca="false">'Player Data'!T441</f>
        <v>Yes</v>
      </c>
      <c r="V441" s="27" t="n">
        <f aca="false">'Player Data'!U441</f>
        <v>2027</v>
      </c>
      <c r="W441" s="21" t="str">
        <f aca="false">IF(AND(T441&gt;=Assumptions!$B$19,U441="No"),"High Priority - Unrepresented",IF(T441&gt;=Assumptions!$B$19,"High Priority",IF(AND(T441&gt;=Assumptions!$B$20,U441="No"),"Watchlist - Unrepresented",IF(T441&gt;=Assumptions!$B$20,"Watchlist",""))))</f>
        <v/>
      </c>
      <c r="X441" s="21" t="str">
        <f aca="false">'Player Data'!V441</f>
        <v>info@herediasc.cr</v>
      </c>
      <c r="Y441" s="28" t="str">
        <f aca="false">'Player Data'!W441</f>
        <v>Go through the player's agent - ask the club to confirm representation first</v>
      </c>
      <c r="Z441" s="28" t="str">
        <f aca="false">'Player Data'!X441</f>
        <v>FEDEFUTBOL (Costa Rican Football Federation) player registry</v>
      </c>
      <c r="AA441" s="19" t="str">
        <f aca="false">HYPERLINK("https://www.transfermarkt.com/schnellsuche/ergebnis/schnellsuche?query="&amp;SUBSTITUTE(A441," ","+"),"Search Transfermarkt")</f>
        <v>Search Transfermarkt</v>
      </c>
      <c r="AB441" s="29" t="n">
        <f aca="false">IFERROR('Player Data'!K441/('Player Data'!K441+'Player Data'!L441),0)</f>
        <v>0.398809523809524</v>
      </c>
      <c r="AC441" s="21" t="str">
        <f aca="false">IF(B441="GK",IF(AND(O441&gt;=Assumptions!$B$23,N441&gt;=Assumptions!$B$23),"Sweeper-Keeper / Build-from-the-Back",IF(O441&gt;=Assumptions!$B$23,"Sweeper-Keeper / High Line",IF(M441&gt;=Assumptions!$B$23,"Shot-Stopper / Traditional","Flexible / Multi-System"))),IF(AND(O441&gt;=Assumptions!$B$23,P441&gt;=Assumptions!$B$24),"High Press / Gegenpressing",IF(AND(N441&gt;=Assumptions!$B$23,AB441&gt;=Assumptions!$B$25),"Possession / Build-from-the-Back",IF(N441&gt;=Assumptions!$B$23,"Counter-Attack / Transition",IF(AND(O441&gt;=Assumptions!$B$23,N441&lt;Assumptions!$B$26),"Low Block / Park the Bus",IF(AND(B441="FW",M441&gt;=Assumptions!$B$23,N441&lt;Assumptions!$B$26),"Direct / Target Approach","Flexible / Multi-System"))))))</f>
        <v>Counter-Attack / Transition</v>
      </c>
      <c r="AD441" s="21" t="str">
        <f aca="false">'Player Data'!Y441</f>
        <v>2026-07-17</v>
      </c>
      <c r="AE441" s="21" t="str">
        <f aca="false">'Player Data'!Z441</f>
        <v>2026-07-17</v>
      </c>
      <c r="AF441" s="28" t="str">
        <f aca="false">IFERROR(INDEX(Assumptions!$B$30:$B$61,MATCH(C441,Assumptions!$A$30:$A$61,0)),"--")</f>
        <v>Mexico, United States</v>
      </c>
      <c r="AG441" s="30" t="str">
        <f aca="false">IF(R441&gt;=0.7,"Step-Up Candidate",IF(R441&gt;=0.4,"Lateral Move","Stay &amp; Develop"))</f>
        <v>Stay &amp; Develop</v>
      </c>
    </row>
    <row r="442" customFormat="false" ht="23.85" hidden="false" customHeight="false" outlineLevel="0" collapsed="false">
      <c r="A442" s="21" t="str">
        <f aca="false">'Player Data'!A442</f>
        <v>Agustin Acosta</v>
      </c>
      <c r="B442" s="21" t="str">
        <f aca="false">'Player Data'!F442</f>
        <v>DF</v>
      </c>
      <c r="C442" s="21" t="str">
        <f aca="false">'Player Data'!B442</f>
        <v>Uruguay</v>
      </c>
      <c r="D442" s="21" t="str">
        <f aca="false">'Player Data'!C442</f>
        <v>Uruguay Second Division - East</v>
      </c>
      <c r="E442" s="21" t="n">
        <f aca="false">'Player Data'!D442</f>
        <v>2</v>
      </c>
      <c r="F442" s="21" t="n">
        <f aca="false">'Player Data'!G442</f>
        <v>24</v>
      </c>
      <c r="G442" s="21" t="n">
        <f aca="false">'Player Data'!H442</f>
        <v>1551</v>
      </c>
      <c r="H442" s="22" t="n">
        <f aca="false">IF(B442="GK",IFERROR(('Player Data'!N442-1.5*'Player Data'!O442)/'Player Data'!H442*90,0),IFERROR(('Player Data'!I442+'Player Data'!J442)/'Player Data'!H442*90,0))</f>
        <v>0.406189555125725</v>
      </c>
      <c r="I442" s="22" t="n">
        <f aca="false">IF(B442="GK",'Player Data'!P442,IFERROR(('Player Data'!K442+'Player Data'!L442)/'Player Data'!H442*90,0))</f>
        <v>4.4100580270793</v>
      </c>
      <c r="J442" s="22" t="n">
        <f aca="false">IF(B442="GK",IFERROR('Player Data'!Q442/'Player Data'!H442*90,0),IFERROR('Player Data'!M442/'Player Data'!H442*90,0))</f>
        <v>5.74468085106383</v>
      </c>
      <c r="K442" s="23" t="n">
        <f aca="false">'Player Data'!S442</f>
        <v>0</v>
      </c>
      <c r="L442" s="22" t="n">
        <f aca="false">INDEX(Assumptions!$B$13:$B$15,MATCH(E442,Assumptions!$A$13:$A$15,0))</f>
        <v>1</v>
      </c>
      <c r="M442" s="24" t="n">
        <f aca="false">IFERROR(SUMPRODUCT(($B$2:$B$1001=B442)*($H$2:$H$1001&lt;=H442))/SUMPRODUCT(($B$2:$B$1001=B442)*1),0)</f>
        <v>0.908163265306123</v>
      </c>
      <c r="N442" s="24" t="n">
        <f aca="false">IFERROR(SUMPRODUCT(($B$2:$B$1001=B442)*($I$2:$I$1001&lt;=I442))/SUMPRODUCT(($B$2:$B$1001=B442)*1),0)</f>
        <v>0.486394557823129</v>
      </c>
      <c r="O442" s="24" t="n">
        <f aca="false">IFERROR(SUMPRODUCT(($B$2:$B$1001=B442)*($J$2:$J$1001&lt;=J442))/SUMPRODUCT(($B$2:$B$1001=B442)*1),0)</f>
        <v>0.564625850340136</v>
      </c>
      <c r="P442" s="24" t="n">
        <f aca="false">IFERROR(SUMPRODUCT(($B$2:$B$1001=B442)*((0-$F$2:$F$1001)&lt;=(0-F442)))/SUMPRODUCT(($B$2:$B$1001=B442)*1),0)</f>
        <v>0.275510204081633</v>
      </c>
      <c r="Q442" s="25" t="n">
        <f aca="false">(M442*Assumptions!$B$5+N442*Assumptions!$B$6+O442*Assumptions!$B$7+P442*Assumptions!$B$8)*L442</f>
        <v>0.56530612244898</v>
      </c>
      <c r="R442" s="24" t="n">
        <f aca="false">IFERROR(SUMPRODUCT(($B$2:$B$1001=B442)*($Q$2:$Q$1001&lt;=Q442))/SUMPRODUCT(($B$2:$B$1001=B442)*1),0)</f>
        <v>0.700680272108844</v>
      </c>
      <c r="S442" s="24" t="n">
        <f aca="false">IFERROR(SUMPRODUCT(($B$2:$B$1001=B442)*($K$2:$K$1001&lt;=K442))/SUMPRODUCT(($B$2:$B$1001=B442)*1),0)</f>
        <v>0.248299319727891</v>
      </c>
      <c r="T442" s="26" t="n">
        <f aca="false">(R442-S442)*100</f>
        <v>45.2380952380952</v>
      </c>
      <c r="U442" s="21" t="str">
        <f aca="false">'Player Data'!T442</f>
        <v>Yes</v>
      </c>
      <c r="V442" s="27" t="n">
        <f aca="false">'Player Data'!U442</f>
        <v>2029</v>
      </c>
      <c r="W442" s="21" t="str">
        <f aca="false">IF(AND(T442&gt;=Assumptions!$B$19,U442="No"),"High Priority - Unrepresented",IF(T442&gt;=Assumptions!$B$19,"High Priority",IF(AND(T442&gt;=Assumptions!$B$20,U442="No"),"Watchlist - Unrepresented",IF(T442&gt;=Assumptions!$B$20,"Watchlist",""))))</f>
        <v>High Priority</v>
      </c>
      <c r="X442" s="21" t="str">
        <f aca="false">'Player Data'!V442</f>
        <v>info@saltoathletic.uy</v>
      </c>
      <c r="Y442" s="28" t="str">
        <f aca="false">'Player Data'!W442</f>
        <v>Go through the player's agent - ask the club to confirm representation first</v>
      </c>
      <c r="Z442" s="28" t="str">
        <f aca="false">'Player Data'!X442</f>
        <v>AUF (Uruguayan Football Association) player registry</v>
      </c>
      <c r="AA442" s="19" t="str">
        <f aca="false">HYPERLINK("https://www.transfermarkt.com/schnellsuche/ergebnis/schnellsuche?query="&amp;SUBSTITUTE(A442," ","+"),"Search Transfermarkt")</f>
        <v>Search Transfermarkt</v>
      </c>
      <c r="AB442" s="29" t="n">
        <f aca="false">IFERROR('Player Data'!K442/('Player Data'!K442+'Player Data'!L442),0)</f>
        <v>0.671052631578947</v>
      </c>
      <c r="AC442" s="21" t="str">
        <f aca="false">IF(B442="GK",IF(AND(O442&gt;=Assumptions!$B$23,N442&gt;=Assumptions!$B$23),"Sweeper-Keeper / Build-from-the-Back",IF(O442&gt;=Assumptions!$B$23,"Sweeper-Keeper / High Line",IF(M442&gt;=Assumptions!$B$23,"Shot-Stopper / Traditional","Flexible / Multi-System"))),IF(AND(O442&gt;=Assumptions!$B$23,P442&gt;=Assumptions!$B$24),"High Press / Gegenpressing",IF(AND(N442&gt;=Assumptions!$B$23,AB442&gt;=Assumptions!$B$25),"Possession / Build-from-the-Back",IF(N442&gt;=Assumptions!$B$23,"Counter-Attack / Transition",IF(AND(O442&gt;=Assumptions!$B$23,N442&lt;Assumptions!$B$26),"Low Block / Park the Bus",IF(AND(B442="FW",M442&gt;=Assumptions!$B$23,N442&lt;Assumptions!$B$26),"Direct / Target Approach","Flexible / Multi-System"))))))</f>
        <v>Flexible / Multi-System</v>
      </c>
      <c r="AD442" s="21" t="str">
        <f aca="false">'Player Data'!Y442</f>
        <v>2026-07-17</v>
      </c>
      <c r="AE442" s="21" t="str">
        <f aca="false">'Player Data'!Z442</f>
        <v>2026-07-17</v>
      </c>
      <c r="AF442" s="28" t="str">
        <f aca="false">IFERROR(INDEX(Assumptions!$B$30:$B$61,MATCH(C442,Assumptions!$A$30:$A$61,0)),"--")</f>
        <v>Argentina, Portugal</v>
      </c>
      <c r="AG442" s="30" t="str">
        <f aca="false">IF(R442&gt;=0.7,"Step-Up Candidate",IF(R442&gt;=0.4,"Lateral Move","Stay &amp; Develop"))</f>
        <v>Step-Up Candidate</v>
      </c>
    </row>
    <row r="443" customFormat="false" ht="23.85" hidden="false" customHeight="false" outlineLevel="0" collapsed="false">
      <c r="A443" s="21" t="str">
        <f aca="false">'Player Data'!A443</f>
        <v>Oumar Coulibaly</v>
      </c>
      <c r="B443" s="21" t="str">
        <f aca="false">'Player Data'!F443</f>
        <v>FW</v>
      </c>
      <c r="C443" s="21" t="str">
        <f aca="false">'Player Data'!B443</f>
        <v>Mali</v>
      </c>
      <c r="D443" s="21" t="str">
        <f aca="false">'Player Data'!C443</f>
        <v>Mali Second Division</v>
      </c>
      <c r="E443" s="21" t="n">
        <f aca="false">'Player Data'!D443</f>
        <v>3</v>
      </c>
      <c r="F443" s="21" t="n">
        <f aca="false">'Player Data'!G443</f>
        <v>25</v>
      </c>
      <c r="G443" s="21" t="n">
        <f aca="false">'Player Data'!H443</f>
        <v>2343</v>
      </c>
      <c r="H443" s="22" t="n">
        <f aca="false">IF(B443="GK",IFERROR(('Player Data'!N443-1.5*'Player Data'!O443)/'Player Data'!H443*90,0),IFERROR(('Player Data'!I443+'Player Data'!J443)/'Player Data'!H443*90,0))</f>
        <v>0.384122919334187</v>
      </c>
      <c r="I443" s="22" t="n">
        <f aca="false">IF(B443="GK",'Player Data'!P443,IFERROR(('Player Data'!K443+'Player Data'!L443)/'Player Data'!H443*90,0))</f>
        <v>5.60819462227913</v>
      </c>
      <c r="J443" s="22" t="n">
        <f aca="false">IF(B443="GK",IFERROR('Player Data'!Q443/'Player Data'!H443*90,0),IFERROR('Player Data'!M443/'Player Data'!H443*90,0))</f>
        <v>0.614596670934699</v>
      </c>
      <c r="K443" s="23" t="n">
        <f aca="false">'Player Data'!S443</f>
        <v>107967</v>
      </c>
      <c r="L443" s="22" t="n">
        <f aca="false">INDEX(Assumptions!$B$13:$B$15,MATCH(E443,Assumptions!$A$13:$A$15,0))</f>
        <v>0.85</v>
      </c>
      <c r="M443" s="24" t="n">
        <f aca="false">IFERROR(SUMPRODUCT(($B$2:$B$1001=B443)*($H$2:$H$1001&lt;=H443))/SUMPRODUCT(($B$2:$B$1001=B443)*1),0)</f>
        <v>0.0221238938053097</v>
      </c>
      <c r="N443" s="24" t="n">
        <f aca="false">IFERROR(SUMPRODUCT(($B$2:$B$1001=B443)*($I$2:$I$1001&lt;=I443))/SUMPRODUCT(($B$2:$B$1001=B443)*1),0)</f>
        <v>0.331858407079646</v>
      </c>
      <c r="O443" s="24" t="n">
        <f aca="false">IFERROR(SUMPRODUCT(($B$2:$B$1001=B443)*($J$2:$J$1001&lt;=J443))/SUMPRODUCT(($B$2:$B$1001=B443)*1),0)</f>
        <v>0.646017699115044</v>
      </c>
      <c r="P443" s="24" t="n">
        <f aca="false">IFERROR(SUMPRODUCT(($B$2:$B$1001=B443)*((0-$F$2:$F$1001)&lt;=(0-F443)))/SUMPRODUCT(($B$2:$B$1001=B443)*1),0)</f>
        <v>0.194690265486726</v>
      </c>
      <c r="Q443" s="25" t="n">
        <f aca="false">(M443*Assumptions!$B$5+N443*Assumptions!$B$6+O443*Assumptions!$B$7+P443*Assumptions!$B$8)*L443</f>
        <v>0.246349557522124</v>
      </c>
      <c r="R443" s="24" t="n">
        <f aca="false">IFERROR(SUMPRODUCT(($B$2:$B$1001=B443)*($Q$2:$Q$1001&lt;=Q443))/SUMPRODUCT(($B$2:$B$1001=B443)*1),0)</f>
        <v>0.185840707964602</v>
      </c>
      <c r="S443" s="24" t="n">
        <f aca="false">IFERROR(SUMPRODUCT(($B$2:$B$1001=B443)*($K$2:$K$1001&lt;=K443))/SUMPRODUCT(($B$2:$B$1001=B443)*1),0)</f>
        <v>0.774336283185841</v>
      </c>
      <c r="T443" s="26" t="n">
        <f aca="false">(R443-S443)*100</f>
        <v>-58.8495575221239</v>
      </c>
      <c r="U443" s="21" t="str">
        <f aca="false">'Player Data'!T443</f>
        <v>Unknown</v>
      </c>
      <c r="V443" s="27" t="n">
        <f aca="false">'Player Data'!U443</f>
        <v>2027</v>
      </c>
      <c r="W443" s="21" t="str">
        <f aca="false">IF(AND(T443&gt;=Assumptions!$B$19,U443="No"),"High Priority - Unrepresented",IF(T443&gt;=Assumptions!$B$19,"High Priority",IF(AND(T443&gt;=Assumptions!$B$20,U443="No"),"Watchlist - Unrepresented",IF(T443&gt;=Assumptions!$B$20,"Watchlist",""))))</f>
        <v/>
      </c>
      <c r="X443" s="21" t="str">
        <f aca="false">'Player Data'!V443</f>
        <v>info@sikassofc.ml</v>
      </c>
      <c r="Y443" s="28" t="str">
        <f aca="false">'Player Data'!W443</f>
        <v>Club sporting director / first-team office</v>
      </c>
      <c r="Z443" s="28" t="str">
        <f aca="false">'Player Data'!X443</f>
        <v>FEMAFOOT (Malian Football Federation) player registry</v>
      </c>
      <c r="AA443" s="19" t="str">
        <f aca="false">HYPERLINK("https://www.transfermarkt.com/schnellsuche/ergebnis/schnellsuche?query="&amp;SUBSTITUTE(A443," ","+"),"Search Transfermarkt")</f>
        <v>Search Transfermarkt</v>
      </c>
      <c r="AB443" s="29" t="n">
        <f aca="false">IFERROR('Player Data'!K443/('Player Data'!K443+'Player Data'!L443),0)</f>
        <v>0.383561643835616</v>
      </c>
      <c r="AC443" s="21" t="str">
        <f aca="false">IF(B443="GK",IF(AND(O443&gt;=Assumptions!$B$23,N443&gt;=Assumptions!$B$23),"Sweeper-Keeper / Build-from-the-Back",IF(O443&gt;=Assumptions!$B$23,"Sweeper-Keeper / High Line",IF(M443&gt;=Assumptions!$B$23,"Shot-Stopper / Traditional","Flexible / Multi-System"))),IF(AND(O443&gt;=Assumptions!$B$23,P443&gt;=Assumptions!$B$24),"High Press / Gegenpressing",IF(AND(N443&gt;=Assumptions!$B$23,AB443&gt;=Assumptions!$B$25),"Possession / Build-from-the-Back",IF(N443&gt;=Assumptions!$B$23,"Counter-Attack / Transition",IF(AND(O443&gt;=Assumptions!$B$23,N443&lt;Assumptions!$B$26),"Low Block / Park the Bus",IF(AND(B443="FW",M443&gt;=Assumptions!$B$23,N443&lt;Assumptions!$B$26),"Direct / Target Approach","Flexible / Multi-System"))))))</f>
        <v>Flexible / Multi-System</v>
      </c>
      <c r="AD443" s="21" t="str">
        <f aca="false">'Player Data'!Y443</f>
        <v>2026-07-17</v>
      </c>
      <c r="AE443" s="21" t="str">
        <f aca="false">'Player Data'!Z443</f>
        <v>2026-07-17</v>
      </c>
      <c r="AF443" s="28" t="str">
        <f aca="false">IFERROR(INDEX(Assumptions!$B$30:$B$61,MATCH(C443,Assumptions!$A$30:$A$61,0)),"--")</f>
        <v>Belgium, Portugal</v>
      </c>
      <c r="AG443" s="30" t="str">
        <f aca="false">IF(R443&gt;=0.7,"Step-Up Candidate",IF(R443&gt;=0.4,"Lateral Move","Stay &amp; Develop"))</f>
        <v>Stay &amp; Develop</v>
      </c>
    </row>
    <row r="444" customFormat="false" ht="23.85" hidden="false" customHeight="false" outlineLevel="0" collapsed="false">
      <c r="A444" s="21" t="str">
        <f aca="false">'Player Data'!A444</f>
        <v>Tim Krajnc</v>
      </c>
      <c r="B444" s="21" t="str">
        <f aca="false">'Player Data'!F444</f>
        <v>DF</v>
      </c>
      <c r="C444" s="21" t="str">
        <f aca="false">'Player Data'!B444</f>
        <v>Slovenia</v>
      </c>
      <c r="D444" s="21" t="str">
        <f aca="false">'Player Data'!C444</f>
        <v>Slovenia Regional League</v>
      </c>
      <c r="E444" s="21" t="n">
        <f aca="false">'Player Data'!D444</f>
        <v>2</v>
      </c>
      <c r="F444" s="21" t="n">
        <f aca="false">'Player Data'!G444</f>
        <v>18</v>
      </c>
      <c r="G444" s="21" t="n">
        <f aca="false">'Player Data'!H444</f>
        <v>2476</v>
      </c>
      <c r="H444" s="22" t="n">
        <f aca="false">IF(B444="GK",IFERROR(('Player Data'!N444-1.5*'Player Data'!O444)/'Player Data'!H444*90,0),IFERROR(('Player Data'!I444+'Player Data'!J444)/'Player Data'!H444*90,0))</f>
        <v>0.181744749596123</v>
      </c>
      <c r="I444" s="22" t="n">
        <f aca="false">IF(B444="GK",'Player Data'!P444,IFERROR(('Player Data'!K444+'Player Data'!L444)/'Player Data'!H444*90,0))</f>
        <v>3.48949919224556</v>
      </c>
      <c r="J444" s="22" t="n">
        <f aca="false">IF(B444="GK",IFERROR('Player Data'!Q444/'Player Data'!H444*90,0),IFERROR('Player Data'!M444/'Player Data'!H444*90,0))</f>
        <v>2.72617124394184</v>
      </c>
      <c r="K444" s="23" t="n">
        <f aca="false">'Player Data'!S444</f>
        <v>0</v>
      </c>
      <c r="L444" s="22" t="n">
        <f aca="false">INDEX(Assumptions!$B$13:$B$15,MATCH(E444,Assumptions!$A$13:$A$15,0))</f>
        <v>1</v>
      </c>
      <c r="M444" s="24" t="n">
        <f aca="false">IFERROR(SUMPRODUCT(($B$2:$B$1001=B444)*($H$2:$H$1001&lt;=H444))/SUMPRODUCT(($B$2:$B$1001=B444)*1),0)</f>
        <v>0.493197278911565</v>
      </c>
      <c r="N444" s="24" t="n">
        <f aca="false">IFERROR(SUMPRODUCT(($B$2:$B$1001=B444)*($I$2:$I$1001&lt;=I444))/SUMPRODUCT(($B$2:$B$1001=B444)*1),0)</f>
        <v>0.23469387755102</v>
      </c>
      <c r="O444" s="24" t="n">
        <f aca="false">IFERROR(SUMPRODUCT(($B$2:$B$1001=B444)*($J$2:$J$1001&lt;=J444))/SUMPRODUCT(($B$2:$B$1001=B444)*1),0)</f>
        <v>0.0136054421768707</v>
      </c>
      <c r="P444" s="24" t="n">
        <f aca="false">IFERROR(SUMPRODUCT(($B$2:$B$1001=B444)*((0-$F$2:$F$1001)&lt;=(0-F444)))/SUMPRODUCT(($B$2:$B$1001=B444)*1),0)</f>
        <v>0.863945578231293</v>
      </c>
      <c r="Q444" s="25" t="n">
        <f aca="false">(M444*Assumptions!$B$5+N444*Assumptions!$B$6+O444*Assumptions!$B$7+P444*Assumptions!$B$8)*L444</f>
        <v>0.380952380952381</v>
      </c>
      <c r="R444" s="24" t="n">
        <f aca="false">IFERROR(SUMPRODUCT(($B$2:$B$1001=B444)*($Q$2:$Q$1001&lt;=Q444))/SUMPRODUCT(($B$2:$B$1001=B444)*1),0)</f>
        <v>0.401360544217687</v>
      </c>
      <c r="S444" s="24" t="n">
        <f aca="false">IFERROR(SUMPRODUCT(($B$2:$B$1001=B444)*($K$2:$K$1001&lt;=K444))/SUMPRODUCT(($B$2:$B$1001=B444)*1),0)</f>
        <v>0.248299319727891</v>
      </c>
      <c r="T444" s="26" t="n">
        <f aca="false">(R444-S444)*100</f>
        <v>15.3061224489796</v>
      </c>
      <c r="U444" s="21" t="str">
        <f aca="false">'Player Data'!T444</f>
        <v>Yes</v>
      </c>
      <c r="V444" s="27" t="n">
        <f aca="false">'Player Data'!U444</f>
        <v>2026</v>
      </c>
      <c r="W444" s="21" t="str">
        <f aca="false">IF(AND(T444&gt;=Assumptions!$B$19,U444="No"),"High Priority - Unrepresented",IF(T444&gt;=Assumptions!$B$19,"High Priority",IF(AND(T444&gt;=Assumptions!$B$20,U444="No"),"Watchlist - Unrepresented",IF(T444&gt;=Assumptions!$B$20,"Watchlist",""))))</f>
        <v/>
      </c>
      <c r="X444" s="21" t="str">
        <f aca="false">'Player Data'!V444</f>
        <v>info@mariborathletic.si</v>
      </c>
      <c r="Y444" s="28" t="str">
        <f aca="false">'Player Data'!W444</f>
        <v>Go through the player's agent - ask the club to confirm representation first</v>
      </c>
      <c r="Z444" s="28" t="str">
        <f aca="false">'Player Data'!X444</f>
        <v>NZS (Football Association of Slovenia) player registry</v>
      </c>
      <c r="AA444" s="19" t="str">
        <f aca="false">HYPERLINK("https://www.transfermarkt.com/schnellsuche/ergebnis/schnellsuche?query="&amp;SUBSTITUTE(A444," ","+"),"Search Transfermarkt")</f>
        <v>Search Transfermarkt</v>
      </c>
      <c r="AB444" s="29" t="n">
        <f aca="false">IFERROR('Player Data'!K444/('Player Data'!K444+'Player Data'!L444),0)</f>
        <v>0.645833333333333</v>
      </c>
      <c r="AC444" s="21" t="str">
        <f aca="false">IF(B444="GK",IF(AND(O444&gt;=Assumptions!$B$23,N444&gt;=Assumptions!$B$23),"Sweeper-Keeper / Build-from-the-Back",IF(O444&gt;=Assumptions!$B$23,"Sweeper-Keeper / High Line",IF(M444&gt;=Assumptions!$B$23,"Shot-Stopper / Traditional","Flexible / Multi-System"))),IF(AND(O444&gt;=Assumptions!$B$23,P444&gt;=Assumptions!$B$24),"High Press / Gegenpressing",IF(AND(N444&gt;=Assumptions!$B$23,AB444&gt;=Assumptions!$B$25),"Possession / Build-from-the-Back",IF(N444&gt;=Assumptions!$B$23,"Counter-Attack / Transition",IF(AND(O444&gt;=Assumptions!$B$23,N444&lt;Assumptions!$B$26),"Low Block / Park the Bus",IF(AND(B444="FW",M444&gt;=Assumptions!$B$23,N444&lt;Assumptions!$B$26),"Direct / Target Approach","Flexible / Multi-System"))))))</f>
        <v>Flexible / Multi-System</v>
      </c>
      <c r="AD444" s="21" t="str">
        <f aca="false">'Player Data'!Y444</f>
        <v>2026-07-17</v>
      </c>
      <c r="AE444" s="21" t="str">
        <f aca="false">'Player Data'!Z444</f>
        <v>2026-07-17</v>
      </c>
      <c r="AF444" s="28" t="str">
        <f aca="false">IFERROR(INDEX(Assumptions!$B$30:$B$61,MATCH(C444,Assumptions!$A$30:$A$61,0)),"--")</f>
        <v>Austria, Poland</v>
      </c>
      <c r="AG444" s="30" t="str">
        <f aca="false">IF(R444&gt;=0.7,"Step-Up Candidate",IF(R444&gt;=0.4,"Lateral Move","Stay &amp; Develop"))</f>
        <v>Lateral Move</v>
      </c>
    </row>
    <row r="445" customFormat="false" ht="23.85" hidden="false" customHeight="false" outlineLevel="0" collapsed="false">
      <c r="A445" s="21" t="str">
        <f aca="false">'Player Data'!A445</f>
        <v>Bekzod Rashidov</v>
      </c>
      <c r="B445" s="21" t="str">
        <f aca="false">'Player Data'!F445</f>
        <v>MF</v>
      </c>
      <c r="C445" s="21" t="str">
        <f aca="false">'Player Data'!B445</f>
        <v>Uzbekistan</v>
      </c>
      <c r="D445" s="21" t="str">
        <f aca="false">'Player Data'!C445</f>
        <v>Uzbekistan Regional League</v>
      </c>
      <c r="E445" s="21" t="n">
        <f aca="false">'Player Data'!D445</f>
        <v>3</v>
      </c>
      <c r="F445" s="21" t="n">
        <f aca="false">'Player Data'!G445</f>
        <v>26</v>
      </c>
      <c r="G445" s="21" t="n">
        <f aca="false">'Player Data'!H445</f>
        <v>2326</v>
      </c>
      <c r="H445" s="22" t="n">
        <f aca="false">IF(B445="GK",IFERROR(('Player Data'!N445-1.5*'Player Data'!O445)/'Player Data'!H445*90,0),IFERROR(('Player Data'!I445+'Player Data'!J445)/'Player Data'!H445*90,0))</f>
        <v>0.928632846087704</v>
      </c>
      <c r="I445" s="22" t="n">
        <f aca="false">IF(B445="GK",'Player Data'!P445,IFERROR(('Player Data'!K445+'Player Data'!L445)/'Player Data'!H445*90,0))</f>
        <v>9.94411006018917</v>
      </c>
      <c r="J445" s="22" t="n">
        <f aca="false">IF(B445="GK",IFERROR('Player Data'!Q445/'Player Data'!H445*90,0),IFERROR('Player Data'!M445/'Player Data'!H445*90,0))</f>
        <v>1.47033533963887</v>
      </c>
      <c r="K445" s="23" t="n">
        <f aca="false">'Player Data'!S445</f>
        <v>119757</v>
      </c>
      <c r="L445" s="22" t="n">
        <f aca="false">INDEX(Assumptions!$B$13:$B$15,MATCH(E445,Assumptions!$A$13:$A$15,0))</f>
        <v>0.85</v>
      </c>
      <c r="M445" s="24" t="n">
        <f aca="false">IFERROR(SUMPRODUCT(($B$2:$B$1001=B445)*($H$2:$H$1001&lt;=H445))/SUMPRODUCT(($B$2:$B$1001=B445)*1),0)</f>
        <v>0.717171717171717</v>
      </c>
      <c r="N445" s="24" t="n">
        <f aca="false">IFERROR(SUMPRODUCT(($B$2:$B$1001=B445)*($I$2:$I$1001&lt;=I445))/SUMPRODUCT(($B$2:$B$1001=B445)*1),0)</f>
        <v>0.420875420875421</v>
      </c>
      <c r="O445" s="24" t="n">
        <f aca="false">IFERROR(SUMPRODUCT(($B$2:$B$1001=B445)*($J$2:$J$1001&lt;=J445))/SUMPRODUCT(($B$2:$B$1001=B445)*1),0)</f>
        <v>0.161616161616162</v>
      </c>
      <c r="P445" s="24" t="n">
        <f aca="false">IFERROR(SUMPRODUCT(($B$2:$B$1001=B445)*((0-$F$2:$F$1001)&lt;=(0-F445)))/SUMPRODUCT(($B$2:$B$1001=B445)*1),0)</f>
        <v>0.0909090909090909</v>
      </c>
      <c r="Q445" s="25" t="n">
        <f aca="false">(M445*Assumptions!$B$5+N445*Assumptions!$B$6+O445*Assumptions!$B$7+P445*Assumptions!$B$8)*L445</f>
        <v>0.320538720538721</v>
      </c>
      <c r="R445" s="24" t="n">
        <f aca="false">IFERROR(SUMPRODUCT(($B$2:$B$1001=B445)*($Q$2:$Q$1001&lt;=Q445))/SUMPRODUCT(($B$2:$B$1001=B445)*1),0)</f>
        <v>0.282828282828283</v>
      </c>
      <c r="S445" s="24" t="n">
        <f aca="false">IFERROR(SUMPRODUCT(($B$2:$B$1001=B445)*($K$2:$K$1001&lt;=K445))/SUMPRODUCT(($B$2:$B$1001=B445)*1),0)</f>
        <v>0.848484848484849</v>
      </c>
      <c r="T445" s="26" t="n">
        <f aca="false">(R445-S445)*100</f>
        <v>-56.5656565656566</v>
      </c>
      <c r="U445" s="21" t="str">
        <f aca="false">'Player Data'!T445</f>
        <v>Unknown</v>
      </c>
      <c r="V445" s="27" t="n">
        <f aca="false">'Player Data'!U445</f>
        <v>2026</v>
      </c>
      <c r="W445" s="21" t="str">
        <f aca="false">IF(AND(T445&gt;=Assumptions!$B$19,U445="No"),"High Priority - Unrepresented",IF(T445&gt;=Assumptions!$B$19,"High Priority",IF(AND(T445&gt;=Assumptions!$B$20,U445="No"),"Watchlist - Unrepresented",IF(T445&gt;=Assumptions!$B$20,"Watchlist",""))))</f>
        <v/>
      </c>
      <c r="X445" s="21" t="str">
        <f aca="false">'Player Data'!V445</f>
        <v>info@bukharacity.uz</v>
      </c>
      <c r="Y445" s="28" t="str">
        <f aca="false">'Player Data'!W445</f>
        <v>Club sporting director / first-team office</v>
      </c>
      <c r="Z445" s="28" t="str">
        <f aca="false">'Player Data'!X445</f>
        <v>UFF (Uzbekistan Football Federation) player registry</v>
      </c>
      <c r="AA445" s="19" t="str">
        <f aca="false">HYPERLINK("https://www.transfermarkt.com/schnellsuche/ergebnis/schnellsuche?query="&amp;SUBSTITUTE(A445," ","+"),"Search Transfermarkt")</f>
        <v>Search Transfermarkt</v>
      </c>
      <c r="AB445" s="29" t="n">
        <f aca="false">IFERROR('Player Data'!K445/('Player Data'!K445+'Player Data'!L445),0)</f>
        <v>0.649805447470817</v>
      </c>
      <c r="AC445" s="21" t="str">
        <f aca="false">IF(B445="GK",IF(AND(O445&gt;=Assumptions!$B$23,N445&gt;=Assumptions!$B$23),"Sweeper-Keeper / Build-from-the-Back",IF(O445&gt;=Assumptions!$B$23,"Sweeper-Keeper / High Line",IF(M445&gt;=Assumptions!$B$23,"Shot-Stopper / Traditional","Flexible / Multi-System"))),IF(AND(O445&gt;=Assumptions!$B$23,P445&gt;=Assumptions!$B$24),"High Press / Gegenpressing",IF(AND(N445&gt;=Assumptions!$B$23,AB445&gt;=Assumptions!$B$25),"Possession / Build-from-the-Back",IF(N445&gt;=Assumptions!$B$23,"Counter-Attack / Transition",IF(AND(O445&gt;=Assumptions!$B$23,N445&lt;Assumptions!$B$26),"Low Block / Park the Bus",IF(AND(B445="FW",M445&gt;=Assumptions!$B$23,N445&lt;Assumptions!$B$26),"Direct / Target Approach","Flexible / Multi-System"))))))</f>
        <v>Flexible / Multi-System</v>
      </c>
      <c r="AD445" s="21" t="str">
        <f aca="false">'Player Data'!Y445</f>
        <v>2026-07-17</v>
      </c>
      <c r="AE445" s="21" t="str">
        <f aca="false">'Player Data'!Z445</f>
        <v>2026-07-17</v>
      </c>
      <c r="AF445" s="28" t="str">
        <f aca="false">IFERROR(INDEX(Assumptions!$B$30:$B$61,MATCH(C445,Assumptions!$A$30:$A$61,0)),"--")</f>
        <v>Turkey, Saudi Arabia</v>
      </c>
      <c r="AG445" s="30" t="str">
        <f aca="false">IF(R445&gt;=0.7,"Step-Up Candidate",IF(R445&gt;=0.4,"Lateral Move","Stay &amp; Develop"))</f>
        <v>Stay &amp; Develop</v>
      </c>
    </row>
    <row r="446" customFormat="false" ht="23.85" hidden="false" customHeight="false" outlineLevel="0" collapsed="false">
      <c r="A446" s="21" t="str">
        <f aca="false">'Player Data'!A446</f>
        <v>Karim Mahmoud</v>
      </c>
      <c r="B446" s="21" t="str">
        <f aca="false">'Player Data'!F446</f>
        <v>GK</v>
      </c>
      <c r="C446" s="21" t="str">
        <f aca="false">'Player Data'!B446</f>
        <v>Iraq</v>
      </c>
      <c r="D446" s="21" t="str">
        <f aca="false">'Player Data'!C446</f>
        <v>Iraq Third Tier - North</v>
      </c>
      <c r="E446" s="21" t="n">
        <f aca="false">'Player Data'!D446</f>
        <v>2</v>
      </c>
      <c r="F446" s="21" t="n">
        <f aca="false">'Player Data'!G446</f>
        <v>20</v>
      </c>
      <c r="G446" s="21" t="n">
        <f aca="false">'Player Data'!H446</f>
        <v>1341</v>
      </c>
      <c r="H446" s="22" t="n">
        <f aca="false">IF(B446="GK",IFERROR(('Player Data'!N446-1.5*'Player Data'!O446)/'Player Data'!H446*90,0),IFERROR(('Player Data'!I446+'Player Data'!J446)/'Player Data'!H446*90,0))</f>
        <v>1.67785234899329</v>
      </c>
      <c r="I446" s="22" t="n">
        <f aca="false">IF(B446="GK",'Player Data'!P446,IFERROR(('Player Data'!K446+'Player Data'!L446)/'Player Data'!H446*90,0))</f>
        <v>61.1</v>
      </c>
      <c r="J446" s="22" t="n">
        <f aca="false">IF(B446="GK",IFERROR('Player Data'!Q446/'Player Data'!H446*90,0),IFERROR('Player Data'!M446/'Player Data'!H446*90,0))</f>
        <v>0.885906040268456</v>
      </c>
      <c r="K446" s="23" t="n">
        <f aca="false">'Player Data'!S446</f>
        <v>122369</v>
      </c>
      <c r="L446" s="22" t="n">
        <f aca="false">INDEX(Assumptions!$B$13:$B$15,MATCH(E446,Assumptions!$A$13:$A$15,0))</f>
        <v>1</v>
      </c>
      <c r="M446" s="24" t="n">
        <f aca="false">IFERROR(SUMPRODUCT(($B$2:$B$1001=B446)*($H$2:$H$1001&lt;=H446))/SUMPRODUCT(($B$2:$B$1001=B446)*1),0)</f>
        <v>0.759562841530055</v>
      </c>
      <c r="N446" s="24" t="n">
        <f aca="false">IFERROR(SUMPRODUCT(($B$2:$B$1001=B446)*($I$2:$I$1001&lt;=I446))/SUMPRODUCT(($B$2:$B$1001=B446)*1),0)</f>
        <v>0.202185792349727</v>
      </c>
      <c r="O446" s="24" t="n">
        <f aca="false">IFERROR(SUMPRODUCT(($B$2:$B$1001=B446)*($J$2:$J$1001&lt;=J446))/SUMPRODUCT(($B$2:$B$1001=B446)*1),0)</f>
        <v>0.530054644808743</v>
      </c>
      <c r="P446" s="24" t="n">
        <f aca="false">IFERROR(SUMPRODUCT(($B$2:$B$1001=B446)*((0-$F$2:$F$1001)&lt;=(0-F446)))/SUMPRODUCT(($B$2:$B$1001=B446)*1),0)</f>
        <v>0.677595628415301</v>
      </c>
      <c r="Q446" s="25" t="n">
        <f aca="false">(M446*Assumptions!$B$5+N446*Assumptions!$B$6+O446*Assumptions!$B$7+P446*Assumptions!$B$8)*L446</f>
        <v>0.502185792349727</v>
      </c>
      <c r="R446" s="24" t="n">
        <f aca="false">IFERROR(SUMPRODUCT(($B$2:$B$1001=B446)*($Q$2:$Q$1001&lt;=Q446))/SUMPRODUCT(($B$2:$B$1001=B446)*1),0)</f>
        <v>0.628415300546448</v>
      </c>
      <c r="S446" s="24" t="n">
        <f aca="false">IFERROR(SUMPRODUCT(($B$2:$B$1001=B446)*($K$2:$K$1001&lt;=K446))/SUMPRODUCT(($B$2:$B$1001=B446)*1),0)</f>
        <v>0.825136612021858</v>
      </c>
      <c r="T446" s="26" t="n">
        <f aca="false">(R446-S446)*100</f>
        <v>-19.672131147541</v>
      </c>
      <c r="U446" s="21" t="str">
        <f aca="false">'Player Data'!T446</f>
        <v>Unknown</v>
      </c>
      <c r="V446" s="27" t="n">
        <f aca="false">'Player Data'!U446</f>
        <v>2029</v>
      </c>
      <c r="W446" s="21" t="str">
        <f aca="false">IF(AND(T446&gt;=Assumptions!$B$19,U446="No"),"High Priority - Unrepresented",IF(T446&gt;=Assumptions!$B$19,"High Priority",IF(AND(T446&gt;=Assumptions!$B$20,U446="No"),"Watchlist - Unrepresented",IF(T446&gt;=Assumptions!$B$20,"Watchlist",""))))</f>
        <v/>
      </c>
      <c r="X446" s="21" t="str">
        <f aca="false">'Player Data'!V446</f>
        <v>info@basrarangers.iq</v>
      </c>
      <c r="Y446" s="28" t="str">
        <f aca="false">'Player Data'!W446</f>
        <v>Club sporting director / first-team office</v>
      </c>
      <c r="Z446" s="28" t="str">
        <f aca="false">'Player Data'!X446</f>
        <v>IFA (Iraq Football Association) player registry</v>
      </c>
      <c r="AA446" s="19" t="str">
        <f aca="false">HYPERLINK("https://www.transfermarkt.com/schnellsuche/ergebnis/schnellsuche?query="&amp;SUBSTITUTE(A446," ","+"),"Search Transfermarkt")</f>
        <v>Search Transfermarkt</v>
      </c>
      <c r="AB446" s="29" t="n">
        <f aca="false">IFERROR('Player Data'!K446/('Player Data'!K446+'Player Data'!L446),0)</f>
        <v>0.909090909090909</v>
      </c>
      <c r="AC446" s="21" t="str">
        <f aca="false">IF(B446="GK",IF(AND(O446&gt;=Assumptions!$B$23,N446&gt;=Assumptions!$B$23),"Sweeper-Keeper / Build-from-the-Back",IF(O446&gt;=Assumptions!$B$23,"Sweeper-Keeper / High Line",IF(M446&gt;=Assumptions!$B$23,"Shot-Stopper / Traditional","Flexible / Multi-System"))),IF(AND(O446&gt;=Assumptions!$B$23,P446&gt;=Assumptions!$B$24),"High Press / Gegenpressing",IF(AND(N446&gt;=Assumptions!$B$23,AB446&gt;=Assumptions!$B$25),"Possession / Build-from-the-Back",IF(N446&gt;=Assumptions!$B$23,"Counter-Attack / Transition",IF(AND(O446&gt;=Assumptions!$B$23,N446&lt;Assumptions!$B$26),"Low Block / Park the Bus",IF(AND(B446="FW",M446&gt;=Assumptions!$B$23,N446&lt;Assumptions!$B$26),"Direct / Target Approach","Flexible / Multi-System"))))))</f>
        <v>Shot-Stopper / Traditional</v>
      </c>
      <c r="AD446" s="21" t="str">
        <f aca="false">'Player Data'!Y446</f>
        <v>2026-07-17</v>
      </c>
      <c r="AE446" s="21" t="str">
        <f aca="false">'Player Data'!Z446</f>
        <v>2026-07-17</v>
      </c>
      <c r="AF446" s="28" t="str">
        <f aca="false">IFERROR(INDEX(Assumptions!$B$30:$B$61,MATCH(C446,Assumptions!$A$30:$A$61,0)),"--")</f>
        <v>Turkey, Saudi Arabia</v>
      </c>
      <c r="AG446" s="30" t="str">
        <f aca="false">IF(R446&gt;=0.7,"Step-Up Candidate",IF(R446&gt;=0.4,"Lateral Move","Stay &amp; Develop"))</f>
        <v>Lateral Move</v>
      </c>
    </row>
    <row r="447" customFormat="false" ht="23.85" hidden="false" customHeight="false" outlineLevel="0" collapsed="false">
      <c r="A447" s="21" t="str">
        <f aca="false">'Player Data'!A447</f>
        <v>Abdoulaye Gueye</v>
      </c>
      <c r="B447" s="21" t="str">
        <f aca="false">'Player Data'!F447</f>
        <v>DF</v>
      </c>
      <c r="C447" s="21" t="str">
        <f aca="false">'Player Data'!B447</f>
        <v>Senegal</v>
      </c>
      <c r="D447" s="21" t="str">
        <f aca="false">'Player Data'!C447</f>
        <v>Senegal Second Division - East</v>
      </c>
      <c r="E447" s="21" t="n">
        <f aca="false">'Player Data'!D447</f>
        <v>2</v>
      </c>
      <c r="F447" s="21" t="n">
        <f aca="false">'Player Data'!G447</f>
        <v>18</v>
      </c>
      <c r="G447" s="21" t="n">
        <f aca="false">'Player Data'!H447</f>
        <v>2104</v>
      </c>
      <c r="H447" s="22" t="n">
        <f aca="false">IF(B447="GK",IFERROR(('Player Data'!N447-1.5*'Player Data'!O447)/'Player Data'!H447*90,0),IFERROR(('Player Data'!I447+'Player Data'!J447)/'Player Data'!H447*90,0))</f>
        <v>0</v>
      </c>
      <c r="I447" s="22" t="n">
        <f aca="false">IF(B447="GK",'Player Data'!P447,IFERROR(('Player Data'!K447+'Player Data'!L447)/'Player Data'!H447*90,0))</f>
        <v>3.76425855513308</v>
      </c>
      <c r="J447" s="22" t="n">
        <f aca="false">IF(B447="GK",IFERROR('Player Data'!Q447/'Player Data'!H447*90,0),IFERROR('Player Data'!M447/'Player Data'!H447*90,0))</f>
        <v>3.6787072243346</v>
      </c>
      <c r="K447" s="23" t="n">
        <f aca="false">'Player Data'!S447</f>
        <v>80666</v>
      </c>
      <c r="L447" s="22" t="n">
        <f aca="false">INDEX(Assumptions!$B$13:$B$15,MATCH(E447,Assumptions!$A$13:$A$15,0))</f>
        <v>1</v>
      </c>
      <c r="M447" s="24" t="n">
        <f aca="false">IFERROR(SUMPRODUCT(($B$2:$B$1001=B447)*($H$2:$H$1001&lt;=H447))/SUMPRODUCT(($B$2:$B$1001=B447)*1),0)</f>
        <v>0.0408163265306122</v>
      </c>
      <c r="N447" s="24" t="n">
        <f aca="false">IFERROR(SUMPRODUCT(($B$2:$B$1001=B447)*($I$2:$I$1001&lt;=I447))/SUMPRODUCT(($B$2:$B$1001=B447)*1),0)</f>
        <v>0.343537414965986</v>
      </c>
      <c r="O447" s="24" t="n">
        <f aca="false">IFERROR(SUMPRODUCT(($B$2:$B$1001=B447)*($J$2:$J$1001&lt;=J447))/SUMPRODUCT(($B$2:$B$1001=B447)*1),0)</f>
        <v>0.156462585034014</v>
      </c>
      <c r="P447" s="24" t="n">
        <f aca="false">IFERROR(SUMPRODUCT(($B$2:$B$1001=B447)*((0-$F$2:$F$1001)&lt;=(0-F447)))/SUMPRODUCT(($B$2:$B$1001=B447)*1),0)</f>
        <v>0.863945578231293</v>
      </c>
      <c r="Q447" s="25" t="n">
        <f aca="false">(M447*Assumptions!$B$5+N447*Assumptions!$B$6+O447*Assumptions!$B$7+P447*Assumptions!$B$8)*L447</f>
        <v>0.33452380952381</v>
      </c>
      <c r="R447" s="24" t="n">
        <f aca="false">IFERROR(SUMPRODUCT(($B$2:$B$1001=B447)*($Q$2:$Q$1001&lt;=Q447))/SUMPRODUCT(($B$2:$B$1001=B447)*1),0)</f>
        <v>0.32312925170068</v>
      </c>
      <c r="S447" s="24" t="n">
        <f aca="false">IFERROR(SUMPRODUCT(($B$2:$B$1001=B447)*($K$2:$K$1001&lt;=K447))/SUMPRODUCT(($B$2:$B$1001=B447)*1),0)</f>
        <v>0.622448979591837</v>
      </c>
      <c r="T447" s="26" t="n">
        <f aca="false">(R447-S447)*100</f>
        <v>-29.9319727891156</v>
      </c>
      <c r="U447" s="21" t="str">
        <f aca="false">'Player Data'!T447</f>
        <v>Yes</v>
      </c>
      <c r="V447" s="27" t="n">
        <f aca="false">'Player Data'!U447</f>
        <v>2026</v>
      </c>
      <c r="W447" s="21" t="str">
        <f aca="false">IF(AND(T447&gt;=Assumptions!$B$19,U447="No"),"High Priority - Unrepresented",IF(T447&gt;=Assumptions!$B$19,"High Priority",IF(AND(T447&gt;=Assumptions!$B$20,U447="No"),"Watchlist - Unrepresented",IF(T447&gt;=Assumptions!$B$20,"Watchlist",""))))</f>
        <v/>
      </c>
      <c r="X447" s="21" t="str">
        <f aca="false">'Player Data'!V447</f>
        <v>info@saintlouisunited.sn</v>
      </c>
      <c r="Y447" s="28" t="str">
        <f aca="false">'Player Data'!W447</f>
        <v>Go through the player's agent - ask the club to confirm representation first</v>
      </c>
      <c r="Z447" s="28" t="str">
        <f aca="false">'Player Data'!X447</f>
        <v>FSF (Senegalese Football Federation) player registry</v>
      </c>
      <c r="AA447" s="19" t="str">
        <f aca="false">HYPERLINK("https://www.transfermarkt.com/schnellsuche/ergebnis/schnellsuche?query="&amp;SUBSTITUTE(A447," ","+"),"Search Transfermarkt")</f>
        <v>Search Transfermarkt</v>
      </c>
      <c r="AB447" s="29" t="n">
        <f aca="false">IFERROR('Player Data'!K447/('Player Data'!K447+'Player Data'!L447),0)</f>
        <v>0.727272727272727</v>
      </c>
      <c r="AC447" s="21" t="str">
        <f aca="false">IF(B447="GK",IF(AND(O447&gt;=Assumptions!$B$23,N447&gt;=Assumptions!$B$23),"Sweeper-Keeper / Build-from-the-Back",IF(O447&gt;=Assumptions!$B$23,"Sweeper-Keeper / High Line",IF(M447&gt;=Assumptions!$B$23,"Shot-Stopper / Traditional","Flexible / Multi-System"))),IF(AND(O447&gt;=Assumptions!$B$23,P447&gt;=Assumptions!$B$24),"High Press / Gegenpressing",IF(AND(N447&gt;=Assumptions!$B$23,AB447&gt;=Assumptions!$B$25),"Possession / Build-from-the-Back",IF(N447&gt;=Assumptions!$B$23,"Counter-Attack / Transition",IF(AND(O447&gt;=Assumptions!$B$23,N447&lt;Assumptions!$B$26),"Low Block / Park the Bus",IF(AND(B447="FW",M447&gt;=Assumptions!$B$23,N447&lt;Assumptions!$B$26),"Direct / Target Approach","Flexible / Multi-System"))))))</f>
        <v>Flexible / Multi-System</v>
      </c>
      <c r="AD447" s="21" t="str">
        <f aca="false">'Player Data'!Y447</f>
        <v>2026-07-17</v>
      </c>
      <c r="AE447" s="21" t="str">
        <f aca="false">'Player Data'!Z447</f>
        <v>2026-07-17</v>
      </c>
      <c r="AF447" s="28" t="str">
        <f aca="false">IFERROR(INDEX(Assumptions!$B$30:$B$61,MATCH(C447,Assumptions!$A$30:$A$61,0)),"--")</f>
        <v>Belgium, Portugal</v>
      </c>
      <c r="AG447" s="30" t="str">
        <f aca="false">IF(R447&gt;=0.7,"Step-Up Candidate",IF(R447&gt;=0.4,"Lateral Move","Stay &amp; Develop"))</f>
        <v>Stay &amp; Develop</v>
      </c>
    </row>
    <row r="448" customFormat="false" ht="23.85" hidden="false" customHeight="false" outlineLevel="0" collapsed="false">
      <c r="A448" s="21" t="str">
        <f aca="false">'Player Data'!A448</f>
        <v>Yves Bamba</v>
      </c>
      <c r="B448" s="21" t="str">
        <f aca="false">'Player Data'!F448</f>
        <v>MF</v>
      </c>
      <c r="C448" s="21" t="str">
        <f aca="false">'Player Data'!B448</f>
        <v>Ivory Coast</v>
      </c>
      <c r="D448" s="21" t="str">
        <f aca="false">'Player Data'!C448</f>
        <v>Ivory Coast Provincial League</v>
      </c>
      <c r="E448" s="21" t="n">
        <f aca="false">'Player Data'!D448</f>
        <v>3</v>
      </c>
      <c r="F448" s="21" t="n">
        <f aca="false">'Player Data'!G448</f>
        <v>17</v>
      </c>
      <c r="G448" s="21" t="n">
        <f aca="false">'Player Data'!H448</f>
        <v>1162</v>
      </c>
      <c r="H448" s="22" t="n">
        <f aca="false">IF(B448="GK",IFERROR(('Player Data'!N448-1.5*'Player Data'!O448)/'Player Data'!H448*90,0),IFERROR(('Player Data'!I448+'Player Data'!J448)/'Player Data'!H448*90,0))</f>
        <v>1.1617900172117</v>
      </c>
      <c r="I448" s="22" t="n">
        <f aca="false">IF(B448="GK",'Player Data'!P448,IFERROR(('Player Data'!K448+'Player Data'!L448)/'Player Data'!H448*90,0))</f>
        <v>16.8072289156626</v>
      </c>
      <c r="J448" s="22" t="n">
        <f aca="false">IF(B448="GK",IFERROR('Player Data'!Q448/'Player Data'!H448*90,0),IFERROR('Player Data'!M448/'Player Data'!H448*90,0))</f>
        <v>3.09810671256454</v>
      </c>
      <c r="K448" s="23" t="n">
        <f aca="false">'Player Data'!S448</f>
        <v>0</v>
      </c>
      <c r="L448" s="22" t="n">
        <f aca="false">INDEX(Assumptions!$B$13:$B$15,MATCH(E448,Assumptions!$A$13:$A$15,0))</f>
        <v>0.85</v>
      </c>
      <c r="M448" s="24" t="n">
        <f aca="false">IFERROR(SUMPRODUCT(($B$2:$B$1001=B448)*($H$2:$H$1001&lt;=H448))/SUMPRODUCT(($B$2:$B$1001=B448)*1),0)</f>
        <v>0.841750841750842</v>
      </c>
      <c r="N448" s="24" t="n">
        <f aca="false">IFERROR(SUMPRODUCT(($B$2:$B$1001=B448)*($I$2:$I$1001&lt;=I448))/SUMPRODUCT(($B$2:$B$1001=B448)*1),0)</f>
        <v>0.824915824915825</v>
      </c>
      <c r="O448" s="24" t="n">
        <f aca="false">IFERROR(SUMPRODUCT(($B$2:$B$1001=B448)*($J$2:$J$1001&lt;=J448))/SUMPRODUCT(($B$2:$B$1001=B448)*1),0)</f>
        <v>0.787878787878788</v>
      </c>
      <c r="P448" s="24" t="n">
        <f aca="false">IFERROR(SUMPRODUCT(($B$2:$B$1001=B448)*((0-$F$2:$F$1001)&lt;=(0-F448)))/SUMPRODUCT(($B$2:$B$1001=B448)*1),0)</f>
        <v>1</v>
      </c>
      <c r="Q448" s="25" t="n">
        <f aca="false">(M448*Assumptions!$B$5+N448*Assumptions!$B$6+O448*Assumptions!$B$7+P448*Assumptions!$B$8)*L448</f>
        <v>0.728223905723906</v>
      </c>
      <c r="R448" s="24" t="n">
        <f aca="false">IFERROR(SUMPRODUCT(($B$2:$B$1001=B448)*($Q$2:$Q$1001&lt;=Q448))/SUMPRODUCT(($B$2:$B$1001=B448)*1),0)</f>
        <v>0.888888888888889</v>
      </c>
      <c r="S448" s="24" t="n">
        <f aca="false">IFERROR(SUMPRODUCT(($B$2:$B$1001=B448)*($K$2:$K$1001&lt;=K448))/SUMPRODUCT(($B$2:$B$1001=B448)*1),0)</f>
        <v>0.228956228956229</v>
      </c>
      <c r="T448" s="26" t="n">
        <f aca="false">(R448-S448)*100</f>
        <v>65.993265993266</v>
      </c>
      <c r="U448" s="21" t="str">
        <f aca="false">'Player Data'!T448</f>
        <v>No</v>
      </c>
      <c r="V448" s="27" t="n">
        <f aca="false">'Player Data'!U448</f>
        <v>2026</v>
      </c>
      <c r="W448" s="21" t="str">
        <f aca="false">IF(AND(T448&gt;=Assumptions!$B$19,U448="No"),"High Priority - Unrepresented",IF(T448&gt;=Assumptions!$B$19,"High Priority",IF(AND(T448&gt;=Assumptions!$B$20,U448="No"),"Watchlist - Unrepresented",IF(T448&gt;=Assumptions!$B$20,"Watchlist",""))))</f>
        <v>High Priority - Unrepresented</v>
      </c>
      <c r="X448" s="21" t="str">
        <f aca="false">'Player Data'!V448</f>
        <v>info@abidjanwanderers.ci</v>
      </c>
      <c r="Y448" s="28" t="str">
        <f aca="false">'Player Data'!W448</f>
        <v>Club youth/academy office ONLY - player is a minor, do not contact directly</v>
      </c>
      <c r="Z448" s="28" t="str">
        <f aca="false">'Player Data'!X448</f>
        <v>FIF (Ivorian Football Federation) player registry</v>
      </c>
      <c r="AA448" s="19" t="str">
        <f aca="false">HYPERLINK("https://www.transfermarkt.com/schnellsuche/ergebnis/schnellsuche?query="&amp;SUBSTITUTE(A448," ","+"),"Search Transfermarkt")</f>
        <v>Search Transfermarkt</v>
      </c>
      <c r="AB448" s="29" t="n">
        <f aca="false">IFERROR('Player Data'!K448/('Player Data'!K448+'Player Data'!L448),0)</f>
        <v>0.691244239631336</v>
      </c>
      <c r="AC448" s="21" t="str">
        <f aca="false">IF(B448="GK",IF(AND(O448&gt;=Assumptions!$B$23,N448&gt;=Assumptions!$B$23),"Sweeper-Keeper / Build-from-the-Back",IF(O448&gt;=Assumptions!$B$23,"Sweeper-Keeper / High Line",IF(M448&gt;=Assumptions!$B$23,"Shot-Stopper / Traditional","Flexible / Multi-System"))),IF(AND(O448&gt;=Assumptions!$B$23,P448&gt;=Assumptions!$B$24),"High Press / Gegenpressing",IF(AND(N448&gt;=Assumptions!$B$23,AB448&gt;=Assumptions!$B$25),"Possession / Build-from-the-Back",IF(N448&gt;=Assumptions!$B$23,"Counter-Attack / Transition",IF(AND(O448&gt;=Assumptions!$B$23,N448&lt;Assumptions!$B$26),"Low Block / Park the Bus",IF(AND(B448="FW",M448&gt;=Assumptions!$B$23,N448&lt;Assumptions!$B$26),"Direct / Target Approach","Flexible / Multi-System"))))))</f>
        <v>High Press / Gegenpressing</v>
      </c>
      <c r="AD448" s="21" t="str">
        <f aca="false">'Player Data'!Y448</f>
        <v>2026-07-17</v>
      </c>
      <c r="AE448" s="21" t="str">
        <f aca="false">'Player Data'!Z448</f>
        <v>2026-07-17</v>
      </c>
      <c r="AF448" s="28" t="str">
        <f aca="false">IFERROR(INDEX(Assumptions!$B$30:$B$61,MATCH(C448,Assumptions!$A$30:$A$61,0)),"--")</f>
        <v>Belgium, Portugal</v>
      </c>
      <c r="AG448" s="30" t="str">
        <f aca="false">IF(R448&gt;=0.7,"Step-Up Candidate",IF(R448&gt;=0.4,"Lateral Move","Stay &amp; Develop"))</f>
        <v>Step-Up Candidate</v>
      </c>
    </row>
    <row r="449" customFormat="false" ht="23.85" hidden="false" customHeight="false" outlineLevel="0" collapsed="false">
      <c r="A449" s="21" t="str">
        <f aca="false">'Player Data'!A449</f>
        <v>Min-jun Choi</v>
      </c>
      <c r="B449" s="21" t="str">
        <f aca="false">'Player Data'!F449</f>
        <v>FW</v>
      </c>
      <c r="C449" s="21" t="str">
        <f aca="false">'Player Data'!B449</f>
        <v>South Korea</v>
      </c>
      <c r="D449" s="21" t="str">
        <f aca="false">'Player Data'!C449</f>
        <v>South Korea Regional League</v>
      </c>
      <c r="E449" s="21" t="n">
        <f aca="false">'Player Data'!D449</f>
        <v>2</v>
      </c>
      <c r="F449" s="21" t="n">
        <f aca="false">'Player Data'!G449</f>
        <v>17</v>
      </c>
      <c r="G449" s="21" t="n">
        <f aca="false">'Player Data'!H449</f>
        <v>2130</v>
      </c>
      <c r="H449" s="22" t="n">
        <f aca="false">IF(B449="GK",IFERROR(('Player Data'!N449-1.5*'Player Data'!O449)/'Player Data'!H449*90,0),IFERROR(('Player Data'!I449+'Player Data'!J449)/'Player Data'!H449*90,0))</f>
        <v>0.845070422535211</v>
      </c>
      <c r="I449" s="22" t="n">
        <f aca="false">IF(B449="GK",'Player Data'!P449,IFERROR(('Player Data'!K449+'Player Data'!L449)/'Player Data'!H449*90,0))</f>
        <v>4.3943661971831</v>
      </c>
      <c r="J449" s="22" t="n">
        <f aca="false">IF(B449="GK",IFERROR('Player Data'!Q449/'Player Data'!H449*90,0),IFERROR('Player Data'!M449/'Player Data'!H449*90,0))</f>
        <v>0.633802816901409</v>
      </c>
      <c r="K449" s="23" t="n">
        <f aca="false">'Player Data'!S449</f>
        <v>105080</v>
      </c>
      <c r="L449" s="22" t="n">
        <f aca="false">INDEX(Assumptions!$B$13:$B$15,MATCH(E449,Assumptions!$A$13:$A$15,0))</f>
        <v>1</v>
      </c>
      <c r="M449" s="24" t="n">
        <f aca="false">IFERROR(SUMPRODUCT(($B$2:$B$1001=B449)*($H$2:$H$1001&lt;=H449))/SUMPRODUCT(($B$2:$B$1001=B449)*1),0)</f>
        <v>0.358407079646018</v>
      </c>
      <c r="N449" s="24" t="n">
        <f aca="false">IFERROR(SUMPRODUCT(($B$2:$B$1001=B449)*($I$2:$I$1001&lt;=I449))/SUMPRODUCT(($B$2:$B$1001=B449)*1),0)</f>
        <v>0.115044247787611</v>
      </c>
      <c r="O449" s="24" t="n">
        <f aca="false">IFERROR(SUMPRODUCT(($B$2:$B$1001=B449)*($J$2:$J$1001&lt;=J449))/SUMPRODUCT(($B$2:$B$1001=B449)*1),0)</f>
        <v>0.672566371681416</v>
      </c>
      <c r="P449" s="24" t="n">
        <f aca="false">IFERROR(SUMPRODUCT(($B$2:$B$1001=B449)*((0-$F$2:$F$1001)&lt;=(0-F449)))/SUMPRODUCT(($B$2:$B$1001=B449)*1),0)</f>
        <v>1</v>
      </c>
      <c r="Q449" s="25" t="n">
        <f aca="false">(M449*Assumptions!$B$5+N449*Assumptions!$B$6+O449*Assumptions!$B$7+P449*Assumptions!$B$8)*L449</f>
        <v>0.464380530973451</v>
      </c>
      <c r="R449" s="24" t="n">
        <f aca="false">IFERROR(SUMPRODUCT(($B$2:$B$1001=B449)*($Q$2:$Q$1001&lt;=Q449))/SUMPRODUCT(($B$2:$B$1001=B449)*1),0)</f>
        <v>0.553097345132743</v>
      </c>
      <c r="S449" s="24" t="n">
        <f aca="false">IFERROR(SUMPRODUCT(($B$2:$B$1001=B449)*($K$2:$K$1001&lt;=K449))/SUMPRODUCT(($B$2:$B$1001=B449)*1),0)</f>
        <v>0.738938053097345</v>
      </c>
      <c r="T449" s="26" t="n">
        <f aca="false">(R449-S449)*100</f>
        <v>-18.5840707964602</v>
      </c>
      <c r="U449" s="21" t="str">
        <f aca="false">'Player Data'!T449</f>
        <v>Yes</v>
      </c>
      <c r="V449" s="27" t="n">
        <f aca="false">'Player Data'!U449</f>
        <v>2026</v>
      </c>
      <c r="W449" s="21" t="str">
        <f aca="false">IF(AND(T449&gt;=Assumptions!$B$19,U449="No"),"High Priority - Unrepresented",IF(T449&gt;=Assumptions!$B$19,"High Priority",IF(AND(T449&gt;=Assumptions!$B$20,U449="No"),"Watchlist - Unrepresented",IF(T449&gt;=Assumptions!$B$20,"Watchlist",""))))</f>
        <v/>
      </c>
      <c r="X449" s="21" t="str">
        <f aca="false">'Player Data'!V449</f>
        <v>info@daeguwanderers.kr</v>
      </c>
      <c r="Y449" s="28" t="str">
        <f aca="false">'Player Data'!W449</f>
        <v>Club youth/academy office ONLY - player is a minor, do not contact directly</v>
      </c>
      <c r="Z449" s="28" t="str">
        <f aca="false">'Player Data'!X449</f>
        <v>KFA (Korea Football Association) player registry</v>
      </c>
      <c r="AA449" s="19" t="str">
        <f aca="false">HYPERLINK("https://www.transfermarkt.com/schnellsuche/ergebnis/schnellsuche?query="&amp;SUBSTITUTE(A449," ","+"),"Search Transfermarkt")</f>
        <v>Search Transfermarkt</v>
      </c>
      <c r="AB449" s="29" t="n">
        <f aca="false">IFERROR('Player Data'!K449/('Player Data'!K449+'Player Data'!L449),0)</f>
        <v>0.365384615384615</v>
      </c>
      <c r="AC449" s="21" t="str">
        <f aca="false">IF(B449="GK",IF(AND(O449&gt;=Assumptions!$B$23,N449&gt;=Assumptions!$B$23),"Sweeper-Keeper / Build-from-the-Back",IF(O449&gt;=Assumptions!$B$23,"Sweeper-Keeper / High Line",IF(M449&gt;=Assumptions!$B$23,"Shot-Stopper / Traditional","Flexible / Multi-System"))),IF(AND(O449&gt;=Assumptions!$B$23,P449&gt;=Assumptions!$B$24),"High Press / Gegenpressing",IF(AND(N449&gt;=Assumptions!$B$23,AB449&gt;=Assumptions!$B$25),"Possession / Build-from-the-Back",IF(N449&gt;=Assumptions!$B$23,"Counter-Attack / Transition",IF(AND(O449&gt;=Assumptions!$B$23,N449&lt;Assumptions!$B$26),"Low Block / Park the Bus",IF(AND(B449="FW",M449&gt;=Assumptions!$B$23,N449&lt;Assumptions!$B$26),"Direct / Target Approach","Flexible / Multi-System"))))))</f>
        <v>High Press / Gegenpressing</v>
      </c>
      <c r="AD449" s="21" t="str">
        <f aca="false">'Player Data'!Y449</f>
        <v>2026-07-17</v>
      </c>
      <c r="AE449" s="21" t="str">
        <f aca="false">'Player Data'!Z449</f>
        <v>2026-07-17</v>
      </c>
      <c r="AF449" s="28" t="str">
        <f aca="false">IFERROR(INDEX(Assumptions!$B$30:$B$61,MATCH(C449,Assumptions!$A$30:$A$61,0)),"--")</f>
        <v>Belgium, Saudi Arabia</v>
      </c>
      <c r="AG449" s="30" t="str">
        <f aca="false">IF(R449&gt;=0.7,"Step-Up Candidate",IF(R449&gt;=0.4,"Lateral Move","Stay &amp; Develop"))</f>
        <v>Lateral Move</v>
      </c>
    </row>
    <row r="450" customFormat="false" ht="23.85" hidden="false" customHeight="false" outlineLevel="0" collapsed="false">
      <c r="A450" s="21" t="str">
        <f aca="false">'Player Data'!A450</f>
        <v>Kwame Asante</v>
      </c>
      <c r="B450" s="21" t="str">
        <f aca="false">'Player Data'!F450</f>
        <v>GK</v>
      </c>
      <c r="C450" s="21" t="str">
        <f aca="false">'Player Data'!B450</f>
        <v>Ghana</v>
      </c>
      <c r="D450" s="21" t="str">
        <f aca="false">'Player Data'!C450</f>
        <v>Ghana Amateur League</v>
      </c>
      <c r="E450" s="21" t="n">
        <f aca="false">'Player Data'!D450</f>
        <v>3</v>
      </c>
      <c r="F450" s="21" t="n">
        <f aca="false">'Player Data'!G450</f>
        <v>22</v>
      </c>
      <c r="G450" s="21" t="n">
        <f aca="false">'Player Data'!H450</f>
        <v>2042</v>
      </c>
      <c r="H450" s="22" t="n">
        <f aca="false">IF(B450="GK",IFERROR(('Player Data'!N450-1.5*'Player Data'!O450)/'Player Data'!H450*90,0),IFERROR(('Player Data'!I450+'Player Data'!J450)/'Player Data'!H450*90,0))</f>
        <v>1.10186092066601</v>
      </c>
      <c r="I450" s="22" t="n">
        <f aca="false">IF(B450="GK",'Player Data'!P450,IFERROR(('Player Data'!K450+'Player Data'!L450)/'Player Data'!H450*90,0))</f>
        <v>82.7</v>
      </c>
      <c r="J450" s="22" t="n">
        <f aca="false">IF(B450="GK",IFERROR('Player Data'!Q450/'Player Data'!H450*90,0),IFERROR('Player Data'!M450/'Player Data'!H450*90,0))</f>
        <v>0.268854064642507</v>
      </c>
      <c r="K450" s="23" t="n">
        <f aca="false">'Player Data'!S450</f>
        <v>54741</v>
      </c>
      <c r="L450" s="22" t="n">
        <f aca="false">INDEX(Assumptions!$B$13:$B$15,MATCH(E450,Assumptions!$A$13:$A$15,0))</f>
        <v>0.85</v>
      </c>
      <c r="M450" s="24" t="n">
        <f aca="false">IFERROR(SUMPRODUCT(($B$2:$B$1001=B450)*($H$2:$H$1001&lt;=H450))/SUMPRODUCT(($B$2:$B$1001=B450)*1),0)</f>
        <v>0.480874316939891</v>
      </c>
      <c r="N450" s="24" t="n">
        <f aca="false">IFERROR(SUMPRODUCT(($B$2:$B$1001=B450)*($I$2:$I$1001&lt;=I450))/SUMPRODUCT(($B$2:$B$1001=B450)*1),0)</f>
        <v>0.759562841530055</v>
      </c>
      <c r="O450" s="24" t="n">
        <f aca="false">IFERROR(SUMPRODUCT(($B$2:$B$1001=B450)*($J$2:$J$1001&lt;=J450))/SUMPRODUCT(($B$2:$B$1001=B450)*1),0)</f>
        <v>0.120218579234973</v>
      </c>
      <c r="P450" s="24" t="n">
        <f aca="false">IFERROR(SUMPRODUCT(($B$2:$B$1001=B450)*((0-$F$2:$F$1001)&lt;=(0-F450)))/SUMPRODUCT(($B$2:$B$1001=B450)*1),0)</f>
        <v>0.530054644808743</v>
      </c>
      <c r="Q450" s="25" t="n">
        <f aca="false">(M450*Assumptions!$B$5+N450*Assumptions!$B$6+O450*Assumptions!$B$7+P450*Assumptions!$B$8)*L450</f>
        <v>0.43870218579235</v>
      </c>
      <c r="R450" s="24" t="n">
        <f aca="false">IFERROR(SUMPRODUCT(($B$2:$B$1001=B450)*($Q$2:$Q$1001&lt;=Q450))/SUMPRODUCT(($B$2:$B$1001=B450)*1),0)</f>
        <v>0.437158469945355</v>
      </c>
      <c r="S450" s="24" t="n">
        <f aca="false">IFERROR(SUMPRODUCT(($B$2:$B$1001=B450)*($K$2:$K$1001&lt;=K450))/SUMPRODUCT(($B$2:$B$1001=B450)*1),0)</f>
        <v>0.415300546448087</v>
      </c>
      <c r="T450" s="26" t="n">
        <f aca="false">(R450-S450)*100</f>
        <v>2.18579234972677</v>
      </c>
      <c r="U450" s="21" t="str">
        <f aca="false">'Player Data'!T450</f>
        <v>No</v>
      </c>
      <c r="V450" s="27" t="n">
        <f aca="false">'Player Data'!U450</f>
        <v>2026</v>
      </c>
      <c r="W450" s="21" t="str">
        <f aca="false">IF(AND(T450&gt;=Assumptions!$B$19,U450="No"),"High Priority - Unrepresented",IF(T450&gt;=Assumptions!$B$19,"High Priority",IF(AND(T450&gt;=Assumptions!$B$20,U450="No"),"Watchlist - Unrepresented",IF(T450&gt;=Assumptions!$B$20,"Watchlist",""))))</f>
        <v/>
      </c>
      <c r="X450" s="21" t="str">
        <f aca="false">'Player Data'!V450</f>
        <v>info@sekondiunited.gh</v>
      </c>
      <c r="Y450" s="28" t="str">
        <f aca="false">'Player Data'!W450</f>
        <v>Club sporting director / first-team office</v>
      </c>
      <c r="Z450" s="28" t="str">
        <f aca="false">'Player Data'!X450</f>
        <v>GFA (Ghana Football Association) player registry</v>
      </c>
      <c r="AA450" s="19" t="str">
        <f aca="false">HYPERLINK("https://www.transfermarkt.com/schnellsuche/ergebnis/schnellsuche?query="&amp;SUBSTITUTE(A450," ","+"),"Search Transfermarkt")</f>
        <v>Search Transfermarkt</v>
      </c>
      <c r="AB450" s="29" t="n">
        <f aca="false">IFERROR('Player Data'!K450/('Player Data'!K450+'Player Data'!L450),0)</f>
        <v>0.857142857142857</v>
      </c>
      <c r="AC450" s="21" t="str">
        <f aca="false">IF(B450="GK",IF(AND(O450&gt;=Assumptions!$B$23,N450&gt;=Assumptions!$B$23),"Sweeper-Keeper / Build-from-the-Back",IF(O450&gt;=Assumptions!$B$23,"Sweeper-Keeper / High Line",IF(M450&gt;=Assumptions!$B$23,"Shot-Stopper / Traditional","Flexible / Multi-System"))),IF(AND(O450&gt;=Assumptions!$B$23,P450&gt;=Assumptions!$B$24),"High Press / Gegenpressing",IF(AND(N450&gt;=Assumptions!$B$23,AB450&gt;=Assumptions!$B$25),"Possession / Build-from-the-Back",IF(N450&gt;=Assumptions!$B$23,"Counter-Attack / Transition",IF(AND(O450&gt;=Assumptions!$B$23,N450&lt;Assumptions!$B$26),"Low Block / Park the Bus",IF(AND(B450="FW",M450&gt;=Assumptions!$B$23,N450&lt;Assumptions!$B$26),"Direct / Target Approach","Flexible / Multi-System"))))))</f>
        <v>Flexible / Multi-System</v>
      </c>
      <c r="AD450" s="21" t="str">
        <f aca="false">'Player Data'!Y450</f>
        <v>2026-07-17</v>
      </c>
      <c r="AE450" s="21" t="str">
        <f aca="false">'Player Data'!Z450</f>
        <v>2026-07-17</v>
      </c>
      <c r="AF450" s="28" t="str">
        <f aca="false">IFERROR(INDEX(Assumptions!$B$30:$B$61,MATCH(C450,Assumptions!$A$30:$A$61,0)),"--")</f>
        <v>Belgium, Portugal</v>
      </c>
      <c r="AG450" s="30" t="str">
        <f aca="false">IF(R450&gt;=0.7,"Step-Up Candidate",IF(R450&gt;=0.4,"Lateral Move","Stay &amp; Develop"))</f>
        <v>Lateral Move</v>
      </c>
    </row>
    <row r="451" customFormat="false" ht="23.85" hidden="false" customHeight="false" outlineLevel="0" collapsed="false">
      <c r="A451" s="21" t="str">
        <f aca="false">'Player Data'!A451</f>
        <v>Sardor Rashidov</v>
      </c>
      <c r="B451" s="21" t="str">
        <f aca="false">'Player Data'!F451</f>
        <v>FW</v>
      </c>
      <c r="C451" s="21" t="str">
        <f aca="false">'Player Data'!B451</f>
        <v>Uzbekistan</v>
      </c>
      <c r="D451" s="21" t="str">
        <f aca="false">'Player Data'!C451</f>
        <v>Uzbekistan Third Tier - North</v>
      </c>
      <c r="E451" s="21" t="n">
        <f aca="false">'Player Data'!D451</f>
        <v>2</v>
      </c>
      <c r="F451" s="21" t="n">
        <f aca="false">'Player Data'!G451</f>
        <v>24</v>
      </c>
      <c r="G451" s="21" t="n">
        <f aca="false">'Player Data'!H451</f>
        <v>967</v>
      </c>
      <c r="H451" s="22" t="n">
        <f aca="false">IF(B451="GK",IFERROR(('Player Data'!N451-1.5*'Player Data'!O451)/'Player Data'!H451*90,0),IFERROR(('Player Data'!I451+'Player Data'!J451)/'Player Data'!H451*90,0))</f>
        <v>1.76835573940021</v>
      </c>
      <c r="I451" s="22" t="n">
        <f aca="false">IF(B451="GK",'Player Data'!P451,IFERROR(('Player Data'!K451+'Player Data'!L451)/'Player Data'!H451*90,0))</f>
        <v>13.6814891416753</v>
      </c>
      <c r="J451" s="22" t="n">
        <f aca="false">IF(B451="GK",IFERROR('Player Data'!Q451/'Player Data'!H451*90,0),IFERROR('Player Data'!M451/'Player Data'!H451*90,0))</f>
        <v>1.39607032057911</v>
      </c>
      <c r="K451" s="23" t="n">
        <f aca="false">'Player Data'!S451</f>
        <v>12202</v>
      </c>
      <c r="L451" s="22" t="n">
        <f aca="false">INDEX(Assumptions!$B$13:$B$15,MATCH(E451,Assumptions!$A$13:$A$15,0))</f>
        <v>1</v>
      </c>
      <c r="M451" s="24" t="n">
        <f aca="false">IFERROR(SUMPRODUCT(($B$2:$B$1001=B451)*($H$2:$H$1001&lt;=H451))/SUMPRODUCT(($B$2:$B$1001=B451)*1),0)</f>
        <v>0.911504424778761</v>
      </c>
      <c r="N451" s="24" t="n">
        <f aca="false">IFERROR(SUMPRODUCT(($B$2:$B$1001=B451)*($I$2:$I$1001&lt;=I451))/SUMPRODUCT(($B$2:$B$1001=B451)*1),0)</f>
        <v>0.955752212389381</v>
      </c>
      <c r="O451" s="24" t="n">
        <f aca="false">IFERROR(SUMPRODUCT(($B$2:$B$1001=B451)*($J$2:$J$1001&lt;=J451))/SUMPRODUCT(($B$2:$B$1001=B451)*1),0)</f>
        <v>0.973451327433628</v>
      </c>
      <c r="P451" s="24" t="n">
        <f aca="false">IFERROR(SUMPRODUCT(($B$2:$B$1001=B451)*((0-$F$2:$F$1001)&lt;=(0-F451)))/SUMPRODUCT(($B$2:$B$1001=B451)*1),0)</f>
        <v>0.305309734513274</v>
      </c>
      <c r="Q451" s="25" t="n">
        <f aca="false">(M451*Assumptions!$B$5+N451*Assumptions!$B$6+O451*Assumptions!$B$7+P451*Assumptions!$B$8)*L451</f>
        <v>0.818141592920354</v>
      </c>
      <c r="R451" s="24" t="n">
        <f aca="false">IFERROR(SUMPRODUCT(($B$2:$B$1001=B451)*($Q$2:$Q$1001&lt;=Q451))/SUMPRODUCT(($B$2:$B$1001=B451)*1),0)</f>
        <v>0.942477876106195</v>
      </c>
      <c r="S451" s="24" t="n">
        <f aca="false">IFERROR(SUMPRODUCT(($B$2:$B$1001=B451)*($K$2:$K$1001&lt;=K451))/SUMPRODUCT(($B$2:$B$1001=B451)*1),0)</f>
        <v>0.283185840707965</v>
      </c>
      <c r="T451" s="26" t="n">
        <f aca="false">(R451-S451)*100</f>
        <v>65.929203539823</v>
      </c>
      <c r="U451" s="21" t="str">
        <f aca="false">'Player Data'!T451</f>
        <v>No</v>
      </c>
      <c r="V451" s="27" t="n">
        <f aca="false">'Player Data'!U451</f>
        <v>2028</v>
      </c>
      <c r="W451" s="21" t="str">
        <f aca="false">IF(AND(T451&gt;=Assumptions!$B$19,U451="No"),"High Priority - Unrepresented",IF(T451&gt;=Assumptions!$B$19,"High Priority",IF(AND(T451&gt;=Assumptions!$B$20,U451="No"),"Watchlist - Unrepresented",IF(T451&gt;=Assumptions!$B$20,"Watchlist",""))))</f>
        <v>High Priority - Unrepresented</v>
      </c>
      <c r="X451" s="21" t="str">
        <f aca="false">'Player Data'!V451</f>
        <v>info@andijanunited.uz</v>
      </c>
      <c r="Y451" s="28" t="str">
        <f aca="false">'Player Data'!W451</f>
        <v>Club sporting director / first-team office</v>
      </c>
      <c r="Z451" s="28" t="str">
        <f aca="false">'Player Data'!X451</f>
        <v>UFF (Uzbekistan Football Federation) player registry</v>
      </c>
      <c r="AA451" s="19" t="str">
        <f aca="false">HYPERLINK("https://www.transfermarkt.com/schnellsuche/ergebnis/schnellsuche?query="&amp;SUBSTITUTE(A451," ","+"),"Search Transfermarkt")</f>
        <v>Search Transfermarkt</v>
      </c>
      <c r="AB451" s="29" t="n">
        <f aca="false">IFERROR('Player Data'!K451/('Player Data'!K451+'Player Data'!L451),0)</f>
        <v>0.326530612244898</v>
      </c>
      <c r="AC451" s="21" t="str">
        <f aca="false">IF(B451="GK",IF(AND(O451&gt;=Assumptions!$B$23,N451&gt;=Assumptions!$B$23),"Sweeper-Keeper / Build-from-the-Back",IF(O451&gt;=Assumptions!$B$23,"Sweeper-Keeper / High Line",IF(M451&gt;=Assumptions!$B$23,"Shot-Stopper / Traditional","Flexible / Multi-System"))),IF(AND(O451&gt;=Assumptions!$B$23,P451&gt;=Assumptions!$B$24),"High Press / Gegenpressing",IF(AND(N451&gt;=Assumptions!$B$23,AB451&gt;=Assumptions!$B$25),"Possession / Build-from-the-Back",IF(N451&gt;=Assumptions!$B$23,"Counter-Attack / Transition",IF(AND(O451&gt;=Assumptions!$B$23,N451&lt;Assumptions!$B$26),"Low Block / Park the Bus",IF(AND(B451="FW",M451&gt;=Assumptions!$B$23,N451&lt;Assumptions!$B$26),"Direct / Target Approach","Flexible / Multi-System"))))))</f>
        <v>Counter-Attack / Transition</v>
      </c>
      <c r="AD451" s="21" t="str">
        <f aca="false">'Player Data'!Y451</f>
        <v>2026-07-17</v>
      </c>
      <c r="AE451" s="21" t="str">
        <f aca="false">'Player Data'!Z451</f>
        <v>2026-07-17</v>
      </c>
      <c r="AF451" s="28" t="str">
        <f aca="false">IFERROR(INDEX(Assumptions!$B$30:$B$61,MATCH(C451,Assumptions!$A$30:$A$61,0)),"--")</f>
        <v>Turkey, Saudi Arabia</v>
      </c>
      <c r="AG451" s="30" t="str">
        <f aca="false">IF(R451&gt;=0.7,"Step-Up Candidate",IF(R451&gt;=0.4,"Lateral Move","Stay &amp; Develop"))</f>
        <v>Step-Up Candidate</v>
      </c>
    </row>
    <row r="452" customFormat="false" ht="23.85" hidden="false" customHeight="false" outlineLevel="0" collapsed="false">
      <c r="A452" s="21" t="str">
        <f aca="false">'Player Data'!A452</f>
        <v>Jose Vargas</v>
      </c>
      <c r="B452" s="21" t="str">
        <f aca="false">'Player Data'!F452</f>
        <v>FW</v>
      </c>
      <c r="C452" s="21" t="str">
        <f aca="false">'Player Data'!B452</f>
        <v>Costa Rica</v>
      </c>
      <c r="D452" s="21" t="str">
        <f aca="false">'Player Data'!C452</f>
        <v>Costa Rica Regional League</v>
      </c>
      <c r="E452" s="21" t="n">
        <f aca="false">'Player Data'!D452</f>
        <v>2</v>
      </c>
      <c r="F452" s="21" t="n">
        <f aca="false">'Player Data'!G452</f>
        <v>20</v>
      </c>
      <c r="G452" s="21" t="n">
        <f aca="false">'Player Data'!H452</f>
        <v>2349</v>
      </c>
      <c r="H452" s="22" t="n">
        <f aca="false">IF(B452="GK",IFERROR(('Player Data'!N452-1.5*'Player Data'!O452)/'Player Data'!H452*90,0),IFERROR(('Player Data'!I452+'Player Data'!J452)/'Player Data'!H452*90,0))</f>
        <v>0.804597701149425</v>
      </c>
      <c r="I452" s="22" t="n">
        <f aca="false">IF(B452="GK",'Player Data'!P452,IFERROR(('Player Data'!K452+'Player Data'!L452)/'Player Data'!H452*90,0))</f>
        <v>4.90421455938697</v>
      </c>
      <c r="J452" s="22" t="n">
        <f aca="false">IF(B452="GK",IFERROR('Player Data'!Q452/'Player Data'!H452*90,0),IFERROR('Player Data'!M452/'Player Data'!H452*90,0))</f>
        <v>0.229885057471264</v>
      </c>
      <c r="K452" s="23" t="n">
        <f aca="false">'Player Data'!S452</f>
        <v>62542</v>
      </c>
      <c r="L452" s="22" t="n">
        <f aca="false">INDEX(Assumptions!$B$13:$B$15,MATCH(E452,Assumptions!$A$13:$A$15,0))</f>
        <v>1</v>
      </c>
      <c r="M452" s="24" t="n">
        <f aca="false">IFERROR(SUMPRODUCT(($B$2:$B$1001=B452)*($H$2:$H$1001&lt;=H452))/SUMPRODUCT(($B$2:$B$1001=B452)*1),0)</f>
        <v>0.314159292035398</v>
      </c>
      <c r="N452" s="24" t="n">
        <f aca="false">IFERROR(SUMPRODUCT(($B$2:$B$1001=B452)*($I$2:$I$1001&lt;=I452))/SUMPRODUCT(($B$2:$B$1001=B452)*1),0)</f>
        <v>0.199115044247788</v>
      </c>
      <c r="O452" s="24" t="n">
        <f aca="false">IFERROR(SUMPRODUCT(($B$2:$B$1001=B452)*($J$2:$J$1001&lt;=J452))/SUMPRODUCT(($B$2:$B$1001=B452)*1),0)</f>
        <v>0.0707964601769912</v>
      </c>
      <c r="P452" s="24" t="n">
        <f aca="false">IFERROR(SUMPRODUCT(($B$2:$B$1001=B452)*((0-$F$2:$F$1001)&lt;=(0-F452)))/SUMPRODUCT(($B$2:$B$1001=B452)*1),0)</f>
        <v>0.712389380530973</v>
      </c>
      <c r="Q452" s="25" t="n">
        <f aca="false">(M452*Assumptions!$B$5+N452*Assumptions!$B$6+O452*Assumptions!$B$7+P452*Assumptions!$B$8)*L452</f>
        <v>0.304867256637168</v>
      </c>
      <c r="R452" s="24" t="n">
        <f aca="false">IFERROR(SUMPRODUCT(($B$2:$B$1001=B452)*($Q$2:$Q$1001&lt;=Q452))/SUMPRODUCT(($B$2:$B$1001=B452)*1),0)</f>
        <v>0.278761061946903</v>
      </c>
      <c r="S452" s="24" t="n">
        <f aca="false">IFERROR(SUMPRODUCT(($B$2:$B$1001=B452)*($K$2:$K$1001&lt;=K452))/SUMPRODUCT(($B$2:$B$1001=B452)*1),0)</f>
        <v>0.517699115044248</v>
      </c>
      <c r="T452" s="26" t="n">
        <f aca="false">(R452-S452)*100</f>
        <v>-23.8938053097345</v>
      </c>
      <c r="U452" s="21" t="str">
        <f aca="false">'Player Data'!T452</f>
        <v>No</v>
      </c>
      <c r="V452" s="27" t="n">
        <f aca="false">'Player Data'!U452</f>
        <v>2027</v>
      </c>
      <c r="W452" s="21" t="str">
        <f aca="false">IF(AND(T452&gt;=Assumptions!$B$19,U452="No"),"High Priority - Unrepresented",IF(T452&gt;=Assumptions!$B$19,"High Priority",IF(AND(T452&gt;=Assumptions!$B$20,U452="No"),"Watchlist - Unrepresented",IF(T452&gt;=Assumptions!$B$20,"Watchlist",""))))</f>
        <v/>
      </c>
      <c r="X452" s="21" t="str">
        <f aca="false">'Player Data'!V452</f>
        <v>info@cartagotown.cr</v>
      </c>
      <c r="Y452" s="28" t="str">
        <f aca="false">'Player Data'!W452</f>
        <v>Club sporting director / first-team office</v>
      </c>
      <c r="Z452" s="28" t="str">
        <f aca="false">'Player Data'!X452</f>
        <v>FEDEFUTBOL (Costa Rican Football Federation) player registry</v>
      </c>
      <c r="AA452" s="19" t="str">
        <f aca="false">HYPERLINK("https://www.transfermarkt.com/schnellsuche/ergebnis/schnellsuche?query="&amp;SUBSTITUTE(A452," ","+"),"Search Transfermarkt")</f>
        <v>Search Transfermarkt</v>
      </c>
      <c r="AB452" s="29" t="n">
        <f aca="false">IFERROR('Player Data'!K452/('Player Data'!K452+'Player Data'!L452),0)</f>
        <v>0.28125</v>
      </c>
      <c r="AC452" s="21" t="str">
        <f aca="false">IF(B452="GK",IF(AND(O452&gt;=Assumptions!$B$23,N452&gt;=Assumptions!$B$23),"Sweeper-Keeper / Build-from-the-Back",IF(O452&gt;=Assumptions!$B$23,"Sweeper-Keeper / High Line",IF(M452&gt;=Assumptions!$B$23,"Shot-Stopper / Traditional","Flexible / Multi-System"))),IF(AND(O452&gt;=Assumptions!$B$23,P452&gt;=Assumptions!$B$24),"High Press / Gegenpressing",IF(AND(N452&gt;=Assumptions!$B$23,AB452&gt;=Assumptions!$B$25),"Possession / Build-from-the-Back",IF(N452&gt;=Assumptions!$B$23,"Counter-Attack / Transition",IF(AND(O452&gt;=Assumptions!$B$23,N452&lt;Assumptions!$B$26),"Low Block / Park the Bus",IF(AND(B452="FW",M452&gt;=Assumptions!$B$23,N452&lt;Assumptions!$B$26),"Direct / Target Approach","Flexible / Multi-System"))))))</f>
        <v>Flexible / Multi-System</v>
      </c>
      <c r="AD452" s="21" t="str">
        <f aca="false">'Player Data'!Y452</f>
        <v>2026-07-17</v>
      </c>
      <c r="AE452" s="21" t="str">
        <f aca="false">'Player Data'!Z452</f>
        <v>2026-07-17</v>
      </c>
      <c r="AF452" s="28" t="str">
        <f aca="false">IFERROR(INDEX(Assumptions!$B$30:$B$61,MATCH(C452,Assumptions!$A$30:$A$61,0)),"--")</f>
        <v>Mexico, United States</v>
      </c>
      <c r="AG452" s="30" t="str">
        <f aca="false">IF(R452&gt;=0.7,"Step-Up Candidate",IF(R452&gt;=0.4,"Lateral Move","Stay &amp; Develop"))</f>
        <v>Stay &amp; Develop</v>
      </c>
    </row>
    <row r="453" customFormat="false" ht="23.85" hidden="false" customHeight="false" outlineLevel="0" collapsed="false">
      <c r="A453" s="21" t="str">
        <f aca="false">'Player Data'!A453</f>
        <v>Bakary Coulibaly</v>
      </c>
      <c r="B453" s="21" t="str">
        <f aca="false">'Player Data'!F453</f>
        <v>MF</v>
      </c>
      <c r="C453" s="21" t="str">
        <f aca="false">'Player Data'!B453</f>
        <v>Mali</v>
      </c>
      <c r="D453" s="21" t="str">
        <f aca="false">'Player Data'!C453</f>
        <v>Mali Regional League</v>
      </c>
      <c r="E453" s="21" t="n">
        <f aca="false">'Player Data'!D453</f>
        <v>2</v>
      </c>
      <c r="F453" s="21" t="n">
        <f aca="false">'Player Data'!G453</f>
        <v>19</v>
      </c>
      <c r="G453" s="21" t="n">
        <f aca="false">'Player Data'!H453</f>
        <v>2220</v>
      </c>
      <c r="H453" s="22" t="n">
        <f aca="false">IF(B453="GK",IFERROR(('Player Data'!N453-1.5*'Player Data'!O453)/'Player Data'!H453*90,0),IFERROR(('Player Data'!I453+'Player Data'!J453)/'Player Data'!H453*90,0))</f>
        <v>0.608108108108108</v>
      </c>
      <c r="I453" s="22" t="n">
        <f aca="false">IF(B453="GK",'Player Data'!P453,IFERROR(('Player Data'!K453+'Player Data'!L453)/'Player Data'!H453*90,0))</f>
        <v>9.40540540540541</v>
      </c>
      <c r="J453" s="22" t="n">
        <f aca="false">IF(B453="GK",IFERROR('Player Data'!Q453/'Player Data'!H453*90,0),IFERROR('Player Data'!M453/'Player Data'!H453*90,0))</f>
        <v>1.2972972972973</v>
      </c>
      <c r="K453" s="23" t="n">
        <f aca="false">'Player Data'!S453</f>
        <v>87101</v>
      </c>
      <c r="L453" s="22" t="n">
        <f aca="false">INDEX(Assumptions!$B$13:$B$15,MATCH(E453,Assumptions!$A$13:$A$15,0))</f>
        <v>1</v>
      </c>
      <c r="M453" s="24" t="n">
        <f aca="false">IFERROR(SUMPRODUCT(($B$2:$B$1001=B453)*($H$2:$H$1001&lt;=H453))/SUMPRODUCT(($B$2:$B$1001=B453)*1),0)</f>
        <v>0.34006734006734</v>
      </c>
      <c r="N453" s="24" t="n">
        <f aca="false">IFERROR(SUMPRODUCT(($B$2:$B$1001=B453)*($I$2:$I$1001&lt;=I453))/SUMPRODUCT(($B$2:$B$1001=B453)*1),0)</f>
        <v>0.356902356902357</v>
      </c>
      <c r="O453" s="24" t="n">
        <f aca="false">IFERROR(SUMPRODUCT(($B$2:$B$1001=B453)*($J$2:$J$1001&lt;=J453))/SUMPRODUCT(($B$2:$B$1001=B453)*1),0)</f>
        <v>0.0909090909090909</v>
      </c>
      <c r="P453" s="24" t="n">
        <f aca="false">IFERROR(SUMPRODUCT(($B$2:$B$1001=B453)*((0-$F$2:$F$1001)&lt;=(0-F453)))/SUMPRODUCT(($B$2:$B$1001=B453)*1),0)</f>
        <v>0.868686868686869</v>
      </c>
      <c r="Q453" s="25" t="n">
        <f aca="false">(M453*Assumptions!$B$5+N453*Assumptions!$B$6+O453*Assumptions!$B$7+P453*Assumptions!$B$8)*L453</f>
        <v>0.401851851851852</v>
      </c>
      <c r="R453" s="24" t="n">
        <f aca="false">IFERROR(SUMPRODUCT(($B$2:$B$1001=B453)*($Q$2:$Q$1001&lt;=Q453))/SUMPRODUCT(($B$2:$B$1001=B453)*1),0)</f>
        <v>0.420875420875421</v>
      </c>
      <c r="S453" s="24" t="n">
        <f aca="false">IFERROR(SUMPRODUCT(($B$2:$B$1001=B453)*($K$2:$K$1001&lt;=K453))/SUMPRODUCT(($B$2:$B$1001=B453)*1),0)</f>
        <v>0.683501683501684</v>
      </c>
      <c r="T453" s="26" t="n">
        <f aca="false">(R453-S453)*100</f>
        <v>-26.2626262626263</v>
      </c>
      <c r="U453" s="21" t="str">
        <f aca="false">'Player Data'!T453</f>
        <v>Unknown</v>
      </c>
      <c r="V453" s="27" t="n">
        <f aca="false">'Player Data'!U453</f>
        <v>2028</v>
      </c>
      <c r="W453" s="21" t="str">
        <f aca="false">IF(AND(T453&gt;=Assumptions!$B$19,U453="No"),"High Priority - Unrepresented",IF(T453&gt;=Assumptions!$B$19,"High Priority",IF(AND(T453&gt;=Assumptions!$B$20,U453="No"),"Watchlist - Unrepresented",IF(T453&gt;=Assumptions!$B$20,"Watchlist",""))))</f>
        <v/>
      </c>
      <c r="X453" s="21" t="str">
        <f aca="false">'Player Data'!V453</f>
        <v>info@sikassofc.ml</v>
      </c>
      <c r="Y453" s="28" t="str">
        <f aca="false">'Player Data'!W453</f>
        <v>Club sporting director / first-team office</v>
      </c>
      <c r="Z453" s="28" t="str">
        <f aca="false">'Player Data'!X453</f>
        <v>FEMAFOOT (Malian Football Federation) player registry</v>
      </c>
      <c r="AA453" s="19" t="str">
        <f aca="false">HYPERLINK("https://www.transfermarkt.com/schnellsuche/ergebnis/schnellsuche?query="&amp;SUBSTITUTE(A453," ","+"),"Search Transfermarkt")</f>
        <v>Search Transfermarkt</v>
      </c>
      <c r="AB453" s="29" t="n">
        <f aca="false">IFERROR('Player Data'!K453/('Player Data'!K453+'Player Data'!L453),0)</f>
        <v>0.71551724137931</v>
      </c>
      <c r="AC453" s="21" t="str">
        <f aca="false">IF(B453="GK",IF(AND(O453&gt;=Assumptions!$B$23,N453&gt;=Assumptions!$B$23),"Sweeper-Keeper / Build-from-the-Back",IF(O453&gt;=Assumptions!$B$23,"Sweeper-Keeper / High Line",IF(M453&gt;=Assumptions!$B$23,"Shot-Stopper / Traditional","Flexible / Multi-System"))),IF(AND(O453&gt;=Assumptions!$B$23,P453&gt;=Assumptions!$B$24),"High Press / Gegenpressing",IF(AND(N453&gt;=Assumptions!$B$23,AB453&gt;=Assumptions!$B$25),"Possession / Build-from-the-Back",IF(N453&gt;=Assumptions!$B$23,"Counter-Attack / Transition",IF(AND(O453&gt;=Assumptions!$B$23,N453&lt;Assumptions!$B$26),"Low Block / Park the Bus",IF(AND(B453="FW",M453&gt;=Assumptions!$B$23,N453&lt;Assumptions!$B$26),"Direct / Target Approach","Flexible / Multi-System"))))))</f>
        <v>Flexible / Multi-System</v>
      </c>
      <c r="AD453" s="21" t="str">
        <f aca="false">'Player Data'!Y453</f>
        <v>2026-07-17</v>
      </c>
      <c r="AE453" s="21" t="str">
        <f aca="false">'Player Data'!Z453</f>
        <v>2026-07-17</v>
      </c>
      <c r="AF453" s="28" t="str">
        <f aca="false">IFERROR(INDEX(Assumptions!$B$30:$B$61,MATCH(C453,Assumptions!$A$30:$A$61,0)),"--")</f>
        <v>Belgium, Portugal</v>
      </c>
      <c r="AG453" s="30" t="str">
        <f aca="false">IF(R453&gt;=0.7,"Step-Up Candidate",IF(R453&gt;=0.4,"Lateral Move","Stay &amp; Develop"))</f>
        <v>Lateral Move</v>
      </c>
    </row>
    <row r="454" customFormat="false" ht="23.85" hidden="false" customHeight="false" outlineLevel="0" collapsed="false">
      <c r="A454" s="21" t="str">
        <f aca="false">'Player Data'!A454</f>
        <v>Milos Vukotic</v>
      </c>
      <c r="B454" s="21" t="str">
        <f aca="false">'Player Data'!F454</f>
        <v>MF</v>
      </c>
      <c r="C454" s="21" t="str">
        <f aca="false">'Player Data'!B454</f>
        <v>Montenegro</v>
      </c>
      <c r="D454" s="21" t="str">
        <f aca="false">'Player Data'!C454</f>
        <v>Montenegro Second Division - East</v>
      </c>
      <c r="E454" s="21" t="n">
        <f aca="false">'Player Data'!D454</f>
        <v>3</v>
      </c>
      <c r="F454" s="21" t="n">
        <f aca="false">'Player Data'!G454</f>
        <v>20</v>
      </c>
      <c r="G454" s="21" t="n">
        <f aca="false">'Player Data'!H454</f>
        <v>2094</v>
      </c>
      <c r="H454" s="22" t="n">
        <f aca="false">IF(B454="GK",IFERROR(('Player Data'!N454-1.5*'Player Data'!O454)/'Player Data'!H454*90,0),IFERROR(('Player Data'!I454+'Player Data'!J454)/'Player Data'!H454*90,0))</f>
        <v>0.730659025787966</v>
      </c>
      <c r="I454" s="22" t="n">
        <f aca="false">IF(B454="GK",'Player Data'!P454,IFERROR(('Player Data'!K454+'Player Data'!L454)/'Player Data'!H454*90,0))</f>
        <v>9.45558739255014</v>
      </c>
      <c r="J454" s="22" t="n">
        <f aca="false">IF(B454="GK",IFERROR('Player Data'!Q454/'Player Data'!H454*90,0),IFERROR('Player Data'!M454/'Player Data'!H454*90,0))</f>
        <v>2.1919770773639</v>
      </c>
      <c r="K454" s="23" t="n">
        <f aca="false">'Player Data'!S454</f>
        <v>50717</v>
      </c>
      <c r="L454" s="22" t="n">
        <f aca="false">INDEX(Assumptions!$B$13:$B$15,MATCH(E454,Assumptions!$A$13:$A$15,0))</f>
        <v>0.85</v>
      </c>
      <c r="M454" s="24" t="n">
        <f aca="false">IFERROR(SUMPRODUCT(($B$2:$B$1001=B454)*($H$2:$H$1001&lt;=H454))/SUMPRODUCT(($B$2:$B$1001=B454)*1),0)</f>
        <v>0.491582491582492</v>
      </c>
      <c r="N454" s="24" t="n">
        <f aca="false">IFERROR(SUMPRODUCT(($B$2:$B$1001=B454)*($I$2:$I$1001&lt;=I454))/SUMPRODUCT(($B$2:$B$1001=B454)*1),0)</f>
        <v>0.363636363636364</v>
      </c>
      <c r="O454" s="24" t="n">
        <f aca="false">IFERROR(SUMPRODUCT(($B$2:$B$1001=B454)*($J$2:$J$1001&lt;=J454))/SUMPRODUCT(($B$2:$B$1001=B454)*1),0)</f>
        <v>0.501683501683502</v>
      </c>
      <c r="P454" s="24" t="n">
        <f aca="false">IFERROR(SUMPRODUCT(($B$2:$B$1001=B454)*((0-$F$2:$F$1001)&lt;=(0-F454)))/SUMPRODUCT(($B$2:$B$1001=B454)*1),0)</f>
        <v>0.734006734006734</v>
      </c>
      <c r="Q454" s="25" t="n">
        <f aca="false">(M454*Assumptions!$B$5+N454*Assumptions!$B$6+O454*Assumptions!$B$7+P454*Assumptions!$B$8)*L454</f>
        <v>0.422710437710438</v>
      </c>
      <c r="R454" s="24" t="n">
        <f aca="false">IFERROR(SUMPRODUCT(($B$2:$B$1001=B454)*($Q$2:$Q$1001&lt;=Q454))/SUMPRODUCT(($B$2:$B$1001=B454)*1),0)</f>
        <v>0.471380471380471</v>
      </c>
      <c r="S454" s="24" t="n">
        <f aca="false">IFERROR(SUMPRODUCT(($B$2:$B$1001=B454)*($K$2:$K$1001&lt;=K454))/SUMPRODUCT(($B$2:$B$1001=B454)*1),0)</f>
        <v>0.464646464646465</v>
      </c>
      <c r="T454" s="26" t="n">
        <f aca="false">(R454-S454)*100</f>
        <v>0.673400673400676</v>
      </c>
      <c r="U454" s="21" t="str">
        <f aca="false">'Player Data'!T454</f>
        <v>No</v>
      </c>
      <c r="V454" s="27" t="n">
        <f aca="false">'Player Data'!U454</f>
        <v>2027</v>
      </c>
      <c r="W454" s="21" t="str">
        <f aca="false">IF(AND(T454&gt;=Assumptions!$B$19,U454="No"),"High Priority - Unrepresented",IF(T454&gt;=Assumptions!$B$19,"High Priority",IF(AND(T454&gt;=Assumptions!$B$20,U454="No"),"Watchlist - Unrepresented",IF(T454&gt;=Assumptions!$B$20,"Watchlist",""))))</f>
        <v/>
      </c>
      <c r="X454" s="21" t="str">
        <f aca="false">'Player Data'!V454</f>
        <v>info@budvarangers.me</v>
      </c>
      <c r="Y454" s="28" t="str">
        <f aca="false">'Player Data'!W454</f>
        <v>Club sporting director / first-team office</v>
      </c>
      <c r="Z454" s="28" t="str">
        <f aca="false">'Player Data'!X454</f>
        <v>FSCG (Football Association of Montenegro) player registry</v>
      </c>
      <c r="AA454" s="19" t="str">
        <f aca="false">HYPERLINK("https://www.transfermarkt.com/schnellsuche/ergebnis/schnellsuche?query="&amp;SUBSTITUTE(A454," ","+"),"Search Transfermarkt")</f>
        <v>Search Transfermarkt</v>
      </c>
      <c r="AB454" s="29" t="n">
        <f aca="false">IFERROR('Player Data'!K454/('Player Data'!K454+'Player Data'!L454),0)</f>
        <v>0.65</v>
      </c>
      <c r="AC454" s="21" t="str">
        <f aca="false">IF(B454="GK",IF(AND(O454&gt;=Assumptions!$B$23,N454&gt;=Assumptions!$B$23),"Sweeper-Keeper / Build-from-the-Back",IF(O454&gt;=Assumptions!$B$23,"Sweeper-Keeper / High Line",IF(M454&gt;=Assumptions!$B$23,"Shot-Stopper / Traditional","Flexible / Multi-System"))),IF(AND(O454&gt;=Assumptions!$B$23,P454&gt;=Assumptions!$B$24),"High Press / Gegenpressing",IF(AND(N454&gt;=Assumptions!$B$23,AB454&gt;=Assumptions!$B$25),"Possession / Build-from-the-Back",IF(N454&gt;=Assumptions!$B$23,"Counter-Attack / Transition",IF(AND(O454&gt;=Assumptions!$B$23,N454&lt;Assumptions!$B$26),"Low Block / Park the Bus",IF(AND(B454="FW",M454&gt;=Assumptions!$B$23,N454&lt;Assumptions!$B$26),"Direct / Target Approach","Flexible / Multi-System"))))))</f>
        <v>Flexible / Multi-System</v>
      </c>
      <c r="AD454" s="21" t="str">
        <f aca="false">'Player Data'!Y454</f>
        <v>2026-07-17</v>
      </c>
      <c r="AE454" s="21" t="str">
        <f aca="false">'Player Data'!Z454</f>
        <v>2026-07-17</v>
      </c>
      <c r="AF454" s="28" t="str">
        <f aca="false">IFERROR(INDEX(Assumptions!$B$30:$B$61,MATCH(C454,Assumptions!$A$30:$A$61,0)),"--")</f>
        <v>Austria, Turkey</v>
      </c>
      <c r="AG454" s="30" t="str">
        <f aca="false">IF(R454&gt;=0.7,"Step-Up Candidate",IF(R454&gt;=0.4,"Lateral Move","Stay &amp; Develop"))</f>
        <v>Lateral Move</v>
      </c>
    </row>
    <row r="455" customFormat="false" ht="23.85" hidden="false" customHeight="false" outlineLevel="0" collapsed="false">
      <c r="A455" s="21" t="str">
        <f aca="false">'Player Data'!A455</f>
        <v>Jan Kranjc</v>
      </c>
      <c r="B455" s="21" t="str">
        <f aca="false">'Player Data'!F455</f>
        <v>MF</v>
      </c>
      <c r="C455" s="21" t="str">
        <f aca="false">'Player Data'!B455</f>
        <v>Slovenia</v>
      </c>
      <c r="D455" s="21" t="str">
        <f aca="false">'Player Data'!C455</f>
        <v>Slovenia Provincial League</v>
      </c>
      <c r="E455" s="21" t="n">
        <f aca="false">'Player Data'!D455</f>
        <v>2</v>
      </c>
      <c r="F455" s="21" t="n">
        <f aca="false">'Player Data'!G455</f>
        <v>24</v>
      </c>
      <c r="G455" s="21" t="n">
        <f aca="false">'Player Data'!H455</f>
        <v>2480</v>
      </c>
      <c r="H455" s="22" t="n">
        <f aca="false">IF(B455="GK",IFERROR(('Player Data'!N455-1.5*'Player Data'!O455)/'Player Data'!H455*90,0),IFERROR(('Player Data'!I455+'Player Data'!J455)/'Player Data'!H455*90,0))</f>
        <v>0.544354838709677</v>
      </c>
      <c r="I455" s="22" t="n">
        <f aca="false">IF(B455="GK",'Player Data'!P455,IFERROR(('Player Data'!K455+'Player Data'!L455)/'Player Data'!H455*90,0))</f>
        <v>7.04032258064516</v>
      </c>
      <c r="J455" s="22" t="n">
        <f aca="false">IF(B455="GK",IFERROR('Player Data'!Q455/'Player Data'!H455*90,0),IFERROR('Player Data'!M455/'Player Data'!H455*90,0))</f>
        <v>1.99596774193548</v>
      </c>
      <c r="K455" s="23" t="n">
        <f aca="false">'Player Data'!S455</f>
        <v>65932</v>
      </c>
      <c r="L455" s="22" t="n">
        <f aca="false">INDEX(Assumptions!$B$13:$B$15,MATCH(E455,Assumptions!$A$13:$A$15,0))</f>
        <v>1</v>
      </c>
      <c r="M455" s="24" t="n">
        <f aca="false">IFERROR(SUMPRODUCT(($B$2:$B$1001=B455)*($H$2:$H$1001&lt;=H455))/SUMPRODUCT(($B$2:$B$1001=B455)*1),0)</f>
        <v>0.259259259259259</v>
      </c>
      <c r="N455" s="24" t="n">
        <f aca="false">IFERROR(SUMPRODUCT(($B$2:$B$1001=B455)*($I$2:$I$1001&lt;=I455))/SUMPRODUCT(($B$2:$B$1001=B455)*1),0)</f>
        <v>0.0673400673400673</v>
      </c>
      <c r="O455" s="24" t="n">
        <f aca="false">IFERROR(SUMPRODUCT(($B$2:$B$1001=B455)*($J$2:$J$1001&lt;=J455))/SUMPRODUCT(($B$2:$B$1001=B455)*1),0)</f>
        <v>0.417508417508418</v>
      </c>
      <c r="P455" s="24" t="n">
        <f aca="false">IFERROR(SUMPRODUCT(($B$2:$B$1001=B455)*((0-$F$2:$F$1001)&lt;=(0-F455)))/SUMPRODUCT(($B$2:$B$1001=B455)*1),0)</f>
        <v>0.326599326599327</v>
      </c>
      <c r="Q455" s="25" t="n">
        <f aca="false">(M455*Assumptions!$B$5+N455*Assumptions!$B$6+O455*Assumptions!$B$7+P455*Assumptions!$B$8)*L455</f>
        <v>0.237205387205387</v>
      </c>
      <c r="R455" s="24" t="n">
        <f aca="false">IFERROR(SUMPRODUCT(($B$2:$B$1001=B455)*($Q$2:$Q$1001&lt;=Q455))/SUMPRODUCT(($B$2:$B$1001=B455)*1),0)</f>
        <v>0.154882154882155</v>
      </c>
      <c r="S455" s="24" t="n">
        <f aca="false">IFERROR(SUMPRODUCT(($B$2:$B$1001=B455)*($K$2:$K$1001&lt;=K455))/SUMPRODUCT(($B$2:$B$1001=B455)*1),0)</f>
        <v>0.545454545454545</v>
      </c>
      <c r="T455" s="26" t="n">
        <f aca="false">(R455-S455)*100</f>
        <v>-39.0572390572391</v>
      </c>
      <c r="U455" s="21" t="str">
        <f aca="false">'Player Data'!T455</f>
        <v>No</v>
      </c>
      <c r="V455" s="27" t="n">
        <f aca="false">'Player Data'!U455</f>
        <v>2029</v>
      </c>
      <c r="W455" s="21" t="str">
        <f aca="false">IF(AND(T455&gt;=Assumptions!$B$19,U455="No"),"High Priority - Unrepresented",IF(T455&gt;=Assumptions!$B$19,"High Priority",IF(AND(T455&gt;=Assumptions!$B$20,U455="No"),"Watchlist - Unrepresented",IF(T455&gt;=Assumptions!$B$20,"Watchlist",""))))</f>
        <v/>
      </c>
      <c r="X455" s="21" t="str">
        <f aca="false">'Player Data'!V455</f>
        <v>info@ljubljanafc.si</v>
      </c>
      <c r="Y455" s="28" t="str">
        <f aca="false">'Player Data'!W455</f>
        <v>Club sporting director / first-team office</v>
      </c>
      <c r="Z455" s="28" t="str">
        <f aca="false">'Player Data'!X455</f>
        <v>NZS (Football Association of Slovenia) player registry</v>
      </c>
      <c r="AA455" s="19" t="str">
        <f aca="false">HYPERLINK("https://www.transfermarkt.com/schnellsuche/ergebnis/schnellsuche?query="&amp;SUBSTITUTE(A455," ","+"),"Search Transfermarkt")</f>
        <v>Search Transfermarkt</v>
      </c>
      <c r="AB455" s="29" t="n">
        <f aca="false">IFERROR('Player Data'!K455/('Player Data'!K455+'Player Data'!L455),0)</f>
        <v>0.608247422680412</v>
      </c>
      <c r="AC455" s="21" t="str">
        <f aca="false">IF(B455="GK",IF(AND(O455&gt;=Assumptions!$B$23,N455&gt;=Assumptions!$B$23),"Sweeper-Keeper / Build-from-the-Back",IF(O455&gt;=Assumptions!$B$23,"Sweeper-Keeper / High Line",IF(M455&gt;=Assumptions!$B$23,"Shot-Stopper / Traditional","Flexible / Multi-System"))),IF(AND(O455&gt;=Assumptions!$B$23,P455&gt;=Assumptions!$B$24),"High Press / Gegenpressing",IF(AND(N455&gt;=Assumptions!$B$23,AB455&gt;=Assumptions!$B$25),"Possession / Build-from-the-Back",IF(N455&gt;=Assumptions!$B$23,"Counter-Attack / Transition",IF(AND(O455&gt;=Assumptions!$B$23,N455&lt;Assumptions!$B$26),"Low Block / Park the Bus",IF(AND(B455="FW",M455&gt;=Assumptions!$B$23,N455&lt;Assumptions!$B$26),"Direct / Target Approach","Flexible / Multi-System"))))))</f>
        <v>Flexible / Multi-System</v>
      </c>
      <c r="AD455" s="21" t="str">
        <f aca="false">'Player Data'!Y455</f>
        <v>2026-07-17</v>
      </c>
      <c r="AE455" s="21" t="str">
        <f aca="false">'Player Data'!Z455</f>
        <v>2026-07-17</v>
      </c>
      <c r="AF455" s="28" t="str">
        <f aca="false">IFERROR(INDEX(Assumptions!$B$30:$B$61,MATCH(C455,Assumptions!$A$30:$A$61,0)),"--")</f>
        <v>Austria, Poland</v>
      </c>
      <c r="AG455" s="30" t="str">
        <f aca="false">IF(R455&gt;=0.7,"Step-Up Candidate",IF(R455&gt;=0.4,"Lateral Move","Stay &amp; Develop"))</f>
        <v>Stay &amp; Develop</v>
      </c>
    </row>
    <row r="456" customFormat="false" ht="23.85" hidden="false" customHeight="false" outlineLevel="0" collapsed="false">
      <c r="A456" s="21" t="str">
        <f aca="false">'Player Data'!A456</f>
        <v>Vuk Nikolic</v>
      </c>
      <c r="B456" s="21" t="str">
        <f aca="false">'Player Data'!F456</f>
        <v>FW</v>
      </c>
      <c r="C456" s="21" t="str">
        <f aca="false">'Player Data'!B456</f>
        <v>Montenegro</v>
      </c>
      <c r="D456" s="21" t="str">
        <f aca="false">'Player Data'!C456</f>
        <v>Montenegro Second Division</v>
      </c>
      <c r="E456" s="21" t="n">
        <f aca="false">'Player Data'!D456</f>
        <v>2</v>
      </c>
      <c r="F456" s="21" t="n">
        <f aca="false">'Player Data'!G456</f>
        <v>20</v>
      </c>
      <c r="G456" s="21" t="n">
        <f aca="false">'Player Data'!H456</f>
        <v>1233</v>
      </c>
      <c r="H456" s="22" t="n">
        <f aca="false">IF(B456="GK",IFERROR(('Player Data'!N456-1.5*'Player Data'!O456)/'Player Data'!H456*90,0),IFERROR(('Player Data'!I456+'Player Data'!J456)/'Player Data'!H456*90,0))</f>
        <v>2.04379562043796</v>
      </c>
      <c r="I456" s="22" t="n">
        <f aca="false">IF(B456="GK",'Player Data'!P456,IFERROR(('Player Data'!K456+'Player Data'!L456)/'Player Data'!H456*90,0))</f>
        <v>10.5839416058394</v>
      </c>
      <c r="J456" s="22" t="n">
        <f aca="false">IF(B456="GK",IFERROR('Player Data'!Q456/'Player Data'!H456*90,0),IFERROR('Player Data'!M456/'Player Data'!H456*90,0))</f>
        <v>0.948905109489051</v>
      </c>
      <c r="K456" s="23" t="n">
        <f aca="false">'Player Data'!S456</f>
        <v>0</v>
      </c>
      <c r="L456" s="22" t="n">
        <f aca="false">INDEX(Assumptions!$B$13:$B$15,MATCH(E456,Assumptions!$A$13:$A$15,0))</f>
        <v>1</v>
      </c>
      <c r="M456" s="24" t="n">
        <f aca="false">IFERROR(SUMPRODUCT(($B$2:$B$1001=B456)*($H$2:$H$1001&lt;=H456))/SUMPRODUCT(($B$2:$B$1001=B456)*1),0)</f>
        <v>0.942477876106195</v>
      </c>
      <c r="N456" s="24" t="n">
        <f aca="false">IFERROR(SUMPRODUCT(($B$2:$B$1001=B456)*($I$2:$I$1001&lt;=I456))/SUMPRODUCT(($B$2:$B$1001=B456)*1),0)</f>
        <v>0.853982300884956</v>
      </c>
      <c r="O456" s="24" t="n">
        <f aca="false">IFERROR(SUMPRODUCT(($B$2:$B$1001=B456)*($J$2:$J$1001&lt;=J456))/SUMPRODUCT(($B$2:$B$1001=B456)*1),0)</f>
        <v>0.871681415929204</v>
      </c>
      <c r="P456" s="24" t="n">
        <f aca="false">IFERROR(SUMPRODUCT(($B$2:$B$1001=B456)*((0-$F$2:$F$1001)&lt;=(0-F456)))/SUMPRODUCT(($B$2:$B$1001=B456)*1),0)</f>
        <v>0.712389380530973</v>
      </c>
      <c r="Q456" s="25" t="n">
        <f aca="false">(M456*Assumptions!$B$5+N456*Assumptions!$B$6+O456*Assumptions!$B$7+P456*Assumptions!$B$8)*L456</f>
        <v>0.851327433628319</v>
      </c>
      <c r="R456" s="24" t="n">
        <f aca="false">IFERROR(SUMPRODUCT(($B$2:$B$1001=B456)*($Q$2:$Q$1001&lt;=Q456))/SUMPRODUCT(($B$2:$B$1001=B456)*1),0)</f>
        <v>0.964601769911504</v>
      </c>
      <c r="S456" s="24" t="n">
        <f aca="false">IFERROR(SUMPRODUCT(($B$2:$B$1001=B456)*($K$2:$K$1001&lt;=K456))/SUMPRODUCT(($B$2:$B$1001=B456)*1),0)</f>
        <v>0.261061946902655</v>
      </c>
      <c r="T456" s="26" t="n">
        <f aca="false">(R456-S456)*100</f>
        <v>70.3539823008849</v>
      </c>
      <c r="U456" s="21" t="str">
        <f aca="false">'Player Data'!T456</f>
        <v>No</v>
      </c>
      <c r="V456" s="27" t="n">
        <f aca="false">'Player Data'!U456</f>
        <v>2029</v>
      </c>
      <c r="W456" s="21" t="str">
        <f aca="false">IF(AND(T456&gt;=Assumptions!$B$19,U456="No"),"High Priority - Unrepresented",IF(T456&gt;=Assumptions!$B$19,"High Priority",IF(AND(T456&gt;=Assumptions!$B$20,U456="No"),"Watchlist - Unrepresented",IF(T456&gt;=Assumptions!$B$20,"Watchlist",""))))</f>
        <v>High Priority - Unrepresented</v>
      </c>
      <c r="X456" s="21" t="str">
        <f aca="false">'Player Data'!V456</f>
        <v>info@budvarangers.me</v>
      </c>
      <c r="Y456" s="28" t="str">
        <f aca="false">'Player Data'!W456</f>
        <v>Club sporting director / first-team office</v>
      </c>
      <c r="Z456" s="28" t="str">
        <f aca="false">'Player Data'!X456</f>
        <v>FSCG (Football Association of Montenegro) player registry</v>
      </c>
      <c r="AA456" s="19" t="str">
        <f aca="false">HYPERLINK("https://www.transfermarkt.com/schnellsuche/ergebnis/schnellsuche?query="&amp;SUBSTITUTE(A456," ","+"),"Search Transfermarkt")</f>
        <v>Search Transfermarkt</v>
      </c>
      <c r="AB456" s="29" t="n">
        <f aca="false">IFERROR('Player Data'!K456/('Player Data'!K456+'Player Data'!L456),0)</f>
        <v>0.296551724137931</v>
      </c>
      <c r="AC456" s="21" t="str">
        <f aca="false">IF(B456="GK",IF(AND(O456&gt;=Assumptions!$B$23,N456&gt;=Assumptions!$B$23),"Sweeper-Keeper / Build-from-the-Back",IF(O456&gt;=Assumptions!$B$23,"Sweeper-Keeper / High Line",IF(M456&gt;=Assumptions!$B$23,"Shot-Stopper / Traditional","Flexible / Multi-System"))),IF(AND(O456&gt;=Assumptions!$B$23,P456&gt;=Assumptions!$B$24),"High Press / Gegenpressing",IF(AND(N456&gt;=Assumptions!$B$23,AB456&gt;=Assumptions!$B$25),"Possession / Build-from-the-Back",IF(N456&gt;=Assumptions!$B$23,"Counter-Attack / Transition",IF(AND(O456&gt;=Assumptions!$B$23,N456&lt;Assumptions!$B$26),"Low Block / Park the Bus",IF(AND(B456="FW",M456&gt;=Assumptions!$B$23,N456&lt;Assumptions!$B$26),"Direct / Target Approach","Flexible / Multi-System"))))))</f>
        <v>High Press / Gegenpressing</v>
      </c>
      <c r="AD456" s="21" t="str">
        <f aca="false">'Player Data'!Y456</f>
        <v>2026-07-17</v>
      </c>
      <c r="AE456" s="21" t="str">
        <f aca="false">'Player Data'!Z456</f>
        <v>2026-07-17</v>
      </c>
      <c r="AF456" s="28" t="str">
        <f aca="false">IFERROR(INDEX(Assumptions!$B$30:$B$61,MATCH(C456,Assumptions!$A$30:$A$61,0)),"--")</f>
        <v>Austria, Turkey</v>
      </c>
      <c r="AG456" s="30" t="str">
        <f aca="false">IF(R456&gt;=0.7,"Step-Up Candidate",IF(R456&gt;=0.4,"Lateral Move","Stay &amp; Develop"))</f>
        <v>Step-Up Candidate</v>
      </c>
    </row>
    <row r="457" customFormat="false" ht="23.85" hidden="false" customHeight="false" outlineLevel="0" collapsed="false">
      <c r="A457" s="21" t="str">
        <f aca="false">'Player Data'!A457</f>
        <v>Matias Lopez</v>
      </c>
      <c r="B457" s="21" t="str">
        <f aca="false">'Player Data'!F457</f>
        <v>DF</v>
      </c>
      <c r="C457" s="21" t="str">
        <f aca="false">'Player Data'!B457</f>
        <v>Paraguay</v>
      </c>
      <c r="D457" s="21" t="str">
        <f aca="false">'Player Data'!C457</f>
        <v>Paraguay Third Tier - North</v>
      </c>
      <c r="E457" s="21" t="n">
        <f aca="false">'Player Data'!D457</f>
        <v>2</v>
      </c>
      <c r="F457" s="21" t="n">
        <f aca="false">'Player Data'!G457</f>
        <v>20</v>
      </c>
      <c r="G457" s="21" t="n">
        <f aca="false">'Player Data'!H457</f>
        <v>2264</v>
      </c>
      <c r="H457" s="22" t="n">
        <f aca="false">IF(B457="GK",IFERROR(('Player Data'!N457-1.5*'Player Data'!O457)/'Player Data'!H457*90,0),IFERROR(('Player Data'!I457+'Player Data'!J457)/'Player Data'!H457*90,0))</f>
        <v>0.238515901060071</v>
      </c>
      <c r="I457" s="22" t="n">
        <f aca="false">IF(B457="GK",'Player Data'!P457,IFERROR(('Player Data'!K457+'Player Data'!L457)/'Player Data'!H457*90,0))</f>
        <v>3.21996466431095</v>
      </c>
      <c r="J457" s="22" t="n">
        <f aca="false">IF(B457="GK",IFERROR('Player Data'!Q457/'Player Data'!H457*90,0),IFERROR('Player Data'!M457/'Player Data'!H457*90,0))</f>
        <v>3.4982332155477</v>
      </c>
      <c r="K457" s="23" t="n">
        <f aca="false">'Player Data'!S457</f>
        <v>0</v>
      </c>
      <c r="L457" s="22" t="n">
        <f aca="false">INDEX(Assumptions!$B$13:$B$15,MATCH(E457,Assumptions!$A$13:$A$15,0))</f>
        <v>1</v>
      </c>
      <c r="M457" s="24" t="n">
        <f aca="false">IFERROR(SUMPRODUCT(($B$2:$B$1001=B457)*($H$2:$H$1001&lt;=H457))/SUMPRODUCT(($B$2:$B$1001=B457)*1),0)</f>
        <v>0.639455782312925</v>
      </c>
      <c r="N457" s="24" t="n">
        <f aca="false">IFERROR(SUMPRODUCT(($B$2:$B$1001=B457)*($I$2:$I$1001&lt;=I457))/SUMPRODUCT(($B$2:$B$1001=B457)*1),0)</f>
        <v>0.139455782312925</v>
      </c>
      <c r="O457" s="24" t="n">
        <f aca="false">IFERROR(SUMPRODUCT(($B$2:$B$1001=B457)*($J$2:$J$1001&lt;=J457))/SUMPRODUCT(($B$2:$B$1001=B457)*1),0)</f>
        <v>0.0918367346938776</v>
      </c>
      <c r="P457" s="24" t="n">
        <f aca="false">IFERROR(SUMPRODUCT(($B$2:$B$1001=B457)*((0-$F$2:$F$1001)&lt;=(0-F457)))/SUMPRODUCT(($B$2:$B$1001=B457)*1),0)</f>
        <v>0.656462585034014</v>
      </c>
      <c r="Q457" s="25" t="n">
        <f aca="false">(M457*Assumptions!$B$5+N457*Assumptions!$B$6+O457*Assumptions!$B$7+P457*Assumptions!$B$8)*L457</f>
        <v>0.358333333333333</v>
      </c>
      <c r="R457" s="24" t="n">
        <f aca="false">IFERROR(SUMPRODUCT(($B$2:$B$1001=B457)*($Q$2:$Q$1001&lt;=Q457))/SUMPRODUCT(($B$2:$B$1001=B457)*1),0)</f>
        <v>0.374149659863946</v>
      </c>
      <c r="S457" s="24" t="n">
        <f aca="false">IFERROR(SUMPRODUCT(($B$2:$B$1001=B457)*($K$2:$K$1001&lt;=K457))/SUMPRODUCT(($B$2:$B$1001=B457)*1),0)</f>
        <v>0.248299319727891</v>
      </c>
      <c r="T457" s="26" t="n">
        <f aca="false">(R457-S457)*100</f>
        <v>12.5850340136054</v>
      </c>
      <c r="U457" s="21" t="str">
        <f aca="false">'Player Data'!T457</f>
        <v>No</v>
      </c>
      <c r="V457" s="27" t="n">
        <f aca="false">'Player Data'!U457</f>
        <v>2029</v>
      </c>
      <c r="W457" s="21" t="str">
        <f aca="false">IF(AND(T457&gt;=Assumptions!$B$19,U457="No"),"High Priority - Unrepresented",IF(T457&gt;=Assumptions!$B$19,"High Priority",IF(AND(T457&gt;=Assumptions!$B$20,U457="No"),"Watchlist - Unrepresented",IF(T457&gt;=Assumptions!$B$20,"Watchlist",""))))</f>
        <v/>
      </c>
      <c r="X457" s="21" t="str">
        <f aca="false">'Player Data'!V457</f>
        <v>info@luquefc.py</v>
      </c>
      <c r="Y457" s="28" t="str">
        <f aca="false">'Player Data'!W457</f>
        <v>Club sporting director / first-team office</v>
      </c>
      <c r="Z457" s="28" t="str">
        <f aca="false">'Player Data'!X457</f>
        <v>APF (Paraguayan Football Association) player registry</v>
      </c>
      <c r="AA457" s="19" t="str">
        <f aca="false">HYPERLINK("https://www.transfermarkt.com/schnellsuche/ergebnis/schnellsuche?query="&amp;SUBSTITUTE(A457," ","+"),"Search Transfermarkt")</f>
        <v>Search Transfermarkt</v>
      </c>
      <c r="AB457" s="29" t="n">
        <f aca="false">IFERROR('Player Data'!K457/('Player Data'!K457+'Player Data'!L457),0)</f>
        <v>0.617283950617284</v>
      </c>
      <c r="AC457" s="21" t="str">
        <f aca="false">IF(B457="GK",IF(AND(O457&gt;=Assumptions!$B$23,N457&gt;=Assumptions!$B$23),"Sweeper-Keeper / Build-from-the-Back",IF(O457&gt;=Assumptions!$B$23,"Sweeper-Keeper / High Line",IF(M457&gt;=Assumptions!$B$23,"Shot-Stopper / Traditional","Flexible / Multi-System"))),IF(AND(O457&gt;=Assumptions!$B$23,P457&gt;=Assumptions!$B$24),"High Press / Gegenpressing",IF(AND(N457&gt;=Assumptions!$B$23,AB457&gt;=Assumptions!$B$25),"Possession / Build-from-the-Back",IF(N457&gt;=Assumptions!$B$23,"Counter-Attack / Transition",IF(AND(O457&gt;=Assumptions!$B$23,N457&lt;Assumptions!$B$26),"Low Block / Park the Bus",IF(AND(B457="FW",M457&gt;=Assumptions!$B$23,N457&lt;Assumptions!$B$26),"Direct / Target Approach","Flexible / Multi-System"))))))</f>
        <v>Flexible / Multi-System</v>
      </c>
      <c r="AD457" s="21" t="str">
        <f aca="false">'Player Data'!Y457</f>
        <v>2026-07-17</v>
      </c>
      <c r="AE457" s="21" t="str">
        <f aca="false">'Player Data'!Z457</f>
        <v>2026-07-17</v>
      </c>
      <c r="AF457" s="28" t="str">
        <f aca="false">IFERROR(INDEX(Assumptions!$B$30:$B$61,MATCH(C457,Assumptions!$A$30:$A$61,0)),"--")</f>
        <v>Argentina, Portugal</v>
      </c>
      <c r="AG457" s="30" t="str">
        <f aca="false">IF(R457&gt;=0.7,"Step-Up Candidate",IF(R457&gt;=0.4,"Lateral Move","Stay &amp; Develop"))</f>
        <v>Stay &amp; Develop</v>
      </c>
    </row>
    <row r="458" customFormat="false" ht="23.85" hidden="false" customHeight="false" outlineLevel="0" collapsed="false">
      <c r="A458" s="21" t="str">
        <f aca="false">'Player Data'!A458</f>
        <v>Ji-ho Lee</v>
      </c>
      <c r="B458" s="21" t="str">
        <f aca="false">'Player Data'!F458</f>
        <v>GK</v>
      </c>
      <c r="C458" s="21" t="str">
        <f aca="false">'Player Data'!B458</f>
        <v>South Korea</v>
      </c>
      <c r="D458" s="21" t="str">
        <f aca="false">'Player Data'!C458</f>
        <v>South Korea Provincial League</v>
      </c>
      <c r="E458" s="21" t="n">
        <f aca="false">'Player Data'!D458</f>
        <v>3</v>
      </c>
      <c r="F458" s="21" t="n">
        <f aca="false">'Player Data'!G458</f>
        <v>26</v>
      </c>
      <c r="G458" s="21" t="n">
        <f aca="false">'Player Data'!H458</f>
        <v>1298</v>
      </c>
      <c r="H458" s="22" t="n">
        <f aca="false">IF(B458="GK",IFERROR(('Player Data'!N458-1.5*'Player Data'!O458)/'Player Data'!H458*90,0),IFERROR(('Player Data'!I458+'Player Data'!J458)/'Player Data'!H458*90,0))</f>
        <v>0</v>
      </c>
      <c r="I458" s="22" t="n">
        <f aca="false">IF(B458="GK",'Player Data'!P458,IFERROR(('Player Data'!K458+'Player Data'!L458)/'Player Data'!H458*90,0))</f>
        <v>63.2</v>
      </c>
      <c r="J458" s="22" t="n">
        <f aca="false">IF(B458="GK",IFERROR('Player Data'!Q458/'Player Data'!H458*90,0),IFERROR('Player Data'!M458/'Player Data'!H458*90,0))</f>
        <v>0.575500770416025</v>
      </c>
      <c r="K458" s="23" t="n">
        <f aca="false">'Player Data'!S458</f>
        <v>0</v>
      </c>
      <c r="L458" s="22" t="n">
        <f aca="false">INDEX(Assumptions!$B$13:$B$15,MATCH(E458,Assumptions!$A$13:$A$15,0))</f>
        <v>0.85</v>
      </c>
      <c r="M458" s="24" t="n">
        <f aca="false">IFERROR(SUMPRODUCT(($B$2:$B$1001=B458)*($H$2:$H$1001&lt;=H458))/SUMPRODUCT(($B$2:$B$1001=B458)*1),0)</f>
        <v>0.191256830601093</v>
      </c>
      <c r="N458" s="24" t="n">
        <f aca="false">IFERROR(SUMPRODUCT(($B$2:$B$1001=B458)*($I$2:$I$1001&lt;=I458))/SUMPRODUCT(($B$2:$B$1001=B458)*1),0)</f>
        <v>0.262295081967213</v>
      </c>
      <c r="O458" s="24" t="n">
        <f aca="false">IFERROR(SUMPRODUCT(($B$2:$B$1001=B458)*($J$2:$J$1001&lt;=J458))/SUMPRODUCT(($B$2:$B$1001=B458)*1),0)</f>
        <v>0.306010928961749</v>
      </c>
      <c r="P458" s="24" t="n">
        <f aca="false">IFERROR(SUMPRODUCT(($B$2:$B$1001=B458)*((0-$F$2:$F$1001)&lt;=(0-F458)))/SUMPRODUCT(($B$2:$B$1001=B458)*1),0)</f>
        <v>0.131147540983607</v>
      </c>
      <c r="Q458" s="25" t="n">
        <f aca="false">(M458*Assumptions!$B$5+N458*Assumptions!$B$6+O458*Assumptions!$B$7+P458*Assumptions!$B$8)*L458</f>
        <v>0.192991803278689</v>
      </c>
      <c r="R458" s="24" t="n">
        <f aca="false">IFERROR(SUMPRODUCT(($B$2:$B$1001=B458)*($Q$2:$Q$1001&lt;=Q458))/SUMPRODUCT(($B$2:$B$1001=B458)*1),0)</f>
        <v>0.0163934426229508</v>
      </c>
      <c r="S458" s="24" t="n">
        <f aca="false">IFERROR(SUMPRODUCT(($B$2:$B$1001=B458)*($K$2:$K$1001&lt;=K458))/SUMPRODUCT(($B$2:$B$1001=B458)*1),0)</f>
        <v>0.218579234972678</v>
      </c>
      <c r="T458" s="26" t="n">
        <f aca="false">(R458-S458)*100</f>
        <v>-20.2185792349727</v>
      </c>
      <c r="U458" s="21" t="str">
        <f aca="false">'Player Data'!T458</f>
        <v>No</v>
      </c>
      <c r="V458" s="27" t="n">
        <f aca="false">'Player Data'!U458</f>
        <v>2028</v>
      </c>
      <c r="W458" s="21" t="str">
        <f aca="false">IF(AND(T458&gt;=Assumptions!$B$19,U458="No"),"High Priority - Unrepresented",IF(T458&gt;=Assumptions!$B$19,"High Priority",IF(AND(T458&gt;=Assumptions!$B$20,U458="No"),"Watchlist - Unrepresented",IF(T458&gt;=Assumptions!$B$20,"Watchlist",""))))</f>
        <v/>
      </c>
      <c r="X458" s="21" t="str">
        <f aca="false">'Player Data'!V458</f>
        <v>info@daegutown.kr</v>
      </c>
      <c r="Y458" s="28" t="str">
        <f aca="false">'Player Data'!W458</f>
        <v>Club sporting director / first-team office</v>
      </c>
      <c r="Z458" s="28" t="str">
        <f aca="false">'Player Data'!X458</f>
        <v>KFA (Korea Football Association) player registry</v>
      </c>
      <c r="AA458" s="19" t="str">
        <f aca="false">HYPERLINK("https://www.transfermarkt.com/schnellsuche/ergebnis/schnellsuche?query="&amp;SUBSTITUTE(A458," ","+"),"Search Transfermarkt")</f>
        <v>Search Transfermarkt</v>
      </c>
      <c r="AB458" s="29" t="n">
        <f aca="false">IFERROR('Player Data'!K458/('Player Data'!K458+'Player Data'!L458),0)</f>
        <v>1</v>
      </c>
      <c r="AC458" s="21" t="str">
        <f aca="false">IF(B458="GK",IF(AND(O458&gt;=Assumptions!$B$23,N458&gt;=Assumptions!$B$23),"Sweeper-Keeper / Build-from-the-Back",IF(O458&gt;=Assumptions!$B$23,"Sweeper-Keeper / High Line",IF(M458&gt;=Assumptions!$B$23,"Shot-Stopper / Traditional","Flexible / Multi-System"))),IF(AND(O458&gt;=Assumptions!$B$23,P458&gt;=Assumptions!$B$24),"High Press / Gegenpressing",IF(AND(N458&gt;=Assumptions!$B$23,AB458&gt;=Assumptions!$B$25),"Possession / Build-from-the-Back",IF(N458&gt;=Assumptions!$B$23,"Counter-Attack / Transition",IF(AND(O458&gt;=Assumptions!$B$23,N458&lt;Assumptions!$B$26),"Low Block / Park the Bus",IF(AND(B458="FW",M458&gt;=Assumptions!$B$23,N458&lt;Assumptions!$B$26),"Direct / Target Approach","Flexible / Multi-System"))))))</f>
        <v>Flexible / Multi-System</v>
      </c>
      <c r="AD458" s="21" t="str">
        <f aca="false">'Player Data'!Y458</f>
        <v>2026-07-17</v>
      </c>
      <c r="AE458" s="21" t="str">
        <f aca="false">'Player Data'!Z458</f>
        <v>2026-07-17</v>
      </c>
      <c r="AF458" s="28" t="str">
        <f aca="false">IFERROR(INDEX(Assumptions!$B$30:$B$61,MATCH(C458,Assumptions!$A$30:$A$61,0)),"--")</f>
        <v>Belgium, Saudi Arabia</v>
      </c>
      <c r="AG458" s="30" t="str">
        <f aca="false">IF(R458&gt;=0.7,"Step-Up Candidate",IF(R458&gt;=0.4,"Lateral Move","Stay &amp; Develop"))</f>
        <v>Stay &amp; Develop</v>
      </c>
    </row>
    <row r="459" customFormat="false" ht="23.85" hidden="false" customHeight="false" outlineLevel="0" collapsed="false">
      <c r="A459" s="21" t="str">
        <f aca="false">'Player Data'!A459</f>
        <v>Junior Hernandez</v>
      </c>
      <c r="B459" s="21" t="str">
        <f aca="false">'Player Data'!F459</f>
        <v>DF</v>
      </c>
      <c r="C459" s="21" t="str">
        <f aca="false">'Player Data'!B459</f>
        <v>Venezuela</v>
      </c>
      <c r="D459" s="21" t="str">
        <f aca="false">'Player Data'!C459</f>
        <v>Venezuela Second Division - East</v>
      </c>
      <c r="E459" s="21" t="n">
        <f aca="false">'Player Data'!D459</f>
        <v>3</v>
      </c>
      <c r="F459" s="21" t="n">
        <f aca="false">'Player Data'!G459</f>
        <v>20</v>
      </c>
      <c r="G459" s="21" t="n">
        <f aca="false">'Player Data'!H459</f>
        <v>2672</v>
      </c>
      <c r="H459" s="22" t="n">
        <f aca="false">IF(B459="GK",IFERROR(('Player Data'!N459-1.5*'Player Data'!O459)/'Player Data'!H459*90,0),IFERROR(('Player Data'!I459+'Player Data'!J459)/'Player Data'!H459*90,0))</f>
        <v>0.168413173652695</v>
      </c>
      <c r="I459" s="22" t="n">
        <f aca="false">IF(B459="GK",'Player Data'!P459,IFERROR(('Player Data'!K459+'Player Data'!L459)/'Player Data'!H459*90,0))</f>
        <v>3.77245508982036</v>
      </c>
      <c r="J459" s="22" t="n">
        <f aca="false">IF(B459="GK",IFERROR('Player Data'!Q459/'Player Data'!H459*90,0),IFERROR('Player Data'!M459/'Player Data'!H459*90,0))</f>
        <v>4.34505988023952</v>
      </c>
      <c r="K459" s="23" t="n">
        <f aca="false">'Player Data'!S459</f>
        <v>103138</v>
      </c>
      <c r="L459" s="22" t="n">
        <f aca="false">INDEX(Assumptions!$B$13:$B$15,MATCH(E459,Assumptions!$A$13:$A$15,0))</f>
        <v>0.85</v>
      </c>
      <c r="M459" s="24" t="n">
        <f aca="false">IFERROR(SUMPRODUCT(($B$2:$B$1001=B459)*($H$2:$H$1001&lt;=H459))/SUMPRODUCT(($B$2:$B$1001=B459)*1),0)</f>
        <v>0.428571428571429</v>
      </c>
      <c r="N459" s="24" t="n">
        <f aca="false">IFERROR(SUMPRODUCT(($B$2:$B$1001=B459)*($I$2:$I$1001&lt;=I459))/SUMPRODUCT(($B$2:$B$1001=B459)*1),0)</f>
        <v>0.346938775510204</v>
      </c>
      <c r="O459" s="24" t="n">
        <f aca="false">IFERROR(SUMPRODUCT(($B$2:$B$1001=B459)*($J$2:$J$1001&lt;=J459))/SUMPRODUCT(($B$2:$B$1001=B459)*1),0)</f>
        <v>0.333333333333333</v>
      </c>
      <c r="P459" s="24" t="n">
        <f aca="false">IFERROR(SUMPRODUCT(($B$2:$B$1001=B459)*((0-$F$2:$F$1001)&lt;=(0-F459)))/SUMPRODUCT(($B$2:$B$1001=B459)*1),0)</f>
        <v>0.656462585034014</v>
      </c>
      <c r="Q459" s="25" t="n">
        <f aca="false">(M459*Assumptions!$B$5+N459*Assumptions!$B$6+O459*Assumptions!$B$7+P459*Assumptions!$B$8)*L459</f>
        <v>0.362551020408163</v>
      </c>
      <c r="R459" s="24" t="n">
        <f aca="false">IFERROR(SUMPRODUCT(($B$2:$B$1001=B459)*($Q$2:$Q$1001&lt;=Q459))/SUMPRODUCT(($B$2:$B$1001=B459)*1),0)</f>
        <v>0.380952380952381</v>
      </c>
      <c r="S459" s="24" t="n">
        <f aca="false">IFERROR(SUMPRODUCT(($B$2:$B$1001=B459)*($K$2:$K$1001&lt;=K459))/SUMPRODUCT(($B$2:$B$1001=B459)*1),0)</f>
        <v>0.758503401360544</v>
      </c>
      <c r="T459" s="26" t="n">
        <f aca="false">(R459-S459)*100</f>
        <v>-37.7551020408163</v>
      </c>
      <c r="U459" s="21" t="str">
        <f aca="false">'Player Data'!T459</f>
        <v>Unknown</v>
      </c>
      <c r="V459" s="27" t="n">
        <f aca="false">'Player Data'!U459</f>
        <v>2028</v>
      </c>
      <c r="W459" s="21" t="str">
        <f aca="false">IF(AND(T459&gt;=Assumptions!$B$19,U459="No"),"High Priority - Unrepresented",IF(T459&gt;=Assumptions!$B$19,"High Priority",IF(AND(T459&gt;=Assumptions!$B$20,U459="No"),"Watchlist - Unrepresented",IF(T459&gt;=Assumptions!$B$20,"Watchlist",""))))</f>
        <v/>
      </c>
      <c r="X459" s="21" t="str">
        <f aca="false">'Player Data'!V459</f>
        <v>info@barquisimetowanderers.ve</v>
      </c>
      <c r="Y459" s="28" t="str">
        <f aca="false">'Player Data'!W459</f>
        <v>Club sporting director / first-team office</v>
      </c>
      <c r="Z459" s="28" t="str">
        <f aca="false">'Player Data'!X459</f>
        <v>FVF (Venezuelan Football Federation) player registry</v>
      </c>
      <c r="AA459" s="19" t="str">
        <f aca="false">HYPERLINK("https://www.transfermarkt.com/schnellsuche/ergebnis/schnellsuche?query="&amp;SUBSTITUTE(A459," ","+"),"Search Transfermarkt")</f>
        <v>Search Transfermarkt</v>
      </c>
      <c r="AB459" s="29" t="n">
        <f aca="false">IFERROR('Player Data'!K459/('Player Data'!K459+'Player Data'!L459),0)</f>
        <v>0.633928571428571</v>
      </c>
      <c r="AC459" s="21" t="str">
        <f aca="false">IF(B459="GK",IF(AND(O459&gt;=Assumptions!$B$23,N459&gt;=Assumptions!$B$23),"Sweeper-Keeper / Build-from-the-Back",IF(O459&gt;=Assumptions!$B$23,"Sweeper-Keeper / High Line",IF(M459&gt;=Assumptions!$B$23,"Shot-Stopper / Traditional","Flexible / Multi-System"))),IF(AND(O459&gt;=Assumptions!$B$23,P459&gt;=Assumptions!$B$24),"High Press / Gegenpressing",IF(AND(N459&gt;=Assumptions!$B$23,AB459&gt;=Assumptions!$B$25),"Possession / Build-from-the-Back",IF(N459&gt;=Assumptions!$B$23,"Counter-Attack / Transition",IF(AND(O459&gt;=Assumptions!$B$23,N459&lt;Assumptions!$B$26),"Low Block / Park the Bus",IF(AND(B459="FW",M459&gt;=Assumptions!$B$23,N459&lt;Assumptions!$B$26),"Direct / Target Approach","Flexible / Multi-System"))))))</f>
        <v>Flexible / Multi-System</v>
      </c>
      <c r="AD459" s="21" t="str">
        <f aca="false">'Player Data'!Y459</f>
        <v>2026-07-17</v>
      </c>
      <c r="AE459" s="21" t="str">
        <f aca="false">'Player Data'!Z459</f>
        <v>2026-07-17</v>
      </c>
      <c r="AF459" s="28" t="str">
        <f aca="false">IFERROR(INDEX(Assumptions!$B$30:$B$61,MATCH(C459,Assumptions!$A$30:$A$61,0)),"--")</f>
        <v>Argentina, Portugal</v>
      </c>
      <c r="AG459" s="30" t="str">
        <f aca="false">IF(R459&gt;=0.7,"Step-Up Candidate",IF(R459&gt;=0.4,"Lateral Move","Stay &amp; Develop"))</f>
        <v>Stay &amp; Develop</v>
      </c>
    </row>
    <row r="460" customFormat="false" ht="23.85" hidden="false" customHeight="false" outlineLevel="0" collapsed="false">
      <c r="A460" s="21" t="str">
        <f aca="false">'Player Data'!A460</f>
        <v>Ardit Bardhi</v>
      </c>
      <c r="B460" s="21" t="str">
        <f aca="false">'Player Data'!F460</f>
        <v>DF</v>
      </c>
      <c r="C460" s="21" t="str">
        <f aca="false">'Player Data'!B460</f>
        <v>Albania</v>
      </c>
      <c r="D460" s="21" t="str">
        <f aca="false">'Player Data'!C460</f>
        <v>Albania Third Tier - South</v>
      </c>
      <c r="E460" s="21" t="n">
        <f aca="false">'Player Data'!D460</f>
        <v>3</v>
      </c>
      <c r="F460" s="21" t="n">
        <f aca="false">'Player Data'!G460</f>
        <v>22</v>
      </c>
      <c r="G460" s="21" t="n">
        <f aca="false">'Player Data'!H460</f>
        <v>2683</v>
      </c>
      <c r="H460" s="22" t="n">
        <f aca="false">IF(B460="GK",IFERROR(('Player Data'!N460-1.5*'Player Data'!O460)/'Player Data'!H460*90,0),IFERROR(('Player Data'!I460+'Player Data'!J460)/'Player Data'!H460*90,0))</f>
        <v>0.134178158777488</v>
      </c>
      <c r="I460" s="22" t="n">
        <f aca="false">IF(B460="GK",'Player Data'!P460,IFERROR(('Player Data'!K460+'Player Data'!L460)/'Player Data'!H460*90,0))</f>
        <v>2.61647409616101</v>
      </c>
      <c r="J460" s="22" t="n">
        <f aca="false">IF(B460="GK",IFERROR('Player Data'!Q460/'Player Data'!H460*90,0),IFERROR('Player Data'!M460/'Player Data'!H460*90,0))</f>
        <v>3.32090942974283</v>
      </c>
      <c r="K460" s="23" t="n">
        <f aca="false">'Player Data'!S460</f>
        <v>0</v>
      </c>
      <c r="L460" s="22" t="n">
        <f aca="false">INDEX(Assumptions!$B$13:$B$15,MATCH(E460,Assumptions!$A$13:$A$15,0))</f>
        <v>0.85</v>
      </c>
      <c r="M460" s="24" t="n">
        <f aca="false">IFERROR(SUMPRODUCT(($B$2:$B$1001=B460)*($H$2:$H$1001&lt;=H460))/SUMPRODUCT(($B$2:$B$1001=B460)*1),0)</f>
        <v>0.306122448979592</v>
      </c>
      <c r="N460" s="24" t="n">
        <f aca="false">IFERROR(SUMPRODUCT(($B$2:$B$1001=B460)*($I$2:$I$1001&lt;=I460))/SUMPRODUCT(($B$2:$B$1001=B460)*1),0)</f>
        <v>0.0272108843537415</v>
      </c>
      <c r="O460" s="24" t="n">
        <f aca="false">IFERROR(SUMPRODUCT(($B$2:$B$1001=B460)*($J$2:$J$1001&lt;=J460))/SUMPRODUCT(($B$2:$B$1001=B460)*1),0)</f>
        <v>0.0578231292517007</v>
      </c>
      <c r="P460" s="24" t="n">
        <f aca="false">IFERROR(SUMPRODUCT(($B$2:$B$1001=B460)*((0-$F$2:$F$1001)&lt;=(0-F460)))/SUMPRODUCT(($B$2:$B$1001=B460)*1),0)</f>
        <v>0.493197278911565</v>
      </c>
      <c r="Q460" s="25" t="n">
        <f aca="false">(M460*Assumptions!$B$5+N460*Assumptions!$B$6+O460*Assumptions!$B$7+P460*Assumptions!$B$8)*L460</f>
        <v>0.166819727891156</v>
      </c>
      <c r="R460" s="24" t="n">
        <f aca="false">IFERROR(SUMPRODUCT(($B$2:$B$1001=B460)*($Q$2:$Q$1001&lt;=Q460))/SUMPRODUCT(($B$2:$B$1001=B460)*1),0)</f>
        <v>0.054421768707483</v>
      </c>
      <c r="S460" s="24" t="n">
        <f aca="false">IFERROR(SUMPRODUCT(($B$2:$B$1001=B460)*($K$2:$K$1001&lt;=K460))/SUMPRODUCT(($B$2:$B$1001=B460)*1),0)</f>
        <v>0.248299319727891</v>
      </c>
      <c r="T460" s="26" t="n">
        <f aca="false">(R460-S460)*100</f>
        <v>-19.3877551020408</v>
      </c>
      <c r="U460" s="21" t="str">
        <f aca="false">'Player Data'!T460</f>
        <v>No</v>
      </c>
      <c r="V460" s="27" t="n">
        <f aca="false">'Player Data'!U460</f>
        <v>2028</v>
      </c>
      <c r="W460" s="21" t="str">
        <f aca="false">IF(AND(T460&gt;=Assumptions!$B$19,U460="No"),"High Priority - Unrepresented",IF(T460&gt;=Assumptions!$B$19,"High Priority",IF(AND(T460&gt;=Assumptions!$B$20,U460="No"),"Watchlist - Unrepresented",IF(T460&gt;=Assumptions!$B$20,"Watchlist",""))))</f>
        <v/>
      </c>
      <c r="X460" s="21" t="str">
        <f aca="false">'Player Data'!V460</f>
        <v>info@elbasansc.al</v>
      </c>
      <c r="Y460" s="28" t="str">
        <f aca="false">'Player Data'!W460</f>
        <v>Club sporting director / first-team office</v>
      </c>
      <c r="Z460" s="28" t="str">
        <f aca="false">'Player Data'!X460</f>
        <v>FSHF (Albanian Football Association) player registry</v>
      </c>
      <c r="AA460" s="19" t="str">
        <f aca="false">HYPERLINK("https://www.transfermarkt.com/schnellsuche/ergebnis/schnellsuche?query="&amp;SUBSTITUTE(A460," ","+"),"Search Transfermarkt")</f>
        <v>Search Transfermarkt</v>
      </c>
      <c r="AB460" s="29" t="n">
        <f aca="false">IFERROR('Player Data'!K460/('Player Data'!K460+'Player Data'!L460),0)</f>
        <v>0.525641025641026</v>
      </c>
      <c r="AC460" s="21" t="str">
        <f aca="false">IF(B460="GK",IF(AND(O460&gt;=Assumptions!$B$23,N460&gt;=Assumptions!$B$23),"Sweeper-Keeper / Build-from-the-Back",IF(O460&gt;=Assumptions!$B$23,"Sweeper-Keeper / High Line",IF(M460&gt;=Assumptions!$B$23,"Shot-Stopper / Traditional","Flexible / Multi-System"))),IF(AND(O460&gt;=Assumptions!$B$23,P460&gt;=Assumptions!$B$24),"High Press / Gegenpressing",IF(AND(N460&gt;=Assumptions!$B$23,AB460&gt;=Assumptions!$B$25),"Possession / Build-from-the-Back",IF(N460&gt;=Assumptions!$B$23,"Counter-Attack / Transition",IF(AND(O460&gt;=Assumptions!$B$23,N460&lt;Assumptions!$B$26),"Low Block / Park the Bus",IF(AND(B460="FW",M460&gt;=Assumptions!$B$23,N460&lt;Assumptions!$B$26),"Direct / Target Approach","Flexible / Multi-System"))))))</f>
        <v>Flexible / Multi-System</v>
      </c>
      <c r="AD460" s="21" t="str">
        <f aca="false">'Player Data'!Y460</f>
        <v>2026-07-17</v>
      </c>
      <c r="AE460" s="21" t="str">
        <f aca="false">'Player Data'!Z460</f>
        <v>2026-07-17</v>
      </c>
      <c r="AF460" s="28" t="str">
        <f aca="false">IFERROR(INDEX(Assumptions!$B$30:$B$61,MATCH(C460,Assumptions!$A$30:$A$61,0)),"--")</f>
        <v>Turkey, Poland</v>
      </c>
      <c r="AG460" s="30" t="str">
        <f aca="false">IF(R460&gt;=0.7,"Step-Up Candidate",IF(R460&gt;=0.4,"Lateral Move","Stay &amp; Develop"))</f>
        <v>Stay &amp; Develop</v>
      </c>
    </row>
    <row r="461" customFormat="false" ht="23.85" hidden="false" customHeight="false" outlineLevel="0" collapsed="false">
      <c r="A461" s="21" t="str">
        <f aca="false">'Player Data'!A461</f>
        <v>Facundo Pereira</v>
      </c>
      <c r="B461" s="21" t="str">
        <f aca="false">'Player Data'!F461</f>
        <v>DF</v>
      </c>
      <c r="C461" s="21" t="str">
        <f aca="false">'Player Data'!B461</f>
        <v>Uruguay</v>
      </c>
      <c r="D461" s="21" t="str">
        <f aca="false">'Player Data'!C461</f>
        <v>Uruguay Amateur League</v>
      </c>
      <c r="E461" s="21" t="n">
        <f aca="false">'Player Data'!D461</f>
        <v>3</v>
      </c>
      <c r="F461" s="21" t="n">
        <f aca="false">'Player Data'!G461</f>
        <v>18</v>
      </c>
      <c r="G461" s="21" t="n">
        <f aca="false">'Player Data'!H461</f>
        <v>2022</v>
      </c>
      <c r="H461" s="22" t="n">
        <f aca="false">IF(B461="GK",IFERROR(('Player Data'!N461-1.5*'Player Data'!O461)/'Player Data'!H461*90,0),IFERROR(('Player Data'!I461+'Player Data'!J461)/'Player Data'!H461*90,0))</f>
        <v>0.178041543026706</v>
      </c>
      <c r="I461" s="22" t="n">
        <f aca="false">IF(B461="GK",'Player Data'!P461,IFERROR(('Player Data'!K461+'Player Data'!L461)/'Player Data'!H461*90,0))</f>
        <v>4.09495548961424</v>
      </c>
      <c r="J461" s="22" t="n">
        <f aca="false">IF(B461="GK",IFERROR('Player Data'!Q461/'Player Data'!H461*90,0),IFERROR('Player Data'!M461/'Player Data'!H461*90,0))</f>
        <v>3.69436201780415</v>
      </c>
      <c r="K461" s="23" t="n">
        <f aca="false">'Player Data'!S461</f>
        <v>61315</v>
      </c>
      <c r="L461" s="22" t="n">
        <f aca="false">INDEX(Assumptions!$B$13:$B$15,MATCH(E461,Assumptions!$A$13:$A$15,0))</f>
        <v>0.85</v>
      </c>
      <c r="M461" s="24" t="n">
        <f aca="false">IFERROR(SUMPRODUCT(($B$2:$B$1001=B461)*($H$2:$H$1001&lt;=H461))/SUMPRODUCT(($B$2:$B$1001=B461)*1),0)</f>
        <v>0.472789115646259</v>
      </c>
      <c r="N461" s="24" t="n">
        <f aca="false">IFERROR(SUMPRODUCT(($B$2:$B$1001=B461)*($I$2:$I$1001&lt;=I461))/SUMPRODUCT(($B$2:$B$1001=B461)*1),0)</f>
        <v>0.418367346938776</v>
      </c>
      <c r="O461" s="24" t="n">
        <f aca="false">IFERROR(SUMPRODUCT(($B$2:$B$1001=B461)*($J$2:$J$1001&lt;=J461))/SUMPRODUCT(($B$2:$B$1001=B461)*1),0)</f>
        <v>0.166666666666667</v>
      </c>
      <c r="P461" s="24" t="n">
        <f aca="false">IFERROR(SUMPRODUCT(($B$2:$B$1001=B461)*((0-$F$2:$F$1001)&lt;=(0-F461)))/SUMPRODUCT(($B$2:$B$1001=B461)*1),0)</f>
        <v>0.863945578231293</v>
      </c>
      <c r="Q461" s="25" t="n">
        <f aca="false">(M461*Assumptions!$B$5+N461*Assumptions!$B$6+O461*Assumptions!$B$7+P461*Assumptions!$B$8)*L461</f>
        <v>0.400136054421769</v>
      </c>
      <c r="R461" s="24" t="n">
        <f aca="false">IFERROR(SUMPRODUCT(($B$2:$B$1001=B461)*($Q$2:$Q$1001&lt;=Q461))/SUMPRODUCT(($B$2:$B$1001=B461)*1),0)</f>
        <v>0.465986394557823</v>
      </c>
      <c r="S461" s="24" t="n">
        <f aca="false">IFERROR(SUMPRODUCT(($B$2:$B$1001=B461)*($K$2:$K$1001&lt;=K461))/SUMPRODUCT(($B$2:$B$1001=B461)*1),0)</f>
        <v>0.489795918367347</v>
      </c>
      <c r="T461" s="26" t="n">
        <f aca="false">(R461-S461)*100</f>
        <v>-2.38095238095238</v>
      </c>
      <c r="U461" s="21" t="str">
        <f aca="false">'Player Data'!T461</f>
        <v>No</v>
      </c>
      <c r="V461" s="27" t="n">
        <f aca="false">'Player Data'!U461</f>
        <v>2028</v>
      </c>
      <c r="W461" s="21" t="str">
        <f aca="false">IF(AND(T461&gt;=Assumptions!$B$19,U461="No"),"High Priority - Unrepresented",IF(T461&gt;=Assumptions!$B$19,"High Priority",IF(AND(T461&gt;=Assumptions!$B$20,U461="No"),"Watchlist - Unrepresented",IF(T461&gt;=Assumptions!$B$20,"Watchlist",""))))</f>
        <v/>
      </c>
      <c r="X461" s="21" t="str">
        <f aca="false">'Player Data'!V461</f>
        <v>info@riverarangers.uy</v>
      </c>
      <c r="Y461" s="28" t="str">
        <f aca="false">'Player Data'!W461</f>
        <v>Club sporting director / first-team office</v>
      </c>
      <c r="Z461" s="28" t="str">
        <f aca="false">'Player Data'!X461</f>
        <v>AUF (Uruguayan Football Association) player registry</v>
      </c>
      <c r="AA461" s="19" t="str">
        <f aca="false">HYPERLINK("https://www.transfermarkt.com/schnellsuche/ergebnis/schnellsuche?query="&amp;SUBSTITUTE(A461," ","+"),"Search Transfermarkt")</f>
        <v>Search Transfermarkt</v>
      </c>
      <c r="AB461" s="29" t="n">
        <f aca="false">IFERROR('Player Data'!K461/('Player Data'!K461+'Player Data'!L461),0)</f>
        <v>0.695652173913044</v>
      </c>
      <c r="AC461" s="21" t="str">
        <f aca="false">IF(B461="GK",IF(AND(O461&gt;=Assumptions!$B$23,N461&gt;=Assumptions!$B$23),"Sweeper-Keeper / Build-from-the-Back",IF(O461&gt;=Assumptions!$B$23,"Sweeper-Keeper / High Line",IF(M461&gt;=Assumptions!$B$23,"Shot-Stopper / Traditional","Flexible / Multi-System"))),IF(AND(O461&gt;=Assumptions!$B$23,P461&gt;=Assumptions!$B$24),"High Press / Gegenpressing",IF(AND(N461&gt;=Assumptions!$B$23,AB461&gt;=Assumptions!$B$25),"Possession / Build-from-the-Back",IF(N461&gt;=Assumptions!$B$23,"Counter-Attack / Transition",IF(AND(O461&gt;=Assumptions!$B$23,N461&lt;Assumptions!$B$26),"Low Block / Park the Bus",IF(AND(B461="FW",M461&gt;=Assumptions!$B$23,N461&lt;Assumptions!$B$26),"Direct / Target Approach","Flexible / Multi-System"))))))</f>
        <v>Flexible / Multi-System</v>
      </c>
      <c r="AD461" s="21" t="str">
        <f aca="false">'Player Data'!Y461</f>
        <v>2026-07-17</v>
      </c>
      <c r="AE461" s="21" t="str">
        <f aca="false">'Player Data'!Z461</f>
        <v>2026-07-17</v>
      </c>
      <c r="AF461" s="28" t="str">
        <f aca="false">IFERROR(INDEX(Assumptions!$B$30:$B$61,MATCH(C461,Assumptions!$A$30:$A$61,0)),"--")</f>
        <v>Argentina, Portugal</v>
      </c>
      <c r="AG461" s="30" t="str">
        <f aca="false">IF(R461&gt;=0.7,"Step-Up Candidate",IF(R461&gt;=0.4,"Lateral Move","Stay &amp; Develop"))</f>
        <v>Lateral Move</v>
      </c>
    </row>
    <row r="462" customFormat="false" ht="23.85" hidden="false" customHeight="false" outlineLevel="0" collapsed="false">
      <c r="A462" s="21" t="str">
        <f aca="false">'Player Data'!A462</f>
        <v>Amadou Traore</v>
      </c>
      <c r="B462" s="21" t="str">
        <f aca="false">'Player Data'!F462</f>
        <v>DF</v>
      </c>
      <c r="C462" s="21" t="str">
        <f aca="false">'Player Data'!B462</f>
        <v>Mali</v>
      </c>
      <c r="D462" s="21" t="str">
        <f aca="false">'Player Data'!C462</f>
        <v>Mali Second Division - West</v>
      </c>
      <c r="E462" s="21" t="n">
        <f aca="false">'Player Data'!D462</f>
        <v>4</v>
      </c>
      <c r="F462" s="21" t="n">
        <f aca="false">'Player Data'!G462</f>
        <v>19</v>
      </c>
      <c r="G462" s="21" t="n">
        <f aca="false">'Player Data'!H462</f>
        <v>1786</v>
      </c>
      <c r="H462" s="22" t="n">
        <f aca="false">IF(B462="GK",IFERROR(('Player Data'!N462-1.5*'Player Data'!O462)/'Player Data'!H462*90,0),IFERROR(('Player Data'!I462+'Player Data'!J462)/'Player Data'!H462*90,0))</f>
        <v>0.0503919372900336</v>
      </c>
      <c r="I462" s="22" t="n">
        <f aca="false">IF(B462="GK",'Player Data'!P462,IFERROR(('Player Data'!K462+'Player Data'!L462)/'Player Data'!H462*90,0))</f>
        <v>5.03919372900336</v>
      </c>
      <c r="J462" s="22" t="n">
        <f aca="false">IF(B462="GK",IFERROR('Player Data'!Q462/'Player Data'!H462*90,0),IFERROR('Player Data'!M462/'Player Data'!H462*90,0))</f>
        <v>4.08174692049272</v>
      </c>
      <c r="K462" s="23" t="n">
        <f aca="false">'Player Data'!S462</f>
        <v>53416</v>
      </c>
      <c r="L462" s="22" t="n">
        <f aca="false">INDEX(Assumptions!$B$13:$B$15,MATCH(E462,Assumptions!$A$13:$A$15,0))</f>
        <v>0.7</v>
      </c>
      <c r="M462" s="24" t="n">
        <f aca="false">IFERROR(SUMPRODUCT(($B$2:$B$1001=B462)*($H$2:$H$1001&lt;=H462))/SUMPRODUCT(($B$2:$B$1001=B462)*1),0)</f>
        <v>0.0680272108843538</v>
      </c>
      <c r="N462" s="24" t="n">
        <f aca="false">IFERROR(SUMPRODUCT(($B$2:$B$1001=B462)*($I$2:$I$1001&lt;=I462))/SUMPRODUCT(($B$2:$B$1001=B462)*1),0)</f>
        <v>0.598639455782313</v>
      </c>
      <c r="O462" s="24" t="n">
        <f aca="false">IFERROR(SUMPRODUCT(($B$2:$B$1001=B462)*($J$2:$J$1001&lt;=J462))/SUMPRODUCT(($B$2:$B$1001=B462)*1),0)</f>
        <v>0.238095238095238</v>
      </c>
      <c r="P462" s="24" t="n">
        <f aca="false">IFERROR(SUMPRODUCT(($B$2:$B$1001=B462)*((0-$F$2:$F$1001)&lt;=(0-F462)))/SUMPRODUCT(($B$2:$B$1001=B462)*1),0)</f>
        <v>0.738095238095238</v>
      </c>
      <c r="Q462" s="25" t="n">
        <f aca="false">(M462*Assumptions!$B$5+N462*Assumptions!$B$6+O462*Assumptions!$B$7+P462*Assumptions!$B$8)*L462</f>
        <v>0.295238095238095</v>
      </c>
      <c r="R462" s="24" t="n">
        <f aca="false">IFERROR(SUMPRODUCT(($B$2:$B$1001=B462)*($Q$2:$Q$1001&lt;=Q462))/SUMPRODUCT(($B$2:$B$1001=B462)*1),0)</f>
        <v>0.241496598639456</v>
      </c>
      <c r="S462" s="24" t="n">
        <f aca="false">IFERROR(SUMPRODUCT(($B$2:$B$1001=B462)*($K$2:$K$1001&lt;=K462))/SUMPRODUCT(($B$2:$B$1001=B462)*1),0)</f>
        <v>0.448979591836735</v>
      </c>
      <c r="T462" s="26" t="n">
        <f aca="false">(R462-S462)*100</f>
        <v>-20.7482993197279</v>
      </c>
      <c r="U462" s="21" t="str">
        <f aca="false">'Player Data'!T462</f>
        <v>Unknown</v>
      </c>
      <c r="V462" s="27" t="n">
        <f aca="false">'Player Data'!U462</f>
        <v>2027</v>
      </c>
      <c r="W462" s="21" t="str">
        <f aca="false">IF(AND(T462&gt;=Assumptions!$B$19,U462="No"),"High Priority - Unrepresented",IF(T462&gt;=Assumptions!$B$19,"High Priority",IF(AND(T462&gt;=Assumptions!$B$20,U462="No"),"Watchlist - Unrepresented",IF(T462&gt;=Assumptions!$B$20,"Watchlist",""))))</f>
        <v/>
      </c>
      <c r="X462" s="21" t="str">
        <f aca="false">'Player Data'!V462</f>
        <v>info@sikassorangers.ml</v>
      </c>
      <c r="Y462" s="28" t="str">
        <f aca="false">'Player Data'!W462</f>
        <v>Club sporting director / first-team office</v>
      </c>
      <c r="Z462" s="28" t="str">
        <f aca="false">'Player Data'!X462</f>
        <v>FEMAFOOT (Malian Football Federation) player registry</v>
      </c>
      <c r="AA462" s="19" t="str">
        <f aca="false">HYPERLINK("https://www.transfermarkt.com/schnellsuche/ergebnis/schnellsuche?query="&amp;SUBSTITUTE(A462," ","+"),"Search Transfermarkt")</f>
        <v>Search Transfermarkt</v>
      </c>
      <c r="AB462" s="29" t="n">
        <f aca="false">IFERROR('Player Data'!K462/('Player Data'!K462+'Player Data'!L462),0)</f>
        <v>0.72</v>
      </c>
      <c r="AC462" s="21" t="str">
        <f aca="false">IF(B462="GK",IF(AND(O462&gt;=Assumptions!$B$23,N462&gt;=Assumptions!$B$23),"Sweeper-Keeper / Build-from-the-Back",IF(O462&gt;=Assumptions!$B$23,"Sweeper-Keeper / High Line",IF(M462&gt;=Assumptions!$B$23,"Shot-Stopper / Traditional","Flexible / Multi-System"))),IF(AND(O462&gt;=Assumptions!$B$23,P462&gt;=Assumptions!$B$24),"High Press / Gegenpressing",IF(AND(N462&gt;=Assumptions!$B$23,AB462&gt;=Assumptions!$B$25),"Possession / Build-from-the-Back",IF(N462&gt;=Assumptions!$B$23,"Counter-Attack / Transition",IF(AND(O462&gt;=Assumptions!$B$23,N462&lt;Assumptions!$B$26),"Low Block / Park the Bus",IF(AND(B462="FW",M462&gt;=Assumptions!$B$23,N462&lt;Assumptions!$B$26),"Direct / Target Approach","Flexible / Multi-System"))))))</f>
        <v>Flexible / Multi-System</v>
      </c>
      <c r="AD462" s="21" t="str">
        <f aca="false">'Player Data'!Y462</f>
        <v>2026-07-17</v>
      </c>
      <c r="AE462" s="21" t="str">
        <f aca="false">'Player Data'!Z462</f>
        <v>2026-07-17</v>
      </c>
      <c r="AF462" s="28" t="str">
        <f aca="false">IFERROR(INDEX(Assumptions!$B$30:$B$61,MATCH(C462,Assumptions!$A$30:$A$61,0)),"--")</f>
        <v>Belgium, Portugal</v>
      </c>
      <c r="AG462" s="30" t="str">
        <f aca="false">IF(R462&gt;=0.7,"Step-Up Candidate",IF(R462&gt;=0.4,"Lateral Move","Stay &amp; Develop"))</f>
        <v>Stay &amp; Develop</v>
      </c>
    </row>
    <row r="463" customFormat="false" ht="23.85" hidden="false" customHeight="false" outlineLevel="0" collapsed="false">
      <c r="A463" s="21" t="str">
        <f aca="false">'Player Data'!A463</f>
        <v>Enock Phiri</v>
      </c>
      <c r="B463" s="21" t="str">
        <f aca="false">'Player Data'!F463</f>
        <v>DF</v>
      </c>
      <c r="C463" s="21" t="str">
        <f aca="false">'Player Data'!B463</f>
        <v>Zambia</v>
      </c>
      <c r="D463" s="21" t="str">
        <f aca="false">'Player Data'!C463</f>
        <v>Zambia Regional League</v>
      </c>
      <c r="E463" s="21" t="n">
        <f aca="false">'Player Data'!D463</f>
        <v>3</v>
      </c>
      <c r="F463" s="21" t="n">
        <f aca="false">'Player Data'!G463</f>
        <v>25</v>
      </c>
      <c r="G463" s="21" t="n">
        <f aca="false">'Player Data'!H463</f>
        <v>1087</v>
      </c>
      <c r="H463" s="22" t="n">
        <f aca="false">IF(B463="GK",IFERROR(('Player Data'!N463-1.5*'Player Data'!O463)/'Player Data'!H463*90,0),IFERROR(('Player Data'!I463+'Player Data'!J463)/'Player Data'!H463*90,0))</f>
        <v>0.579576816927323</v>
      </c>
      <c r="I463" s="22" t="n">
        <f aca="false">IF(B463="GK",'Player Data'!P463,IFERROR(('Player Data'!K463+'Player Data'!L463)/'Player Data'!H463*90,0))</f>
        <v>7.8656853725851</v>
      </c>
      <c r="J463" s="22" t="n">
        <f aca="false">IF(B463="GK",IFERROR('Player Data'!Q463/'Player Data'!H463*90,0),IFERROR('Player Data'!M463/'Player Data'!H463*90,0))</f>
        <v>9.85280588776449</v>
      </c>
      <c r="K463" s="23" t="n">
        <f aca="false">'Player Data'!S463</f>
        <v>0</v>
      </c>
      <c r="L463" s="22" t="n">
        <f aca="false">INDEX(Assumptions!$B$13:$B$15,MATCH(E463,Assumptions!$A$13:$A$15,0))</f>
        <v>0.85</v>
      </c>
      <c r="M463" s="24" t="n">
        <f aca="false">IFERROR(SUMPRODUCT(($B$2:$B$1001=B463)*($H$2:$H$1001&lt;=H463))/SUMPRODUCT(($B$2:$B$1001=B463)*1),0)</f>
        <v>0.982993197278912</v>
      </c>
      <c r="N463" s="24" t="n">
        <f aca="false">IFERROR(SUMPRODUCT(($B$2:$B$1001=B463)*($I$2:$I$1001&lt;=I463))/SUMPRODUCT(($B$2:$B$1001=B463)*1),0)</f>
        <v>0.891156462585034</v>
      </c>
      <c r="O463" s="24" t="n">
        <f aca="false">IFERROR(SUMPRODUCT(($B$2:$B$1001=B463)*($J$2:$J$1001&lt;=J463))/SUMPRODUCT(($B$2:$B$1001=B463)*1),0)</f>
        <v>0.925170068027211</v>
      </c>
      <c r="P463" s="24" t="n">
        <f aca="false">IFERROR(SUMPRODUCT(($B$2:$B$1001=B463)*((0-$F$2:$F$1001)&lt;=(0-F463)))/SUMPRODUCT(($B$2:$B$1001=B463)*1),0)</f>
        <v>0.146258503401361</v>
      </c>
      <c r="Q463" s="25" t="n">
        <f aca="false">(M463*Assumptions!$B$5+N463*Assumptions!$B$6+O463*Assumptions!$B$7+P463*Assumptions!$B$8)*L463</f>
        <v>0.656147959183673</v>
      </c>
      <c r="R463" s="24" t="n">
        <f aca="false">IFERROR(SUMPRODUCT(($B$2:$B$1001=B463)*($Q$2:$Q$1001&lt;=Q463))/SUMPRODUCT(($B$2:$B$1001=B463)*1),0)</f>
        <v>0.826530612244898</v>
      </c>
      <c r="S463" s="24" t="n">
        <f aca="false">IFERROR(SUMPRODUCT(($B$2:$B$1001=B463)*($K$2:$K$1001&lt;=K463))/SUMPRODUCT(($B$2:$B$1001=B463)*1),0)</f>
        <v>0.248299319727891</v>
      </c>
      <c r="T463" s="26" t="n">
        <f aca="false">(R463-S463)*100</f>
        <v>57.8231292517007</v>
      </c>
      <c r="U463" s="21" t="str">
        <f aca="false">'Player Data'!T463</f>
        <v>Unknown</v>
      </c>
      <c r="V463" s="27" t="n">
        <f aca="false">'Player Data'!U463</f>
        <v>2027</v>
      </c>
      <c r="W463" s="21" t="str">
        <f aca="false">IF(AND(T463&gt;=Assumptions!$B$19,U463="No"),"High Priority - Unrepresented",IF(T463&gt;=Assumptions!$B$19,"High Priority",IF(AND(T463&gt;=Assumptions!$B$20,U463="No"),"Watchlist - Unrepresented",IF(T463&gt;=Assumptions!$B$20,"Watchlist",""))))</f>
        <v>High Priority</v>
      </c>
      <c r="X463" s="21" t="str">
        <f aca="false">'Player Data'!V463</f>
        <v>info@ndolarangers.zm</v>
      </c>
      <c r="Y463" s="28" t="str">
        <f aca="false">'Player Data'!W463</f>
        <v>Club sporting director / first-team office</v>
      </c>
      <c r="Z463" s="28" t="str">
        <f aca="false">'Player Data'!X463</f>
        <v>FAZ (Football Association of Zambia) player registry</v>
      </c>
      <c r="AA463" s="19" t="str">
        <f aca="false">HYPERLINK("https://www.transfermarkt.com/schnellsuche/ergebnis/schnellsuche?query="&amp;SUBSTITUTE(A463," ","+"),"Search Transfermarkt")</f>
        <v>Search Transfermarkt</v>
      </c>
      <c r="AB463" s="29" t="n">
        <f aca="false">IFERROR('Player Data'!K463/('Player Data'!K463+'Player Data'!L463),0)</f>
        <v>0.557894736842105</v>
      </c>
      <c r="AC463" s="21" t="str">
        <f aca="false">IF(B463="GK",IF(AND(O463&gt;=Assumptions!$B$23,N463&gt;=Assumptions!$B$23),"Sweeper-Keeper / Build-from-the-Back",IF(O463&gt;=Assumptions!$B$23,"Sweeper-Keeper / High Line",IF(M463&gt;=Assumptions!$B$23,"Shot-Stopper / Traditional","Flexible / Multi-System"))),IF(AND(O463&gt;=Assumptions!$B$23,P463&gt;=Assumptions!$B$24),"High Press / Gegenpressing",IF(AND(N463&gt;=Assumptions!$B$23,AB463&gt;=Assumptions!$B$25),"Possession / Build-from-the-Back",IF(N463&gt;=Assumptions!$B$23,"Counter-Attack / Transition",IF(AND(O463&gt;=Assumptions!$B$23,N463&lt;Assumptions!$B$26),"Low Block / Park the Bus",IF(AND(B463="FW",M463&gt;=Assumptions!$B$23,N463&lt;Assumptions!$B$26),"Direct / Target Approach","Flexible / Multi-System"))))))</f>
        <v>Counter-Attack / Transition</v>
      </c>
      <c r="AD463" s="21" t="str">
        <f aca="false">'Player Data'!Y463</f>
        <v>2026-07-17</v>
      </c>
      <c r="AE463" s="21" t="str">
        <f aca="false">'Player Data'!Z463</f>
        <v>2026-07-17</v>
      </c>
      <c r="AF463" s="28" t="str">
        <f aca="false">IFERROR(INDEX(Assumptions!$B$30:$B$61,MATCH(C463,Assumptions!$A$30:$A$61,0)),"--")</f>
        <v>Belgium, Portugal</v>
      </c>
      <c r="AG463" s="30" t="str">
        <f aca="false">IF(R463&gt;=0.7,"Step-Up Candidate",IF(R463&gt;=0.4,"Lateral Move","Stay &amp; Develop"))</f>
        <v>Step-Up Candidate</v>
      </c>
    </row>
    <row r="464" customFormat="false" ht="23.85" hidden="false" customHeight="false" outlineLevel="0" collapsed="false">
      <c r="A464" s="21" t="str">
        <f aca="false">'Player Data'!A464</f>
        <v>Roberts Kalns</v>
      </c>
      <c r="B464" s="21" t="str">
        <f aca="false">'Player Data'!F464</f>
        <v>GK</v>
      </c>
      <c r="C464" s="21" t="str">
        <f aca="false">'Player Data'!B464</f>
        <v>Latvia</v>
      </c>
      <c r="D464" s="21" t="str">
        <f aca="false">'Player Data'!C464</f>
        <v>Latvia Second Division - West</v>
      </c>
      <c r="E464" s="21" t="n">
        <f aca="false">'Player Data'!D464</f>
        <v>2</v>
      </c>
      <c r="F464" s="21" t="n">
        <f aca="false">'Player Data'!G464</f>
        <v>17</v>
      </c>
      <c r="G464" s="21" t="n">
        <f aca="false">'Player Data'!H464</f>
        <v>868</v>
      </c>
      <c r="H464" s="22" t="n">
        <f aca="false">IF(B464="GK",IFERROR(('Player Data'!N464-1.5*'Player Data'!O464)/'Player Data'!H464*90,0),IFERROR(('Player Data'!I464+'Player Data'!J464)/'Player Data'!H464*90,0))</f>
        <v>0.518433179723502</v>
      </c>
      <c r="I464" s="22" t="n">
        <f aca="false">IF(B464="GK",'Player Data'!P464,IFERROR(('Player Data'!K464+'Player Data'!L464)/'Player Data'!H464*90,0))</f>
        <v>68.5</v>
      </c>
      <c r="J464" s="22" t="n">
        <f aca="false">IF(B464="GK",IFERROR('Player Data'!Q464/'Player Data'!H464*90,0),IFERROR('Player Data'!M464/'Player Data'!H464*90,0))</f>
        <v>1.15092165898618</v>
      </c>
      <c r="K464" s="23" t="n">
        <f aca="false">'Player Data'!S464</f>
        <v>52008</v>
      </c>
      <c r="L464" s="22" t="n">
        <f aca="false">INDEX(Assumptions!$B$13:$B$15,MATCH(E464,Assumptions!$A$13:$A$15,0))</f>
        <v>1</v>
      </c>
      <c r="M464" s="24" t="n">
        <f aca="false">IFERROR(SUMPRODUCT(($B$2:$B$1001=B464)*($H$2:$H$1001&lt;=H464))/SUMPRODUCT(($B$2:$B$1001=B464)*1),0)</f>
        <v>0.284153005464481</v>
      </c>
      <c r="N464" s="24" t="n">
        <f aca="false">IFERROR(SUMPRODUCT(($B$2:$B$1001=B464)*($I$2:$I$1001&lt;=I464))/SUMPRODUCT(($B$2:$B$1001=B464)*1),0)</f>
        <v>0.377049180327869</v>
      </c>
      <c r="O464" s="24" t="n">
        <f aca="false">IFERROR(SUMPRODUCT(($B$2:$B$1001=B464)*($J$2:$J$1001&lt;=J464))/SUMPRODUCT(($B$2:$B$1001=B464)*1),0)</f>
        <v>0.710382513661202</v>
      </c>
      <c r="P464" s="24" t="n">
        <f aca="false">IFERROR(SUMPRODUCT(($B$2:$B$1001=B464)*((0-$F$2:$F$1001)&lt;=(0-F464)))/SUMPRODUCT(($B$2:$B$1001=B464)*1),0)</f>
        <v>1</v>
      </c>
      <c r="Q464" s="25" t="n">
        <f aca="false">(M464*Assumptions!$B$5+N464*Assumptions!$B$6+O464*Assumptions!$B$7+P464*Assumptions!$B$8)*L464</f>
        <v>0.545081967213115</v>
      </c>
      <c r="R464" s="24" t="n">
        <f aca="false">IFERROR(SUMPRODUCT(($B$2:$B$1001=B464)*($Q$2:$Q$1001&lt;=Q464))/SUMPRODUCT(($B$2:$B$1001=B464)*1),0)</f>
        <v>0.73224043715847</v>
      </c>
      <c r="S464" s="24" t="n">
        <f aca="false">IFERROR(SUMPRODUCT(($B$2:$B$1001=B464)*($K$2:$K$1001&lt;=K464))/SUMPRODUCT(($B$2:$B$1001=B464)*1),0)</f>
        <v>0.404371584699454</v>
      </c>
      <c r="T464" s="26" t="n">
        <f aca="false">(R464-S464)*100</f>
        <v>32.7868852459016</v>
      </c>
      <c r="U464" s="21" t="str">
        <f aca="false">'Player Data'!T464</f>
        <v>No</v>
      </c>
      <c r="V464" s="27" t="n">
        <f aca="false">'Player Data'!U464</f>
        <v>2028</v>
      </c>
      <c r="W464" s="21" t="str">
        <f aca="false">IF(AND(T464&gt;=Assumptions!$B$19,U464="No"),"High Priority - Unrepresented",IF(T464&gt;=Assumptions!$B$19,"High Priority",IF(AND(T464&gt;=Assumptions!$B$20,U464="No"),"Watchlist - Unrepresented",IF(T464&gt;=Assumptions!$B$20,"Watchlist",""))))</f>
        <v>Watchlist - Unrepresented</v>
      </c>
      <c r="X464" s="21" t="str">
        <f aca="false">'Player Data'!V464</f>
        <v>info@rigarangers.lv</v>
      </c>
      <c r="Y464" s="28" t="str">
        <f aca="false">'Player Data'!W464</f>
        <v>Club youth/academy office ONLY - player is a minor, do not contact directly</v>
      </c>
      <c r="Z464" s="28" t="str">
        <f aca="false">'Player Data'!X464</f>
        <v>LFF (Latvian Football Federation) player registry</v>
      </c>
      <c r="AA464" s="19" t="str">
        <f aca="false">HYPERLINK("https://www.transfermarkt.com/schnellsuche/ergebnis/schnellsuche?query="&amp;SUBSTITUTE(A464," ","+"),"Search Transfermarkt")</f>
        <v>Search Transfermarkt</v>
      </c>
      <c r="AB464" s="29" t="n">
        <f aca="false">IFERROR('Player Data'!K464/('Player Data'!K464+'Player Data'!L464),0)</f>
        <v>0.909090909090909</v>
      </c>
      <c r="AC464" s="21" t="str">
        <f aca="false">IF(B464="GK",IF(AND(O464&gt;=Assumptions!$B$23,N464&gt;=Assumptions!$B$23),"Sweeper-Keeper / Build-from-the-Back",IF(O464&gt;=Assumptions!$B$23,"Sweeper-Keeper / High Line",IF(M464&gt;=Assumptions!$B$23,"Shot-Stopper / Traditional","Flexible / Multi-System"))),IF(AND(O464&gt;=Assumptions!$B$23,P464&gt;=Assumptions!$B$24),"High Press / Gegenpressing",IF(AND(N464&gt;=Assumptions!$B$23,AB464&gt;=Assumptions!$B$25),"Possession / Build-from-the-Back",IF(N464&gt;=Assumptions!$B$23,"Counter-Attack / Transition",IF(AND(O464&gt;=Assumptions!$B$23,N464&lt;Assumptions!$B$26),"Low Block / Park the Bus",IF(AND(B464="FW",M464&gt;=Assumptions!$B$23,N464&lt;Assumptions!$B$26),"Direct / Target Approach","Flexible / Multi-System"))))))</f>
        <v>Sweeper-Keeper / High Line</v>
      </c>
      <c r="AD464" s="21" t="str">
        <f aca="false">'Player Data'!Y464</f>
        <v>2026-07-17</v>
      </c>
      <c r="AE464" s="21" t="str">
        <f aca="false">'Player Data'!Z464</f>
        <v>2026-07-17</v>
      </c>
      <c r="AF464" s="28" t="str">
        <f aca="false">IFERROR(INDEX(Assumptions!$B$30:$B$61,MATCH(C464,Assumptions!$A$30:$A$61,0)),"--")</f>
        <v>Poland, Norway</v>
      </c>
      <c r="AG464" s="30" t="str">
        <f aca="false">IF(R464&gt;=0.7,"Step-Up Candidate",IF(R464&gt;=0.4,"Lateral Move","Stay &amp; Develop"))</f>
        <v>Step-Up Candidate</v>
      </c>
    </row>
    <row r="465" customFormat="false" ht="23.85" hidden="false" customHeight="false" outlineLevel="0" collapsed="false">
      <c r="A465" s="21" t="str">
        <f aca="false">'Player Data'!A465</f>
        <v>Andri Halldorsson</v>
      </c>
      <c r="B465" s="21" t="str">
        <f aca="false">'Player Data'!F465</f>
        <v>DF</v>
      </c>
      <c r="C465" s="21" t="str">
        <f aca="false">'Player Data'!B465</f>
        <v>Iceland</v>
      </c>
      <c r="D465" s="21" t="str">
        <f aca="false">'Player Data'!C465</f>
        <v>Iceland Amateur League</v>
      </c>
      <c r="E465" s="21" t="n">
        <f aca="false">'Player Data'!D465</f>
        <v>4</v>
      </c>
      <c r="F465" s="21" t="n">
        <f aca="false">'Player Data'!G465</f>
        <v>18</v>
      </c>
      <c r="G465" s="21" t="n">
        <f aca="false">'Player Data'!H465</f>
        <v>1074</v>
      </c>
      <c r="H465" s="22" t="n">
        <f aca="false">IF(B465="GK",IFERROR(('Player Data'!N465-1.5*'Player Data'!O465)/'Player Data'!H465*90,0),IFERROR(('Player Data'!I465+'Player Data'!J465)/'Player Data'!H465*90,0))</f>
        <v>0.418994413407821</v>
      </c>
      <c r="I465" s="22" t="n">
        <f aca="false">IF(B465="GK",'Player Data'!P465,IFERROR(('Player Data'!K465+'Player Data'!L465)/'Player Data'!H465*90,0))</f>
        <v>6.53631284916201</v>
      </c>
      <c r="J465" s="22" t="n">
        <f aca="false">IF(B465="GK",IFERROR('Player Data'!Q465/'Player Data'!H465*90,0),IFERROR('Player Data'!M465/'Player Data'!H465*90,0))</f>
        <v>7.9608938547486</v>
      </c>
      <c r="K465" s="23" t="n">
        <f aca="false">'Player Data'!S465</f>
        <v>43652</v>
      </c>
      <c r="L465" s="22" t="n">
        <f aca="false">INDEX(Assumptions!$B$13:$B$15,MATCH(E465,Assumptions!$A$13:$A$15,0))</f>
        <v>0.7</v>
      </c>
      <c r="M465" s="24" t="n">
        <f aca="false">IFERROR(SUMPRODUCT(($B$2:$B$1001=B465)*($H$2:$H$1001&lt;=H465))/SUMPRODUCT(($B$2:$B$1001=B465)*1),0)</f>
        <v>0.914965986394558</v>
      </c>
      <c r="N465" s="24" t="n">
        <f aca="false">IFERROR(SUMPRODUCT(($B$2:$B$1001=B465)*($I$2:$I$1001&lt;=I465))/SUMPRODUCT(($B$2:$B$1001=B465)*1),0)</f>
        <v>0.802721088435374</v>
      </c>
      <c r="O465" s="24" t="n">
        <f aca="false">IFERROR(SUMPRODUCT(($B$2:$B$1001=B465)*($J$2:$J$1001&lt;=J465))/SUMPRODUCT(($B$2:$B$1001=B465)*1),0)</f>
        <v>0.840136054421769</v>
      </c>
      <c r="P465" s="24" t="n">
        <f aca="false">IFERROR(SUMPRODUCT(($B$2:$B$1001=B465)*((0-$F$2:$F$1001)&lt;=(0-F465)))/SUMPRODUCT(($B$2:$B$1001=B465)*1),0)</f>
        <v>0.863945578231293</v>
      </c>
      <c r="Q465" s="25" t="n">
        <f aca="false">(M465*Assumptions!$B$5+N465*Assumptions!$B$6+O465*Assumptions!$B$7+P465*Assumptions!$B$8)*L465</f>
        <v>0.595357142857143</v>
      </c>
      <c r="R465" s="24" t="n">
        <f aca="false">IFERROR(SUMPRODUCT(($B$2:$B$1001=B465)*($Q$2:$Q$1001&lt;=Q465))/SUMPRODUCT(($B$2:$B$1001=B465)*1),0)</f>
        <v>0.751700680272109</v>
      </c>
      <c r="S465" s="24" t="n">
        <f aca="false">IFERROR(SUMPRODUCT(($B$2:$B$1001=B465)*($K$2:$K$1001&lt;=K465))/SUMPRODUCT(($B$2:$B$1001=B465)*1),0)</f>
        <v>0.421768707482993</v>
      </c>
      <c r="T465" s="26" t="n">
        <f aca="false">(R465-S465)*100</f>
        <v>32.9931972789116</v>
      </c>
      <c r="U465" s="21" t="str">
        <f aca="false">'Player Data'!T465</f>
        <v>No</v>
      </c>
      <c r="V465" s="27" t="n">
        <f aca="false">'Player Data'!U465</f>
        <v>2027</v>
      </c>
      <c r="W465" s="21" t="str">
        <f aca="false">IF(AND(T465&gt;=Assumptions!$B$19,U465="No"),"High Priority - Unrepresented",IF(T465&gt;=Assumptions!$B$19,"High Priority",IF(AND(T465&gt;=Assumptions!$B$20,U465="No"),"Watchlist - Unrepresented",IF(T465&gt;=Assumptions!$B$20,"Watchlist",""))))</f>
        <v>Watchlist - Unrepresented</v>
      </c>
      <c r="X465" s="21" t="str">
        <f aca="false">'Player Data'!V465</f>
        <v>info@keflavikunited.is</v>
      </c>
      <c r="Y465" s="28" t="str">
        <f aca="false">'Player Data'!W465</f>
        <v>Club sporting director / first-team office</v>
      </c>
      <c r="Z465" s="28" t="str">
        <f aca="false">'Player Data'!X465</f>
        <v>KSI (Icelandic Football Association) player registry</v>
      </c>
      <c r="AA465" s="19" t="str">
        <f aca="false">HYPERLINK("https://www.transfermarkt.com/schnellsuche/ergebnis/schnellsuche?query="&amp;SUBSTITUTE(A465," ","+"),"Search Transfermarkt")</f>
        <v>Search Transfermarkt</v>
      </c>
      <c r="AB465" s="29" t="n">
        <f aca="false">IFERROR('Player Data'!K465/('Player Data'!K465+'Player Data'!L465),0)</f>
        <v>0.564102564102564</v>
      </c>
      <c r="AC465" s="21" t="str">
        <f aca="false">IF(B465="GK",IF(AND(O465&gt;=Assumptions!$B$23,N465&gt;=Assumptions!$B$23),"Sweeper-Keeper / Build-from-the-Back",IF(O465&gt;=Assumptions!$B$23,"Sweeper-Keeper / High Line",IF(M465&gt;=Assumptions!$B$23,"Shot-Stopper / Traditional","Flexible / Multi-System"))),IF(AND(O465&gt;=Assumptions!$B$23,P465&gt;=Assumptions!$B$24),"High Press / Gegenpressing",IF(AND(N465&gt;=Assumptions!$B$23,AB465&gt;=Assumptions!$B$25),"Possession / Build-from-the-Back",IF(N465&gt;=Assumptions!$B$23,"Counter-Attack / Transition",IF(AND(O465&gt;=Assumptions!$B$23,N465&lt;Assumptions!$B$26),"Low Block / Park the Bus",IF(AND(B465="FW",M465&gt;=Assumptions!$B$23,N465&lt;Assumptions!$B$26),"Direct / Target Approach","Flexible / Multi-System"))))))</f>
        <v>High Press / Gegenpressing</v>
      </c>
      <c r="AD465" s="21" t="str">
        <f aca="false">'Player Data'!Y465</f>
        <v>2026-07-17</v>
      </c>
      <c r="AE465" s="21" t="str">
        <f aca="false">'Player Data'!Z465</f>
        <v>2026-07-17</v>
      </c>
      <c r="AF465" s="28" t="str">
        <f aca="false">IFERROR(INDEX(Assumptions!$B$30:$B$61,MATCH(C465,Assumptions!$A$30:$A$61,0)),"--")</f>
        <v>Norway, Belgium</v>
      </c>
      <c r="AG465" s="30" t="str">
        <f aca="false">IF(R465&gt;=0.7,"Step-Up Candidate",IF(R465&gt;=0.4,"Lateral Move","Stay &amp; Develop"))</f>
        <v>Step-Up Candidate</v>
      </c>
    </row>
    <row r="466" customFormat="false" ht="23.85" hidden="false" customHeight="false" outlineLevel="0" collapsed="false">
      <c r="A466" s="21" t="str">
        <f aca="false">'Player Data'!A466</f>
        <v>Christian Njie</v>
      </c>
      <c r="B466" s="21" t="str">
        <f aca="false">'Player Data'!F466</f>
        <v>DF</v>
      </c>
      <c r="C466" s="21" t="str">
        <f aca="false">'Player Data'!B466</f>
        <v>Cameroon</v>
      </c>
      <c r="D466" s="21" t="str">
        <f aca="false">'Player Data'!C466</f>
        <v>Cameroon Third Tier - North</v>
      </c>
      <c r="E466" s="21" t="n">
        <f aca="false">'Player Data'!D466</f>
        <v>2</v>
      </c>
      <c r="F466" s="21" t="n">
        <f aca="false">'Player Data'!G466</f>
        <v>20</v>
      </c>
      <c r="G466" s="21" t="n">
        <f aca="false">'Player Data'!H466</f>
        <v>1276</v>
      </c>
      <c r="H466" s="22" t="n">
        <f aca="false">IF(B466="GK",IFERROR(('Player Data'!N466-1.5*'Player Data'!O466)/'Player Data'!H466*90,0),IFERROR(('Player Data'!I466+'Player Data'!J466)/'Player Data'!H466*90,0))</f>
        <v>0</v>
      </c>
      <c r="I466" s="22" t="n">
        <f aca="false">IF(B466="GK",'Player Data'!P466,IFERROR(('Player Data'!K466+'Player Data'!L466)/'Player Data'!H466*90,0))</f>
        <v>6.77115987460815</v>
      </c>
      <c r="J466" s="22" t="n">
        <f aca="false">IF(B466="GK",IFERROR('Player Data'!Q466/'Player Data'!H466*90,0),IFERROR('Player Data'!M466/'Player Data'!H466*90,0))</f>
        <v>7.82915360501567</v>
      </c>
      <c r="K466" s="23" t="n">
        <f aca="false">'Player Data'!S466</f>
        <v>140395</v>
      </c>
      <c r="L466" s="22" t="n">
        <f aca="false">INDEX(Assumptions!$B$13:$B$15,MATCH(E466,Assumptions!$A$13:$A$15,0))</f>
        <v>1</v>
      </c>
      <c r="M466" s="24" t="n">
        <f aca="false">IFERROR(SUMPRODUCT(($B$2:$B$1001=B466)*($H$2:$H$1001&lt;=H466))/SUMPRODUCT(($B$2:$B$1001=B466)*1),0)</f>
        <v>0.0408163265306122</v>
      </c>
      <c r="N466" s="24" t="n">
        <f aca="false">IFERROR(SUMPRODUCT(($B$2:$B$1001=B466)*($I$2:$I$1001&lt;=I466))/SUMPRODUCT(($B$2:$B$1001=B466)*1),0)</f>
        <v>0.816326530612245</v>
      </c>
      <c r="O466" s="24" t="n">
        <f aca="false">IFERROR(SUMPRODUCT(($B$2:$B$1001=B466)*($J$2:$J$1001&lt;=J466))/SUMPRODUCT(($B$2:$B$1001=B466)*1),0)</f>
        <v>0.82312925170068</v>
      </c>
      <c r="P466" s="24" t="n">
        <f aca="false">IFERROR(SUMPRODUCT(($B$2:$B$1001=B466)*((0-$F$2:$F$1001)&lt;=(0-F466)))/SUMPRODUCT(($B$2:$B$1001=B466)*1),0)</f>
        <v>0.656462585034014</v>
      </c>
      <c r="Q466" s="25" t="n">
        <f aca="false">(M466*Assumptions!$B$5+N466*Assumptions!$B$6+O466*Assumptions!$B$7+P466*Assumptions!$B$8)*L466</f>
        <v>0.591836734693878</v>
      </c>
      <c r="R466" s="24" t="n">
        <f aca="false">IFERROR(SUMPRODUCT(($B$2:$B$1001=B466)*($Q$2:$Q$1001&lt;=Q466))/SUMPRODUCT(($B$2:$B$1001=B466)*1),0)</f>
        <v>0.738095238095238</v>
      </c>
      <c r="S466" s="24" t="n">
        <f aca="false">IFERROR(SUMPRODUCT(($B$2:$B$1001=B466)*($K$2:$K$1001&lt;=K466))/SUMPRODUCT(($B$2:$B$1001=B466)*1),0)</f>
        <v>0.952380952380952</v>
      </c>
      <c r="T466" s="26" t="n">
        <f aca="false">(R466-S466)*100</f>
        <v>-21.4285714285714</v>
      </c>
      <c r="U466" s="21" t="str">
        <f aca="false">'Player Data'!T466</f>
        <v>No</v>
      </c>
      <c r="V466" s="27" t="n">
        <f aca="false">'Player Data'!U466</f>
        <v>2027</v>
      </c>
      <c r="W466" s="21" t="str">
        <f aca="false">IF(AND(T466&gt;=Assumptions!$B$19,U466="No"),"High Priority - Unrepresented",IF(T466&gt;=Assumptions!$B$19,"High Priority",IF(AND(T466&gt;=Assumptions!$B$20,U466="No"),"Watchlist - Unrepresented",IF(T466&gt;=Assumptions!$B$20,"Watchlist",""))))</f>
        <v/>
      </c>
      <c r="X466" s="21" t="str">
        <f aca="false">'Player Data'!V466</f>
        <v>info@doualatown.cm</v>
      </c>
      <c r="Y466" s="28" t="str">
        <f aca="false">'Player Data'!W466</f>
        <v>Club sporting director / first-team office</v>
      </c>
      <c r="Z466" s="28" t="str">
        <f aca="false">'Player Data'!X466</f>
        <v>FECAFOOT (Cameroonian Football Federation) player registry</v>
      </c>
      <c r="AA466" s="19" t="str">
        <f aca="false">HYPERLINK("https://www.transfermarkt.com/schnellsuche/ergebnis/schnellsuche?query="&amp;SUBSTITUTE(A466," ","+"),"Search Transfermarkt")</f>
        <v>Search Transfermarkt</v>
      </c>
      <c r="AB466" s="29" t="n">
        <f aca="false">IFERROR('Player Data'!K466/('Player Data'!K466+'Player Data'!L466),0)</f>
        <v>0.729166666666667</v>
      </c>
      <c r="AC466" s="21" t="str">
        <f aca="false">IF(B466="GK",IF(AND(O466&gt;=Assumptions!$B$23,N466&gt;=Assumptions!$B$23),"Sweeper-Keeper / Build-from-the-Back",IF(O466&gt;=Assumptions!$B$23,"Sweeper-Keeper / High Line",IF(M466&gt;=Assumptions!$B$23,"Shot-Stopper / Traditional","Flexible / Multi-System"))),IF(AND(O466&gt;=Assumptions!$B$23,P466&gt;=Assumptions!$B$24),"High Press / Gegenpressing",IF(AND(N466&gt;=Assumptions!$B$23,AB466&gt;=Assumptions!$B$25),"Possession / Build-from-the-Back",IF(N466&gt;=Assumptions!$B$23,"Counter-Attack / Transition",IF(AND(O466&gt;=Assumptions!$B$23,N466&lt;Assumptions!$B$26),"Low Block / Park the Bus",IF(AND(B466="FW",M466&gt;=Assumptions!$B$23,N466&lt;Assumptions!$B$26),"Direct / Target Approach","Flexible / Multi-System"))))))</f>
        <v>High Press / Gegenpressing</v>
      </c>
      <c r="AD466" s="21" t="str">
        <f aca="false">'Player Data'!Y466</f>
        <v>2026-07-17</v>
      </c>
      <c r="AE466" s="21" t="str">
        <f aca="false">'Player Data'!Z466</f>
        <v>2026-07-17</v>
      </c>
      <c r="AF466" s="28" t="str">
        <f aca="false">IFERROR(INDEX(Assumptions!$B$30:$B$61,MATCH(C466,Assumptions!$A$30:$A$61,0)),"--")</f>
        <v>Belgium, Portugal</v>
      </c>
      <c r="AG466" s="30" t="str">
        <f aca="false">IF(R466&gt;=0.7,"Step-Up Candidate",IF(R466&gt;=0.4,"Lateral Move","Stay &amp; Develop"))</f>
        <v>Step-Up Candidate</v>
      </c>
    </row>
    <row r="467" customFormat="false" ht="23.85" hidden="false" customHeight="false" outlineLevel="0" collapsed="false">
      <c r="A467" s="21" t="str">
        <f aca="false">'Player Data'!A467</f>
        <v>Wuilker Hernandez</v>
      </c>
      <c r="B467" s="21" t="str">
        <f aca="false">'Player Data'!F467</f>
        <v>MF</v>
      </c>
      <c r="C467" s="21" t="str">
        <f aca="false">'Player Data'!B467</f>
        <v>Venezuela</v>
      </c>
      <c r="D467" s="21" t="str">
        <f aca="false">'Player Data'!C467</f>
        <v>Venezuela Reserve League</v>
      </c>
      <c r="E467" s="21" t="n">
        <f aca="false">'Player Data'!D467</f>
        <v>4</v>
      </c>
      <c r="F467" s="21" t="n">
        <f aca="false">'Player Data'!G467</f>
        <v>20</v>
      </c>
      <c r="G467" s="21" t="n">
        <f aca="false">'Player Data'!H467</f>
        <v>1170</v>
      </c>
      <c r="H467" s="22" t="n">
        <f aca="false">IF(B467="GK",IFERROR(('Player Data'!N467-1.5*'Player Data'!O467)/'Player Data'!H467*90,0),IFERROR(('Player Data'!I467+'Player Data'!J467)/'Player Data'!H467*90,0))</f>
        <v>0.923076923076923</v>
      </c>
      <c r="I467" s="22" t="n">
        <f aca="false">IF(B467="GK",'Player Data'!P467,IFERROR(('Player Data'!K467+'Player Data'!L467)/'Player Data'!H467*90,0))</f>
        <v>15.8461538461538</v>
      </c>
      <c r="J467" s="22" t="n">
        <f aca="false">IF(B467="GK",IFERROR('Player Data'!Q467/'Player Data'!H467*90,0),IFERROR('Player Data'!M467/'Player Data'!H467*90,0))</f>
        <v>3.61538461538462</v>
      </c>
      <c r="K467" s="23" t="n">
        <f aca="false">'Player Data'!S467</f>
        <v>105590</v>
      </c>
      <c r="L467" s="22" t="n">
        <f aca="false">INDEX(Assumptions!$B$13:$B$15,MATCH(E467,Assumptions!$A$13:$A$15,0))</f>
        <v>0.7</v>
      </c>
      <c r="M467" s="24" t="n">
        <f aca="false">IFERROR(SUMPRODUCT(($B$2:$B$1001=B467)*($H$2:$H$1001&lt;=H467))/SUMPRODUCT(($B$2:$B$1001=B467)*1),0)</f>
        <v>0.703703703703704</v>
      </c>
      <c r="N467" s="24" t="n">
        <f aca="false">IFERROR(SUMPRODUCT(($B$2:$B$1001=B467)*($I$2:$I$1001&lt;=I467))/SUMPRODUCT(($B$2:$B$1001=B467)*1),0)</f>
        <v>0.777777777777778</v>
      </c>
      <c r="O467" s="24" t="n">
        <f aca="false">IFERROR(SUMPRODUCT(($B$2:$B$1001=B467)*($J$2:$J$1001&lt;=J467))/SUMPRODUCT(($B$2:$B$1001=B467)*1),0)</f>
        <v>0.882154882154882</v>
      </c>
      <c r="P467" s="24" t="n">
        <f aca="false">IFERROR(SUMPRODUCT(($B$2:$B$1001=B467)*((0-$F$2:$F$1001)&lt;=(0-F467)))/SUMPRODUCT(($B$2:$B$1001=B467)*1),0)</f>
        <v>0.734006734006734</v>
      </c>
      <c r="Q467" s="25" t="n">
        <f aca="false">(M467*Assumptions!$B$5+N467*Assumptions!$B$6+O467*Assumptions!$B$7+P467*Assumptions!$B$8)*L467</f>
        <v>0.53996632996633</v>
      </c>
      <c r="R467" s="24" t="n">
        <f aca="false">IFERROR(SUMPRODUCT(($B$2:$B$1001=B467)*($Q$2:$Q$1001&lt;=Q467))/SUMPRODUCT(($B$2:$B$1001=B467)*1),0)</f>
        <v>0.686868686868687</v>
      </c>
      <c r="S467" s="24" t="n">
        <f aca="false">IFERROR(SUMPRODUCT(($B$2:$B$1001=B467)*($K$2:$K$1001&lt;=K467))/SUMPRODUCT(($B$2:$B$1001=B467)*1),0)</f>
        <v>0.760942760942761</v>
      </c>
      <c r="T467" s="26" t="n">
        <f aca="false">(R467-S467)*100</f>
        <v>-7.40740740740741</v>
      </c>
      <c r="U467" s="21" t="str">
        <f aca="false">'Player Data'!T467</f>
        <v>Unknown</v>
      </c>
      <c r="V467" s="27" t="n">
        <f aca="false">'Player Data'!U467</f>
        <v>2029</v>
      </c>
      <c r="W467" s="21" t="str">
        <f aca="false">IF(AND(T467&gt;=Assumptions!$B$19,U467="No"),"High Priority - Unrepresented",IF(T467&gt;=Assumptions!$B$19,"High Priority",IF(AND(T467&gt;=Assumptions!$B$20,U467="No"),"Watchlist - Unrepresented",IF(T467&gt;=Assumptions!$B$20,"Watchlist",""))))</f>
        <v/>
      </c>
      <c r="X467" s="21" t="str">
        <f aca="false">'Player Data'!V467</f>
        <v>info@caracastown.ve</v>
      </c>
      <c r="Y467" s="28" t="str">
        <f aca="false">'Player Data'!W467</f>
        <v>Club sporting director / first-team office</v>
      </c>
      <c r="Z467" s="28" t="str">
        <f aca="false">'Player Data'!X467</f>
        <v>FVF (Venezuelan Football Federation) player registry</v>
      </c>
      <c r="AA467" s="19" t="str">
        <f aca="false">HYPERLINK("https://www.transfermarkt.com/schnellsuche/ergebnis/schnellsuche?query="&amp;SUBSTITUTE(A467," ","+"),"Search Transfermarkt")</f>
        <v>Search Transfermarkt</v>
      </c>
      <c r="AB467" s="29" t="n">
        <f aca="false">IFERROR('Player Data'!K467/('Player Data'!K467+'Player Data'!L467),0)</f>
        <v>0.737864077669903</v>
      </c>
      <c r="AC467" s="21" t="str">
        <f aca="false">IF(B467="GK",IF(AND(O467&gt;=Assumptions!$B$23,N467&gt;=Assumptions!$B$23),"Sweeper-Keeper / Build-from-the-Back",IF(O467&gt;=Assumptions!$B$23,"Sweeper-Keeper / High Line",IF(M467&gt;=Assumptions!$B$23,"Shot-Stopper / Traditional","Flexible / Multi-System"))),IF(AND(O467&gt;=Assumptions!$B$23,P467&gt;=Assumptions!$B$24),"High Press / Gegenpressing",IF(AND(N467&gt;=Assumptions!$B$23,AB467&gt;=Assumptions!$B$25),"Possession / Build-from-the-Back",IF(N467&gt;=Assumptions!$B$23,"Counter-Attack / Transition",IF(AND(O467&gt;=Assumptions!$B$23,N467&lt;Assumptions!$B$26),"Low Block / Park the Bus",IF(AND(B467="FW",M467&gt;=Assumptions!$B$23,N467&lt;Assumptions!$B$26),"Direct / Target Approach","Flexible / Multi-System"))))))</f>
        <v>High Press / Gegenpressing</v>
      </c>
      <c r="AD467" s="21" t="str">
        <f aca="false">'Player Data'!Y467</f>
        <v>2026-07-17</v>
      </c>
      <c r="AE467" s="21" t="str">
        <f aca="false">'Player Data'!Z467</f>
        <v>2026-07-17</v>
      </c>
      <c r="AF467" s="28" t="str">
        <f aca="false">IFERROR(INDEX(Assumptions!$B$30:$B$61,MATCH(C467,Assumptions!$A$30:$A$61,0)),"--")</f>
        <v>Argentina, Portugal</v>
      </c>
      <c r="AG467" s="30" t="str">
        <f aca="false">IF(R467&gt;=0.7,"Step-Up Candidate",IF(R467&gt;=0.4,"Lateral Move","Stay &amp; Develop"))</f>
        <v>Lateral Move</v>
      </c>
    </row>
    <row r="468" customFormat="false" ht="23.85" hidden="false" customHeight="false" outlineLevel="0" collapsed="false">
      <c r="A468" s="21" t="str">
        <f aca="false">'Player Data'!A468</f>
        <v>Cheikh Faye</v>
      </c>
      <c r="B468" s="21" t="str">
        <f aca="false">'Player Data'!F468</f>
        <v>MF</v>
      </c>
      <c r="C468" s="21" t="str">
        <f aca="false">'Player Data'!B468</f>
        <v>Senegal</v>
      </c>
      <c r="D468" s="21" t="str">
        <f aca="false">'Player Data'!C468</f>
        <v>Senegal Regional League</v>
      </c>
      <c r="E468" s="21" t="n">
        <f aca="false">'Player Data'!D468</f>
        <v>3</v>
      </c>
      <c r="F468" s="21" t="n">
        <f aca="false">'Player Data'!G468</f>
        <v>22</v>
      </c>
      <c r="G468" s="21" t="n">
        <f aca="false">'Player Data'!H468</f>
        <v>1482</v>
      </c>
      <c r="H468" s="22" t="n">
        <f aca="false">IF(B468="GK",IFERROR(('Player Data'!N468-1.5*'Player Data'!O468)/'Player Data'!H468*90,0),IFERROR(('Player Data'!I468+'Player Data'!J468)/'Player Data'!H468*90,0))</f>
        <v>1.21457489878543</v>
      </c>
      <c r="I468" s="22" t="n">
        <f aca="false">IF(B468="GK",'Player Data'!P468,IFERROR(('Player Data'!K468+'Player Data'!L468)/'Player Data'!H468*90,0))</f>
        <v>12.4493927125506</v>
      </c>
      <c r="J468" s="22" t="n">
        <f aca="false">IF(B468="GK",IFERROR('Player Data'!Q468/'Player Data'!H468*90,0),IFERROR('Player Data'!M468/'Player Data'!H468*90,0))</f>
        <v>3.09716599190283</v>
      </c>
      <c r="K468" s="23" t="n">
        <f aca="false">'Player Data'!S468</f>
        <v>112863</v>
      </c>
      <c r="L468" s="22" t="n">
        <f aca="false">INDEX(Assumptions!$B$13:$B$15,MATCH(E468,Assumptions!$A$13:$A$15,0))</f>
        <v>0.85</v>
      </c>
      <c r="M468" s="24" t="n">
        <f aca="false">IFERROR(SUMPRODUCT(($B$2:$B$1001=B468)*($H$2:$H$1001&lt;=H468))/SUMPRODUCT(($B$2:$B$1001=B468)*1),0)</f>
        <v>0.851851851851852</v>
      </c>
      <c r="N468" s="24" t="n">
        <f aca="false">IFERROR(SUMPRODUCT(($B$2:$B$1001=B468)*($I$2:$I$1001&lt;=I468))/SUMPRODUCT(($B$2:$B$1001=B468)*1),0)</f>
        <v>0.61952861952862</v>
      </c>
      <c r="O468" s="24" t="n">
        <f aca="false">IFERROR(SUMPRODUCT(($B$2:$B$1001=B468)*($J$2:$J$1001&lt;=J468))/SUMPRODUCT(($B$2:$B$1001=B468)*1),0)</f>
        <v>0.784511784511785</v>
      </c>
      <c r="P468" s="24" t="n">
        <f aca="false">IFERROR(SUMPRODUCT(($B$2:$B$1001=B468)*((0-$F$2:$F$1001)&lt;=(0-F468)))/SUMPRODUCT(($B$2:$B$1001=B468)*1),0)</f>
        <v>0.515151515151515</v>
      </c>
      <c r="Q468" s="25" t="n">
        <f aca="false">(M468*Assumptions!$B$5+N468*Assumptions!$B$6+O468*Assumptions!$B$7+P468*Assumptions!$B$8)*L468</f>
        <v>0.586271043771044</v>
      </c>
      <c r="R468" s="24" t="n">
        <f aca="false">IFERROR(SUMPRODUCT(($B$2:$B$1001=B468)*($Q$2:$Q$1001&lt;=Q468))/SUMPRODUCT(($B$2:$B$1001=B468)*1),0)</f>
        <v>0.734006734006734</v>
      </c>
      <c r="S468" s="24" t="n">
        <f aca="false">IFERROR(SUMPRODUCT(($B$2:$B$1001=B468)*($K$2:$K$1001&lt;=K468))/SUMPRODUCT(($B$2:$B$1001=B468)*1),0)</f>
        <v>0.821548821548822</v>
      </c>
      <c r="T468" s="26" t="n">
        <f aca="false">(R468-S468)*100</f>
        <v>-8.75420875420876</v>
      </c>
      <c r="U468" s="21" t="str">
        <f aca="false">'Player Data'!T468</f>
        <v>No</v>
      </c>
      <c r="V468" s="27" t="n">
        <f aca="false">'Player Data'!U468</f>
        <v>2026</v>
      </c>
      <c r="W468" s="21" t="str">
        <f aca="false">IF(AND(T468&gt;=Assumptions!$B$19,U468="No"),"High Priority - Unrepresented",IF(T468&gt;=Assumptions!$B$19,"High Priority",IF(AND(T468&gt;=Assumptions!$B$20,U468="No"),"Watchlist - Unrepresented",IF(T468&gt;=Assumptions!$B$20,"Watchlist",""))))</f>
        <v/>
      </c>
      <c r="X468" s="21" t="str">
        <f aca="false">'Player Data'!V468</f>
        <v>info@dakarunited.sn</v>
      </c>
      <c r="Y468" s="28" t="str">
        <f aca="false">'Player Data'!W468</f>
        <v>Club sporting director / first-team office</v>
      </c>
      <c r="Z468" s="28" t="str">
        <f aca="false">'Player Data'!X468</f>
        <v>FSF (Senegalese Football Federation) player registry</v>
      </c>
      <c r="AA468" s="19" t="str">
        <f aca="false">HYPERLINK("https://www.transfermarkt.com/schnellsuche/ergebnis/schnellsuche?query="&amp;SUBSTITUTE(A468," ","+"),"Search Transfermarkt")</f>
        <v>Search Transfermarkt</v>
      </c>
      <c r="AB468" s="29" t="n">
        <f aca="false">IFERROR('Player Data'!K468/('Player Data'!K468+'Player Data'!L468),0)</f>
        <v>0.541463414634146</v>
      </c>
      <c r="AC468" s="21" t="str">
        <f aca="false">IF(B468="GK",IF(AND(O468&gt;=Assumptions!$B$23,N468&gt;=Assumptions!$B$23),"Sweeper-Keeper / Build-from-the-Back",IF(O468&gt;=Assumptions!$B$23,"Sweeper-Keeper / High Line",IF(M468&gt;=Assumptions!$B$23,"Shot-Stopper / Traditional","Flexible / Multi-System"))),IF(AND(O468&gt;=Assumptions!$B$23,P468&gt;=Assumptions!$B$24),"High Press / Gegenpressing",IF(AND(N468&gt;=Assumptions!$B$23,AB468&gt;=Assumptions!$B$25),"Possession / Build-from-the-Back",IF(N468&gt;=Assumptions!$B$23,"Counter-Attack / Transition",IF(AND(O468&gt;=Assumptions!$B$23,N468&lt;Assumptions!$B$26),"Low Block / Park the Bus",IF(AND(B468="FW",M468&gt;=Assumptions!$B$23,N468&lt;Assumptions!$B$26),"Direct / Target Approach","Flexible / Multi-System"))))))</f>
        <v>Flexible / Multi-System</v>
      </c>
      <c r="AD468" s="21" t="str">
        <f aca="false">'Player Data'!Y468</f>
        <v>2026-07-17</v>
      </c>
      <c r="AE468" s="21" t="str">
        <f aca="false">'Player Data'!Z468</f>
        <v>2026-07-17</v>
      </c>
      <c r="AF468" s="28" t="str">
        <f aca="false">IFERROR(INDEX(Assumptions!$B$30:$B$61,MATCH(C468,Assumptions!$A$30:$A$61,0)),"--")</f>
        <v>Belgium, Portugal</v>
      </c>
      <c r="AG468" s="30" t="str">
        <f aca="false">IF(R468&gt;=0.7,"Step-Up Candidate",IF(R468&gt;=0.4,"Lateral Move","Stay &amp; Develop"))</f>
        <v>Step-Up Candidate</v>
      </c>
    </row>
    <row r="469" customFormat="false" ht="23.85" hidden="false" customHeight="false" outlineLevel="0" collapsed="false">
      <c r="A469" s="21" t="str">
        <f aca="false">'Player Data'!A469</f>
        <v>Roberts Berzins</v>
      </c>
      <c r="B469" s="21" t="str">
        <f aca="false">'Player Data'!F469</f>
        <v>MF</v>
      </c>
      <c r="C469" s="21" t="str">
        <f aca="false">'Player Data'!B469</f>
        <v>Latvia</v>
      </c>
      <c r="D469" s="21" t="str">
        <f aca="false">'Player Data'!C469</f>
        <v>Latvia Third Tier - North</v>
      </c>
      <c r="E469" s="21" t="n">
        <f aca="false">'Player Data'!D469</f>
        <v>3</v>
      </c>
      <c r="F469" s="21" t="n">
        <f aca="false">'Player Data'!G469</f>
        <v>19</v>
      </c>
      <c r="G469" s="21" t="n">
        <f aca="false">'Player Data'!H469</f>
        <v>1742</v>
      </c>
      <c r="H469" s="22" t="n">
        <f aca="false">IF(B469="GK",IFERROR(('Player Data'!N469-1.5*'Player Data'!O469)/'Player Data'!H469*90,0),IFERROR(('Player Data'!I469+'Player Data'!J469)/'Player Data'!H469*90,0))</f>
        <v>0.464982778415614</v>
      </c>
      <c r="I469" s="22" t="n">
        <f aca="false">IF(B469="GK",'Player Data'!P469,IFERROR(('Player Data'!K469+'Player Data'!L469)/'Player Data'!H469*90,0))</f>
        <v>10.6429391504018</v>
      </c>
      <c r="J469" s="22" t="n">
        <f aca="false">IF(B469="GK",IFERROR('Player Data'!Q469/'Player Data'!H469*90,0),IFERROR('Player Data'!M469/'Player Data'!H469*90,0))</f>
        <v>2.1699196326062</v>
      </c>
      <c r="K469" s="23" t="n">
        <f aca="false">'Player Data'!S469</f>
        <v>80130</v>
      </c>
      <c r="L469" s="22" t="n">
        <f aca="false">INDEX(Assumptions!$B$13:$B$15,MATCH(E469,Assumptions!$A$13:$A$15,0))</f>
        <v>0.85</v>
      </c>
      <c r="M469" s="24" t="n">
        <f aca="false">IFERROR(SUMPRODUCT(($B$2:$B$1001=B469)*($H$2:$H$1001&lt;=H469))/SUMPRODUCT(($B$2:$B$1001=B469)*1),0)</f>
        <v>0.171717171717172</v>
      </c>
      <c r="N469" s="24" t="n">
        <f aca="false">IFERROR(SUMPRODUCT(($B$2:$B$1001=B469)*($I$2:$I$1001&lt;=I469))/SUMPRODUCT(($B$2:$B$1001=B469)*1),0)</f>
        <v>0.474747474747475</v>
      </c>
      <c r="O469" s="24" t="n">
        <f aca="false">IFERROR(SUMPRODUCT(($B$2:$B$1001=B469)*($J$2:$J$1001&lt;=J469))/SUMPRODUCT(($B$2:$B$1001=B469)*1),0)</f>
        <v>0.484848484848485</v>
      </c>
      <c r="P469" s="24" t="n">
        <f aca="false">IFERROR(SUMPRODUCT(($B$2:$B$1001=B469)*((0-$F$2:$F$1001)&lt;=(0-F469)))/SUMPRODUCT(($B$2:$B$1001=B469)*1),0)</f>
        <v>0.868686868686869</v>
      </c>
      <c r="Q469" s="25" t="n">
        <f aca="false">(M469*Assumptions!$B$5+N469*Assumptions!$B$6+O469*Assumptions!$B$7+P469*Assumptions!$B$8)*L469</f>
        <v>0.407828282828283</v>
      </c>
      <c r="R469" s="24" t="n">
        <f aca="false">IFERROR(SUMPRODUCT(($B$2:$B$1001=B469)*($Q$2:$Q$1001&lt;=Q469))/SUMPRODUCT(($B$2:$B$1001=B469)*1),0)</f>
        <v>0.434343434343434</v>
      </c>
      <c r="S469" s="24" t="n">
        <f aca="false">IFERROR(SUMPRODUCT(($B$2:$B$1001=B469)*($K$2:$K$1001&lt;=K469))/SUMPRODUCT(($B$2:$B$1001=B469)*1),0)</f>
        <v>0.632996632996633</v>
      </c>
      <c r="T469" s="26" t="n">
        <f aca="false">(R469-S469)*100</f>
        <v>-19.8653198653199</v>
      </c>
      <c r="U469" s="21" t="str">
        <f aca="false">'Player Data'!T469</f>
        <v>No</v>
      </c>
      <c r="V469" s="27" t="n">
        <f aca="false">'Player Data'!U469</f>
        <v>2028</v>
      </c>
      <c r="W469" s="21" t="str">
        <f aca="false">IF(AND(T469&gt;=Assumptions!$B$19,U469="No"),"High Priority - Unrepresented",IF(T469&gt;=Assumptions!$B$19,"High Priority",IF(AND(T469&gt;=Assumptions!$B$20,U469="No"),"Watchlist - Unrepresented",IF(T469&gt;=Assumptions!$B$20,"Watchlist",""))))</f>
        <v/>
      </c>
      <c r="X469" s="21" t="str">
        <f aca="false">'Player Data'!V469</f>
        <v>info@liepajafc.lv</v>
      </c>
      <c r="Y469" s="28" t="str">
        <f aca="false">'Player Data'!W469</f>
        <v>Club sporting director / first-team office</v>
      </c>
      <c r="Z469" s="28" t="str">
        <f aca="false">'Player Data'!X469</f>
        <v>LFF (Latvian Football Federation) player registry</v>
      </c>
      <c r="AA469" s="19" t="str">
        <f aca="false">HYPERLINK("https://www.transfermarkt.com/schnellsuche/ergebnis/schnellsuche?query="&amp;SUBSTITUTE(A469," ","+"),"Search Transfermarkt")</f>
        <v>Search Transfermarkt</v>
      </c>
      <c r="AB469" s="29" t="n">
        <f aca="false">IFERROR('Player Data'!K469/('Player Data'!K469+'Player Data'!L469),0)</f>
        <v>0.592233009708738</v>
      </c>
      <c r="AC469" s="21" t="str">
        <f aca="false">IF(B469="GK",IF(AND(O469&gt;=Assumptions!$B$23,N469&gt;=Assumptions!$B$23),"Sweeper-Keeper / Build-from-the-Back",IF(O469&gt;=Assumptions!$B$23,"Sweeper-Keeper / High Line",IF(M469&gt;=Assumptions!$B$23,"Shot-Stopper / Traditional","Flexible / Multi-System"))),IF(AND(O469&gt;=Assumptions!$B$23,P469&gt;=Assumptions!$B$24),"High Press / Gegenpressing",IF(AND(N469&gt;=Assumptions!$B$23,AB469&gt;=Assumptions!$B$25),"Possession / Build-from-the-Back",IF(N469&gt;=Assumptions!$B$23,"Counter-Attack / Transition",IF(AND(O469&gt;=Assumptions!$B$23,N469&lt;Assumptions!$B$26),"Low Block / Park the Bus",IF(AND(B469="FW",M469&gt;=Assumptions!$B$23,N469&lt;Assumptions!$B$26),"Direct / Target Approach","Flexible / Multi-System"))))))</f>
        <v>Flexible / Multi-System</v>
      </c>
      <c r="AD469" s="21" t="str">
        <f aca="false">'Player Data'!Y469</f>
        <v>2026-07-17</v>
      </c>
      <c r="AE469" s="21" t="str">
        <f aca="false">'Player Data'!Z469</f>
        <v>2026-07-17</v>
      </c>
      <c r="AF469" s="28" t="str">
        <f aca="false">IFERROR(INDEX(Assumptions!$B$30:$B$61,MATCH(C469,Assumptions!$A$30:$A$61,0)),"--")</f>
        <v>Poland, Norway</v>
      </c>
      <c r="AG469" s="30" t="str">
        <f aca="false">IF(R469&gt;=0.7,"Step-Up Candidate",IF(R469&gt;=0.4,"Lateral Move","Stay &amp; Develop"))</f>
        <v>Lateral Move</v>
      </c>
    </row>
    <row r="470" customFormat="false" ht="23.85" hidden="false" customHeight="false" outlineLevel="0" collapsed="false">
      <c r="A470" s="21" t="str">
        <f aca="false">'Player Data'!A470</f>
        <v>Franck Diabate</v>
      </c>
      <c r="B470" s="21" t="str">
        <f aca="false">'Player Data'!F470</f>
        <v>MF</v>
      </c>
      <c r="C470" s="21" t="str">
        <f aca="false">'Player Data'!B470</f>
        <v>Ivory Coast</v>
      </c>
      <c r="D470" s="21" t="str">
        <f aca="false">'Player Data'!C470</f>
        <v>Ivory Coast Second Division - West</v>
      </c>
      <c r="E470" s="21" t="n">
        <f aca="false">'Player Data'!D470</f>
        <v>2</v>
      </c>
      <c r="F470" s="21" t="n">
        <f aca="false">'Player Data'!G470</f>
        <v>21</v>
      </c>
      <c r="G470" s="21" t="n">
        <f aca="false">'Player Data'!H470</f>
        <v>1378</v>
      </c>
      <c r="H470" s="22" t="n">
        <f aca="false">IF(B470="GK",IFERROR(('Player Data'!N470-1.5*'Player Data'!O470)/'Player Data'!H470*90,0),IFERROR(('Player Data'!I470+'Player Data'!J470)/'Player Data'!H470*90,0))</f>
        <v>0.718432510885341</v>
      </c>
      <c r="I470" s="22" t="n">
        <f aca="false">IF(B470="GK",'Player Data'!P470,IFERROR(('Player Data'!K470+'Player Data'!L470)/'Player Data'!H470*90,0))</f>
        <v>13.911465892598</v>
      </c>
      <c r="J470" s="22" t="n">
        <f aca="false">IF(B470="GK",IFERROR('Player Data'!Q470/'Player Data'!H470*90,0),IFERROR('Player Data'!M470/'Player Data'!H470*90,0))</f>
        <v>2.93904208998549</v>
      </c>
      <c r="K470" s="23" t="n">
        <f aca="false">'Player Data'!S470</f>
        <v>0</v>
      </c>
      <c r="L470" s="22" t="n">
        <f aca="false">INDEX(Assumptions!$B$13:$B$15,MATCH(E470,Assumptions!$A$13:$A$15,0))</f>
        <v>1</v>
      </c>
      <c r="M470" s="24" t="n">
        <f aca="false">IFERROR(SUMPRODUCT(($B$2:$B$1001=B470)*($H$2:$H$1001&lt;=H470))/SUMPRODUCT(($B$2:$B$1001=B470)*1),0)</f>
        <v>0.481481481481481</v>
      </c>
      <c r="N470" s="24" t="n">
        <f aca="false">IFERROR(SUMPRODUCT(($B$2:$B$1001=B470)*($I$2:$I$1001&lt;=I470))/SUMPRODUCT(($B$2:$B$1001=B470)*1),0)</f>
        <v>0.696969696969697</v>
      </c>
      <c r="O470" s="24" t="n">
        <f aca="false">IFERROR(SUMPRODUCT(($B$2:$B$1001=B470)*($J$2:$J$1001&lt;=J470))/SUMPRODUCT(($B$2:$B$1001=B470)*1),0)</f>
        <v>0.767676767676768</v>
      </c>
      <c r="P470" s="24" t="n">
        <f aca="false">IFERROR(SUMPRODUCT(($B$2:$B$1001=B470)*((0-$F$2:$F$1001)&lt;=(0-F470)))/SUMPRODUCT(($B$2:$B$1001=B470)*1),0)</f>
        <v>0.61952861952862</v>
      </c>
      <c r="Q470" s="25" t="n">
        <f aca="false">(M470*Assumptions!$B$5+N470*Assumptions!$B$6+O470*Assumptions!$B$7+P470*Assumptions!$B$8)*L470</f>
        <v>0.641750841750842</v>
      </c>
      <c r="R470" s="24" t="n">
        <f aca="false">IFERROR(SUMPRODUCT(($B$2:$B$1001=B470)*($Q$2:$Q$1001&lt;=Q470))/SUMPRODUCT(($B$2:$B$1001=B470)*1),0)</f>
        <v>0.831649831649832</v>
      </c>
      <c r="S470" s="24" t="n">
        <f aca="false">IFERROR(SUMPRODUCT(($B$2:$B$1001=B470)*($K$2:$K$1001&lt;=K470))/SUMPRODUCT(($B$2:$B$1001=B470)*1),0)</f>
        <v>0.228956228956229</v>
      </c>
      <c r="T470" s="26" t="n">
        <f aca="false">(R470-S470)*100</f>
        <v>60.2693602693603</v>
      </c>
      <c r="U470" s="21" t="str">
        <f aca="false">'Player Data'!T470</f>
        <v>No</v>
      </c>
      <c r="V470" s="27" t="n">
        <f aca="false">'Player Data'!U470</f>
        <v>2028</v>
      </c>
      <c r="W470" s="21" t="str">
        <f aca="false">IF(AND(T470&gt;=Assumptions!$B$19,U470="No"),"High Priority - Unrepresented",IF(T470&gt;=Assumptions!$B$19,"High Priority",IF(AND(T470&gt;=Assumptions!$B$20,U470="No"),"Watchlist - Unrepresented",IF(T470&gt;=Assumptions!$B$20,"Watchlist",""))))</f>
        <v>High Priority - Unrepresented</v>
      </c>
      <c r="X470" s="21" t="str">
        <f aca="false">'Player Data'!V470</f>
        <v>info@sanpedroathletic.ci</v>
      </c>
      <c r="Y470" s="28" t="str">
        <f aca="false">'Player Data'!W470</f>
        <v>Club sporting director / first-team office</v>
      </c>
      <c r="Z470" s="28" t="str">
        <f aca="false">'Player Data'!X470</f>
        <v>FIF (Ivorian Football Federation) player registry</v>
      </c>
      <c r="AA470" s="19" t="str">
        <f aca="false">HYPERLINK("https://www.transfermarkt.com/schnellsuche/ergebnis/schnellsuche?query="&amp;SUBSTITUTE(A470," ","+"),"Search Transfermarkt")</f>
        <v>Search Transfermarkt</v>
      </c>
      <c r="AB470" s="29" t="n">
        <f aca="false">IFERROR('Player Data'!K470/('Player Data'!K470+'Player Data'!L470),0)</f>
        <v>0.704225352112676</v>
      </c>
      <c r="AC470" s="21" t="str">
        <f aca="false">IF(B470="GK",IF(AND(O470&gt;=Assumptions!$B$23,N470&gt;=Assumptions!$B$23),"Sweeper-Keeper / Build-from-the-Back",IF(O470&gt;=Assumptions!$B$23,"Sweeper-Keeper / High Line",IF(M470&gt;=Assumptions!$B$23,"Shot-Stopper / Traditional","Flexible / Multi-System"))),IF(AND(O470&gt;=Assumptions!$B$23,P470&gt;=Assumptions!$B$24),"High Press / Gegenpressing",IF(AND(N470&gt;=Assumptions!$B$23,AB470&gt;=Assumptions!$B$25),"Possession / Build-from-the-Back",IF(N470&gt;=Assumptions!$B$23,"Counter-Attack / Transition",IF(AND(O470&gt;=Assumptions!$B$23,N470&lt;Assumptions!$B$26),"Low Block / Park the Bus",IF(AND(B470="FW",M470&gt;=Assumptions!$B$23,N470&lt;Assumptions!$B$26),"Direct / Target Approach","Flexible / Multi-System"))))))</f>
        <v>High Press / Gegenpressing</v>
      </c>
      <c r="AD470" s="21" t="str">
        <f aca="false">'Player Data'!Y470</f>
        <v>2026-07-17</v>
      </c>
      <c r="AE470" s="21" t="str">
        <f aca="false">'Player Data'!Z470</f>
        <v>2026-07-17</v>
      </c>
      <c r="AF470" s="28" t="str">
        <f aca="false">IFERROR(INDEX(Assumptions!$B$30:$B$61,MATCH(C470,Assumptions!$A$30:$A$61,0)),"--")</f>
        <v>Belgium, Portugal</v>
      </c>
      <c r="AG470" s="30" t="str">
        <f aca="false">IF(R470&gt;=0.7,"Step-Up Candidate",IF(R470&gt;=0.4,"Lateral Move","Stay &amp; Develop"))</f>
        <v>Step-Up Candidate</v>
      </c>
    </row>
    <row r="471" customFormat="false" ht="23.85" hidden="false" customHeight="false" outlineLevel="0" collapsed="false">
      <c r="A471" s="21" t="str">
        <f aca="false">'Player Data'!A471</f>
        <v>Ali Hassan</v>
      </c>
      <c r="B471" s="21" t="str">
        <f aca="false">'Player Data'!F471</f>
        <v>MF</v>
      </c>
      <c r="C471" s="21" t="str">
        <f aca="false">'Player Data'!B471</f>
        <v>Iraq</v>
      </c>
      <c r="D471" s="21" t="str">
        <f aca="false">'Player Data'!C471</f>
        <v>Iraq Third Tier - South</v>
      </c>
      <c r="E471" s="21" t="n">
        <f aca="false">'Player Data'!D471</f>
        <v>3</v>
      </c>
      <c r="F471" s="21" t="n">
        <f aca="false">'Player Data'!G471</f>
        <v>22</v>
      </c>
      <c r="G471" s="21" t="n">
        <f aca="false">'Player Data'!H471</f>
        <v>1331</v>
      </c>
      <c r="H471" s="22" t="n">
        <f aca="false">IF(B471="GK",IFERROR(('Player Data'!N471-1.5*'Player Data'!O471)/'Player Data'!H471*90,0),IFERROR(('Player Data'!I471+'Player Data'!J471)/'Player Data'!H471*90,0))</f>
        <v>0.946656649135988</v>
      </c>
      <c r="I471" s="22" t="n">
        <f aca="false">IF(B471="GK",'Player Data'!P471,IFERROR(('Player Data'!K471+'Player Data'!L471)/'Player Data'!H471*90,0))</f>
        <v>16.3636363636364</v>
      </c>
      <c r="J471" s="22" t="n">
        <f aca="false">IF(B471="GK",IFERROR('Player Data'!Q471/'Player Data'!H471*90,0),IFERROR('Player Data'!M471/'Player Data'!H471*90,0))</f>
        <v>2.36664162283997</v>
      </c>
      <c r="K471" s="23" t="n">
        <f aca="false">'Player Data'!S471</f>
        <v>0</v>
      </c>
      <c r="L471" s="22" t="n">
        <f aca="false">INDEX(Assumptions!$B$13:$B$15,MATCH(E471,Assumptions!$A$13:$A$15,0))</f>
        <v>0.85</v>
      </c>
      <c r="M471" s="24" t="n">
        <f aca="false">IFERROR(SUMPRODUCT(($B$2:$B$1001=B471)*($H$2:$H$1001&lt;=H471))/SUMPRODUCT(($B$2:$B$1001=B471)*1),0)</f>
        <v>0.737373737373737</v>
      </c>
      <c r="N471" s="24" t="n">
        <f aca="false">IFERROR(SUMPRODUCT(($B$2:$B$1001=B471)*($I$2:$I$1001&lt;=I471))/SUMPRODUCT(($B$2:$B$1001=B471)*1),0)</f>
        <v>0.811447811447811</v>
      </c>
      <c r="O471" s="24" t="n">
        <f aca="false">IFERROR(SUMPRODUCT(($B$2:$B$1001=B471)*($J$2:$J$1001&lt;=J471))/SUMPRODUCT(($B$2:$B$1001=B471)*1),0)</f>
        <v>0.585858585858586</v>
      </c>
      <c r="P471" s="24" t="n">
        <f aca="false">IFERROR(SUMPRODUCT(($B$2:$B$1001=B471)*((0-$F$2:$F$1001)&lt;=(0-F471)))/SUMPRODUCT(($B$2:$B$1001=B471)*1),0)</f>
        <v>0.515151515151515</v>
      </c>
      <c r="Q471" s="25" t="n">
        <f aca="false">(M471*Assumptions!$B$5+N471*Assumptions!$B$6+O471*Assumptions!$B$7+P471*Assumptions!$B$8)*L471</f>
        <v>0.58526936026936</v>
      </c>
      <c r="R471" s="24" t="n">
        <f aca="false">IFERROR(SUMPRODUCT(($B$2:$B$1001=B471)*($Q$2:$Q$1001&lt;=Q471))/SUMPRODUCT(($B$2:$B$1001=B471)*1),0)</f>
        <v>0.730639730639731</v>
      </c>
      <c r="S471" s="24" t="n">
        <f aca="false">IFERROR(SUMPRODUCT(($B$2:$B$1001=B471)*($K$2:$K$1001&lt;=K471))/SUMPRODUCT(($B$2:$B$1001=B471)*1),0)</f>
        <v>0.228956228956229</v>
      </c>
      <c r="T471" s="26" t="n">
        <f aca="false">(R471-S471)*100</f>
        <v>50.1683501683502</v>
      </c>
      <c r="U471" s="21" t="str">
        <f aca="false">'Player Data'!T471</f>
        <v>No</v>
      </c>
      <c r="V471" s="27" t="n">
        <f aca="false">'Player Data'!U471</f>
        <v>2029</v>
      </c>
      <c r="W471" s="21" t="str">
        <f aca="false">IF(AND(T471&gt;=Assumptions!$B$19,U471="No"),"High Priority - Unrepresented",IF(T471&gt;=Assumptions!$B$19,"High Priority",IF(AND(T471&gt;=Assumptions!$B$20,U471="No"),"Watchlist - Unrepresented",IF(T471&gt;=Assumptions!$B$20,"Watchlist",""))))</f>
        <v>High Priority - Unrepresented</v>
      </c>
      <c r="X471" s="21" t="str">
        <f aca="false">'Player Data'!V471</f>
        <v>info@najafathletic.iq</v>
      </c>
      <c r="Y471" s="28" t="str">
        <f aca="false">'Player Data'!W471</f>
        <v>Club sporting director / first-team office</v>
      </c>
      <c r="Z471" s="28" t="str">
        <f aca="false">'Player Data'!X471</f>
        <v>IFA (Iraq Football Association) player registry</v>
      </c>
      <c r="AA471" s="19" t="str">
        <f aca="false">HYPERLINK("https://www.transfermarkt.com/schnellsuche/ergebnis/schnellsuche?query="&amp;SUBSTITUTE(A471," ","+"),"Search Transfermarkt")</f>
        <v>Search Transfermarkt</v>
      </c>
      <c r="AB471" s="29" t="n">
        <f aca="false">IFERROR('Player Data'!K471/('Player Data'!K471+'Player Data'!L471),0)</f>
        <v>0.735537190082645</v>
      </c>
      <c r="AC471" s="21" t="str">
        <f aca="false">IF(B471="GK",IF(AND(O471&gt;=Assumptions!$B$23,N471&gt;=Assumptions!$B$23),"Sweeper-Keeper / Build-from-the-Back",IF(O471&gt;=Assumptions!$B$23,"Sweeper-Keeper / High Line",IF(M471&gt;=Assumptions!$B$23,"Shot-Stopper / Traditional","Flexible / Multi-System"))),IF(AND(O471&gt;=Assumptions!$B$23,P471&gt;=Assumptions!$B$24),"High Press / Gegenpressing",IF(AND(N471&gt;=Assumptions!$B$23,AB471&gt;=Assumptions!$B$25),"Possession / Build-from-the-Back",IF(N471&gt;=Assumptions!$B$23,"Counter-Attack / Transition",IF(AND(O471&gt;=Assumptions!$B$23,N471&lt;Assumptions!$B$26),"Low Block / Park the Bus",IF(AND(B471="FW",M471&gt;=Assumptions!$B$23,N471&lt;Assumptions!$B$26),"Direct / Target Approach","Flexible / Multi-System"))))))</f>
        <v>Possession / Build-from-the-Back</v>
      </c>
      <c r="AD471" s="21" t="str">
        <f aca="false">'Player Data'!Y471</f>
        <v>2026-07-17</v>
      </c>
      <c r="AE471" s="21" t="str">
        <f aca="false">'Player Data'!Z471</f>
        <v>2026-07-17</v>
      </c>
      <c r="AF471" s="28" t="str">
        <f aca="false">IFERROR(INDEX(Assumptions!$B$30:$B$61,MATCH(C471,Assumptions!$A$30:$A$61,0)),"--")</f>
        <v>Turkey, Saudi Arabia</v>
      </c>
      <c r="AG471" s="30" t="str">
        <f aca="false">IF(R471&gt;=0.7,"Step-Up Candidate",IF(R471&gt;=0.4,"Lateral Move","Stay &amp; Develop"))</f>
        <v>Step-Up Candidate</v>
      </c>
    </row>
    <row r="472" customFormat="false" ht="23.85" hidden="false" customHeight="false" outlineLevel="0" collapsed="false">
      <c r="A472" s="21" t="str">
        <f aca="false">'Player Data'!A472</f>
        <v>Kemar Reid</v>
      </c>
      <c r="B472" s="21" t="str">
        <f aca="false">'Player Data'!F472</f>
        <v>MF</v>
      </c>
      <c r="C472" s="21" t="str">
        <f aca="false">'Player Data'!B472</f>
        <v>Jamaica</v>
      </c>
      <c r="D472" s="21" t="str">
        <f aca="false">'Player Data'!C472</f>
        <v>Jamaica Third Tier - North</v>
      </c>
      <c r="E472" s="21" t="n">
        <f aca="false">'Player Data'!D472</f>
        <v>2</v>
      </c>
      <c r="F472" s="21" t="n">
        <f aca="false">'Player Data'!G472</f>
        <v>20</v>
      </c>
      <c r="G472" s="21" t="n">
        <f aca="false">'Player Data'!H472</f>
        <v>1655</v>
      </c>
      <c r="H472" s="22" t="n">
        <f aca="false">IF(B472="GK",IFERROR(('Player Data'!N472-1.5*'Player Data'!O472)/'Player Data'!H472*90,0),IFERROR(('Player Data'!I472+'Player Data'!J472)/'Player Data'!H472*90,0))</f>
        <v>0.598187311178248</v>
      </c>
      <c r="I472" s="22" t="n">
        <f aca="false">IF(B472="GK",'Player Data'!P472,IFERROR(('Player Data'!K472+'Player Data'!L472)/'Player Data'!H472*90,0))</f>
        <v>13.1601208459215</v>
      </c>
      <c r="J472" s="22" t="n">
        <f aca="false">IF(B472="GK",IFERROR('Player Data'!Q472/'Player Data'!H472*90,0),IFERROR('Player Data'!M472/'Player Data'!H472*90,0))</f>
        <v>1.79456193353474</v>
      </c>
      <c r="K472" s="23" t="n">
        <f aca="false">'Player Data'!S472</f>
        <v>31441</v>
      </c>
      <c r="L472" s="22" t="n">
        <f aca="false">INDEX(Assumptions!$B$13:$B$15,MATCH(E472,Assumptions!$A$13:$A$15,0))</f>
        <v>1</v>
      </c>
      <c r="M472" s="24" t="n">
        <f aca="false">IFERROR(SUMPRODUCT(($B$2:$B$1001=B472)*($H$2:$H$1001&lt;=H472))/SUMPRODUCT(($B$2:$B$1001=B472)*1),0)</f>
        <v>0.313131313131313</v>
      </c>
      <c r="N472" s="24" t="n">
        <f aca="false">IFERROR(SUMPRODUCT(($B$2:$B$1001=B472)*($I$2:$I$1001&lt;=I472))/SUMPRODUCT(($B$2:$B$1001=B472)*1),0)</f>
        <v>0.67003367003367</v>
      </c>
      <c r="O472" s="24" t="n">
        <f aca="false">IFERROR(SUMPRODUCT(($B$2:$B$1001=B472)*($J$2:$J$1001&lt;=J472))/SUMPRODUCT(($B$2:$B$1001=B472)*1),0)</f>
        <v>0.316498316498317</v>
      </c>
      <c r="P472" s="24" t="n">
        <f aca="false">IFERROR(SUMPRODUCT(($B$2:$B$1001=B472)*((0-$F$2:$F$1001)&lt;=(0-F472)))/SUMPRODUCT(($B$2:$B$1001=B472)*1),0)</f>
        <v>0.734006734006734</v>
      </c>
      <c r="Q472" s="25" t="n">
        <f aca="false">(M472*Assumptions!$B$5+N472*Assumptions!$B$6+O472*Assumptions!$B$7+P472*Assumptions!$B$8)*L472</f>
        <v>0.522895622895623</v>
      </c>
      <c r="R472" s="24" t="n">
        <f aca="false">IFERROR(SUMPRODUCT(($B$2:$B$1001=B472)*($Q$2:$Q$1001&lt;=Q472))/SUMPRODUCT(($B$2:$B$1001=B472)*1),0)</f>
        <v>0.666666666666667</v>
      </c>
      <c r="S472" s="24" t="n">
        <f aca="false">IFERROR(SUMPRODUCT(($B$2:$B$1001=B472)*($K$2:$K$1001&lt;=K472))/SUMPRODUCT(($B$2:$B$1001=B472)*1),0)</f>
        <v>0.32996632996633</v>
      </c>
      <c r="T472" s="26" t="n">
        <f aca="false">(R472-S472)*100</f>
        <v>33.6700336700337</v>
      </c>
      <c r="U472" s="21" t="str">
        <f aca="false">'Player Data'!T472</f>
        <v>Unknown</v>
      </c>
      <c r="V472" s="27" t="n">
        <f aca="false">'Player Data'!U472</f>
        <v>2028</v>
      </c>
      <c r="W472" s="21" t="str">
        <f aca="false">IF(AND(T472&gt;=Assumptions!$B$19,U472="No"),"High Priority - Unrepresented",IF(T472&gt;=Assumptions!$B$19,"High Priority",IF(AND(T472&gt;=Assumptions!$B$20,U472="No"),"Watchlist - Unrepresented",IF(T472&gt;=Assumptions!$B$20,"Watchlist",""))))</f>
        <v>Watchlist</v>
      </c>
      <c r="X472" s="21" t="str">
        <f aca="false">'Player Data'!V472</f>
        <v>info@maypenfc.jm</v>
      </c>
      <c r="Y472" s="28" t="str">
        <f aca="false">'Player Data'!W472</f>
        <v>Club sporting director / first-team office</v>
      </c>
      <c r="Z472" s="28" t="str">
        <f aca="false">'Player Data'!X472</f>
        <v>JFF (Jamaica Football Federation) player registry</v>
      </c>
      <c r="AA472" s="19" t="str">
        <f aca="false">HYPERLINK("https://www.transfermarkt.com/schnellsuche/ergebnis/schnellsuche?query="&amp;SUBSTITUTE(A472," ","+"),"Search Transfermarkt")</f>
        <v>Search Transfermarkt</v>
      </c>
      <c r="AB472" s="29" t="n">
        <f aca="false">IFERROR('Player Data'!K472/('Player Data'!K472+'Player Data'!L472),0)</f>
        <v>0.681818181818182</v>
      </c>
      <c r="AC472" s="21" t="str">
        <f aca="false">IF(B472="GK",IF(AND(O472&gt;=Assumptions!$B$23,N472&gt;=Assumptions!$B$23),"Sweeper-Keeper / Build-from-the-Back",IF(O472&gt;=Assumptions!$B$23,"Sweeper-Keeper / High Line",IF(M472&gt;=Assumptions!$B$23,"Shot-Stopper / Traditional","Flexible / Multi-System"))),IF(AND(O472&gt;=Assumptions!$B$23,P472&gt;=Assumptions!$B$24),"High Press / Gegenpressing",IF(AND(N472&gt;=Assumptions!$B$23,AB472&gt;=Assumptions!$B$25),"Possession / Build-from-the-Back",IF(N472&gt;=Assumptions!$B$23,"Counter-Attack / Transition",IF(AND(O472&gt;=Assumptions!$B$23,N472&lt;Assumptions!$B$26),"Low Block / Park the Bus",IF(AND(B472="FW",M472&gt;=Assumptions!$B$23,N472&lt;Assumptions!$B$26),"Direct / Target Approach","Flexible / Multi-System"))))))</f>
        <v>Possession / Build-from-the-Back</v>
      </c>
      <c r="AD472" s="21" t="str">
        <f aca="false">'Player Data'!Y472</f>
        <v>2026-07-17</v>
      </c>
      <c r="AE472" s="21" t="str">
        <f aca="false">'Player Data'!Z472</f>
        <v>2026-07-17</v>
      </c>
      <c r="AF472" s="28" t="str">
        <f aca="false">IFERROR(INDEX(Assumptions!$B$30:$B$61,MATCH(C472,Assumptions!$A$30:$A$61,0)),"--")</f>
        <v>United States, Mexico</v>
      </c>
      <c r="AG472" s="30" t="str">
        <f aca="false">IF(R472&gt;=0.7,"Step-Up Candidate",IF(R472&gt;=0.4,"Lateral Move","Stay &amp; Develop"))</f>
        <v>Lateral Move</v>
      </c>
    </row>
    <row r="473" customFormat="false" ht="23.85" hidden="false" customHeight="false" outlineLevel="0" collapsed="false">
      <c r="A473" s="21" t="str">
        <f aca="false">'Player Data'!A473</f>
        <v>Darko Trajkovski</v>
      </c>
      <c r="B473" s="21" t="str">
        <f aca="false">'Player Data'!F473</f>
        <v>GK</v>
      </c>
      <c r="C473" s="21" t="str">
        <f aca="false">'Player Data'!B473</f>
        <v>North Macedonia</v>
      </c>
      <c r="D473" s="21" t="str">
        <f aca="false">'Player Data'!C473</f>
        <v>North Macedonia Second Division - West</v>
      </c>
      <c r="E473" s="21" t="n">
        <f aca="false">'Player Data'!D473</f>
        <v>2</v>
      </c>
      <c r="F473" s="21" t="n">
        <f aca="false">'Player Data'!G473</f>
        <v>26</v>
      </c>
      <c r="G473" s="21" t="n">
        <f aca="false">'Player Data'!H473</f>
        <v>1179</v>
      </c>
      <c r="H473" s="22" t="n">
        <f aca="false">IF(B473="GK",IFERROR(('Player Data'!N473-1.5*'Player Data'!O473)/'Player Data'!H473*90,0),IFERROR(('Player Data'!I473+'Player Data'!J473)/'Player Data'!H473*90,0))</f>
        <v>1.52671755725191</v>
      </c>
      <c r="I473" s="22" t="n">
        <f aca="false">IF(B473="GK",'Player Data'!P473,IFERROR(('Player Data'!K473+'Player Data'!L473)/'Player Data'!H473*90,0))</f>
        <v>81.9</v>
      </c>
      <c r="J473" s="22" t="n">
        <f aca="false">IF(B473="GK",IFERROR('Player Data'!Q473/'Player Data'!H473*90,0),IFERROR('Player Data'!M473/'Player Data'!H473*90,0))</f>
        <v>0.717557251908397</v>
      </c>
      <c r="K473" s="23" t="n">
        <f aca="false">'Player Data'!S473</f>
        <v>145483</v>
      </c>
      <c r="L473" s="22" t="n">
        <f aca="false">INDEX(Assumptions!$B$13:$B$15,MATCH(E473,Assumptions!$A$13:$A$15,0))</f>
        <v>1</v>
      </c>
      <c r="M473" s="24" t="n">
        <f aca="false">IFERROR(SUMPRODUCT(($B$2:$B$1001=B473)*($H$2:$H$1001&lt;=H473))/SUMPRODUCT(($B$2:$B$1001=B473)*1),0)</f>
        <v>0.715846994535519</v>
      </c>
      <c r="N473" s="24" t="n">
        <f aca="false">IFERROR(SUMPRODUCT(($B$2:$B$1001=B473)*($I$2:$I$1001&lt;=I473))/SUMPRODUCT(($B$2:$B$1001=B473)*1),0)</f>
        <v>0.721311475409836</v>
      </c>
      <c r="O473" s="24" t="n">
        <f aca="false">IFERROR(SUMPRODUCT(($B$2:$B$1001=B473)*($J$2:$J$1001&lt;=J473))/SUMPRODUCT(($B$2:$B$1001=B473)*1),0)</f>
        <v>0.39344262295082</v>
      </c>
      <c r="P473" s="24" t="n">
        <f aca="false">IFERROR(SUMPRODUCT(($B$2:$B$1001=B473)*((0-$F$2:$F$1001)&lt;=(0-F473)))/SUMPRODUCT(($B$2:$B$1001=B473)*1),0)</f>
        <v>0.131147540983607</v>
      </c>
      <c r="Q473" s="25" t="n">
        <f aca="false">(M473*Assumptions!$B$5+N473*Assumptions!$B$6+O473*Assumptions!$B$7+P473*Assumptions!$B$8)*L473</f>
        <v>0.536338797814208</v>
      </c>
      <c r="R473" s="24" t="n">
        <f aca="false">IFERROR(SUMPRODUCT(($B$2:$B$1001=B473)*($Q$2:$Q$1001&lt;=Q473))/SUMPRODUCT(($B$2:$B$1001=B473)*1),0)</f>
        <v>0.704918032786885</v>
      </c>
      <c r="S473" s="24" t="n">
        <f aca="false">IFERROR(SUMPRODUCT(($B$2:$B$1001=B473)*($K$2:$K$1001&lt;=K473))/SUMPRODUCT(($B$2:$B$1001=B473)*1),0)</f>
        <v>0.978142076502732</v>
      </c>
      <c r="T473" s="26" t="n">
        <f aca="false">(R473-S473)*100</f>
        <v>-27.3224043715847</v>
      </c>
      <c r="U473" s="21" t="str">
        <f aca="false">'Player Data'!T473</f>
        <v>No</v>
      </c>
      <c r="V473" s="27" t="n">
        <f aca="false">'Player Data'!U473</f>
        <v>2029</v>
      </c>
      <c r="W473" s="21" t="str">
        <f aca="false">IF(AND(T473&gt;=Assumptions!$B$19,U473="No"),"High Priority - Unrepresented",IF(T473&gt;=Assumptions!$B$19,"High Priority",IF(AND(T473&gt;=Assumptions!$B$20,U473="No"),"Watchlist - Unrepresented",IF(T473&gt;=Assumptions!$B$20,"Watchlist",""))))</f>
        <v/>
      </c>
      <c r="X473" s="21" t="str">
        <f aca="false">'Player Data'!V473</f>
        <v>info@ohridcity.mk</v>
      </c>
      <c r="Y473" s="28" t="str">
        <f aca="false">'Player Data'!W473</f>
        <v>Club sporting director / first-team office</v>
      </c>
      <c r="Z473" s="28" t="str">
        <f aca="false">'Player Data'!X473</f>
        <v>FFM (Football Federation of North Macedonia) player registry</v>
      </c>
      <c r="AA473" s="19" t="str">
        <f aca="false">HYPERLINK("https://www.transfermarkt.com/schnellsuche/ergebnis/schnellsuche?query="&amp;SUBSTITUTE(A473," ","+"),"Search Transfermarkt")</f>
        <v>Search Transfermarkt</v>
      </c>
      <c r="AB473" s="29" t="n">
        <f aca="false">IFERROR('Player Data'!K473/('Player Data'!K473+'Player Data'!L473),0)</f>
        <v>0.722222222222222</v>
      </c>
      <c r="AC473" s="21" t="str">
        <f aca="false">IF(B473="GK",IF(AND(O473&gt;=Assumptions!$B$23,N473&gt;=Assumptions!$B$23),"Sweeper-Keeper / Build-from-the-Back",IF(O473&gt;=Assumptions!$B$23,"Sweeper-Keeper / High Line",IF(M473&gt;=Assumptions!$B$23,"Shot-Stopper / Traditional","Flexible / Multi-System"))),IF(AND(O473&gt;=Assumptions!$B$23,P473&gt;=Assumptions!$B$24),"High Press / Gegenpressing",IF(AND(N473&gt;=Assumptions!$B$23,AB473&gt;=Assumptions!$B$25),"Possession / Build-from-the-Back",IF(N473&gt;=Assumptions!$B$23,"Counter-Attack / Transition",IF(AND(O473&gt;=Assumptions!$B$23,N473&lt;Assumptions!$B$26),"Low Block / Park the Bus",IF(AND(B473="FW",M473&gt;=Assumptions!$B$23,N473&lt;Assumptions!$B$26),"Direct / Target Approach","Flexible / Multi-System"))))))</f>
        <v>Shot-Stopper / Traditional</v>
      </c>
      <c r="AD473" s="21" t="str">
        <f aca="false">'Player Data'!Y473</f>
        <v>2026-07-17</v>
      </c>
      <c r="AE473" s="21" t="str">
        <f aca="false">'Player Data'!Z473</f>
        <v>2026-07-17</v>
      </c>
      <c r="AF473" s="28" t="str">
        <f aca="false">IFERROR(INDEX(Assumptions!$B$30:$B$61,MATCH(C473,Assumptions!$A$30:$A$61,0)),"--")</f>
        <v>Austria, Turkey</v>
      </c>
      <c r="AG473" s="30" t="str">
        <f aca="false">IF(R473&gt;=0.7,"Step-Up Candidate",IF(R473&gt;=0.4,"Lateral Move","Stay &amp; Develop"))</f>
        <v>Step-Up Candidate</v>
      </c>
    </row>
    <row r="474" customFormat="false" ht="23.85" hidden="false" customHeight="false" outlineLevel="0" collapsed="false">
      <c r="A474" s="21" t="str">
        <f aca="false">'Player Data'!A474</f>
        <v>Maximiliano Acosta</v>
      </c>
      <c r="B474" s="21" t="str">
        <f aca="false">'Player Data'!F474</f>
        <v>DF</v>
      </c>
      <c r="C474" s="21" t="str">
        <f aca="false">'Player Data'!B474</f>
        <v>Uruguay</v>
      </c>
      <c r="D474" s="21" t="str">
        <f aca="false">'Player Data'!C474</f>
        <v>Uruguay Third Tier - South</v>
      </c>
      <c r="E474" s="21" t="n">
        <f aca="false">'Player Data'!D474</f>
        <v>2</v>
      </c>
      <c r="F474" s="21" t="n">
        <f aca="false">'Player Data'!G474</f>
        <v>22</v>
      </c>
      <c r="G474" s="21" t="n">
        <f aca="false">'Player Data'!H474</f>
        <v>2650</v>
      </c>
      <c r="H474" s="22" t="n">
        <f aca="false">IF(B474="GK",IFERROR(('Player Data'!N474-1.5*'Player Data'!O474)/'Player Data'!H474*90,0),IFERROR(('Player Data'!I474+'Player Data'!J474)/'Player Data'!H474*90,0))</f>
        <v>0.135849056603774</v>
      </c>
      <c r="I474" s="22" t="n">
        <f aca="false">IF(B474="GK",'Player Data'!P474,IFERROR(('Player Data'!K474+'Player Data'!L474)/'Player Data'!H474*90,0))</f>
        <v>2.64905660377358</v>
      </c>
      <c r="J474" s="22" t="n">
        <f aca="false">IF(B474="GK",IFERROR('Player Data'!Q474/'Player Data'!H474*90,0),IFERROR('Player Data'!M474/'Player Data'!H474*90,0))</f>
        <v>3.8377358490566</v>
      </c>
      <c r="K474" s="23" t="n">
        <f aca="false">'Player Data'!S474</f>
        <v>42120</v>
      </c>
      <c r="L474" s="22" t="n">
        <f aca="false">INDEX(Assumptions!$B$13:$B$15,MATCH(E474,Assumptions!$A$13:$A$15,0))</f>
        <v>1</v>
      </c>
      <c r="M474" s="24" t="n">
        <f aca="false">IFERROR(SUMPRODUCT(($B$2:$B$1001=B474)*($H$2:$H$1001&lt;=H474))/SUMPRODUCT(($B$2:$B$1001=B474)*1),0)</f>
        <v>0.316326530612245</v>
      </c>
      <c r="N474" s="24" t="n">
        <f aca="false">IFERROR(SUMPRODUCT(($B$2:$B$1001=B474)*($I$2:$I$1001&lt;=I474))/SUMPRODUCT(($B$2:$B$1001=B474)*1),0)</f>
        <v>0.0374149659863946</v>
      </c>
      <c r="O474" s="24" t="n">
        <f aca="false">IFERROR(SUMPRODUCT(($B$2:$B$1001=B474)*($J$2:$J$1001&lt;=J474))/SUMPRODUCT(($B$2:$B$1001=B474)*1),0)</f>
        <v>0.197278911564626</v>
      </c>
      <c r="P474" s="24" t="n">
        <f aca="false">IFERROR(SUMPRODUCT(($B$2:$B$1001=B474)*((0-$F$2:$F$1001)&lt;=(0-F474)))/SUMPRODUCT(($B$2:$B$1001=B474)*1),0)</f>
        <v>0.493197278911565</v>
      </c>
      <c r="Q474" s="25" t="n">
        <f aca="false">(M474*Assumptions!$B$5+N474*Assumptions!$B$6+O474*Assumptions!$B$7+P474*Assumptions!$B$8)*L474</f>
        <v>0.230272108843537</v>
      </c>
      <c r="R474" s="24" t="n">
        <f aca="false">IFERROR(SUMPRODUCT(($B$2:$B$1001=B474)*($Q$2:$Q$1001&lt;=Q474))/SUMPRODUCT(($B$2:$B$1001=B474)*1),0)</f>
        <v>0.119047619047619</v>
      </c>
      <c r="S474" s="24" t="n">
        <f aca="false">IFERROR(SUMPRODUCT(($B$2:$B$1001=B474)*($K$2:$K$1001&lt;=K474))/SUMPRODUCT(($B$2:$B$1001=B474)*1),0)</f>
        <v>0.404761904761905</v>
      </c>
      <c r="T474" s="26" t="n">
        <f aca="false">(R474-S474)*100</f>
        <v>-28.5714285714286</v>
      </c>
      <c r="U474" s="21" t="str">
        <f aca="false">'Player Data'!T474</f>
        <v>No</v>
      </c>
      <c r="V474" s="27" t="n">
        <f aca="false">'Player Data'!U474</f>
        <v>2029</v>
      </c>
      <c r="W474" s="21" t="str">
        <f aca="false">IF(AND(T474&gt;=Assumptions!$B$19,U474="No"),"High Priority - Unrepresented",IF(T474&gt;=Assumptions!$B$19,"High Priority",IF(AND(T474&gt;=Assumptions!$B$20,U474="No"),"Watchlist - Unrepresented",IF(T474&gt;=Assumptions!$B$20,"Watchlist",""))))</f>
        <v/>
      </c>
      <c r="X474" s="21" t="str">
        <f aca="false">'Player Data'!V474</f>
        <v>info@montevideofc.uy</v>
      </c>
      <c r="Y474" s="28" t="str">
        <f aca="false">'Player Data'!W474</f>
        <v>Club sporting director / first-team office</v>
      </c>
      <c r="Z474" s="28" t="str">
        <f aca="false">'Player Data'!X474</f>
        <v>AUF (Uruguayan Football Association) player registry</v>
      </c>
      <c r="AA474" s="19" t="str">
        <f aca="false">HYPERLINK("https://www.transfermarkt.com/schnellsuche/ergebnis/schnellsuche?query="&amp;SUBSTITUTE(A474," ","+"),"Search Transfermarkt")</f>
        <v>Search Transfermarkt</v>
      </c>
      <c r="AB474" s="29" t="n">
        <f aca="false">IFERROR('Player Data'!K474/('Player Data'!K474+'Player Data'!L474),0)</f>
        <v>0.666666666666667</v>
      </c>
      <c r="AC474" s="21" t="str">
        <f aca="false">IF(B474="GK",IF(AND(O474&gt;=Assumptions!$B$23,N474&gt;=Assumptions!$B$23),"Sweeper-Keeper / Build-from-the-Back",IF(O474&gt;=Assumptions!$B$23,"Sweeper-Keeper / High Line",IF(M474&gt;=Assumptions!$B$23,"Shot-Stopper / Traditional","Flexible / Multi-System"))),IF(AND(O474&gt;=Assumptions!$B$23,P474&gt;=Assumptions!$B$24),"High Press / Gegenpressing",IF(AND(N474&gt;=Assumptions!$B$23,AB474&gt;=Assumptions!$B$25),"Possession / Build-from-the-Back",IF(N474&gt;=Assumptions!$B$23,"Counter-Attack / Transition",IF(AND(O474&gt;=Assumptions!$B$23,N474&lt;Assumptions!$B$26),"Low Block / Park the Bus",IF(AND(B474="FW",M474&gt;=Assumptions!$B$23,N474&lt;Assumptions!$B$26),"Direct / Target Approach","Flexible / Multi-System"))))))</f>
        <v>Flexible / Multi-System</v>
      </c>
      <c r="AD474" s="21" t="str">
        <f aca="false">'Player Data'!Y474</f>
        <v>2026-07-17</v>
      </c>
      <c r="AE474" s="21" t="str">
        <f aca="false">'Player Data'!Z474</f>
        <v>2026-07-17</v>
      </c>
      <c r="AF474" s="28" t="str">
        <f aca="false">IFERROR(INDEX(Assumptions!$B$30:$B$61,MATCH(C474,Assumptions!$A$30:$A$61,0)),"--")</f>
        <v>Argentina, Portugal</v>
      </c>
      <c r="AG474" s="30" t="str">
        <f aca="false">IF(R474&gt;=0.7,"Step-Up Candidate",IF(R474&gt;=0.4,"Lateral Move","Stay &amp; Develop"))</f>
        <v>Stay &amp; Develop</v>
      </c>
    </row>
    <row r="475" customFormat="false" ht="23.85" hidden="false" customHeight="false" outlineLevel="0" collapsed="false">
      <c r="A475" s="21" t="str">
        <f aca="false">'Player Data'!A475</f>
        <v>Karl Mets</v>
      </c>
      <c r="B475" s="21" t="str">
        <f aca="false">'Player Data'!F475</f>
        <v>GK</v>
      </c>
      <c r="C475" s="21" t="str">
        <f aca="false">'Player Data'!B475</f>
        <v>Estonia</v>
      </c>
      <c r="D475" s="21" t="str">
        <f aca="false">'Player Data'!C475</f>
        <v>Estonia Reserve League</v>
      </c>
      <c r="E475" s="21" t="n">
        <f aca="false">'Player Data'!D475</f>
        <v>4</v>
      </c>
      <c r="F475" s="21" t="n">
        <f aca="false">'Player Data'!G475</f>
        <v>23</v>
      </c>
      <c r="G475" s="21" t="n">
        <f aca="false">'Player Data'!H475</f>
        <v>1321</v>
      </c>
      <c r="H475" s="22" t="n">
        <f aca="false">IF(B475="GK",IFERROR(('Player Data'!N475-1.5*'Player Data'!O475)/'Player Data'!H475*90,0),IFERROR(('Player Data'!I475+'Player Data'!J475)/'Player Data'!H475*90,0))</f>
        <v>1.39666919000757</v>
      </c>
      <c r="I475" s="22" t="n">
        <f aca="false">IF(B475="GK",'Player Data'!P475,IFERROR(('Player Data'!K475+'Player Data'!L475)/'Player Data'!H475*90,0))</f>
        <v>76</v>
      </c>
      <c r="J475" s="22" t="n">
        <f aca="false">IF(B475="GK",IFERROR('Player Data'!Q475/'Player Data'!H475*90,0),IFERROR('Player Data'!M475/'Player Data'!H475*90,0))</f>
        <v>0.626797880393641</v>
      </c>
      <c r="K475" s="23" t="n">
        <f aca="false">'Player Data'!S475</f>
        <v>94166</v>
      </c>
      <c r="L475" s="22" t="n">
        <f aca="false">INDEX(Assumptions!$B$13:$B$15,MATCH(E475,Assumptions!$A$13:$A$15,0))</f>
        <v>0.7</v>
      </c>
      <c r="M475" s="24" t="n">
        <f aca="false">IFERROR(SUMPRODUCT(($B$2:$B$1001=B475)*($H$2:$H$1001&lt;=H475))/SUMPRODUCT(($B$2:$B$1001=B475)*1),0)</f>
        <v>0.628415300546448</v>
      </c>
      <c r="N475" s="24" t="n">
        <f aca="false">IFERROR(SUMPRODUCT(($B$2:$B$1001=B475)*($I$2:$I$1001&lt;=I475))/SUMPRODUCT(($B$2:$B$1001=B475)*1),0)</f>
        <v>0.584699453551913</v>
      </c>
      <c r="O475" s="24" t="n">
        <f aca="false">IFERROR(SUMPRODUCT(($B$2:$B$1001=B475)*($J$2:$J$1001&lt;=J475))/SUMPRODUCT(($B$2:$B$1001=B475)*1),0)</f>
        <v>0.333333333333333</v>
      </c>
      <c r="P475" s="24" t="n">
        <f aca="false">IFERROR(SUMPRODUCT(($B$2:$B$1001=B475)*((0-$F$2:$F$1001)&lt;=(0-F475)))/SUMPRODUCT(($B$2:$B$1001=B475)*1),0)</f>
        <v>0.431693989071038</v>
      </c>
      <c r="Q475" s="25" t="n">
        <f aca="false">(M475*Assumptions!$B$5+N475*Assumptions!$B$6+O475*Assumptions!$B$7+P475*Assumptions!$B$8)*L475</f>
        <v>0.360327868852459</v>
      </c>
      <c r="R475" s="24" t="n">
        <f aca="false">IFERROR(SUMPRODUCT(($B$2:$B$1001=B475)*($Q$2:$Q$1001&lt;=Q475))/SUMPRODUCT(($B$2:$B$1001=B475)*1),0)</f>
        <v>0.278688524590164</v>
      </c>
      <c r="S475" s="24" t="n">
        <f aca="false">IFERROR(SUMPRODUCT(($B$2:$B$1001=B475)*($K$2:$K$1001&lt;=K475))/SUMPRODUCT(($B$2:$B$1001=B475)*1),0)</f>
        <v>0.655737704918033</v>
      </c>
      <c r="T475" s="26" t="n">
        <f aca="false">(R475-S475)*100</f>
        <v>-37.7049180327869</v>
      </c>
      <c r="U475" s="21" t="str">
        <f aca="false">'Player Data'!T475</f>
        <v>Unknown</v>
      </c>
      <c r="V475" s="27" t="n">
        <f aca="false">'Player Data'!U475</f>
        <v>2029</v>
      </c>
      <c r="W475" s="21" t="str">
        <f aca="false">IF(AND(T475&gt;=Assumptions!$B$19,U475="No"),"High Priority - Unrepresented",IF(T475&gt;=Assumptions!$B$19,"High Priority",IF(AND(T475&gt;=Assumptions!$B$20,U475="No"),"Watchlist - Unrepresented",IF(T475&gt;=Assumptions!$B$20,"Watchlist",""))))</f>
        <v/>
      </c>
      <c r="X475" s="21" t="str">
        <f aca="false">'Player Data'!V475</f>
        <v>info@parnurovers.ee</v>
      </c>
      <c r="Y475" s="28" t="str">
        <f aca="false">'Player Data'!W475</f>
        <v>Club sporting director / first-team office</v>
      </c>
      <c r="Z475" s="28" t="str">
        <f aca="false">'Player Data'!X475</f>
        <v>EJL (Estonian Football Association) player registry</v>
      </c>
      <c r="AA475" s="19" t="str">
        <f aca="false">HYPERLINK("https://www.transfermarkt.com/schnellsuche/ergebnis/schnellsuche?query="&amp;SUBSTITUTE(A475," ","+"),"Search Transfermarkt")</f>
        <v>Search Transfermarkt</v>
      </c>
      <c r="AB475" s="29" t="n">
        <f aca="false">IFERROR('Player Data'!K475/('Player Data'!K475+'Player Data'!L475),0)</f>
        <v>0.68421052631579</v>
      </c>
      <c r="AC475" s="21" t="str">
        <f aca="false">IF(B475="GK",IF(AND(O475&gt;=Assumptions!$B$23,N475&gt;=Assumptions!$B$23),"Sweeper-Keeper / Build-from-the-Back",IF(O475&gt;=Assumptions!$B$23,"Sweeper-Keeper / High Line",IF(M475&gt;=Assumptions!$B$23,"Shot-Stopper / Traditional","Flexible / Multi-System"))),IF(AND(O475&gt;=Assumptions!$B$23,P475&gt;=Assumptions!$B$24),"High Press / Gegenpressing",IF(AND(N475&gt;=Assumptions!$B$23,AB475&gt;=Assumptions!$B$25),"Possession / Build-from-the-Back",IF(N475&gt;=Assumptions!$B$23,"Counter-Attack / Transition",IF(AND(O475&gt;=Assumptions!$B$23,N475&lt;Assumptions!$B$26),"Low Block / Park the Bus",IF(AND(B475="FW",M475&gt;=Assumptions!$B$23,N475&lt;Assumptions!$B$26),"Direct / Target Approach","Flexible / Multi-System"))))))</f>
        <v>Flexible / Multi-System</v>
      </c>
      <c r="AD475" s="21" t="str">
        <f aca="false">'Player Data'!Y475</f>
        <v>2026-07-17</v>
      </c>
      <c r="AE475" s="21" t="str">
        <f aca="false">'Player Data'!Z475</f>
        <v>2026-07-17</v>
      </c>
      <c r="AF475" s="28" t="str">
        <f aca="false">IFERROR(INDEX(Assumptions!$B$30:$B$61,MATCH(C475,Assumptions!$A$30:$A$61,0)),"--")</f>
        <v>Poland, Norway</v>
      </c>
      <c r="AG475" s="30" t="str">
        <f aca="false">IF(R475&gt;=0.7,"Step-Up Candidate",IF(R475&gt;=0.4,"Lateral Move","Stay &amp; Develop"))</f>
        <v>Stay &amp; Develop</v>
      </c>
    </row>
    <row r="476" customFormat="false" ht="23.85" hidden="false" customHeight="false" outlineLevel="0" collapsed="false">
      <c r="A476" s="21" t="str">
        <f aca="false">'Player Data'!A476</f>
        <v>Devon Reid</v>
      </c>
      <c r="B476" s="21" t="str">
        <f aca="false">'Player Data'!F476</f>
        <v>DF</v>
      </c>
      <c r="C476" s="21" t="str">
        <f aca="false">'Player Data'!B476</f>
        <v>Jamaica</v>
      </c>
      <c r="D476" s="21" t="str">
        <f aca="false">'Player Data'!C476</f>
        <v>Jamaica Regional League</v>
      </c>
      <c r="E476" s="21" t="n">
        <f aca="false">'Player Data'!D476</f>
        <v>3</v>
      </c>
      <c r="F476" s="21" t="n">
        <f aca="false">'Player Data'!G476</f>
        <v>17</v>
      </c>
      <c r="G476" s="21" t="n">
        <f aca="false">'Player Data'!H476</f>
        <v>2130</v>
      </c>
      <c r="H476" s="22" t="n">
        <f aca="false">IF(B476="GK",IFERROR(('Player Data'!N476-1.5*'Player Data'!O476)/'Player Data'!H476*90,0),IFERROR(('Player Data'!I476+'Player Data'!J476)/'Player Data'!H476*90,0))</f>
        <v>0.211267605633803</v>
      </c>
      <c r="I476" s="22" t="n">
        <f aca="false">IF(B476="GK",'Player Data'!P476,IFERROR(('Player Data'!K476+'Player Data'!L476)/'Player Data'!H476*90,0))</f>
        <v>3.42253521126761</v>
      </c>
      <c r="J476" s="22" t="n">
        <f aca="false">IF(B476="GK",IFERROR('Player Data'!Q476/'Player Data'!H476*90,0),IFERROR('Player Data'!M476/'Player Data'!H476*90,0))</f>
        <v>3.2112676056338</v>
      </c>
      <c r="K476" s="23" t="n">
        <f aca="false">'Player Data'!S476</f>
        <v>51408</v>
      </c>
      <c r="L476" s="22" t="n">
        <f aca="false">INDEX(Assumptions!$B$13:$B$15,MATCH(E476,Assumptions!$A$13:$A$15,0))</f>
        <v>0.85</v>
      </c>
      <c r="M476" s="24" t="n">
        <f aca="false">IFERROR(SUMPRODUCT(($B$2:$B$1001=B476)*($H$2:$H$1001&lt;=H476))/SUMPRODUCT(($B$2:$B$1001=B476)*1),0)</f>
        <v>0.561224489795918</v>
      </c>
      <c r="N476" s="24" t="n">
        <f aca="false">IFERROR(SUMPRODUCT(($B$2:$B$1001=B476)*($I$2:$I$1001&lt;=I476))/SUMPRODUCT(($B$2:$B$1001=B476)*1),0)</f>
        <v>0.204081632653061</v>
      </c>
      <c r="O476" s="24" t="n">
        <f aca="false">IFERROR(SUMPRODUCT(($B$2:$B$1001=B476)*($J$2:$J$1001&lt;=J476))/SUMPRODUCT(($B$2:$B$1001=B476)*1),0)</f>
        <v>0.0442176870748299</v>
      </c>
      <c r="P476" s="24" t="n">
        <f aca="false">IFERROR(SUMPRODUCT(($B$2:$B$1001=B476)*((0-$F$2:$F$1001)&lt;=(0-F476)))/SUMPRODUCT(($B$2:$B$1001=B476)*1),0)</f>
        <v>1</v>
      </c>
      <c r="Q476" s="25" t="n">
        <f aca="false">(M476*Assumptions!$B$5+N476*Assumptions!$B$6+O476*Assumptions!$B$7+P476*Assumptions!$B$8)*L476</f>
        <v>0.35749149659864</v>
      </c>
      <c r="R476" s="24" t="n">
        <f aca="false">IFERROR(SUMPRODUCT(($B$2:$B$1001=B476)*($Q$2:$Q$1001&lt;=Q476))/SUMPRODUCT(($B$2:$B$1001=B476)*1),0)</f>
        <v>0.36734693877551</v>
      </c>
      <c r="S476" s="24" t="n">
        <f aca="false">IFERROR(SUMPRODUCT(($B$2:$B$1001=B476)*($K$2:$K$1001&lt;=K476))/SUMPRODUCT(($B$2:$B$1001=B476)*1),0)</f>
        <v>0.442176870748299</v>
      </c>
      <c r="T476" s="26" t="n">
        <f aca="false">(R476-S476)*100</f>
        <v>-7.48299319727891</v>
      </c>
      <c r="U476" s="21" t="str">
        <f aca="false">'Player Data'!T476</f>
        <v>No</v>
      </c>
      <c r="V476" s="27" t="n">
        <f aca="false">'Player Data'!U476</f>
        <v>2027</v>
      </c>
      <c r="W476" s="21" t="str">
        <f aca="false">IF(AND(T476&gt;=Assumptions!$B$19,U476="No"),"High Priority - Unrepresented",IF(T476&gt;=Assumptions!$B$19,"High Priority",IF(AND(T476&gt;=Assumptions!$B$20,U476="No"),"Watchlist - Unrepresented",IF(T476&gt;=Assumptions!$B$20,"Watchlist",""))))</f>
        <v/>
      </c>
      <c r="X476" s="21" t="str">
        <f aca="false">'Player Data'!V476</f>
        <v>info@spanishtownunited.jm</v>
      </c>
      <c r="Y476" s="28" t="str">
        <f aca="false">'Player Data'!W476</f>
        <v>Club youth/academy office ONLY - player is a minor, do not contact directly</v>
      </c>
      <c r="Z476" s="28" t="str">
        <f aca="false">'Player Data'!X476</f>
        <v>JFF (Jamaica Football Federation) player registry</v>
      </c>
      <c r="AA476" s="19" t="str">
        <f aca="false">HYPERLINK("https://www.transfermarkt.com/schnellsuche/ergebnis/schnellsuche?query="&amp;SUBSTITUTE(A476," ","+"),"Search Transfermarkt")</f>
        <v>Search Transfermarkt</v>
      </c>
      <c r="AB476" s="29" t="n">
        <f aca="false">IFERROR('Player Data'!K476/('Player Data'!K476+'Player Data'!L476),0)</f>
        <v>0.617283950617284</v>
      </c>
      <c r="AC476" s="21" t="str">
        <f aca="false">IF(B476="GK",IF(AND(O476&gt;=Assumptions!$B$23,N476&gt;=Assumptions!$B$23),"Sweeper-Keeper / Build-from-the-Back",IF(O476&gt;=Assumptions!$B$23,"Sweeper-Keeper / High Line",IF(M476&gt;=Assumptions!$B$23,"Shot-Stopper / Traditional","Flexible / Multi-System"))),IF(AND(O476&gt;=Assumptions!$B$23,P476&gt;=Assumptions!$B$24),"High Press / Gegenpressing",IF(AND(N476&gt;=Assumptions!$B$23,AB476&gt;=Assumptions!$B$25),"Possession / Build-from-the-Back",IF(N476&gt;=Assumptions!$B$23,"Counter-Attack / Transition",IF(AND(O476&gt;=Assumptions!$B$23,N476&lt;Assumptions!$B$26),"Low Block / Park the Bus",IF(AND(B476="FW",M476&gt;=Assumptions!$B$23,N476&lt;Assumptions!$B$26),"Direct / Target Approach","Flexible / Multi-System"))))))</f>
        <v>Flexible / Multi-System</v>
      </c>
      <c r="AD476" s="21" t="str">
        <f aca="false">'Player Data'!Y476</f>
        <v>2026-07-17</v>
      </c>
      <c r="AE476" s="21" t="str">
        <f aca="false">'Player Data'!Z476</f>
        <v>2026-07-17</v>
      </c>
      <c r="AF476" s="28" t="str">
        <f aca="false">IFERROR(INDEX(Assumptions!$B$30:$B$61,MATCH(C476,Assumptions!$A$30:$A$61,0)),"--")</f>
        <v>United States, Mexico</v>
      </c>
      <c r="AG476" s="30" t="str">
        <f aca="false">IF(R476&gt;=0.7,"Step-Up Candidate",IF(R476&gt;=0.4,"Lateral Move","Stay &amp; Develop"))</f>
        <v>Stay &amp; Develop</v>
      </c>
    </row>
    <row r="477" customFormat="false" ht="23.85" hidden="false" customHeight="false" outlineLevel="0" collapsed="false">
      <c r="A477" s="21" t="str">
        <f aca="false">'Player Data'!A477</f>
        <v>Andre Brown</v>
      </c>
      <c r="B477" s="21" t="str">
        <f aca="false">'Player Data'!F477</f>
        <v>FW</v>
      </c>
      <c r="C477" s="21" t="str">
        <f aca="false">'Player Data'!B477</f>
        <v>Jamaica</v>
      </c>
      <c r="D477" s="21" t="str">
        <f aca="false">'Player Data'!C477</f>
        <v>Jamaica Regional League</v>
      </c>
      <c r="E477" s="21" t="n">
        <f aca="false">'Player Data'!D477</f>
        <v>3</v>
      </c>
      <c r="F477" s="21" t="n">
        <f aca="false">'Player Data'!G477</f>
        <v>18</v>
      </c>
      <c r="G477" s="21" t="n">
        <f aca="false">'Player Data'!H477</f>
        <v>924</v>
      </c>
      <c r="H477" s="22" t="n">
        <f aca="false">IF(B477="GK",IFERROR(('Player Data'!N477-1.5*'Player Data'!O477)/'Player Data'!H477*90,0),IFERROR(('Player Data'!I477+'Player Data'!J477)/'Player Data'!H477*90,0))</f>
        <v>1.85064935064935</v>
      </c>
      <c r="I477" s="22" t="n">
        <f aca="false">IF(B477="GK",'Player Data'!P477,IFERROR(('Player Data'!K477+'Player Data'!L477)/'Player Data'!H477*90,0))</f>
        <v>8.76623376623377</v>
      </c>
      <c r="J477" s="22" t="n">
        <f aca="false">IF(B477="GK",IFERROR('Player Data'!Q477/'Player Data'!H477*90,0),IFERROR('Player Data'!M477/'Player Data'!H477*90,0))</f>
        <v>0.876623376623377</v>
      </c>
      <c r="K477" s="23" t="n">
        <f aca="false">'Player Data'!S477</f>
        <v>0</v>
      </c>
      <c r="L477" s="22" t="n">
        <f aca="false">INDEX(Assumptions!$B$13:$B$15,MATCH(E477,Assumptions!$A$13:$A$15,0))</f>
        <v>0.85</v>
      </c>
      <c r="M477" s="24" t="n">
        <f aca="false">IFERROR(SUMPRODUCT(($B$2:$B$1001=B477)*($H$2:$H$1001&lt;=H477))/SUMPRODUCT(($B$2:$B$1001=B477)*1),0)</f>
        <v>0.929203539823009</v>
      </c>
      <c r="N477" s="24" t="n">
        <f aca="false">IFERROR(SUMPRODUCT(($B$2:$B$1001=B477)*($I$2:$I$1001&lt;=I477))/SUMPRODUCT(($B$2:$B$1001=B477)*1),0)</f>
        <v>0.738938053097345</v>
      </c>
      <c r="O477" s="24" t="n">
        <f aca="false">IFERROR(SUMPRODUCT(($B$2:$B$1001=B477)*($J$2:$J$1001&lt;=J477))/SUMPRODUCT(($B$2:$B$1001=B477)*1),0)</f>
        <v>0.845132743362832</v>
      </c>
      <c r="P477" s="24" t="n">
        <f aca="false">IFERROR(SUMPRODUCT(($B$2:$B$1001=B477)*((0-$F$2:$F$1001)&lt;=(0-F477)))/SUMPRODUCT(($B$2:$B$1001=B477)*1),0)</f>
        <v>0.915929203539823</v>
      </c>
      <c r="Q477" s="25" t="n">
        <f aca="false">(M477*Assumptions!$B$5+N477*Assumptions!$B$6+O477*Assumptions!$B$7+P477*Assumptions!$B$8)*L477</f>
        <v>0.716670353982301</v>
      </c>
      <c r="R477" s="24" t="n">
        <f aca="false">IFERROR(SUMPRODUCT(($B$2:$B$1001=B477)*($Q$2:$Q$1001&lt;=Q477))/SUMPRODUCT(($B$2:$B$1001=B477)*1),0)</f>
        <v>0.889380530973451</v>
      </c>
      <c r="S477" s="24" t="n">
        <f aca="false">IFERROR(SUMPRODUCT(($B$2:$B$1001=B477)*($K$2:$K$1001&lt;=K477))/SUMPRODUCT(($B$2:$B$1001=B477)*1),0)</f>
        <v>0.261061946902655</v>
      </c>
      <c r="T477" s="26" t="n">
        <f aca="false">(R477-S477)*100</f>
        <v>62.8318584070797</v>
      </c>
      <c r="U477" s="21" t="str">
        <f aca="false">'Player Data'!T477</f>
        <v>No</v>
      </c>
      <c r="V477" s="27" t="n">
        <f aca="false">'Player Data'!U477</f>
        <v>2026</v>
      </c>
      <c r="W477" s="21" t="str">
        <f aca="false">IF(AND(T477&gt;=Assumptions!$B$19,U477="No"),"High Priority - Unrepresented",IF(T477&gt;=Assumptions!$B$19,"High Priority",IF(AND(T477&gt;=Assumptions!$B$20,U477="No"),"Watchlist - Unrepresented",IF(T477&gt;=Assumptions!$B$20,"Watchlist",""))))</f>
        <v>High Priority - Unrepresented</v>
      </c>
      <c r="X477" s="21" t="str">
        <f aca="false">'Player Data'!V477</f>
        <v>info@maypenrovers.jm</v>
      </c>
      <c r="Y477" s="28" t="str">
        <f aca="false">'Player Data'!W477</f>
        <v>Club sporting director / first-team office</v>
      </c>
      <c r="Z477" s="28" t="str">
        <f aca="false">'Player Data'!X477</f>
        <v>JFF (Jamaica Football Federation) player registry</v>
      </c>
      <c r="AA477" s="19" t="str">
        <f aca="false">HYPERLINK("https://www.transfermarkt.com/schnellsuche/ergebnis/schnellsuche?query="&amp;SUBSTITUTE(A477," ","+"),"Search Transfermarkt")</f>
        <v>Search Transfermarkt</v>
      </c>
      <c r="AB477" s="29" t="n">
        <f aca="false">IFERROR('Player Data'!K477/('Player Data'!K477+'Player Data'!L477),0)</f>
        <v>0.311111111111111</v>
      </c>
      <c r="AC477" s="21" t="str">
        <f aca="false">IF(B477="GK",IF(AND(O477&gt;=Assumptions!$B$23,N477&gt;=Assumptions!$B$23),"Sweeper-Keeper / Build-from-the-Back",IF(O477&gt;=Assumptions!$B$23,"Sweeper-Keeper / High Line",IF(M477&gt;=Assumptions!$B$23,"Shot-Stopper / Traditional","Flexible / Multi-System"))),IF(AND(O477&gt;=Assumptions!$B$23,P477&gt;=Assumptions!$B$24),"High Press / Gegenpressing",IF(AND(N477&gt;=Assumptions!$B$23,AB477&gt;=Assumptions!$B$25),"Possession / Build-from-the-Back",IF(N477&gt;=Assumptions!$B$23,"Counter-Attack / Transition",IF(AND(O477&gt;=Assumptions!$B$23,N477&lt;Assumptions!$B$26),"Low Block / Park the Bus",IF(AND(B477="FW",M477&gt;=Assumptions!$B$23,N477&lt;Assumptions!$B$26),"Direct / Target Approach","Flexible / Multi-System"))))))</f>
        <v>High Press / Gegenpressing</v>
      </c>
      <c r="AD477" s="21" t="str">
        <f aca="false">'Player Data'!Y477</f>
        <v>2026-07-17</v>
      </c>
      <c r="AE477" s="21" t="str">
        <f aca="false">'Player Data'!Z477</f>
        <v>2026-07-17</v>
      </c>
      <c r="AF477" s="28" t="str">
        <f aca="false">IFERROR(INDEX(Assumptions!$B$30:$B$61,MATCH(C477,Assumptions!$A$30:$A$61,0)),"--")</f>
        <v>United States, Mexico</v>
      </c>
      <c r="AG477" s="30" t="str">
        <f aca="false">IF(R477&gt;=0.7,"Step-Up Candidate",IF(R477&gt;=0.4,"Lateral Move","Stay &amp; Develop"))</f>
        <v>Step-Up Candidate</v>
      </c>
    </row>
    <row r="478" customFormat="false" ht="23.85" hidden="false" customHeight="false" outlineLevel="0" collapsed="false">
      <c r="A478" s="21" t="str">
        <f aca="false">'Player Data'!A478</f>
        <v>Pongsak Sanguan</v>
      </c>
      <c r="B478" s="21" t="str">
        <f aca="false">'Player Data'!F478</f>
        <v>DF</v>
      </c>
      <c r="C478" s="21" t="str">
        <f aca="false">'Player Data'!B478</f>
        <v>Thailand</v>
      </c>
      <c r="D478" s="21" t="str">
        <f aca="false">'Player Data'!C478</f>
        <v>Thailand Provincial League</v>
      </c>
      <c r="E478" s="21" t="n">
        <f aca="false">'Player Data'!D478</f>
        <v>3</v>
      </c>
      <c r="F478" s="21" t="n">
        <f aca="false">'Player Data'!G478</f>
        <v>18</v>
      </c>
      <c r="G478" s="21" t="n">
        <f aca="false">'Player Data'!H478</f>
        <v>2092</v>
      </c>
      <c r="H478" s="22" t="n">
        <f aca="false">IF(B478="GK",IFERROR(('Player Data'!N478-1.5*'Player Data'!O478)/'Player Data'!H478*90,0),IFERROR(('Player Data'!I478+'Player Data'!J478)/'Player Data'!H478*90,0))</f>
        <v>0.17208413001912</v>
      </c>
      <c r="I478" s="22" t="n">
        <f aca="false">IF(B478="GK",'Player Data'!P478,IFERROR(('Player Data'!K478+'Player Data'!L478)/'Player Data'!H478*90,0))</f>
        <v>3.44168260038241</v>
      </c>
      <c r="J478" s="22" t="n">
        <f aca="false">IF(B478="GK",IFERROR('Player Data'!Q478/'Player Data'!H478*90,0),IFERROR('Player Data'!M478/'Player Data'!H478*90,0))</f>
        <v>5.50669216061186</v>
      </c>
      <c r="K478" s="23" t="n">
        <f aca="false">'Player Data'!S478</f>
        <v>8030</v>
      </c>
      <c r="L478" s="22" t="n">
        <f aca="false">INDEX(Assumptions!$B$13:$B$15,MATCH(E478,Assumptions!$A$13:$A$15,0))</f>
        <v>0.85</v>
      </c>
      <c r="M478" s="24" t="n">
        <f aca="false">IFERROR(SUMPRODUCT(($B$2:$B$1001=B478)*($H$2:$H$1001&lt;=H478))/SUMPRODUCT(($B$2:$B$1001=B478)*1),0)</f>
        <v>0.448979591836735</v>
      </c>
      <c r="N478" s="24" t="n">
        <f aca="false">IFERROR(SUMPRODUCT(($B$2:$B$1001=B478)*($I$2:$I$1001&lt;=I478))/SUMPRODUCT(($B$2:$B$1001=B478)*1),0)</f>
        <v>0.214285714285714</v>
      </c>
      <c r="O478" s="24" t="n">
        <f aca="false">IFERROR(SUMPRODUCT(($B$2:$B$1001=B478)*($J$2:$J$1001&lt;=J478))/SUMPRODUCT(($B$2:$B$1001=B478)*1),0)</f>
        <v>0.523809523809524</v>
      </c>
      <c r="P478" s="24" t="n">
        <f aca="false">IFERROR(SUMPRODUCT(($B$2:$B$1001=B478)*((0-$F$2:$F$1001)&lt;=(0-F478)))/SUMPRODUCT(($B$2:$B$1001=B478)*1),0)</f>
        <v>0.863945578231293</v>
      </c>
      <c r="Q478" s="25" t="n">
        <f aca="false">(M478*Assumptions!$B$5+N478*Assumptions!$B$6+O478*Assumptions!$B$7+P478*Assumptions!$B$8)*L478</f>
        <v>0.395076530612245</v>
      </c>
      <c r="R478" s="24" t="n">
        <f aca="false">IFERROR(SUMPRODUCT(($B$2:$B$1001=B478)*($Q$2:$Q$1001&lt;=Q478))/SUMPRODUCT(($B$2:$B$1001=B478)*1),0)</f>
        <v>0.452380952380952</v>
      </c>
      <c r="S478" s="24" t="n">
        <f aca="false">IFERROR(SUMPRODUCT(($B$2:$B$1001=B478)*($K$2:$K$1001&lt;=K478))/SUMPRODUCT(($B$2:$B$1001=B478)*1),0)</f>
        <v>0.251700680272109</v>
      </c>
      <c r="T478" s="26" t="n">
        <f aca="false">(R478-S478)*100</f>
        <v>20.0680272108844</v>
      </c>
      <c r="U478" s="21" t="str">
        <f aca="false">'Player Data'!T478</f>
        <v>No</v>
      </c>
      <c r="V478" s="27" t="n">
        <f aca="false">'Player Data'!U478</f>
        <v>2028</v>
      </c>
      <c r="W478" s="21" t="str">
        <f aca="false">IF(AND(T478&gt;=Assumptions!$B$19,U478="No"),"High Priority - Unrepresented",IF(T478&gt;=Assumptions!$B$19,"High Priority",IF(AND(T478&gt;=Assumptions!$B$20,U478="No"),"Watchlist - Unrepresented",IF(T478&gt;=Assumptions!$B$20,"Watchlist",""))))</f>
        <v>Watchlist - Unrepresented</v>
      </c>
      <c r="X478" s="21" t="str">
        <f aca="false">'Player Data'!V478</f>
        <v>info@nonthaburisc.th</v>
      </c>
      <c r="Y478" s="28" t="str">
        <f aca="false">'Player Data'!W478</f>
        <v>Club sporting director / first-team office</v>
      </c>
      <c r="Z478" s="28" t="str">
        <f aca="false">'Player Data'!X478</f>
        <v>FAT (Football Association of Thailand) player registry</v>
      </c>
      <c r="AA478" s="19" t="str">
        <f aca="false">HYPERLINK("https://www.transfermarkt.com/schnellsuche/ergebnis/schnellsuche?query="&amp;SUBSTITUTE(A478," ","+"),"Search Transfermarkt")</f>
        <v>Search Transfermarkt</v>
      </c>
      <c r="AB478" s="29" t="n">
        <f aca="false">IFERROR('Player Data'!K478/('Player Data'!K478+'Player Data'!L478),0)</f>
        <v>0.7375</v>
      </c>
      <c r="AC478" s="21" t="str">
        <f aca="false">IF(B478="GK",IF(AND(O478&gt;=Assumptions!$B$23,N478&gt;=Assumptions!$B$23),"Sweeper-Keeper / Build-from-the-Back",IF(O478&gt;=Assumptions!$B$23,"Sweeper-Keeper / High Line",IF(M478&gt;=Assumptions!$B$23,"Shot-Stopper / Traditional","Flexible / Multi-System"))),IF(AND(O478&gt;=Assumptions!$B$23,P478&gt;=Assumptions!$B$24),"High Press / Gegenpressing",IF(AND(N478&gt;=Assumptions!$B$23,AB478&gt;=Assumptions!$B$25),"Possession / Build-from-the-Back",IF(N478&gt;=Assumptions!$B$23,"Counter-Attack / Transition",IF(AND(O478&gt;=Assumptions!$B$23,N478&lt;Assumptions!$B$26),"Low Block / Park the Bus",IF(AND(B478="FW",M478&gt;=Assumptions!$B$23,N478&lt;Assumptions!$B$26),"Direct / Target Approach","Flexible / Multi-System"))))))</f>
        <v>Flexible / Multi-System</v>
      </c>
      <c r="AD478" s="21" t="str">
        <f aca="false">'Player Data'!Y478</f>
        <v>2026-07-17</v>
      </c>
      <c r="AE478" s="21" t="str">
        <f aca="false">'Player Data'!Z478</f>
        <v>2026-07-17</v>
      </c>
      <c r="AF478" s="28" t="str">
        <f aca="false">IFERROR(INDEX(Assumptions!$B$30:$B$61,MATCH(C478,Assumptions!$A$30:$A$61,0)),"--")</f>
        <v>Australia, Saudi Arabia</v>
      </c>
      <c r="AG478" s="30" t="str">
        <f aca="false">IF(R478&gt;=0.7,"Step-Up Candidate",IF(R478&gt;=0.4,"Lateral Move","Stay &amp; Develop"))</f>
        <v>Lateral Move</v>
      </c>
    </row>
    <row r="479" customFormat="false" ht="23.85" hidden="false" customHeight="false" outlineLevel="0" collapsed="false">
      <c r="A479" s="21" t="str">
        <f aca="false">'Player Data'!A479</f>
        <v>Andrej Ilic</v>
      </c>
      <c r="B479" s="21" t="str">
        <f aca="false">'Player Data'!F479</f>
        <v>GK</v>
      </c>
      <c r="C479" s="21" t="str">
        <f aca="false">'Player Data'!B479</f>
        <v>Montenegro</v>
      </c>
      <c r="D479" s="21" t="str">
        <f aca="false">'Player Data'!C479</f>
        <v>Montenegro Provincial League</v>
      </c>
      <c r="E479" s="21" t="n">
        <f aca="false">'Player Data'!D479</f>
        <v>2</v>
      </c>
      <c r="F479" s="21" t="n">
        <f aca="false">'Player Data'!G479</f>
        <v>18</v>
      </c>
      <c r="G479" s="21" t="n">
        <f aca="false">'Player Data'!H479</f>
        <v>1295</v>
      </c>
      <c r="H479" s="22" t="n">
        <f aca="false">IF(B479="GK",IFERROR(('Player Data'!N479-1.5*'Player Data'!O479)/'Player Data'!H479*90,0),IFERROR(('Player Data'!I479+'Player Data'!J479)/'Player Data'!H479*90,0))</f>
        <v>1.45945945945946</v>
      </c>
      <c r="I479" s="22" t="n">
        <f aca="false">IF(B479="GK",'Player Data'!P479,IFERROR(('Player Data'!K479+'Player Data'!L479)/'Player Data'!H479*90,0))</f>
        <v>71.1</v>
      </c>
      <c r="J479" s="22" t="n">
        <f aca="false">IF(B479="GK",IFERROR('Player Data'!Q479/'Player Data'!H479*90,0),IFERROR('Player Data'!M479/'Player Data'!H479*90,0))</f>
        <v>0.243243243243243</v>
      </c>
      <c r="K479" s="23" t="n">
        <f aca="false">'Player Data'!S479</f>
        <v>0</v>
      </c>
      <c r="L479" s="22" t="n">
        <f aca="false">INDEX(Assumptions!$B$13:$B$15,MATCH(E479,Assumptions!$A$13:$A$15,0))</f>
        <v>1</v>
      </c>
      <c r="M479" s="24" t="n">
        <f aca="false">IFERROR(SUMPRODUCT(($B$2:$B$1001=B479)*($H$2:$H$1001&lt;=H479))/SUMPRODUCT(($B$2:$B$1001=B479)*1),0)</f>
        <v>0.677595628415301</v>
      </c>
      <c r="N479" s="24" t="n">
        <f aca="false">IFERROR(SUMPRODUCT(($B$2:$B$1001=B479)*($I$2:$I$1001&lt;=I479))/SUMPRODUCT(($B$2:$B$1001=B479)*1),0)</f>
        <v>0.437158469945355</v>
      </c>
      <c r="O479" s="24" t="n">
        <f aca="false">IFERROR(SUMPRODUCT(($B$2:$B$1001=B479)*($J$2:$J$1001&lt;=J479))/SUMPRODUCT(($B$2:$B$1001=B479)*1),0)</f>
        <v>0.092896174863388</v>
      </c>
      <c r="P479" s="24" t="n">
        <f aca="false">IFERROR(SUMPRODUCT(($B$2:$B$1001=B479)*((0-$F$2:$F$1001)&lt;=(0-F479)))/SUMPRODUCT(($B$2:$B$1001=B479)*1),0)</f>
        <v>0.907103825136612</v>
      </c>
      <c r="Q479" s="25" t="n">
        <f aca="false">(M479*Assumptions!$B$5+N479*Assumptions!$B$6+O479*Assumptions!$B$7+P479*Assumptions!$B$8)*L479</f>
        <v>0.522404371584699</v>
      </c>
      <c r="R479" s="24" t="n">
        <f aca="false">IFERROR(SUMPRODUCT(($B$2:$B$1001=B479)*($Q$2:$Q$1001&lt;=Q479))/SUMPRODUCT(($B$2:$B$1001=B479)*1),0)</f>
        <v>0.672131147540984</v>
      </c>
      <c r="S479" s="24" t="n">
        <f aca="false">IFERROR(SUMPRODUCT(($B$2:$B$1001=B479)*($K$2:$K$1001&lt;=K479))/SUMPRODUCT(($B$2:$B$1001=B479)*1),0)</f>
        <v>0.218579234972678</v>
      </c>
      <c r="T479" s="26" t="n">
        <f aca="false">(R479-S479)*100</f>
        <v>45.3551912568306</v>
      </c>
      <c r="U479" s="21" t="str">
        <f aca="false">'Player Data'!T479</f>
        <v>No</v>
      </c>
      <c r="V479" s="27" t="n">
        <f aca="false">'Player Data'!U479</f>
        <v>2027</v>
      </c>
      <c r="W479" s="21" t="str">
        <f aca="false">IF(AND(T479&gt;=Assumptions!$B$19,U479="No"),"High Priority - Unrepresented",IF(T479&gt;=Assumptions!$B$19,"High Priority",IF(AND(T479&gt;=Assumptions!$B$20,U479="No"),"Watchlist - Unrepresented",IF(T479&gt;=Assumptions!$B$20,"Watchlist",""))))</f>
        <v>High Priority - Unrepresented</v>
      </c>
      <c r="X479" s="21" t="str">
        <f aca="false">'Player Data'!V479</f>
        <v>info@beraneunited.me</v>
      </c>
      <c r="Y479" s="28" t="str">
        <f aca="false">'Player Data'!W479</f>
        <v>Club sporting director / first-team office</v>
      </c>
      <c r="Z479" s="28" t="str">
        <f aca="false">'Player Data'!X479</f>
        <v>FSCG (Football Association of Montenegro) player registry</v>
      </c>
      <c r="AA479" s="19" t="str">
        <f aca="false">HYPERLINK("https://www.transfermarkt.com/schnellsuche/ergebnis/schnellsuche?query="&amp;SUBSTITUTE(A479," ","+"),"Search Transfermarkt")</f>
        <v>Search Transfermarkt</v>
      </c>
      <c r="AB479" s="29" t="n">
        <f aca="false">IFERROR('Player Data'!K479/('Player Data'!K479+'Player Data'!L479),0)</f>
        <v>0.705882352941177</v>
      </c>
      <c r="AC479" s="21" t="str">
        <f aca="false">IF(B479="GK",IF(AND(O479&gt;=Assumptions!$B$23,N479&gt;=Assumptions!$B$23),"Sweeper-Keeper / Build-from-the-Back",IF(O479&gt;=Assumptions!$B$23,"Sweeper-Keeper / High Line",IF(M479&gt;=Assumptions!$B$23,"Shot-Stopper / Traditional","Flexible / Multi-System"))),IF(AND(O479&gt;=Assumptions!$B$23,P479&gt;=Assumptions!$B$24),"High Press / Gegenpressing",IF(AND(N479&gt;=Assumptions!$B$23,AB479&gt;=Assumptions!$B$25),"Possession / Build-from-the-Back",IF(N479&gt;=Assumptions!$B$23,"Counter-Attack / Transition",IF(AND(O479&gt;=Assumptions!$B$23,N479&lt;Assumptions!$B$26),"Low Block / Park the Bus",IF(AND(B479="FW",M479&gt;=Assumptions!$B$23,N479&lt;Assumptions!$B$26),"Direct / Target Approach","Flexible / Multi-System"))))))</f>
        <v>Shot-Stopper / Traditional</v>
      </c>
      <c r="AD479" s="21" t="str">
        <f aca="false">'Player Data'!Y479</f>
        <v>2026-07-17</v>
      </c>
      <c r="AE479" s="21" t="str">
        <f aca="false">'Player Data'!Z479</f>
        <v>2026-07-17</v>
      </c>
      <c r="AF479" s="28" t="str">
        <f aca="false">IFERROR(INDEX(Assumptions!$B$30:$B$61,MATCH(C479,Assumptions!$A$30:$A$61,0)),"--")</f>
        <v>Austria, Turkey</v>
      </c>
      <c r="AG479" s="30" t="str">
        <f aca="false">IF(R479&gt;=0.7,"Step-Up Candidate",IF(R479&gt;=0.4,"Lateral Move","Stay &amp; Develop"))</f>
        <v>Lateral Move</v>
      </c>
    </row>
    <row r="480" customFormat="false" ht="23.85" hidden="false" customHeight="false" outlineLevel="0" collapsed="false">
      <c r="A480" s="21" t="str">
        <f aca="false">'Player Data'!A480</f>
        <v>Edgars Ozols</v>
      </c>
      <c r="B480" s="21" t="str">
        <f aca="false">'Player Data'!F480</f>
        <v>MF</v>
      </c>
      <c r="C480" s="21" t="str">
        <f aca="false">'Player Data'!B480</f>
        <v>Latvia</v>
      </c>
      <c r="D480" s="21" t="str">
        <f aca="false">'Player Data'!C480</f>
        <v>Latvia Third Tier - South</v>
      </c>
      <c r="E480" s="21" t="n">
        <f aca="false">'Player Data'!D480</f>
        <v>2</v>
      </c>
      <c r="F480" s="21" t="n">
        <f aca="false">'Player Data'!G480</f>
        <v>17</v>
      </c>
      <c r="G480" s="21" t="n">
        <f aca="false">'Player Data'!H480</f>
        <v>1385</v>
      </c>
      <c r="H480" s="22" t="n">
        <f aca="false">IF(B480="GK",IFERROR(('Player Data'!N480-1.5*'Player Data'!O480)/'Player Data'!H480*90,0),IFERROR(('Player Data'!I480+'Player Data'!J480)/'Player Data'!H480*90,0))</f>
        <v>0.844765342960289</v>
      </c>
      <c r="I480" s="22" t="n">
        <f aca="false">IF(B480="GK",'Player Data'!P480,IFERROR(('Player Data'!K480+'Player Data'!L480)/'Player Data'!H480*90,0))</f>
        <v>12.9314079422383</v>
      </c>
      <c r="J480" s="22" t="n">
        <f aca="false">IF(B480="GK",IFERROR('Player Data'!Q480/'Player Data'!H480*90,0),IFERROR('Player Data'!M480/'Player Data'!H480*90,0))</f>
        <v>3.24909747292419</v>
      </c>
      <c r="K480" s="23" t="n">
        <f aca="false">'Player Data'!S480</f>
        <v>120490</v>
      </c>
      <c r="L480" s="22" t="n">
        <f aca="false">INDEX(Assumptions!$B$13:$B$15,MATCH(E480,Assumptions!$A$13:$A$15,0))</f>
        <v>1</v>
      </c>
      <c r="M480" s="24" t="n">
        <f aca="false">IFERROR(SUMPRODUCT(($B$2:$B$1001=B480)*($H$2:$H$1001&lt;=H480))/SUMPRODUCT(($B$2:$B$1001=B480)*1),0)</f>
        <v>0.646464646464647</v>
      </c>
      <c r="N480" s="24" t="n">
        <f aca="false">IFERROR(SUMPRODUCT(($B$2:$B$1001=B480)*($I$2:$I$1001&lt;=I480))/SUMPRODUCT(($B$2:$B$1001=B480)*1),0)</f>
        <v>0.65993265993266</v>
      </c>
      <c r="O480" s="24" t="n">
        <f aca="false">IFERROR(SUMPRODUCT(($B$2:$B$1001=B480)*($J$2:$J$1001&lt;=J480))/SUMPRODUCT(($B$2:$B$1001=B480)*1),0)</f>
        <v>0.804713804713805</v>
      </c>
      <c r="P480" s="24" t="n">
        <f aca="false">IFERROR(SUMPRODUCT(($B$2:$B$1001=B480)*((0-$F$2:$F$1001)&lt;=(0-F480)))/SUMPRODUCT(($B$2:$B$1001=B480)*1),0)</f>
        <v>1</v>
      </c>
      <c r="Q480" s="25" t="n">
        <f aca="false">(M480*Assumptions!$B$5+N480*Assumptions!$B$6+O480*Assumptions!$B$7+P480*Assumptions!$B$8)*L480</f>
        <v>0.753535353535354</v>
      </c>
      <c r="R480" s="24" t="n">
        <f aca="false">IFERROR(SUMPRODUCT(($B$2:$B$1001=B480)*($Q$2:$Q$1001&lt;=Q480))/SUMPRODUCT(($B$2:$B$1001=B480)*1),0)</f>
        <v>0.905723905723906</v>
      </c>
      <c r="S480" s="24" t="n">
        <f aca="false">IFERROR(SUMPRODUCT(($B$2:$B$1001=B480)*($K$2:$K$1001&lt;=K480))/SUMPRODUCT(($B$2:$B$1001=B480)*1),0)</f>
        <v>0.858585858585859</v>
      </c>
      <c r="T480" s="26" t="n">
        <f aca="false">(R480-S480)*100</f>
        <v>4.71380471380471</v>
      </c>
      <c r="U480" s="21" t="str">
        <f aca="false">'Player Data'!T480</f>
        <v>No</v>
      </c>
      <c r="V480" s="27" t="n">
        <f aca="false">'Player Data'!U480</f>
        <v>2028</v>
      </c>
      <c r="W480" s="21" t="str">
        <f aca="false">IF(AND(T480&gt;=Assumptions!$B$19,U480="No"),"High Priority - Unrepresented",IF(T480&gt;=Assumptions!$B$19,"High Priority",IF(AND(T480&gt;=Assumptions!$B$20,U480="No"),"Watchlist - Unrepresented",IF(T480&gt;=Assumptions!$B$20,"Watchlist",""))))</f>
        <v/>
      </c>
      <c r="X480" s="21" t="str">
        <f aca="false">'Player Data'!V480</f>
        <v>info@jelgavasc.lv</v>
      </c>
      <c r="Y480" s="28" t="str">
        <f aca="false">'Player Data'!W480</f>
        <v>Club youth/academy office ONLY - player is a minor, do not contact directly</v>
      </c>
      <c r="Z480" s="28" t="str">
        <f aca="false">'Player Data'!X480</f>
        <v>LFF (Latvian Football Federation) player registry</v>
      </c>
      <c r="AA480" s="19" t="str">
        <f aca="false">HYPERLINK("https://www.transfermarkt.com/schnellsuche/ergebnis/schnellsuche?query="&amp;SUBSTITUTE(A480," ","+"),"Search Transfermarkt")</f>
        <v>Search Transfermarkt</v>
      </c>
      <c r="AB480" s="29" t="n">
        <f aca="false">IFERROR('Player Data'!K480/('Player Data'!K480+'Player Data'!L480),0)</f>
        <v>0.57286432160804</v>
      </c>
      <c r="AC480" s="21" t="str">
        <f aca="false">IF(B480="GK",IF(AND(O480&gt;=Assumptions!$B$23,N480&gt;=Assumptions!$B$23),"Sweeper-Keeper / Build-from-the-Back",IF(O480&gt;=Assumptions!$B$23,"Sweeper-Keeper / High Line",IF(M480&gt;=Assumptions!$B$23,"Shot-Stopper / Traditional","Flexible / Multi-System"))),IF(AND(O480&gt;=Assumptions!$B$23,P480&gt;=Assumptions!$B$24),"High Press / Gegenpressing",IF(AND(N480&gt;=Assumptions!$B$23,AB480&gt;=Assumptions!$B$25),"Possession / Build-from-the-Back",IF(N480&gt;=Assumptions!$B$23,"Counter-Attack / Transition",IF(AND(O480&gt;=Assumptions!$B$23,N480&lt;Assumptions!$B$26),"Low Block / Park the Bus",IF(AND(B480="FW",M480&gt;=Assumptions!$B$23,N480&lt;Assumptions!$B$26),"Direct / Target Approach","Flexible / Multi-System"))))))</f>
        <v>High Press / Gegenpressing</v>
      </c>
      <c r="AD480" s="21" t="str">
        <f aca="false">'Player Data'!Y480</f>
        <v>2026-07-17</v>
      </c>
      <c r="AE480" s="21" t="str">
        <f aca="false">'Player Data'!Z480</f>
        <v>2026-07-17</v>
      </c>
      <c r="AF480" s="28" t="str">
        <f aca="false">IFERROR(INDEX(Assumptions!$B$30:$B$61,MATCH(C480,Assumptions!$A$30:$A$61,0)),"--")</f>
        <v>Poland, Norway</v>
      </c>
      <c r="AG480" s="30" t="str">
        <f aca="false">IF(R480&gt;=0.7,"Step-Up Candidate",IF(R480&gt;=0.4,"Lateral Move","Stay &amp; Develop"))</f>
        <v>Step-Up Candidate</v>
      </c>
    </row>
    <row r="481" customFormat="false" ht="23.85" hidden="false" customHeight="false" outlineLevel="0" collapsed="false">
      <c r="A481" s="21" t="str">
        <f aca="false">'Player Data'!A481</f>
        <v>Minh Le</v>
      </c>
      <c r="B481" s="21" t="str">
        <f aca="false">'Player Data'!F481</f>
        <v>DF</v>
      </c>
      <c r="C481" s="21" t="str">
        <f aca="false">'Player Data'!B481</f>
        <v>Vietnam</v>
      </c>
      <c r="D481" s="21" t="str">
        <f aca="false">'Player Data'!C481</f>
        <v>Vietnam Third Tier - North</v>
      </c>
      <c r="E481" s="21" t="n">
        <f aca="false">'Player Data'!D481</f>
        <v>2</v>
      </c>
      <c r="F481" s="21" t="n">
        <f aca="false">'Player Data'!G481</f>
        <v>24</v>
      </c>
      <c r="G481" s="21" t="n">
        <f aca="false">'Player Data'!H481</f>
        <v>1383</v>
      </c>
      <c r="H481" s="22" t="n">
        <f aca="false">IF(B481="GK",IFERROR(('Player Data'!N481-1.5*'Player Data'!O481)/'Player Data'!H481*90,0),IFERROR(('Player Data'!I481+'Player Data'!J481)/'Player Data'!H481*90,0))</f>
        <v>0.390455531453362</v>
      </c>
      <c r="I481" s="22" t="n">
        <f aca="false">IF(B481="GK",'Player Data'!P481,IFERROR(('Player Data'!K481+'Player Data'!L481)/'Player Data'!H481*90,0))</f>
        <v>6.11713665943601</v>
      </c>
      <c r="J481" s="22" t="n">
        <f aca="false">IF(B481="GK",IFERROR('Player Data'!Q481/'Player Data'!H481*90,0),IFERROR('Player Data'!M481/'Player Data'!H481*90,0))</f>
        <v>6.1822125813449</v>
      </c>
      <c r="K481" s="23" t="n">
        <f aca="false">'Player Data'!S481</f>
        <v>10549</v>
      </c>
      <c r="L481" s="22" t="n">
        <f aca="false">INDEX(Assumptions!$B$13:$B$15,MATCH(E481,Assumptions!$A$13:$A$15,0))</f>
        <v>1</v>
      </c>
      <c r="M481" s="24" t="n">
        <f aca="false">IFERROR(SUMPRODUCT(($B$2:$B$1001=B481)*($H$2:$H$1001&lt;=H481))/SUMPRODUCT(($B$2:$B$1001=B481)*1),0)</f>
        <v>0.891156462585034</v>
      </c>
      <c r="N481" s="24" t="n">
        <f aca="false">IFERROR(SUMPRODUCT(($B$2:$B$1001=B481)*($I$2:$I$1001&lt;=I481))/SUMPRODUCT(($B$2:$B$1001=B481)*1),0)</f>
        <v>0.751700680272109</v>
      </c>
      <c r="O481" s="24" t="n">
        <f aca="false">IFERROR(SUMPRODUCT(($B$2:$B$1001=B481)*($J$2:$J$1001&lt;=J481))/SUMPRODUCT(($B$2:$B$1001=B481)*1),0)</f>
        <v>0.646258503401361</v>
      </c>
      <c r="P481" s="24" t="n">
        <f aca="false">IFERROR(SUMPRODUCT(($B$2:$B$1001=B481)*((0-$F$2:$F$1001)&lt;=(0-F481)))/SUMPRODUCT(($B$2:$B$1001=B481)*1),0)</f>
        <v>0.275510204081633</v>
      </c>
      <c r="Q481" s="25" t="n">
        <f aca="false">(M481*Assumptions!$B$5+N481*Assumptions!$B$6+O481*Assumptions!$B$7+P481*Assumptions!$B$8)*L481</f>
        <v>0.670238095238095</v>
      </c>
      <c r="R481" s="24" t="n">
        <f aca="false">IFERROR(SUMPRODUCT(($B$2:$B$1001=B481)*($Q$2:$Q$1001&lt;=Q481))/SUMPRODUCT(($B$2:$B$1001=B481)*1),0)</f>
        <v>0.843537414965986</v>
      </c>
      <c r="S481" s="24" t="n">
        <f aca="false">IFERROR(SUMPRODUCT(($B$2:$B$1001=B481)*($K$2:$K$1001&lt;=K481))/SUMPRODUCT(($B$2:$B$1001=B481)*1),0)</f>
        <v>0.258503401360544</v>
      </c>
      <c r="T481" s="26" t="n">
        <f aca="false">(R481-S481)*100</f>
        <v>58.5034013605442</v>
      </c>
      <c r="U481" s="21" t="str">
        <f aca="false">'Player Data'!T481</f>
        <v>No</v>
      </c>
      <c r="V481" s="27" t="n">
        <f aca="false">'Player Data'!U481</f>
        <v>2029</v>
      </c>
      <c r="W481" s="21" t="str">
        <f aca="false">IF(AND(T481&gt;=Assumptions!$B$19,U481="No"),"High Priority - Unrepresented",IF(T481&gt;=Assumptions!$B$19,"High Priority",IF(AND(T481&gt;=Assumptions!$B$20,U481="No"),"Watchlist - Unrepresented",IF(T481&gt;=Assumptions!$B$20,"Watchlist",""))))</f>
        <v>High Priority - Unrepresented</v>
      </c>
      <c r="X481" s="21" t="str">
        <f aca="false">'Player Data'!V481</f>
        <v>info@haiphongcity.vn</v>
      </c>
      <c r="Y481" s="28" t="str">
        <f aca="false">'Player Data'!W481</f>
        <v>Club sporting director / first-team office</v>
      </c>
      <c r="Z481" s="28" t="str">
        <f aca="false">'Player Data'!X481</f>
        <v>VFF (Vietnam Football Federation) player registry</v>
      </c>
      <c r="AA481" s="19" t="str">
        <f aca="false">HYPERLINK("https://www.transfermarkt.com/schnellsuche/ergebnis/schnellsuche?query="&amp;SUBSTITUTE(A481," ","+"),"Search Transfermarkt")</f>
        <v>Search Transfermarkt</v>
      </c>
      <c r="AB481" s="29" t="n">
        <f aca="false">IFERROR('Player Data'!K481/('Player Data'!K481+'Player Data'!L481),0)</f>
        <v>0.670212765957447</v>
      </c>
      <c r="AC481" s="21" t="str">
        <f aca="false">IF(B481="GK",IF(AND(O481&gt;=Assumptions!$B$23,N481&gt;=Assumptions!$B$23),"Sweeper-Keeper / Build-from-the-Back",IF(O481&gt;=Assumptions!$B$23,"Sweeper-Keeper / High Line",IF(M481&gt;=Assumptions!$B$23,"Shot-Stopper / Traditional","Flexible / Multi-System"))),IF(AND(O481&gt;=Assumptions!$B$23,P481&gt;=Assumptions!$B$24),"High Press / Gegenpressing",IF(AND(N481&gt;=Assumptions!$B$23,AB481&gt;=Assumptions!$B$25),"Possession / Build-from-the-Back",IF(N481&gt;=Assumptions!$B$23,"Counter-Attack / Transition",IF(AND(O481&gt;=Assumptions!$B$23,N481&lt;Assumptions!$B$26),"Low Block / Park the Bus",IF(AND(B481="FW",M481&gt;=Assumptions!$B$23,N481&lt;Assumptions!$B$26),"Direct / Target Approach","Flexible / Multi-System"))))))</f>
        <v>Possession / Build-from-the-Back</v>
      </c>
      <c r="AD481" s="21" t="str">
        <f aca="false">'Player Data'!Y481</f>
        <v>2026-07-17</v>
      </c>
      <c r="AE481" s="21" t="str">
        <f aca="false">'Player Data'!Z481</f>
        <v>2026-07-17</v>
      </c>
      <c r="AF481" s="28" t="str">
        <f aca="false">IFERROR(INDEX(Assumptions!$B$30:$B$61,MATCH(C481,Assumptions!$A$30:$A$61,0)),"--")</f>
        <v>Australia, Saudi Arabia</v>
      </c>
      <c r="AG481" s="30" t="str">
        <f aca="false">IF(R481&gt;=0.7,"Step-Up Candidate",IF(R481&gt;=0.4,"Lateral Move","Stay &amp; Develop"))</f>
        <v>Step-Up Candidate</v>
      </c>
    </row>
    <row r="482" customFormat="false" ht="23.85" hidden="false" customHeight="false" outlineLevel="0" collapsed="false">
      <c r="A482" s="21" t="str">
        <f aca="false">'Player Data'!A482</f>
        <v>Jasur Tashkentov</v>
      </c>
      <c r="B482" s="21" t="str">
        <f aca="false">'Player Data'!F482</f>
        <v>MF</v>
      </c>
      <c r="C482" s="21" t="str">
        <f aca="false">'Player Data'!B482</f>
        <v>Uzbekistan</v>
      </c>
      <c r="D482" s="21" t="str">
        <f aca="false">'Player Data'!C482</f>
        <v>Uzbekistan Regional League</v>
      </c>
      <c r="E482" s="21" t="n">
        <f aca="false">'Player Data'!D482</f>
        <v>3</v>
      </c>
      <c r="F482" s="21" t="n">
        <f aca="false">'Player Data'!G482</f>
        <v>20</v>
      </c>
      <c r="G482" s="21" t="n">
        <f aca="false">'Player Data'!H482</f>
        <v>2513</v>
      </c>
      <c r="H482" s="22" t="n">
        <f aca="false">IF(B482="GK",IFERROR(('Player Data'!N482-1.5*'Player Data'!O482)/'Player Data'!H482*90,0),IFERROR(('Player Data'!I482+'Player Data'!J482)/'Player Data'!H482*90,0))</f>
        <v>0.787902904894548</v>
      </c>
      <c r="I482" s="22" t="n">
        <f aca="false">IF(B482="GK",'Player Data'!P482,IFERROR(('Player Data'!K482+'Player Data'!L482)/'Player Data'!H482*90,0))</f>
        <v>6.51810584958217</v>
      </c>
      <c r="J482" s="22" t="n">
        <f aca="false">IF(B482="GK",IFERROR('Player Data'!Q482/'Player Data'!H482*90,0),IFERROR('Player Data'!M482/'Player Data'!H482*90,0))</f>
        <v>1.21766812574612</v>
      </c>
      <c r="K482" s="23" t="n">
        <f aca="false">'Player Data'!S482</f>
        <v>118384</v>
      </c>
      <c r="L482" s="22" t="n">
        <f aca="false">INDEX(Assumptions!$B$13:$B$15,MATCH(E482,Assumptions!$A$13:$A$15,0))</f>
        <v>0.85</v>
      </c>
      <c r="M482" s="24" t="n">
        <f aca="false">IFERROR(SUMPRODUCT(($B$2:$B$1001=B482)*($H$2:$H$1001&lt;=H482))/SUMPRODUCT(($B$2:$B$1001=B482)*1),0)</f>
        <v>0.575757575757576</v>
      </c>
      <c r="N482" s="24" t="n">
        <f aca="false">IFERROR(SUMPRODUCT(($B$2:$B$1001=B482)*($I$2:$I$1001&lt;=I482))/SUMPRODUCT(($B$2:$B$1001=B482)*1),0)</f>
        <v>0.0168350168350168</v>
      </c>
      <c r="O482" s="24" t="n">
        <f aca="false">IFERROR(SUMPRODUCT(($B$2:$B$1001=B482)*($J$2:$J$1001&lt;=J482))/SUMPRODUCT(($B$2:$B$1001=B482)*1),0)</f>
        <v>0.0673400673400673</v>
      </c>
      <c r="P482" s="24" t="n">
        <f aca="false">IFERROR(SUMPRODUCT(($B$2:$B$1001=B482)*((0-$F$2:$F$1001)&lt;=(0-F482)))/SUMPRODUCT(($B$2:$B$1001=B482)*1),0)</f>
        <v>0.734006734006734</v>
      </c>
      <c r="Q482" s="25" t="n">
        <f aca="false">(M482*Assumptions!$B$5+N482*Assumptions!$B$6+O482*Assumptions!$B$7+P482*Assumptions!$B$8)*L482</f>
        <v>0.263585858585859</v>
      </c>
      <c r="R482" s="24" t="n">
        <f aca="false">IFERROR(SUMPRODUCT(($B$2:$B$1001=B482)*($Q$2:$Q$1001&lt;=Q482))/SUMPRODUCT(($B$2:$B$1001=B482)*1),0)</f>
        <v>0.195286195286195</v>
      </c>
      <c r="S482" s="24" t="n">
        <f aca="false">IFERROR(SUMPRODUCT(($B$2:$B$1001=B482)*($K$2:$K$1001&lt;=K482))/SUMPRODUCT(($B$2:$B$1001=B482)*1),0)</f>
        <v>0.845117845117845</v>
      </c>
      <c r="T482" s="26" t="n">
        <f aca="false">(R482-S482)*100</f>
        <v>-64.983164983165</v>
      </c>
      <c r="U482" s="21" t="str">
        <f aca="false">'Player Data'!T482</f>
        <v>Unknown</v>
      </c>
      <c r="V482" s="27" t="n">
        <f aca="false">'Player Data'!U482</f>
        <v>2028</v>
      </c>
      <c r="W482" s="21" t="str">
        <f aca="false">IF(AND(T482&gt;=Assumptions!$B$19,U482="No"),"High Priority - Unrepresented",IF(T482&gt;=Assumptions!$B$19,"High Priority",IF(AND(T482&gt;=Assumptions!$B$20,U482="No"),"Watchlist - Unrepresented",IF(T482&gt;=Assumptions!$B$20,"Watchlist",""))))</f>
        <v/>
      </c>
      <c r="X482" s="21" t="str">
        <f aca="false">'Player Data'!V482</f>
        <v>info@samarkandcity.uz</v>
      </c>
      <c r="Y482" s="28" t="str">
        <f aca="false">'Player Data'!W482</f>
        <v>Club sporting director / first-team office</v>
      </c>
      <c r="Z482" s="28" t="str">
        <f aca="false">'Player Data'!X482</f>
        <v>UFF (Uzbekistan Football Federation) player registry</v>
      </c>
      <c r="AA482" s="19" t="str">
        <f aca="false">HYPERLINK("https://www.transfermarkt.com/schnellsuche/ergebnis/schnellsuche?query="&amp;SUBSTITUTE(A482," ","+"),"Search Transfermarkt")</f>
        <v>Search Transfermarkt</v>
      </c>
      <c r="AB482" s="29" t="n">
        <f aca="false">IFERROR('Player Data'!K482/('Player Data'!K482+'Player Data'!L482),0)</f>
        <v>0.620879120879121</v>
      </c>
      <c r="AC482" s="21" t="str">
        <f aca="false">IF(B482="GK",IF(AND(O482&gt;=Assumptions!$B$23,N482&gt;=Assumptions!$B$23),"Sweeper-Keeper / Build-from-the-Back",IF(O482&gt;=Assumptions!$B$23,"Sweeper-Keeper / High Line",IF(M482&gt;=Assumptions!$B$23,"Shot-Stopper / Traditional","Flexible / Multi-System"))),IF(AND(O482&gt;=Assumptions!$B$23,P482&gt;=Assumptions!$B$24),"High Press / Gegenpressing",IF(AND(N482&gt;=Assumptions!$B$23,AB482&gt;=Assumptions!$B$25),"Possession / Build-from-the-Back",IF(N482&gt;=Assumptions!$B$23,"Counter-Attack / Transition",IF(AND(O482&gt;=Assumptions!$B$23,N482&lt;Assumptions!$B$26),"Low Block / Park the Bus",IF(AND(B482="FW",M482&gt;=Assumptions!$B$23,N482&lt;Assumptions!$B$26),"Direct / Target Approach","Flexible / Multi-System"))))))</f>
        <v>Flexible / Multi-System</v>
      </c>
      <c r="AD482" s="21" t="str">
        <f aca="false">'Player Data'!Y482</f>
        <v>2026-07-17</v>
      </c>
      <c r="AE482" s="21" t="str">
        <f aca="false">'Player Data'!Z482</f>
        <v>2026-07-17</v>
      </c>
      <c r="AF482" s="28" t="str">
        <f aca="false">IFERROR(INDEX(Assumptions!$B$30:$B$61,MATCH(C482,Assumptions!$A$30:$A$61,0)),"--")</f>
        <v>Turkey, Saudi Arabia</v>
      </c>
      <c r="AG482" s="30" t="str">
        <f aca="false">IF(R482&gt;=0.7,"Step-Up Candidate",IF(R482&gt;=0.4,"Lateral Move","Stay &amp; Develop"))</f>
        <v>Stay &amp; Develop</v>
      </c>
    </row>
    <row r="483" customFormat="false" ht="23.85" hidden="false" customHeight="false" outlineLevel="0" collapsed="false">
      <c r="A483" s="21" t="str">
        <f aca="false">'Player Data'!A483</f>
        <v>Emmanuel Appiah</v>
      </c>
      <c r="B483" s="21" t="str">
        <f aca="false">'Player Data'!F483</f>
        <v>MF</v>
      </c>
      <c r="C483" s="21" t="str">
        <f aca="false">'Player Data'!B483</f>
        <v>Ghana</v>
      </c>
      <c r="D483" s="21" t="str">
        <f aca="false">'Player Data'!C483</f>
        <v>Ghana Third Tier - South</v>
      </c>
      <c r="E483" s="21" t="n">
        <f aca="false">'Player Data'!D483</f>
        <v>3</v>
      </c>
      <c r="F483" s="21" t="n">
        <f aca="false">'Player Data'!G483</f>
        <v>25</v>
      </c>
      <c r="G483" s="21" t="n">
        <f aca="false">'Player Data'!H483</f>
        <v>2568</v>
      </c>
      <c r="H483" s="22" t="n">
        <f aca="false">IF(B483="GK",IFERROR(('Player Data'!N483-1.5*'Player Data'!O483)/'Player Data'!H483*90,0),IFERROR(('Player Data'!I483+'Player Data'!J483)/'Player Data'!H483*90,0))</f>
        <v>0.525700934579439</v>
      </c>
      <c r="I483" s="22" t="n">
        <f aca="false">IF(B483="GK",'Player Data'!P483,IFERROR(('Player Data'!K483+'Player Data'!L483)/'Player Data'!H483*90,0))</f>
        <v>6.90420560747664</v>
      </c>
      <c r="J483" s="22" t="n">
        <f aca="false">IF(B483="GK",IFERROR('Player Data'!Q483/'Player Data'!H483*90,0),IFERROR('Player Data'!M483/'Player Data'!H483*90,0))</f>
        <v>1.68224299065421</v>
      </c>
      <c r="K483" s="23" t="n">
        <f aca="false">'Player Data'!S483</f>
        <v>34423</v>
      </c>
      <c r="L483" s="22" t="n">
        <f aca="false">INDEX(Assumptions!$B$13:$B$15,MATCH(E483,Assumptions!$A$13:$A$15,0))</f>
        <v>0.85</v>
      </c>
      <c r="M483" s="24" t="n">
        <f aca="false">IFERROR(SUMPRODUCT(($B$2:$B$1001=B483)*($H$2:$H$1001&lt;=H483))/SUMPRODUCT(($B$2:$B$1001=B483)*1),0)</f>
        <v>0.245791245791246</v>
      </c>
      <c r="N483" s="24" t="n">
        <f aca="false">IFERROR(SUMPRODUCT(($B$2:$B$1001=B483)*($I$2:$I$1001&lt;=I483))/SUMPRODUCT(($B$2:$B$1001=B483)*1),0)</f>
        <v>0.0471380471380471</v>
      </c>
      <c r="O483" s="24" t="n">
        <f aca="false">IFERROR(SUMPRODUCT(($B$2:$B$1001=B483)*($J$2:$J$1001&lt;=J483))/SUMPRODUCT(($B$2:$B$1001=B483)*1),0)</f>
        <v>0.272727272727273</v>
      </c>
      <c r="P483" s="24" t="n">
        <f aca="false">IFERROR(SUMPRODUCT(($B$2:$B$1001=B483)*((0-$F$2:$F$1001)&lt;=(0-F483)))/SUMPRODUCT(($B$2:$B$1001=B483)*1),0)</f>
        <v>0.202020202020202</v>
      </c>
      <c r="Q483" s="25" t="n">
        <f aca="false">(M483*Assumptions!$B$5+N483*Assumptions!$B$6+O483*Assumptions!$B$7+P483*Assumptions!$B$8)*L483</f>
        <v>0.146961279461279</v>
      </c>
      <c r="R483" s="24" t="n">
        <f aca="false">IFERROR(SUMPRODUCT(($B$2:$B$1001=B483)*($Q$2:$Q$1001&lt;=Q483))/SUMPRODUCT(($B$2:$B$1001=B483)*1),0)</f>
        <v>0.0303030303030303</v>
      </c>
      <c r="S483" s="24" t="n">
        <f aca="false">IFERROR(SUMPRODUCT(($B$2:$B$1001=B483)*($K$2:$K$1001&lt;=K483))/SUMPRODUCT(($B$2:$B$1001=B483)*1),0)</f>
        <v>0.346801346801347</v>
      </c>
      <c r="T483" s="26" t="n">
        <f aca="false">(R483-S483)*100</f>
        <v>-31.6498316498317</v>
      </c>
      <c r="U483" s="21" t="str">
        <f aca="false">'Player Data'!T483</f>
        <v>Unknown</v>
      </c>
      <c r="V483" s="27" t="n">
        <f aca="false">'Player Data'!U483</f>
        <v>2029</v>
      </c>
      <c r="W483" s="21" t="str">
        <f aca="false">IF(AND(T483&gt;=Assumptions!$B$19,U483="No"),"High Priority - Unrepresented",IF(T483&gt;=Assumptions!$B$19,"High Priority",IF(AND(T483&gt;=Assumptions!$B$20,U483="No"),"Watchlist - Unrepresented",IF(T483&gt;=Assumptions!$B$20,"Watchlist",""))))</f>
        <v/>
      </c>
      <c r="X483" s="21" t="str">
        <f aca="false">'Player Data'!V483</f>
        <v>info@sekondifc.gh</v>
      </c>
      <c r="Y483" s="28" t="str">
        <f aca="false">'Player Data'!W483</f>
        <v>Club sporting director / first-team office</v>
      </c>
      <c r="Z483" s="28" t="str">
        <f aca="false">'Player Data'!X483</f>
        <v>GFA (Ghana Football Association) player registry</v>
      </c>
      <c r="AA483" s="19" t="str">
        <f aca="false">HYPERLINK("https://www.transfermarkt.com/schnellsuche/ergebnis/schnellsuche?query="&amp;SUBSTITUTE(A483," ","+"),"Search Transfermarkt")</f>
        <v>Search Transfermarkt</v>
      </c>
      <c r="AB483" s="29" t="n">
        <f aca="false">IFERROR('Player Data'!K483/('Player Data'!K483+'Player Data'!L483),0)</f>
        <v>0.700507614213198</v>
      </c>
      <c r="AC483" s="21" t="str">
        <f aca="false">IF(B483="GK",IF(AND(O483&gt;=Assumptions!$B$23,N483&gt;=Assumptions!$B$23),"Sweeper-Keeper / Build-from-the-Back",IF(O483&gt;=Assumptions!$B$23,"Sweeper-Keeper / High Line",IF(M483&gt;=Assumptions!$B$23,"Shot-Stopper / Traditional","Flexible / Multi-System"))),IF(AND(O483&gt;=Assumptions!$B$23,P483&gt;=Assumptions!$B$24),"High Press / Gegenpressing",IF(AND(N483&gt;=Assumptions!$B$23,AB483&gt;=Assumptions!$B$25),"Possession / Build-from-the-Back",IF(N483&gt;=Assumptions!$B$23,"Counter-Attack / Transition",IF(AND(O483&gt;=Assumptions!$B$23,N483&lt;Assumptions!$B$26),"Low Block / Park the Bus",IF(AND(B483="FW",M483&gt;=Assumptions!$B$23,N483&lt;Assumptions!$B$26),"Direct / Target Approach","Flexible / Multi-System"))))))</f>
        <v>Flexible / Multi-System</v>
      </c>
      <c r="AD483" s="21" t="str">
        <f aca="false">'Player Data'!Y483</f>
        <v>2026-07-17</v>
      </c>
      <c r="AE483" s="21" t="str">
        <f aca="false">'Player Data'!Z483</f>
        <v>2026-07-17</v>
      </c>
      <c r="AF483" s="28" t="str">
        <f aca="false">IFERROR(INDEX(Assumptions!$B$30:$B$61,MATCH(C483,Assumptions!$A$30:$A$61,0)),"--")</f>
        <v>Belgium, Portugal</v>
      </c>
      <c r="AG483" s="30" t="str">
        <f aca="false">IF(R483&gt;=0.7,"Step-Up Candidate",IF(R483&gt;=0.4,"Lateral Move","Stay &amp; Develop"))</f>
        <v>Stay &amp; Develop</v>
      </c>
    </row>
    <row r="484" customFormat="false" ht="23.85" hidden="false" customHeight="false" outlineLevel="0" collapsed="false">
      <c r="A484" s="21" t="str">
        <f aca="false">'Player Data'!A484</f>
        <v>Gunnar Bjornsson</v>
      </c>
      <c r="B484" s="21" t="str">
        <f aca="false">'Player Data'!F484</f>
        <v>DF</v>
      </c>
      <c r="C484" s="21" t="str">
        <f aca="false">'Player Data'!B484</f>
        <v>Iceland</v>
      </c>
      <c r="D484" s="21" t="str">
        <f aca="false">'Player Data'!C484</f>
        <v>Iceland Second Division - West</v>
      </c>
      <c r="E484" s="21" t="n">
        <f aca="false">'Player Data'!D484</f>
        <v>2</v>
      </c>
      <c r="F484" s="21" t="n">
        <f aca="false">'Player Data'!G484</f>
        <v>26</v>
      </c>
      <c r="G484" s="21" t="n">
        <f aca="false">'Player Data'!H484</f>
        <v>2680</v>
      </c>
      <c r="H484" s="22" t="n">
        <f aca="false">IF(B484="GK",IFERROR(('Player Data'!N484-1.5*'Player Data'!O484)/'Player Data'!H484*90,0),IFERROR(('Player Data'!I484+'Player Data'!J484)/'Player Data'!H484*90,0))</f>
        <v>0.201492537313433</v>
      </c>
      <c r="I484" s="22" t="n">
        <f aca="false">IF(B484="GK",'Player Data'!P484,IFERROR(('Player Data'!K484+'Player Data'!L484)/'Player Data'!H484*90,0))</f>
        <v>3.25746268656716</v>
      </c>
      <c r="J484" s="22" t="n">
        <f aca="false">IF(B484="GK",IFERROR('Player Data'!Q484/'Player Data'!H484*90,0),IFERROR('Player Data'!M484/'Player Data'!H484*90,0))</f>
        <v>4.09701492537313</v>
      </c>
      <c r="K484" s="23" t="n">
        <f aca="false">'Player Data'!S484</f>
        <v>89731</v>
      </c>
      <c r="L484" s="22" t="n">
        <f aca="false">INDEX(Assumptions!$B$13:$B$15,MATCH(E484,Assumptions!$A$13:$A$15,0))</f>
        <v>1</v>
      </c>
      <c r="M484" s="24" t="n">
        <f aca="false">IFERROR(SUMPRODUCT(($B$2:$B$1001=B484)*($H$2:$H$1001&lt;=H484))/SUMPRODUCT(($B$2:$B$1001=B484)*1),0)</f>
        <v>0.54421768707483</v>
      </c>
      <c r="N484" s="24" t="n">
        <f aca="false">IFERROR(SUMPRODUCT(($B$2:$B$1001=B484)*($I$2:$I$1001&lt;=I484))/SUMPRODUCT(($B$2:$B$1001=B484)*1),0)</f>
        <v>0.166666666666667</v>
      </c>
      <c r="O484" s="24" t="n">
        <f aca="false">IFERROR(SUMPRODUCT(($B$2:$B$1001=B484)*($J$2:$J$1001&lt;=J484))/SUMPRODUCT(($B$2:$B$1001=B484)*1),0)</f>
        <v>0.244897959183673</v>
      </c>
      <c r="P484" s="24" t="n">
        <f aca="false">IFERROR(SUMPRODUCT(($B$2:$B$1001=B484)*((0-$F$2:$F$1001)&lt;=(0-F484)))/SUMPRODUCT(($B$2:$B$1001=B484)*1),0)</f>
        <v>0.0748299319727891</v>
      </c>
      <c r="Q484" s="25" t="n">
        <f aca="false">(M484*Assumptions!$B$5+N484*Assumptions!$B$6+O484*Assumptions!$B$7+P484*Assumptions!$B$8)*L484</f>
        <v>0.258333333333333</v>
      </c>
      <c r="R484" s="24" t="n">
        <f aca="false">IFERROR(SUMPRODUCT(($B$2:$B$1001=B484)*($Q$2:$Q$1001&lt;=Q484))/SUMPRODUCT(($B$2:$B$1001=B484)*1),0)</f>
        <v>0.180272108843537</v>
      </c>
      <c r="S484" s="24" t="n">
        <f aca="false">IFERROR(SUMPRODUCT(($B$2:$B$1001=B484)*($K$2:$K$1001&lt;=K484))/SUMPRODUCT(($B$2:$B$1001=B484)*1),0)</f>
        <v>0.67687074829932</v>
      </c>
      <c r="T484" s="26" t="n">
        <f aca="false">(R484-S484)*100</f>
        <v>-49.6598639455782</v>
      </c>
      <c r="U484" s="21" t="str">
        <f aca="false">'Player Data'!T484</f>
        <v>No</v>
      </c>
      <c r="V484" s="27" t="n">
        <f aca="false">'Player Data'!U484</f>
        <v>2027</v>
      </c>
      <c r="W484" s="21" t="str">
        <f aca="false">IF(AND(T484&gt;=Assumptions!$B$19,U484="No"),"High Priority - Unrepresented",IF(T484&gt;=Assumptions!$B$19,"High Priority",IF(AND(T484&gt;=Assumptions!$B$20,U484="No"),"Watchlist - Unrepresented",IF(T484&gt;=Assumptions!$B$20,"Watchlist",""))))</f>
        <v/>
      </c>
      <c r="X484" s="21" t="str">
        <f aca="false">'Player Data'!V484</f>
        <v>info@hafnarfjordurfc.is</v>
      </c>
      <c r="Y484" s="28" t="str">
        <f aca="false">'Player Data'!W484</f>
        <v>Club sporting director / first-team office</v>
      </c>
      <c r="Z484" s="28" t="str">
        <f aca="false">'Player Data'!X484</f>
        <v>KSI (Icelandic Football Association) player registry</v>
      </c>
      <c r="AA484" s="19" t="str">
        <f aca="false">HYPERLINK("https://www.transfermarkt.com/schnellsuche/ergebnis/schnellsuche?query="&amp;SUBSTITUTE(A484," ","+"),"Search Transfermarkt")</f>
        <v>Search Transfermarkt</v>
      </c>
      <c r="AB484" s="29" t="n">
        <f aca="false">IFERROR('Player Data'!K484/('Player Data'!K484+'Player Data'!L484),0)</f>
        <v>0.649484536082474</v>
      </c>
      <c r="AC484" s="21" t="str">
        <f aca="false">IF(B484="GK",IF(AND(O484&gt;=Assumptions!$B$23,N484&gt;=Assumptions!$B$23),"Sweeper-Keeper / Build-from-the-Back",IF(O484&gt;=Assumptions!$B$23,"Sweeper-Keeper / High Line",IF(M484&gt;=Assumptions!$B$23,"Shot-Stopper / Traditional","Flexible / Multi-System"))),IF(AND(O484&gt;=Assumptions!$B$23,P484&gt;=Assumptions!$B$24),"High Press / Gegenpressing",IF(AND(N484&gt;=Assumptions!$B$23,AB484&gt;=Assumptions!$B$25),"Possession / Build-from-the-Back",IF(N484&gt;=Assumptions!$B$23,"Counter-Attack / Transition",IF(AND(O484&gt;=Assumptions!$B$23,N484&lt;Assumptions!$B$26),"Low Block / Park the Bus",IF(AND(B484="FW",M484&gt;=Assumptions!$B$23,N484&lt;Assumptions!$B$26),"Direct / Target Approach","Flexible / Multi-System"))))))</f>
        <v>Flexible / Multi-System</v>
      </c>
      <c r="AD484" s="21" t="str">
        <f aca="false">'Player Data'!Y484</f>
        <v>2026-07-17</v>
      </c>
      <c r="AE484" s="21" t="str">
        <f aca="false">'Player Data'!Z484</f>
        <v>2026-07-17</v>
      </c>
      <c r="AF484" s="28" t="str">
        <f aca="false">IFERROR(INDEX(Assumptions!$B$30:$B$61,MATCH(C484,Assumptions!$A$30:$A$61,0)),"--")</f>
        <v>Norway, Belgium</v>
      </c>
      <c r="AG484" s="30" t="str">
        <f aca="false">IF(R484&gt;=0.7,"Step-Up Candidate",IF(R484&gt;=0.4,"Lateral Move","Stay &amp; Develop"))</f>
        <v>Stay &amp; Develop</v>
      </c>
    </row>
    <row r="485" customFormat="false" ht="23.85" hidden="false" customHeight="false" outlineLevel="0" collapsed="false">
      <c r="A485" s="21" t="str">
        <f aca="false">'Player Data'!A485</f>
        <v>Ethan Smith</v>
      </c>
      <c r="B485" s="21" t="str">
        <f aca="false">'Player Data'!F485</f>
        <v>DF</v>
      </c>
      <c r="C485" s="21" t="str">
        <f aca="false">'Player Data'!B485</f>
        <v>New Zealand</v>
      </c>
      <c r="D485" s="21" t="str">
        <f aca="false">'Player Data'!C485</f>
        <v>New Zealand Provincial League</v>
      </c>
      <c r="E485" s="21" t="n">
        <f aca="false">'Player Data'!D485</f>
        <v>2</v>
      </c>
      <c r="F485" s="21" t="n">
        <f aca="false">'Player Data'!G485</f>
        <v>21</v>
      </c>
      <c r="G485" s="21" t="n">
        <f aca="false">'Player Data'!H485</f>
        <v>1915</v>
      </c>
      <c r="H485" s="22" t="n">
        <f aca="false">IF(B485="GK",IFERROR(('Player Data'!N485-1.5*'Player Data'!O485)/'Player Data'!H485*90,0),IFERROR(('Player Data'!I485+'Player Data'!J485)/'Player Data'!H485*90,0))</f>
        <v>0.0939947780678851</v>
      </c>
      <c r="I485" s="22" t="n">
        <f aca="false">IF(B485="GK",'Player Data'!P485,IFERROR(('Player Data'!K485+'Player Data'!L485)/'Player Data'!H485*90,0))</f>
        <v>3.94778067885118</v>
      </c>
      <c r="J485" s="22" t="n">
        <f aca="false">IF(B485="GK",IFERROR('Player Data'!Q485/'Player Data'!H485*90,0),IFERROR('Player Data'!M485/'Player Data'!H485*90,0))</f>
        <v>6.01566579634465</v>
      </c>
      <c r="K485" s="23" t="n">
        <f aca="false">'Player Data'!S485</f>
        <v>44585</v>
      </c>
      <c r="L485" s="22" t="n">
        <f aca="false">INDEX(Assumptions!$B$13:$B$15,MATCH(E485,Assumptions!$A$13:$A$15,0))</f>
        <v>1</v>
      </c>
      <c r="M485" s="24" t="n">
        <f aca="false">IFERROR(SUMPRODUCT(($B$2:$B$1001=B485)*($H$2:$H$1001&lt;=H485))/SUMPRODUCT(($B$2:$B$1001=B485)*1),0)</f>
        <v>0.170068027210884</v>
      </c>
      <c r="N485" s="24" t="n">
        <f aca="false">IFERROR(SUMPRODUCT(($B$2:$B$1001=B485)*($I$2:$I$1001&lt;=I485))/SUMPRODUCT(($B$2:$B$1001=B485)*1),0)</f>
        <v>0.391156462585034</v>
      </c>
      <c r="O485" s="24" t="n">
        <f aca="false">IFERROR(SUMPRODUCT(($B$2:$B$1001=B485)*($J$2:$J$1001&lt;=J485))/SUMPRODUCT(($B$2:$B$1001=B485)*1),0)</f>
        <v>0.625850340136055</v>
      </c>
      <c r="P485" s="24" t="n">
        <f aca="false">IFERROR(SUMPRODUCT(($B$2:$B$1001=B485)*((0-$F$2:$F$1001)&lt;=(0-F485)))/SUMPRODUCT(($B$2:$B$1001=B485)*1),0)</f>
        <v>0.568027210884354</v>
      </c>
      <c r="Q485" s="25" t="n">
        <f aca="false">(M485*Assumptions!$B$5+N485*Assumptions!$B$6+O485*Assumptions!$B$7+P485*Assumptions!$B$8)*L485</f>
        <v>0.418197278911565</v>
      </c>
      <c r="R485" s="24" t="n">
        <f aca="false">IFERROR(SUMPRODUCT(($B$2:$B$1001=B485)*($Q$2:$Q$1001&lt;=Q485))/SUMPRODUCT(($B$2:$B$1001=B485)*1),0)</f>
        <v>0.5</v>
      </c>
      <c r="S485" s="24" t="n">
        <f aca="false">IFERROR(SUMPRODUCT(($B$2:$B$1001=B485)*($K$2:$K$1001&lt;=K485))/SUMPRODUCT(($B$2:$B$1001=B485)*1),0)</f>
        <v>0.425170068027211</v>
      </c>
      <c r="T485" s="26" t="n">
        <f aca="false">(R485-S485)*100</f>
        <v>7.48299319727891</v>
      </c>
      <c r="U485" s="21" t="str">
        <f aca="false">'Player Data'!T485</f>
        <v>No</v>
      </c>
      <c r="V485" s="27" t="n">
        <f aca="false">'Player Data'!U485</f>
        <v>2026</v>
      </c>
      <c r="W485" s="21" t="str">
        <f aca="false">IF(AND(T485&gt;=Assumptions!$B$19,U485="No"),"High Priority - Unrepresented",IF(T485&gt;=Assumptions!$B$19,"High Priority",IF(AND(T485&gt;=Assumptions!$B$20,U485="No"),"Watchlist - Unrepresented",IF(T485&gt;=Assumptions!$B$20,"Watchlist",""))))</f>
        <v/>
      </c>
      <c r="X485" s="21" t="str">
        <f aca="false">'Player Data'!V485</f>
        <v>info@hamiltonrovers.nz</v>
      </c>
      <c r="Y485" s="28" t="str">
        <f aca="false">'Player Data'!W485</f>
        <v>Club sporting director / first-team office</v>
      </c>
      <c r="Z485" s="28" t="str">
        <f aca="false">'Player Data'!X485</f>
        <v>NZF (New Zealand Football) player registry</v>
      </c>
      <c r="AA485" s="19" t="str">
        <f aca="false">HYPERLINK("https://www.transfermarkt.com/schnellsuche/ergebnis/schnellsuche?query="&amp;SUBSTITUTE(A485," ","+"),"Search Transfermarkt")</f>
        <v>Search Transfermarkt</v>
      </c>
      <c r="AB485" s="29" t="n">
        <f aca="false">IFERROR('Player Data'!K485/('Player Data'!K485+'Player Data'!L485),0)</f>
        <v>0.702380952380952</v>
      </c>
      <c r="AC485" s="21" t="str">
        <f aca="false">IF(B485="GK",IF(AND(O485&gt;=Assumptions!$B$23,N485&gt;=Assumptions!$B$23),"Sweeper-Keeper / Build-from-the-Back",IF(O485&gt;=Assumptions!$B$23,"Sweeper-Keeper / High Line",IF(M485&gt;=Assumptions!$B$23,"Shot-Stopper / Traditional","Flexible / Multi-System"))),IF(AND(O485&gt;=Assumptions!$B$23,P485&gt;=Assumptions!$B$24),"High Press / Gegenpressing",IF(AND(N485&gt;=Assumptions!$B$23,AB485&gt;=Assumptions!$B$25),"Possession / Build-from-the-Back",IF(N485&gt;=Assumptions!$B$23,"Counter-Attack / Transition",IF(AND(O485&gt;=Assumptions!$B$23,N485&lt;Assumptions!$B$26),"Low Block / Park the Bus",IF(AND(B485="FW",M485&gt;=Assumptions!$B$23,N485&lt;Assumptions!$B$26),"Direct / Target Approach","Flexible / Multi-System"))))))</f>
        <v>Flexible / Multi-System</v>
      </c>
      <c r="AD485" s="21" t="str">
        <f aca="false">'Player Data'!Y485</f>
        <v>2026-07-17</v>
      </c>
      <c r="AE485" s="21" t="str">
        <f aca="false">'Player Data'!Z485</f>
        <v>2026-07-17</v>
      </c>
      <c r="AF485" s="28" t="str">
        <f aca="false">IFERROR(INDEX(Assumptions!$B$30:$B$61,MATCH(C485,Assumptions!$A$30:$A$61,0)),"--")</f>
        <v>Australia, United States</v>
      </c>
      <c r="AG485" s="30" t="str">
        <f aca="false">IF(R485&gt;=0.7,"Step-Up Candidate",IF(R485&gt;=0.4,"Lateral Move","Stay &amp; Develop"))</f>
        <v>Lateral Move</v>
      </c>
    </row>
    <row r="486" customFormat="false" ht="23.85" hidden="false" customHeight="false" outlineLevel="0" collapsed="false">
      <c r="A486" s="21" t="str">
        <f aca="false">'Player Data'!A486</f>
        <v>Esteban Ramirez</v>
      </c>
      <c r="B486" s="21" t="str">
        <f aca="false">'Player Data'!F486</f>
        <v>MF</v>
      </c>
      <c r="C486" s="21" t="str">
        <f aca="false">'Player Data'!B486</f>
        <v>Costa Rica</v>
      </c>
      <c r="D486" s="21" t="str">
        <f aca="false">'Player Data'!C486</f>
        <v>Costa Rica Third Tier - North</v>
      </c>
      <c r="E486" s="21" t="n">
        <f aca="false">'Player Data'!D486</f>
        <v>3</v>
      </c>
      <c r="F486" s="21" t="n">
        <f aca="false">'Player Data'!G486</f>
        <v>23</v>
      </c>
      <c r="G486" s="21" t="n">
        <f aca="false">'Player Data'!H486</f>
        <v>2263</v>
      </c>
      <c r="H486" s="22" t="n">
        <f aca="false">IF(B486="GK",IFERROR(('Player Data'!N486-1.5*'Player Data'!O486)/'Player Data'!H486*90,0),IFERROR(('Player Data'!I486+'Player Data'!J486)/'Player Data'!H486*90,0))</f>
        <v>0.517012814847548</v>
      </c>
      <c r="I486" s="22" t="n">
        <f aca="false">IF(B486="GK",'Player Data'!P486,IFERROR(('Player Data'!K486+'Player Data'!L486)/'Player Data'!H486*90,0))</f>
        <v>8.35174547061423</v>
      </c>
      <c r="J486" s="22" t="n">
        <f aca="false">IF(B486="GK",IFERROR('Player Data'!Q486/'Player Data'!H486*90,0),IFERROR('Player Data'!M486/'Player Data'!H486*90,0))</f>
        <v>1.86920017675652</v>
      </c>
      <c r="K486" s="23" t="n">
        <f aca="false">'Player Data'!S486</f>
        <v>0</v>
      </c>
      <c r="L486" s="22" t="n">
        <f aca="false">INDEX(Assumptions!$B$13:$B$15,MATCH(E486,Assumptions!$A$13:$A$15,0))</f>
        <v>0.85</v>
      </c>
      <c r="M486" s="24" t="n">
        <f aca="false">IFERROR(SUMPRODUCT(($B$2:$B$1001=B486)*($H$2:$H$1001&lt;=H486))/SUMPRODUCT(($B$2:$B$1001=B486)*1),0)</f>
        <v>0.235690235690236</v>
      </c>
      <c r="N486" s="24" t="n">
        <f aca="false">IFERROR(SUMPRODUCT(($B$2:$B$1001=B486)*($I$2:$I$1001&lt;=I486))/SUMPRODUCT(($B$2:$B$1001=B486)*1),0)</f>
        <v>0.191919191919192</v>
      </c>
      <c r="O486" s="24" t="n">
        <f aca="false">IFERROR(SUMPRODUCT(($B$2:$B$1001=B486)*($J$2:$J$1001&lt;=J486))/SUMPRODUCT(($B$2:$B$1001=B486)*1),0)</f>
        <v>0.356902356902357</v>
      </c>
      <c r="P486" s="24" t="n">
        <f aca="false">IFERROR(SUMPRODUCT(($B$2:$B$1001=B486)*((0-$F$2:$F$1001)&lt;=(0-F486)))/SUMPRODUCT(($B$2:$B$1001=B486)*1),0)</f>
        <v>0.390572390572391</v>
      </c>
      <c r="Q486" s="25" t="n">
        <f aca="false">(M486*Assumptions!$B$5+N486*Assumptions!$B$6+O486*Assumptions!$B$7+P486*Assumptions!$B$8)*L486</f>
        <v>0.234250841750842</v>
      </c>
      <c r="R486" s="24" t="n">
        <f aca="false">IFERROR(SUMPRODUCT(($B$2:$B$1001=B486)*($Q$2:$Q$1001&lt;=Q486))/SUMPRODUCT(($B$2:$B$1001=B486)*1),0)</f>
        <v>0.148148148148148</v>
      </c>
      <c r="S486" s="24" t="n">
        <f aca="false">IFERROR(SUMPRODUCT(($B$2:$B$1001=B486)*($K$2:$K$1001&lt;=K486))/SUMPRODUCT(($B$2:$B$1001=B486)*1),0)</f>
        <v>0.228956228956229</v>
      </c>
      <c r="T486" s="26" t="n">
        <f aca="false">(R486-S486)*100</f>
        <v>-8.08080808080808</v>
      </c>
      <c r="U486" s="21" t="str">
        <f aca="false">'Player Data'!T486</f>
        <v>No</v>
      </c>
      <c r="V486" s="27" t="n">
        <f aca="false">'Player Data'!U486</f>
        <v>2027</v>
      </c>
      <c r="W486" s="21" t="str">
        <f aca="false">IF(AND(T486&gt;=Assumptions!$B$19,U486="No"),"High Priority - Unrepresented",IF(T486&gt;=Assumptions!$B$19,"High Priority",IF(AND(T486&gt;=Assumptions!$B$20,U486="No"),"Watchlist - Unrepresented",IF(T486&gt;=Assumptions!$B$20,"Watchlist",""))))</f>
        <v/>
      </c>
      <c r="X486" s="21" t="str">
        <f aca="false">'Player Data'!V486</f>
        <v>info@sanjosetown.cr</v>
      </c>
      <c r="Y486" s="28" t="str">
        <f aca="false">'Player Data'!W486</f>
        <v>Club sporting director / first-team office</v>
      </c>
      <c r="Z486" s="28" t="str">
        <f aca="false">'Player Data'!X486</f>
        <v>FEDEFUTBOL (Costa Rican Football Federation) player registry</v>
      </c>
      <c r="AA486" s="19" t="str">
        <f aca="false">HYPERLINK("https://www.transfermarkt.com/schnellsuche/ergebnis/schnellsuche?query="&amp;SUBSTITUTE(A486," ","+"),"Search Transfermarkt")</f>
        <v>Search Transfermarkt</v>
      </c>
      <c r="AB486" s="29" t="n">
        <f aca="false">IFERROR('Player Data'!K486/('Player Data'!K486+'Player Data'!L486),0)</f>
        <v>0.666666666666667</v>
      </c>
      <c r="AC486" s="21" t="str">
        <f aca="false">IF(B486="GK",IF(AND(O486&gt;=Assumptions!$B$23,N486&gt;=Assumptions!$B$23),"Sweeper-Keeper / Build-from-the-Back",IF(O486&gt;=Assumptions!$B$23,"Sweeper-Keeper / High Line",IF(M486&gt;=Assumptions!$B$23,"Shot-Stopper / Traditional","Flexible / Multi-System"))),IF(AND(O486&gt;=Assumptions!$B$23,P486&gt;=Assumptions!$B$24),"High Press / Gegenpressing",IF(AND(N486&gt;=Assumptions!$B$23,AB486&gt;=Assumptions!$B$25),"Possession / Build-from-the-Back",IF(N486&gt;=Assumptions!$B$23,"Counter-Attack / Transition",IF(AND(O486&gt;=Assumptions!$B$23,N486&lt;Assumptions!$B$26),"Low Block / Park the Bus",IF(AND(B486="FW",M486&gt;=Assumptions!$B$23,N486&lt;Assumptions!$B$26),"Direct / Target Approach","Flexible / Multi-System"))))))</f>
        <v>Flexible / Multi-System</v>
      </c>
      <c r="AD486" s="21" t="str">
        <f aca="false">'Player Data'!Y486</f>
        <v>2026-07-17</v>
      </c>
      <c r="AE486" s="21" t="str">
        <f aca="false">'Player Data'!Z486</f>
        <v>2026-07-17</v>
      </c>
      <c r="AF486" s="28" t="str">
        <f aca="false">IFERROR(INDEX(Assumptions!$B$30:$B$61,MATCH(C486,Assumptions!$A$30:$A$61,0)),"--")</f>
        <v>Mexico, United States</v>
      </c>
      <c r="AG486" s="30" t="str">
        <f aca="false">IF(R486&gt;=0.7,"Step-Up Candidate",IF(R486&gt;=0.4,"Lateral Move","Stay &amp; Develop"))</f>
        <v>Stay &amp; Develop</v>
      </c>
    </row>
    <row r="487" customFormat="false" ht="23.85" hidden="false" customHeight="false" outlineLevel="0" collapsed="false">
      <c r="A487" s="21" t="str">
        <f aca="false">'Player Data'!A487</f>
        <v>Karim Kareem</v>
      </c>
      <c r="B487" s="21" t="str">
        <f aca="false">'Player Data'!F487</f>
        <v>GK</v>
      </c>
      <c r="C487" s="21" t="str">
        <f aca="false">'Player Data'!B487</f>
        <v>Iraq</v>
      </c>
      <c r="D487" s="21" t="str">
        <f aca="false">'Player Data'!C487</f>
        <v>Iraq Third Tier - North</v>
      </c>
      <c r="E487" s="21" t="n">
        <f aca="false">'Player Data'!D487</f>
        <v>3</v>
      </c>
      <c r="F487" s="21" t="n">
        <f aca="false">'Player Data'!G487</f>
        <v>26</v>
      </c>
      <c r="G487" s="21" t="n">
        <f aca="false">'Player Data'!H487</f>
        <v>2670</v>
      </c>
      <c r="H487" s="22" t="n">
        <f aca="false">IF(B487="GK",IFERROR(('Player Data'!N487-1.5*'Player Data'!O487)/'Player Data'!H487*90,0),IFERROR(('Player Data'!I487+'Player Data'!J487)/'Player Data'!H487*90,0))</f>
        <v>0.825842696629214</v>
      </c>
      <c r="I487" s="22" t="n">
        <f aca="false">IF(B487="GK",'Player Data'!P487,IFERROR(('Player Data'!K487+'Player Data'!L487)/'Player Data'!H487*90,0))</f>
        <v>55.7</v>
      </c>
      <c r="J487" s="22" t="n">
        <f aca="false">IF(B487="GK",IFERROR('Player Data'!Q487/'Player Data'!H487*90,0),IFERROR('Player Data'!M487/'Player Data'!H487*90,0))</f>
        <v>1.27752808988764</v>
      </c>
      <c r="K487" s="23" t="n">
        <f aca="false">'Player Data'!S487</f>
        <v>96911</v>
      </c>
      <c r="L487" s="22" t="n">
        <f aca="false">INDEX(Assumptions!$B$13:$B$15,MATCH(E487,Assumptions!$A$13:$A$15,0))</f>
        <v>0.85</v>
      </c>
      <c r="M487" s="24" t="n">
        <f aca="false">IFERROR(SUMPRODUCT(($B$2:$B$1001=B487)*($H$2:$H$1001&lt;=H487))/SUMPRODUCT(($B$2:$B$1001=B487)*1),0)</f>
        <v>0.344262295081967</v>
      </c>
      <c r="N487" s="24" t="n">
        <f aca="false">IFERROR(SUMPRODUCT(($B$2:$B$1001=B487)*($I$2:$I$1001&lt;=I487))/SUMPRODUCT(($B$2:$B$1001=B487)*1),0)</f>
        <v>0.0218579234972678</v>
      </c>
      <c r="O487" s="24" t="n">
        <f aca="false">IFERROR(SUMPRODUCT(($B$2:$B$1001=B487)*($J$2:$J$1001&lt;=J487))/SUMPRODUCT(($B$2:$B$1001=B487)*1),0)</f>
        <v>0.80327868852459</v>
      </c>
      <c r="P487" s="24" t="n">
        <f aca="false">IFERROR(SUMPRODUCT(($B$2:$B$1001=B487)*((0-$F$2:$F$1001)&lt;=(0-F487)))/SUMPRODUCT(($B$2:$B$1001=B487)*1),0)</f>
        <v>0.131147540983607</v>
      </c>
      <c r="Q487" s="25" t="n">
        <f aca="false">(M487*Assumptions!$B$5+N487*Assumptions!$B$6+O487*Assumptions!$B$7+P487*Assumptions!$B$8)*L487</f>
        <v>0.238510928961749</v>
      </c>
      <c r="R487" s="24" t="n">
        <f aca="false">IFERROR(SUMPRODUCT(($B$2:$B$1001=B487)*($Q$2:$Q$1001&lt;=Q487))/SUMPRODUCT(($B$2:$B$1001=B487)*1),0)</f>
        <v>0.0491803278688525</v>
      </c>
      <c r="S487" s="24" t="n">
        <f aca="false">IFERROR(SUMPRODUCT(($B$2:$B$1001=B487)*($K$2:$K$1001&lt;=K487))/SUMPRODUCT(($B$2:$B$1001=B487)*1),0)</f>
        <v>0.704918032786885</v>
      </c>
      <c r="T487" s="26" t="n">
        <f aca="false">(R487-S487)*100</f>
        <v>-65.5737704918033</v>
      </c>
      <c r="U487" s="21" t="str">
        <f aca="false">'Player Data'!T487</f>
        <v>No</v>
      </c>
      <c r="V487" s="27" t="n">
        <f aca="false">'Player Data'!U487</f>
        <v>2027</v>
      </c>
      <c r="W487" s="21" t="str">
        <f aca="false">IF(AND(T487&gt;=Assumptions!$B$19,U487="No"),"High Priority - Unrepresented",IF(T487&gt;=Assumptions!$B$19,"High Priority",IF(AND(T487&gt;=Assumptions!$B$20,U487="No"),"Watchlist - Unrepresented",IF(T487&gt;=Assumptions!$B$20,"Watchlist",""))))</f>
        <v/>
      </c>
      <c r="X487" s="21" t="str">
        <f aca="false">'Player Data'!V487</f>
        <v>info@erbilsc.iq</v>
      </c>
      <c r="Y487" s="28" t="str">
        <f aca="false">'Player Data'!W487</f>
        <v>Club sporting director / first-team office</v>
      </c>
      <c r="Z487" s="28" t="str">
        <f aca="false">'Player Data'!X487</f>
        <v>IFA (Iraq Football Association) player registry</v>
      </c>
      <c r="AA487" s="19" t="str">
        <f aca="false">HYPERLINK("https://www.transfermarkt.com/schnellsuche/ergebnis/schnellsuche?query="&amp;SUBSTITUTE(A487," ","+"),"Search Transfermarkt")</f>
        <v>Search Transfermarkt</v>
      </c>
      <c r="AB487" s="29" t="n">
        <f aca="false">IFERROR('Player Data'!K487/('Player Data'!K487+'Player Data'!L487),0)</f>
        <v>0.826086956521739</v>
      </c>
      <c r="AC487" s="21" t="str">
        <f aca="false">IF(B487="GK",IF(AND(O487&gt;=Assumptions!$B$23,N487&gt;=Assumptions!$B$23),"Sweeper-Keeper / Build-from-the-Back",IF(O487&gt;=Assumptions!$B$23,"Sweeper-Keeper / High Line",IF(M487&gt;=Assumptions!$B$23,"Shot-Stopper / Traditional","Flexible / Multi-System"))),IF(AND(O487&gt;=Assumptions!$B$23,P487&gt;=Assumptions!$B$24),"High Press / Gegenpressing",IF(AND(N487&gt;=Assumptions!$B$23,AB487&gt;=Assumptions!$B$25),"Possession / Build-from-the-Back",IF(N487&gt;=Assumptions!$B$23,"Counter-Attack / Transition",IF(AND(O487&gt;=Assumptions!$B$23,N487&lt;Assumptions!$B$26),"Low Block / Park the Bus",IF(AND(B487="FW",M487&gt;=Assumptions!$B$23,N487&lt;Assumptions!$B$26),"Direct / Target Approach","Flexible / Multi-System"))))))</f>
        <v>Sweeper-Keeper / High Line</v>
      </c>
      <c r="AD487" s="21" t="str">
        <f aca="false">'Player Data'!Y487</f>
        <v>2026-07-17</v>
      </c>
      <c r="AE487" s="21" t="str">
        <f aca="false">'Player Data'!Z487</f>
        <v>2026-07-17</v>
      </c>
      <c r="AF487" s="28" t="str">
        <f aca="false">IFERROR(INDEX(Assumptions!$B$30:$B$61,MATCH(C487,Assumptions!$A$30:$A$61,0)),"--")</f>
        <v>Turkey, Saudi Arabia</v>
      </c>
      <c r="AG487" s="30" t="str">
        <f aca="false">IF(R487&gt;=0.7,"Step-Up Candidate",IF(R487&gt;=0.4,"Lateral Move","Stay &amp; Develop"))</f>
        <v>Stay &amp; Develop</v>
      </c>
    </row>
    <row r="488" customFormat="false" ht="23.85" hidden="false" customHeight="false" outlineLevel="0" collapsed="false">
      <c r="A488" s="21" t="str">
        <f aca="false">'Player Data'!A488</f>
        <v>Otabek Yuldashev</v>
      </c>
      <c r="B488" s="21" t="str">
        <f aca="false">'Player Data'!F488</f>
        <v>GK</v>
      </c>
      <c r="C488" s="21" t="str">
        <f aca="false">'Player Data'!B488</f>
        <v>Uzbekistan</v>
      </c>
      <c r="D488" s="21" t="str">
        <f aca="false">'Player Data'!C488</f>
        <v>Uzbekistan Amateur League</v>
      </c>
      <c r="E488" s="21" t="n">
        <f aca="false">'Player Data'!D488</f>
        <v>3</v>
      </c>
      <c r="F488" s="21" t="n">
        <f aca="false">'Player Data'!G488</f>
        <v>18</v>
      </c>
      <c r="G488" s="21" t="n">
        <f aca="false">'Player Data'!H488</f>
        <v>1540</v>
      </c>
      <c r="H488" s="22" t="n">
        <f aca="false">IF(B488="GK",IFERROR(('Player Data'!N488-1.5*'Player Data'!O488)/'Player Data'!H488*90,0),IFERROR(('Player Data'!I488+'Player Data'!J488)/'Player Data'!H488*90,0))</f>
        <v>1.34415584415584</v>
      </c>
      <c r="I488" s="22" t="n">
        <f aca="false">IF(B488="GK",'Player Data'!P488,IFERROR(('Player Data'!K488+'Player Data'!L488)/'Player Data'!H488*90,0))</f>
        <v>60.1</v>
      </c>
      <c r="J488" s="22" t="n">
        <f aca="false">IF(B488="GK",IFERROR('Player Data'!Q488/'Player Data'!H488*90,0),IFERROR('Player Data'!M488/'Player Data'!H488*90,0))</f>
        <v>0.444155844155844</v>
      </c>
      <c r="K488" s="23" t="n">
        <f aca="false">'Player Data'!S488</f>
        <v>62949</v>
      </c>
      <c r="L488" s="22" t="n">
        <f aca="false">INDEX(Assumptions!$B$13:$B$15,MATCH(E488,Assumptions!$A$13:$A$15,0))</f>
        <v>0.85</v>
      </c>
      <c r="M488" s="24" t="n">
        <f aca="false">IFERROR(SUMPRODUCT(($B$2:$B$1001=B488)*($H$2:$H$1001&lt;=H488))/SUMPRODUCT(($B$2:$B$1001=B488)*1),0)</f>
        <v>0.584699453551913</v>
      </c>
      <c r="N488" s="24" t="n">
        <f aca="false">IFERROR(SUMPRODUCT(($B$2:$B$1001=B488)*($I$2:$I$1001&lt;=I488))/SUMPRODUCT(($B$2:$B$1001=B488)*1),0)</f>
        <v>0.163934426229508</v>
      </c>
      <c r="O488" s="24" t="n">
        <f aca="false">IFERROR(SUMPRODUCT(($B$2:$B$1001=B488)*($J$2:$J$1001&lt;=J488))/SUMPRODUCT(($B$2:$B$1001=B488)*1),0)</f>
        <v>0.207650273224044</v>
      </c>
      <c r="P488" s="24" t="n">
        <f aca="false">IFERROR(SUMPRODUCT(($B$2:$B$1001=B488)*((0-$F$2:$F$1001)&lt;=(0-F488)))/SUMPRODUCT(($B$2:$B$1001=B488)*1),0)</f>
        <v>0.907103825136612</v>
      </c>
      <c r="Q488" s="25" t="n">
        <f aca="false">(M488*Assumptions!$B$5+N488*Assumptions!$B$6+O488*Assumptions!$B$7+P488*Assumptions!$B$8)*L488</f>
        <v>0.362527322404372</v>
      </c>
      <c r="R488" s="24" t="n">
        <f aca="false">IFERROR(SUMPRODUCT(($B$2:$B$1001=B488)*($Q$2:$Q$1001&lt;=Q488))/SUMPRODUCT(($B$2:$B$1001=B488)*1),0)</f>
        <v>0.289617486338798</v>
      </c>
      <c r="S488" s="24" t="n">
        <f aca="false">IFERROR(SUMPRODUCT(($B$2:$B$1001=B488)*($K$2:$K$1001&lt;=K488))/SUMPRODUCT(($B$2:$B$1001=B488)*1),0)</f>
        <v>0.480874316939891</v>
      </c>
      <c r="T488" s="26" t="n">
        <f aca="false">(R488-S488)*100</f>
        <v>-19.1256830601093</v>
      </c>
      <c r="U488" s="21" t="str">
        <f aca="false">'Player Data'!T488</f>
        <v>No</v>
      </c>
      <c r="V488" s="27" t="n">
        <f aca="false">'Player Data'!U488</f>
        <v>2027</v>
      </c>
      <c r="W488" s="21" t="str">
        <f aca="false">IF(AND(T488&gt;=Assumptions!$B$19,U488="No"),"High Priority - Unrepresented",IF(T488&gt;=Assumptions!$B$19,"High Priority",IF(AND(T488&gt;=Assumptions!$B$20,U488="No"),"Watchlist - Unrepresented",IF(T488&gt;=Assumptions!$B$20,"Watchlist",""))))</f>
        <v/>
      </c>
      <c r="X488" s="21" t="str">
        <f aca="false">'Player Data'!V488</f>
        <v>info@bukharaunited.uz</v>
      </c>
      <c r="Y488" s="28" t="str">
        <f aca="false">'Player Data'!W488</f>
        <v>Club sporting director / first-team office</v>
      </c>
      <c r="Z488" s="28" t="str">
        <f aca="false">'Player Data'!X488</f>
        <v>UFF (Uzbekistan Football Federation) player registry</v>
      </c>
      <c r="AA488" s="19" t="str">
        <f aca="false">HYPERLINK("https://www.transfermarkt.com/schnellsuche/ergebnis/schnellsuche?query="&amp;SUBSTITUTE(A488," ","+"),"Search Transfermarkt")</f>
        <v>Search Transfermarkt</v>
      </c>
      <c r="AB488" s="29" t="n">
        <f aca="false">IFERROR('Player Data'!K488/('Player Data'!K488+'Player Data'!L488),0)</f>
        <v>0.76</v>
      </c>
      <c r="AC488" s="21" t="str">
        <f aca="false">IF(B488="GK",IF(AND(O488&gt;=Assumptions!$B$23,N488&gt;=Assumptions!$B$23),"Sweeper-Keeper / Build-from-the-Back",IF(O488&gt;=Assumptions!$B$23,"Sweeper-Keeper / High Line",IF(M488&gt;=Assumptions!$B$23,"Shot-Stopper / Traditional","Flexible / Multi-System"))),IF(AND(O488&gt;=Assumptions!$B$23,P488&gt;=Assumptions!$B$24),"High Press / Gegenpressing",IF(AND(N488&gt;=Assumptions!$B$23,AB488&gt;=Assumptions!$B$25),"Possession / Build-from-the-Back",IF(N488&gt;=Assumptions!$B$23,"Counter-Attack / Transition",IF(AND(O488&gt;=Assumptions!$B$23,N488&lt;Assumptions!$B$26),"Low Block / Park the Bus",IF(AND(B488="FW",M488&gt;=Assumptions!$B$23,N488&lt;Assumptions!$B$26),"Direct / Target Approach","Flexible / Multi-System"))))))</f>
        <v>Flexible / Multi-System</v>
      </c>
      <c r="AD488" s="21" t="str">
        <f aca="false">'Player Data'!Y488</f>
        <v>2026-07-17</v>
      </c>
      <c r="AE488" s="21" t="str">
        <f aca="false">'Player Data'!Z488</f>
        <v>2026-07-17</v>
      </c>
      <c r="AF488" s="28" t="str">
        <f aca="false">IFERROR(INDEX(Assumptions!$B$30:$B$61,MATCH(C488,Assumptions!$A$30:$A$61,0)),"--")</f>
        <v>Turkey, Saudi Arabia</v>
      </c>
      <c r="AG488" s="30" t="str">
        <f aca="false">IF(R488&gt;=0.7,"Step-Up Candidate",IF(R488&gt;=0.4,"Lateral Move","Stay &amp; Develop"))</f>
        <v>Stay &amp; Develop</v>
      </c>
    </row>
    <row r="489" customFormat="false" ht="23.85" hidden="false" customHeight="false" outlineLevel="0" collapsed="false">
      <c r="A489" s="21" t="str">
        <f aca="false">'Player Data'!A489</f>
        <v>Ousmane Diallo</v>
      </c>
      <c r="B489" s="21" t="str">
        <f aca="false">'Player Data'!F489</f>
        <v>MF</v>
      </c>
      <c r="C489" s="21" t="str">
        <f aca="false">'Player Data'!B489</f>
        <v>Senegal</v>
      </c>
      <c r="D489" s="21" t="str">
        <f aca="false">'Player Data'!C489</f>
        <v>Senegal Second Division - East</v>
      </c>
      <c r="E489" s="21" t="n">
        <f aca="false">'Player Data'!D489</f>
        <v>2</v>
      </c>
      <c r="F489" s="21" t="n">
        <f aca="false">'Player Data'!G489</f>
        <v>18</v>
      </c>
      <c r="G489" s="21" t="n">
        <f aca="false">'Player Data'!H489</f>
        <v>1697</v>
      </c>
      <c r="H489" s="22" t="n">
        <f aca="false">IF(B489="GK",IFERROR(('Player Data'!N489-1.5*'Player Data'!O489)/'Player Data'!H489*90,0),IFERROR(('Player Data'!I489+'Player Data'!J489)/'Player Data'!H489*90,0))</f>
        <v>0.901591043017089</v>
      </c>
      <c r="I489" s="22" t="n">
        <f aca="false">IF(B489="GK",'Player Data'!P489,IFERROR(('Player Data'!K489+'Player Data'!L489)/'Player Data'!H489*90,0))</f>
        <v>12.8344136711844</v>
      </c>
      <c r="J489" s="22" t="n">
        <f aca="false">IF(B489="GK",IFERROR('Player Data'!Q489/'Player Data'!H489*90,0),IFERROR('Player Data'!M489/'Player Data'!H489*90,0))</f>
        <v>1.53800824985268</v>
      </c>
      <c r="K489" s="23" t="n">
        <f aca="false">'Player Data'!S489</f>
        <v>0</v>
      </c>
      <c r="L489" s="22" t="n">
        <f aca="false">INDEX(Assumptions!$B$13:$B$15,MATCH(E489,Assumptions!$A$13:$A$15,0))</f>
        <v>1</v>
      </c>
      <c r="M489" s="24" t="n">
        <f aca="false">IFERROR(SUMPRODUCT(($B$2:$B$1001=B489)*($H$2:$H$1001&lt;=H489))/SUMPRODUCT(($B$2:$B$1001=B489)*1),0)</f>
        <v>0.683501683501684</v>
      </c>
      <c r="N489" s="24" t="n">
        <f aca="false">IFERROR(SUMPRODUCT(($B$2:$B$1001=B489)*($I$2:$I$1001&lt;=I489))/SUMPRODUCT(($B$2:$B$1001=B489)*1),0)</f>
        <v>0.64983164983165</v>
      </c>
      <c r="O489" s="24" t="n">
        <f aca="false">IFERROR(SUMPRODUCT(($B$2:$B$1001=B489)*($J$2:$J$1001&lt;=J489))/SUMPRODUCT(($B$2:$B$1001=B489)*1),0)</f>
        <v>0.188552188552189</v>
      </c>
      <c r="P489" s="24" t="n">
        <f aca="false">IFERROR(SUMPRODUCT(($B$2:$B$1001=B489)*((0-$F$2:$F$1001)&lt;=(0-F489)))/SUMPRODUCT(($B$2:$B$1001=B489)*1),0)</f>
        <v>0.929292929292929</v>
      </c>
      <c r="Q489" s="25" t="n">
        <f aca="false">(M489*Assumptions!$B$5+N489*Assumptions!$B$6+O489*Assumptions!$B$7+P489*Assumptions!$B$8)*L489</f>
        <v>0.621885521885522</v>
      </c>
      <c r="R489" s="24" t="n">
        <f aca="false">IFERROR(SUMPRODUCT(($B$2:$B$1001=B489)*($Q$2:$Q$1001&lt;=Q489))/SUMPRODUCT(($B$2:$B$1001=B489)*1),0)</f>
        <v>0.781144781144781</v>
      </c>
      <c r="S489" s="24" t="n">
        <f aca="false">IFERROR(SUMPRODUCT(($B$2:$B$1001=B489)*($K$2:$K$1001&lt;=K489))/SUMPRODUCT(($B$2:$B$1001=B489)*1),0)</f>
        <v>0.228956228956229</v>
      </c>
      <c r="T489" s="26" t="n">
        <f aca="false">(R489-S489)*100</f>
        <v>55.2188552188552</v>
      </c>
      <c r="U489" s="21" t="str">
        <f aca="false">'Player Data'!T489</f>
        <v>No</v>
      </c>
      <c r="V489" s="27" t="n">
        <f aca="false">'Player Data'!U489</f>
        <v>2028</v>
      </c>
      <c r="W489" s="21" t="str">
        <f aca="false">IF(AND(T489&gt;=Assumptions!$B$19,U489="No"),"High Priority - Unrepresented",IF(T489&gt;=Assumptions!$B$19,"High Priority",IF(AND(T489&gt;=Assumptions!$B$20,U489="No"),"Watchlist - Unrepresented",IF(T489&gt;=Assumptions!$B$20,"Watchlist",""))))</f>
        <v>High Priority - Unrepresented</v>
      </c>
      <c r="X489" s="21" t="str">
        <f aca="false">'Player Data'!V489</f>
        <v>info@saintlouissc.sn</v>
      </c>
      <c r="Y489" s="28" t="str">
        <f aca="false">'Player Data'!W489</f>
        <v>Club sporting director / first-team office</v>
      </c>
      <c r="Z489" s="28" t="str">
        <f aca="false">'Player Data'!X489</f>
        <v>FSF (Senegalese Football Federation) player registry</v>
      </c>
      <c r="AA489" s="19" t="str">
        <f aca="false">HYPERLINK("https://www.transfermarkt.com/schnellsuche/ergebnis/schnellsuche?query="&amp;SUBSTITUTE(A489," ","+"),"Search Transfermarkt")</f>
        <v>Search Transfermarkt</v>
      </c>
      <c r="AB489" s="29" t="n">
        <f aca="false">IFERROR('Player Data'!K489/('Player Data'!K489+'Player Data'!L489),0)</f>
        <v>0.735537190082645</v>
      </c>
      <c r="AC489" s="21" t="str">
        <f aca="false">IF(B489="GK",IF(AND(O489&gt;=Assumptions!$B$23,N489&gt;=Assumptions!$B$23),"Sweeper-Keeper / Build-from-the-Back",IF(O489&gt;=Assumptions!$B$23,"Sweeper-Keeper / High Line",IF(M489&gt;=Assumptions!$B$23,"Shot-Stopper / Traditional","Flexible / Multi-System"))),IF(AND(O489&gt;=Assumptions!$B$23,P489&gt;=Assumptions!$B$24),"High Press / Gegenpressing",IF(AND(N489&gt;=Assumptions!$B$23,AB489&gt;=Assumptions!$B$25),"Possession / Build-from-the-Back",IF(N489&gt;=Assumptions!$B$23,"Counter-Attack / Transition",IF(AND(O489&gt;=Assumptions!$B$23,N489&lt;Assumptions!$B$26),"Low Block / Park the Bus",IF(AND(B489="FW",M489&gt;=Assumptions!$B$23,N489&lt;Assumptions!$B$26),"Direct / Target Approach","Flexible / Multi-System"))))))</f>
        <v>Flexible / Multi-System</v>
      </c>
      <c r="AD489" s="21" t="str">
        <f aca="false">'Player Data'!Y489</f>
        <v>2026-07-17</v>
      </c>
      <c r="AE489" s="21" t="str">
        <f aca="false">'Player Data'!Z489</f>
        <v>2026-07-17</v>
      </c>
      <c r="AF489" s="28" t="str">
        <f aca="false">IFERROR(INDEX(Assumptions!$B$30:$B$61,MATCH(C489,Assumptions!$A$30:$A$61,0)),"--")</f>
        <v>Belgium, Portugal</v>
      </c>
      <c r="AG489" s="30" t="str">
        <f aca="false">IF(R489&gt;=0.7,"Step-Up Candidate",IF(R489&gt;=0.4,"Lateral Move","Stay &amp; Develop"))</f>
        <v>Step-Up Candidate</v>
      </c>
    </row>
    <row r="490" customFormat="false" ht="23.85" hidden="false" customHeight="false" outlineLevel="0" collapsed="false">
      <c r="A490" s="21" t="str">
        <f aca="false">'Player Data'!A490</f>
        <v>Nicolas Torres</v>
      </c>
      <c r="B490" s="21" t="str">
        <f aca="false">'Player Data'!F490</f>
        <v>GK</v>
      </c>
      <c r="C490" s="21" t="str">
        <f aca="false">'Player Data'!B490</f>
        <v>Bolivia</v>
      </c>
      <c r="D490" s="21" t="str">
        <f aca="false">'Player Data'!C490</f>
        <v>Bolivia Second Division - East</v>
      </c>
      <c r="E490" s="21" t="n">
        <f aca="false">'Player Data'!D490</f>
        <v>4</v>
      </c>
      <c r="F490" s="21" t="n">
        <f aca="false">'Player Data'!G490</f>
        <v>23</v>
      </c>
      <c r="G490" s="21" t="n">
        <f aca="false">'Player Data'!H490</f>
        <v>2519</v>
      </c>
      <c r="H490" s="22" t="n">
        <f aca="false">IF(B490="GK",IFERROR(('Player Data'!N490-1.5*'Player Data'!O490)/'Player Data'!H490*90,0),IFERROR(('Player Data'!I490+'Player Data'!J490)/'Player Data'!H490*90,0))</f>
        <v>0.428741564112743</v>
      </c>
      <c r="I490" s="22" t="n">
        <f aca="false">IF(B490="GK",'Player Data'!P490,IFERROR(('Player Data'!K490+'Player Data'!L490)/'Player Data'!H490*90,0))</f>
        <v>60.2</v>
      </c>
      <c r="J490" s="22" t="n">
        <f aca="false">IF(B490="GK",IFERROR('Player Data'!Q490/'Player Data'!H490*90,0),IFERROR('Player Data'!M490/'Player Data'!H490*90,0))</f>
        <v>0.60023818975784</v>
      </c>
      <c r="K490" s="23" t="n">
        <f aca="false">'Player Data'!S490</f>
        <v>125535</v>
      </c>
      <c r="L490" s="22" t="n">
        <f aca="false">INDEX(Assumptions!$B$13:$B$15,MATCH(E490,Assumptions!$A$13:$A$15,0))</f>
        <v>0.7</v>
      </c>
      <c r="M490" s="24" t="n">
        <f aca="false">IFERROR(SUMPRODUCT(($B$2:$B$1001=B490)*($H$2:$H$1001&lt;=H490))/SUMPRODUCT(($B$2:$B$1001=B490)*1),0)</f>
        <v>0.256830601092896</v>
      </c>
      <c r="N490" s="24" t="n">
        <f aca="false">IFERROR(SUMPRODUCT(($B$2:$B$1001=B490)*($I$2:$I$1001&lt;=I490))/SUMPRODUCT(($B$2:$B$1001=B490)*1),0)</f>
        <v>0.169398907103825</v>
      </c>
      <c r="O490" s="24" t="n">
        <f aca="false">IFERROR(SUMPRODUCT(($B$2:$B$1001=B490)*($J$2:$J$1001&lt;=J490))/SUMPRODUCT(($B$2:$B$1001=B490)*1),0)</f>
        <v>0.3224043715847</v>
      </c>
      <c r="P490" s="24" t="n">
        <f aca="false">IFERROR(SUMPRODUCT(($B$2:$B$1001=B490)*((0-$F$2:$F$1001)&lt;=(0-F490)))/SUMPRODUCT(($B$2:$B$1001=B490)*1),0)</f>
        <v>0.431693989071038</v>
      </c>
      <c r="Q490" s="25" t="n">
        <f aca="false">(M490*Assumptions!$B$5+N490*Assumptions!$B$6+O490*Assumptions!$B$7+P490*Assumptions!$B$8)*L490</f>
        <v>0.192021857923497</v>
      </c>
      <c r="R490" s="24" t="n">
        <f aca="false">IFERROR(SUMPRODUCT(($B$2:$B$1001=B490)*($Q$2:$Q$1001&lt;=Q490))/SUMPRODUCT(($B$2:$B$1001=B490)*1),0)</f>
        <v>0.0109289617486339</v>
      </c>
      <c r="S490" s="24" t="n">
        <f aca="false">IFERROR(SUMPRODUCT(($B$2:$B$1001=B490)*($K$2:$K$1001&lt;=K490))/SUMPRODUCT(($B$2:$B$1001=B490)*1),0)</f>
        <v>0.846994535519126</v>
      </c>
      <c r="T490" s="26" t="n">
        <f aca="false">(R490-S490)*100</f>
        <v>-83.6065573770492</v>
      </c>
      <c r="U490" s="21" t="str">
        <f aca="false">'Player Data'!T490</f>
        <v>Unknown</v>
      </c>
      <c r="V490" s="27" t="n">
        <f aca="false">'Player Data'!U490</f>
        <v>2026</v>
      </c>
      <c r="W490" s="21" t="str">
        <f aca="false">IF(AND(T490&gt;=Assumptions!$B$19,U490="No"),"High Priority - Unrepresented",IF(T490&gt;=Assumptions!$B$19,"High Priority",IF(AND(T490&gt;=Assumptions!$B$20,U490="No"),"Watchlist - Unrepresented",IF(T490&gt;=Assumptions!$B$20,"Watchlist",""))))</f>
        <v/>
      </c>
      <c r="X490" s="21" t="str">
        <f aca="false">'Player Data'!V490</f>
        <v>info@sucretown.bo</v>
      </c>
      <c r="Y490" s="28" t="str">
        <f aca="false">'Player Data'!W490</f>
        <v>Club sporting director / first-team office</v>
      </c>
      <c r="Z490" s="28" t="str">
        <f aca="false">'Player Data'!X490</f>
        <v>FBF (Bolivian Football Federation) player registry</v>
      </c>
      <c r="AA490" s="19" t="str">
        <f aca="false">HYPERLINK("https://www.transfermarkt.com/schnellsuche/ergebnis/schnellsuche?query="&amp;SUBSTITUTE(A490," ","+"),"Search Transfermarkt")</f>
        <v>Search Transfermarkt</v>
      </c>
      <c r="AB490" s="29" t="n">
        <f aca="false">IFERROR('Player Data'!K490/('Player Data'!K490+'Player Data'!L490),0)</f>
        <v>0.76</v>
      </c>
      <c r="AC490" s="21" t="str">
        <f aca="false">IF(B490="GK",IF(AND(O490&gt;=Assumptions!$B$23,N490&gt;=Assumptions!$B$23),"Sweeper-Keeper / Build-from-the-Back",IF(O490&gt;=Assumptions!$B$23,"Sweeper-Keeper / High Line",IF(M490&gt;=Assumptions!$B$23,"Shot-Stopper / Traditional","Flexible / Multi-System"))),IF(AND(O490&gt;=Assumptions!$B$23,P490&gt;=Assumptions!$B$24),"High Press / Gegenpressing",IF(AND(N490&gt;=Assumptions!$B$23,AB490&gt;=Assumptions!$B$25),"Possession / Build-from-the-Back",IF(N490&gt;=Assumptions!$B$23,"Counter-Attack / Transition",IF(AND(O490&gt;=Assumptions!$B$23,N490&lt;Assumptions!$B$26),"Low Block / Park the Bus",IF(AND(B490="FW",M490&gt;=Assumptions!$B$23,N490&lt;Assumptions!$B$26),"Direct / Target Approach","Flexible / Multi-System"))))))</f>
        <v>Flexible / Multi-System</v>
      </c>
      <c r="AD490" s="21" t="str">
        <f aca="false">'Player Data'!Y490</f>
        <v>2026-07-17</v>
      </c>
      <c r="AE490" s="21" t="str">
        <f aca="false">'Player Data'!Z490</f>
        <v>2026-07-17</v>
      </c>
      <c r="AF490" s="28" t="str">
        <f aca="false">IFERROR(INDEX(Assumptions!$B$30:$B$61,MATCH(C490,Assumptions!$A$30:$A$61,0)),"--")</f>
        <v>Argentina, Portugal</v>
      </c>
      <c r="AG490" s="30" t="str">
        <f aca="false">IF(R490&gt;=0.7,"Step-Up Candidate",IF(R490&gt;=0.4,"Lateral Move","Stay &amp; Develop"))</f>
        <v>Stay &amp; Develop</v>
      </c>
    </row>
    <row r="491" customFormat="false" ht="23.85" hidden="false" customHeight="false" outlineLevel="0" collapsed="false">
      <c r="A491" s="21" t="str">
        <f aca="false">'Player Data'!A491</f>
        <v>Junior Rojas</v>
      </c>
      <c r="B491" s="21" t="str">
        <f aca="false">'Player Data'!F491</f>
        <v>GK</v>
      </c>
      <c r="C491" s="21" t="str">
        <f aca="false">'Player Data'!B491</f>
        <v>Venezuela</v>
      </c>
      <c r="D491" s="21" t="str">
        <f aca="false">'Player Data'!C491</f>
        <v>Venezuela Provincial League</v>
      </c>
      <c r="E491" s="21" t="n">
        <f aca="false">'Player Data'!D491</f>
        <v>4</v>
      </c>
      <c r="F491" s="21" t="n">
        <f aca="false">'Player Data'!G491</f>
        <v>17</v>
      </c>
      <c r="G491" s="21" t="n">
        <f aca="false">'Player Data'!H491</f>
        <v>1789</v>
      </c>
      <c r="H491" s="22" t="n">
        <f aca="false">IF(B491="GK",IFERROR(('Player Data'!N491-1.5*'Player Data'!O491)/'Player Data'!H491*90,0),IFERROR(('Player Data'!I491+'Player Data'!J491)/'Player Data'!H491*90,0))</f>
        <v>2.08775852431526</v>
      </c>
      <c r="I491" s="22" t="n">
        <f aca="false">IF(B491="GK",'Player Data'!P491,IFERROR(('Player Data'!K491+'Player Data'!L491)/'Player Data'!H491*90,0))</f>
        <v>56.4</v>
      </c>
      <c r="J491" s="22" t="n">
        <f aca="false">IF(B491="GK",IFERROR('Player Data'!Q491/'Player Data'!H491*90,0),IFERROR('Player Data'!M491/'Player Data'!H491*90,0))</f>
        <v>0.110676355505869</v>
      </c>
      <c r="K491" s="23" t="n">
        <f aca="false">'Player Data'!S491</f>
        <v>0</v>
      </c>
      <c r="L491" s="22" t="n">
        <f aca="false">INDEX(Assumptions!$B$13:$B$15,MATCH(E491,Assumptions!$A$13:$A$15,0))</f>
        <v>0.7</v>
      </c>
      <c r="M491" s="24" t="n">
        <f aca="false">IFERROR(SUMPRODUCT(($B$2:$B$1001=B491)*($H$2:$H$1001&lt;=H491))/SUMPRODUCT(($B$2:$B$1001=B491)*1),0)</f>
        <v>0.92896174863388</v>
      </c>
      <c r="N491" s="24" t="n">
        <f aca="false">IFERROR(SUMPRODUCT(($B$2:$B$1001=B491)*($I$2:$I$1001&lt;=I491))/SUMPRODUCT(($B$2:$B$1001=B491)*1),0)</f>
        <v>0.0327868852459016</v>
      </c>
      <c r="O491" s="24" t="n">
        <f aca="false">IFERROR(SUMPRODUCT(($B$2:$B$1001=B491)*($J$2:$J$1001&lt;=J491))/SUMPRODUCT(($B$2:$B$1001=B491)*1),0)</f>
        <v>0.00546448087431694</v>
      </c>
      <c r="P491" s="24" t="n">
        <f aca="false">IFERROR(SUMPRODUCT(($B$2:$B$1001=B491)*((0-$F$2:$F$1001)&lt;=(0-F491)))/SUMPRODUCT(($B$2:$B$1001=B491)*1),0)</f>
        <v>1</v>
      </c>
      <c r="Q491" s="25" t="n">
        <f aca="false">(M491*Assumptions!$B$5+N491*Assumptions!$B$6+O491*Assumptions!$B$7+P491*Assumptions!$B$8)*L491</f>
        <v>0.311366120218579</v>
      </c>
      <c r="R491" s="24" t="n">
        <f aca="false">IFERROR(SUMPRODUCT(($B$2:$B$1001=B491)*($Q$2:$Q$1001&lt;=Q491))/SUMPRODUCT(($B$2:$B$1001=B491)*1),0)</f>
        <v>0.14207650273224</v>
      </c>
      <c r="S491" s="24" t="n">
        <f aca="false">IFERROR(SUMPRODUCT(($B$2:$B$1001=B491)*($K$2:$K$1001&lt;=K491))/SUMPRODUCT(($B$2:$B$1001=B491)*1),0)</f>
        <v>0.218579234972678</v>
      </c>
      <c r="T491" s="26" t="n">
        <f aca="false">(R491-S491)*100</f>
        <v>-7.65027322404372</v>
      </c>
      <c r="U491" s="21" t="str">
        <f aca="false">'Player Data'!T491</f>
        <v>Unknown</v>
      </c>
      <c r="V491" s="27" t="n">
        <f aca="false">'Player Data'!U491</f>
        <v>2028</v>
      </c>
      <c r="W491" s="21" t="str">
        <f aca="false">IF(AND(T491&gt;=Assumptions!$B$19,U491="No"),"High Priority - Unrepresented",IF(T491&gt;=Assumptions!$B$19,"High Priority",IF(AND(T491&gt;=Assumptions!$B$20,U491="No"),"Watchlist - Unrepresented",IF(T491&gt;=Assumptions!$B$20,"Watchlist",""))))</f>
        <v/>
      </c>
      <c r="X491" s="21" t="str">
        <f aca="false">'Player Data'!V491</f>
        <v>info@barquisimetorangers.ve</v>
      </c>
      <c r="Y491" s="28" t="str">
        <f aca="false">'Player Data'!W491</f>
        <v>Club youth/academy office ONLY - player is a minor, do not contact directly</v>
      </c>
      <c r="Z491" s="28" t="str">
        <f aca="false">'Player Data'!X491</f>
        <v>FVF (Venezuelan Football Federation) player registry</v>
      </c>
      <c r="AA491" s="19" t="str">
        <f aca="false">HYPERLINK("https://www.transfermarkt.com/schnellsuche/ergebnis/schnellsuche?query="&amp;SUBSTITUTE(A491," ","+"),"Search Transfermarkt")</f>
        <v>Search Transfermarkt</v>
      </c>
      <c r="AB491" s="29" t="n">
        <f aca="false">IFERROR('Player Data'!K491/('Player Data'!K491+'Player Data'!L491),0)</f>
        <v>0.818181818181818</v>
      </c>
      <c r="AC491" s="21" t="str">
        <f aca="false">IF(B491="GK",IF(AND(O491&gt;=Assumptions!$B$23,N491&gt;=Assumptions!$B$23),"Sweeper-Keeper / Build-from-the-Back",IF(O491&gt;=Assumptions!$B$23,"Sweeper-Keeper / High Line",IF(M491&gt;=Assumptions!$B$23,"Shot-Stopper / Traditional","Flexible / Multi-System"))),IF(AND(O491&gt;=Assumptions!$B$23,P491&gt;=Assumptions!$B$24),"High Press / Gegenpressing",IF(AND(N491&gt;=Assumptions!$B$23,AB491&gt;=Assumptions!$B$25),"Possession / Build-from-the-Back",IF(N491&gt;=Assumptions!$B$23,"Counter-Attack / Transition",IF(AND(O491&gt;=Assumptions!$B$23,N491&lt;Assumptions!$B$26),"Low Block / Park the Bus",IF(AND(B491="FW",M491&gt;=Assumptions!$B$23,N491&lt;Assumptions!$B$26),"Direct / Target Approach","Flexible / Multi-System"))))))</f>
        <v>Shot-Stopper / Traditional</v>
      </c>
      <c r="AD491" s="21" t="str">
        <f aca="false">'Player Data'!Y491</f>
        <v>2026-07-17</v>
      </c>
      <c r="AE491" s="21" t="str">
        <f aca="false">'Player Data'!Z491</f>
        <v>2026-07-17</v>
      </c>
      <c r="AF491" s="28" t="str">
        <f aca="false">IFERROR(INDEX(Assumptions!$B$30:$B$61,MATCH(C491,Assumptions!$A$30:$A$61,0)),"--")</f>
        <v>Argentina, Portugal</v>
      </c>
      <c r="AG491" s="30" t="str">
        <f aca="false">IF(R491&gt;=0.7,"Step-Up Candidate",IF(R491&gt;=0.4,"Lateral Move","Stay &amp; Develop"))</f>
        <v>Stay &amp; Develop</v>
      </c>
    </row>
    <row r="492" customFormat="false" ht="23.85" hidden="false" customHeight="false" outlineLevel="0" collapsed="false">
      <c r="A492" s="21" t="str">
        <f aca="false">'Player Data'!A492</f>
        <v>Goran Mitrovski</v>
      </c>
      <c r="B492" s="21" t="str">
        <f aca="false">'Player Data'!F492</f>
        <v>DF</v>
      </c>
      <c r="C492" s="21" t="str">
        <f aca="false">'Player Data'!B492</f>
        <v>North Macedonia</v>
      </c>
      <c r="D492" s="21" t="str">
        <f aca="false">'Player Data'!C492</f>
        <v>North Macedonia Provincial League</v>
      </c>
      <c r="E492" s="21" t="n">
        <f aca="false">'Player Data'!D492</f>
        <v>2</v>
      </c>
      <c r="F492" s="21" t="n">
        <f aca="false">'Player Data'!G492</f>
        <v>20</v>
      </c>
      <c r="G492" s="21" t="n">
        <f aca="false">'Player Data'!H492</f>
        <v>2677</v>
      </c>
      <c r="H492" s="22" t="n">
        <f aca="false">IF(B492="GK",IFERROR(('Player Data'!N492-1.5*'Player Data'!O492)/'Player Data'!H492*90,0),IFERROR(('Player Data'!I492+'Player Data'!J492)/'Player Data'!H492*90,0))</f>
        <v>0.0672394471423235</v>
      </c>
      <c r="I492" s="22" t="n">
        <f aca="false">IF(B492="GK",'Player Data'!P492,IFERROR(('Player Data'!K492+'Player Data'!L492)/'Player Data'!H492*90,0))</f>
        <v>3.12663429211804</v>
      </c>
      <c r="J492" s="22" t="n">
        <f aca="false">IF(B492="GK",IFERROR('Player Data'!Q492/'Player Data'!H492*90,0),IFERROR('Player Data'!M492/'Player Data'!H492*90,0))</f>
        <v>3.53007097497198</v>
      </c>
      <c r="K492" s="23" t="n">
        <f aca="false">'Player Data'!S492</f>
        <v>56692</v>
      </c>
      <c r="L492" s="22" t="n">
        <f aca="false">INDEX(Assumptions!$B$13:$B$15,MATCH(E492,Assumptions!$A$13:$A$15,0))</f>
        <v>1</v>
      </c>
      <c r="M492" s="24" t="n">
        <f aca="false">IFERROR(SUMPRODUCT(($B$2:$B$1001=B492)*($H$2:$H$1001&lt;=H492))/SUMPRODUCT(($B$2:$B$1001=B492)*1),0)</f>
        <v>0.0986394557823129</v>
      </c>
      <c r="N492" s="24" t="n">
        <f aca="false">IFERROR(SUMPRODUCT(($B$2:$B$1001=B492)*($I$2:$I$1001&lt;=I492))/SUMPRODUCT(($B$2:$B$1001=B492)*1),0)</f>
        <v>0.105442176870748</v>
      </c>
      <c r="O492" s="24" t="n">
        <f aca="false">IFERROR(SUMPRODUCT(($B$2:$B$1001=B492)*($J$2:$J$1001&lt;=J492))/SUMPRODUCT(($B$2:$B$1001=B492)*1),0)</f>
        <v>0.0986394557823129</v>
      </c>
      <c r="P492" s="24" t="n">
        <f aca="false">IFERROR(SUMPRODUCT(($B$2:$B$1001=B492)*((0-$F$2:$F$1001)&lt;=(0-F492)))/SUMPRODUCT(($B$2:$B$1001=B492)*1),0)</f>
        <v>0.656462585034014</v>
      </c>
      <c r="Q492" s="25" t="n">
        <f aca="false">(M492*Assumptions!$B$5+N492*Assumptions!$B$6+O492*Assumptions!$B$7+P492*Assumptions!$B$8)*L492</f>
        <v>0.212585034013605</v>
      </c>
      <c r="R492" s="24" t="n">
        <f aca="false">IFERROR(SUMPRODUCT(($B$2:$B$1001=B492)*($Q$2:$Q$1001&lt;=Q492))/SUMPRODUCT(($B$2:$B$1001=B492)*1),0)</f>
        <v>0.0952380952380952</v>
      </c>
      <c r="S492" s="24" t="n">
        <f aca="false">IFERROR(SUMPRODUCT(($B$2:$B$1001=B492)*($K$2:$K$1001&lt;=K492))/SUMPRODUCT(($B$2:$B$1001=B492)*1),0)</f>
        <v>0.465986394557823</v>
      </c>
      <c r="T492" s="26" t="n">
        <f aca="false">(R492-S492)*100</f>
        <v>-37.0748299319728</v>
      </c>
      <c r="U492" s="21" t="str">
        <f aca="false">'Player Data'!T492</f>
        <v>Unknown</v>
      </c>
      <c r="V492" s="27" t="n">
        <f aca="false">'Player Data'!U492</f>
        <v>2026</v>
      </c>
      <c r="W492" s="21" t="str">
        <f aca="false">IF(AND(T492&gt;=Assumptions!$B$19,U492="No"),"High Priority - Unrepresented",IF(T492&gt;=Assumptions!$B$19,"High Priority",IF(AND(T492&gt;=Assumptions!$B$20,U492="No"),"Watchlist - Unrepresented",IF(T492&gt;=Assumptions!$B$20,"Watchlist",""))))</f>
        <v/>
      </c>
      <c r="X492" s="21" t="str">
        <f aca="false">'Player Data'!V492</f>
        <v>info@tetovocity.mk</v>
      </c>
      <c r="Y492" s="28" t="str">
        <f aca="false">'Player Data'!W492</f>
        <v>Club sporting director / first-team office</v>
      </c>
      <c r="Z492" s="28" t="str">
        <f aca="false">'Player Data'!X492</f>
        <v>FFM (Football Federation of North Macedonia) player registry</v>
      </c>
      <c r="AA492" s="19" t="str">
        <f aca="false">HYPERLINK("https://www.transfermarkt.com/schnellsuche/ergebnis/schnellsuche?query="&amp;SUBSTITUTE(A492," ","+"),"Search Transfermarkt")</f>
        <v>Search Transfermarkt</v>
      </c>
      <c r="AB492" s="29" t="n">
        <f aca="false">IFERROR('Player Data'!K492/('Player Data'!K492+'Player Data'!L492),0)</f>
        <v>0.67741935483871</v>
      </c>
      <c r="AC492" s="21" t="str">
        <f aca="false">IF(B492="GK",IF(AND(O492&gt;=Assumptions!$B$23,N492&gt;=Assumptions!$B$23),"Sweeper-Keeper / Build-from-the-Back",IF(O492&gt;=Assumptions!$B$23,"Sweeper-Keeper / High Line",IF(M492&gt;=Assumptions!$B$23,"Shot-Stopper / Traditional","Flexible / Multi-System"))),IF(AND(O492&gt;=Assumptions!$B$23,P492&gt;=Assumptions!$B$24),"High Press / Gegenpressing",IF(AND(N492&gt;=Assumptions!$B$23,AB492&gt;=Assumptions!$B$25),"Possession / Build-from-the-Back",IF(N492&gt;=Assumptions!$B$23,"Counter-Attack / Transition",IF(AND(O492&gt;=Assumptions!$B$23,N492&lt;Assumptions!$B$26),"Low Block / Park the Bus",IF(AND(B492="FW",M492&gt;=Assumptions!$B$23,N492&lt;Assumptions!$B$26),"Direct / Target Approach","Flexible / Multi-System"))))))</f>
        <v>Flexible / Multi-System</v>
      </c>
      <c r="AD492" s="21" t="str">
        <f aca="false">'Player Data'!Y492</f>
        <v>2026-07-17</v>
      </c>
      <c r="AE492" s="21" t="str">
        <f aca="false">'Player Data'!Z492</f>
        <v>2026-07-17</v>
      </c>
      <c r="AF492" s="28" t="str">
        <f aca="false">IFERROR(INDEX(Assumptions!$B$30:$B$61,MATCH(C492,Assumptions!$A$30:$A$61,0)),"--")</f>
        <v>Austria, Turkey</v>
      </c>
      <c r="AG492" s="30" t="str">
        <f aca="false">IF(R492&gt;=0.7,"Step-Up Candidate",IF(R492&gt;=0.4,"Lateral Move","Stay &amp; Develop"))</f>
        <v>Stay &amp; Develop</v>
      </c>
    </row>
    <row r="493" customFormat="false" ht="23.85" hidden="false" customHeight="false" outlineLevel="0" collapsed="false">
      <c r="A493" s="21" t="str">
        <f aca="false">'Player Data'!A493</f>
        <v>Marek Tamm</v>
      </c>
      <c r="B493" s="21" t="str">
        <f aca="false">'Player Data'!F493</f>
        <v>MF</v>
      </c>
      <c r="C493" s="21" t="str">
        <f aca="false">'Player Data'!B493</f>
        <v>Estonia</v>
      </c>
      <c r="D493" s="21" t="str">
        <f aca="false">'Player Data'!C493</f>
        <v>Estonia Reserve League</v>
      </c>
      <c r="E493" s="21" t="n">
        <f aca="false">'Player Data'!D493</f>
        <v>4</v>
      </c>
      <c r="F493" s="21" t="n">
        <f aca="false">'Player Data'!G493</f>
        <v>19</v>
      </c>
      <c r="G493" s="21" t="n">
        <f aca="false">'Player Data'!H493</f>
        <v>2450</v>
      </c>
      <c r="H493" s="22" t="n">
        <f aca="false">IF(B493="GK",IFERROR(('Player Data'!N493-1.5*'Player Data'!O493)/'Player Data'!H493*90,0),IFERROR(('Player Data'!I493+'Player Data'!J493)/'Player Data'!H493*90,0))</f>
        <v>0.477551020408163</v>
      </c>
      <c r="I493" s="22" t="n">
        <f aca="false">IF(B493="GK",'Player Data'!P493,IFERROR(('Player Data'!K493+'Player Data'!L493)/'Player Data'!H493*90,0))</f>
        <v>8.70612244897959</v>
      </c>
      <c r="J493" s="22" t="n">
        <f aca="false">IF(B493="GK",IFERROR('Player Data'!Q493/'Player Data'!H493*90,0),IFERROR('Player Data'!M493/'Player Data'!H493*90,0))</f>
        <v>1.46938775510204</v>
      </c>
      <c r="K493" s="23" t="n">
        <f aca="false">'Player Data'!S493</f>
        <v>136551</v>
      </c>
      <c r="L493" s="22" t="n">
        <f aca="false">INDEX(Assumptions!$B$13:$B$15,MATCH(E493,Assumptions!$A$13:$A$15,0))</f>
        <v>0.7</v>
      </c>
      <c r="M493" s="24" t="n">
        <f aca="false">IFERROR(SUMPRODUCT(($B$2:$B$1001=B493)*($H$2:$H$1001&lt;=H493))/SUMPRODUCT(($B$2:$B$1001=B493)*1),0)</f>
        <v>0.188552188552189</v>
      </c>
      <c r="N493" s="24" t="n">
        <f aca="false">IFERROR(SUMPRODUCT(($B$2:$B$1001=B493)*($I$2:$I$1001&lt;=I493))/SUMPRODUCT(($B$2:$B$1001=B493)*1),0)</f>
        <v>0.235690235690236</v>
      </c>
      <c r="O493" s="24" t="n">
        <f aca="false">IFERROR(SUMPRODUCT(($B$2:$B$1001=B493)*($J$2:$J$1001&lt;=J493))/SUMPRODUCT(($B$2:$B$1001=B493)*1),0)</f>
        <v>0.154882154882155</v>
      </c>
      <c r="P493" s="24" t="n">
        <f aca="false">IFERROR(SUMPRODUCT(($B$2:$B$1001=B493)*((0-$F$2:$F$1001)&lt;=(0-F493)))/SUMPRODUCT(($B$2:$B$1001=B493)*1),0)</f>
        <v>0.868686868686869</v>
      </c>
      <c r="Q493" s="25" t="n">
        <f aca="false">(M493*Assumptions!$B$5+N493*Assumptions!$B$6+O493*Assumptions!$B$7+P493*Assumptions!$B$8)*L493</f>
        <v>0.234040404040404</v>
      </c>
      <c r="R493" s="24" t="n">
        <f aca="false">IFERROR(SUMPRODUCT(($B$2:$B$1001=B493)*($Q$2:$Q$1001&lt;=Q493))/SUMPRODUCT(($B$2:$B$1001=B493)*1),0)</f>
        <v>0.144781144781145</v>
      </c>
      <c r="S493" s="24" t="n">
        <f aca="false">IFERROR(SUMPRODUCT(($B$2:$B$1001=B493)*($K$2:$K$1001&lt;=K493))/SUMPRODUCT(($B$2:$B$1001=B493)*1),0)</f>
        <v>0.94949494949495</v>
      </c>
      <c r="T493" s="26" t="n">
        <f aca="false">(R493-S493)*100</f>
        <v>-80.4713804713805</v>
      </c>
      <c r="U493" s="21" t="str">
        <f aca="false">'Player Data'!T493</f>
        <v>No</v>
      </c>
      <c r="V493" s="27" t="n">
        <f aca="false">'Player Data'!U493</f>
        <v>2026</v>
      </c>
      <c r="W493" s="21" t="str">
        <f aca="false">IF(AND(T493&gt;=Assumptions!$B$19,U493="No"),"High Priority - Unrepresented",IF(T493&gt;=Assumptions!$B$19,"High Priority",IF(AND(T493&gt;=Assumptions!$B$20,U493="No"),"Watchlist - Unrepresented",IF(T493&gt;=Assumptions!$B$20,"Watchlist",""))))</f>
        <v/>
      </c>
      <c r="X493" s="21" t="str">
        <f aca="false">'Player Data'!V493</f>
        <v>info@narvarangers.ee</v>
      </c>
      <c r="Y493" s="28" t="str">
        <f aca="false">'Player Data'!W493</f>
        <v>Club sporting director / first-team office</v>
      </c>
      <c r="Z493" s="28" t="str">
        <f aca="false">'Player Data'!X493</f>
        <v>EJL (Estonian Football Association) player registry</v>
      </c>
      <c r="AA493" s="19" t="str">
        <f aca="false">HYPERLINK("https://www.transfermarkt.com/schnellsuche/ergebnis/schnellsuche?query="&amp;SUBSTITUTE(A493," ","+"),"Search Transfermarkt")</f>
        <v>Search Transfermarkt</v>
      </c>
      <c r="AB493" s="29" t="n">
        <f aca="false">IFERROR('Player Data'!K493/('Player Data'!K493+'Player Data'!L493),0)</f>
        <v>0.683544303797468</v>
      </c>
      <c r="AC493" s="21" t="str">
        <f aca="false">IF(B493="GK",IF(AND(O493&gt;=Assumptions!$B$23,N493&gt;=Assumptions!$B$23),"Sweeper-Keeper / Build-from-the-Back",IF(O493&gt;=Assumptions!$B$23,"Sweeper-Keeper / High Line",IF(M493&gt;=Assumptions!$B$23,"Shot-Stopper / Traditional","Flexible / Multi-System"))),IF(AND(O493&gt;=Assumptions!$B$23,P493&gt;=Assumptions!$B$24),"High Press / Gegenpressing",IF(AND(N493&gt;=Assumptions!$B$23,AB493&gt;=Assumptions!$B$25),"Possession / Build-from-the-Back",IF(N493&gt;=Assumptions!$B$23,"Counter-Attack / Transition",IF(AND(O493&gt;=Assumptions!$B$23,N493&lt;Assumptions!$B$26),"Low Block / Park the Bus",IF(AND(B493="FW",M493&gt;=Assumptions!$B$23,N493&lt;Assumptions!$B$26),"Direct / Target Approach","Flexible / Multi-System"))))))</f>
        <v>Flexible / Multi-System</v>
      </c>
      <c r="AD493" s="21" t="str">
        <f aca="false">'Player Data'!Y493</f>
        <v>2026-07-17</v>
      </c>
      <c r="AE493" s="21" t="str">
        <f aca="false">'Player Data'!Z493</f>
        <v>2026-07-17</v>
      </c>
      <c r="AF493" s="28" t="str">
        <f aca="false">IFERROR(INDEX(Assumptions!$B$30:$B$61,MATCH(C493,Assumptions!$A$30:$A$61,0)),"--")</f>
        <v>Poland, Norway</v>
      </c>
      <c r="AG493" s="30" t="str">
        <f aca="false">IF(R493&gt;=0.7,"Step-Up Candidate",IF(R493&gt;=0.4,"Lateral Move","Stay &amp; Develop"))</f>
        <v>Stay &amp; Develop</v>
      </c>
    </row>
    <row r="494" customFormat="false" ht="23.85" hidden="false" customHeight="false" outlineLevel="0" collapsed="false">
      <c r="A494" s="21" t="str">
        <f aca="false">'Player Data'!A494</f>
        <v>Jefferson Suarez</v>
      </c>
      <c r="B494" s="21" t="str">
        <f aca="false">'Player Data'!F494</f>
        <v>DF</v>
      </c>
      <c r="C494" s="21" t="str">
        <f aca="false">'Player Data'!B494</f>
        <v>Ecuador</v>
      </c>
      <c r="D494" s="21" t="str">
        <f aca="false">'Player Data'!C494</f>
        <v>Ecuador Provincial League</v>
      </c>
      <c r="E494" s="21" t="n">
        <f aca="false">'Player Data'!D494</f>
        <v>2</v>
      </c>
      <c r="F494" s="21" t="n">
        <f aca="false">'Player Data'!G494</f>
        <v>19</v>
      </c>
      <c r="G494" s="21" t="n">
        <f aca="false">'Player Data'!H494</f>
        <v>1358</v>
      </c>
      <c r="H494" s="22" t="n">
        <f aca="false">IF(B494="GK",IFERROR(('Player Data'!N494-1.5*'Player Data'!O494)/'Player Data'!H494*90,0),IFERROR(('Player Data'!I494+'Player Data'!J494)/'Player Data'!H494*90,0))</f>
        <v>0.265095729013255</v>
      </c>
      <c r="I494" s="22" t="n">
        <f aca="false">IF(B494="GK",'Player Data'!P494,IFERROR(('Player Data'!K494+'Player Data'!L494)/'Player Data'!H494*90,0))</f>
        <v>4.97054491899853</v>
      </c>
      <c r="J494" s="22" t="n">
        <f aca="false">IF(B494="GK",IFERROR('Player Data'!Q494/'Player Data'!H494*90,0),IFERROR('Player Data'!M494/'Player Data'!H494*90,0))</f>
        <v>6.95876288659794</v>
      </c>
      <c r="K494" s="23" t="n">
        <f aca="false">'Player Data'!S494</f>
        <v>23766</v>
      </c>
      <c r="L494" s="22" t="n">
        <f aca="false">INDEX(Assumptions!$B$13:$B$15,MATCH(E494,Assumptions!$A$13:$A$15,0))</f>
        <v>1</v>
      </c>
      <c r="M494" s="24" t="n">
        <f aca="false">IFERROR(SUMPRODUCT(($B$2:$B$1001=B494)*($H$2:$H$1001&lt;=H494))/SUMPRODUCT(($B$2:$B$1001=B494)*1),0)</f>
        <v>0.693877551020408</v>
      </c>
      <c r="N494" s="24" t="n">
        <f aca="false">IFERROR(SUMPRODUCT(($B$2:$B$1001=B494)*($I$2:$I$1001&lt;=I494))/SUMPRODUCT(($B$2:$B$1001=B494)*1),0)</f>
        <v>0.58843537414966</v>
      </c>
      <c r="O494" s="24" t="n">
        <f aca="false">IFERROR(SUMPRODUCT(($B$2:$B$1001=B494)*($J$2:$J$1001&lt;=J494))/SUMPRODUCT(($B$2:$B$1001=B494)*1),0)</f>
        <v>0.731292517006803</v>
      </c>
      <c r="P494" s="24" t="n">
        <f aca="false">IFERROR(SUMPRODUCT(($B$2:$B$1001=B494)*((0-$F$2:$F$1001)&lt;=(0-F494)))/SUMPRODUCT(($B$2:$B$1001=B494)*1),0)</f>
        <v>0.738095238095238</v>
      </c>
      <c r="Q494" s="25" t="n">
        <f aca="false">(M494*Assumptions!$B$5+N494*Assumptions!$B$6+O494*Assumptions!$B$7+P494*Assumptions!$B$8)*L494</f>
        <v>0.673299319727891</v>
      </c>
      <c r="R494" s="24" t="n">
        <f aca="false">IFERROR(SUMPRODUCT(($B$2:$B$1001=B494)*($Q$2:$Q$1001&lt;=Q494))/SUMPRODUCT(($B$2:$B$1001=B494)*1),0)</f>
        <v>0.846938775510204</v>
      </c>
      <c r="S494" s="24" t="n">
        <f aca="false">IFERROR(SUMPRODUCT(($B$2:$B$1001=B494)*($K$2:$K$1001&lt;=K494))/SUMPRODUCT(($B$2:$B$1001=B494)*1),0)</f>
        <v>0.329931972789116</v>
      </c>
      <c r="T494" s="26" t="n">
        <f aca="false">(R494-S494)*100</f>
        <v>51.7006802721089</v>
      </c>
      <c r="U494" s="21" t="str">
        <f aca="false">'Player Data'!T494</f>
        <v>No</v>
      </c>
      <c r="V494" s="27" t="n">
        <f aca="false">'Player Data'!U494</f>
        <v>2026</v>
      </c>
      <c r="W494" s="21" t="str">
        <f aca="false">IF(AND(T494&gt;=Assumptions!$B$19,U494="No"),"High Priority - Unrepresented",IF(T494&gt;=Assumptions!$B$19,"High Priority",IF(AND(T494&gt;=Assumptions!$B$20,U494="No"),"Watchlist - Unrepresented",IF(T494&gt;=Assumptions!$B$20,"Watchlist",""))))</f>
        <v>High Priority - Unrepresented</v>
      </c>
      <c r="X494" s="21" t="str">
        <f aca="false">'Player Data'!V494</f>
        <v>info@guayaquilsc.ec</v>
      </c>
      <c r="Y494" s="28" t="str">
        <f aca="false">'Player Data'!W494</f>
        <v>Club sporting director / first-team office</v>
      </c>
      <c r="Z494" s="28" t="str">
        <f aca="false">'Player Data'!X494</f>
        <v>FEF (Ecuadorian Football Federation) player registry</v>
      </c>
      <c r="AA494" s="19" t="str">
        <f aca="false">HYPERLINK("https://www.transfermarkt.com/schnellsuche/ergebnis/schnellsuche?query="&amp;SUBSTITUTE(A494," ","+"),"Search Transfermarkt")</f>
        <v>Search Transfermarkt</v>
      </c>
      <c r="AB494" s="29" t="n">
        <f aca="false">IFERROR('Player Data'!K494/('Player Data'!K494+'Player Data'!L494),0)</f>
        <v>0.506666666666667</v>
      </c>
      <c r="AC494" s="21" t="str">
        <f aca="false">IF(B494="GK",IF(AND(O494&gt;=Assumptions!$B$23,N494&gt;=Assumptions!$B$23),"Sweeper-Keeper / Build-from-the-Back",IF(O494&gt;=Assumptions!$B$23,"Sweeper-Keeper / High Line",IF(M494&gt;=Assumptions!$B$23,"Shot-Stopper / Traditional","Flexible / Multi-System"))),IF(AND(O494&gt;=Assumptions!$B$23,P494&gt;=Assumptions!$B$24),"High Press / Gegenpressing",IF(AND(N494&gt;=Assumptions!$B$23,AB494&gt;=Assumptions!$B$25),"Possession / Build-from-the-Back",IF(N494&gt;=Assumptions!$B$23,"Counter-Attack / Transition",IF(AND(O494&gt;=Assumptions!$B$23,N494&lt;Assumptions!$B$26),"Low Block / Park the Bus",IF(AND(B494="FW",M494&gt;=Assumptions!$B$23,N494&lt;Assumptions!$B$26),"Direct / Target Approach","Flexible / Multi-System"))))))</f>
        <v>High Press / Gegenpressing</v>
      </c>
      <c r="AD494" s="21" t="str">
        <f aca="false">'Player Data'!Y494</f>
        <v>2026-07-17</v>
      </c>
      <c r="AE494" s="21" t="str">
        <f aca="false">'Player Data'!Z494</f>
        <v>2026-07-17</v>
      </c>
      <c r="AF494" s="28" t="str">
        <f aca="false">IFERROR(INDEX(Assumptions!$B$30:$B$61,MATCH(C494,Assumptions!$A$30:$A$61,0)),"--")</f>
        <v>Argentina, Portugal</v>
      </c>
      <c r="AG494" s="30" t="str">
        <f aca="false">IF(R494&gt;=0.7,"Step-Up Candidate",IF(R494&gt;=0.4,"Lateral Move","Stay &amp; Develop"))</f>
        <v>Step-Up Candidate</v>
      </c>
    </row>
    <row r="495" customFormat="false" ht="23.85" hidden="false" customHeight="false" outlineLevel="0" collapsed="false">
      <c r="A495" s="21" t="str">
        <f aca="false">'Player Data'!A495</f>
        <v>Omar Mahmoud</v>
      </c>
      <c r="B495" s="21" t="str">
        <f aca="false">'Player Data'!F495</f>
        <v>FW</v>
      </c>
      <c r="C495" s="21" t="str">
        <f aca="false">'Player Data'!B495</f>
        <v>Iraq</v>
      </c>
      <c r="D495" s="21" t="str">
        <f aca="false">'Player Data'!C495</f>
        <v>Iraq Amateur League</v>
      </c>
      <c r="E495" s="21" t="n">
        <f aca="false">'Player Data'!D495</f>
        <v>2</v>
      </c>
      <c r="F495" s="21" t="n">
        <f aca="false">'Player Data'!G495</f>
        <v>22</v>
      </c>
      <c r="G495" s="21" t="n">
        <f aca="false">'Player Data'!H495</f>
        <v>2406</v>
      </c>
      <c r="H495" s="22" t="n">
        <f aca="false">IF(B495="GK",IFERROR(('Player Data'!N495-1.5*'Player Data'!O495)/'Player Data'!H495*90,0),IFERROR(('Player Data'!I495+'Player Data'!J495)/'Player Data'!H495*90,0))</f>
        <v>0.935162094763092</v>
      </c>
      <c r="I495" s="22" t="n">
        <f aca="false">IF(B495="GK",'Player Data'!P495,IFERROR(('Player Data'!K495+'Player Data'!L495)/'Player Data'!H495*90,0))</f>
        <v>4.86284289276808</v>
      </c>
      <c r="J495" s="22" t="n">
        <f aca="false">IF(B495="GK",IFERROR('Player Data'!Q495/'Player Data'!H495*90,0),IFERROR('Player Data'!M495/'Player Data'!H495*90,0))</f>
        <v>0.486284289276808</v>
      </c>
      <c r="K495" s="23" t="n">
        <f aca="false">'Player Data'!S495</f>
        <v>114026</v>
      </c>
      <c r="L495" s="22" t="n">
        <f aca="false">INDEX(Assumptions!$B$13:$B$15,MATCH(E495,Assumptions!$A$13:$A$15,0))</f>
        <v>1</v>
      </c>
      <c r="M495" s="24" t="n">
        <f aca="false">IFERROR(SUMPRODUCT(($B$2:$B$1001=B495)*($H$2:$H$1001&lt;=H495))/SUMPRODUCT(($B$2:$B$1001=B495)*1),0)</f>
        <v>0.442477876106195</v>
      </c>
      <c r="N495" s="24" t="n">
        <f aca="false">IFERROR(SUMPRODUCT(($B$2:$B$1001=B495)*($I$2:$I$1001&lt;=I495))/SUMPRODUCT(($B$2:$B$1001=B495)*1),0)</f>
        <v>0.185840707964602</v>
      </c>
      <c r="O495" s="24" t="n">
        <f aca="false">IFERROR(SUMPRODUCT(($B$2:$B$1001=B495)*($J$2:$J$1001&lt;=J495))/SUMPRODUCT(($B$2:$B$1001=B495)*1),0)</f>
        <v>0.482300884955752</v>
      </c>
      <c r="P495" s="24" t="n">
        <f aca="false">IFERROR(SUMPRODUCT(($B$2:$B$1001=B495)*((0-$F$2:$F$1001)&lt;=(0-F495)))/SUMPRODUCT(($B$2:$B$1001=B495)*1),0)</f>
        <v>0.504424778761062</v>
      </c>
      <c r="Q495" s="25" t="n">
        <f aca="false">(M495*Assumptions!$B$5+N495*Assumptions!$B$6+O495*Assumptions!$B$7+P495*Assumptions!$B$8)*L495</f>
        <v>0.373008849557522</v>
      </c>
      <c r="R495" s="24" t="n">
        <f aca="false">IFERROR(SUMPRODUCT(($B$2:$B$1001=B495)*($Q$2:$Q$1001&lt;=Q495))/SUMPRODUCT(($B$2:$B$1001=B495)*1),0)</f>
        <v>0.380530973451327</v>
      </c>
      <c r="S495" s="24" t="n">
        <f aca="false">IFERROR(SUMPRODUCT(($B$2:$B$1001=B495)*($K$2:$K$1001&lt;=K495))/SUMPRODUCT(($B$2:$B$1001=B495)*1),0)</f>
        <v>0.805309734513274</v>
      </c>
      <c r="T495" s="26" t="n">
        <f aca="false">(R495-S495)*100</f>
        <v>-42.4778761061947</v>
      </c>
      <c r="U495" s="21" t="str">
        <f aca="false">'Player Data'!T495</f>
        <v>Unknown</v>
      </c>
      <c r="V495" s="27" t="n">
        <f aca="false">'Player Data'!U495</f>
        <v>2029</v>
      </c>
      <c r="W495" s="21" t="str">
        <f aca="false">IF(AND(T495&gt;=Assumptions!$B$19,U495="No"),"High Priority - Unrepresented",IF(T495&gt;=Assumptions!$B$19,"High Priority",IF(AND(T495&gt;=Assumptions!$B$20,U495="No"),"Watchlist - Unrepresented",IF(T495&gt;=Assumptions!$B$20,"Watchlist",""))))</f>
        <v/>
      </c>
      <c r="X495" s="21" t="str">
        <f aca="false">'Player Data'!V495</f>
        <v>info@erbilfc.iq</v>
      </c>
      <c r="Y495" s="28" t="str">
        <f aca="false">'Player Data'!W495</f>
        <v>Club sporting director / first-team office</v>
      </c>
      <c r="Z495" s="28" t="str">
        <f aca="false">'Player Data'!X495</f>
        <v>IFA (Iraq Football Association) player registry</v>
      </c>
      <c r="AA495" s="19" t="str">
        <f aca="false">HYPERLINK("https://www.transfermarkt.com/schnellsuche/ergebnis/schnellsuche?query="&amp;SUBSTITUTE(A495," ","+"),"Search Transfermarkt")</f>
        <v>Search Transfermarkt</v>
      </c>
      <c r="AB495" s="29" t="n">
        <f aca="false">IFERROR('Player Data'!K495/('Player Data'!K495+'Player Data'!L495),0)</f>
        <v>0.415384615384615</v>
      </c>
      <c r="AC495" s="21" t="str">
        <f aca="false">IF(B495="GK",IF(AND(O495&gt;=Assumptions!$B$23,N495&gt;=Assumptions!$B$23),"Sweeper-Keeper / Build-from-the-Back",IF(O495&gt;=Assumptions!$B$23,"Sweeper-Keeper / High Line",IF(M495&gt;=Assumptions!$B$23,"Shot-Stopper / Traditional","Flexible / Multi-System"))),IF(AND(O495&gt;=Assumptions!$B$23,P495&gt;=Assumptions!$B$24),"High Press / Gegenpressing",IF(AND(N495&gt;=Assumptions!$B$23,AB495&gt;=Assumptions!$B$25),"Possession / Build-from-the-Back",IF(N495&gt;=Assumptions!$B$23,"Counter-Attack / Transition",IF(AND(O495&gt;=Assumptions!$B$23,N495&lt;Assumptions!$B$26),"Low Block / Park the Bus",IF(AND(B495="FW",M495&gt;=Assumptions!$B$23,N495&lt;Assumptions!$B$26),"Direct / Target Approach","Flexible / Multi-System"))))))</f>
        <v>Flexible / Multi-System</v>
      </c>
      <c r="AD495" s="21" t="str">
        <f aca="false">'Player Data'!Y495</f>
        <v>2026-07-17</v>
      </c>
      <c r="AE495" s="21" t="str">
        <f aca="false">'Player Data'!Z495</f>
        <v>2026-07-17</v>
      </c>
      <c r="AF495" s="28" t="str">
        <f aca="false">IFERROR(INDEX(Assumptions!$B$30:$B$61,MATCH(C495,Assumptions!$A$30:$A$61,0)),"--")</f>
        <v>Turkey, Saudi Arabia</v>
      </c>
      <c r="AG495" s="30" t="str">
        <f aca="false">IF(R495&gt;=0.7,"Step-Up Candidate",IF(R495&gt;=0.4,"Lateral Move","Stay &amp; Develop"))</f>
        <v>Stay &amp; Develop</v>
      </c>
    </row>
    <row r="496" customFormat="false" ht="23.85" hidden="false" customHeight="false" outlineLevel="0" collapsed="false">
      <c r="A496" s="21" t="str">
        <f aca="false">'Player Data'!A496</f>
        <v>Gonzalo Vargas</v>
      </c>
      <c r="B496" s="21" t="str">
        <f aca="false">'Player Data'!F496</f>
        <v>MF</v>
      </c>
      <c r="C496" s="21" t="str">
        <f aca="false">'Player Data'!B496</f>
        <v>Bolivia</v>
      </c>
      <c r="D496" s="21" t="str">
        <f aca="false">'Player Data'!C496</f>
        <v>Bolivia Reserve League</v>
      </c>
      <c r="E496" s="21" t="n">
        <f aca="false">'Player Data'!D496</f>
        <v>3</v>
      </c>
      <c r="F496" s="21" t="n">
        <f aca="false">'Player Data'!G496</f>
        <v>19</v>
      </c>
      <c r="G496" s="21" t="n">
        <f aca="false">'Player Data'!H496</f>
        <v>2583</v>
      </c>
      <c r="H496" s="22" t="n">
        <f aca="false">IF(B496="GK",IFERROR(('Player Data'!N496-1.5*'Player Data'!O496)/'Player Data'!H496*90,0),IFERROR(('Player Data'!I496+'Player Data'!J496)/'Player Data'!H496*90,0))</f>
        <v>0.452961672473868</v>
      </c>
      <c r="I496" s="22" t="n">
        <f aca="false">IF(B496="GK",'Player Data'!P496,IFERROR(('Player Data'!K496+'Player Data'!L496)/'Player Data'!H496*90,0))</f>
        <v>8.71080139372822</v>
      </c>
      <c r="J496" s="22" t="n">
        <f aca="false">IF(B496="GK",IFERROR('Player Data'!Q496/'Player Data'!H496*90,0),IFERROR('Player Data'!M496/'Player Data'!H496*90,0))</f>
        <v>1.32404181184669</v>
      </c>
      <c r="K496" s="23" t="n">
        <f aca="false">'Player Data'!S496</f>
        <v>129075</v>
      </c>
      <c r="L496" s="22" t="n">
        <f aca="false">INDEX(Assumptions!$B$13:$B$15,MATCH(E496,Assumptions!$A$13:$A$15,0))</f>
        <v>0.85</v>
      </c>
      <c r="M496" s="24" t="n">
        <f aca="false">IFERROR(SUMPRODUCT(($B$2:$B$1001=B496)*($H$2:$H$1001&lt;=H496))/SUMPRODUCT(($B$2:$B$1001=B496)*1),0)</f>
        <v>0.158249158249158</v>
      </c>
      <c r="N496" s="24" t="n">
        <f aca="false">IFERROR(SUMPRODUCT(($B$2:$B$1001=B496)*($I$2:$I$1001&lt;=I496))/SUMPRODUCT(($B$2:$B$1001=B496)*1),0)</f>
        <v>0.242424242424242</v>
      </c>
      <c r="O496" s="24" t="n">
        <f aca="false">IFERROR(SUMPRODUCT(($B$2:$B$1001=B496)*($J$2:$J$1001&lt;=J496))/SUMPRODUCT(($B$2:$B$1001=B496)*1),0)</f>
        <v>0.101010101010101</v>
      </c>
      <c r="P496" s="24" t="n">
        <f aca="false">IFERROR(SUMPRODUCT(($B$2:$B$1001=B496)*((0-$F$2:$F$1001)&lt;=(0-F496)))/SUMPRODUCT(($B$2:$B$1001=B496)*1),0)</f>
        <v>0.868686868686869</v>
      </c>
      <c r="Q496" s="25" t="n">
        <f aca="false">(M496*Assumptions!$B$5+N496*Assumptions!$B$6+O496*Assumptions!$B$7+P496*Assumptions!$B$8)*L496</f>
        <v>0.270597643097643</v>
      </c>
      <c r="R496" s="24" t="n">
        <f aca="false">IFERROR(SUMPRODUCT(($B$2:$B$1001=B496)*($Q$2:$Q$1001&lt;=Q496))/SUMPRODUCT(($B$2:$B$1001=B496)*1),0)</f>
        <v>0.215488215488215</v>
      </c>
      <c r="S496" s="24" t="n">
        <f aca="false">IFERROR(SUMPRODUCT(($B$2:$B$1001=B496)*($K$2:$K$1001&lt;=K496))/SUMPRODUCT(($B$2:$B$1001=B496)*1),0)</f>
        <v>0.905723905723906</v>
      </c>
      <c r="T496" s="26" t="n">
        <f aca="false">(R496-S496)*100</f>
        <v>-69.023569023569</v>
      </c>
      <c r="U496" s="21" t="str">
        <f aca="false">'Player Data'!T496</f>
        <v>Yes</v>
      </c>
      <c r="V496" s="27" t="n">
        <f aca="false">'Player Data'!U496</f>
        <v>2028</v>
      </c>
      <c r="W496" s="21" t="str">
        <f aca="false">IF(AND(T496&gt;=Assumptions!$B$19,U496="No"),"High Priority - Unrepresented",IF(T496&gt;=Assumptions!$B$19,"High Priority",IF(AND(T496&gt;=Assumptions!$B$20,U496="No"),"Watchlist - Unrepresented",IF(T496&gt;=Assumptions!$B$20,"Watchlist",""))))</f>
        <v/>
      </c>
      <c r="X496" s="21" t="str">
        <f aca="false">'Player Data'!V496</f>
        <v>info@santacruzwanderers.bo</v>
      </c>
      <c r="Y496" s="28" t="str">
        <f aca="false">'Player Data'!W496</f>
        <v>Go through the player's agent - ask the club to confirm representation first</v>
      </c>
      <c r="Z496" s="28" t="str">
        <f aca="false">'Player Data'!X496</f>
        <v>FBF (Bolivian Football Federation) player registry</v>
      </c>
      <c r="AA496" s="19" t="str">
        <f aca="false">HYPERLINK("https://www.transfermarkt.com/schnellsuche/ergebnis/schnellsuche?query="&amp;SUBSTITUTE(A496," ","+"),"Search Transfermarkt")</f>
        <v>Search Transfermarkt</v>
      </c>
      <c r="AB496" s="29" t="n">
        <f aca="false">IFERROR('Player Data'!K496/('Player Data'!K496+'Player Data'!L496),0)</f>
        <v>0.652</v>
      </c>
      <c r="AC496" s="21" t="str">
        <f aca="false">IF(B496="GK",IF(AND(O496&gt;=Assumptions!$B$23,N496&gt;=Assumptions!$B$23),"Sweeper-Keeper / Build-from-the-Back",IF(O496&gt;=Assumptions!$B$23,"Sweeper-Keeper / High Line",IF(M496&gt;=Assumptions!$B$23,"Shot-Stopper / Traditional","Flexible / Multi-System"))),IF(AND(O496&gt;=Assumptions!$B$23,P496&gt;=Assumptions!$B$24),"High Press / Gegenpressing",IF(AND(N496&gt;=Assumptions!$B$23,AB496&gt;=Assumptions!$B$25),"Possession / Build-from-the-Back",IF(N496&gt;=Assumptions!$B$23,"Counter-Attack / Transition",IF(AND(O496&gt;=Assumptions!$B$23,N496&lt;Assumptions!$B$26),"Low Block / Park the Bus",IF(AND(B496="FW",M496&gt;=Assumptions!$B$23,N496&lt;Assumptions!$B$26),"Direct / Target Approach","Flexible / Multi-System"))))))</f>
        <v>Flexible / Multi-System</v>
      </c>
      <c r="AD496" s="21" t="str">
        <f aca="false">'Player Data'!Y496</f>
        <v>2026-07-17</v>
      </c>
      <c r="AE496" s="21" t="str">
        <f aca="false">'Player Data'!Z496</f>
        <v>2026-07-17</v>
      </c>
      <c r="AF496" s="28" t="str">
        <f aca="false">IFERROR(INDEX(Assumptions!$B$30:$B$61,MATCH(C496,Assumptions!$A$30:$A$61,0)),"--")</f>
        <v>Argentina, Portugal</v>
      </c>
      <c r="AG496" s="30" t="str">
        <f aca="false">IF(R496&gt;=0.7,"Step-Up Candidate",IF(R496&gt;=0.4,"Lateral Move","Stay &amp; Develop"))</f>
        <v>Stay &amp; Develop</v>
      </c>
    </row>
    <row r="497" customFormat="false" ht="23.85" hidden="false" customHeight="false" outlineLevel="0" collapsed="false">
      <c r="A497" s="21" t="str">
        <f aca="false">'Player Data'!A497</f>
        <v>Vladimir Krstic</v>
      </c>
      <c r="B497" s="21" t="str">
        <f aca="false">'Player Data'!F497</f>
        <v>GK</v>
      </c>
      <c r="C497" s="21" t="str">
        <f aca="false">'Player Data'!B497</f>
        <v>Serbia</v>
      </c>
      <c r="D497" s="21" t="str">
        <f aca="false">'Player Data'!C497</f>
        <v>Serbia Second Division - East</v>
      </c>
      <c r="E497" s="21" t="n">
        <f aca="false">'Player Data'!D497</f>
        <v>3</v>
      </c>
      <c r="F497" s="21" t="n">
        <f aca="false">'Player Data'!G497</f>
        <v>21</v>
      </c>
      <c r="G497" s="21" t="n">
        <f aca="false">'Player Data'!H497</f>
        <v>2559</v>
      </c>
      <c r="H497" s="22" t="n">
        <f aca="false">IF(B497="GK",IFERROR(('Player Data'!N497-1.5*'Player Data'!O497)/'Player Data'!H497*90,0),IFERROR(('Player Data'!I497+'Player Data'!J497)/'Player Data'!H497*90,0))</f>
        <v>1.84642438452521</v>
      </c>
      <c r="I497" s="22" t="n">
        <f aca="false">IF(B497="GK",'Player Data'!P497,IFERROR(('Player Data'!K497+'Player Data'!L497)/'Player Data'!H497*90,0))</f>
        <v>60.5</v>
      </c>
      <c r="J497" s="22" t="n">
        <f aca="false">IF(B497="GK",IFERROR('Player Data'!Q497/'Player Data'!H497*90,0),IFERROR('Player Data'!M497/'Player Data'!H497*90,0))</f>
        <v>0.678780773739742</v>
      </c>
      <c r="K497" s="23" t="n">
        <f aca="false">'Player Data'!S497</f>
        <v>0</v>
      </c>
      <c r="L497" s="22" t="n">
        <f aca="false">INDEX(Assumptions!$B$13:$B$15,MATCH(E497,Assumptions!$A$13:$A$15,0))</f>
        <v>0.85</v>
      </c>
      <c r="M497" s="24" t="n">
        <f aca="false">IFERROR(SUMPRODUCT(($B$2:$B$1001=B497)*($H$2:$H$1001&lt;=H497))/SUMPRODUCT(($B$2:$B$1001=B497)*1),0)</f>
        <v>0.830601092896175</v>
      </c>
      <c r="N497" s="24" t="n">
        <f aca="false">IFERROR(SUMPRODUCT(($B$2:$B$1001=B497)*($I$2:$I$1001&lt;=I497))/SUMPRODUCT(($B$2:$B$1001=B497)*1),0)</f>
        <v>0.191256830601093</v>
      </c>
      <c r="O497" s="24" t="n">
        <f aca="false">IFERROR(SUMPRODUCT(($B$2:$B$1001=B497)*($J$2:$J$1001&lt;=J497))/SUMPRODUCT(($B$2:$B$1001=B497)*1),0)</f>
        <v>0.349726775956284</v>
      </c>
      <c r="P497" s="24" t="n">
        <f aca="false">IFERROR(SUMPRODUCT(($B$2:$B$1001=B497)*((0-$F$2:$F$1001)&lt;=(0-F497)))/SUMPRODUCT(($B$2:$B$1001=B497)*1),0)</f>
        <v>0.60655737704918</v>
      </c>
      <c r="Q497" s="25" t="n">
        <f aca="false">(M497*Assumptions!$B$5+N497*Assumptions!$B$6+O497*Assumptions!$B$7+P497*Assumptions!$B$8)*L497</f>
        <v>0.395969945355191</v>
      </c>
      <c r="R497" s="24" t="n">
        <f aca="false">IFERROR(SUMPRODUCT(($B$2:$B$1001=B497)*($Q$2:$Q$1001&lt;=Q497))/SUMPRODUCT(($B$2:$B$1001=B497)*1),0)</f>
        <v>0.349726775956284</v>
      </c>
      <c r="S497" s="24" t="n">
        <f aca="false">IFERROR(SUMPRODUCT(($B$2:$B$1001=B497)*($K$2:$K$1001&lt;=K497))/SUMPRODUCT(($B$2:$B$1001=B497)*1),0)</f>
        <v>0.218579234972678</v>
      </c>
      <c r="T497" s="26" t="n">
        <f aca="false">(R497-S497)*100</f>
        <v>13.1147540983607</v>
      </c>
      <c r="U497" s="21" t="str">
        <f aca="false">'Player Data'!T497</f>
        <v>No</v>
      </c>
      <c r="V497" s="27" t="n">
        <f aca="false">'Player Data'!U497</f>
        <v>2027</v>
      </c>
      <c r="W497" s="21" t="str">
        <f aca="false">IF(AND(T497&gt;=Assumptions!$B$19,U497="No"),"High Priority - Unrepresented",IF(T497&gt;=Assumptions!$B$19,"High Priority",IF(AND(T497&gt;=Assumptions!$B$20,U497="No"),"Watchlist - Unrepresented",IF(T497&gt;=Assumptions!$B$20,"Watchlist",""))))</f>
        <v/>
      </c>
      <c r="X497" s="21" t="str">
        <f aca="false">'Player Data'!V497</f>
        <v>info@cacakathletic.rs</v>
      </c>
      <c r="Y497" s="28" t="str">
        <f aca="false">'Player Data'!W497</f>
        <v>Club sporting director / first-team office</v>
      </c>
      <c r="Z497" s="28" t="str">
        <f aca="false">'Player Data'!X497</f>
        <v>FSS (Football Association of Serbia) player registry</v>
      </c>
      <c r="AA497" s="19" t="str">
        <f aca="false">HYPERLINK("https://www.transfermarkt.com/schnellsuche/ergebnis/schnellsuche?query="&amp;SUBSTITUTE(A497," ","+"),"Search Transfermarkt")</f>
        <v>Search Transfermarkt</v>
      </c>
      <c r="AB497" s="29" t="n">
        <f aca="false">IFERROR('Player Data'!K497/('Player Data'!K497+'Player Data'!L497),0)</f>
        <v>0.857142857142857</v>
      </c>
      <c r="AC497" s="21" t="str">
        <f aca="false">IF(B497="GK",IF(AND(O497&gt;=Assumptions!$B$23,N497&gt;=Assumptions!$B$23),"Sweeper-Keeper / Build-from-the-Back",IF(O497&gt;=Assumptions!$B$23,"Sweeper-Keeper / High Line",IF(M497&gt;=Assumptions!$B$23,"Shot-Stopper / Traditional","Flexible / Multi-System"))),IF(AND(O497&gt;=Assumptions!$B$23,P497&gt;=Assumptions!$B$24),"High Press / Gegenpressing",IF(AND(N497&gt;=Assumptions!$B$23,AB497&gt;=Assumptions!$B$25),"Possession / Build-from-the-Back",IF(N497&gt;=Assumptions!$B$23,"Counter-Attack / Transition",IF(AND(O497&gt;=Assumptions!$B$23,N497&lt;Assumptions!$B$26),"Low Block / Park the Bus",IF(AND(B497="FW",M497&gt;=Assumptions!$B$23,N497&lt;Assumptions!$B$26),"Direct / Target Approach","Flexible / Multi-System"))))))</f>
        <v>Shot-Stopper / Traditional</v>
      </c>
      <c r="AD497" s="21" t="str">
        <f aca="false">'Player Data'!Y497</f>
        <v>2026-07-17</v>
      </c>
      <c r="AE497" s="21" t="str">
        <f aca="false">'Player Data'!Z497</f>
        <v>2026-07-17</v>
      </c>
      <c r="AF497" s="28" t="str">
        <f aca="false">IFERROR(INDEX(Assumptions!$B$30:$B$61,MATCH(C497,Assumptions!$A$30:$A$61,0)),"--")</f>
        <v>Austria, Turkey</v>
      </c>
      <c r="AG497" s="30" t="str">
        <f aca="false">IF(R497&gt;=0.7,"Step-Up Candidate",IF(R497&gt;=0.4,"Lateral Move","Stay &amp; Develop"))</f>
        <v>Stay &amp; Develop</v>
      </c>
    </row>
    <row r="498" customFormat="false" ht="23.85" hidden="false" customHeight="false" outlineLevel="0" collapsed="false">
      <c r="A498" s="21" t="str">
        <f aca="false">'Player Data'!A498</f>
        <v>Serge Kone</v>
      </c>
      <c r="B498" s="21" t="str">
        <f aca="false">'Player Data'!F498</f>
        <v>DF</v>
      </c>
      <c r="C498" s="21" t="str">
        <f aca="false">'Player Data'!B498</f>
        <v>Ivory Coast</v>
      </c>
      <c r="D498" s="21" t="str">
        <f aca="false">'Player Data'!C498</f>
        <v>Ivory Coast Second Division</v>
      </c>
      <c r="E498" s="21" t="n">
        <f aca="false">'Player Data'!D498</f>
        <v>2</v>
      </c>
      <c r="F498" s="21" t="n">
        <f aca="false">'Player Data'!G498</f>
        <v>23</v>
      </c>
      <c r="G498" s="21" t="n">
        <f aca="false">'Player Data'!H498</f>
        <v>1493</v>
      </c>
      <c r="H498" s="22" t="n">
        <f aca="false">IF(B498="GK",IFERROR(('Player Data'!N498-1.5*'Player Data'!O498)/'Player Data'!H498*90,0),IFERROR(('Player Data'!I498+'Player Data'!J498)/'Player Data'!H498*90,0))</f>
        <v>0.0602813127930342</v>
      </c>
      <c r="I498" s="22" t="n">
        <f aca="false">IF(B498="GK",'Player Data'!P498,IFERROR(('Player Data'!K498+'Player Data'!L498)/'Player Data'!H498*90,0))</f>
        <v>4.5813797722706</v>
      </c>
      <c r="J498" s="22" t="n">
        <f aca="false">IF(B498="GK",IFERROR('Player Data'!Q498/'Player Data'!H498*90,0),IFERROR('Player Data'!M498/'Player Data'!H498*90,0))</f>
        <v>5.60616208975218</v>
      </c>
      <c r="K498" s="23" t="n">
        <f aca="false">'Player Data'!S498</f>
        <v>63000</v>
      </c>
      <c r="L498" s="22" t="n">
        <f aca="false">INDEX(Assumptions!$B$13:$B$15,MATCH(E498,Assumptions!$A$13:$A$15,0))</f>
        <v>1</v>
      </c>
      <c r="M498" s="24" t="n">
        <f aca="false">IFERROR(SUMPRODUCT(($B$2:$B$1001=B498)*($H$2:$H$1001&lt;=H498))/SUMPRODUCT(($B$2:$B$1001=B498)*1),0)</f>
        <v>0.0850340136054422</v>
      </c>
      <c r="N498" s="24" t="n">
        <f aca="false">IFERROR(SUMPRODUCT(($B$2:$B$1001=B498)*($I$2:$I$1001&lt;=I498))/SUMPRODUCT(($B$2:$B$1001=B498)*1),0)</f>
        <v>0.523809523809524</v>
      </c>
      <c r="O498" s="24" t="n">
        <f aca="false">IFERROR(SUMPRODUCT(($B$2:$B$1001=B498)*($J$2:$J$1001&lt;=J498))/SUMPRODUCT(($B$2:$B$1001=B498)*1),0)</f>
        <v>0.540816326530612</v>
      </c>
      <c r="P498" s="24" t="n">
        <f aca="false">IFERROR(SUMPRODUCT(($B$2:$B$1001=B498)*((0-$F$2:$F$1001)&lt;=(0-F498)))/SUMPRODUCT(($B$2:$B$1001=B498)*1),0)</f>
        <v>0.374149659863946</v>
      </c>
      <c r="Q498" s="25" t="n">
        <f aca="false">(M498*Assumptions!$B$5+N498*Assumptions!$B$6+O498*Assumptions!$B$7+P498*Assumptions!$B$8)*L498</f>
        <v>0.387585034013606</v>
      </c>
      <c r="R498" s="24" t="n">
        <f aca="false">IFERROR(SUMPRODUCT(($B$2:$B$1001=B498)*($Q$2:$Q$1001&lt;=Q498))/SUMPRODUCT(($B$2:$B$1001=B498)*1),0)</f>
        <v>0.428571428571429</v>
      </c>
      <c r="S498" s="24" t="n">
        <f aca="false">IFERROR(SUMPRODUCT(($B$2:$B$1001=B498)*($K$2:$K$1001&lt;=K498))/SUMPRODUCT(($B$2:$B$1001=B498)*1),0)</f>
        <v>0.5</v>
      </c>
      <c r="T498" s="26" t="n">
        <f aca="false">(R498-S498)*100</f>
        <v>-7.14285714285715</v>
      </c>
      <c r="U498" s="21" t="str">
        <f aca="false">'Player Data'!T498</f>
        <v>No</v>
      </c>
      <c r="V498" s="27" t="n">
        <f aca="false">'Player Data'!U498</f>
        <v>2027</v>
      </c>
      <c r="W498" s="21" t="str">
        <f aca="false">IF(AND(T498&gt;=Assumptions!$B$19,U498="No"),"High Priority - Unrepresented",IF(T498&gt;=Assumptions!$B$19,"High Priority",IF(AND(T498&gt;=Assumptions!$B$20,U498="No"),"Watchlist - Unrepresented",IF(T498&gt;=Assumptions!$B$20,"Watchlist",""))))</f>
        <v/>
      </c>
      <c r="X498" s="21" t="str">
        <f aca="false">'Player Data'!V498</f>
        <v>info@abidjanwanderers.ci</v>
      </c>
      <c r="Y498" s="28" t="str">
        <f aca="false">'Player Data'!W498</f>
        <v>Club sporting director / first-team office</v>
      </c>
      <c r="Z498" s="28" t="str">
        <f aca="false">'Player Data'!X498</f>
        <v>FIF (Ivorian Football Federation) player registry</v>
      </c>
      <c r="AA498" s="19" t="str">
        <f aca="false">HYPERLINK("https://www.transfermarkt.com/schnellsuche/ergebnis/schnellsuche?query="&amp;SUBSTITUTE(A498," ","+"),"Search Transfermarkt")</f>
        <v>Search Transfermarkt</v>
      </c>
      <c r="AB498" s="29" t="n">
        <f aca="false">IFERROR('Player Data'!K498/('Player Data'!K498+'Player Data'!L498),0)</f>
        <v>0.631578947368421</v>
      </c>
      <c r="AC498" s="21" t="str">
        <f aca="false">IF(B498="GK",IF(AND(O498&gt;=Assumptions!$B$23,N498&gt;=Assumptions!$B$23),"Sweeper-Keeper / Build-from-the-Back",IF(O498&gt;=Assumptions!$B$23,"Sweeper-Keeper / High Line",IF(M498&gt;=Assumptions!$B$23,"Shot-Stopper / Traditional","Flexible / Multi-System"))),IF(AND(O498&gt;=Assumptions!$B$23,P498&gt;=Assumptions!$B$24),"High Press / Gegenpressing",IF(AND(N498&gt;=Assumptions!$B$23,AB498&gt;=Assumptions!$B$25),"Possession / Build-from-the-Back",IF(N498&gt;=Assumptions!$B$23,"Counter-Attack / Transition",IF(AND(O498&gt;=Assumptions!$B$23,N498&lt;Assumptions!$B$26),"Low Block / Park the Bus",IF(AND(B498="FW",M498&gt;=Assumptions!$B$23,N498&lt;Assumptions!$B$26),"Direct / Target Approach","Flexible / Multi-System"))))))</f>
        <v>Flexible / Multi-System</v>
      </c>
      <c r="AD498" s="21" t="str">
        <f aca="false">'Player Data'!Y498</f>
        <v>2026-07-17</v>
      </c>
      <c r="AE498" s="21" t="str">
        <f aca="false">'Player Data'!Z498</f>
        <v>2026-07-17</v>
      </c>
      <c r="AF498" s="28" t="str">
        <f aca="false">IFERROR(INDEX(Assumptions!$B$30:$B$61,MATCH(C498,Assumptions!$A$30:$A$61,0)),"--")</f>
        <v>Belgium, Portugal</v>
      </c>
      <c r="AG498" s="30" t="str">
        <f aca="false">IF(R498&gt;=0.7,"Step-Up Candidate",IF(R498&gt;=0.4,"Lateral Move","Stay &amp; Develop"))</f>
        <v>Lateral Move</v>
      </c>
    </row>
    <row r="499" customFormat="false" ht="23.85" hidden="false" customHeight="false" outlineLevel="0" collapsed="false">
      <c r="A499" s="21" t="str">
        <f aca="false">'Player Data'!A499</f>
        <v>Luis Morales</v>
      </c>
      <c r="B499" s="21" t="str">
        <f aca="false">'Player Data'!F499</f>
        <v>MF</v>
      </c>
      <c r="C499" s="21" t="str">
        <f aca="false">'Player Data'!B499</f>
        <v>Costa Rica</v>
      </c>
      <c r="D499" s="21" t="str">
        <f aca="false">'Player Data'!C499</f>
        <v>Costa Rica Third Tier - North</v>
      </c>
      <c r="E499" s="21" t="n">
        <f aca="false">'Player Data'!D499</f>
        <v>2</v>
      </c>
      <c r="F499" s="21" t="n">
        <f aca="false">'Player Data'!G499</f>
        <v>20</v>
      </c>
      <c r="G499" s="21" t="n">
        <f aca="false">'Player Data'!H499</f>
        <v>2259</v>
      </c>
      <c r="H499" s="22" t="n">
        <f aca="false">IF(B499="GK",IFERROR(('Player Data'!N499-1.5*'Player Data'!O499)/'Player Data'!H499*90,0),IFERROR(('Player Data'!I499+'Player Data'!J499)/'Player Data'!H499*90,0))</f>
        <v>0.677290836653386</v>
      </c>
      <c r="I499" s="22" t="n">
        <f aca="false">IF(B499="GK",'Player Data'!P499,IFERROR(('Player Data'!K499+'Player Data'!L499)/'Player Data'!H499*90,0))</f>
        <v>8.68525896414343</v>
      </c>
      <c r="J499" s="22" t="n">
        <f aca="false">IF(B499="GK",IFERROR('Player Data'!Q499/'Player Data'!H499*90,0),IFERROR('Player Data'!M499/'Player Data'!H499*90,0))</f>
        <v>2.23107569721116</v>
      </c>
      <c r="K499" s="23" t="n">
        <f aca="false">'Player Data'!S499</f>
        <v>0</v>
      </c>
      <c r="L499" s="22" t="n">
        <f aca="false">INDEX(Assumptions!$B$13:$B$15,MATCH(E499,Assumptions!$A$13:$A$15,0))</f>
        <v>1</v>
      </c>
      <c r="M499" s="24" t="n">
        <f aca="false">IFERROR(SUMPRODUCT(($B$2:$B$1001=B499)*($H$2:$H$1001&lt;=H499))/SUMPRODUCT(($B$2:$B$1001=B499)*1),0)</f>
        <v>0.430976430976431</v>
      </c>
      <c r="N499" s="24" t="n">
        <f aca="false">IFERROR(SUMPRODUCT(($B$2:$B$1001=B499)*($I$2:$I$1001&lt;=I499))/SUMPRODUCT(($B$2:$B$1001=B499)*1),0)</f>
        <v>0.228956228956229</v>
      </c>
      <c r="O499" s="24" t="n">
        <f aca="false">IFERROR(SUMPRODUCT(($B$2:$B$1001=B499)*($J$2:$J$1001&lt;=J499))/SUMPRODUCT(($B$2:$B$1001=B499)*1),0)</f>
        <v>0.518518518518519</v>
      </c>
      <c r="P499" s="24" t="n">
        <f aca="false">IFERROR(SUMPRODUCT(($B$2:$B$1001=B499)*((0-$F$2:$F$1001)&lt;=(0-F499)))/SUMPRODUCT(($B$2:$B$1001=B499)*1),0)</f>
        <v>0.734006734006734</v>
      </c>
      <c r="Q499" s="25" t="n">
        <f aca="false">(M499*Assumptions!$B$5+N499*Assumptions!$B$6+O499*Assumptions!$B$7+P499*Assumptions!$B$8)*L499</f>
        <v>0.438383838383838</v>
      </c>
      <c r="R499" s="24" t="n">
        <f aca="false">IFERROR(SUMPRODUCT(($B$2:$B$1001=B499)*($Q$2:$Q$1001&lt;=Q499))/SUMPRODUCT(($B$2:$B$1001=B499)*1),0)</f>
        <v>0.501683501683502</v>
      </c>
      <c r="S499" s="24" t="n">
        <f aca="false">IFERROR(SUMPRODUCT(($B$2:$B$1001=B499)*($K$2:$K$1001&lt;=K499))/SUMPRODUCT(($B$2:$B$1001=B499)*1),0)</f>
        <v>0.228956228956229</v>
      </c>
      <c r="T499" s="26" t="n">
        <f aca="false">(R499-S499)*100</f>
        <v>27.2727272727273</v>
      </c>
      <c r="U499" s="21" t="str">
        <f aca="false">'Player Data'!T499</f>
        <v>Unknown</v>
      </c>
      <c r="V499" s="27" t="n">
        <f aca="false">'Player Data'!U499</f>
        <v>2029</v>
      </c>
      <c r="W499" s="21" t="str">
        <f aca="false">IF(AND(T499&gt;=Assumptions!$B$19,U499="No"),"High Priority - Unrepresented",IF(T499&gt;=Assumptions!$B$19,"High Priority",IF(AND(T499&gt;=Assumptions!$B$20,U499="No"),"Watchlist - Unrepresented",IF(T499&gt;=Assumptions!$B$20,"Watchlist",""))))</f>
        <v>Watchlist</v>
      </c>
      <c r="X499" s="21" t="str">
        <f aca="false">'Player Data'!V499</f>
        <v>info@herediatown.cr</v>
      </c>
      <c r="Y499" s="28" t="str">
        <f aca="false">'Player Data'!W499</f>
        <v>Club sporting director / first-team office</v>
      </c>
      <c r="Z499" s="28" t="str">
        <f aca="false">'Player Data'!X499</f>
        <v>FEDEFUTBOL (Costa Rican Football Federation) player registry</v>
      </c>
      <c r="AA499" s="19" t="str">
        <f aca="false">HYPERLINK("https://www.transfermarkt.com/schnellsuche/ergebnis/schnellsuche?query="&amp;SUBSTITUTE(A499," ","+"),"Search Transfermarkt")</f>
        <v>Search Transfermarkt</v>
      </c>
      <c r="AB499" s="29" t="n">
        <f aca="false">IFERROR('Player Data'!K499/('Player Data'!K499+'Player Data'!L499),0)</f>
        <v>0.68348623853211</v>
      </c>
      <c r="AC499" s="21" t="str">
        <f aca="false">IF(B499="GK",IF(AND(O499&gt;=Assumptions!$B$23,N499&gt;=Assumptions!$B$23),"Sweeper-Keeper / Build-from-the-Back",IF(O499&gt;=Assumptions!$B$23,"Sweeper-Keeper / High Line",IF(M499&gt;=Assumptions!$B$23,"Shot-Stopper / Traditional","Flexible / Multi-System"))),IF(AND(O499&gt;=Assumptions!$B$23,P499&gt;=Assumptions!$B$24),"High Press / Gegenpressing",IF(AND(N499&gt;=Assumptions!$B$23,AB499&gt;=Assumptions!$B$25),"Possession / Build-from-the-Back",IF(N499&gt;=Assumptions!$B$23,"Counter-Attack / Transition",IF(AND(O499&gt;=Assumptions!$B$23,N499&lt;Assumptions!$B$26),"Low Block / Park the Bus",IF(AND(B499="FW",M499&gt;=Assumptions!$B$23,N499&lt;Assumptions!$B$26),"Direct / Target Approach","Flexible / Multi-System"))))))</f>
        <v>Flexible / Multi-System</v>
      </c>
      <c r="AD499" s="21" t="str">
        <f aca="false">'Player Data'!Y499</f>
        <v>2026-07-17</v>
      </c>
      <c r="AE499" s="21" t="str">
        <f aca="false">'Player Data'!Z499</f>
        <v>2026-07-17</v>
      </c>
      <c r="AF499" s="28" t="str">
        <f aca="false">IFERROR(INDEX(Assumptions!$B$30:$B$61,MATCH(C499,Assumptions!$A$30:$A$61,0)),"--")</f>
        <v>Mexico, United States</v>
      </c>
      <c r="AG499" s="30" t="str">
        <f aca="false">IF(R499&gt;=0.7,"Step-Up Candidate",IF(R499&gt;=0.4,"Lateral Move","Stay &amp; Develop"))</f>
        <v>Lateral Move</v>
      </c>
    </row>
    <row r="500" customFormat="false" ht="23.85" hidden="false" customHeight="false" outlineLevel="0" collapsed="false">
      <c r="A500" s="21" t="str">
        <f aca="false">'Player Data'!A500</f>
        <v>Oumar Sidibe</v>
      </c>
      <c r="B500" s="21" t="str">
        <f aca="false">'Player Data'!F500</f>
        <v>MF</v>
      </c>
      <c r="C500" s="21" t="str">
        <f aca="false">'Player Data'!B500</f>
        <v>Mali</v>
      </c>
      <c r="D500" s="21" t="str">
        <f aca="false">'Player Data'!C500</f>
        <v>Mali Third Tier - South</v>
      </c>
      <c r="E500" s="21" t="n">
        <f aca="false">'Player Data'!D500</f>
        <v>2</v>
      </c>
      <c r="F500" s="21" t="n">
        <f aca="false">'Player Data'!G500</f>
        <v>20</v>
      </c>
      <c r="G500" s="21" t="n">
        <f aca="false">'Player Data'!H500</f>
        <v>2091</v>
      </c>
      <c r="H500" s="22" t="n">
        <f aca="false">IF(B500="GK",IFERROR(('Player Data'!N500-1.5*'Player Data'!O500)/'Player Data'!H500*90,0),IFERROR(('Player Data'!I500+'Player Data'!J500)/'Player Data'!H500*90,0))</f>
        <v>0.473457675753228</v>
      </c>
      <c r="I500" s="22" t="n">
        <f aca="false">IF(B500="GK",'Player Data'!P500,IFERROR(('Player Data'!K500+'Player Data'!L500)/'Player Data'!H500*90,0))</f>
        <v>8.95265423242468</v>
      </c>
      <c r="J500" s="22" t="n">
        <f aca="false">IF(B500="GK",IFERROR('Player Data'!Q500/'Player Data'!H500*90,0),IFERROR('Player Data'!M500/'Player Data'!H500*90,0))</f>
        <v>1.37733142037303</v>
      </c>
      <c r="K500" s="23" t="n">
        <f aca="false">'Player Data'!S500</f>
        <v>27195</v>
      </c>
      <c r="L500" s="22" t="n">
        <f aca="false">INDEX(Assumptions!$B$13:$B$15,MATCH(E500,Assumptions!$A$13:$A$15,0))</f>
        <v>1</v>
      </c>
      <c r="M500" s="24" t="n">
        <f aca="false">IFERROR(SUMPRODUCT(($B$2:$B$1001=B500)*($H$2:$H$1001&lt;=H500))/SUMPRODUCT(($B$2:$B$1001=B500)*1),0)</f>
        <v>0.185185185185185</v>
      </c>
      <c r="N500" s="24" t="n">
        <f aca="false">IFERROR(SUMPRODUCT(($B$2:$B$1001=B500)*($I$2:$I$1001&lt;=I500))/SUMPRODUCT(($B$2:$B$1001=B500)*1),0)</f>
        <v>0.272727272727273</v>
      </c>
      <c r="O500" s="24" t="n">
        <f aca="false">IFERROR(SUMPRODUCT(($B$2:$B$1001=B500)*($J$2:$J$1001&lt;=J500))/SUMPRODUCT(($B$2:$B$1001=B500)*1),0)</f>
        <v>0.131313131313131</v>
      </c>
      <c r="P500" s="24" t="n">
        <f aca="false">IFERROR(SUMPRODUCT(($B$2:$B$1001=B500)*((0-$F$2:$F$1001)&lt;=(0-F500)))/SUMPRODUCT(($B$2:$B$1001=B500)*1),0)</f>
        <v>0.734006734006734</v>
      </c>
      <c r="Q500" s="25" t="n">
        <f aca="false">(M500*Assumptions!$B$5+N500*Assumptions!$B$6+O500*Assumptions!$B$7+P500*Assumptions!$B$8)*L500</f>
        <v>0.314814814814815</v>
      </c>
      <c r="R500" s="24" t="n">
        <f aca="false">IFERROR(SUMPRODUCT(($B$2:$B$1001=B500)*($Q$2:$Q$1001&lt;=Q500))/SUMPRODUCT(($B$2:$B$1001=B500)*1),0)</f>
        <v>0.272727272727273</v>
      </c>
      <c r="S500" s="24" t="n">
        <f aca="false">IFERROR(SUMPRODUCT(($B$2:$B$1001=B500)*($K$2:$K$1001&lt;=K500))/SUMPRODUCT(($B$2:$B$1001=B500)*1),0)</f>
        <v>0.303030303030303</v>
      </c>
      <c r="T500" s="26" t="n">
        <f aca="false">(R500-S500)*100</f>
        <v>-3.03030303030303</v>
      </c>
      <c r="U500" s="21" t="str">
        <f aca="false">'Player Data'!T500</f>
        <v>No</v>
      </c>
      <c r="V500" s="27" t="n">
        <f aca="false">'Player Data'!U500</f>
        <v>2029</v>
      </c>
      <c r="W500" s="21" t="str">
        <f aca="false">IF(AND(T500&gt;=Assumptions!$B$19,U500="No"),"High Priority - Unrepresented",IF(T500&gt;=Assumptions!$B$19,"High Priority",IF(AND(T500&gt;=Assumptions!$B$20,U500="No"),"Watchlist - Unrepresented",IF(T500&gt;=Assumptions!$B$20,"Watchlist",""))))</f>
        <v/>
      </c>
      <c r="X500" s="21" t="str">
        <f aca="false">'Player Data'!V500</f>
        <v>info@sikassosc.ml</v>
      </c>
      <c r="Y500" s="28" t="str">
        <f aca="false">'Player Data'!W500</f>
        <v>Club sporting director / first-team office</v>
      </c>
      <c r="Z500" s="28" t="str">
        <f aca="false">'Player Data'!X500</f>
        <v>FEMAFOOT (Malian Football Federation) player registry</v>
      </c>
      <c r="AA500" s="19" t="str">
        <f aca="false">HYPERLINK("https://www.transfermarkt.com/schnellsuche/ergebnis/schnellsuche?query="&amp;SUBSTITUTE(A500," ","+"),"Search Transfermarkt")</f>
        <v>Search Transfermarkt</v>
      </c>
      <c r="AB500" s="29" t="n">
        <f aca="false">IFERROR('Player Data'!K500/('Player Data'!K500+'Player Data'!L500),0)</f>
        <v>0.692307692307692</v>
      </c>
      <c r="AC500" s="21" t="str">
        <f aca="false">IF(B500="GK",IF(AND(O500&gt;=Assumptions!$B$23,N500&gt;=Assumptions!$B$23),"Sweeper-Keeper / Build-from-the-Back",IF(O500&gt;=Assumptions!$B$23,"Sweeper-Keeper / High Line",IF(M500&gt;=Assumptions!$B$23,"Shot-Stopper / Traditional","Flexible / Multi-System"))),IF(AND(O500&gt;=Assumptions!$B$23,P500&gt;=Assumptions!$B$24),"High Press / Gegenpressing",IF(AND(N500&gt;=Assumptions!$B$23,AB500&gt;=Assumptions!$B$25),"Possession / Build-from-the-Back",IF(N500&gt;=Assumptions!$B$23,"Counter-Attack / Transition",IF(AND(O500&gt;=Assumptions!$B$23,N500&lt;Assumptions!$B$26),"Low Block / Park the Bus",IF(AND(B500="FW",M500&gt;=Assumptions!$B$23,N500&lt;Assumptions!$B$26),"Direct / Target Approach","Flexible / Multi-System"))))))</f>
        <v>Flexible / Multi-System</v>
      </c>
      <c r="AD500" s="21" t="str">
        <f aca="false">'Player Data'!Y500</f>
        <v>2026-07-17</v>
      </c>
      <c r="AE500" s="21" t="str">
        <f aca="false">'Player Data'!Z500</f>
        <v>2026-07-17</v>
      </c>
      <c r="AF500" s="28" t="str">
        <f aca="false">IFERROR(INDEX(Assumptions!$B$30:$B$61,MATCH(C500,Assumptions!$A$30:$A$61,0)),"--")</f>
        <v>Belgium, Portugal</v>
      </c>
      <c r="AG500" s="30" t="str">
        <f aca="false">IF(R500&gt;=0.7,"Step-Up Candidate",IF(R500&gt;=0.4,"Lateral Move","Stay &amp; Develop"))</f>
        <v>Stay &amp; Develop</v>
      </c>
    </row>
    <row r="501" customFormat="false" ht="23.85" hidden="false" customHeight="false" outlineLevel="0" collapsed="false">
      <c r="A501" s="21" t="str">
        <f aca="false">'Player Data'!A501</f>
        <v>Omar Jabbar</v>
      </c>
      <c r="B501" s="21" t="str">
        <f aca="false">'Player Data'!F501</f>
        <v>DF</v>
      </c>
      <c r="C501" s="21" t="str">
        <f aca="false">'Player Data'!B501</f>
        <v>Iraq</v>
      </c>
      <c r="D501" s="21" t="str">
        <f aca="false">'Player Data'!C501</f>
        <v>Iraq Provincial League</v>
      </c>
      <c r="E501" s="21" t="n">
        <f aca="false">'Player Data'!D501</f>
        <v>3</v>
      </c>
      <c r="F501" s="21" t="n">
        <f aca="false">'Player Data'!G501</f>
        <v>18</v>
      </c>
      <c r="G501" s="21" t="n">
        <f aca="false">'Player Data'!H501</f>
        <v>1100</v>
      </c>
      <c r="H501" s="22" t="n">
        <f aca="false">IF(B501="GK",IFERROR(('Player Data'!N501-1.5*'Player Data'!O501)/'Player Data'!H501*90,0),IFERROR(('Player Data'!I501+'Player Data'!J501)/'Player Data'!H501*90,0))</f>
        <v>0.0818181818181818</v>
      </c>
      <c r="I501" s="22" t="n">
        <f aca="false">IF(B501="GK",'Player Data'!P501,IFERROR(('Player Data'!K501+'Player Data'!L501)/'Player Data'!H501*90,0))</f>
        <v>7.03636363636364</v>
      </c>
      <c r="J501" s="22" t="n">
        <f aca="false">IF(B501="GK",IFERROR('Player Data'!Q501/'Player Data'!H501*90,0),IFERROR('Player Data'!M501/'Player Data'!H501*90,0))</f>
        <v>8.18181818181818</v>
      </c>
      <c r="K501" s="23" t="n">
        <f aca="false">'Player Data'!S501</f>
        <v>19554</v>
      </c>
      <c r="L501" s="22" t="n">
        <f aca="false">INDEX(Assumptions!$B$13:$B$15,MATCH(E501,Assumptions!$A$13:$A$15,0))</f>
        <v>0.85</v>
      </c>
      <c r="M501" s="24" t="n">
        <f aca="false">IFERROR(SUMPRODUCT(($B$2:$B$1001=B501)*($H$2:$H$1001&lt;=H501))/SUMPRODUCT(($B$2:$B$1001=B501)*1),0)</f>
        <v>0.129251700680272</v>
      </c>
      <c r="N501" s="24" t="n">
        <f aca="false">IFERROR(SUMPRODUCT(($B$2:$B$1001=B501)*($I$2:$I$1001&lt;=I501))/SUMPRODUCT(($B$2:$B$1001=B501)*1),0)</f>
        <v>0.829931972789116</v>
      </c>
      <c r="O501" s="24" t="n">
        <f aca="false">IFERROR(SUMPRODUCT(($B$2:$B$1001=B501)*($J$2:$J$1001&lt;=J501))/SUMPRODUCT(($B$2:$B$1001=B501)*1),0)</f>
        <v>0.853741496598639</v>
      </c>
      <c r="P501" s="24" t="n">
        <f aca="false">IFERROR(SUMPRODUCT(($B$2:$B$1001=B501)*((0-$F$2:$F$1001)&lt;=(0-F501)))/SUMPRODUCT(($B$2:$B$1001=B501)*1),0)</f>
        <v>0.863945578231293</v>
      </c>
      <c r="Q501" s="25" t="n">
        <f aca="false">(M501*Assumptions!$B$5+N501*Assumptions!$B$6+O501*Assumptions!$B$7+P501*Assumptions!$B$8)*L501</f>
        <v>0.566377551020408</v>
      </c>
      <c r="R501" s="24" t="n">
        <f aca="false">IFERROR(SUMPRODUCT(($B$2:$B$1001=B501)*($Q$2:$Q$1001&lt;=Q501))/SUMPRODUCT(($B$2:$B$1001=B501)*1),0)</f>
        <v>0.704081632653061</v>
      </c>
      <c r="S501" s="24" t="n">
        <f aca="false">IFERROR(SUMPRODUCT(($B$2:$B$1001=B501)*($K$2:$K$1001&lt;=K501))/SUMPRODUCT(($B$2:$B$1001=B501)*1),0)</f>
        <v>0.299319727891156</v>
      </c>
      <c r="T501" s="26" t="n">
        <f aca="false">(R501-S501)*100</f>
        <v>40.4761904761905</v>
      </c>
      <c r="U501" s="21" t="str">
        <f aca="false">'Player Data'!T501</f>
        <v>No</v>
      </c>
      <c r="V501" s="27" t="n">
        <f aca="false">'Player Data'!U501</f>
        <v>2026</v>
      </c>
      <c r="W501" s="21" t="str">
        <f aca="false">IF(AND(T501&gt;=Assumptions!$B$19,U501="No"),"High Priority - Unrepresented",IF(T501&gt;=Assumptions!$B$19,"High Priority",IF(AND(T501&gt;=Assumptions!$B$20,U501="No"),"Watchlist - Unrepresented",IF(T501&gt;=Assumptions!$B$20,"Watchlist",""))))</f>
        <v>High Priority - Unrepresented</v>
      </c>
      <c r="X501" s="21" t="str">
        <f aca="false">'Player Data'!V501</f>
        <v>info@baghdadunited.iq</v>
      </c>
      <c r="Y501" s="28" t="str">
        <f aca="false">'Player Data'!W501</f>
        <v>Club sporting director / first-team office</v>
      </c>
      <c r="Z501" s="28" t="str">
        <f aca="false">'Player Data'!X501</f>
        <v>IFA (Iraq Football Association) player registry</v>
      </c>
      <c r="AA501" s="19" t="str">
        <f aca="false">HYPERLINK("https://www.transfermarkt.com/schnellsuche/ergebnis/schnellsuche?query="&amp;SUBSTITUTE(A501," ","+"),"Search Transfermarkt")</f>
        <v>Search Transfermarkt</v>
      </c>
      <c r="AB501" s="29" t="n">
        <f aca="false">IFERROR('Player Data'!K501/('Player Data'!K501+'Player Data'!L501),0)</f>
        <v>0.511627906976744</v>
      </c>
      <c r="AC501" s="21" t="str">
        <f aca="false">IF(B501="GK",IF(AND(O501&gt;=Assumptions!$B$23,N501&gt;=Assumptions!$B$23),"Sweeper-Keeper / Build-from-the-Back",IF(O501&gt;=Assumptions!$B$23,"Sweeper-Keeper / High Line",IF(M501&gt;=Assumptions!$B$23,"Shot-Stopper / Traditional","Flexible / Multi-System"))),IF(AND(O501&gt;=Assumptions!$B$23,P501&gt;=Assumptions!$B$24),"High Press / Gegenpressing",IF(AND(N501&gt;=Assumptions!$B$23,AB501&gt;=Assumptions!$B$25),"Possession / Build-from-the-Back",IF(N501&gt;=Assumptions!$B$23,"Counter-Attack / Transition",IF(AND(O501&gt;=Assumptions!$B$23,N501&lt;Assumptions!$B$26),"Low Block / Park the Bus",IF(AND(B501="FW",M501&gt;=Assumptions!$B$23,N501&lt;Assumptions!$B$26),"Direct / Target Approach","Flexible / Multi-System"))))))</f>
        <v>High Press / Gegenpressing</v>
      </c>
      <c r="AD501" s="21" t="str">
        <f aca="false">'Player Data'!Y501</f>
        <v>2026-07-17</v>
      </c>
      <c r="AE501" s="21" t="str">
        <f aca="false">'Player Data'!Z501</f>
        <v>2026-07-17</v>
      </c>
      <c r="AF501" s="28" t="str">
        <f aca="false">IFERROR(INDEX(Assumptions!$B$30:$B$61,MATCH(C501,Assumptions!$A$30:$A$61,0)),"--")</f>
        <v>Turkey, Saudi Arabia</v>
      </c>
      <c r="AG501" s="30" t="str">
        <f aca="false">IF(R501&gt;=0.7,"Step-Up Candidate",IF(R501&gt;=0.4,"Lateral Move","Stay &amp; Develop"))</f>
        <v>Step-Up Candidate</v>
      </c>
    </row>
    <row r="502" customFormat="false" ht="23.85" hidden="false" customHeight="false" outlineLevel="0" collapsed="false">
      <c r="A502" s="21" t="str">
        <f aca="false">'Player Data'!A502</f>
        <v>Patrick Fotso</v>
      </c>
      <c r="B502" s="21" t="str">
        <f aca="false">'Player Data'!F502</f>
        <v>MF</v>
      </c>
      <c r="C502" s="21" t="str">
        <f aca="false">'Player Data'!B502</f>
        <v>Cameroon</v>
      </c>
      <c r="D502" s="21" t="str">
        <f aca="false">'Player Data'!C502</f>
        <v>Cameroon Second Division - East</v>
      </c>
      <c r="E502" s="21" t="n">
        <f aca="false">'Player Data'!D502</f>
        <v>2</v>
      </c>
      <c r="F502" s="21" t="n">
        <f aca="false">'Player Data'!G502</f>
        <v>18</v>
      </c>
      <c r="G502" s="21" t="n">
        <f aca="false">'Player Data'!H502</f>
        <v>854</v>
      </c>
      <c r="H502" s="22" t="n">
        <f aca="false">IF(B502="GK",IFERROR(('Player Data'!N502-1.5*'Player Data'!O502)/'Player Data'!H502*90,0),IFERROR(('Player Data'!I502+'Player Data'!J502)/'Player Data'!H502*90,0))</f>
        <v>1.47540983606557</v>
      </c>
      <c r="I502" s="22" t="n">
        <f aca="false">IF(B502="GK",'Player Data'!P502,IFERROR(('Player Data'!K502+'Player Data'!L502)/'Player Data'!H502*90,0))</f>
        <v>25.7142857142857</v>
      </c>
      <c r="J502" s="22" t="n">
        <f aca="false">IF(B502="GK",IFERROR('Player Data'!Q502/'Player Data'!H502*90,0),IFERROR('Player Data'!M502/'Player Data'!H502*90,0))</f>
        <v>4.53161592505855</v>
      </c>
      <c r="K502" s="23" t="n">
        <f aca="false">'Player Data'!S502</f>
        <v>44718</v>
      </c>
      <c r="L502" s="22" t="n">
        <f aca="false">INDEX(Assumptions!$B$13:$B$15,MATCH(E502,Assumptions!$A$13:$A$15,0))</f>
        <v>1</v>
      </c>
      <c r="M502" s="24" t="n">
        <f aca="false">IFERROR(SUMPRODUCT(($B$2:$B$1001=B502)*($H$2:$H$1001&lt;=H502))/SUMPRODUCT(($B$2:$B$1001=B502)*1),0)</f>
        <v>0.932659932659933</v>
      </c>
      <c r="N502" s="24" t="n">
        <f aca="false">IFERROR(SUMPRODUCT(($B$2:$B$1001=B502)*($I$2:$I$1001&lt;=I502))/SUMPRODUCT(($B$2:$B$1001=B502)*1),0)</f>
        <v>0.98989898989899</v>
      </c>
      <c r="O502" s="24" t="n">
        <f aca="false">IFERROR(SUMPRODUCT(($B$2:$B$1001=B502)*($J$2:$J$1001&lt;=J502))/SUMPRODUCT(($B$2:$B$1001=B502)*1),0)</f>
        <v>0.966329966329966</v>
      </c>
      <c r="P502" s="24" t="n">
        <f aca="false">IFERROR(SUMPRODUCT(($B$2:$B$1001=B502)*((0-$F$2:$F$1001)&lt;=(0-F502)))/SUMPRODUCT(($B$2:$B$1001=B502)*1),0)</f>
        <v>0.929292929292929</v>
      </c>
      <c r="Q502" s="25" t="n">
        <f aca="false">(M502*Assumptions!$B$5+N502*Assumptions!$B$6+O502*Assumptions!$B$7+P502*Assumptions!$B$8)*L502</f>
        <v>0.958754208754209</v>
      </c>
      <c r="R502" s="24" t="n">
        <f aca="false">IFERROR(SUMPRODUCT(($B$2:$B$1001=B502)*($Q$2:$Q$1001&lt;=Q502))/SUMPRODUCT(($B$2:$B$1001=B502)*1),0)</f>
        <v>1</v>
      </c>
      <c r="S502" s="24" t="n">
        <f aca="false">IFERROR(SUMPRODUCT(($B$2:$B$1001=B502)*($K$2:$K$1001&lt;=K502))/SUMPRODUCT(($B$2:$B$1001=B502)*1),0)</f>
        <v>0.400673400673401</v>
      </c>
      <c r="T502" s="26" t="n">
        <f aca="false">(R502-S502)*100</f>
        <v>59.9326599326599</v>
      </c>
      <c r="U502" s="21" t="str">
        <f aca="false">'Player Data'!T502</f>
        <v>Unknown</v>
      </c>
      <c r="V502" s="27" t="n">
        <f aca="false">'Player Data'!U502</f>
        <v>2028</v>
      </c>
      <c r="W502" s="21" t="str">
        <f aca="false">IF(AND(T502&gt;=Assumptions!$B$19,U502="No"),"High Priority - Unrepresented",IF(T502&gt;=Assumptions!$B$19,"High Priority",IF(AND(T502&gt;=Assumptions!$B$20,U502="No"),"Watchlist - Unrepresented",IF(T502&gt;=Assumptions!$B$20,"Watchlist",""))))</f>
        <v>High Priority</v>
      </c>
      <c r="X502" s="21" t="str">
        <f aca="false">'Player Data'!V502</f>
        <v>info@yaoundecity.cm</v>
      </c>
      <c r="Y502" s="28" t="str">
        <f aca="false">'Player Data'!W502</f>
        <v>Club sporting director / first-team office</v>
      </c>
      <c r="Z502" s="28" t="str">
        <f aca="false">'Player Data'!X502</f>
        <v>FECAFOOT (Cameroonian Football Federation) player registry</v>
      </c>
      <c r="AA502" s="19" t="str">
        <f aca="false">HYPERLINK("https://www.transfermarkt.com/schnellsuche/ergebnis/schnellsuche?query="&amp;SUBSTITUTE(A502," ","+"),"Search Transfermarkt")</f>
        <v>Search Transfermarkt</v>
      </c>
      <c r="AB502" s="29" t="n">
        <f aca="false">IFERROR('Player Data'!K502/('Player Data'!K502+'Player Data'!L502),0)</f>
        <v>0.659836065573771</v>
      </c>
      <c r="AC502" s="21" t="str">
        <f aca="false">IF(B502="GK",IF(AND(O502&gt;=Assumptions!$B$23,N502&gt;=Assumptions!$B$23),"Sweeper-Keeper / Build-from-the-Back",IF(O502&gt;=Assumptions!$B$23,"Sweeper-Keeper / High Line",IF(M502&gt;=Assumptions!$B$23,"Shot-Stopper / Traditional","Flexible / Multi-System"))),IF(AND(O502&gt;=Assumptions!$B$23,P502&gt;=Assumptions!$B$24),"High Press / Gegenpressing",IF(AND(N502&gt;=Assumptions!$B$23,AB502&gt;=Assumptions!$B$25),"Possession / Build-from-the-Back",IF(N502&gt;=Assumptions!$B$23,"Counter-Attack / Transition",IF(AND(O502&gt;=Assumptions!$B$23,N502&lt;Assumptions!$B$26),"Low Block / Park the Bus",IF(AND(B502="FW",M502&gt;=Assumptions!$B$23,N502&lt;Assumptions!$B$26),"Direct / Target Approach","Flexible / Multi-System"))))))</f>
        <v>High Press / Gegenpressing</v>
      </c>
      <c r="AD502" s="21" t="str">
        <f aca="false">'Player Data'!Y502</f>
        <v>2026-07-17</v>
      </c>
      <c r="AE502" s="21" t="str">
        <f aca="false">'Player Data'!Z502</f>
        <v>2026-07-17</v>
      </c>
      <c r="AF502" s="28" t="str">
        <f aca="false">IFERROR(INDEX(Assumptions!$B$30:$B$61,MATCH(C502,Assumptions!$A$30:$A$61,0)),"--")</f>
        <v>Belgium, Portugal</v>
      </c>
      <c r="AG502" s="30" t="str">
        <f aca="false">IF(R502&gt;=0.7,"Step-Up Candidate",IF(R502&gt;=0.4,"Lateral Move","Stay &amp; Develop"))</f>
        <v>Step-Up Candidate</v>
      </c>
    </row>
    <row r="503" customFormat="false" ht="23.85" hidden="false" customHeight="false" outlineLevel="0" collapsed="false">
      <c r="A503" s="21" t="str">
        <f aca="false">'Player Data'!A503</f>
        <v>Federico Rodriguez</v>
      </c>
      <c r="B503" s="21" t="str">
        <f aca="false">'Player Data'!F503</f>
        <v>GK</v>
      </c>
      <c r="C503" s="21" t="str">
        <f aca="false">'Player Data'!B503</f>
        <v>Uruguay</v>
      </c>
      <c r="D503" s="21" t="str">
        <f aca="false">'Player Data'!C503</f>
        <v>Uruguay Second Division</v>
      </c>
      <c r="E503" s="21" t="n">
        <f aca="false">'Player Data'!D503</f>
        <v>3</v>
      </c>
      <c r="F503" s="21" t="n">
        <f aca="false">'Player Data'!G503</f>
        <v>21</v>
      </c>
      <c r="G503" s="21" t="n">
        <f aca="false">'Player Data'!H503</f>
        <v>1248</v>
      </c>
      <c r="H503" s="22" t="n">
        <f aca="false">IF(B503="GK",IFERROR(('Player Data'!N503-1.5*'Player Data'!O503)/'Player Data'!H503*90,0),IFERROR(('Player Data'!I503+'Player Data'!J503)/'Player Data'!H503*90,0))</f>
        <v>0.576923076923077</v>
      </c>
      <c r="I503" s="22" t="n">
        <f aca="false">IF(B503="GK",'Player Data'!P503,IFERROR(('Player Data'!K503+'Player Data'!L503)/'Player Data'!H503*90,0))</f>
        <v>62.5</v>
      </c>
      <c r="J503" s="22" t="n">
        <f aca="false">IF(B503="GK",IFERROR('Player Data'!Q503/'Player Data'!H503*90,0),IFERROR('Player Data'!M503/'Player Data'!H503*90,0))</f>
        <v>1.22596153846154</v>
      </c>
      <c r="K503" s="23" t="n">
        <f aca="false">'Player Data'!S503</f>
        <v>133613</v>
      </c>
      <c r="L503" s="22" t="n">
        <f aca="false">INDEX(Assumptions!$B$13:$B$15,MATCH(E503,Assumptions!$A$13:$A$15,0))</f>
        <v>0.85</v>
      </c>
      <c r="M503" s="24" t="n">
        <f aca="false">IFERROR(SUMPRODUCT(($B$2:$B$1001=B503)*($H$2:$H$1001&lt;=H503))/SUMPRODUCT(($B$2:$B$1001=B503)*1),0)</f>
        <v>0.306010928961749</v>
      </c>
      <c r="N503" s="24" t="n">
        <f aca="false">IFERROR(SUMPRODUCT(($B$2:$B$1001=B503)*($I$2:$I$1001&lt;=I503))/SUMPRODUCT(($B$2:$B$1001=B503)*1),0)</f>
        <v>0.229508196721311</v>
      </c>
      <c r="O503" s="24" t="n">
        <f aca="false">IFERROR(SUMPRODUCT(($B$2:$B$1001=B503)*($J$2:$J$1001&lt;=J503))/SUMPRODUCT(($B$2:$B$1001=B503)*1),0)</f>
        <v>0.737704918032787</v>
      </c>
      <c r="P503" s="24" t="n">
        <f aca="false">IFERROR(SUMPRODUCT(($B$2:$B$1001=B503)*((0-$F$2:$F$1001)&lt;=(0-F503)))/SUMPRODUCT(($B$2:$B$1001=B503)*1),0)</f>
        <v>0.60655737704918</v>
      </c>
      <c r="Q503" s="25" t="n">
        <f aca="false">(M503*Assumptions!$B$5+N503*Assumptions!$B$6+O503*Assumptions!$B$7+P503*Assumptions!$B$8)*L503</f>
        <v>0.361830601092896</v>
      </c>
      <c r="R503" s="24" t="n">
        <f aca="false">IFERROR(SUMPRODUCT(($B$2:$B$1001=B503)*($Q$2:$Q$1001&lt;=Q503))/SUMPRODUCT(($B$2:$B$1001=B503)*1),0)</f>
        <v>0.284153005464481</v>
      </c>
      <c r="S503" s="24" t="n">
        <f aca="false">IFERROR(SUMPRODUCT(($B$2:$B$1001=B503)*($K$2:$K$1001&lt;=K503))/SUMPRODUCT(($B$2:$B$1001=B503)*1),0)</f>
        <v>0.907103825136612</v>
      </c>
      <c r="T503" s="26" t="n">
        <f aca="false">(R503-S503)*100</f>
        <v>-62.2950819672131</v>
      </c>
      <c r="U503" s="21" t="str">
        <f aca="false">'Player Data'!T503</f>
        <v>Unknown</v>
      </c>
      <c r="V503" s="27" t="n">
        <f aca="false">'Player Data'!U503</f>
        <v>2028</v>
      </c>
      <c r="W503" s="21" t="str">
        <f aca="false">IF(AND(T503&gt;=Assumptions!$B$19,U503="No"),"High Priority - Unrepresented",IF(T503&gt;=Assumptions!$B$19,"High Priority",IF(AND(T503&gt;=Assumptions!$B$20,U503="No"),"Watchlist - Unrepresented",IF(T503&gt;=Assumptions!$B$20,"Watchlist",""))))</f>
        <v/>
      </c>
      <c r="X503" s="21" t="str">
        <f aca="false">'Player Data'!V503</f>
        <v>info@montevideofc.uy</v>
      </c>
      <c r="Y503" s="28" t="str">
        <f aca="false">'Player Data'!W503</f>
        <v>Club sporting director / first-team office</v>
      </c>
      <c r="Z503" s="28" t="str">
        <f aca="false">'Player Data'!X503</f>
        <v>AUF (Uruguayan Football Association) player registry</v>
      </c>
      <c r="AA503" s="19" t="str">
        <f aca="false">HYPERLINK("https://www.transfermarkt.com/schnellsuche/ergebnis/schnellsuche?query="&amp;SUBSTITUTE(A503," ","+"),"Search Transfermarkt")</f>
        <v>Search Transfermarkt</v>
      </c>
      <c r="AB503" s="29" t="n">
        <f aca="false">IFERROR('Player Data'!K503/('Player Data'!K503+'Player Data'!L503),0)</f>
        <v>1</v>
      </c>
      <c r="AC503" s="21" t="str">
        <f aca="false">IF(B503="GK",IF(AND(O503&gt;=Assumptions!$B$23,N503&gt;=Assumptions!$B$23),"Sweeper-Keeper / Build-from-the-Back",IF(O503&gt;=Assumptions!$B$23,"Sweeper-Keeper / High Line",IF(M503&gt;=Assumptions!$B$23,"Shot-Stopper / Traditional","Flexible / Multi-System"))),IF(AND(O503&gt;=Assumptions!$B$23,P503&gt;=Assumptions!$B$24),"High Press / Gegenpressing",IF(AND(N503&gt;=Assumptions!$B$23,AB503&gt;=Assumptions!$B$25),"Possession / Build-from-the-Back",IF(N503&gt;=Assumptions!$B$23,"Counter-Attack / Transition",IF(AND(O503&gt;=Assumptions!$B$23,N503&lt;Assumptions!$B$26),"Low Block / Park the Bus",IF(AND(B503="FW",M503&gt;=Assumptions!$B$23,N503&lt;Assumptions!$B$26),"Direct / Target Approach","Flexible / Multi-System"))))))</f>
        <v>Sweeper-Keeper / High Line</v>
      </c>
      <c r="AD503" s="21" t="str">
        <f aca="false">'Player Data'!Y503</f>
        <v>2026-07-17</v>
      </c>
      <c r="AE503" s="21" t="str">
        <f aca="false">'Player Data'!Z503</f>
        <v>2026-07-17</v>
      </c>
      <c r="AF503" s="28" t="str">
        <f aca="false">IFERROR(INDEX(Assumptions!$B$30:$B$61,MATCH(C503,Assumptions!$A$30:$A$61,0)),"--")</f>
        <v>Argentina, Portugal</v>
      </c>
      <c r="AG503" s="30" t="str">
        <f aca="false">IF(R503&gt;=0.7,"Step-Up Candidate",IF(R503&gt;=0.4,"Lateral Move","Stay &amp; Develop"))</f>
        <v>Stay &amp; Develop</v>
      </c>
    </row>
    <row r="504" customFormat="false" ht="23.85" hidden="false" customHeight="false" outlineLevel="0" collapsed="false">
      <c r="A504" s="21" t="str">
        <f aca="false">'Player Data'!A504</f>
        <v>Nejc Zupan</v>
      </c>
      <c r="B504" s="21" t="str">
        <f aca="false">'Player Data'!F504</f>
        <v>MF</v>
      </c>
      <c r="C504" s="21" t="str">
        <f aca="false">'Player Data'!B504</f>
        <v>Slovenia</v>
      </c>
      <c r="D504" s="21" t="str">
        <f aca="false">'Player Data'!C504</f>
        <v>Slovenia Second Division</v>
      </c>
      <c r="E504" s="21" t="n">
        <f aca="false">'Player Data'!D504</f>
        <v>3</v>
      </c>
      <c r="F504" s="21" t="n">
        <f aca="false">'Player Data'!G504</f>
        <v>25</v>
      </c>
      <c r="G504" s="21" t="n">
        <f aca="false">'Player Data'!H504</f>
        <v>1132</v>
      </c>
      <c r="H504" s="22" t="n">
        <f aca="false">IF(B504="GK",IFERROR(('Player Data'!N504-1.5*'Player Data'!O504)/'Player Data'!H504*90,0),IFERROR(('Player Data'!I504+'Player Data'!J504)/'Player Data'!H504*90,0))</f>
        <v>1.59010600706714</v>
      </c>
      <c r="I504" s="22" t="n">
        <f aca="false">IF(B504="GK",'Player Data'!P504,IFERROR(('Player Data'!K504+'Player Data'!L504)/'Player Data'!H504*90,0))</f>
        <v>17.4911660777385</v>
      </c>
      <c r="J504" s="22" t="n">
        <f aca="false">IF(B504="GK",IFERROR('Player Data'!Q504/'Player Data'!H504*90,0),IFERROR('Player Data'!M504/'Player Data'!H504*90,0))</f>
        <v>3.25971731448763</v>
      </c>
      <c r="K504" s="23" t="n">
        <f aca="false">'Player Data'!S504</f>
        <v>50706</v>
      </c>
      <c r="L504" s="22" t="n">
        <f aca="false">INDEX(Assumptions!$B$13:$B$15,MATCH(E504,Assumptions!$A$13:$A$15,0))</f>
        <v>0.85</v>
      </c>
      <c r="M504" s="24" t="n">
        <f aca="false">IFERROR(SUMPRODUCT(($B$2:$B$1001=B504)*($H$2:$H$1001&lt;=H504))/SUMPRODUCT(($B$2:$B$1001=B504)*1),0)</f>
        <v>0.956228956228956</v>
      </c>
      <c r="N504" s="24" t="n">
        <f aca="false">IFERROR(SUMPRODUCT(($B$2:$B$1001=B504)*($I$2:$I$1001&lt;=I504))/SUMPRODUCT(($B$2:$B$1001=B504)*1),0)</f>
        <v>0.841750841750842</v>
      </c>
      <c r="O504" s="24" t="n">
        <f aca="false">IFERROR(SUMPRODUCT(($B$2:$B$1001=B504)*($J$2:$J$1001&lt;=J504))/SUMPRODUCT(($B$2:$B$1001=B504)*1),0)</f>
        <v>0.808080808080808</v>
      </c>
      <c r="P504" s="24" t="n">
        <f aca="false">IFERROR(SUMPRODUCT(($B$2:$B$1001=B504)*((0-$F$2:$F$1001)&lt;=(0-F504)))/SUMPRODUCT(($B$2:$B$1001=B504)*1),0)</f>
        <v>0.202020202020202</v>
      </c>
      <c r="Q504" s="25" t="n">
        <f aca="false">(M504*Assumptions!$B$5+N504*Assumptions!$B$6+O504*Assumptions!$B$7+P504*Assumptions!$B$8)*L504</f>
        <v>0.6253367003367</v>
      </c>
      <c r="R504" s="24" t="n">
        <f aca="false">IFERROR(SUMPRODUCT(($B$2:$B$1001=B504)*($Q$2:$Q$1001&lt;=Q504))/SUMPRODUCT(($B$2:$B$1001=B504)*1),0)</f>
        <v>0.787878787878788</v>
      </c>
      <c r="S504" s="24" t="n">
        <f aca="false">IFERROR(SUMPRODUCT(($B$2:$B$1001=B504)*($K$2:$K$1001&lt;=K504))/SUMPRODUCT(($B$2:$B$1001=B504)*1),0)</f>
        <v>0.461279461279461</v>
      </c>
      <c r="T504" s="26" t="n">
        <f aca="false">(R504-S504)*100</f>
        <v>32.6599326599327</v>
      </c>
      <c r="U504" s="21" t="str">
        <f aca="false">'Player Data'!T504</f>
        <v>No</v>
      </c>
      <c r="V504" s="27" t="n">
        <f aca="false">'Player Data'!U504</f>
        <v>2026</v>
      </c>
      <c r="W504" s="21" t="str">
        <f aca="false">IF(AND(T504&gt;=Assumptions!$B$19,U504="No"),"High Priority - Unrepresented",IF(T504&gt;=Assumptions!$B$19,"High Priority",IF(AND(T504&gt;=Assumptions!$B$20,U504="No"),"Watchlist - Unrepresented",IF(T504&gt;=Assumptions!$B$20,"Watchlist",""))))</f>
        <v>Watchlist - Unrepresented</v>
      </c>
      <c r="X504" s="21" t="str">
        <f aca="false">'Player Data'!V504</f>
        <v>info@mariborcity.si</v>
      </c>
      <c r="Y504" s="28" t="str">
        <f aca="false">'Player Data'!W504</f>
        <v>Club sporting director / first-team office</v>
      </c>
      <c r="Z504" s="28" t="str">
        <f aca="false">'Player Data'!X504</f>
        <v>NZS (Football Association of Slovenia) player registry</v>
      </c>
      <c r="AA504" s="19" t="str">
        <f aca="false">HYPERLINK("https://www.transfermarkt.com/schnellsuche/ergebnis/schnellsuche?query="&amp;SUBSTITUTE(A504," ","+"),"Search Transfermarkt")</f>
        <v>Search Transfermarkt</v>
      </c>
      <c r="AB504" s="29" t="n">
        <f aca="false">IFERROR('Player Data'!K504/('Player Data'!K504+'Player Data'!L504),0)</f>
        <v>0.568181818181818</v>
      </c>
      <c r="AC504" s="21" t="str">
        <f aca="false">IF(B504="GK",IF(AND(O504&gt;=Assumptions!$B$23,N504&gt;=Assumptions!$B$23),"Sweeper-Keeper / Build-from-the-Back",IF(O504&gt;=Assumptions!$B$23,"Sweeper-Keeper / High Line",IF(M504&gt;=Assumptions!$B$23,"Shot-Stopper / Traditional","Flexible / Multi-System"))),IF(AND(O504&gt;=Assumptions!$B$23,P504&gt;=Assumptions!$B$24),"High Press / Gegenpressing",IF(AND(N504&gt;=Assumptions!$B$23,AB504&gt;=Assumptions!$B$25),"Possession / Build-from-the-Back",IF(N504&gt;=Assumptions!$B$23,"Counter-Attack / Transition",IF(AND(O504&gt;=Assumptions!$B$23,N504&lt;Assumptions!$B$26),"Low Block / Park the Bus",IF(AND(B504="FW",M504&gt;=Assumptions!$B$23,N504&lt;Assumptions!$B$26),"Direct / Target Approach","Flexible / Multi-System"))))))</f>
        <v>Counter-Attack / Transition</v>
      </c>
      <c r="AD504" s="21" t="str">
        <f aca="false">'Player Data'!Y504</f>
        <v>2026-07-17</v>
      </c>
      <c r="AE504" s="21" t="str">
        <f aca="false">'Player Data'!Z504</f>
        <v>2026-07-17</v>
      </c>
      <c r="AF504" s="28" t="str">
        <f aca="false">IFERROR(INDEX(Assumptions!$B$30:$B$61,MATCH(C504,Assumptions!$A$30:$A$61,0)),"--")</f>
        <v>Austria, Poland</v>
      </c>
      <c r="AG504" s="30" t="str">
        <f aca="false">IF(R504&gt;=0.7,"Step-Up Candidate",IF(R504&gt;=0.4,"Lateral Move","Stay &amp; Develop"))</f>
        <v>Step-Up Candidate</v>
      </c>
    </row>
    <row r="505" customFormat="false" ht="23.85" hidden="false" customHeight="false" outlineLevel="0" collapsed="false">
      <c r="A505" s="21" t="str">
        <f aca="false">'Player Data'!A505</f>
        <v>Kevin Quinonez</v>
      </c>
      <c r="B505" s="21" t="str">
        <f aca="false">'Player Data'!F505</f>
        <v>MF</v>
      </c>
      <c r="C505" s="21" t="str">
        <f aca="false">'Player Data'!B505</f>
        <v>Ecuador</v>
      </c>
      <c r="D505" s="21" t="str">
        <f aca="false">'Player Data'!C505</f>
        <v>Ecuador Provincial League</v>
      </c>
      <c r="E505" s="21" t="n">
        <f aca="false">'Player Data'!D505</f>
        <v>4</v>
      </c>
      <c r="F505" s="21" t="n">
        <f aca="false">'Player Data'!G505</f>
        <v>23</v>
      </c>
      <c r="G505" s="21" t="n">
        <f aca="false">'Player Data'!H505</f>
        <v>1292</v>
      </c>
      <c r="H505" s="22" t="n">
        <f aca="false">IF(B505="GK",IFERROR(('Player Data'!N505-1.5*'Player Data'!O505)/'Player Data'!H505*90,0),IFERROR(('Player Data'!I505+'Player Data'!J505)/'Player Data'!H505*90,0))</f>
        <v>1.39318885448916</v>
      </c>
      <c r="I505" s="22" t="n">
        <f aca="false">IF(B505="GK",'Player Data'!P505,IFERROR(('Player Data'!K505+'Player Data'!L505)/'Player Data'!H505*90,0))</f>
        <v>18.8777089783282</v>
      </c>
      <c r="J505" s="22" t="n">
        <f aca="false">IF(B505="GK",IFERROR('Player Data'!Q505/'Player Data'!H505*90,0),IFERROR('Player Data'!M505/'Player Data'!H505*90,0))</f>
        <v>3.90092879256966</v>
      </c>
      <c r="K505" s="23" t="n">
        <f aca="false">'Player Data'!S505</f>
        <v>46964</v>
      </c>
      <c r="L505" s="22" t="n">
        <f aca="false">INDEX(Assumptions!$B$13:$B$15,MATCH(E505,Assumptions!$A$13:$A$15,0))</f>
        <v>0.7</v>
      </c>
      <c r="M505" s="24" t="n">
        <f aca="false">IFERROR(SUMPRODUCT(($B$2:$B$1001=B505)*($H$2:$H$1001&lt;=H505))/SUMPRODUCT(($B$2:$B$1001=B505)*1),0)</f>
        <v>0.905723905723906</v>
      </c>
      <c r="N505" s="24" t="n">
        <f aca="false">IFERROR(SUMPRODUCT(($B$2:$B$1001=B505)*($I$2:$I$1001&lt;=I505))/SUMPRODUCT(($B$2:$B$1001=B505)*1),0)</f>
        <v>0.885521885521886</v>
      </c>
      <c r="O505" s="24" t="n">
        <f aca="false">IFERROR(SUMPRODUCT(($B$2:$B$1001=B505)*($J$2:$J$1001&lt;=J505))/SUMPRODUCT(($B$2:$B$1001=B505)*1),0)</f>
        <v>0.922558922558923</v>
      </c>
      <c r="P505" s="24" t="n">
        <f aca="false">IFERROR(SUMPRODUCT(($B$2:$B$1001=B505)*((0-$F$2:$F$1001)&lt;=(0-F505)))/SUMPRODUCT(($B$2:$B$1001=B505)*1),0)</f>
        <v>0.390572390572391</v>
      </c>
      <c r="Q505" s="25" t="n">
        <f aca="false">(M505*Assumptions!$B$5+N505*Assumptions!$B$6+O505*Assumptions!$B$7+P505*Assumptions!$B$8)*L505</f>
        <v>0.559292929292929</v>
      </c>
      <c r="R505" s="24" t="n">
        <f aca="false">IFERROR(SUMPRODUCT(($B$2:$B$1001=B505)*($Q$2:$Q$1001&lt;=Q505))/SUMPRODUCT(($B$2:$B$1001=B505)*1),0)</f>
        <v>0.71043771043771</v>
      </c>
      <c r="S505" s="24" t="n">
        <f aca="false">IFERROR(SUMPRODUCT(($B$2:$B$1001=B505)*($K$2:$K$1001&lt;=K505))/SUMPRODUCT(($B$2:$B$1001=B505)*1),0)</f>
        <v>0.427609427609428</v>
      </c>
      <c r="T505" s="26" t="n">
        <f aca="false">(R505-S505)*100</f>
        <v>28.2828282828283</v>
      </c>
      <c r="U505" s="21" t="str">
        <f aca="false">'Player Data'!T505</f>
        <v>Unknown</v>
      </c>
      <c r="V505" s="27" t="n">
        <f aca="false">'Player Data'!U505</f>
        <v>2026</v>
      </c>
      <c r="W505" s="21" t="str">
        <f aca="false">IF(AND(T505&gt;=Assumptions!$B$19,U505="No"),"High Priority - Unrepresented",IF(T505&gt;=Assumptions!$B$19,"High Priority",IF(AND(T505&gt;=Assumptions!$B$20,U505="No"),"Watchlist - Unrepresented",IF(T505&gt;=Assumptions!$B$20,"Watchlist",""))))</f>
        <v>Watchlist</v>
      </c>
      <c r="X505" s="21" t="str">
        <f aca="false">'Player Data'!V505</f>
        <v>info@mantaunited.ec</v>
      </c>
      <c r="Y505" s="28" t="str">
        <f aca="false">'Player Data'!W505</f>
        <v>Club sporting director / first-team office</v>
      </c>
      <c r="Z505" s="28" t="str">
        <f aca="false">'Player Data'!X505</f>
        <v>FEF (Ecuadorian Football Federation) player registry</v>
      </c>
      <c r="AA505" s="19" t="str">
        <f aca="false">HYPERLINK("https://www.transfermarkt.com/schnellsuche/ergebnis/schnellsuche?query="&amp;SUBSTITUTE(A505," ","+"),"Search Transfermarkt")</f>
        <v>Search Transfermarkt</v>
      </c>
      <c r="AB505" s="29" t="n">
        <f aca="false">IFERROR('Player Data'!K505/('Player Data'!K505+'Player Data'!L505),0)</f>
        <v>0.645756457564576</v>
      </c>
      <c r="AC505" s="21" t="str">
        <f aca="false">IF(B505="GK",IF(AND(O505&gt;=Assumptions!$B$23,N505&gt;=Assumptions!$B$23),"Sweeper-Keeper / Build-from-the-Back",IF(O505&gt;=Assumptions!$B$23,"Sweeper-Keeper / High Line",IF(M505&gt;=Assumptions!$B$23,"Shot-Stopper / Traditional","Flexible / Multi-System"))),IF(AND(O505&gt;=Assumptions!$B$23,P505&gt;=Assumptions!$B$24),"High Press / Gegenpressing",IF(AND(N505&gt;=Assumptions!$B$23,AB505&gt;=Assumptions!$B$25),"Possession / Build-from-the-Back",IF(N505&gt;=Assumptions!$B$23,"Counter-Attack / Transition",IF(AND(O505&gt;=Assumptions!$B$23,N505&lt;Assumptions!$B$26),"Low Block / Park the Bus",IF(AND(B505="FW",M505&gt;=Assumptions!$B$23,N505&lt;Assumptions!$B$26),"Direct / Target Approach","Flexible / Multi-System"))))))</f>
        <v>Possession / Build-from-the-Back</v>
      </c>
      <c r="AD505" s="21" t="str">
        <f aca="false">'Player Data'!Y505</f>
        <v>2026-07-17</v>
      </c>
      <c r="AE505" s="21" t="str">
        <f aca="false">'Player Data'!Z505</f>
        <v>2026-07-17</v>
      </c>
      <c r="AF505" s="28" t="str">
        <f aca="false">IFERROR(INDEX(Assumptions!$B$30:$B$61,MATCH(C505,Assumptions!$A$30:$A$61,0)),"--")</f>
        <v>Argentina, Portugal</v>
      </c>
      <c r="AG505" s="30" t="str">
        <f aca="false">IF(R505&gt;=0.7,"Step-Up Candidate",IF(R505&gt;=0.4,"Lateral Move","Stay &amp; Develop"))</f>
        <v>Step-Up Candidate</v>
      </c>
    </row>
    <row r="506" customFormat="false" ht="23.85" hidden="false" customHeight="false" outlineLevel="0" collapsed="false">
      <c r="A506" s="21" t="str">
        <f aca="false">'Player Data'!A506</f>
        <v>Kelvin Phiri</v>
      </c>
      <c r="B506" s="21" t="str">
        <f aca="false">'Player Data'!F506</f>
        <v>DF</v>
      </c>
      <c r="C506" s="21" t="str">
        <f aca="false">'Player Data'!B506</f>
        <v>Zambia</v>
      </c>
      <c r="D506" s="21" t="str">
        <f aca="false">'Player Data'!C506</f>
        <v>Zambia Third Tier - South</v>
      </c>
      <c r="E506" s="21" t="n">
        <f aca="false">'Player Data'!D506</f>
        <v>2</v>
      </c>
      <c r="F506" s="21" t="n">
        <f aca="false">'Player Data'!G506</f>
        <v>21</v>
      </c>
      <c r="G506" s="21" t="n">
        <f aca="false">'Player Data'!H506</f>
        <v>2375</v>
      </c>
      <c r="H506" s="22" t="n">
        <f aca="false">IF(B506="GK",IFERROR(('Player Data'!N506-1.5*'Player Data'!O506)/'Player Data'!H506*90,0),IFERROR(('Player Data'!I506+'Player Data'!J506)/'Player Data'!H506*90,0))</f>
        <v>0</v>
      </c>
      <c r="I506" s="22" t="n">
        <f aca="false">IF(B506="GK",'Player Data'!P506,IFERROR(('Player Data'!K506+'Player Data'!L506)/'Player Data'!H506*90,0))</f>
        <v>3.18315789473684</v>
      </c>
      <c r="J506" s="22" t="n">
        <f aca="false">IF(B506="GK",IFERROR('Player Data'!Q506/'Player Data'!H506*90,0),IFERROR('Player Data'!M506/'Player Data'!H506*90,0))</f>
        <v>4.43368421052632</v>
      </c>
      <c r="K506" s="23" t="n">
        <f aca="false">'Player Data'!S506</f>
        <v>63091</v>
      </c>
      <c r="L506" s="22" t="n">
        <f aca="false">INDEX(Assumptions!$B$13:$B$15,MATCH(E506,Assumptions!$A$13:$A$15,0))</f>
        <v>1</v>
      </c>
      <c r="M506" s="24" t="n">
        <f aca="false">IFERROR(SUMPRODUCT(($B$2:$B$1001=B506)*($H$2:$H$1001&lt;=H506))/SUMPRODUCT(($B$2:$B$1001=B506)*1),0)</f>
        <v>0.0408163265306122</v>
      </c>
      <c r="N506" s="24" t="n">
        <f aca="false">IFERROR(SUMPRODUCT(($B$2:$B$1001=B506)*($I$2:$I$1001&lt;=I506))/SUMPRODUCT(($B$2:$B$1001=B506)*1),0)</f>
        <v>0.125850340136054</v>
      </c>
      <c r="O506" s="24" t="n">
        <f aca="false">IFERROR(SUMPRODUCT(($B$2:$B$1001=B506)*($J$2:$J$1001&lt;=J506))/SUMPRODUCT(($B$2:$B$1001=B506)*1),0)</f>
        <v>0.343537414965986</v>
      </c>
      <c r="P506" s="24" t="n">
        <f aca="false">IFERROR(SUMPRODUCT(($B$2:$B$1001=B506)*((0-$F$2:$F$1001)&lt;=(0-F506)))/SUMPRODUCT(($B$2:$B$1001=B506)*1),0)</f>
        <v>0.568027210884354</v>
      </c>
      <c r="Q506" s="25" t="n">
        <f aca="false">(M506*Assumptions!$B$5+N506*Assumptions!$B$6+O506*Assumptions!$B$7+P506*Assumptions!$B$8)*L506</f>
        <v>0.23656462585034</v>
      </c>
      <c r="R506" s="24" t="n">
        <f aca="false">IFERROR(SUMPRODUCT(($B$2:$B$1001=B506)*($Q$2:$Q$1001&lt;=Q506))/SUMPRODUCT(($B$2:$B$1001=B506)*1),0)</f>
        <v>0.129251700680272</v>
      </c>
      <c r="S506" s="24" t="n">
        <f aca="false">IFERROR(SUMPRODUCT(($B$2:$B$1001=B506)*($K$2:$K$1001&lt;=K506))/SUMPRODUCT(($B$2:$B$1001=B506)*1),0)</f>
        <v>0.503401360544218</v>
      </c>
      <c r="T506" s="26" t="n">
        <f aca="false">(R506-S506)*100</f>
        <v>-37.4149659863946</v>
      </c>
      <c r="U506" s="21" t="str">
        <f aca="false">'Player Data'!T506</f>
        <v>No</v>
      </c>
      <c r="V506" s="27" t="n">
        <f aca="false">'Player Data'!U506</f>
        <v>2027</v>
      </c>
      <c r="W506" s="21" t="str">
        <f aca="false">IF(AND(T506&gt;=Assumptions!$B$19,U506="No"),"High Priority - Unrepresented",IF(T506&gt;=Assumptions!$B$19,"High Priority",IF(AND(T506&gt;=Assumptions!$B$20,U506="No"),"Watchlist - Unrepresented",IF(T506&gt;=Assumptions!$B$20,"Watchlist",""))))</f>
        <v/>
      </c>
      <c r="X506" s="21" t="str">
        <f aca="false">'Player Data'!V506</f>
        <v>info@ndolatown.zm</v>
      </c>
      <c r="Y506" s="28" t="str">
        <f aca="false">'Player Data'!W506</f>
        <v>Club sporting director / first-team office</v>
      </c>
      <c r="Z506" s="28" t="str">
        <f aca="false">'Player Data'!X506</f>
        <v>FAZ (Football Association of Zambia) player registry</v>
      </c>
      <c r="AA506" s="19" t="str">
        <f aca="false">HYPERLINK("https://www.transfermarkt.com/schnellsuche/ergebnis/schnellsuche?query="&amp;SUBSTITUTE(A506," ","+"),"Search Transfermarkt")</f>
        <v>Search Transfermarkt</v>
      </c>
      <c r="AB506" s="29" t="n">
        <f aca="false">IFERROR('Player Data'!K506/('Player Data'!K506+'Player Data'!L506),0)</f>
        <v>0.630952380952381</v>
      </c>
      <c r="AC506" s="21" t="str">
        <f aca="false">IF(B506="GK",IF(AND(O506&gt;=Assumptions!$B$23,N506&gt;=Assumptions!$B$23),"Sweeper-Keeper / Build-from-the-Back",IF(O506&gt;=Assumptions!$B$23,"Sweeper-Keeper / High Line",IF(M506&gt;=Assumptions!$B$23,"Shot-Stopper / Traditional","Flexible / Multi-System"))),IF(AND(O506&gt;=Assumptions!$B$23,P506&gt;=Assumptions!$B$24),"High Press / Gegenpressing",IF(AND(N506&gt;=Assumptions!$B$23,AB506&gt;=Assumptions!$B$25),"Possession / Build-from-the-Back",IF(N506&gt;=Assumptions!$B$23,"Counter-Attack / Transition",IF(AND(O506&gt;=Assumptions!$B$23,N506&lt;Assumptions!$B$26),"Low Block / Park the Bus",IF(AND(B506="FW",M506&gt;=Assumptions!$B$23,N506&lt;Assumptions!$B$26),"Direct / Target Approach","Flexible / Multi-System"))))))</f>
        <v>Flexible / Multi-System</v>
      </c>
      <c r="AD506" s="21" t="str">
        <f aca="false">'Player Data'!Y506</f>
        <v>2026-07-17</v>
      </c>
      <c r="AE506" s="21" t="str">
        <f aca="false">'Player Data'!Z506</f>
        <v>2026-07-17</v>
      </c>
      <c r="AF506" s="28" t="str">
        <f aca="false">IFERROR(INDEX(Assumptions!$B$30:$B$61,MATCH(C506,Assumptions!$A$30:$A$61,0)),"--")</f>
        <v>Belgium, Portugal</v>
      </c>
      <c r="AG506" s="30" t="str">
        <f aca="false">IF(R506&gt;=0.7,"Step-Up Candidate",IF(R506&gt;=0.4,"Lateral Move","Stay &amp; Develop"))</f>
        <v>Stay &amp; Develop</v>
      </c>
    </row>
    <row r="507" customFormat="false" ht="23.85" hidden="false" customHeight="false" outlineLevel="0" collapsed="false">
      <c r="A507" s="21" t="str">
        <f aca="false">'Player Data'!A507</f>
        <v>Ened Shala</v>
      </c>
      <c r="B507" s="21" t="str">
        <f aca="false">'Player Data'!F507</f>
        <v>GK</v>
      </c>
      <c r="C507" s="21" t="str">
        <f aca="false">'Player Data'!B507</f>
        <v>Albania</v>
      </c>
      <c r="D507" s="21" t="str">
        <f aca="false">'Player Data'!C507</f>
        <v>Albania Regional League</v>
      </c>
      <c r="E507" s="21" t="n">
        <f aca="false">'Player Data'!D507</f>
        <v>2</v>
      </c>
      <c r="F507" s="21" t="n">
        <f aca="false">'Player Data'!G507</f>
        <v>22</v>
      </c>
      <c r="G507" s="21" t="n">
        <f aca="false">'Player Data'!H507</f>
        <v>835</v>
      </c>
      <c r="H507" s="22" t="n">
        <f aca="false">IF(B507="GK",IFERROR(('Player Data'!N507-1.5*'Player Data'!O507)/'Player Data'!H507*90,0),IFERROR(('Player Data'!I507+'Player Data'!J507)/'Player Data'!H507*90,0))</f>
        <v>2.64071856287425</v>
      </c>
      <c r="I507" s="22" t="n">
        <f aca="false">IF(B507="GK",'Player Data'!P507,IFERROR(('Player Data'!K507+'Player Data'!L507)/'Player Data'!H507*90,0))</f>
        <v>63.3</v>
      </c>
      <c r="J507" s="22" t="n">
        <f aca="false">IF(B507="GK",IFERROR('Player Data'!Q507/'Player Data'!H507*90,0),IFERROR('Player Data'!M507/'Player Data'!H507*90,0))</f>
        <v>1.31497005988024</v>
      </c>
      <c r="K507" s="23" t="n">
        <f aca="false">'Player Data'!S507</f>
        <v>127903</v>
      </c>
      <c r="L507" s="22" t="n">
        <f aca="false">INDEX(Assumptions!$B$13:$B$15,MATCH(E507,Assumptions!$A$13:$A$15,0))</f>
        <v>1</v>
      </c>
      <c r="M507" s="24" t="n">
        <f aca="false">IFERROR(SUMPRODUCT(($B$2:$B$1001=B507)*($H$2:$H$1001&lt;=H507))/SUMPRODUCT(($B$2:$B$1001=B507)*1),0)</f>
        <v>0.994535519125683</v>
      </c>
      <c r="N507" s="24" t="n">
        <f aca="false">IFERROR(SUMPRODUCT(($B$2:$B$1001=B507)*($I$2:$I$1001&lt;=I507))/SUMPRODUCT(($B$2:$B$1001=B507)*1),0)</f>
        <v>0.26775956284153</v>
      </c>
      <c r="O507" s="24" t="n">
        <f aca="false">IFERROR(SUMPRODUCT(($B$2:$B$1001=B507)*($J$2:$J$1001&lt;=J507))/SUMPRODUCT(($B$2:$B$1001=B507)*1),0)</f>
        <v>0.836065573770492</v>
      </c>
      <c r="P507" s="24" t="n">
        <f aca="false">IFERROR(SUMPRODUCT(($B$2:$B$1001=B507)*((0-$F$2:$F$1001)&lt;=(0-F507)))/SUMPRODUCT(($B$2:$B$1001=B507)*1),0)</f>
        <v>0.530054644808743</v>
      </c>
      <c r="Q507" s="25" t="n">
        <f aca="false">(M507*Assumptions!$B$5+N507*Assumptions!$B$6+O507*Assumptions!$B$7+P507*Assumptions!$B$8)*L507</f>
        <v>0.615573770491803</v>
      </c>
      <c r="R507" s="24" t="n">
        <f aca="false">IFERROR(SUMPRODUCT(($B$2:$B$1001=B507)*($Q$2:$Q$1001&lt;=Q507))/SUMPRODUCT(($B$2:$B$1001=B507)*1),0)</f>
        <v>0.896174863387978</v>
      </c>
      <c r="S507" s="24" t="n">
        <f aca="false">IFERROR(SUMPRODUCT(($B$2:$B$1001=B507)*($K$2:$K$1001&lt;=K507))/SUMPRODUCT(($B$2:$B$1001=B507)*1),0)</f>
        <v>0.87431693989071</v>
      </c>
      <c r="T507" s="26" t="n">
        <f aca="false">(R507-S507)*100</f>
        <v>2.18579234972678</v>
      </c>
      <c r="U507" s="21" t="str">
        <f aca="false">'Player Data'!T507</f>
        <v>No</v>
      </c>
      <c r="V507" s="27" t="n">
        <f aca="false">'Player Data'!U507</f>
        <v>2029</v>
      </c>
      <c r="W507" s="21" t="str">
        <f aca="false">IF(AND(T507&gt;=Assumptions!$B$19,U507="No"),"High Priority - Unrepresented",IF(T507&gt;=Assumptions!$B$19,"High Priority",IF(AND(T507&gt;=Assumptions!$B$20,U507="No"),"Watchlist - Unrepresented",IF(T507&gt;=Assumptions!$B$20,"Watchlist",""))))</f>
        <v/>
      </c>
      <c r="X507" s="21" t="str">
        <f aca="false">'Player Data'!V507</f>
        <v>info@tiranatown.al</v>
      </c>
      <c r="Y507" s="28" t="str">
        <f aca="false">'Player Data'!W507</f>
        <v>Club sporting director / first-team office</v>
      </c>
      <c r="Z507" s="28" t="str">
        <f aca="false">'Player Data'!X507</f>
        <v>FSHF (Albanian Football Association) player registry</v>
      </c>
      <c r="AA507" s="19" t="str">
        <f aca="false">HYPERLINK("https://www.transfermarkt.com/schnellsuche/ergebnis/schnellsuche?query="&amp;SUBSTITUTE(A507," ","+"),"Search Transfermarkt")</f>
        <v>Search Transfermarkt</v>
      </c>
      <c r="AB507" s="29" t="n">
        <f aca="false">IFERROR('Player Data'!K507/('Player Data'!K507+'Player Data'!L507),0)</f>
        <v>0.894736842105263</v>
      </c>
      <c r="AC507" s="21" t="str">
        <f aca="false">IF(B507="GK",IF(AND(O507&gt;=Assumptions!$B$23,N507&gt;=Assumptions!$B$23),"Sweeper-Keeper / Build-from-the-Back",IF(O507&gt;=Assumptions!$B$23,"Sweeper-Keeper / High Line",IF(M507&gt;=Assumptions!$B$23,"Shot-Stopper / Traditional","Flexible / Multi-System"))),IF(AND(O507&gt;=Assumptions!$B$23,P507&gt;=Assumptions!$B$24),"High Press / Gegenpressing",IF(AND(N507&gt;=Assumptions!$B$23,AB507&gt;=Assumptions!$B$25),"Possession / Build-from-the-Back",IF(N507&gt;=Assumptions!$B$23,"Counter-Attack / Transition",IF(AND(O507&gt;=Assumptions!$B$23,N507&lt;Assumptions!$B$26),"Low Block / Park the Bus",IF(AND(B507="FW",M507&gt;=Assumptions!$B$23,N507&lt;Assumptions!$B$26),"Direct / Target Approach","Flexible / Multi-System"))))))</f>
        <v>Sweeper-Keeper / High Line</v>
      </c>
      <c r="AD507" s="21" t="str">
        <f aca="false">'Player Data'!Y507</f>
        <v>2026-07-17</v>
      </c>
      <c r="AE507" s="21" t="str">
        <f aca="false">'Player Data'!Z507</f>
        <v>2026-07-17</v>
      </c>
      <c r="AF507" s="28" t="str">
        <f aca="false">IFERROR(INDEX(Assumptions!$B$30:$B$61,MATCH(C507,Assumptions!$A$30:$A$61,0)),"--")</f>
        <v>Turkey, Poland</v>
      </c>
      <c r="AG507" s="30" t="str">
        <f aca="false">IF(R507&gt;=0.7,"Step-Up Candidate",IF(R507&gt;=0.4,"Lateral Move","Stay &amp; Develop"))</f>
        <v>Step-Up Candidate</v>
      </c>
    </row>
    <row r="508" customFormat="false" ht="23.85" hidden="false" customHeight="false" outlineLevel="0" collapsed="false">
      <c r="A508" s="21" t="str">
        <f aca="false">'Player Data'!A508</f>
        <v>Ziga Horvat</v>
      </c>
      <c r="B508" s="21" t="str">
        <f aca="false">'Player Data'!F508</f>
        <v>FW</v>
      </c>
      <c r="C508" s="21" t="str">
        <f aca="false">'Player Data'!B508</f>
        <v>Slovenia</v>
      </c>
      <c r="D508" s="21" t="str">
        <f aca="false">'Player Data'!C508</f>
        <v>Slovenia Second Division - East</v>
      </c>
      <c r="E508" s="21" t="n">
        <f aca="false">'Player Data'!D508</f>
        <v>3</v>
      </c>
      <c r="F508" s="21" t="n">
        <f aca="false">'Player Data'!G508</f>
        <v>22</v>
      </c>
      <c r="G508" s="21" t="n">
        <f aca="false">'Player Data'!H508</f>
        <v>1815</v>
      </c>
      <c r="H508" s="22" t="n">
        <f aca="false">IF(B508="GK",IFERROR(('Player Data'!N508-1.5*'Player Data'!O508)/'Player Data'!H508*90,0),IFERROR(('Player Data'!I508+'Player Data'!J508)/'Player Data'!H508*90,0))</f>
        <v>1.09090909090909</v>
      </c>
      <c r="I508" s="22" t="n">
        <f aca="false">IF(B508="GK",'Player Data'!P508,IFERROR(('Player Data'!K508+'Player Data'!L508)/'Player Data'!H508*90,0))</f>
        <v>6.89256198347108</v>
      </c>
      <c r="J508" s="22" t="n">
        <f aca="false">IF(B508="GK",IFERROR('Player Data'!Q508/'Player Data'!H508*90,0),IFERROR('Player Data'!M508/'Player Data'!H508*90,0))</f>
        <v>0.644628099173554</v>
      </c>
      <c r="K508" s="23" t="n">
        <f aca="false">'Player Data'!S508</f>
        <v>56610</v>
      </c>
      <c r="L508" s="22" t="n">
        <f aca="false">INDEX(Assumptions!$B$13:$B$15,MATCH(E508,Assumptions!$A$13:$A$15,0))</f>
        <v>0.85</v>
      </c>
      <c r="M508" s="24" t="n">
        <f aca="false">IFERROR(SUMPRODUCT(($B$2:$B$1001=B508)*($H$2:$H$1001&lt;=H508))/SUMPRODUCT(($B$2:$B$1001=B508)*1),0)</f>
        <v>0.610619469026549</v>
      </c>
      <c r="N508" s="24" t="n">
        <f aca="false">IFERROR(SUMPRODUCT(($B$2:$B$1001=B508)*($I$2:$I$1001&lt;=I508))/SUMPRODUCT(($B$2:$B$1001=B508)*1),0)</f>
        <v>0.561946902654867</v>
      </c>
      <c r="O508" s="24" t="n">
        <f aca="false">IFERROR(SUMPRODUCT(($B$2:$B$1001=B508)*($J$2:$J$1001&lt;=J508))/SUMPRODUCT(($B$2:$B$1001=B508)*1),0)</f>
        <v>0.685840707964602</v>
      </c>
      <c r="P508" s="24" t="n">
        <f aca="false">IFERROR(SUMPRODUCT(($B$2:$B$1001=B508)*((0-$F$2:$F$1001)&lt;=(0-F508)))/SUMPRODUCT(($B$2:$B$1001=B508)*1),0)</f>
        <v>0.504424778761062</v>
      </c>
      <c r="Q508" s="25" t="n">
        <f aca="false">(M508*Assumptions!$B$5+N508*Assumptions!$B$6+O508*Assumptions!$B$7+P508*Assumptions!$B$8)*L508</f>
        <v>0.499280973451327</v>
      </c>
      <c r="R508" s="24" t="n">
        <f aca="false">IFERROR(SUMPRODUCT(($B$2:$B$1001=B508)*($Q$2:$Q$1001&lt;=Q508))/SUMPRODUCT(($B$2:$B$1001=B508)*1),0)</f>
        <v>0.615044247787611</v>
      </c>
      <c r="S508" s="24" t="n">
        <f aca="false">IFERROR(SUMPRODUCT(($B$2:$B$1001=B508)*($K$2:$K$1001&lt;=K508))/SUMPRODUCT(($B$2:$B$1001=B508)*1),0)</f>
        <v>0.482300884955752</v>
      </c>
      <c r="T508" s="26" t="n">
        <f aca="false">(R508-S508)*100</f>
        <v>13.2743362831858</v>
      </c>
      <c r="U508" s="21" t="str">
        <f aca="false">'Player Data'!T508</f>
        <v>No</v>
      </c>
      <c r="V508" s="27" t="n">
        <f aca="false">'Player Data'!U508</f>
        <v>2029</v>
      </c>
      <c r="W508" s="21" t="str">
        <f aca="false">IF(AND(T508&gt;=Assumptions!$B$19,U508="No"),"High Priority - Unrepresented",IF(T508&gt;=Assumptions!$B$19,"High Priority",IF(AND(T508&gt;=Assumptions!$B$20,U508="No"),"Watchlist - Unrepresented",IF(T508&gt;=Assumptions!$B$20,"Watchlist",""))))</f>
        <v/>
      </c>
      <c r="X508" s="21" t="str">
        <f aca="false">'Player Data'!V508</f>
        <v>info@mariborwanderers.si</v>
      </c>
      <c r="Y508" s="28" t="str">
        <f aca="false">'Player Data'!W508</f>
        <v>Club sporting director / first-team office</v>
      </c>
      <c r="Z508" s="28" t="str">
        <f aca="false">'Player Data'!X508</f>
        <v>NZS (Football Association of Slovenia) player registry</v>
      </c>
      <c r="AA508" s="19" t="str">
        <f aca="false">HYPERLINK("https://www.transfermarkt.com/schnellsuche/ergebnis/schnellsuche?query="&amp;SUBSTITUTE(A508," ","+"),"Search Transfermarkt")</f>
        <v>Search Transfermarkt</v>
      </c>
      <c r="AB508" s="29" t="n">
        <f aca="false">IFERROR('Player Data'!K508/('Player Data'!K508+'Player Data'!L508),0)</f>
        <v>0.381294964028777</v>
      </c>
      <c r="AC508" s="21" t="str">
        <f aca="false">IF(B508="GK",IF(AND(O508&gt;=Assumptions!$B$23,N508&gt;=Assumptions!$B$23),"Sweeper-Keeper / Build-from-the-Back",IF(O508&gt;=Assumptions!$B$23,"Sweeper-Keeper / High Line",IF(M508&gt;=Assumptions!$B$23,"Shot-Stopper / Traditional","Flexible / Multi-System"))),IF(AND(O508&gt;=Assumptions!$B$23,P508&gt;=Assumptions!$B$24),"High Press / Gegenpressing",IF(AND(N508&gt;=Assumptions!$B$23,AB508&gt;=Assumptions!$B$25),"Possession / Build-from-the-Back",IF(N508&gt;=Assumptions!$B$23,"Counter-Attack / Transition",IF(AND(O508&gt;=Assumptions!$B$23,N508&lt;Assumptions!$B$26),"Low Block / Park the Bus",IF(AND(B508="FW",M508&gt;=Assumptions!$B$23,N508&lt;Assumptions!$B$26),"Direct / Target Approach","Flexible / Multi-System"))))))</f>
        <v>Flexible / Multi-System</v>
      </c>
      <c r="AD508" s="21" t="str">
        <f aca="false">'Player Data'!Y508</f>
        <v>2026-07-17</v>
      </c>
      <c r="AE508" s="21" t="str">
        <f aca="false">'Player Data'!Z508</f>
        <v>2026-07-17</v>
      </c>
      <c r="AF508" s="28" t="str">
        <f aca="false">IFERROR(INDEX(Assumptions!$B$30:$B$61,MATCH(C508,Assumptions!$A$30:$A$61,0)),"--")</f>
        <v>Austria, Poland</v>
      </c>
      <c r="AG508" s="30" t="str">
        <f aca="false">IF(R508&gt;=0.7,"Step-Up Candidate",IF(R508&gt;=0.4,"Lateral Move","Stay &amp; Develop"))</f>
        <v>Lateral Move</v>
      </c>
    </row>
    <row r="509" customFormat="false" ht="23.85" hidden="false" customHeight="false" outlineLevel="0" collapsed="false">
      <c r="A509" s="21" t="str">
        <f aca="false">'Player Data'!A509</f>
        <v>Kristijan Angelovski</v>
      </c>
      <c r="B509" s="21" t="str">
        <f aca="false">'Player Data'!F509</f>
        <v>DF</v>
      </c>
      <c r="C509" s="21" t="str">
        <f aca="false">'Player Data'!B509</f>
        <v>North Macedonia</v>
      </c>
      <c r="D509" s="21" t="str">
        <f aca="false">'Player Data'!C509</f>
        <v>North Macedonia Second Division - West</v>
      </c>
      <c r="E509" s="21" t="n">
        <f aca="false">'Player Data'!D509</f>
        <v>3</v>
      </c>
      <c r="F509" s="21" t="n">
        <f aca="false">'Player Data'!G509</f>
        <v>24</v>
      </c>
      <c r="G509" s="21" t="n">
        <f aca="false">'Player Data'!H509</f>
        <v>1475</v>
      </c>
      <c r="H509" s="22" t="n">
        <f aca="false">IF(B509="GK",IFERROR(('Player Data'!N509-1.5*'Player Data'!O509)/'Player Data'!H509*90,0),IFERROR(('Player Data'!I509+'Player Data'!J509)/'Player Data'!H509*90,0))</f>
        <v>0.0610169491525424</v>
      </c>
      <c r="I509" s="22" t="n">
        <f aca="false">IF(B509="GK",'Player Data'!P509,IFERROR(('Player Data'!K509+'Player Data'!L509)/'Player Data'!H509*90,0))</f>
        <v>5.1864406779661</v>
      </c>
      <c r="J509" s="22" t="n">
        <f aca="false">IF(B509="GK",IFERROR('Player Data'!Q509/'Player Data'!H509*90,0),IFERROR('Player Data'!M509/'Player Data'!H509*90,0))</f>
        <v>5.12542372881356</v>
      </c>
      <c r="K509" s="23" t="n">
        <f aca="false">'Player Data'!S509</f>
        <v>0</v>
      </c>
      <c r="L509" s="22" t="n">
        <f aca="false">INDEX(Assumptions!$B$13:$B$15,MATCH(E509,Assumptions!$A$13:$A$15,0))</f>
        <v>0.85</v>
      </c>
      <c r="M509" s="24" t="n">
        <f aca="false">IFERROR(SUMPRODUCT(($B$2:$B$1001=B509)*($H$2:$H$1001&lt;=H509))/SUMPRODUCT(($B$2:$B$1001=B509)*1),0)</f>
        <v>0.0884353741496599</v>
      </c>
      <c r="N509" s="24" t="n">
        <f aca="false">IFERROR(SUMPRODUCT(($B$2:$B$1001=B509)*($I$2:$I$1001&lt;=I509))/SUMPRODUCT(($B$2:$B$1001=B509)*1),0)</f>
        <v>0.615646258503401</v>
      </c>
      <c r="O509" s="24" t="n">
        <f aca="false">IFERROR(SUMPRODUCT(($B$2:$B$1001=B509)*($J$2:$J$1001&lt;=J509))/SUMPRODUCT(($B$2:$B$1001=B509)*1),0)</f>
        <v>0.462585034013605</v>
      </c>
      <c r="P509" s="24" t="n">
        <f aca="false">IFERROR(SUMPRODUCT(($B$2:$B$1001=B509)*((0-$F$2:$F$1001)&lt;=(0-F509)))/SUMPRODUCT(($B$2:$B$1001=B509)*1),0)</f>
        <v>0.275510204081633</v>
      </c>
      <c r="Q509" s="25" t="n">
        <f aca="false">(M509*Assumptions!$B$5+N509*Assumptions!$B$6+O509*Assumptions!$B$7+P509*Assumptions!$B$8)*L509</f>
        <v>0.327423469387755</v>
      </c>
      <c r="R509" s="24" t="n">
        <f aca="false">IFERROR(SUMPRODUCT(($B$2:$B$1001=B509)*($Q$2:$Q$1001&lt;=Q509))/SUMPRODUCT(($B$2:$B$1001=B509)*1),0)</f>
        <v>0.306122448979592</v>
      </c>
      <c r="S509" s="24" t="n">
        <f aca="false">IFERROR(SUMPRODUCT(($B$2:$B$1001=B509)*($K$2:$K$1001&lt;=K509))/SUMPRODUCT(($B$2:$B$1001=B509)*1),0)</f>
        <v>0.248299319727891</v>
      </c>
      <c r="T509" s="26" t="n">
        <f aca="false">(R509-S509)*100</f>
        <v>5.78231292517007</v>
      </c>
      <c r="U509" s="21" t="str">
        <f aca="false">'Player Data'!T509</f>
        <v>Unknown</v>
      </c>
      <c r="V509" s="27" t="n">
        <f aca="false">'Player Data'!U509</f>
        <v>2028</v>
      </c>
      <c r="W509" s="21" t="str">
        <f aca="false">IF(AND(T509&gt;=Assumptions!$B$19,U509="No"),"High Priority - Unrepresented",IF(T509&gt;=Assumptions!$B$19,"High Priority",IF(AND(T509&gt;=Assumptions!$B$20,U509="No"),"Watchlist - Unrepresented",IF(T509&gt;=Assumptions!$B$20,"Watchlist",""))))</f>
        <v/>
      </c>
      <c r="X509" s="21" t="str">
        <f aca="false">'Player Data'!V509</f>
        <v>info@skopjefc.mk</v>
      </c>
      <c r="Y509" s="28" t="str">
        <f aca="false">'Player Data'!W509</f>
        <v>Club sporting director / first-team office</v>
      </c>
      <c r="Z509" s="28" t="str">
        <f aca="false">'Player Data'!X509</f>
        <v>FFM (Football Federation of North Macedonia) player registry</v>
      </c>
      <c r="AA509" s="19" t="str">
        <f aca="false">HYPERLINK("https://www.transfermarkt.com/schnellsuche/ergebnis/schnellsuche?query="&amp;SUBSTITUTE(A509," ","+"),"Search Transfermarkt")</f>
        <v>Search Transfermarkt</v>
      </c>
      <c r="AB509" s="29" t="n">
        <f aca="false">IFERROR('Player Data'!K509/('Player Data'!K509+'Player Data'!L509),0)</f>
        <v>0.588235294117647</v>
      </c>
      <c r="AC509" s="21" t="str">
        <f aca="false">IF(B509="GK",IF(AND(O509&gt;=Assumptions!$B$23,N509&gt;=Assumptions!$B$23),"Sweeper-Keeper / Build-from-the-Back",IF(O509&gt;=Assumptions!$B$23,"Sweeper-Keeper / High Line",IF(M509&gt;=Assumptions!$B$23,"Shot-Stopper / Traditional","Flexible / Multi-System"))),IF(AND(O509&gt;=Assumptions!$B$23,P509&gt;=Assumptions!$B$24),"High Press / Gegenpressing",IF(AND(N509&gt;=Assumptions!$B$23,AB509&gt;=Assumptions!$B$25),"Possession / Build-from-the-Back",IF(N509&gt;=Assumptions!$B$23,"Counter-Attack / Transition",IF(AND(O509&gt;=Assumptions!$B$23,N509&lt;Assumptions!$B$26),"Low Block / Park the Bus",IF(AND(B509="FW",M509&gt;=Assumptions!$B$23,N509&lt;Assumptions!$B$26),"Direct / Target Approach","Flexible / Multi-System"))))))</f>
        <v>Flexible / Multi-System</v>
      </c>
      <c r="AD509" s="21" t="str">
        <f aca="false">'Player Data'!Y509</f>
        <v>2026-07-17</v>
      </c>
      <c r="AE509" s="21" t="str">
        <f aca="false">'Player Data'!Z509</f>
        <v>2026-07-17</v>
      </c>
      <c r="AF509" s="28" t="str">
        <f aca="false">IFERROR(INDEX(Assumptions!$B$30:$B$61,MATCH(C509,Assumptions!$A$30:$A$61,0)),"--")</f>
        <v>Austria, Turkey</v>
      </c>
      <c r="AG509" s="30" t="str">
        <f aca="false">IF(R509&gt;=0.7,"Step-Up Candidate",IF(R509&gt;=0.4,"Lateral Move","Stay &amp; Develop"))</f>
        <v>Stay &amp; Develop</v>
      </c>
    </row>
    <row r="510" customFormat="false" ht="23.85" hidden="false" customHeight="false" outlineLevel="0" collapsed="false">
      <c r="A510" s="21" t="str">
        <f aca="false">'Player Data'!A510</f>
        <v>Christian Fotso</v>
      </c>
      <c r="B510" s="21" t="str">
        <f aca="false">'Player Data'!F510</f>
        <v>MF</v>
      </c>
      <c r="C510" s="21" t="str">
        <f aca="false">'Player Data'!B510</f>
        <v>Cameroon</v>
      </c>
      <c r="D510" s="21" t="str">
        <f aca="false">'Player Data'!C510</f>
        <v>Cameroon Provincial League</v>
      </c>
      <c r="E510" s="21" t="n">
        <f aca="false">'Player Data'!D510</f>
        <v>4</v>
      </c>
      <c r="F510" s="21" t="n">
        <f aca="false">'Player Data'!G510</f>
        <v>21</v>
      </c>
      <c r="G510" s="21" t="n">
        <f aca="false">'Player Data'!H510</f>
        <v>2444</v>
      </c>
      <c r="H510" s="22" t="n">
        <f aca="false">IF(B510="GK",IFERROR(('Player Data'!N510-1.5*'Player Data'!O510)/'Player Data'!H510*90,0),IFERROR(('Player Data'!I510+'Player Data'!J510)/'Player Data'!H510*90,0))</f>
        <v>0.294599018003273</v>
      </c>
      <c r="I510" s="22" t="n">
        <f aca="false">IF(B510="GK",'Player Data'!P510,IFERROR(('Player Data'!K510+'Player Data'!L510)/'Player Data'!H510*90,0))</f>
        <v>7.80687397708674</v>
      </c>
      <c r="J510" s="22" t="n">
        <f aca="false">IF(B510="GK",IFERROR('Player Data'!Q510/'Player Data'!H510*90,0),IFERROR('Player Data'!M510/'Player Data'!H510*90,0))</f>
        <v>1.36252045826514</v>
      </c>
      <c r="K510" s="23" t="n">
        <f aca="false">'Player Data'!S510</f>
        <v>91854</v>
      </c>
      <c r="L510" s="22" t="n">
        <f aca="false">INDEX(Assumptions!$B$13:$B$15,MATCH(E510,Assumptions!$A$13:$A$15,0))</f>
        <v>0.7</v>
      </c>
      <c r="M510" s="24" t="n">
        <f aca="false">IFERROR(SUMPRODUCT(($B$2:$B$1001=B510)*($H$2:$H$1001&lt;=H510))/SUMPRODUCT(($B$2:$B$1001=B510)*1),0)</f>
        <v>0.0404040404040404</v>
      </c>
      <c r="N510" s="24" t="n">
        <f aca="false">IFERROR(SUMPRODUCT(($B$2:$B$1001=B510)*($I$2:$I$1001&lt;=I510))/SUMPRODUCT(($B$2:$B$1001=B510)*1),0)</f>
        <v>0.131313131313131</v>
      </c>
      <c r="O510" s="24" t="n">
        <f aca="false">IFERROR(SUMPRODUCT(($B$2:$B$1001=B510)*($J$2:$J$1001&lt;=J510))/SUMPRODUCT(($B$2:$B$1001=B510)*1),0)</f>
        <v>0.127946127946128</v>
      </c>
      <c r="P510" s="24" t="n">
        <f aca="false">IFERROR(SUMPRODUCT(($B$2:$B$1001=B510)*((0-$F$2:$F$1001)&lt;=(0-F510)))/SUMPRODUCT(($B$2:$B$1001=B510)*1),0)</f>
        <v>0.61952861952862</v>
      </c>
      <c r="Q510" s="25" t="n">
        <f aca="false">(M510*Assumptions!$B$5+N510*Assumptions!$B$6+O510*Assumptions!$B$7+P510*Assumptions!$B$8)*L510</f>
        <v>0.143888888888889</v>
      </c>
      <c r="R510" s="24" t="n">
        <f aca="false">IFERROR(SUMPRODUCT(($B$2:$B$1001=B510)*($Q$2:$Q$1001&lt;=Q510))/SUMPRODUCT(($B$2:$B$1001=B510)*1),0)</f>
        <v>0.0235690235690236</v>
      </c>
      <c r="S510" s="24" t="n">
        <f aca="false">IFERROR(SUMPRODUCT(($B$2:$B$1001=B510)*($K$2:$K$1001&lt;=K510))/SUMPRODUCT(($B$2:$B$1001=B510)*1),0)</f>
        <v>0.7003367003367</v>
      </c>
      <c r="T510" s="26" t="n">
        <f aca="false">(R510-S510)*100</f>
        <v>-67.6767676767677</v>
      </c>
      <c r="U510" s="21" t="str">
        <f aca="false">'Player Data'!T510</f>
        <v>No</v>
      </c>
      <c r="V510" s="27" t="n">
        <f aca="false">'Player Data'!U510</f>
        <v>2027</v>
      </c>
      <c r="W510" s="21" t="str">
        <f aca="false">IF(AND(T510&gt;=Assumptions!$B$19,U510="No"),"High Priority - Unrepresented",IF(T510&gt;=Assumptions!$B$19,"High Priority",IF(AND(T510&gt;=Assumptions!$B$20,U510="No"),"Watchlist - Unrepresented",IF(T510&gt;=Assumptions!$B$20,"Watchlist",""))))</f>
        <v/>
      </c>
      <c r="X510" s="21" t="str">
        <f aca="false">'Player Data'!V510</f>
        <v>info@yaoundetown.cm</v>
      </c>
      <c r="Y510" s="28" t="str">
        <f aca="false">'Player Data'!W510</f>
        <v>Club sporting director / first-team office</v>
      </c>
      <c r="Z510" s="28" t="str">
        <f aca="false">'Player Data'!X510</f>
        <v>FECAFOOT (Cameroonian Football Federation) player registry</v>
      </c>
      <c r="AA510" s="19" t="str">
        <f aca="false">HYPERLINK("https://www.transfermarkt.com/schnellsuche/ergebnis/schnellsuche?query="&amp;SUBSTITUTE(A510," ","+"),"Search Transfermarkt")</f>
        <v>Search Transfermarkt</v>
      </c>
      <c r="AB510" s="29" t="n">
        <f aca="false">IFERROR('Player Data'!K510/('Player Data'!K510+'Player Data'!L510),0)</f>
        <v>0.716981132075472</v>
      </c>
      <c r="AC510" s="21" t="str">
        <f aca="false">IF(B510="GK",IF(AND(O510&gt;=Assumptions!$B$23,N510&gt;=Assumptions!$B$23),"Sweeper-Keeper / Build-from-the-Back",IF(O510&gt;=Assumptions!$B$23,"Sweeper-Keeper / High Line",IF(M510&gt;=Assumptions!$B$23,"Shot-Stopper / Traditional","Flexible / Multi-System"))),IF(AND(O510&gt;=Assumptions!$B$23,P510&gt;=Assumptions!$B$24),"High Press / Gegenpressing",IF(AND(N510&gt;=Assumptions!$B$23,AB510&gt;=Assumptions!$B$25),"Possession / Build-from-the-Back",IF(N510&gt;=Assumptions!$B$23,"Counter-Attack / Transition",IF(AND(O510&gt;=Assumptions!$B$23,N510&lt;Assumptions!$B$26),"Low Block / Park the Bus",IF(AND(B510="FW",M510&gt;=Assumptions!$B$23,N510&lt;Assumptions!$B$26),"Direct / Target Approach","Flexible / Multi-System"))))))</f>
        <v>Flexible / Multi-System</v>
      </c>
      <c r="AD510" s="21" t="str">
        <f aca="false">'Player Data'!Y510</f>
        <v>2026-07-17</v>
      </c>
      <c r="AE510" s="21" t="str">
        <f aca="false">'Player Data'!Z510</f>
        <v>2026-07-17</v>
      </c>
      <c r="AF510" s="28" t="str">
        <f aca="false">IFERROR(INDEX(Assumptions!$B$30:$B$61,MATCH(C510,Assumptions!$A$30:$A$61,0)),"--")</f>
        <v>Belgium, Portugal</v>
      </c>
      <c r="AG510" s="30" t="str">
        <f aca="false">IF(R510&gt;=0.7,"Step-Up Candidate",IF(R510&gt;=0.4,"Lateral Move","Stay &amp; Develop"))</f>
        <v>Stay &amp; Develop</v>
      </c>
    </row>
    <row r="511" customFormat="false" ht="23.85" hidden="false" customHeight="false" outlineLevel="0" collapsed="false">
      <c r="A511" s="21" t="str">
        <f aca="false">'Player Data'!A511</f>
        <v>Kofi Appiah</v>
      </c>
      <c r="B511" s="21" t="str">
        <f aca="false">'Player Data'!F511</f>
        <v>FW</v>
      </c>
      <c r="C511" s="21" t="str">
        <f aca="false">'Player Data'!B511</f>
        <v>Ghana</v>
      </c>
      <c r="D511" s="21" t="str">
        <f aca="false">'Player Data'!C511</f>
        <v>Ghana Second Division - East</v>
      </c>
      <c r="E511" s="21" t="n">
        <f aca="false">'Player Data'!D511</f>
        <v>3</v>
      </c>
      <c r="F511" s="21" t="n">
        <f aca="false">'Player Data'!G511</f>
        <v>19</v>
      </c>
      <c r="G511" s="21" t="n">
        <f aca="false">'Player Data'!H511</f>
        <v>1822</v>
      </c>
      <c r="H511" s="22" t="n">
        <f aca="false">IF(B511="GK",IFERROR(('Player Data'!N511-1.5*'Player Data'!O511)/'Player Data'!H511*90,0),IFERROR(('Player Data'!I511+'Player Data'!J511)/'Player Data'!H511*90,0))</f>
        <v>0.642151481888035</v>
      </c>
      <c r="I511" s="22" t="n">
        <f aca="false">IF(B511="GK",'Player Data'!P511,IFERROR(('Player Data'!K511+'Player Data'!L511)/'Player Data'!H511*90,0))</f>
        <v>6.7178924259056</v>
      </c>
      <c r="J511" s="22" t="n">
        <f aca="false">IF(B511="GK",IFERROR('Player Data'!Q511/'Player Data'!H511*90,0),IFERROR('Player Data'!M511/'Player Data'!H511*90,0))</f>
        <v>0.296377607025247</v>
      </c>
      <c r="K511" s="23" t="n">
        <f aca="false">'Player Data'!S511</f>
        <v>37249</v>
      </c>
      <c r="L511" s="22" t="n">
        <f aca="false">INDEX(Assumptions!$B$13:$B$15,MATCH(E511,Assumptions!$A$13:$A$15,0))</f>
        <v>0.85</v>
      </c>
      <c r="M511" s="24" t="n">
        <f aca="false">IFERROR(SUMPRODUCT(($B$2:$B$1001=B511)*($H$2:$H$1001&lt;=H511))/SUMPRODUCT(($B$2:$B$1001=B511)*1),0)</f>
        <v>0.190265486725664</v>
      </c>
      <c r="N511" s="24" t="n">
        <f aca="false">IFERROR(SUMPRODUCT(($B$2:$B$1001=B511)*($I$2:$I$1001&lt;=I511))/SUMPRODUCT(($B$2:$B$1001=B511)*1),0)</f>
        <v>0.535398230088496</v>
      </c>
      <c r="O511" s="24" t="n">
        <f aca="false">IFERROR(SUMPRODUCT(($B$2:$B$1001=B511)*($J$2:$J$1001&lt;=J511))/SUMPRODUCT(($B$2:$B$1001=B511)*1),0)</f>
        <v>0.172566371681416</v>
      </c>
      <c r="P511" s="24" t="n">
        <f aca="false">IFERROR(SUMPRODUCT(($B$2:$B$1001=B511)*((0-$F$2:$F$1001)&lt;=(0-F511)))/SUMPRODUCT(($B$2:$B$1001=B511)*1),0)</f>
        <v>0.831858407079646</v>
      </c>
      <c r="Q511" s="25" t="n">
        <f aca="false">(M511*Assumptions!$B$5+N511*Assumptions!$B$6+O511*Assumptions!$B$7+P511*Assumptions!$B$8)*L511</f>
        <v>0.370464601769912</v>
      </c>
      <c r="R511" s="24" t="n">
        <f aca="false">IFERROR(SUMPRODUCT(($B$2:$B$1001=B511)*($Q$2:$Q$1001&lt;=Q511))/SUMPRODUCT(($B$2:$B$1001=B511)*1),0)</f>
        <v>0.376106194690265</v>
      </c>
      <c r="S511" s="24" t="n">
        <f aca="false">IFERROR(SUMPRODUCT(($B$2:$B$1001=B511)*($K$2:$K$1001&lt;=K511))/SUMPRODUCT(($B$2:$B$1001=B511)*1),0)</f>
        <v>0.407079646017699</v>
      </c>
      <c r="T511" s="26" t="n">
        <f aca="false">(R511-S511)*100</f>
        <v>-3.09734513274337</v>
      </c>
      <c r="U511" s="21" t="str">
        <f aca="false">'Player Data'!T511</f>
        <v>Yes</v>
      </c>
      <c r="V511" s="27" t="n">
        <f aca="false">'Player Data'!U511</f>
        <v>2029</v>
      </c>
      <c r="W511" s="21" t="str">
        <f aca="false">IF(AND(T511&gt;=Assumptions!$B$19,U511="No"),"High Priority - Unrepresented",IF(T511&gt;=Assumptions!$B$19,"High Priority",IF(AND(T511&gt;=Assumptions!$B$20,U511="No"),"Watchlist - Unrepresented",IF(T511&gt;=Assumptions!$B$20,"Watchlist",""))))</f>
        <v/>
      </c>
      <c r="X511" s="21" t="str">
        <f aca="false">'Player Data'!V511</f>
        <v>info@kumasiathletic.gh</v>
      </c>
      <c r="Y511" s="28" t="str">
        <f aca="false">'Player Data'!W511</f>
        <v>Go through the player's agent - ask the club to confirm representation first</v>
      </c>
      <c r="Z511" s="28" t="str">
        <f aca="false">'Player Data'!X511</f>
        <v>GFA (Ghana Football Association) player registry</v>
      </c>
      <c r="AA511" s="19" t="str">
        <f aca="false">HYPERLINK("https://www.transfermarkt.com/schnellsuche/ergebnis/schnellsuche?query="&amp;SUBSTITUTE(A511," ","+"),"Search Transfermarkt")</f>
        <v>Search Transfermarkt</v>
      </c>
      <c r="AB511" s="29" t="n">
        <f aca="false">IFERROR('Player Data'!K511/('Player Data'!K511+'Player Data'!L511),0)</f>
        <v>0.367647058823529</v>
      </c>
      <c r="AC511" s="21" t="str">
        <f aca="false">IF(B511="GK",IF(AND(O511&gt;=Assumptions!$B$23,N511&gt;=Assumptions!$B$23),"Sweeper-Keeper / Build-from-the-Back",IF(O511&gt;=Assumptions!$B$23,"Sweeper-Keeper / High Line",IF(M511&gt;=Assumptions!$B$23,"Shot-Stopper / Traditional","Flexible / Multi-System"))),IF(AND(O511&gt;=Assumptions!$B$23,P511&gt;=Assumptions!$B$24),"High Press / Gegenpressing",IF(AND(N511&gt;=Assumptions!$B$23,AB511&gt;=Assumptions!$B$25),"Possession / Build-from-the-Back",IF(N511&gt;=Assumptions!$B$23,"Counter-Attack / Transition",IF(AND(O511&gt;=Assumptions!$B$23,N511&lt;Assumptions!$B$26),"Low Block / Park the Bus",IF(AND(B511="FW",M511&gt;=Assumptions!$B$23,N511&lt;Assumptions!$B$26),"Direct / Target Approach","Flexible / Multi-System"))))))</f>
        <v>Flexible / Multi-System</v>
      </c>
      <c r="AD511" s="21" t="str">
        <f aca="false">'Player Data'!Y511</f>
        <v>2026-07-17</v>
      </c>
      <c r="AE511" s="21" t="str">
        <f aca="false">'Player Data'!Z511</f>
        <v>2026-07-17</v>
      </c>
      <c r="AF511" s="28" t="str">
        <f aca="false">IFERROR(INDEX(Assumptions!$B$30:$B$61,MATCH(C511,Assumptions!$A$30:$A$61,0)),"--")</f>
        <v>Belgium, Portugal</v>
      </c>
      <c r="AG511" s="30" t="str">
        <f aca="false">IF(R511&gt;=0.7,"Step-Up Candidate",IF(R511&gt;=0.4,"Lateral Move","Stay &amp; Develop"))</f>
        <v>Stay &amp; Develop</v>
      </c>
    </row>
    <row r="512" customFormat="false" ht="23.85" hidden="false" customHeight="false" outlineLevel="0" collapsed="false">
      <c r="A512" s="21" t="str">
        <f aca="false">'Player Data'!A512</f>
        <v>Igor Stojanovski</v>
      </c>
      <c r="B512" s="21" t="str">
        <f aca="false">'Player Data'!F512</f>
        <v>MF</v>
      </c>
      <c r="C512" s="21" t="str">
        <f aca="false">'Player Data'!B512</f>
        <v>North Macedonia</v>
      </c>
      <c r="D512" s="21" t="str">
        <f aca="false">'Player Data'!C512</f>
        <v>North Macedonia Reserve League</v>
      </c>
      <c r="E512" s="21" t="n">
        <f aca="false">'Player Data'!D512</f>
        <v>3</v>
      </c>
      <c r="F512" s="21" t="n">
        <f aca="false">'Player Data'!G512</f>
        <v>24</v>
      </c>
      <c r="G512" s="21" t="n">
        <f aca="false">'Player Data'!H512</f>
        <v>1062</v>
      </c>
      <c r="H512" s="22" t="n">
        <f aca="false">IF(B512="GK",IFERROR(('Player Data'!N512-1.5*'Player Data'!O512)/'Player Data'!H512*90,0),IFERROR(('Player Data'!I512+'Player Data'!J512)/'Player Data'!H512*90,0))</f>
        <v>1.4406779661017</v>
      </c>
      <c r="I512" s="22" t="n">
        <f aca="false">IF(B512="GK",'Player Data'!P512,IFERROR(('Player Data'!K512+'Player Data'!L512)/'Player Data'!H512*90,0))</f>
        <v>22.0338983050847</v>
      </c>
      <c r="J512" s="22" t="n">
        <f aca="false">IF(B512="GK",IFERROR('Player Data'!Q512/'Player Data'!H512*90,0),IFERROR('Player Data'!M512/'Player Data'!H512*90,0))</f>
        <v>2.6271186440678</v>
      </c>
      <c r="K512" s="23" t="n">
        <f aca="false">'Player Data'!S512</f>
        <v>66863</v>
      </c>
      <c r="L512" s="22" t="n">
        <f aca="false">INDEX(Assumptions!$B$13:$B$15,MATCH(E512,Assumptions!$A$13:$A$15,0))</f>
        <v>0.85</v>
      </c>
      <c r="M512" s="24" t="n">
        <f aca="false">IFERROR(SUMPRODUCT(($B$2:$B$1001=B512)*($H$2:$H$1001&lt;=H512))/SUMPRODUCT(($B$2:$B$1001=B512)*1),0)</f>
        <v>0.915824915824916</v>
      </c>
      <c r="N512" s="24" t="n">
        <f aca="false">IFERROR(SUMPRODUCT(($B$2:$B$1001=B512)*($I$2:$I$1001&lt;=I512))/SUMPRODUCT(($B$2:$B$1001=B512)*1),0)</f>
        <v>0.946127946127946</v>
      </c>
      <c r="O512" s="24" t="n">
        <f aca="false">IFERROR(SUMPRODUCT(($B$2:$B$1001=B512)*($J$2:$J$1001&lt;=J512))/SUMPRODUCT(($B$2:$B$1001=B512)*1),0)</f>
        <v>0.68013468013468</v>
      </c>
      <c r="P512" s="24" t="n">
        <f aca="false">IFERROR(SUMPRODUCT(($B$2:$B$1001=B512)*((0-$F$2:$F$1001)&lt;=(0-F512)))/SUMPRODUCT(($B$2:$B$1001=B512)*1),0)</f>
        <v>0.326599326599327</v>
      </c>
      <c r="Q512" s="25" t="n">
        <f aca="false">(M512*Assumptions!$B$5+N512*Assumptions!$B$6+O512*Assumptions!$B$7+P512*Assumptions!$B$8)*L512</f>
        <v>0.64723063973064</v>
      </c>
      <c r="R512" s="24" t="n">
        <f aca="false">IFERROR(SUMPRODUCT(($B$2:$B$1001=B512)*($Q$2:$Q$1001&lt;=Q512))/SUMPRODUCT(($B$2:$B$1001=B512)*1),0)</f>
        <v>0.841750841750842</v>
      </c>
      <c r="S512" s="24" t="n">
        <f aca="false">IFERROR(SUMPRODUCT(($B$2:$B$1001=B512)*($K$2:$K$1001&lt;=K512))/SUMPRODUCT(($B$2:$B$1001=B512)*1),0)</f>
        <v>0.555555555555556</v>
      </c>
      <c r="T512" s="26" t="n">
        <f aca="false">(R512-S512)*100</f>
        <v>28.6195286195286</v>
      </c>
      <c r="U512" s="21" t="str">
        <f aca="false">'Player Data'!T512</f>
        <v>Unknown</v>
      </c>
      <c r="V512" s="27" t="n">
        <f aca="false">'Player Data'!U512</f>
        <v>2027</v>
      </c>
      <c r="W512" s="21" t="str">
        <f aca="false">IF(AND(T512&gt;=Assumptions!$B$19,U512="No"),"High Priority - Unrepresented",IF(T512&gt;=Assumptions!$B$19,"High Priority",IF(AND(T512&gt;=Assumptions!$B$20,U512="No"),"Watchlist - Unrepresented",IF(T512&gt;=Assumptions!$B$20,"Watchlist",""))))</f>
        <v>Watchlist</v>
      </c>
      <c r="X512" s="21" t="str">
        <f aca="false">'Player Data'!V512</f>
        <v>info@skopjerovers.mk</v>
      </c>
      <c r="Y512" s="28" t="str">
        <f aca="false">'Player Data'!W512</f>
        <v>Club sporting director / first-team office</v>
      </c>
      <c r="Z512" s="28" t="str">
        <f aca="false">'Player Data'!X512</f>
        <v>FFM (Football Federation of North Macedonia) player registry</v>
      </c>
      <c r="AA512" s="19" t="str">
        <f aca="false">HYPERLINK("https://www.transfermarkt.com/schnellsuche/ergebnis/schnellsuche?query="&amp;SUBSTITUTE(A512," ","+"),"Search Transfermarkt")</f>
        <v>Search Transfermarkt</v>
      </c>
      <c r="AB512" s="29" t="n">
        <f aca="false">IFERROR('Player Data'!K512/('Player Data'!K512+'Player Data'!L512),0)</f>
        <v>0.657692307692308</v>
      </c>
      <c r="AC512" s="21" t="str">
        <f aca="false">IF(B512="GK",IF(AND(O512&gt;=Assumptions!$B$23,N512&gt;=Assumptions!$B$23),"Sweeper-Keeper / Build-from-the-Back",IF(O512&gt;=Assumptions!$B$23,"Sweeper-Keeper / High Line",IF(M512&gt;=Assumptions!$B$23,"Shot-Stopper / Traditional","Flexible / Multi-System"))),IF(AND(O512&gt;=Assumptions!$B$23,P512&gt;=Assumptions!$B$24),"High Press / Gegenpressing",IF(AND(N512&gt;=Assumptions!$B$23,AB512&gt;=Assumptions!$B$25),"Possession / Build-from-the-Back",IF(N512&gt;=Assumptions!$B$23,"Counter-Attack / Transition",IF(AND(O512&gt;=Assumptions!$B$23,N512&lt;Assumptions!$B$26),"Low Block / Park the Bus",IF(AND(B512="FW",M512&gt;=Assumptions!$B$23,N512&lt;Assumptions!$B$26),"Direct / Target Approach","Flexible / Multi-System"))))))</f>
        <v>Possession / Build-from-the-Back</v>
      </c>
      <c r="AD512" s="21" t="str">
        <f aca="false">'Player Data'!Y512</f>
        <v>2026-07-17</v>
      </c>
      <c r="AE512" s="21" t="str">
        <f aca="false">'Player Data'!Z512</f>
        <v>2026-07-17</v>
      </c>
      <c r="AF512" s="28" t="str">
        <f aca="false">IFERROR(INDEX(Assumptions!$B$30:$B$61,MATCH(C512,Assumptions!$A$30:$A$61,0)),"--")</f>
        <v>Austria, Turkey</v>
      </c>
      <c r="AG512" s="30" t="str">
        <f aca="false">IF(R512&gt;=0.7,"Step-Up Candidate",IF(R512&gt;=0.4,"Lateral Move","Stay &amp; Develop"))</f>
        <v>Step-Up Candidate</v>
      </c>
    </row>
    <row r="513" customFormat="false" ht="23.85" hidden="false" customHeight="false" outlineLevel="0" collapsed="false">
      <c r="A513" s="21" t="str">
        <f aca="false">'Player Data'!A513</f>
        <v>Oumar Traore</v>
      </c>
      <c r="B513" s="21" t="str">
        <f aca="false">'Player Data'!F513</f>
        <v>MF</v>
      </c>
      <c r="C513" s="21" t="str">
        <f aca="false">'Player Data'!B513</f>
        <v>Mali</v>
      </c>
      <c r="D513" s="21" t="str">
        <f aca="false">'Player Data'!C513</f>
        <v>Mali Second Division - East</v>
      </c>
      <c r="E513" s="21" t="n">
        <f aca="false">'Player Data'!D513</f>
        <v>4</v>
      </c>
      <c r="F513" s="21" t="n">
        <f aca="false">'Player Data'!G513</f>
        <v>20</v>
      </c>
      <c r="G513" s="21" t="n">
        <f aca="false">'Player Data'!H513</f>
        <v>2576</v>
      </c>
      <c r="H513" s="22" t="n">
        <f aca="false">IF(B513="GK",IFERROR(('Player Data'!N513-1.5*'Player Data'!O513)/'Player Data'!H513*90,0),IFERROR(('Player Data'!I513+'Player Data'!J513)/'Player Data'!H513*90,0))</f>
        <v>0.524068322981366</v>
      </c>
      <c r="I513" s="22" t="n">
        <f aca="false">IF(B513="GK",'Player Data'!P513,IFERROR(('Player Data'!K513+'Player Data'!L513)/'Player Data'!H513*90,0))</f>
        <v>6.9526397515528</v>
      </c>
      <c r="J513" s="22" t="n">
        <f aca="false">IF(B513="GK",IFERROR('Player Data'!Q513/'Player Data'!H513*90,0),IFERROR('Player Data'!M513/'Player Data'!H513*90,0))</f>
        <v>1.88664596273292</v>
      </c>
      <c r="K513" s="23" t="n">
        <f aca="false">'Player Data'!S513</f>
        <v>14383</v>
      </c>
      <c r="L513" s="22" t="n">
        <f aca="false">INDEX(Assumptions!$B$13:$B$15,MATCH(E513,Assumptions!$A$13:$A$15,0))</f>
        <v>0.7</v>
      </c>
      <c r="M513" s="24" t="n">
        <f aca="false">IFERROR(SUMPRODUCT(($B$2:$B$1001=B513)*($H$2:$H$1001&lt;=H513))/SUMPRODUCT(($B$2:$B$1001=B513)*1),0)</f>
        <v>0.242424242424242</v>
      </c>
      <c r="N513" s="24" t="n">
        <f aca="false">IFERROR(SUMPRODUCT(($B$2:$B$1001=B513)*($I$2:$I$1001&lt;=I513))/SUMPRODUCT(($B$2:$B$1001=B513)*1),0)</f>
        <v>0.0505050505050505</v>
      </c>
      <c r="O513" s="24" t="n">
        <f aca="false">IFERROR(SUMPRODUCT(($B$2:$B$1001=B513)*($J$2:$J$1001&lt;=J513))/SUMPRODUCT(($B$2:$B$1001=B513)*1),0)</f>
        <v>0.367003367003367</v>
      </c>
      <c r="P513" s="24" t="n">
        <f aca="false">IFERROR(SUMPRODUCT(($B$2:$B$1001=B513)*((0-$F$2:$F$1001)&lt;=(0-F513)))/SUMPRODUCT(($B$2:$B$1001=B513)*1),0)</f>
        <v>0.734006734006734</v>
      </c>
      <c r="Q513" s="25" t="n">
        <f aca="false">(M513*Assumptions!$B$5+N513*Assumptions!$B$6+O513*Assumptions!$B$7+P513*Assumptions!$B$8)*L513</f>
        <v>0.208939393939394</v>
      </c>
      <c r="R513" s="24" t="n">
        <f aca="false">IFERROR(SUMPRODUCT(($B$2:$B$1001=B513)*($Q$2:$Q$1001&lt;=Q513))/SUMPRODUCT(($B$2:$B$1001=B513)*1),0)</f>
        <v>0.101010101010101</v>
      </c>
      <c r="S513" s="24" t="n">
        <f aca="false">IFERROR(SUMPRODUCT(($B$2:$B$1001=B513)*($K$2:$K$1001&lt;=K513))/SUMPRODUCT(($B$2:$B$1001=B513)*1),0)</f>
        <v>0.252525252525253</v>
      </c>
      <c r="T513" s="26" t="n">
        <f aca="false">(R513-S513)*100</f>
        <v>-15.1515151515152</v>
      </c>
      <c r="U513" s="21" t="str">
        <f aca="false">'Player Data'!T513</f>
        <v>No</v>
      </c>
      <c r="V513" s="27" t="n">
        <f aca="false">'Player Data'!U513</f>
        <v>2028</v>
      </c>
      <c r="W513" s="21" t="str">
        <f aca="false">IF(AND(T513&gt;=Assumptions!$B$19,U513="No"),"High Priority - Unrepresented",IF(T513&gt;=Assumptions!$B$19,"High Priority",IF(AND(T513&gt;=Assumptions!$B$20,U513="No"),"Watchlist - Unrepresented",IF(T513&gt;=Assumptions!$B$20,"Watchlist",""))))</f>
        <v/>
      </c>
      <c r="X513" s="21" t="str">
        <f aca="false">'Player Data'!V513</f>
        <v>info@kayesrangers.ml</v>
      </c>
      <c r="Y513" s="28" t="str">
        <f aca="false">'Player Data'!W513</f>
        <v>Club sporting director / first-team office</v>
      </c>
      <c r="Z513" s="28" t="str">
        <f aca="false">'Player Data'!X513</f>
        <v>FEMAFOOT (Malian Football Federation) player registry</v>
      </c>
      <c r="AA513" s="19" t="str">
        <f aca="false">HYPERLINK("https://www.transfermarkt.com/schnellsuche/ergebnis/schnellsuche?query="&amp;SUBSTITUTE(A513," ","+"),"Search Transfermarkt")</f>
        <v>Search Transfermarkt</v>
      </c>
      <c r="AB513" s="29" t="n">
        <f aca="false">IFERROR('Player Data'!K513/('Player Data'!K513+'Player Data'!L513),0)</f>
        <v>0.597989949748744</v>
      </c>
      <c r="AC513" s="21" t="str">
        <f aca="false">IF(B513="GK",IF(AND(O513&gt;=Assumptions!$B$23,N513&gt;=Assumptions!$B$23),"Sweeper-Keeper / Build-from-the-Back",IF(O513&gt;=Assumptions!$B$23,"Sweeper-Keeper / High Line",IF(M513&gt;=Assumptions!$B$23,"Shot-Stopper / Traditional","Flexible / Multi-System"))),IF(AND(O513&gt;=Assumptions!$B$23,P513&gt;=Assumptions!$B$24),"High Press / Gegenpressing",IF(AND(N513&gt;=Assumptions!$B$23,AB513&gt;=Assumptions!$B$25),"Possession / Build-from-the-Back",IF(N513&gt;=Assumptions!$B$23,"Counter-Attack / Transition",IF(AND(O513&gt;=Assumptions!$B$23,N513&lt;Assumptions!$B$26),"Low Block / Park the Bus",IF(AND(B513="FW",M513&gt;=Assumptions!$B$23,N513&lt;Assumptions!$B$26),"Direct / Target Approach","Flexible / Multi-System"))))))</f>
        <v>Flexible / Multi-System</v>
      </c>
      <c r="AD513" s="21" t="str">
        <f aca="false">'Player Data'!Y513</f>
        <v>2026-07-17</v>
      </c>
      <c r="AE513" s="21" t="str">
        <f aca="false">'Player Data'!Z513</f>
        <v>2026-07-17</v>
      </c>
      <c r="AF513" s="28" t="str">
        <f aca="false">IFERROR(INDEX(Assumptions!$B$30:$B$61,MATCH(C513,Assumptions!$A$30:$A$61,0)),"--")</f>
        <v>Belgium, Portugal</v>
      </c>
      <c r="AG513" s="30" t="str">
        <f aca="false">IF(R513&gt;=0.7,"Step-Up Candidate",IF(R513&gt;=0.4,"Lateral Move","Stay &amp; Develop"))</f>
        <v>Stay &amp; Develop</v>
      </c>
    </row>
    <row r="514" customFormat="false" ht="23.85" hidden="false" customHeight="false" outlineLevel="0" collapsed="false">
      <c r="A514" s="21" t="str">
        <f aca="false">'Player Data'!A514</f>
        <v>Gunnar Olafsson</v>
      </c>
      <c r="B514" s="21" t="str">
        <f aca="false">'Player Data'!F514</f>
        <v>FW</v>
      </c>
      <c r="C514" s="21" t="str">
        <f aca="false">'Player Data'!B514</f>
        <v>Iceland</v>
      </c>
      <c r="D514" s="21" t="str">
        <f aca="false">'Player Data'!C514</f>
        <v>Iceland Regional League</v>
      </c>
      <c r="E514" s="21" t="n">
        <f aca="false">'Player Data'!D514</f>
        <v>3</v>
      </c>
      <c r="F514" s="21" t="n">
        <f aca="false">'Player Data'!G514</f>
        <v>20</v>
      </c>
      <c r="G514" s="21" t="n">
        <f aca="false">'Player Data'!H514</f>
        <v>2629</v>
      </c>
      <c r="H514" s="22" t="n">
        <f aca="false">IF(B514="GK",IFERROR(('Player Data'!N514-1.5*'Player Data'!O514)/'Player Data'!H514*90,0),IFERROR(('Player Data'!I514+'Player Data'!J514)/'Player Data'!H514*90,0))</f>
        <v>0.95853936858121</v>
      </c>
      <c r="I514" s="22" t="n">
        <f aca="false">IF(B514="GK",'Player Data'!P514,IFERROR(('Player Data'!K514+'Player Data'!L514)/'Player Data'!H514*90,0))</f>
        <v>3.45758843666793</v>
      </c>
      <c r="J514" s="22" t="n">
        <f aca="false">IF(B514="GK",IFERROR('Player Data'!Q514/'Player Data'!H514*90,0),IFERROR('Player Data'!M514/'Player Data'!H514*90,0))</f>
        <v>0.273868391023203</v>
      </c>
      <c r="K514" s="23" t="n">
        <f aca="false">'Player Data'!S514</f>
        <v>64609</v>
      </c>
      <c r="L514" s="22" t="n">
        <f aca="false">INDEX(Assumptions!$B$13:$B$15,MATCH(E514,Assumptions!$A$13:$A$15,0))</f>
        <v>0.85</v>
      </c>
      <c r="M514" s="24" t="n">
        <f aca="false">IFERROR(SUMPRODUCT(($B$2:$B$1001=B514)*($H$2:$H$1001&lt;=H514))/SUMPRODUCT(($B$2:$B$1001=B514)*1),0)</f>
        <v>0.47787610619469</v>
      </c>
      <c r="N514" s="24" t="n">
        <f aca="false">IFERROR(SUMPRODUCT(($B$2:$B$1001=B514)*($I$2:$I$1001&lt;=I514))/SUMPRODUCT(($B$2:$B$1001=B514)*1),0)</f>
        <v>0.00442477876106195</v>
      </c>
      <c r="O514" s="24" t="n">
        <f aca="false">IFERROR(SUMPRODUCT(($B$2:$B$1001=B514)*($J$2:$J$1001&lt;=J514))/SUMPRODUCT(($B$2:$B$1001=B514)*1),0)</f>
        <v>0.132743362831858</v>
      </c>
      <c r="P514" s="24" t="n">
        <f aca="false">IFERROR(SUMPRODUCT(($B$2:$B$1001=B514)*((0-$F$2:$F$1001)&lt;=(0-F514)))/SUMPRODUCT(($B$2:$B$1001=B514)*1),0)</f>
        <v>0.712389380530973</v>
      </c>
      <c r="Q514" s="25" t="n">
        <f aca="false">(M514*Assumptions!$B$5+N514*Assumptions!$B$6+O514*Assumptions!$B$7+P514*Assumptions!$B$8)*L514</f>
        <v>0.246537610619469</v>
      </c>
      <c r="R514" s="24" t="n">
        <f aca="false">IFERROR(SUMPRODUCT(($B$2:$B$1001=B514)*($Q$2:$Q$1001&lt;=Q514))/SUMPRODUCT(($B$2:$B$1001=B514)*1),0)</f>
        <v>0.190265486725664</v>
      </c>
      <c r="S514" s="24" t="n">
        <f aca="false">IFERROR(SUMPRODUCT(($B$2:$B$1001=B514)*($K$2:$K$1001&lt;=K514))/SUMPRODUCT(($B$2:$B$1001=B514)*1),0)</f>
        <v>0.526548672566372</v>
      </c>
      <c r="T514" s="26" t="n">
        <f aca="false">(R514-S514)*100</f>
        <v>-33.6283185840708</v>
      </c>
      <c r="U514" s="21" t="str">
        <f aca="false">'Player Data'!T514</f>
        <v>Yes</v>
      </c>
      <c r="V514" s="27" t="n">
        <f aca="false">'Player Data'!U514</f>
        <v>2028</v>
      </c>
      <c r="W514" s="21" t="str">
        <f aca="false">IF(AND(T514&gt;=Assumptions!$B$19,U514="No"),"High Priority - Unrepresented",IF(T514&gt;=Assumptions!$B$19,"High Priority",IF(AND(T514&gt;=Assumptions!$B$20,U514="No"),"Watchlist - Unrepresented",IF(T514&gt;=Assumptions!$B$20,"Watchlist",""))))</f>
        <v/>
      </c>
      <c r="X514" s="21" t="str">
        <f aca="false">'Player Data'!V514</f>
        <v>info@hafnarfjordurrangers.is</v>
      </c>
      <c r="Y514" s="28" t="str">
        <f aca="false">'Player Data'!W514</f>
        <v>Go through the player's agent - ask the club to confirm representation first</v>
      </c>
      <c r="Z514" s="28" t="str">
        <f aca="false">'Player Data'!X514</f>
        <v>KSI (Icelandic Football Association) player registry</v>
      </c>
      <c r="AA514" s="19" t="str">
        <f aca="false">HYPERLINK("https://www.transfermarkt.com/schnellsuche/ergebnis/schnellsuche?query="&amp;SUBSTITUTE(A514," ","+"),"Search Transfermarkt")</f>
        <v>Search Transfermarkt</v>
      </c>
      <c r="AB514" s="29" t="n">
        <f aca="false">IFERROR('Player Data'!K514/('Player Data'!K514+'Player Data'!L514),0)</f>
        <v>0.356435643564356</v>
      </c>
      <c r="AC514" s="21" t="str">
        <f aca="false">IF(B514="GK",IF(AND(O514&gt;=Assumptions!$B$23,N514&gt;=Assumptions!$B$23),"Sweeper-Keeper / Build-from-the-Back",IF(O514&gt;=Assumptions!$B$23,"Sweeper-Keeper / High Line",IF(M514&gt;=Assumptions!$B$23,"Shot-Stopper / Traditional","Flexible / Multi-System"))),IF(AND(O514&gt;=Assumptions!$B$23,P514&gt;=Assumptions!$B$24),"High Press / Gegenpressing",IF(AND(N514&gt;=Assumptions!$B$23,AB514&gt;=Assumptions!$B$25),"Possession / Build-from-the-Back",IF(N514&gt;=Assumptions!$B$23,"Counter-Attack / Transition",IF(AND(O514&gt;=Assumptions!$B$23,N514&lt;Assumptions!$B$26),"Low Block / Park the Bus",IF(AND(B514="FW",M514&gt;=Assumptions!$B$23,N514&lt;Assumptions!$B$26),"Direct / Target Approach","Flexible / Multi-System"))))))</f>
        <v>Flexible / Multi-System</v>
      </c>
      <c r="AD514" s="21" t="str">
        <f aca="false">'Player Data'!Y514</f>
        <v>2026-07-17</v>
      </c>
      <c r="AE514" s="21" t="str">
        <f aca="false">'Player Data'!Z514</f>
        <v>2026-07-17</v>
      </c>
      <c r="AF514" s="28" t="str">
        <f aca="false">IFERROR(INDEX(Assumptions!$B$30:$B$61,MATCH(C514,Assumptions!$A$30:$A$61,0)),"--")</f>
        <v>Norway, Belgium</v>
      </c>
      <c r="AG514" s="30" t="str">
        <f aca="false">IF(R514&gt;=0.7,"Step-Up Candidate",IF(R514&gt;=0.4,"Lateral Move","Stay &amp; Develop"))</f>
        <v>Stay &amp; Develop</v>
      </c>
    </row>
    <row r="515" customFormat="false" ht="23.85" hidden="false" customHeight="false" outlineLevel="0" collapsed="false">
      <c r="A515" s="21" t="str">
        <f aca="false">'Player Data'!A515</f>
        <v>Romell Palacios</v>
      </c>
      <c r="B515" s="21" t="str">
        <f aca="false">'Player Data'!F515</f>
        <v>GK</v>
      </c>
      <c r="C515" s="21" t="str">
        <f aca="false">'Player Data'!B515</f>
        <v>Honduras</v>
      </c>
      <c r="D515" s="21" t="str">
        <f aca="false">'Player Data'!C515</f>
        <v>Honduras Second Division - West</v>
      </c>
      <c r="E515" s="21" t="n">
        <f aca="false">'Player Data'!D515</f>
        <v>2</v>
      </c>
      <c r="F515" s="21" t="n">
        <f aca="false">'Player Data'!G515</f>
        <v>20</v>
      </c>
      <c r="G515" s="21" t="n">
        <f aca="false">'Player Data'!H515</f>
        <v>2500</v>
      </c>
      <c r="H515" s="22" t="n">
        <f aca="false">IF(B515="GK",IFERROR(('Player Data'!N515-1.5*'Player Data'!O515)/'Player Data'!H515*90,0),IFERROR(('Player Data'!I515+'Player Data'!J515)/'Player Data'!H515*90,0))</f>
        <v>-0.648</v>
      </c>
      <c r="I515" s="22" t="n">
        <f aca="false">IF(B515="GK",'Player Data'!P515,IFERROR(('Player Data'!K515+'Player Data'!L515)/'Player Data'!H515*90,0))</f>
        <v>79.1</v>
      </c>
      <c r="J515" s="22" t="n">
        <f aca="false">IF(B515="GK",IFERROR('Player Data'!Q515/'Player Data'!H515*90,0),IFERROR('Player Data'!M515/'Player Data'!H515*90,0))</f>
        <v>0.3636</v>
      </c>
      <c r="K515" s="23" t="n">
        <f aca="false">'Player Data'!S515</f>
        <v>0</v>
      </c>
      <c r="L515" s="22" t="n">
        <f aca="false">INDEX(Assumptions!$B$13:$B$15,MATCH(E515,Assumptions!$A$13:$A$15,0))</f>
        <v>1</v>
      </c>
      <c r="M515" s="24" t="n">
        <f aca="false">IFERROR(SUMPRODUCT(($B$2:$B$1001=B515)*($H$2:$H$1001&lt;=H515))/SUMPRODUCT(($B$2:$B$1001=B515)*1),0)</f>
        <v>0.0437158469945355</v>
      </c>
      <c r="N515" s="24" t="n">
        <f aca="false">IFERROR(SUMPRODUCT(($B$2:$B$1001=B515)*($I$2:$I$1001&lt;=I515))/SUMPRODUCT(($B$2:$B$1001=B515)*1),0)</f>
        <v>0.628415300546448</v>
      </c>
      <c r="O515" s="24" t="n">
        <f aca="false">IFERROR(SUMPRODUCT(($B$2:$B$1001=B515)*($J$2:$J$1001&lt;=J515))/SUMPRODUCT(($B$2:$B$1001=B515)*1),0)</f>
        <v>0.163934426229508</v>
      </c>
      <c r="P515" s="24" t="n">
        <f aca="false">IFERROR(SUMPRODUCT(($B$2:$B$1001=B515)*((0-$F$2:$F$1001)&lt;=(0-F515)))/SUMPRODUCT(($B$2:$B$1001=B515)*1),0)</f>
        <v>0.677595628415301</v>
      </c>
      <c r="Q515" s="25" t="n">
        <f aca="false">(M515*Assumptions!$B$5+N515*Assumptions!$B$6+O515*Assumptions!$B$7+P515*Assumptions!$B$8)*L515</f>
        <v>0.399180327868853</v>
      </c>
      <c r="R515" s="24" t="n">
        <f aca="false">IFERROR(SUMPRODUCT(($B$2:$B$1001=B515)*($Q$2:$Q$1001&lt;=Q515))/SUMPRODUCT(($B$2:$B$1001=B515)*1),0)</f>
        <v>0.366120218579235</v>
      </c>
      <c r="S515" s="24" t="n">
        <f aca="false">IFERROR(SUMPRODUCT(($B$2:$B$1001=B515)*($K$2:$K$1001&lt;=K515))/SUMPRODUCT(($B$2:$B$1001=B515)*1),0)</f>
        <v>0.218579234972678</v>
      </c>
      <c r="T515" s="26" t="n">
        <f aca="false">(R515-S515)*100</f>
        <v>14.7540983606557</v>
      </c>
      <c r="U515" s="21" t="str">
        <f aca="false">'Player Data'!T515</f>
        <v>Yes</v>
      </c>
      <c r="V515" s="27" t="n">
        <f aca="false">'Player Data'!U515</f>
        <v>2026</v>
      </c>
      <c r="W515" s="21" t="str">
        <f aca="false">IF(AND(T515&gt;=Assumptions!$B$19,U515="No"),"High Priority - Unrepresented",IF(T515&gt;=Assumptions!$B$19,"High Priority",IF(AND(T515&gt;=Assumptions!$B$20,U515="No"),"Watchlist - Unrepresented",IF(T515&gt;=Assumptions!$B$20,"Watchlist",""))))</f>
        <v/>
      </c>
      <c r="X515" s="21" t="str">
        <f aca="false">'Player Data'!V515</f>
        <v>info@sanpedrosulasc.hn</v>
      </c>
      <c r="Y515" s="28" t="str">
        <f aca="false">'Player Data'!W515</f>
        <v>Go through the player's agent - ask the club to confirm representation first</v>
      </c>
      <c r="Z515" s="28" t="str">
        <f aca="false">'Player Data'!X515</f>
        <v>FENAFUTH (Honduran Football Federation) player registry</v>
      </c>
      <c r="AA515" s="19" t="str">
        <f aca="false">HYPERLINK("https://www.transfermarkt.com/schnellsuche/ergebnis/schnellsuche?query="&amp;SUBSTITUTE(A515," ","+"),"Search Transfermarkt")</f>
        <v>Search Transfermarkt</v>
      </c>
      <c r="AB515" s="29" t="n">
        <f aca="false">IFERROR('Player Data'!K515/('Player Data'!K515+'Player Data'!L515),0)</f>
        <v>1</v>
      </c>
      <c r="AC515" s="21" t="str">
        <f aca="false">IF(B515="GK",IF(AND(O515&gt;=Assumptions!$B$23,N515&gt;=Assumptions!$B$23),"Sweeper-Keeper / Build-from-the-Back",IF(O515&gt;=Assumptions!$B$23,"Sweeper-Keeper / High Line",IF(M515&gt;=Assumptions!$B$23,"Shot-Stopper / Traditional","Flexible / Multi-System"))),IF(AND(O515&gt;=Assumptions!$B$23,P515&gt;=Assumptions!$B$24),"High Press / Gegenpressing",IF(AND(N515&gt;=Assumptions!$B$23,AB515&gt;=Assumptions!$B$25),"Possession / Build-from-the-Back",IF(N515&gt;=Assumptions!$B$23,"Counter-Attack / Transition",IF(AND(O515&gt;=Assumptions!$B$23,N515&lt;Assumptions!$B$26),"Low Block / Park the Bus",IF(AND(B515="FW",M515&gt;=Assumptions!$B$23,N515&lt;Assumptions!$B$26),"Direct / Target Approach","Flexible / Multi-System"))))))</f>
        <v>Flexible / Multi-System</v>
      </c>
      <c r="AD515" s="21" t="str">
        <f aca="false">'Player Data'!Y515</f>
        <v>2026-07-17</v>
      </c>
      <c r="AE515" s="21" t="str">
        <f aca="false">'Player Data'!Z515</f>
        <v>2026-07-17</v>
      </c>
      <c r="AF515" s="28" t="str">
        <f aca="false">IFERROR(INDEX(Assumptions!$B$30:$B$61,MATCH(C515,Assumptions!$A$30:$A$61,0)),"--")</f>
        <v>Mexico, United States</v>
      </c>
      <c r="AG515" s="30" t="str">
        <f aca="false">IF(R515&gt;=0.7,"Step-Up Candidate",IF(R515&gt;=0.4,"Lateral Move","Stay &amp; Develop"))</f>
        <v>Stay &amp; Develop</v>
      </c>
    </row>
    <row r="516" customFormat="false" ht="23.85" hidden="false" customHeight="false" outlineLevel="0" collapsed="false">
      <c r="A516" s="21" t="str">
        <f aca="false">'Player Data'!A516</f>
        <v>Nika Kapanadze</v>
      </c>
      <c r="B516" s="21" t="str">
        <f aca="false">'Player Data'!F516</f>
        <v>DF</v>
      </c>
      <c r="C516" s="21" t="str">
        <f aca="false">'Player Data'!B516</f>
        <v>Georgia</v>
      </c>
      <c r="D516" s="21" t="str">
        <f aca="false">'Player Data'!C516</f>
        <v>Georgia Reserve League</v>
      </c>
      <c r="E516" s="21" t="n">
        <f aca="false">'Player Data'!D516</f>
        <v>4</v>
      </c>
      <c r="F516" s="21" t="n">
        <f aca="false">'Player Data'!G516</f>
        <v>17</v>
      </c>
      <c r="G516" s="21" t="n">
        <f aca="false">'Player Data'!H516</f>
        <v>1367</v>
      </c>
      <c r="H516" s="22" t="n">
        <f aca="false">IF(B516="GK",IFERROR(('Player Data'!N516-1.5*'Player Data'!O516)/'Player Data'!H516*90,0),IFERROR(('Player Data'!I516+'Player Data'!J516)/'Player Data'!H516*90,0))</f>
        <v>0.395025603511339</v>
      </c>
      <c r="I516" s="22" t="n">
        <f aca="false">IF(B516="GK",'Player Data'!P516,IFERROR(('Player Data'!K516+'Player Data'!L516)/'Player Data'!H516*90,0))</f>
        <v>6.38624725676664</v>
      </c>
      <c r="J516" s="22" t="n">
        <f aca="false">IF(B516="GK",IFERROR('Player Data'!Q516/'Player Data'!H516*90,0),IFERROR('Player Data'!M516/'Player Data'!H516*90,0))</f>
        <v>7.1104608632041</v>
      </c>
      <c r="K516" s="23" t="n">
        <f aca="false">'Player Data'!S516</f>
        <v>136028</v>
      </c>
      <c r="L516" s="22" t="n">
        <f aca="false">INDEX(Assumptions!$B$13:$B$15,MATCH(E516,Assumptions!$A$13:$A$15,0))</f>
        <v>0.7</v>
      </c>
      <c r="M516" s="24" t="n">
        <f aca="false">IFERROR(SUMPRODUCT(($B$2:$B$1001=B516)*($H$2:$H$1001&lt;=H516))/SUMPRODUCT(($B$2:$B$1001=B516)*1),0)</f>
        <v>0.894557823129252</v>
      </c>
      <c r="N516" s="24" t="n">
        <f aca="false">IFERROR(SUMPRODUCT(($B$2:$B$1001=B516)*($I$2:$I$1001&lt;=I516))/SUMPRODUCT(($B$2:$B$1001=B516)*1),0)</f>
        <v>0.782312925170068</v>
      </c>
      <c r="O516" s="24" t="n">
        <f aca="false">IFERROR(SUMPRODUCT(($B$2:$B$1001=B516)*($J$2:$J$1001&lt;=J516))/SUMPRODUCT(($B$2:$B$1001=B516)*1),0)</f>
        <v>0.755102040816327</v>
      </c>
      <c r="P516" s="24" t="n">
        <f aca="false">IFERROR(SUMPRODUCT(($B$2:$B$1001=B516)*((0-$F$2:$F$1001)&lt;=(0-F516)))/SUMPRODUCT(($B$2:$B$1001=B516)*1),0)</f>
        <v>1</v>
      </c>
      <c r="Q516" s="25" t="n">
        <f aca="false">(M516*Assumptions!$B$5+N516*Assumptions!$B$6+O516*Assumptions!$B$7+P516*Assumptions!$B$8)*L516</f>
        <v>0.593928571428571</v>
      </c>
      <c r="R516" s="24" t="n">
        <f aca="false">IFERROR(SUMPRODUCT(($B$2:$B$1001=B516)*($Q$2:$Q$1001&lt;=Q516))/SUMPRODUCT(($B$2:$B$1001=B516)*1),0)</f>
        <v>0.744897959183674</v>
      </c>
      <c r="S516" s="24" t="n">
        <f aca="false">IFERROR(SUMPRODUCT(($B$2:$B$1001=B516)*($K$2:$K$1001&lt;=K516))/SUMPRODUCT(($B$2:$B$1001=B516)*1),0)</f>
        <v>0.938775510204082</v>
      </c>
      <c r="T516" s="26" t="n">
        <f aca="false">(R516-S516)*100</f>
        <v>-19.3877551020408</v>
      </c>
      <c r="U516" s="21" t="str">
        <f aca="false">'Player Data'!T516</f>
        <v>Yes</v>
      </c>
      <c r="V516" s="27" t="n">
        <f aca="false">'Player Data'!U516</f>
        <v>2026</v>
      </c>
      <c r="W516" s="21" t="str">
        <f aca="false">IF(AND(T516&gt;=Assumptions!$B$19,U516="No"),"High Priority - Unrepresented",IF(T516&gt;=Assumptions!$B$19,"High Priority",IF(AND(T516&gt;=Assumptions!$B$20,U516="No"),"Watchlist - Unrepresented",IF(T516&gt;=Assumptions!$B$20,"Watchlist",""))))</f>
        <v/>
      </c>
      <c r="X516" s="21" t="str">
        <f aca="false">'Player Data'!V516</f>
        <v>info@kutaisisc.ge</v>
      </c>
      <c r="Y516" s="28" t="str">
        <f aca="false">'Player Data'!W516</f>
        <v>Club youth/academy office ONLY - player is a minor, do not contact directly</v>
      </c>
      <c r="Z516" s="28" t="str">
        <f aca="false">'Player Data'!X516</f>
        <v>GFF (Georgian Football Federation) player registry</v>
      </c>
      <c r="AA516" s="19" t="str">
        <f aca="false">HYPERLINK("https://www.transfermarkt.com/schnellsuche/ergebnis/schnellsuche?query="&amp;SUBSTITUTE(A516," ","+"),"Search Transfermarkt")</f>
        <v>Search Transfermarkt</v>
      </c>
      <c r="AB516" s="29" t="n">
        <f aca="false">IFERROR('Player Data'!K516/('Player Data'!K516+'Player Data'!L516),0)</f>
        <v>0.525773195876289</v>
      </c>
      <c r="AC516" s="21" t="str">
        <f aca="false">IF(B516="GK",IF(AND(O516&gt;=Assumptions!$B$23,N516&gt;=Assumptions!$B$23),"Sweeper-Keeper / Build-from-the-Back",IF(O516&gt;=Assumptions!$B$23,"Sweeper-Keeper / High Line",IF(M516&gt;=Assumptions!$B$23,"Shot-Stopper / Traditional","Flexible / Multi-System"))),IF(AND(O516&gt;=Assumptions!$B$23,P516&gt;=Assumptions!$B$24),"High Press / Gegenpressing",IF(AND(N516&gt;=Assumptions!$B$23,AB516&gt;=Assumptions!$B$25),"Possession / Build-from-the-Back",IF(N516&gt;=Assumptions!$B$23,"Counter-Attack / Transition",IF(AND(O516&gt;=Assumptions!$B$23,N516&lt;Assumptions!$B$26),"Low Block / Park the Bus",IF(AND(B516="FW",M516&gt;=Assumptions!$B$23,N516&lt;Assumptions!$B$26),"Direct / Target Approach","Flexible / Multi-System"))))))</f>
        <v>High Press / Gegenpressing</v>
      </c>
      <c r="AD516" s="21" t="str">
        <f aca="false">'Player Data'!Y516</f>
        <v>2026-07-17</v>
      </c>
      <c r="AE516" s="21" t="str">
        <f aca="false">'Player Data'!Z516</f>
        <v>2026-07-17</v>
      </c>
      <c r="AF516" s="28" t="str">
        <f aca="false">IFERROR(INDEX(Assumptions!$B$30:$B$61,MATCH(C516,Assumptions!$A$30:$A$61,0)),"--")</f>
        <v>Turkey, Poland</v>
      </c>
      <c r="AG516" s="30" t="str">
        <f aca="false">IF(R516&gt;=0.7,"Step-Up Candidate",IF(R516&gt;=0.4,"Lateral Move","Stay &amp; Develop"))</f>
        <v>Step-Up Candidate</v>
      </c>
    </row>
    <row r="517" customFormat="false" ht="23.85" hidden="false" customHeight="false" outlineLevel="0" collapsed="false">
      <c r="A517" s="21" t="str">
        <f aca="false">'Player Data'!A517</f>
        <v>Kittipong Boonmee</v>
      </c>
      <c r="B517" s="21" t="str">
        <f aca="false">'Player Data'!F517</f>
        <v>GK</v>
      </c>
      <c r="C517" s="21" t="str">
        <f aca="false">'Player Data'!B517</f>
        <v>Thailand</v>
      </c>
      <c r="D517" s="21" t="str">
        <f aca="false">'Player Data'!C517</f>
        <v>Thailand Amateur League</v>
      </c>
      <c r="E517" s="21" t="n">
        <f aca="false">'Player Data'!D517</f>
        <v>4</v>
      </c>
      <c r="F517" s="21" t="n">
        <f aca="false">'Player Data'!G517</f>
        <v>18</v>
      </c>
      <c r="G517" s="21" t="n">
        <f aca="false">'Player Data'!H517</f>
        <v>1996</v>
      </c>
      <c r="H517" s="22" t="n">
        <f aca="false">IF(B517="GK",IFERROR(('Player Data'!N517-1.5*'Player Data'!O517)/'Player Data'!H517*90,0),IFERROR(('Player Data'!I517+'Player Data'!J517)/'Player Data'!H517*90,0))</f>
        <v>1.91633266533066</v>
      </c>
      <c r="I517" s="22" t="n">
        <f aca="false">IF(B517="GK",'Player Data'!P517,IFERROR(('Player Data'!K517+'Player Data'!L517)/'Player Data'!H517*90,0))</f>
        <v>84.6</v>
      </c>
      <c r="J517" s="22" t="n">
        <f aca="false">IF(B517="GK",IFERROR('Player Data'!Q517/'Player Data'!H517*90,0),IFERROR('Player Data'!M517/'Player Data'!H517*90,0))</f>
        <v>0.482464929859719</v>
      </c>
      <c r="K517" s="23" t="n">
        <f aca="false">'Player Data'!S517</f>
        <v>52515</v>
      </c>
      <c r="L517" s="22" t="n">
        <f aca="false">INDEX(Assumptions!$B$13:$B$15,MATCH(E517,Assumptions!$A$13:$A$15,0))</f>
        <v>0.7</v>
      </c>
      <c r="M517" s="24" t="n">
        <f aca="false">IFERROR(SUMPRODUCT(($B$2:$B$1001=B517)*($H$2:$H$1001&lt;=H517))/SUMPRODUCT(($B$2:$B$1001=B517)*1),0)</f>
        <v>0.879781420765027</v>
      </c>
      <c r="N517" s="24" t="n">
        <f aca="false">IFERROR(SUMPRODUCT(($B$2:$B$1001=B517)*($I$2:$I$1001&lt;=I517))/SUMPRODUCT(($B$2:$B$1001=B517)*1),0)</f>
        <v>0.846994535519126</v>
      </c>
      <c r="O517" s="24" t="n">
        <f aca="false">IFERROR(SUMPRODUCT(($B$2:$B$1001=B517)*($J$2:$J$1001&lt;=J517))/SUMPRODUCT(($B$2:$B$1001=B517)*1),0)</f>
        <v>0.251366120218579</v>
      </c>
      <c r="P517" s="24" t="n">
        <f aca="false">IFERROR(SUMPRODUCT(($B$2:$B$1001=B517)*((0-$F$2:$F$1001)&lt;=(0-F517)))/SUMPRODUCT(($B$2:$B$1001=B517)*1),0)</f>
        <v>0.907103825136612</v>
      </c>
      <c r="Q517" s="25" t="n">
        <f aca="false">(M517*Assumptions!$B$5+N517*Assumptions!$B$6+O517*Assumptions!$B$7+P517*Assumptions!$B$8)*L517</f>
        <v>0.523661202185792</v>
      </c>
      <c r="R517" s="24" t="n">
        <f aca="false">IFERROR(SUMPRODUCT(($B$2:$B$1001=B517)*($Q$2:$Q$1001&lt;=Q517))/SUMPRODUCT(($B$2:$B$1001=B517)*1),0)</f>
        <v>0.677595628415301</v>
      </c>
      <c r="S517" s="24" t="n">
        <f aca="false">IFERROR(SUMPRODUCT(($B$2:$B$1001=B517)*($K$2:$K$1001&lt;=K517))/SUMPRODUCT(($B$2:$B$1001=B517)*1),0)</f>
        <v>0.409836065573771</v>
      </c>
      <c r="T517" s="26" t="n">
        <f aca="false">(R517-S517)*100</f>
        <v>26.775956284153</v>
      </c>
      <c r="U517" s="21" t="str">
        <f aca="false">'Player Data'!T517</f>
        <v>Yes</v>
      </c>
      <c r="V517" s="27" t="n">
        <f aca="false">'Player Data'!U517</f>
        <v>2029</v>
      </c>
      <c r="W517" s="21" t="str">
        <f aca="false">IF(AND(T517&gt;=Assumptions!$B$19,U517="No"),"High Priority - Unrepresented",IF(T517&gt;=Assumptions!$B$19,"High Priority",IF(AND(T517&gt;=Assumptions!$B$20,U517="No"),"Watchlist - Unrepresented",IF(T517&gt;=Assumptions!$B$20,"Watchlist",""))))</f>
        <v>Watchlist</v>
      </c>
      <c r="X517" s="21" t="str">
        <f aca="false">'Player Data'!V517</f>
        <v>info@bangkokfc.th</v>
      </c>
      <c r="Y517" s="28" t="str">
        <f aca="false">'Player Data'!W517</f>
        <v>Go through the player's agent - ask the club to confirm representation first</v>
      </c>
      <c r="Z517" s="28" t="str">
        <f aca="false">'Player Data'!X517</f>
        <v>FAT (Football Association of Thailand) player registry</v>
      </c>
      <c r="AA517" s="19" t="str">
        <f aca="false">HYPERLINK("https://www.transfermarkt.com/schnellsuche/ergebnis/schnellsuche?query="&amp;SUBSTITUTE(A517," ","+"),"Search Transfermarkt")</f>
        <v>Search Transfermarkt</v>
      </c>
      <c r="AB517" s="29" t="n">
        <f aca="false">IFERROR('Player Data'!K517/('Player Data'!K517+'Player Data'!L517),0)</f>
        <v>0.909090909090909</v>
      </c>
      <c r="AC517" s="21" t="str">
        <f aca="false">IF(B517="GK",IF(AND(O517&gt;=Assumptions!$B$23,N517&gt;=Assumptions!$B$23),"Sweeper-Keeper / Build-from-the-Back",IF(O517&gt;=Assumptions!$B$23,"Sweeper-Keeper / High Line",IF(M517&gt;=Assumptions!$B$23,"Shot-Stopper / Traditional","Flexible / Multi-System"))),IF(AND(O517&gt;=Assumptions!$B$23,P517&gt;=Assumptions!$B$24),"High Press / Gegenpressing",IF(AND(N517&gt;=Assumptions!$B$23,AB517&gt;=Assumptions!$B$25),"Possession / Build-from-the-Back",IF(N517&gt;=Assumptions!$B$23,"Counter-Attack / Transition",IF(AND(O517&gt;=Assumptions!$B$23,N517&lt;Assumptions!$B$26),"Low Block / Park the Bus",IF(AND(B517="FW",M517&gt;=Assumptions!$B$23,N517&lt;Assumptions!$B$26),"Direct / Target Approach","Flexible / Multi-System"))))))</f>
        <v>Shot-Stopper / Traditional</v>
      </c>
      <c r="AD517" s="21" t="str">
        <f aca="false">'Player Data'!Y517</f>
        <v>2026-07-17</v>
      </c>
      <c r="AE517" s="21" t="str">
        <f aca="false">'Player Data'!Z517</f>
        <v>2026-07-17</v>
      </c>
      <c r="AF517" s="28" t="str">
        <f aca="false">IFERROR(INDEX(Assumptions!$B$30:$B$61,MATCH(C517,Assumptions!$A$30:$A$61,0)),"--")</f>
        <v>Australia, Saudi Arabia</v>
      </c>
      <c r="AG517" s="30" t="str">
        <f aca="false">IF(R517&gt;=0.7,"Step-Up Candidate",IF(R517&gt;=0.4,"Lateral Move","Stay &amp; Develop"))</f>
        <v>Lateral Move</v>
      </c>
    </row>
    <row r="518" customFormat="false" ht="23.85" hidden="false" customHeight="false" outlineLevel="0" collapsed="false">
      <c r="A518" s="21" t="str">
        <f aca="false">'Player Data'!A518</f>
        <v>Damion Bailey</v>
      </c>
      <c r="B518" s="21" t="str">
        <f aca="false">'Player Data'!F518</f>
        <v>MF</v>
      </c>
      <c r="C518" s="21" t="str">
        <f aca="false">'Player Data'!B518</f>
        <v>Jamaica</v>
      </c>
      <c r="D518" s="21" t="str">
        <f aca="false">'Player Data'!C518</f>
        <v>Jamaica Amateur League</v>
      </c>
      <c r="E518" s="21" t="n">
        <f aca="false">'Player Data'!D518</f>
        <v>3</v>
      </c>
      <c r="F518" s="21" t="n">
        <f aca="false">'Player Data'!G518</f>
        <v>18</v>
      </c>
      <c r="G518" s="21" t="n">
        <f aca="false">'Player Data'!H518</f>
        <v>1885</v>
      </c>
      <c r="H518" s="22" t="n">
        <f aca="false">IF(B518="GK",IFERROR(('Player Data'!N518-1.5*'Player Data'!O518)/'Player Data'!H518*90,0),IFERROR(('Player Data'!I518+'Player Data'!J518)/'Player Data'!H518*90,0))</f>
        <v>0.3342175066313</v>
      </c>
      <c r="I518" s="22" t="n">
        <f aca="false">IF(B518="GK",'Player Data'!P518,IFERROR(('Player Data'!K518+'Player Data'!L518)/'Player Data'!H518*90,0))</f>
        <v>10.551724137931</v>
      </c>
      <c r="J518" s="22" t="n">
        <f aca="false">IF(B518="GK",IFERROR('Player Data'!Q518/'Player Data'!H518*90,0),IFERROR('Player Data'!M518/'Player Data'!H518*90,0))</f>
        <v>1.71883289124668</v>
      </c>
      <c r="K518" s="23" t="n">
        <f aca="false">'Player Data'!S518</f>
        <v>0</v>
      </c>
      <c r="L518" s="22" t="n">
        <f aca="false">INDEX(Assumptions!$B$13:$B$15,MATCH(E518,Assumptions!$A$13:$A$15,0))</f>
        <v>0.85</v>
      </c>
      <c r="M518" s="24" t="n">
        <f aca="false">IFERROR(SUMPRODUCT(($B$2:$B$1001=B518)*($H$2:$H$1001&lt;=H518))/SUMPRODUCT(($B$2:$B$1001=B518)*1),0)</f>
        <v>0.0505050505050505</v>
      </c>
      <c r="N518" s="24" t="n">
        <f aca="false">IFERROR(SUMPRODUCT(($B$2:$B$1001=B518)*($I$2:$I$1001&lt;=I518))/SUMPRODUCT(($B$2:$B$1001=B518)*1),0)</f>
        <v>0.464646464646465</v>
      </c>
      <c r="O518" s="24" t="n">
        <f aca="false">IFERROR(SUMPRODUCT(($B$2:$B$1001=B518)*($J$2:$J$1001&lt;=J518))/SUMPRODUCT(($B$2:$B$1001=B518)*1),0)</f>
        <v>0.282828282828283</v>
      </c>
      <c r="P518" s="24" t="n">
        <f aca="false">IFERROR(SUMPRODUCT(($B$2:$B$1001=B518)*((0-$F$2:$F$1001)&lt;=(0-F518)))/SUMPRODUCT(($B$2:$B$1001=B518)*1),0)</f>
        <v>0.929292929292929</v>
      </c>
      <c r="Q518" s="25" t="n">
        <f aca="false">(M518*Assumptions!$B$5+N518*Assumptions!$B$6+O518*Assumptions!$B$7+P518*Assumptions!$B$8)*L518</f>
        <v>0.355025252525252</v>
      </c>
      <c r="R518" s="24" t="n">
        <f aca="false">IFERROR(SUMPRODUCT(($B$2:$B$1001=B518)*($Q$2:$Q$1001&lt;=Q518))/SUMPRODUCT(($B$2:$B$1001=B518)*1),0)</f>
        <v>0.343434343434343</v>
      </c>
      <c r="S518" s="24" t="n">
        <f aca="false">IFERROR(SUMPRODUCT(($B$2:$B$1001=B518)*($K$2:$K$1001&lt;=K518))/SUMPRODUCT(($B$2:$B$1001=B518)*1),0)</f>
        <v>0.228956228956229</v>
      </c>
      <c r="T518" s="26" t="n">
        <f aca="false">(R518-S518)*100</f>
        <v>11.4478114478114</v>
      </c>
      <c r="U518" s="21" t="str">
        <f aca="false">'Player Data'!T518</f>
        <v>No</v>
      </c>
      <c r="V518" s="27" t="n">
        <f aca="false">'Player Data'!U518</f>
        <v>2027</v>
      </c>
      <c r="W518" s="21" t="str">
        <f aca="false">IF(AND(T518&gt;=Assumptions!$B$19,U518="No"),"High Priority - Unrepresented",IF(T518&gt;=Assumptions!$B$19,"High Priority",IF(AND(T518&gt;=Assumptions!$B$20,U518="No"),"Watchlist - Unrepresented",IF(T518&gt;=Assumptions!$B$20,"Watchlist",""))))</f>
        <v/>
      </c>
      <c r="X518" s="21" t="str">
        <f aca="false">'Player Data'!V518</f>
        <v>info@maypentown.jm</v>
      </c>
      <c r="Y518" s="28" t="str">
        <f aca="false">'Player Data'!W518</f>
        <v>Club sporting director / first-team office</v>
      </c>
      <c r="Z518" s="28" t="str">
        <f aca="false">'Player Data'!X518</f>
        <v>JFF (Jamaica Football Federation) player registry</v>
      </c>
      <c r="AA518" s="19" t="str">
        <f aca="false">HYPERLINK("https://www.transfermarkt.com/schnellsuche/ergebnis/schnellsuche?query="&amp;SUBSTITUTE(A518," ","+"),"Search Transfermarkt")</f>
        <v>Search Transfermarkt</v>
      </c>
      <c r="AB518" s="29" t="n">
        <f aca="false">IFERROR('Player Data'!K518/('Player Data'!K518+'Player Data'!L518),0)</f>
        <v>0.561085972850679</v>
      </c>
      <c r="AC518" s="21" t="str">
        <f aca="false">IF(B518="GK",IF(AND(O518&gt;=Assumptions!$B$23,N518&gt;=Assumptions!$B$23),"Sweeper-Keeper / Build-from-the-Back",IF(O518&gt;=Assumptions!$B$23,"Sweeper-Keeper / High Line",IF(M518&gt;=Assumptions!$B$23,"Shot-Stopper / Traditional","Flexible / Multi-System"))),IF(AND(O518&gt;=Assumptions!$B$23,P518&gt;=Assumptions!$B$24),"High Press / Gegenpressing",IF(AND(N518&gt;=Assumptions!$B$23,AB518&gt;=Assumptions!$B$25),"Possession / Build-from-the-Back",IF(N518&gt;=Assumptions!$B$23,"Counter-Attack / Transition",IF(AND(O518&gt;=Assumptions!$B$23,N518&lt;Assumptions!$B$26),"Low Block / Park the Bus",IF(AND(B518="FW",M518&gt;=Assumptions!$B$23,N518&lt;Assumptions!$B$26),"Direct / Target Approach","Flexible / Multi-System"))))))</f>
        <v>Flexible / Multi-System</v>
      </c>
      <c r="AD518" s="21" t="str">
        <f aca="false">'Player Data'!Y518</f>
        <v>2026-07-17</v>
      </c>
      <c r="AE518" s="21" t="str">
        <f aca="false">'Player Data'!Z518</f>
        <v>2026-07-17</v>
      </c>
      <c r="AF518" s="28" t="str">
        <f aca="false">IFERROR(INDEX(Assumptions!$B$30:$B$61,MATCH(C518,Assumptions!$A$30:$A$61,0)),"--")</f>
        <v>United States, Mexico</v>
      </c>
      <c r="AG518" s="30" t="str">
        <f aca="false">IF(R518&gt;=0.7,"Step-Up Candidate",IF(R518&gt;=0.4,"Lateral Move","Stay &amp; Develop"))</f>
        <v>Stay &amp; Develop</v>
      </c>
    </row>
    <row r="519" customFormat="false" ht="23.85" hidden="false" customHeight="false" outlineLevel="0" collapsed="false">
      <c r="A519" s="21" t="str">
        <f aca="false">'Player Data'!A519</f>
        <v>Ahmed Jabbar</v>
      </c>
      <c r="B519" s="21" t="str">
        <f aca="false">'Player Data'!F519</f>
        <v>FW</v>
      </c>
      <c r="C519" s="21" t="str">
        <f aca="false">'Player Data'!B519</f>
        <v>Iraq</v>
      </c>
      <c r="D519" s="21" t="str">
        <f aca="false">'Player Data'!C519</f>
        <v>Iraq Second Division - West</v>
      </c>
      <c r="E519" s="21" t="n">
        <f aca="false">'Player Data'!D519</f>
        <v>2</v>
      </c>
      <c r="F519" s="21" t="n">
        <f aca="false">'Player Data'!G519</f>
        <v>19</v>
      </c>
      <c r="G519" s="21" t="n">
        <f aca="false">'Player Data'!H519</f>
        <v>2513</v>
      </c>
      <c r="H519" s="22" t="n">
        <f aca="false">IF(B519="GK",IFERROR(('Player Data'!N519-1.5*'Player Data'!O519)/'Player Data'!H519*90,0),IFERROR(('Player Data'!I519+'Player Data'!J519)/'Player Data'!H519*90,0))</f>
        <v>0.931157978511739</v>
      </c>
      <c r="I519" s="22" t="n">
        <f aca="false">IF(B519="GK",'Player Data'!P519,IFERROR(('Player Data'!K519+'Player Data'!L519)/'Player Data'!H519*90,0))</f>
        <v>4.33346597692002</v>
      </c>
      <c r="J519" s="22" t="n">
        <f aca="false">IF(B519="GK",IFERROR('Player Data'!Q519/'Player Data'!H519*90,0),IFERROR('Player Data'!M519/'Player Data'!H519*90,0))</f>
        <v>0.429765220851572</v>
      </c>
      <c r="K519" s="23" t="n">
        <f aca="false">'Player Data'!S519</f>
        <v>0</v>
      </c>
      <c r="L519" s="22" t="n">
        <f aca="false">INDEX(Assumptions!$B$13:$B$15,MATCH(E519,Assumptions!$A$13:$A$15,0))</f>
        <v>1</v>
      </c>
      <c r="M519" s="24" t="n">
        <f aca="false">IFERROR(SUMPRODUCT(($B$2:$B$1001=B519)*($H$2:$H$1001&lt;=H519))/SUMPRODUCT(($B$2:$B$1001=B519)*1),0)</f>
        <v>0.438053097345133</v>
      </c>
      <c r="N519" s="24" t="n">
        <f aca="false">IFERROR(SUMPRODUCT(($B$2:$B$1001=B519)*($I$2:$I$1001&lt;=I519))/SUMPRODUCT(($B$2:$B$1001=B519)*1),0)</f>
        <v>0.0929203539823009</v>
      </c>
      <c r="O519" s="24" t="n">
        <f aca="false">IFERROR(SUMPRODUCT(($B$2:$B$1001=B519)*($J$2:$J$1001&lt;=J519))/SUMPRODUCT(($B$2:$B$1001=B519)*1),0)</f>
        <v>0.371681415929204</v>
      </c>
      <c r="P519" s="24" t="n">
        <f aca="false">IFERROR(SUMPRODUCT(($B$2:$B$1001=B519)*((0-$F$2:$F$1001)&lt;=(0-F519)))/SUMPRODUCT(($B$2:$B$1001=B519)*1),0)</f>
        <v>0.831858407079646</v>
      </c>
      <c r="Q519" s="25" t="n">
        <f aca="false">(M519*Assumptions!$B$5+N519*Assumptions!$B$6+O519*Assumptions!$B$7+P519*Assumptions!$B$8)*L519</f>
        <v>0.382743362831858</v>
      </c>
      <c r="R519" s="24" t="n">
        <f aca="false">IFERROR(SUMPRODUCT(($B$2:$B$1001=B519)*($Q$2:$Q$1001&lt;=Q519))/SUMPRODUCT(($B$2:$B$1001=B519)*1),0)</f>
        <v>0.411504424778761</v>
      </c>
      <c r="S519" s="24" t="n">
        <f aca="false">IFERROR(SUMPRODUCT(($B$2:$B$1001=B519)*($K$2:$K$1001&lt;=K519))/SUMPRODUCT(($B$2:$B$1001=B519)*1),0)</f>
        <v>0.261061946902655</v>
      </c>
      <c r="T519" s="26" t="n">
        <f aca="false">(R519-S519)*100</f>
        <v>15.0442477876106</v>
      </c>
      <c r="U519" s="21" t="str">
        <f aca="false">'Player Data'!T519</f>
        <v>Yes</v>
      </c>
      <c r="V519" s="27" t="n">
        <f aca="false">'Player Data'!U519</f>
        <v>2028</v>
      </c>
      <c r="W519" s="21" t="str">
        <f aca="false">IF(AND(T519&gt;=Assumptions!$B$19,U519="No"),"High Priority - Unrepresented",IF(T519&gt;=Assumptions!$B$19,"High Priority",IF(AND(T519&gt;=Assumptions!$B$20,U519="No"),"Watchlist - Unrepresented",IF(T519&gt;=Assumptions!$B$20,"Watchlist",""))))</f>
        <v/>
      </c>
      <c r="X519" s="21" t="str">
        <f aca="false">'Player Data'!V519</f>
        <v>info@basrasc.iq</v>
      </c>
      <c r="Y519" s="28" t="str">
        <f aca="false">'Player Data'!W519</f>
        <v>Go through the player's agent - ask the club to confirm representation first</v>
      </c>
      <c r="Z519" s="28" t="str">
        <f aca="false">'Player Data'!X519</f>
        <v>IFA (Iraq Football Association) player registry</v>
      </c>
      <c r="AA519" s="19" t="str">
        <f aca="false">HYPERLINK("https://www.transfermarkt.com/schnellsuche/ergebnis/schnellsuche?query="&amp;SUBSTITUTE(A519," ","+"),"Search Transfermarkt")</f>
        <v>Search Transfermarkt</v>
      </c>
      <c r="AB519" s="29" t="n">
        <f aca="false">IFERROR('Player Data'!K519/('Player Data'!K519+'Player Data'!L519),0)</f>
        <v>0.40495867768595</v>
      </c>
      <c r="AC519" s="21" t="str">
        <f aca="false">IF(B519="GK",IF(AND(O519&gt;=Assumptions!$B$23,N519&gt;=Assumptions!$B$23),"Sweeper-Keeper / Build-from-the-Back",IF(O519&gt;=Assumptions!$B$23,"Sweeper-Keeper / High Line",IF(M519&gt;=Assumptions!$B$23,"Shot-Stopper / Traditional","Flexible / Multi-System"))),IF(AND(O519&gt;=Assumptions!$B$23,P519&gt;=Assumptions!$B$24),"High Press / Gegenpressing",IF(AND(N519&gt;=Assumptions!$B$23,AB519&gt;=Assumptions!$B$25),"Possession / Build-from-the-Back",IF(N519&gt;=Assumptions!$B$23,"Counter-Attack / Transition",IF(AND(O519&gt;=Assumptions!$B$23,N519&lt;Assumptions!$B$26),"Low Block / Park the Bus",IF(AND(B519="FW",M519&gt;=Assumptions!$B$23,N519&lt;Assumptions!$B$26),"Direct / Target Approach","Flexible / Multi-System"))))))</f>
        <v>Flexible / Multi-System</v>
      </c>
      <c r="AD519" s="21" t="str">
        <f aca="false">'Player Data'!Y519</f>
        <v>2026-07-17</v>
      </c>
      <c r="AE519" s="21" t="str">
        <f aca="false">'Player Data'!Z519</f>
        <v>2026-07-17</v>
      </c>
      <c r="AF519" s="28" t="str">
        <f aca="false">IFERROR(INDEX(Assumptions!$B$30:$B$61,MATCH(C519,Assumptions!$A$30:$A$61,0)),"--")</f>
        <v>Turkey, Saudi Arabia</v>
      </c>
      <c r="AG519" s="30" t="str">
        <f aca="false">IF(R519&gt;=0.7,"Step-Up Candidate",IF(R519&gt;=0.4,"Lateral Move","Stay &amp; Develop"))</f>
        <v>Lateral Move</v>
      </c>
    </row>
    <row r="520" customFormat="false" ht="23.85" hidden="false" customHeight="false" outlineLevel="0" collapsed="false">
      <c r="A520" s="21" t="str">
        <f aca="false">'Player Data'!A520</f>
        <v>Nam Tran</v>
      </c>
      <c r="B520" s="21" t="str">
        <f aca="false">'Player Data'!F520</f>
        <v>GK</v>
      </c>
      <c r="C520" s="21" t="str">
        <f aca="false">'Player Data'!B520</f>
        <v>Vietnam</v>
      </c>
      <c r="D520" s="21" t="str">
        <f aca="false">'Player Data'!C520</f>
        <v>Vietnam Second Division</v>
      </c>
      <c r="E520" s="21" t="n">
        <f aca="false">'Player Data'!D520</f>
        <v>3</v>
      </c>
      <c r="F520" s="21" t="n">
        <f aca="false">'Player Data'!G520</f>
        <v>25</v>
      </c>
      <c r="G520" s="21" t="n">
        <f aca="false">'Player Data'!H520</f>
        <v>1951</v>
      </c>
      <c r="H520" s="22" t="n">
        <f aca="false">IF(B520="GK",IFERROR(('Player Data'!N520-1.5*'Player Data'!O520)/'Player Data'!H520*90,0),IFERROR(('Player Data'!I520+'Player Data'!J520)/'Player Data'!H520*90,0))</f>
        <v>0.530497180932855</v>
      </c>
      <c r="I520" s="22" t="n">
        <f aca="false">IF(B520="GK",'Player Data'!P520,IFERROR(('Player Data'!K520+'Player Data'!L520)/'Player Data'!H520*90,0))</f>
        <v>83.7</v>
      </c>
      <c r="J520" s="22" t="n">
        <f aca="false">IF(B520="GK",IFERROR('Player Data'!Q520/'Player Data'!H520*90,0),IFERROR('Player Data'!M520/'Player Data'!H520*90,0))</f>
        <v>0.941055868785238</v>
      </c>
      <c r="K520" s="23" t="n">
        <f aca="false">'Player Data'!S520</f>
        <v>25227</v>
      </c>
      <c r="L520" s="22" t="n">
        <f aca="false">INDEX(Assumptions!$B$13:$B$15,MATCH(E520,Assumptions!$A$13:$A$15,0))</f>
        <v>0.85</v>
      </c>
      <c r="M520" s="24" t="n">
        <f aca="false">IFERROR(SUMPRODUCT(($B$2:$B$1001=B520)*($H$2:$H$1001&lt;=H520))/SUMPRODUCT(($B$2:$B$1001=B520)*1),0)</f>
        <v>0.289617486338798</v>
      </c>
      <c r="N520" s="24" t="n">
        <f aca="false">IFERROR(SUMPRODUCT(($B$2:$B$1001=B520)*($I$2:$I$1001&lt;=I520))/SUMPRODUCT(($B$2:$B$1001=B520)*1),0)</f>
        <v>0.814207650273224</v>
      </c>
      <c r="O520" s="24" t="n">
        <f aca="false">IFERROR(SUMPRODUCT(($B$2:$B$1001=B520)*($J$2:$J$1001&lt;=J520))/SUMPRODUCT(($B$2:$B$1001=B520)*1),0)</f>
        <v>0.584699453551913</v>
      </c>
      <c r="P520" s="24" t="n">
        <f aca="false">IFERROR(SUMPRODUCT(($B$2:$B$1001=B520)*((0-$F$2:$F$1001)&lt;=(0-F520)))/SUMPRODUCT(($B$2:$B$1001=B520)*1),0)</f>
        <v>0.240437158469945</v>
      </c>
      <c r="Q520" s="25" t="n">
        <f aca="false">(M520*Assumptions!$B$5+N520*Assumptions!$B$6+O520*Assumptions!$B$7+P520*Assumptions!$B$8)*L520</f>
        <v>0.444043715846995</v>
      </c>
      <c r="R520" s="24" t="n">
        <f aca="false">IFERROR(SUMPRODUCT(($B$2:$B$1001=B520)*($Q$2:$Q$1001&lt;=Q520))/SUMPRODUCT(($B$2:$B$1001=B520)*1),0)</f>
        <v>0.448087431693989</v>
      </c>
      <c r="S520" s="24" t="n">
        <f aca="false">IFERROR(SUMPRODUCT(($B$2:$B$1001=B520)*($K$2:$K$1001&lt;=K520))/SUMPRODUCT(($B$2:$B$1001=B520)*1),0)</f>
        <v>0.300546448087432</v>
      </c>
      <c r="T520" s="26" t="n">
        <f aca="false">(R520-S520)*100</f>
        <v>14.7540983606557</v>
      </c>
      <c r="U520" s="21" t="str">
        <f aca="false">'Player Data'!T520</f>
        <v>No</v>
      </c>
      <c r="V520" s="27" t="n">
        <f aca="false">'Player Data'!U520</f>
        <v>2026</v>
      </c>
      <c r="W520" s="21" t="str">
        <f aca="false">IF(AND(T520&gt;=Assumptions!$B$19,U520="No"),"High Priority - Unrepresented",IF(T520&gt;=Assumptions!$B$19,"High Priority",IF(AND(T520&gt;=Assumptions!$B$20,U520="No"),"Watchlist - Unrepresented",IF(T520&gt;=Assumptions!$B$20,"Watchlist",""))))</f>
        <v/>
      </c>
      <c r="X520" s="21" t="str">
        <f aca="false">'Player Data'!V520</f>
        <v>info@canthowanderers.vn</v>
      </c>
      <c r="Y520" s="28" t="str">
        <f aca="false">'Player Data'!W520</f>
        <v>Club sporting director / first-team office</v>
      </c>
      <c r="Z520" s="28" t="str">
        <f aca="false">'Player Data'!X520</f>
        <v>VFF (Vietnam Football Federation) player registry</v>
      </c>
      <c r="AA520" s="19" t="str">
        <f aca="false">HYPERLINK("https://www.transfermarkt.com/schnellsuche/ergebnis/schnellsuche?query="&amp;SUBSTITUTE(A520," ","+"),"Search Transfermarkt")</f>
        <v>Search Transfermarkt</v>
      </c>
      <c r="AB520" s="29" t="n">
        <f aca="false">IFERROR('Player Data'!K520/('Player Data'!K520+'Player Data'!L520),0)</f>
        <v>0.933333333333333</v>
      </c>
      <c r="AC520" s="21" t="str">
        <f aca="false">IF(B520="GK",IF(AND(O520&gt;=Assumptions!$B$23,N520&gt;=Assumptions!$B$23),"Sweeper-Keeper / Build-from-the-Back",IF(O520&gt;=Assumptions!$B$23,"Sweeper-Keeper / High Line",IF(M520&gt;=Assumptions!$B$23,"Shot-Stopper / Traditional","Flexible / Multi-System"))),IF(AND(O520&gt;=Assumptions!$B$23,P520&gt;=Assumptions!$B$24),"High Press / Gegenpressing",IF(AND(N520&gt;=Assumptions!$B$23,AB520&gt;=Assumptions!$B$25),"Possession / Build-from-the-Back",IF(N520&gt;=Assumptions!$B$23,"Counter-Attack / Transition",IF(AND(O520&gt;=Assumptions!$B$23,N520&lt;Assumptions!$B$26),"Low Block / Park the Bus",IF(AND(B520="FW",M520&gt;=Assumptions!$B$23,N520&lt;Assumptions!$B$26),"Direct / Target Approach","Flexible / Multi-System"))))))</f>
        <v>Flexible / Multi-System</v>
      </c>
      <c r="AD520" s="21" t="str">
        <f aca="false">'Player Data'!Y520</f>
        <v>2026-07-17</v>
      </c>
      <c r="AE520" s="21" t="str">
        <f aca="false">'Player Data'!Z520</f>
        <v>2026-07-17</v>
      </c>
      <c r="AF520" s="28" t="str">
        <f aca="false">IFERROR(INDEX(Assumptions!$B$30:$B$61,MATCH(C520,Assumptions!$A$30:$A$61,0)),"--")</f>
        <v>Australia, Saudi Arabia</v>
      </c>
      <c r="AG520" s="30" t="str">
        <f aca="false">IF(R520&gt;=0.7,"Step-Up Candidate",IF(R520&gt;=0.4,"Lateral Move","Stay &amp; Develop"))</f>
        <v>Lateral Move</v>
      </c>
    </row>
    <row r="521" customFormat="false" ht="23.85" hidden="false" customHeight="false" outlineLevel="0" collapsed="false">
      <c r="A521" s="21" t="str">
        <f aca="false">'Player Data'!A521</f>
        <v>Amadou Diarra</v>
      </c>
      <c r="B521" s="21" t="str">
        <f aca="false">'Player Data'!F521</f>
        <v>FW</v>
      </c>
      <c r="C521" s="21" t="str">
        <f aca="false">'Player Data'!B521</f>
        <v>Mali</v>
      </c>
      <c r="D521" s="21" t="str">
        <f aca="false">'Player Data'!C521</f>
        <v>Mali Regional League</v>
      </c>
      <c r="E521" s="21" t="n">
        <f aca="false">'Player Data'!D521</f>
        <v>4</v>
      </c>
      <c r="F521" s="21" t="n">
        <f aca="false">'Player Data'!G521</f>
        <v>19</v>
      </c>
      <c r="G521" s="21" t="n">
        <f aca="false">'Player Data'!H521</f>
        <v>2691</v>
      </c>
      <c r="H521" s="22" t="n">
        <f aca="false">IF(B521="GK",IFERROR(('Player Data'!N521-1.5*'Player Data'!O521)/'Player Data'!H521*90,0),IFERROR(('Player Data'!I521+'Player Data'!J521)/'Player Data'!H521*90,0))</f>
        <v>0.668896321070234</v>
      </c>
      <c r="I521" s="22" t="n">
        <f aca="false">IF(B521="GK",'Player Data'!P521,IFERROR(('Player Data'!K521+'Player Data'!L521)/'Player Data'!H521*90,0))</f>
        <v>4.98327759197324</v>
      </c>
      <c r="J521" s="22" t="n">
        <f aca="false">IF(B521="GK",IFERROR('Player Data'!Q521/'Player Data'!H521*90,0),IFERROR('Player Data'!M521/'Player Data'!H521*90,0))</f>
        <v>0.234113712374582</v>
      </c>
      <c r="K521" s="23" t="n">
        <f aca="false">'Player Data'!S521</f>
        <v>69810</v>
      </c>
      <c r="L521" s="22" t="n">
        <f aca="false">INDEX(Assumptions!$B$13:$B$15,MATCH(E521,Assumptions!$A$13:$A$15,0))</f>
        <v>0.7</v>
      </c>
      <c r="M521" s="24" t="n">
        <f aca="false">IFERROR(SUMPRODUCT(($B$2:$B$1001=B521)*($H$2:$H$1001&lt;=H521))/SUMPRODUCT(($B$2:$B$1001=B521)*1),0)</f>
        <v>0.216814159292035</v>
      </c>
      <c r="N521" s="24" t="n">
        <f aca="false">IFERROR(SUMPRODUCT(($B$2:$B$1001=B521)*($I$2:$I$1001&lt;=I521))/SUMPRODUCT(($B$2:$B$1001=B521)*1),0)</f>
        <v>0.221238938053097</v>
      </c>
      <c r="O521" s="24" t="n">
        <f aca="false">IFERROR(SUMPRODUCT(($B$2:$B$1001=B521)*($J$2:$J$1001&lt;=J521))/SUMPRODUCT(($B$2:$B$1001=B521)*1),0)</f>
        <v>0.084070796460177</v>
      </c>
      <c r="P521" s="24" t="n">
        <f aca="false">IFERROR(SUMPRODUCT(($B$2:$B$1001=B521)*((0-$F$2:$F$1001)&lt;=(0-F521)))/SUMPRODUCT(($B$2:$B$1001=B521)*1),0)</f>
        <v>0.831858407079646</v>
      </c>
      <c r="Q521" s="25" t="n">
        <f aca="false">(M521*Assumptions!$B$5+N521*Assumptions!$B$6+O521*Assumptions!$B$7+P521*Assumptions!$B$8)*L521</f>
        <v>0.22037610619469</v>
      </c>
      <c r="R521" s="24" t="n">
        <f aca="false">IFERROR(SUMPRODUCT(($B$2:$B$1001=B521)*($Q$2:$Q$1001&lt;=Q521))/SUMPRODUCT(($B$2:$B$1001=B521)*1),0)</f>
        <v>0.13716814159292</v>
      </c>
      <c r="S521" s="24" t="n">
        <f aca="false">IFERROR(SUMPRODUCT(($B$2:$B$1001=B521)*($K$2:$K$1001&lt;=K521))/SUMPRODUCT(($B$2:$B$1001=B521)*1),0)</f>
        <v>0.557522123893805</v>
      </c>
      <c r="T521" s="26" t="n">
        <f aca="false">(R521-S521)*100</f>
        <v>-42.0353982300885</v>
      </c>
      <c r="U521" s="21" t="str">
        <f aca="false">'Player Data'!T521</f>
        <v>No</v>
      </c>
      <c r="V521" s="27" t="n">
        <f aca="false">'Player Data'!U521</f>
        <v>2027</v>
      </c>
      <c r="W521" s="21" t="str">
        <f aca="false">IF(AND(T521&gt;=Assumptions!$B$19,U521="No"),"High Priority - Unrepresented",IF(T521&gt;=Assumptions!$B$19,"High Priority",IF(AND(T521&gt;=Assumptions!$B$20,U521="No"),"Watchlist - Unrepresented",IF(T521&gt;=Assumptions!$B$20,"Watchlist",""))))</f>
        <v/>
      </c>
      <c r="X521" s="21" t="str">
        <f aca="false">'Player Data'!V521</f>
        <v>info@sikassoathletic.ml</v>
      </c>
      <c r="Y521" s="28" t="str">
        <f aca="false">'Player Data'!W521</f>
        <v>Club sporting director / first-team office</v>
      </c>
      <c r="Z521" s="28" t="str">
        <f aca="false">'Player Data'!X521</f>
        <v>FEMAFOOT (Malian Football Federation) player registry</v>
      </c>
      <c r="AA521" s="19" t="str">
        <f aca="false">HYPERLINK("https://www.transfermarkt.com/schnellsuche/ergebnis/schnellsuche?query="&amp;SUBSTITUTE(A521," ","+"),"Search Transfermarkt")</f>
        <v>Search Transfermarkt</v>
      </c>
      <c r="AB521" s="29" t="n">
        <f aca="false">IFERROR('Player Data'!K521/('Player Data'!K521+'Player Data'!L521),0)</f>
        <v>0.369127516778524</v>
      </c>
      <c r="AC521" s="21" t="str">
        <f aca="false">IF(B521="GK",IF(AND(O521&gt;=Assumptions!$B$23,N521&gt;=Assumptions!$B$23),"Sweeper-Keeper / Build-from-the-Back",IF(O521&gt;=Assumptions!$B$23,"Sweeper-Keeper / High Line",IF(M521&gt;=Assumptions!$B$23,"Shot-Stopper / Traditional","Flexible / Multi-System"))),IF(AND(O521&gt;=Assumptions!$B$23,P521&gt;=Assumptions!$B$24),"High Press / Gegenpressing",IF(AND(N521&gt;=Assumptions!$B$23,AB521&gt;=Assumptions!$B$25),"Possession / Build-from-the-Back",IF(N521&gt;=Assumptions!$B$23,"Counter-Attack / Transition",IF(AND(O521&gt;=Assumptions!$B$23,N521&lt;Assumptions!$B$26),"Low Block / Park the Bus",IF(AND(B521="FW",M521&gt;=Assumptions!$B$23,N521&lt;Assumptions!$B$26),"Direct / Target Approach","Flexible / Multi-System"))))))</f>
        <v>Flexible / Multi-System</v>
      </c>
      <c r="AD521" s="21" t="str">
        <f aca="false">'Player Data'!Y521</f>
        <v>2026-07-17</v>
      </c>
      <c r="AE521" s="21" t="str">
        <f aca="false">'Player Data'!Z521</f>
        <v>2026-07-17</v>
      </c>
      <c r="AF521" s="28" t="str">
        <f aca="false">IFERROR(INDEX(Assumptions!$B$30:$B$61,MATCH(C521,Assumptions!$A$30:$A$61,0)),"--")</f>
        <v>Belgium, Portugal</v>
      </c>
      <c r="AG521" s="30" t="str">
        <f aca="false">IF(R521&gt;=0.7,"Step-Up Candidate",IF(R521&gt;=0.4,"Lateral Move","Stay &amp; Develop"))</f>
        <v>Stay &amp; Develop</v>
      </c>
    </row>
    <row r="522" customFormat="false" ht="23.85" hidden="false" customHeight="false" outlineLevel="0" collapsed="false">
      <c r="A522" s="21" t="str">
        <f aca="false">'Player Data'!A522</f>
        <v>Marek Mets</v>
      </c>
      <c r="B522" s="21" t="str">
        <f aca="false">'Player Data'!F522</f>
        <v>FW</v>
      </c>
      <c r="C522" s="21" t="str">
        <f aca="false">'Player Data'!B522</f>
        <v>Estonia</v>
      </c>
      <c r="D522" s="21" t="str">
        <f aca="false">'Player Data'!C522</f>
        <v>Estonia Second Division - West</v>
      </c>
      <c r="E522" s="21" t="n">
        <f aca="false">'Player Data'!D522</f>
        <v>3</v>
      </c>
      <c r="F522" s="21" t="n">
        <f aca="false">'Player Data'!G522</f>
        <v>25</v>
      </c>
      <c r="G522" s="21" t="n">
        <f aca="false">'Player Data'!H522</f>
        <v>828</v>
      </c>
      <c r="H522" s="22" t="n">
        <f aca="false">IF(B522="GK",IFERROR(('Player Data'!N522-1.5*'Player Data'!O522)/'Player Data'!H522*90,0),IFERROR(('Player Data'!I522+'Player Data'!J522)/'Player Data'!H522*90,0))</f>
        <v>1.30434782608696</v>
      </c>
      <c r="I522" s="22" t="n">
        <f aca="false">IF(B522="GK",'Player Data'!P522,IFERROR(('Player Data'!K522+'Player Data'!L522)/'Player Data'!H522*90,0))</f>
        <v>11.6304347826087</v>
      </c>
      <c r="J522" s="22" t="n">
        <f aca="false">IF(B522="GK",IFERROR('Player Data'!Q522/'Player Data'!H522*90,0),IFERROR('Player Data'!M522/'Player Data'!H522*90,0))</f>
        <v>1.08695652173913</v>
      </c>
      <c r="K522" s="23" t="n">
        <f aca="false">'Player Data'!S522</f>
        <v>67323</v>
      </c>
      <c r="L522" s="22" t="n">
        <f aca="false">INDEX(Assumptions!$B$13:$B$15,MATCH(E522,Assumptions!$A$13:$A$15,0))</f>
        <v>0.85</v>
      </c>
      <c r="M522" s="24" t="n">
        <f aca="false">IFERROR(SUMPRODUCT(($B$2:$B$1001=B522)*($H$2:$H$1001&lt;=H522))/SUMPRODUCT(($B$2:$B$1001=B522)*1),0)</f>
        <v>0.743362831858407</v>
      </c>
      <c r="N522" s="24" t="n">
        <f aca="false">IFERROR(SUMPRODUCT(($B$2:$B$1001=B522)*($I$2:$I$1001&lt;=I522))/SUMPRODUCT(($B$2:$B$1001=B522)*1),0)</f>
        <v>0.907079646017699</v>
      </c>
      <c r="O522" s="24" t="n">
        <f aca="false">IFERROR(SUMPRODUCT(($B$2:$B$1001=B522)*($J$2:$J$1001&lt;=J522))/SUMPRODUCT(($B$2:$B$1001=B522)*1),0)</f>
        <v>0.924778761061947</v>
      </c>
      <c r="P522" s="24" t="n">
        <f aca="false">IFERROR(SUMPRODUCT(($B$2:$B$1001=B522)*((0-$F$2:$F$1001)&lt;=(0-F522)))/SUMPRODUCT(($B$2:$B$1001=B522)*1),0)</f>
        <v>0.194690265486726</v>
      </c>
      <c r="Q522" s="25" t="n">
        <f aca="false">(M522*Assumptions!$B$5+N522*Assumptions!$B$6+O522*Assumptions!$B$7+P522*Assumptions!$B$8)*L522</f>
        <v>0.618130530973451</v>
      </c>
      <c r="R522" s="24" t="n">
        <f aca="false">IFERROR(SUMPRODUCT(($B$2:$B$1001=B522)*($Q$2:$Q$1001&lt;=Q522))/SUMPRODUCT(($B$2:$B$1001=B522)*1),0)</f>
        <v>0.787610619469027</v>
      </c>
      <c r="S522" s="24" t="n">
        <f aca="false">IFERROR(SUMPRODUCT(($B$2:$B$1001=B522)*($K$2:$K$1001&lt;=K522))/SUMPRODUCT(($B$2:$B$1001=B522)*1),0)</f>
        <v>0.544247787610619</v>
      </c>
      <c r="T522" s="26" t="n">
        <f aca="false">(R522-S522)*100</f>
        <v>24.3362831858407</v>
      </c>
      <c r="U522" s="21" t="str">
        <f aca="false">'Player Data'!T522</f>
        <v>Unknown</v>
      </c>
      <c r="V522" s="27" t="n">
        <f aca="false">'Player Data'!U522</f>
        <v>2026</v>
      </c>
      <c r="W522" s="21" t="str">
        <f aca="false">IF(AND(T522&gt;=Assumptions!$B$19,U522="No"),"High Priority - Unrepresented",IF(T522&gt;=Assumptions!$B$19,"High Priority",IF(AND(T522&gt;=Assumptions!$B$20,U522="No"),"Watchlist - Unrepresented",IF(T522&gt;=Assumptions!$B$20,"Watchlist",""))))</f>
        <v>Watchlist</v>
      </c>
      <c r="X522" s="21" t="str">
        <f aca="false">'Player Data'!V522</f>
        <v>info@tartufc.ee</v>
      </c>
      <c r="Y522" s="28" t="str">
        <f aca="false">'Player Data'!W522</f>
        <v>Club sporting director / first-team office</v>
      </c>
      <c r="Z522" s="28" t="str">
        <f aca="false">'Player Data'!X522</f>
        <v>EJL (Estonian Football Association) player registry</v>
      </c>
      <c r="AA522" s="19" t="str">
        <f aca="false">HYPERLINK("https://www.transfermarkt.com/schnellsuche/ergebnis/schnellsuche?query="&amp;SUBSTITUTE(A522," ","+"),"Search Transfermarkt")</f>
        <v>Search Transfermarkt</v>
      </c>
      <c r="AB522" s="29" t="n">
        <f aca="false">IFERROR('Player Data'!K522/('Player Data'!K522+'Player Data'!L522),0)</f>
        <v>0.373831775700935</v>
      </c>
      <c r="AC522" s="21" t="str">
        <f aca="false">IF(B522="GK",IF(AND(O522&gt;=Assumptions!$B$23,N522&gt;=Assumptions!$B$23),"Sweeper-Keeper / Build-from-the-Back",IF(O522&gt;=Assumptions!$B$23,"Sweeper-Keeper / High Line",IF(M522&gt;=Assumptions!$B$23,"Shot-Stopper / Traditional","Flexible / Multi-System"))),IF(AND(O522&gt;=Assumptions!$B$23,P522&gt;=Assumptions!$B$24),"High Press / Gegenpressing",IF(AND(N522&gt;=Assumptions!$B$23,AB522&gt;=Assumptions!$B$25),"Possession / Build-from-the-Back",IF(N522&gt;=Assumptions!$B$23,"Counter-Attack / Transition",IF(AND(O522&gt;=Assumptions!$B$23,N522&lt;Assumptions!$B$26),"Low Block / Park the Bus",IF(AND(B522="FW",M522&gt;=Assumptions!$B$23,N522&lt;Assumptions!$B$26),"Direct / Target Approach","Flexible / Multi-System"))))))</f>
        <v>Counter-Attack / Transition</v>
      </c>
      <c r="AD522" s="21" t="str">
        <f aca="false">'Player Data'!Y522</f>
        <v>2026-07-17</v>
      </c>
      <c r="AE522" s="21" t="str">
        <f aca="false">'Player Data'!Z522</f>
        <v>2026-07-17</v>
      </c>
      <c r="AF522" s="28" t="str">
        <f aca="false">IFERROR(INDEX(Assumptions!$B$30:$B$61,MATCH(C522,Assumptions!$A$30:$A$61,0)),"--")</f>
        <v>Poland, Norway</v>
      </c>
      <c r="AG522" s="30" t="str">
        <f aca="false">IF(R522&gt;=0.7,"Step-Up Candidate",IF(R522&gt;=0.4,"Lateral Move","Stay &amp; Develop"))</f>
        <v>Step-Up Candidate</v>
      </c>
    </row>
    <row r="523" customFormat="false" ht="23.85" hidden="false" customHeight="false" outlineLevel="0" collapsed="false">
      <c r="A523" s="21" t="str">
        <f aca="false">'Player Data'!A523</f>
        <v>Duc Vu</v>
      </c>
      <c r="B523" s="21" t="str">
        <f aca="false">'Player Data'!F523</f>
        <v>DF</v>
      </c>
      <c r="C523" s="21" t="str">
        <f aca="false">'Player Data'!B523</f>
        <v>Vietnam</v>
      </c>
      <c r="D523" s="21" t="str">
        <f aca="false">'Player Data'!C523</f>
        <v>Vietnam Second Division</v>
      </c>
      <c r="E523" s="21" t="n">
        <f aca="false">'Player Data'!D523</f>
        <v>2</v>
      </c>
      <c r="F523" s="21" t="n">
        <f aca="false">'Player Data'!G523</f>
        <v>22</v>
      </c>
      <c r="G523" s="21" t="n">
        <f aca="false">'Player Data'!H523</f>
        <v>2224</v>
      </c>
      <c r="H523" s="22" t="n">
        <f aca="false">IF(B523="GK",IFERROR(('Player Data'!N523-1.5*'Player Data'!O523)/'Player Data'!H523*90,0),IFERROR(('Player Data'!I523+'Player Data'!J523)/'Player Data'!H523*90,0))</f>
        <v>0.0404676258992806</v>
      </c>
      <c r="I523" s="22" t="n">
        <f aca="false">IF(B523="GK",'Player Data'!P523,IFERROR(('Player Data'!K523+'Player Data'!L523)/'Player Data'!H523*90,0))</f>
        <v>3.60161870503597</v>
      </c>
      <c r="J523" s="22" t="n">
        <f aca="false">IF(B523="GK",IFERROR('Player Data'!Q523/'Player Data'!H523*90,0),IFERROR('Player Data'!M523/'Player Data'!H523*90,0))</f>
        <v>4.04676258992806</v>
      </c>
      <c r="K523" s="23" t="n">
        <f aca="false">'Player Data'!S523</f>
        <v>104087</v>
      </c>
      <c r="L523" s="22" t="n">
        <f aca="false">INDEX(Assumptions!$B$13:$B$15,MATCH(E523,Assumptions!$A$13:$A$15,0))</f>
        <v>1</v>
      </c>
      <c r="M523" s="24" t="n">
        <f aca="false">IFERROR(SUMPRODUCT(($B$2:$B$1001=B523)*($H$2:$H$1001&lt;=H523))/SUMPRODUCT(($B$2:$B$1001=B523)*1),0)</f>
        <v>0.0476190476190476</v>
      </c>
      <c r="N523" s="24" t="n">
        <f aca="false">IFERROR(SUMPRODUCT(($B$2:$B$1001=B523)*($I$2:$I$1001&lt;=I523))/SUMPRODUCT(($B$2:$B$1001=B523)*1),0)</f>
        <v>0.275510204081633</v>
      </c>
      <c r="O523" s="24" t="n">
        <f aca="false">IFERROR(SUMPRODUCT(($B$2:$B$1001=B523)*($J$2:$J$1001&lt;=J523))/SUMPRODUCT(($B$2:$B$1001=B523)*1),0)</f>
        <v>0.231292517006803</v>
      </c>
      <c r="P523" s="24" t="n">
        <f aca="false">IFERROR(SUMPRODUCT(($B$2:$B$1001=B523)*((0-$F$2:$F$1001)&lt;=(0-F523)))/SUMPRODUCT(($B$2:$B$1001=B523)*1),0)</f>
        <v>0.493197278911565</v>
      </c>
      <c r="Q523" s="25" t="n">
        <f aca="false">(M523*Assumptions!$B$5+N523*Assumptions!$B$6+O523*Assumptions!$B$7+P523*Assumptions!$B$8)*L523</f>
        <v>0.253231292517007</v>
      </c>
      <c r="R523" s="24" t="n">
        <f aca="false">IFERROR(SUMPRODUCT(($B$2:$B$1001=B523)*($Q$2:$Q$1001&lt;=Q523))/SUMPRODUCT(($B$2:$B$1001=B523)*1),0)</f>
        <v>0.173469387755102</v>
      </c>
      <c r="S523" s="24" t="n">
        <f aca="false">IFERROR(SUMPRODUCT(($B$2:$B$1001=B523)*($K$2:$K$1001&lt;=K523))/SUMPRODUCT(($B$2:$B$1001=B523)*1),0)</f>
        <v>0.768707482993197</v>
      </c>
      <c r="T523" s="26" t="n">
        <f aca="false">(R523-S523)*100</f>
        <v>-59.5238095238095</v>
      </c>
      <c r="U523" s="21" t="str">
        <f aca="false">'Player Data'!T523</f>
        <v>No</v>
      </c>
      <c r="V523" s="27" t="n">
        <f aca="false">'Player Data'!U523</f>
        <v>2029</v>
      </c>
      <c r="W523" s="21" t="str">
        <f aca="false">IF(AND(T523&gt;=Assumptions!$B$19,U523="No"),"High Priority - Unrepresented",IF(T523&gt;=Assumptions!$B$19,"High Priority",IF(AND(T523&gt;=Assumptions!$B$20,U523="No"),"Watchlist - Unrepresented",IF(T523&gt;=Assumptions!$B$20,"Watchlist",""))))</f>
        <v/>
      </c>
      <c r="X523" s="21" t="str">
        <f aca="false">'Player Data'!V523</f>
        <v>info@hanoiunited.vn</v>
      </c>
      <c r="Y523" s="28" t="str">
        <f aca="false">'Player Data'!W523</f>
        <v>Club sporting director / first-team office</v>
      </c>
      <c r="Z523" s="28" t="str">
        <f aca="false">'Player Data'!X523</f>
        <v>VFF (Vietnam Football Federation) player registry</v>
      </c>
      <c r="AA523" s="19" t="str">
        <f aca="false">HYPERLINK("https://www.transfermarkt.com/schnellsuche/ergebnis/schnellsuche?query="&amp;SUBSTITUTE(A523," ","+"),"Search Transfermarkt")</f>
        <v>Search Transfermarkt</v>
      </c>
      <c r="AB523" s="29" t="n">
        <f aca="false">IFERROR('Player Data'!K523/('Player Data'!K523+'Player Data'!L523),0)</f>
        <v>0.584269662921348</v>
      </c>
      <c r="AC523" s="21" t="str">
        <f aca="false">IF(B523="GK",IF(AND(O523&gt;=Assumptions!$B$23,N523&gt;=Assumptions!$B$23),"Sweeper-Keeper / Build-from-the-Back",IF(O523&gt;=Assumptions!$B$23,"Sweeper-Keeper / High Line",IF(M523&gt;=Assumptions!$B$23,"Shot-Stopper / Traditional","Flexible / Multi-System"))),IF(AND(O523&gt;=Assumptions!$B$23,P523&gt;=Assumptions!$B$24),"High Press / Gegenpressing",IF(AND(N523&gt;=Assumptions!$B$23,AB523&gt;=Assumptions!$B$25),"Possession / Build-from-the-Back",IF(N523&gt;=Assumptions!$B$23,"Counter-Attack / Transition",IF(AND(O523&gt;=Assumptions!$B$23,N523&lt;Assumptions!$B$26),"Low Block / Park the Bus",IF(AND(B523="FW",M523&gt;=Assumptions!$B$23,N523&lt;Assumptions!$B$26),"Direct / Target Approach","Flexible / Multi-System"))))))</f>
        <v>Flexible / Multi-System</v>
      </c>
      <c r="AD523" s="21" t="str">
        <f aca="false">'Player Data'!Y523</f>
        <v>2026-07-17</v>
      </c>
      <c r="AE523" s="21" t="str">
        <f aca="false">'Player Data'!Z523</f>
        <v>2026-07-17</v>
      </c>
      <c r="AF523" s="28" t="str">
        <f aca="false">IFERROR(INDEX(Assumptions!$B$30:$B$61,MATCH(C523,Assumptions!$A$30:$A$61,0)),"--")</f>
        <v>Australia, Saudi Arabia</v>
      </c>
      <c r="AG523" s="30" t="str">
        <f aca="false">IF(R523&gt;=0.7,"Step-Up Candidate",IF(R523&gt;=0.4,"Lateral Move","Stay &amp; Develop"))</f>
        <v>Stay &amp; Develop</v>
      </c>
    </row>
    <row r="524" customFormat="false" ht="23.85" hidden="false" customHeight="false" outlineLevel="0" collapsed="false">
      <c r="A524" s="21" t="str">
        <f aca="false">'Player Data'!A524</f>
        <v>Matias Sanchez</v>
      </c>
      <c r="B524" s="21" t="str">
        <f aca="false">'Player Data'!F524</f>
        <v>DF</v>
      </c>
      <c r="C524" s="21" t="str">
        <f aca="false">'Player Data'!B524</f>
        <v>Paraguay</v>
      </c>
      <c r="D524" s="21" t="str">
        <f aca="false">'Player Data'!C524</f>
        <v>Paraguay Regional League</v>
      </c>
      <c r="E524" s="21" t="n">
        <f aca="false">'Player Data'!D524</f>
        <v>2</v>
      </c>
      <c r="F524" s="21" t="n">
        <f aca="false">'Player Data'!G524</f>
        <v>18</v>
      </c>
      <c r="G524" s="21" t="n">
        <f aca="false">'Player Data'!H524</f>
        <v>1906</v>
      </c>
      <c r="H524" s="22" t="n">
        <f aca="false">IF(B524="GK",IFERROR(('Player Data'!N524-1.5*'Player Data'!O524)/'Player Data'!H524*90,0),IFERROR(('Player Data'!I524+'Player Data'!J524)/'Player Data'!H524*90,0))</f>
        <v>0.377754459601259</v>
      </c>
      <c r="I524" s="22" t="n">
        <f aca="false">IF(B524="GK",'Player Data'!P524,IFERROR(('Player Data'!K524+'Player Data'!L524)/'Player Data'!H524*90,0))</f>
        <v>4.4386149003148</v>
      </c>
      <c r="J524" s="22" t="n">
        <f aca="false">IF(B524="GK",IFERROR('Player Data'!Q524/'Player Data'!H524*90,0),IFERROR('Player Data'!M524/'Player Data'!H524*90,0))</f>
        <v>4.34417628541448</v>
      </c>
      <c r="K524" s="23" t="n">
        <f aca="false">'Player Data'!S524</f>
        <v>22505</v>
      </c>
      <c r="L524" s="22" t="n">
        <f aca="false">INDEX(Assumptions!$B$13:$B$15,MATCH(E524,Assumptions!$A$13:$A$15,0))</f>
        <v>1</v>
      </c>
      <c r="M524" s="24" t="n">
        <f aca="false">IFERROR(SUMPRODUCT(($B$2:$B$1001=B524)*($H$2:$H$1001&lt;=H524))/SUMPRODUCT(($B$2:$B$1001=B524)*1),0)</f>
        <v>0.880952380952381</v>
      </c>
      <c r="N524" s="24" t="n">
        <f aca="false">IFERROR(SUMPRODUCT(($B$2:$B$1001=B524)*($I$2:$I$1001&lt;=I524))/SUMPRODUCT(($B$2:$B$1001=B524)*1),0)</f>
        <v>0.496598639455782</v>
      </c>
      <c r="O524" s="24" t="n">
        <f aca="false">IFERROR(SUMPRODUCT(($B$2:$B$1001=B524)*($J$2:$J$1001&lt;=J524))/SUMPRODUCT(($B$2:$B$1001=B524)*1),0)</f>
        <v>0.329931972789116</v>
      </c>
      <c r="P524" s="24" t="n">
        <f aca="false">IFERROR(SUMPRODUCT(($B$2:$B$1001=B524)*((0-$F$2:$F$1001)&lt;=(0-F524)))/SUMPRODUCT(($B$2:$B$1001=B524)*1),0)</f>
        <v>0.863945578231293</v>
      </c>
      <c r="Q524" s="25" t="n">
        <f aca="false">(M524*Assumptions!$B$5+N524*Assumptions!$B$6+O524*Assumptions!$B$7+P524*Assumptions!$B$8)*L524</f>
        <v>0.632823129251701</v>
      </c>
      <c r="R524" s="24" t="n">
        <f aca="false">IFERROR(SUMPRODUCT(($B$2:$B$1001=B524)*($Q$2:$Q$1001&lt;=Q524))/SUMPRODUCT(($B$2:$B$1001=B524)*1),0)</f>
        <v>0.806122448979592</v>
      </c>
      <c r="S524" s="24" t="n">
        <f aca="false">IFERROR(SUMPRODUCT(($B$2:$B$1001=B524)*($K$2:$K$1001&lt;=K524))/SUMPRODUCT(($B$2:$B$1001=B524)*1),0)</f>
        <v>0.312925170068027</v>
      </c>
      <c r="T524" s="26" t="n">
        <f aca="false">(R524-S524)*100</f>
        <v>49.3197278911565</v>
      </c>
      <c r="U524" s="21" t="str">
        <f aca="false">'Player Data'!T524</f>
        <v>No</v>
      </c>
      <c r="V524" s="27" t="n">
        <f aca="false">'Player Data'!U524</f>
        <v>2029</v>
      </c>
      <c r="W524" s="21" t="str">
        <f aca="false">IF(AND(T524&gt;=Assumptions!$B$19,U524="No"),"High Priority - Unrepresented",IF(T524&gt;=Assumptions!$B$19,"High Priority",IF(AND(T524&gt;=Assumptions!$B$20,U524="No"),"Watchlist - Unrepresented",IF(T524&gt;=Assumptions!$B$20,"Watchlist",""))))</f>
        <v>High Priority - Unrepresented</v>
      </c>
      <c r="X524" s="21" t="str">
        <f aca="false">'Player Data'!V524</f>
        <v>info@luqueathletic.py</v>
      </c>
      <c r="Y524" s="28" t="str">
        <f aca="false">'Player Data'!W524</f>
        <v>Club sporting director / first-team office</v>
      </c>
      <c r="Z524" s="28" t="str">
        <f aca="false">'Player Data'!X524</f>
        <v>APF (Paraguayan Football Association) player registry</v>
      </c>
      <c r="AA524" s="19" t="str">
        <f aca="false">HYPERLINK("https://www.transfermarkt.com/schnellsuche/ergebnis/schnellsuche?query="&amp;SUBSTITUTE(A524," ","+"),"Search Transfermarkt")</f>
        <v>Search Transfermarkt</v>
      </c>
      <c r="AB524" s="29" t="n">
        <f aca="false">IFERROR('Player Data'!K524/('Player Data'!K524+'Player Data'!L524),0)</f>
        <v>0.670212765957447</v>
      </c>
      <c r="AC524" s="21" t="str">
        <f aca="false">IF(B524="GK",IF(AND(O524&gt;=Assumptions!$B$23,N524&gt;=Assumptions!$B$23),"Sweeper-Keeper / Build-from-the-Back",IF(O524&gt;=Assumptions!$B$23,"Sweeper-Keeper / High Line",IF(M524&gt;=Assumptions!$B$23,"Shot-Stopper / Traditional","Flexible / Multi-System"))),IF(AND(O524&gt;=Assumptions!$B$23,P524&gt;=Assumptions!$B$24),"High Press / Gegenpressing",IF(AND(N524&gt;=Assumptions!$B$23,AB524&gt;=Assumptions!$B$25),"Possession / Build-from-the-Back",IF(N524&gt;=Assumptions!$B$23,"Counter-Attack / Transition",IF(AND(O524&gt;=Assumptions!$B$23,N524&lt;Assumptions!$B$26),"Low Block / Park the Bus",IF(AND(B524="FW",M524&gt;=Assumptions!$B$23,N524&lt;Assumptions!$B$26),"Direct / Target Approach","Flexible / Multi-System"))))))</f>
        <v>Flexible / Multi-System</v>
      </c>
      <c r="AD524" s="21" t="str">
        <f aca="false">'Player Data'!Y524</f>
        <v>2026-07-17</v>
      </c>
      <c r="AE524" s="21" t="str">
        <f aca="false">'Player Data'!Z524</f>
        <v>2026-07-17</v>
      </c>
      <c r="AF524" s="28" t="str">
        <f aca="false">IFERROR(INDEX(Assumptions!$B$30:$B$61,MATCH(C524,Assumptions!$A$30:$A$61,0)),"--")</f>
        <v>Argentina, Portugal</v>
      </c>
      <c r="AG524" s="30" t="str">
        <f aca="false">IF(R524&gt;=0.7,"Step-Up Candidate",IF(R524&gt;=0.4,"Lateral Move","Stay &amp; Develop"))</f>
        <v>Step-Up Candidate</v>
      </c>
    </row>
    <row r="525" customFormat="false" ht="23.85" hidden="false" customHeight="false" outlineLevel="0" collapsed="false">
      <c r="A525" s="21" t="str">
        <f aca="false">'Player Data'!A525</f>
        <v>Arturs Kalns</v>
      </c>
      <c r="B525" s="21" t="str">
        <f aca="false">'Player Data'!F525</f>
        <v>MF</v>
      </c>
      <c r="C525" s="21" t="str">
        <f aca="false">'Player Data'!B525</f>
        <v>Latvia</v>
      </c>
      <c r="D525" s="21" t="str">
        <f aca="false">'Player Data'!C525</f>
        <v>Latvia Second Division - East</v>
      </c>
      <c r="E525" s="21" t="n">
        <f aca="false">'Player Data'!D525</f>
        <v>2</v>
      </c>
      <c r="F525" s="21" t="n">
        <f aca="false">'Player Data'!G525</f>
        <v>21</v>
      </c>
      <c r="G525" s="21" t="n">
        <f aca="false">'Player Data'!H525</f>
        <v>2470</v>
      </c>
      <c r="H525" s="22" t="n">
        <f aca="false">IF(B525="GK",IFERROR(('Player Data'!N525-1.5*'Player Data'!O525)/'Player Data'!H525*90,0),IFERROR(('Player Data'!I525+'Player Data'!J525)/'Player Data'!H525*90,0))</f>
        <v>0.582995951417004</v>
      </c>
      <c r="I525" s="22" t="n">
        <f aca="false">IF(B525="GK",'Player Data'!P525,IFERROR(('Player Data'!K525+'Player Data'!L525)/'Player Data'!H525*90,0))</f>
        <v>9.14574898785425</v>
      </c>
      <c r="J525" s="22" t="n">
        <f aca="false">IF(B525="GK",IFERROR('Player Data'!Q525/'Player Data'!H525*90,0),IFERROR('Player Data'!M525/'Player Data'!H525*90,0))</f>
        <v>1.12955465587045</v>
      </c>
      <c r="K525" s="23" t="n">
        <f aca="false">'Player Data'!S525</f>
        <v>0</v>
      </c>
      <c r="L525" s="22" t="n">
        <f aca="false">INDEX(Assumptions!$B$13:$B$15,MATCH(E525,Assumptions!$A$13:$A$15,0))</f>
        <v>1</v>
      </c>
      <c r="M525" s="24" t="n">
        <f aca="false">IFERROR(SUMPRODUCT(($B$2:$B$1001=B525)*($H$2:$H$1001&lt;=H525))/SUMPRODUCT(($B$2:$B$1001=B525)*1),0)</f>
        <v>0.303030303030303</v>
      </c>
      <c r="N525" s="24" t="n">
        <f aca="false">IFERROR(SUMPRODUCT(($B$2:$B$1001=B525)*($I$2:$I$1001&lt;=I525))/SUMPRODUCT(($B$2:$B$1001=B525)*1),0)</f>
        <v>0.30976430976431</v>
      </c>
      <c r="O525" s="24" t="n">
        <f aca="false">IFERROR(SUMPRODUCT(($B$2:$B$1001=B525)*($J$2:$J$1001&lt;=J525))/SUMPRODUCT(($B$2:$B$1001=B525)*1),0)</f>
        <v>0.037037037037037</v>
      </c>
      <c r="P525" s="24" t="n">
        <f aca="false">IFERROR(SUMPRODUCT(($B$2:$B$1001=B525)*((0-$F$2:$F$1001)&lt;=(0-F525)))/SUMPRODUCT(($B$2:$B$1001=B525)*1),0)</f>
        <v>0.61952861952862</v>
      </c>
      <c r="Q525" s="25" t="n">
        <f aca="false">(M525*Assumptions!$B$5+N525*Assumptions!$B$6+O525*Assumptions!$B$7+P525*Assumptions!$B$8)*L525</f>
        <v>0.315488215488216</v>
      </c>
      <c r="R525" s="24" t="n">
        <f aca="false">IFERROR(SUMPRODUCT(($B$2:$B$1001=B525)*($Q$2:$Q$1001&lt;=Q525))/SUMPRODUCT(($B$2:$B$1001=B525)*1),0)</f>
        <v>0.276094276094276</v>
      </c>
      <c r="S525" s="24" t="n">
        <f aca="false">IFERROR(SUMPRODUCT(($B$2:$B$1001=B525)*($K$2:$K$1001&lt;=K525))/SUMPRODUCT(($B$2:$B$1001=B525)*1),0)</f>
        <v>0.228956228956229</v>
      </c>
      <c r="T525" s="26" t="n">
        <f aca="false">(R525-S525)*100</f>
        <v>4.71380471380471</v>
      </c>
      <c r="U525" s="21" t="str">
        <f aca="false">'Player Data'!T525</f>
        <v>No</v>
      </c>
      <c r="V525" s="27" t="n">
        <f aca="false">'Player Data'!U525</f>
        <v>2029</v>
      </c>
      <c r="W525" s="21" t="str">
        <f aca="false">IF(AND(T525&gt;=Assumptions!$B$19,U525="No"),"High Priority - Unrepresented",IF(T525&gt;=Assumptions!$B$19,"High Priority",IF(AND(T525&gt;=Assumptions!$B$20,U525="No"),"Watchlist - Unrepresented",IF(T525&gt;=Assumptions!$B$20,"Watchlist",""))))</f>
        <v/>
      </c>
      <c r="X525" s="21" t="str">
        <f aca="false">'Player Data'!V525</f>
        <v>info@jelgavarangers.lv</v>
      </c>
      <c r="Y525" s="28" t="str">
        <f aca="false">'Player Data'!W525</f>
        <v>Club sporting director / first-team office</v>
      </c>
      <c r="Z525" s="28" t="str">
        <f aca="false">'Player Data'!X525</f>
        <v>LFF (Latvian Football Federation) player registry</v>
      </c>
      <c r="AA525" s="19" t="str">
        <f aca="false">HYPERLINK("https://www.transfermarkt.com/schnellsuche/ergebnis/schnellsuche?query="&amp;SUBSTITUTE(A525," ","+"),"Search Transfermarkt")</f>
        <v>Search Transfermarkt</v>
      </c>
      <c r="AB525" s="29" t="n">
        <f aca="false">IFERROR('Player Data'!K525/('Player Data'!K525+'Player Data'!L525),0)</f>
        <v>0.653386454183267</v>
      </c>
      <c r="AC525" s="21" t="str">
        <f aca="false">IF(B525="GK",IF(AND(O525&gt;=Assumptions!$B$23,N525&gt;=Assumptions!$B$23),"Sweeper-Keeper / Build-from-the-Back",IF(O525&gt;=Assumptions!$B$23,"Sweeper-Keeper / High Line",IF(M525&gt;=Assumptions!$B$23,"Shot-Stopper / Traditional","Flexible / Multi-System"))),IF(AND(O525&gt;=Assumptions!$B$23,P525&gt;=Assumptions!$B$24),"High Press / Gegenpressing",IF(AND(N525&gt;=Assumptions!$B$23,AB525&gt;=Assumptions!$B$25),"Possession / Build-from-the-Back",IF(N525&gt;=Assumptions!$B$23,"Counter-Attack / Transition",IF(AND(O525&gt;=Assumptions!$B$23,N525&lt;Assumptions!$B$26),"Low Block / Park the Bus",IF(AND(B525="FW",M525&gt;=Assumptions!$B$23,N525&lt;Assumptions!$B$26),"Direct / Target Approach","Flexible / Multi-System"))))))</f>
        <v>Flexible / Multi-System</v>
      </c>
      <c r="AD525" s="21" t="str">
        <f aca="false">'Player Data'!Y525</f>
        <v>2026-07-17</v>
      </c>
      <c r="AE525" s="21" t="str">
        <f aca="false">'Player Data'!Z525</f>
        <v>2026-07-17</v>
      </c>
      <c r="AF525" s="28" t="str">
        <f aca="false">IFERROR(INDEX(Assumptions!$B$30:$B$61,MATCH(C525,Assumptions!$A$30:$A$61,0)),"--")</f>
        <v>Poland, Norway</v>
      </c>
      <c r="AG525" s="30" t="str">
        <f aca="false">IF(R525&gt;=0.7,"Step-Up Candidate",IF(R525&gt;=0.4,"Lateral Move","Stay &amp; Develop"))</f>
        <v>Stay &amp; Develop</v>
      </c>
    </row>
    <row r="526" customFormat="false" ht="23.85" hidden="false" customHeight="false" outlineLevel="0" collapsed="false">
      <c r="A526" s="21" t="str">
        <f aca="false">'Player Data'!A526</f>
        <v>Jefferson Chavez</v>
      </c>
      <c r="B526" s="21" t="str">
        <f aca="false">'Player Data'!F526</f>
        <v>MF</v>
      </c>
      <c r="C526" s="21" t="str">
        <f aca="false">'Player Data'!B526</f>
        <v>Ecuador</v>
      </c>
      <c r="D526" s="21" t="str">
        <f aca="false">'Player Data'!C526</f>
        <v>Ecuador Reserve League</v>
      </c>
      <c r="E526" s="21" t="n">
        <f aca="false">'Player Data'!D526</f>
        <v>3</v>
      </c>
      <c r="F526" s="21" t="n">
        <f aca="false">'Player Data'!G526</f>
        <v>20</v>
      </c>
      <c r="G526" s="21" t="n">
        <f aca="false">'Player Data'!H526</f>
        <v>815</v>
      </c>
      <c r="H526" s="22" t="n">
        <f aca="false">IF(B526="GK",IFERROR(('Player Data'!N526-1.5*'Player Data'!O526)/'Player Data'!H526*90,0),IFERROR(('Player Data'!I526+'Player Data'!J526)/'Player Data'!H526*90,0))</f>
        <v>1.54601226993865</v>
      </c>
      <c r="I526" s="22" t="n">
        <f aca="false">IF(B526="GK",'Player Data'!P526,IFERROR(('Player Data'!K526+'Player Data'!L526)/'Player Data'!H526*90,0))</f>
        <v>26.7239263803681</v>
      </c>
      <c r="J526" s="22" t="n">
        <f aca="false">IF(B526="GK",IFERROR('Player Data'!Q526/'Player Data'!H526*90,0),IFERROR('Player Data'!M526/'Player Data'!H526*90,0))</f>
        <v>3.75460122699387</v>
      </c>
      <c r="K526" s="23" t="n">
        <f aca="false">'Player Data'!S526</f>
        <v>128452</v>
      </c>
      <c r="L526" s="22" t="n">
        <f aca="false">INDEX(Assumptions!$B$13:$B$15,MATCH(E526,Assumptions!$A$13:$A$15,0))</f>
        <v>0.85</v>
      </c>
      <c r="M526" s="24" t="n">
        <f aca="false">IFERROR(SUMPRODUCT(($B$2:$B$1001=B526)*($H$2:$H$1001&lt;=H526))/SUMPRODUCT(($B$2:$B$1001=B526)*1),0)</f>
        <v>0.94949494949495</v>
      </c>
      <c r="N526" s="24" t="n">
        <f aca="false">IFERROR(SUMPRODUCT(($B$2:$B$1001=B526)*($I$2:$I$1001&lt;=I526))/SUMPRODUCT(($B$2:$B$1001=B526)*1),0)</f>
        <v>1</v>
      </c>
      <c r="O526" s="24" t="n">
        <f aca="false">IFERROR(SUMPRODUCT(($B$2:$B$1001=B526)*($J$2:$J$1001&lt;=J526))/SUMPRODUCT(($B$2:$B$1001=B526)*1),0)</f>
        <v>0.895622895622896</v>
      </c>
      <c r="P526" s="24" t="n">
        <f aca="false">IFERROR(SUMPRODUCT(($B$2:$B$1001=B526)*((0-$F$2:$F$1001)&lt;=(0-F526)))/SUMPRODUCT(($B$2:$B$1001=B526)*1),0)</f>
        <v>0.734006734006734</v>
      </c>
      <c r="Q526" s="25" t="n">
        <f aca="false">(M526*Assumptions!$B$5+N526*Assumptions!$B$6+O526*Assumptions!$B$7+P526*Assumptions!$B$8)*L526</f>
        <v>0.776304713804714</v>
      </c>
      <c r="R526" s="24" t="n">
        <f aca="false">IFERROR(SUMPRODUCT(($B$2:$B$1001=B526)*($Q$2:$Q$1001&lt;=Q526))/SUMPRODUCT(($B$2:$B$1001=B526)*1),0)</f>
        <v>0.919191919191919</v>
      </c>
      <c r="S526" s="24" t="n">
        <f aca="false">IFERROR(SUMPRODUCT(($B$2:$B$1001=B526)*($K$2:$K$1001&lt;=K526))/SUMPRODUCT(($B$2:$B$1001=B526)*1),0)</f>
        <v>0.902356902356902</v>
      </c>
      <c r="T526" s="26" t="n">
        <f aca="false">(R526-S526)*100</f>
        <v>1.68350168350169</v>
      </c>
      <c r="U526" s="21" t="str">
        <f aca="false">'Player Data'!T526</f>
        <v>Yes</v>
      </c>
      <c r="V526" s="27" t="n">
        <f aca="false">'Player Data'!U526</f>
        <v>2027</v>
      </c>
      <c r="W526" s="21" t="str">
        <f aca="false">IF(AND(T526&gt;=Assumptions!$B$19,U526="No"),"High Priority - Unrepresented",IF(T526&gt;=Assumptions!$B$19,"High Priority",IF(AND(T526&gt;=Assumptions!$B$20,U526="No"),"Watchlist - Unrepresented",IF(T526&gt;=Assumptions!$B$20,"Watchlist",""))))</f>
        <v/>
      </c>
      <c r="X526" s="21" t="str">
        <f aca="false">'Player Data'!V526</f>
        <v>info@cuencafc.ec</v>
      </c>
      <c r="Y526" s="28" t="str">
        <f aca="false">'Player Data'!W526</f>
        <v>Go through the player's agent - ask the club to confirm representation first</v>
      </c>
      <c r="Z526" s="28" t="str">
        <f aca="false">'Player Data'!X526</f>
        <v>FEF (Ecuadorian Football Federation) player registry</v>
      </c>
      <c r="AA526" s="19" t="str">
        <f aca="false">HYPERLINK("https://www.transfermarkt.com/schnellsuche/ergebnis/schnellsuche?query="&amp;SUBSTITUTE(A526," ","+"),"Search Transfermarkt")</f>
        <v>Search Transfermarkt</v>
      </c>
      <c r="AB526" s="29" t="n">
        <f aca="false">IFERROR('Player Data'!K526/('Player Data'!K526+'Player Data'!L526),0)</f>
        <v>0.62396694214876</v>
      </c>
      <c r="AC526" s="21" t="str">
        <f aca="false">IF(B526="GK",IF(AND(O526&gt;=Assumptions!$B$23,N526&gt;=Assumptions!$B$23),"Sweeper-Keeper / Build-from-the-Back",IF(O526&gt;=Assumptions!$B$23,"Sweeper-Keeper / High Line",IF(M526&gt;=Assumptions!$B$23,"Shot-Stopper / Traditional","Flexible / Multi-System"))),IF(AND(O526&gt;=Assumptions!$B$23,P526&gt;=Assumptions!$B$24),"High Press / Gegenpressing",IF(AND(N526&gt;=Assumptions!$B$23,AB526&gt;=Assumptions!$B$25),"Possession / Build-from-the-Back",IF(N526&gt;=Assumptions!$B$23,"Counter-Attack / Transition",IF(AND(O526&gt;=Assumptions!$B$23,N526&lt;Assumptions!$B$26),"Low Block / Park the Bus",IF(AND(B526="FW",M526&gt;=Assumptions!$B$23,N526&lt;Assumptions!$B$26),"Direct / Target Approach","Flexible / Multi-System"))))))</f>
        <v>High Press / Gegenpressing</v>
      </c>
      <c r="AD526" s="21" t="str">
        <f aca="false">'Player Data'!Y526</f>
        <v>2026-07-17</v>
      </c>
      <c r="AE526" s="21" t="str">
        <f aca="false">'Player Data'!Z526</f>
        <v>2026-07-17</v>
      </c>
      <c r="AF526" s="28" t="str">
        <f aca="false">IFERROR(INDEX(Assumptions!$B$30:$B$61,MATCH(C526,Assumptions!$A$30:$A$61,0)),"--")</f>
        <v>Argentina, Portugal</v>
      </c>
      <c r="AG526" s="30" t="str">
        <f aca="false">IF(R526&gt;=0.7,"Step-Up Candidate",IF(R526&gt;=0.4,"Lateral Move","Stay &amp; Develop"))</f>
        <v>Step-Up Candidate</v>
      </c>
    </row>
    <row r="527" customFormat="false" ht="23.85" hidden="false" customHeight="false" outlineLevel="0" collapsed="false">
      <c r="A527" s="21" t="str">
        <f aca="false">'Player Data'!A527</f>
        <v>Andres Preciado</v>
      </c>
      <c r="B527" s="21" t="str">
        <f aca="false">'Player Data'!F527</f>
        <v>MF</v>
      </c>
      <c r="C527" s="21" t="str">
        <f aca="false">'Player Data'!B527</f>
        <v>Ecuador</v>
      </c>
      <c r="D527" s="21" t="str">
        <f aca="false">'Player Data'!C527</f>
        <v>Ecuador Reserve League</v>
      </c>
      <c r="E527" s="21" t="n">
        <f aca="false">'Player Data'!D527</f>
        <v>2</v>
      </c>
      <c r="F527" s="21" t="n">
        <f aca="false">'Player Data'!G527</f>
        <v>20</v>
      </c>
      <c r="G527" s="21" t="n">
        <f aca="false">'Player Data'!H527</f>
        <v>1551</v>
      </c>
      <c r="H527" s="22" t="n">
        <f aca="false">IF(B527="GK",IFERROR(('Player Data'!N527-1.5*'Player Data'!O527)/'Player Data'!H527*90,0),IFERROR(('Player Data'!I527+'Player Data'!J527)/'Player Data'!H527*90,0))</f>
        <v>0.406189555125725</v>
      </c>
      <c r="I527" s="22" t="n">
        <f aca="false">IF(B527="GK",'Player Data'!P527,IFERROR(('Player Data'!K527+'Player Data'!L527)/'Player Data'!H527*90,0))</f>
        <v>15.3771760154739</v>
      </c>
      <c r="J527" s="22" t="n">
        <f aca="false">IF(B527="GK",IFERROR('Player Data'!Q527/'Player Data'!H527*90,0),IFERROR('Player Data'!M527/'Player Data'!H527*90,0))</f>
        <v>2.7852998065764</v>
      </c>
      <c r="K527" s="23" t="n">
        <f aca="false">'Player Data'!S527</f>
        <v>0</v>
      </c>
      <c r="L527" s="22" t="n">
        <f aca="false">INDEX(Assumptions!$B$13:$B$15,MATCH(E527,Assumptions!$A$13:$A$15,0))</f>
        <v>1</v>
      </c>
      <c r="M527" s="24" t="n">
        <f aca="false">IFERROR(SUMPRODUCT(($B$2:$B$1001=B527)*($H$2:$H$1001&lt;=H527))/SUMPRODUCT(($B$2:$B$1001=B527)*1),0)</f>
        <v>0.0976430976430976</v>
      </c>
      <c r="N527" s="24" t="n">
        <f aca="false">IFERROR(SUMPRODUCT(($B$2:$B$1001=B527)*($I$2:$I$1001&lt;=I527))/SUMPRODUCT(($B$2:$B$1001=B527)*1),0)</f>
        <v>0.760942760942761</v>
      </c>
      <c r="O527" s="24" t="n">
        <f aca="false">IFERROR(SUMPRODUCT(($B$2:$B$1001=B527)*($J$2:$J$1001&lt;=J527))/SUMPRODUCT(($B$2:$B$1001=B527)*1),0)</f>
        <v>0.734006734006734</v>
      </c>
      <c r="P527" s="24" t="n">
        <f aca="false">IFERROR(SUMPRODUCT(($B$2:$B$1001=B527)*((0-$F$2:$F$1001)&lt;=(0-F527)))/SUMPRODUCT(($B$2:$B$1001=B527)*1),0)</f>
        <v>0.734006734006734</v>
      </c>
      <c r="Q527" s="25" t="n">
        <f aca="false">(M527*Assumptions!$B$5+N527*Assumptions!$B$6+O527*Assumptions!$B$7+P527*Assumptions!$B$8)*L527</f>
        <v>0.584343434343434</v>
      </c>
      <c r="R527" s="24" t="n">
        <f aca="false">IFERROR(SUMPRODUCT(($B$2:$B$1001=B527)*($Q$2:$Q$1001&lt;=Q527))/SUMPRODUCT(($B$2:$B$1001=B527)*1),0)</f>
        <v>0.727272727272727</v>
      </c>
      <c r="S527" s="24" t="n">
        <f aca="false">IFERROR(SUMPRODUCT(($B$2:$B$1001=B527)*($K$2:$K$1001&lt;=K527))/SUMPRODUCT(($B$2:$B$1001=B527)*1),0)</f>
        <v>0.228956228956229</v>
      </c>
      <c r="T527" s="26" t="n">
        <f aca="false">(R527-S527)*100</f>
        <v>49.8316498316498</v>
      </c>
      <c r="U527" s="21" t="str">
        <f aca="false">'Player Data'!T527</f>
        <v>Yes</v>
      </c>
      <c r="V527" s="27" t="n">
        <f aca="false">'Player Data'!U527</f>
        <v>2027</v>
      </c>
      <c r="W527" s="21" t="str">
        <f aca="false">IF(AND(T527&gt;=Assumptions!$B$19,U527="No"),"High Priority - Unrepresented",IF(T527&gt;=Assumptions!$B$19,"High Priority",IF(AND(T527&gt;=Assumptions!$B$20,U527="No"),"Watchlist - Unrepresented",IF(T527&gt;=Assumptions!$B$20,"Watchlist",""))))</f>
        <v>High Priority</v>
      </c>
      <c r="X527" s="21" t="str">
        <f aca="false">'Player Data'!V527</f>
        <v>info@quitofc.ec</v>
      </c>
      <c r="Y527" s="28" t="str">
        <f aca="false">'Player Data'!W527</f>
        <v>Go through the player's agent - ask the club to confirm representation first</v>
      </c>
      <c r="Z527" s="28" t="str">
        <f aca="false">'Player Data'!X527</f>
        <v>FEF (Ecuadorian Football Federation) player registry</v>
      </c>
      <c r="AA527" s="19" t="str">
        <f aca="false">HYPERLINK("https://www.transfermarkt.com/schnellsuche/ergebnis/schnellsuche?query="&amp;SUBSTITUTE(A527," ","+"),"Search Transfermarkt")</f>
        <v>Search Transfermarkt</v>
      </c>
      <c r="AB527" s="29" t="n">
        <f aca="false">IFERROR('Player Data'!K527/('Player Data'!K527+'Player Data'!L527),0)</f>
        <v>0.660377358490566</v>
      </c>
      <c r="AC527" s="21" t="str">
        <f aca="false">IF(B527="GK",IF(AND(O527&gt;=Assumptions!$B$23,N527&gt;=Assumptions!$B$23),"Sweeper-Keeper / Build-from-the-Back",IF(O527&gt;=Assumptions!$B$23,"Sweeper-Keeper / High Line",IF(M527&gt;=Assumptions!$B$23,"Shot-Stopper / Traditional","Flexible / Multi-System"))),IF(AND(O527&gt;=Assumptions!$B$23,P527&gt;=Assumptions!$B$24),"High Press / Gegenpressing",IF(AND(N527&gt;=Assumptions!$B$23,AB527&gt;=Assumptions!$B$25),"Possession / Build-from-the-Back",IF(N527&gt;=Assumptions!$B$23,"Counter-Attack / Transition",IF(AND(O527&gt;=Assumptions!$B$23,N527&lt;Assumptions!$B$26),"Low Block / Park the Bus",IF(AND(B527="FW",M527&gt;=Assumptions!$B$23,N527&lt;Assumptions!$B$26),"Direct / Target Approach","Flexible / Multi-System"))))))</f>
        <v>High Press / Gegenpressing</v>
      </c>
      <c r="AD527" s="21" t="str">
        <f aca="false">'Player Data'!Y527</f>
        <v>2026-07-17</v>
      </c>
      <c r="AE527" s="21" t="str">
        <f aca="false">'Player Data'!Z527</f>
        <v>2026-07-17</v>
      </c>
      <c r="AF527" s="28" t="str">
        <f aca="false">IFERROR(INDEX(Assumptions!$B$30:$B$61,MATCH(C527,Assumptions!$A$30:$A$61,0)),"--")</f>
        <v>Argentina, Portugal</v>
      </c>
      <c r="AG527" s="30" t="str">
        <f aca="false">IF(R527&gt;=0.7,"Step-Up Candidate",IF(R527&gt;=0.4,"Lateral Move","Stay &amp; Develop"))</f>
        <v>Step-Up Candidate</v>
      </c>
    </row>
    <row r="528" customFormat="false" ht="23.85" hidden="false" customHeight="false" outlineLevel="0" collapsed="false">
      <c r="A528" s="21" t="str">
        <f aca="false">'Player Data'!A528</f>
        <v>Bekzod Tashkentov</v>
      </c>
      <c r="B528" s="21" t="str">
        <f aca="false">'Player Data'!F528</f>
        <v>GK</v>
      </c>
      <c r="C528" s="21" t="str">
        <f aca="false">'Player Data'!B528</f>
        <v>Uzbekistan</v>
      </c>
      <c r="D528" s="21" t="str">
        <f aca="false">'Player Data'!C528</f>
        <v>Uzbekistan Second Division</v>
      </c>
      <c r="E528" s="21" t="n">
        <f aca="false">'Player Data'!D528</f>
        <v>2</v>
      </c>
      <c r="F528" s="21" t="n">
        <f aca="false">'Player Data'!G528</f>
        <v>17</v>
      </c>
      <c r="G528" s="21" t="n">
        <f aca="false">'Player Data'!H528</f>
        <v>975</v>
      </c>
      <c r="H528" s="22" t="n">
        <f aca="false">IF(B528="GK",IFERROR(('Player Data'!N528-1.5*'Player Data'!O528)/'Player Data'!H528*90,0),IFERROR(('Player Data'!I528+'Player Data'!J528)/'Player Data'!H528*90,0))</f>
        <v>1.75384615384615</v>
      </c>
      <c r="I528" s="22" t="n">
        <f aca="false">IF(B528="GK",'Player Data'!P528,IFERROR(('Player Data'!K528+'Player Data'!L528)/'Player Data'!H528*90,0))</f>
        <v>79.2</v>
      </c>
      <c r="J528" s="22" t="n">
        <f aca="false">IF(B528="GK",IFERROR('Player Data'!Q528/'Player Data'!H528*90,0),IFERROR('Player Data'!M528/'Player Data'!H528*90,0))</f>
        <v>0.516923076923077</v>
      </c>
      <c r="K528" s="23" t="n">
        <f aca="false">'Player Data'!S528</f>
        <v>0</v>
      </c>
      <c r="L528" s="22" t="n">
        <f aca="false">INDEX(Assumptions!$B$13:$B$15,MATCH(E528,Assumptions!$A$13:$A$15,0))</f>
        <v>1</v>
      </c>
      <c r="M528" s="24" t="n">
        <f aca="false">IFERROR(SUMPRODUCT(($B$2:$B$1001=B528)*($H$2:$H$1001&lt;=H528))/SUMPRODUCT(($B$2:$B$1001=B528)*1),0)</f>
        <v>0.792349726775956</v>
      </c>
      <c r="N528" s="24" t="n">
        <f aca="false">IFERROR(SUMPRODUCT(($B$2:$B$1001=B528)*($I$2:$I$1001&lt;=I528))/SUMPRODUCT(($B$2:$B$1001=B528)*1),0)</f>
        <v>0.633879781420765</v>
      </c>
      <c r="O528" s="24" t="n">
        <f aca="false">IFERROR(SUMPRODUCT(($B$2:$B$1001=B528)*($J$2:$J$1001&lt;=J528))/SUMPRODUCT(($B$2:$B$1001=B528)*1),0)</f>
        <v>0.26775956284153</v>
      </c>
      <c r="P528" s="24" t="n">
        <f aca="false">IFERROR(SUMPRODUCT(($B$2:$B$1001=B528)*((0-$F$2:$F$1001)&lt;=(0-F528)))/SUMPRODUCT(($B$2:$B$1001=B528)*1),0)</f>
        <v>1</v>
      </c>
      <c r="Q528" s="25" t="n">
        <f aca="false">(M528*Assumptions!$B$5+N528*Assumptions!$B$6+O528*Assumptions!$B$7+P528*Assumptions!$B$8)*L528</f>
        <v>0.673497267759563</v>
      </c>
      <c r="R528" s="24" t="n">
        <f aca="false">IFERROR(SUMPRODUCT(($B$2:$B$1001=B528)*($Q$2:$Q$1001&lt;=Q528))/SUMPRODUCT(($B$2:$B$1001=B528)*1),0)</f>
        <v>0.956284153005464</v>
      </c>
      <c r="S528" s="24" t="n">
        <f aca="false">IFERROR(SUMPRODUCT(($B$2:$B$1001=B528)*($K$2:$K$1001&lt;=K528))/SUMPRODUCT(($B$2:$B$1001=B528)*1),0)</f>
        <v>0.218579234972678</v>
      </c>
      <c r="T528" s="26" t="n">
        <f aca="false">(R528-S528)*100</f>
        <v>73.7704918032787</v>
      </c>
      <c r="U528" s="21" t="str">
        <f aca="false">'Player Data'!T528</f>
        <v>No</v>
      </c>
      <c r="V528" s="27" t="n">
        <f aca="false">'Player Data'!U528</f>
        <v>2029</v>
      </c>
      <c r="W528" s="21" t="str">
        <f aca="false">IF(AND(T528&gt;=Assumptions!$B$19,U528="No"),"High Priority - Unrepresented",IF(T528&gt;=Assumptions!$B$19,"High Priority",IF(AND(T528&gt;=Assumptions!$B$20,U528="No"),"Watchlist - Unrepresented",IF(T528&gt;=Assumptions!$B$20,"Watchlist",""))))</f>
        <v>High Priority - Unrepresented</v>
      </c>
      <c r="X528" s="21" t="str">
        <f aca="false">'Player Data'!V528</f>
        <v>info@tashkentsc.uz</v>
      </c>
      <c r="Y528" s="28" t="str">
        <f aca="false">'Player Data'!W528</f>
        <v>Club youth/academy office ONLY - player is a minor, do not contact directly</v>
      </c>
      <c r="Z528" s="28" t="str">
        <f aca="false">'Player Data'!X528</f>
        <v>UFF (Uzbekistan Football Federation) player registry</v>
      </c>
      <c r="AA528" s="19" t="str">
        <f aca="false">HYPERLINK("https://www.transfermarkt.com/schnellsuche/ergebnis/schnellsuche?query="&amp;SUBSTITUTE(A528," ","+"),"Search Transfermarkt")</f>
        <v>Search Transfermarkt</v>
      </c>
      <c r="AB528" s="29" t="n">
        <f aca="false">IFERROR('Player Data'!K528/('Player Data'!K528+'Player Data'!L528),0)</f>
        <v>0.714285714285714</v>
      </c>
      <c r="AC528" s="21" t="str">
        <f aca="false">IF(B528="GK",IF(AND(O528&gt;=Assumptions!$B$23,N528&gt;=Assumptions!$B$23),"Sweeper-Keeper / Build-from-the-Back",IF(O528&gt;=Assumptions!$B$23,"Sweeper-Keeper / High Line",IF(M528&gt;=Assumptions!$B$23,"Shot-Stopper / Traditional","Flexible / Multi-System"))),IF(AND(O528&gt;=Assumptions!$B$23,P528&gt;=Assumptions!$B$24),"High Press / Gegenpressing",IF(AND(N528&gt;=Assumptions!$B$23,AB528&gt;=Assumptions!$B$25),"Possession / Build-from-the-Back",IF(N528&gt;=Assumptions!$B$23,"Counter-Attack / Transition",IF(AND(O528&gt;=Assumptions!$B$23,N528&lt;Assumptions!$B$26),"Low Block / Park the Bus",IF(AND(B528="FW",M528&gt;=Assumptions!$B$23,N528&lt;Assumptions!$B$26),"Direct / Target Approach","Flexible / Multi-System"))))))</f>
        <v>Shot-Stopper / Traditional</v>
      </c>
      <c r="AD528" s="21" t="str">
        <f aca="false">'Player Data'!Y528</f>
        <v>2026-07-17</v>
      </c>
      <c r="AE528" s="21" t="str">
        <f aca="false">'Player Data'!Z528</f>
        <v>2026-07-17</v>
      </c>
      <c r="AF528" s="28" t="str">
        <f aca="false">IFERROR(INDEX(Assumptions!$B$30:$B$61,MATCH(C528,Assumptions!$A$30:$A$61,0)),"--")</f>
        <v>Turkey, Saudi Arabia</v>
      </c>
      <c r="AG528" s="30" t="str">
        <f aca="false">IF(R528&gt;=0.7,"Step-Up Candidate",IF(R528&gt;=0.4,"Lateral Move","Stay &amp; Develop"))</f>
        <v>Step-Up Candidate</v>
      </c>
    </row>
    <row r="529" customFormat="false" ht="23.85" hidden="false" customHeight="false" outlineLevel="0" collapsed="false">
      <c r="A529" s="21" t="str">
        <f aca="false">'Player Data'!A529</f>
        <v>Sherzod Rashidov</v>
      </c>
      <c r="B529" s="21" t="str">
        <f aca="false">'Player Data'!F529</f>
        <v>FW</v>
      </c>
      <c r="C529" s="21" t="str">
        <f aca="false">'Player Data'!B529</f>
        <v>Uzbekistan</v>
      </c>
      <c r="D529" s="21" t="str">
        <f aca="false">'Player Data'!C529</f>
        <v>Uzbekistan Reserve League</v>
      </c>
      <c r="E529" s="21" t="n">
        <f aca="false">'Player Data'!D529</f>
        <v>3</v>
      </c>
      <c r="F529" s="21" t="n">
        <f aca="false">'Player Data'!G529</f>
        <v>21</v>
      </c>
      <c r="G529" s="21" t="n">
        <f aca="false">'Player Data'!H529</f>
        <v>2072</v>
      </c>
      <c r="H529" s="22" t="n">
        <f aca="false">IF(B529="GK",IFERROR(('Player Data'!N529-1.5*'Player Data'!O529)/'Player Data'!H529*90,0),IFERROR(('Player Data'!I529+'Player Data'!J529)/'Player Data'!H529*90,0))</f>
        <v>0.912162162162162</v>
      </c>
      <c r="I529" s="22" t="n">
        <f aca="false">IF(B529="GK",'Player Data'!P529,IFERROR(('Player Data'!K529+'Player Data'!L529)/'Player Data'!H529*90,0))</f>
        <v>7.03667953667954</v>
      </c>
      <c r="J529" s="22" t="n">
        <f aca="false">IF(B529="GK",IFERROR('Player Data'!Q529/'Player Data'!H529*90,0),IFERROR('Player Data'!M529/'Player Data'!H529*90,0))</f>
        <v>0.347490347490348</v>
      </c>
      <c r="K529" s="23" t="n">
        <f aca="false">'Player Data'!S529</f>
        <v>0</v>
      </c>
      <c r="L529" s="22" t="n">
        <f aca="false">INDEX(Assumptions!$B$13:$B$15,MATCH(E529,Assumptions!$A$13:$A$15,0))</f>
        <v>0.85</v>
      </c>
      <c r="M529" s="24" t="n">
        <f aca="false">IFERROR(SUMPRODUCT(($B$2:$B$1001=B529)*($H$2:$H$1001&lt;=H529))/SUMPRODUCT(($B$2:$B$1001=B529)*1),0)</f>
        <v>0.415929203539823</v>
      </c>
      <c r="N529" s="24" t="n">
        <f aca="false">IFERROR(SUMPRODUCT(($B$2:$B$1001=B529)*($I$2:$I$1001&lt;=I529))/SUMPRODUCT(($B$2:$B$1001=B529)*1),0)</f>
        <v>0.584070796460177</v>
      </c>
      <c r="O529" s="24" t="n">
        <f aca="false">IFERROR(SUMPRODUCT(($B$2:$B$1001=B529)*($J$2:$J$1001&lt;=J529))/SUMPRODUCT(($B$2:$B$1001=B529)*1),0)</f>
        <v>0.247787610619469</v>
      </c>
      <c r="P529" s="24" t="n">
        <f aca="false">IFERROR(SUMPRODUCT(($B$2:$B$1001=B529)*((0-$F$2:$F$1001)&lt;=(0-F529)))/SUMPRODUCT(($B$2:$B$1001=B529)*1),0)</f>
        <v>0.579646017699115</v>
      </c>
      <c r="Q529" s="25" t="n">
        <f aca="false">(M529*Assumptions!$B$5+N529*Assumptions!$B$6+O529*Assumptions!$B$7+P529*Assumptions!$B$8)*L529</f>
        <v>0.402809734513274</v>
      </c>
      <c r="R529" s="24" t="n">
        <f aca="false">IFERROR(SUMPRODUCT(($B$2:$B$1001=B529)*($Q$2:$Q$1001&lt;=Q529))/SUMPRODUCT(($B$2:$B$1001=B529)*1),0)</f>
        <v>0.442477876106195</v>
      </c>
      <c r="S529" s="24" t="n">
        <f aca="false">IFERROR(SUMPRODUCT(($B$2:$B$1001=B529)*($K$2:$K$1001&lt;=K529))/SUMPRODUCT(($B$2:$B$1001=B529)*1),0)</f>
        <v>0.261061946902655</v>
      </c>
      <c r="T529" s="26" t="n">
        <f aca="false">(R529-S529)*100</f>
        <v>18.141592920354</v>
      </c>
      <c r="U529" s="21" t="str">
        <f aca="false">'Player Data'!T529</f>
        <v>No</v>
      </c>
      <c r="V529" s="27" t="n">
        <f aca="false">'Player Data'!U529</f>
        <v>2029</v>
      </c>
      <c r="W529" s="21" t="str">
        <f aca="false">IF(AND(T529&gt;=Assumptions!$B$19,U529="No"),"High Priority - Unrepresented",IF(T529&gt;=Assumptions!$B$19,"High Priority",IF(AND(T529&gt;=Assumptions!$B$20,U529="No"),"Watchlist - Unrepresented",IF(T529&gt;=Assumptions!$B$20,"Watchlist",""))))</f>
        <v/>
      </c>
      <c r="X529" s="21" t="str">
        <f aca="false">'Player Data'!V529</f>
        <v>info@bukharasc.uz</v>
      </c>
      <c r="Y529" s="28" t="str">
        <f aca="false">'Player Data'!W529</f>
        <v>Club sporting director / first-team office</v>
      </c>
      <c r="Z529" s="28" t="str">
        <f aca="false">'Player Data'!X529</f>
        <v>UFF (Uzbekistan Football Federation) player registry</v>
      </c>
      <c r="AA529" s="19" t="str">
        <f aca="false">HYPERLINK("https://www.transfermarkt.com/schnellsuche/ergebnis/schnellsuche?query="&amp;SUBSTITUTE(A529," ","+"),"Search Transfermarkt")</f>
        <v>Search Transfermarkt</v>
      </c>
      <c r="AB529" s="29" t="n">
        <f aca="false">IFERROR('Player Data'!K529/('Player Data'!K529+'Player Data'!L529),0)</f>
        <v>0.37037037037037</v>
      </c>
      <c r="AC529" s="21" t="str">
        <f aca="false">IF(B529="GK",IF(AND(O529&gt;=Assumptions!$B$23,N529&gt;=Assumptions!$B$23),"Sweeper-Keeper / Build-from-the-Back",IF(O529&gt;=Assumptions!$B$23,"Sweeper-Keeper / High Line",IF(M529&gt;=Assumptions!$B$23,"Shot-Stopper / Traditional","Flexible / Multi-System"))),IF(AND(O529&gt;=Assumptions!$B$23,P529&gt;=Assumptions!$B$24),"High Press / Gegenpressing",IF(AND(N529&gt;=Assumptions!$B$23,AB529&gt;=Assumptions!$B$25),"Possession / Build-from-the-Back",IF(N529&gt;=Assumptions!$B$23,"Counter-Attack / Transition",IF(AND(O529&gt;=Assumptions!$B$23,N529&lt;Assumptions!$B$26),"Low Block / Park the Bus",IF(AND(B529="FW",M529&gt;=Assumptions!$B$23,N529&lt;Assumptions!$B$26),"Direct / Target Approach","Flexible / Multi-System"))))))</f>
        <v>Flexible / Multi-System</v>
      </c>
      <c r="AD529" s="21" t="str">
        <f aca="false">'Player Data'!Y529</f>
        <v>2026-07-17</v>
      </c>
      <c r="AE529" s="21" t="str">
        <f aca="false">'Player Data'!Z529</f>
        <v>2026-07-17</v>
      </c>
      <c r="AF529" s="28" t="str">
        <f aca="false">IFERROR(INDEX(Assumptions!$B$30:$B$61,MATCH(C529,Assumptions!$A$30:$A$61,0)),"--")</f>
        <v>Turkey, Saudi Arabia</v>
      </c>
      <c r="AG529" s="30" t="str">
        <f aca="false">IF(R529&gt;=0.7,"Step-Up Candidate",IF(R529&gt;=0.4,"Lateral Move","Stay &amp; Develop"))</f>
        <v>Lateral Move</v>
      </c>
    </row>
    <row r="530" customFormat="false" ht="23.85" hidden="false" customHeight="false" outlineLevel="0" collapsed="false">
      <c r="A530" s="21" t="str">
        <f aca="false">'Player Data'!A530</f>
        <v>Roman Barrios</v>
      </c>
      <c r="B530" s="21" t="str">
        <f aca="false">'Player Data'!F530</f>
        <v>DF</v>
      </c>
      <c r="C530" s="21" t="str">
        <f aca="false">'Player Data'!B530</f>
        <v>Panama</v>
      </c>
      <c r="D530" s="21" t="str">
        <f aca="false">'Player Data'!C530</f>
        <v>Panama Third Tier - North</v>
      </c>
      <c r="E530" s="21" t="n">
        <f aca="false">'Player Data'!D530</f>
        <v>3</v>
      </c>
      <c r="F530" s="21" t="n">
        <f aca="false">'Player Data'!G530</f>
        <v>18</v>
      </c>
      <c r="G530" s="21" t="n">
        <f aca="false">'Player Data'!H530</f>
        <v>1636</v>
      </c>
      <c r="H530" s="22" t="n">
        <f aca="false">IF(B530="GK",IFERROR(('Player Data'!N530-1.5*'Player Data'!O530)/'Player Data'!H530*90,0),IFERROR(('Player Data'!I530+'Player Data'!J530)/'Player Data'!H530*90,0))</f>
        <v>0.275061124694377</v>
      </c>
      <c r="I530" s="22" t="n">
        <f aca="false">IF(B530="GK",'Player Data'!P530,IFERROR(('Player Data'!K530+'Player Data'!L530)/'Player Data'!H530*90,0))</f>
        <v>3.96088019559902</v>
      </c>
      <c r="J530" s="22" t="n">
        <f aca="false">IF(B530="GK",IFERROR('Player Data'!Q530/'Player Data'!H530*90,0),IFERROR('Player Data'!M530/'Player Data'!H530*90,0))</f>
        <v>4.73105134474328</v>
      </c>
      <c r="K530" s="23" t="n">
        <f aca="false">'Player Data'!S530</f>
        <v>14609</v>
      </c>
      <c r="L530" s="22" t="n">
        <f aca="false">INDEX(Assumptions!$B$13:$B$15,MATCH(E530,Assumptions!$A$13:$A$15,0))</f>
        <v>0.85</v>
      </c>
      <c r="M530" s="24" t="n">
        <f aca="false">IFERROR(SUMPRODUCT(($B$2:$B$1001=B530)*($H$2:$H$1001&lt;=H530))/SUMPRODUCT(($B$2:$B$1001=B530)*1),0)</f>
        <v>0.710884353741497</v>
      </c>
      <c r="N530" s="24" t="n">
        <f aca="false">IFERROR(SUMPRODUCT(($B$2:$B$1001=B530)*($I$2:$I$1001&lt;=I530))/SUMPRODUCT(($B$2:$B$1001=B530)*1),0)</f>
        <v>0.397959183673469</v>
      </c>
      <c r="O530" s="24" t="n">
        <f aca="false">IFERROR(SUMPRODUCT(($B$2:$B$1001=B530)*($J$2:$J$1001&lt;=J530))/SUMPRODUCT(($B$2:$B$1001=B530)*1),0)</f>
        <v>0.394557823129252</v>
      </c>
      <c r="P530" s="24" t="n">
        <f aca="false">IFERROR(SUMPRODUCT(($B$2:$B$1001=B530)*((0-$F$2:$F$1001)&lt;=(0-F530)))/SUMPRODUCT(($B$2:$B$1001=B530)*1),0)</f>
        <v>0.863945578231293</v>
      </c>
      <c r="Q530" s="25" t="n">
        <f aca="false">(M530*Assumptions!$B$5+N530*Assumptions!$B$6+O530*Assumptions!$B$7+P530*Assumptions!$B$8)*L530</f>
        <v>0.483401360544218</v>
      </c>
      <c r="R530" s="24" t="n">
        <f aca="false">IFERROR(SUMPRODUCT(($B$2:$B$1001=B530)*($Q$2:$Q$1001&lt;=Q530))/SUMPRODUCT(($B$2:$B$1001=B530)*1),0)</f>
        <v>0.608843537414966</v>
      </c>
      <c r="S530" s="24" t="n">
        <f aca="false">IFERROR(SUMPRODUCT(($B$2:$B$1001=B530)*($K$2:$K$1001&lt;=K530))/SUMPRODUCT(($B$2:$B$1001=B530)*1),0)</f>
        <v>0.275510204081633</v>
      </c>
      <c r="T530" s="26" t="n">
        <f aca="false">(R530-S530)*100</f>
        <v>33.3333333333333</v>
      </c>
      <c r="U530" s="21" t="str">
        <f aca="false">'Player Data'!T530</f>
        <v>Yes</v>
      </c>
      <c r="V530" s="27" t="n">
        <f aca="false">'Player Data'!U530</f>
        <v>2029</v>
      </c>
      <c r="W530" s="21" t="str">
        <f aca="false">IF(AND(T530&gt;=Assumptions!$B$19,U530="No"),"High Priority - Unrepresented",IF(T530&gt;=Assumptions!$B$19,"High Priority",IF(AND(T530&gt;=Assumptions!$B$20,U530="No"),"Watchlist - Unrepresented",IF(T530&gt;=Assumptions!$B$20,"Watchlist",""))))</f>
        <v>Watchlist</v>
      </c>
      <c r="X530" s="21" t="str">
        <f aca="false">'Player Data'!V530</f>
        <v>info@santiagorangers.pa</v>
      </c>
      <c r="Y530" s="28" t="str">
        <f aca="false">'Player Data'!W530</f>
        <v>Go through the player's agent - ask the club to confirm representation first</v>
      </c>
      <c r="Z530" s="28" t="str">
        <f aca="false">'Player Data'!X530</f>
        <v>FEPAFUT (Panamanian Football Federation) player registry</v>
      </c>
      <c r="AA530" s="19" t="str">
        <f aca="false">HYPERLINK("https://www.transfermarkt.com/schnellsuche/ergebnis/schnellsuche?query="&amp;SUBSTITUTE(A530," ","+"),"Search Transfermarkt")</f>
        <v>Search Transfermarkt</v>
      </c>
      <c r="AB530" s="29" t="n">
        <f aca="false">IFERROR('Player Data'!K530/('Player Data'!K530+'Player Data'!L530),0)</f>
        <v>0.722222222222222</v>
      </c>
      <c r="AC530" s="21" t="str">
        <f aca="false">IF(B530="GK",IF(AND(O530&gt;=Assumptions!$B$23,N530&gt;=Assumptions!$B$23),"Sweeper-Keeper / Build-from-the-Back",IF(O530&gt;=Assumptions!$B$23,"Sweeper-Keeper / High Line",IF(M530&gt;=Assumptions!$B$23,"Shot-Stopper / Traditional","Flexible / Multi-System"))),IF(AND(O530&gt;=Assumptions!$B$23,P530&gt;=Assumptions!$B$24),"High Press / Gegenpressing",IF(AND(N530&gt;=Assumptions!$B$23,AB530&gt;=Assumptions!$B$25),"Possession / Build-from-the-Back",IF(N530&gt;=Assumptions!$B$23,"Counter-Attack / Transition",IF(AND(O530&gt;=Assumptions!$B$23,N530&lt;Assumptions!$B$26),"Low Block / Park the Bus",IF(AND(B530="FW",M530&gt;=Assumptions!$B$23,N530&lt;Assumptions!$B$26),"Direct / Target Approach","Flexible / Multi-System"))))))</f>
        <v>Flexible / Multi-System</v>
      </c>
      <c r="AD530" s="21" t="str">
        <f aca="false">'Player Data'!Y530</f>
        <v>2026-07-17</v>
      </c>
      <c r="AE530" s="21" t="str">
        <f aca="false">'Player Data'!Z530</f>
        <v>2026-07-17</v>
      </c>
      <c r="AF530" s="28" t="str">
        <f aca="false">IFERROR(INDEX(Assumptions!$B$30:$B$61,MATCH(C530,Assumptions!$A$30:$A$61,0)),"--")</f>
        <v>Mexico, United States</v>
      </c>
      <c r="AG530" s="30" t="str">
        <f aca="false">IF(R530&gt;=0.7,"Step-Up Candidate",IF(R530&gt;=0.4,"Lateral Move","Stay &amp; Develop"))</f>
        <v>Lateral Move</v>
      </c>
    </row>
    <row r="531" customFormat="false" ht="23.85" hidden="false" customHeight="false" outlineLevel="0" collapsed="false">
      <c r="A531" s="21" t="str">
        <f aca="false">'Player Data'!A531</f>
        <v>Santiago Rodriguez</v>
      </c>
      <c r="B531" s="21" t="str">
        <f aca="false">'Player Data'!F531</f>
        <v>GK</v>
      </c>
      <c r="C531" s="21" t="str">
        <f aca="false">'Player Data'!B531</f>
        <v>Bolivia</v>
      </c>
      <c r="D531" s="21" t="str">
        <f aca="false">'Player Data'!C531</f>
        <v>Bolivia Second Division - East</v>
      </c>
      <c r="E531" s="21" t="n">
        <f aca="false">'Player Data'!D531</f>
        <v>2</v>
      </c>
      <c r="F531" s="21" t="n">
        <f aca="false">'Player Data'!G531</f>
        <v>19</v>
      </c>
      <c r="G531" s="21" t="n">
        <f aca="false">'Player Data'!H531</f>
        <v>2001</v>
      </c>
      <c r="H531" s="22" t="n">
        <f aca="false">IF(B531="GK",IFERROR(('Player Data'!N531-1.5*'Player Data'!O531)/'Player Data'!H531*90,0),IFERROR(('Player Data'!I531+'Player Data'!J531)/'Player Data'!H531*90,0))</f>
        <v>0.899550224887556</v>
      </c>
      <c r="I531" s="22" t="n">
        <f aca="false">IF(B531="GK",'Player Data'!P531,IFERROR(('Player Data'!K531+'Player Data'!L531)/'Player Data'!H531*90,0))</f>
        <v>73.4</v>
      </c>
      <c r="J531" s="22" t="n">
        <f aca="false">IF(B531="GK",IFERROR('Player Data'!Q531/'Player Data'!H531*90,0),IFERROR('Player Data'!M531/'Player Data'!H531*90,0))</f>
        <v>1.07496251874063</v>
      </c>
      <c r="K531" s="23" t="n">
        <f aca="false">'Player Data'!S531</f>
        <v>0</v>
      </c>
      <c r="L531" s="22" t="n">
        <f aca="false">INDEX(Assumptions!$B$13:$B$15,MATCH(E531,Assumptions!$A$13:$A$15,0))</f>
        <v>1</v>
      </c>
      <c r="M531" s="24" t="n">
        <f aca="false">IFERROR(SUMPRODUCT(($B$2:$B$1001=B531)*($H$2:$H$1001&lt;=H531))/SUMPRODUCT(($B$2:$B$1001=B531)*1),0)</f>
        <v>0.377049180327869</v>
      </c>
      <c r="N531" s="24" t="n">
        <f aca="false">IFERROR(SUMPRODUCT(($B$2:$B$1001=B531)*($I$2:$I$1001&lt;=I531))/SUMPRODUCT(($B$2:$B$1001=B531)*1),0)</f>
        <v>0.513661202185792</v>
      </c>
      <c r="O531" s="24" t="n">
        <f aca="false">IFERROR(SUMPRODUCT(($B$2:$B$1001=B531)*($J$2:$J$1001&lt;=J531))/SUMPRODUCT(($B$2:$B$1001=B531)*1),0)</f>
        <v>0.644808743169399</v>
      </c>
      <c r="P531" s="24" t="n">
        <f aca="false">IFERROR(SUMPRODUCT(($B$2:$B$1001=B531)*((0-$F$2:$F$1001)&lt;=(0-F531)))/SUMPRODUCT(($B$2:$B$1001=B531)*1),0)</f>
        <v>0.770491803278689</v>
      </c>
      <c r="Q531" s="25" t="n">
        <f aca="false">(M531*Assumptions!$B$5+N531*Assumptions!$B$6+O531*Assumptions!$B$7+P531*Assumptions!$B$8)*L531</f>
        <v>0.557103825136612</v>
      </c>
      <c r="R531" s="24" t="n">
        <f aca="false">IFERROR(SUMPRODUCT(($B$2:$B$1001=B531)*($Q$2:$Q$1001&lt;=Q531))/SUMPRODUCT(($B$2:$B$1001=B531)*1),0)</f>
        <v>0.754098360655738</v>
      </c>
      <c r="S531" s="24" t="n">
        <f aca="false">IFERROR(SUMPRODUCT(($B$2:$B$1001=B531)*($K$2:$K$1001&lt;=K531))/SUMPRODUCT(($B$2:$B$1001=B531)*1),0)</f>
        <v>0.218579234972678</v>
      </c>
      <c r="T531" s="26" t="n">
        <f aca="false">(R531-S531)*100</f>
        <v>53.551912568306</v>
      </c>
      <c r="U531" s="21" t="str">
        <f aca="false">'Player Data'!T531</f>
        <v>Yes</v>
      </c>
      <c r="V531" s="27" t="n">
        <f aca="false">'Player Data'!U531</f>
        <v>2029</v>
      </c>
      <c r="W531" s="21" t="str">
        <f aca="false">IF(AND(T531&gt;=Assumptions!$B$19,U531="No"),"High Priority - Unrepresented",IF(T531&gt;=Assumptions!$B$19,"High Priority",IF(AND(T531&gt;=Assumptions!$B$20,U531="No"),"Watchlist - Unrepresented",IF(T531&gt;=Assumptions!$B$20,"Watchlist",""))))</f>
        <v>High Priority</v>
      </c>
      <c r="X531" s="21" t="str">
        <f aca="false">'Player Data'!V531</f>
        <v>info@cochabambarangers.bo</v>
      </c>
      <c r="Y531" s="28" t="str">
        <f aca="false">'Player Data'!W531</f>
        <v>Go through the player's agent - ask the club to confirm representation first</v>
      </c>
      <c r="Z531" s="28" t="str">
        <f aca="false">'Player Data'!X531</f>
        <v>FBF (Bolivian Football Federation) player registry</v>
      </c>
      <c r="AA531" s="19" t="str">
        <f aca="false">HYPERLINK("https://www.transfermarkt.com/schnellsuche/ergebnis/schnellsuche?query="&amp;SUBSTITUTE(A531," ","+"),"Search Transfermarkt")</f>
        <v>Search Transfermarkt</v>
      </c>
      <c r="AB531" s="29" t="n">
        <f aca="false">IFERROR('Player Data'!K531/('Player Data'!K531+'Player Data'!L531),0)</f>
        <v>1</v>
      </c>
      <c r="AC531" s="21" t="str">
        <f aca="false">IF(B531="GK",IF(AND(O531&gt;=Assumptions!$B$23,N531&gt;=Assumptions!$B$23),"Sweeper-Keeper / Build-from-the-Back",IF(O531&gt;=Assumptions!$B$23,"Sweeper-Keeper / High Line",IF(M531&gt;=Assumptions!$B$23,"Shot-Stopper / Traditional","Flexible / Multi-System"))),IF(AND(O531&gt;=Assumptions!$B$23,P531&gt;=Assumptions!$B$24),"High Press / Gegenpressing",IF(AND(N531&gt;=Assumptions!$B$23,AB531&gt;=Assumptions!$B$25),"Possession / Build-from-the-Back",IF(N531&gt;=Assumptions!$B$23,"Counter-Attack / Transition",IF(AND(O531&gt;=Assumptions!$B$23,N531&lt;Assumptions!$B$26),"Low Block / Park the Bus",IF(AND(B531="FW",M531&gt;=Assumptions!$B$23,N531&lt;Assumptions!$B$26),"Direct / Target Approach","Flexible / Multi-System"))))))</f>
        <v>Flexible / Multi-System</v>
      </c>
      <c r="AD531" s="21" t="str">
        <f aca="false">'Player Data'!Y531</f>
        <v>2026-07-17</v>
      </c>
      <c r="AE531" s="21" t="str">
        <f aca="false">'Player Data'!Z531</f>
        <v>2026-07-17</v>
      </c>
      <c r="AF531" s="28" t="str">
        <f aca="false">IFERROR(INDEX(Assumptions!$B$30:$B$61,MATCH(C531,Assumptions!$A$30:$A$61,0)),"--")</f>
        <v>Argentina, Portugal</v>
      </c>
      <c r="AG531" s="30" t="str">
        <f aca="false">IF(R531&gt;=0.7,"Step-Up Candidate",IF(R531&gt;=0.4,"Lateral Move","Stay &amp; Develop"))</f>
        <v>Step-Up Candidate</v>
      </c>
    </row>
    <row r="532" customFormat="false" ht="23.85" hidden="false" customHeight="false" outlineLevel="0" collapsed="false">
      <c r="A532" s="21" t="str">
        <f aca="false">'Player Data'!A532</f>
        <v>Sherzod Yuldashev</v>
      </c>
      <c r="B532" s="21" t="str">
        <f aca="false">'Player Data'!F532</f>
        <v>FW</v>
      </c>
      <c r="C532" s="21" t="str">
        <f aca="false">'Player Data'!B532</f>
        <v>Uzbekistan</v>
      </c>
      <c r="D532" s="21" t="str">
        <f aca="false">'Player Data'!C532</f>
        <v>Uzbekistan Second Division - East</v>
      </c>
      <c r="E532" s="21" t="n">
        <f aca="false">'Player Data'!D532</f>
        <v>2</v>
      </c>
      <c r="F532" s="21" t="n">
        <f aca="false">'Player Data'!G532</f>
        <v>25</v>
      </c>
      <c r="G532" s="21" t="n">
        <f aca="false">'Player Data'!H532</f>
        <v>1770</v>
      </c>
      <c r="H532" s="22" t="n">
        <f aca="false">IF(B532="GK",IFERROR(('Player Data'!N532-1.5*'Player Data'!O532)/'Player Data'!H532*90,0),IFERROR(('Player Data'!I532+'Player Data'!J532)/'Player Data'!H532*90,0))</f>
        <v>1.01694915254237</v>
      </c>
      <c r="I532" s="22" t="n">
        <f aca="false">IF(B532="GK",'Player Data'!P532,IFERROR(('Player Data'!K532+'Player Data'!L532)/'Player Data'!H532*90,0))</f>
        <v>6.20338983050848</v>
      </c>
      <c r="J532" s="22" t="n">
        <f aca="false">IF(B532="GK",IFERROR('Player Data'!Q532/'Player Data'!H532*90,0),IFERROR('Player Data'!M532/'Player Data'!H532*90,0))</f>
        <v>0.559322033898305</v>
      </c>
      <c r="K532" s="23" t="n">
        <f aca="false">'Player Data'!S532</f>
        <v>125439</v>
      </c>
      <c r="L532" s="22" t="n">
        <f aca="false">INDEX(Assumptions!$B$13:$B$15,MATCH(E532,Assumptions!$A$13:$A$15,0))</f>
        <v>1</v>
      </c>
      <c r="M532" s="24" t="n">
        <f aca="false">IFERROR(SUMPRODUCT(($B$2:$B$1001=B532)*($H$2:$H$1001&lt;=H532))/SUMPRODUCT(($B$2:$B$1001=B532)*1),0)</f>
        <v>0.548672566371681</v>
      </c>
      <c r="N532" s="24" t="n">
        <f aca="false">IFERROR(SUMPRODUCT(($B$2:$B$1001=B532)*($I$2:$I$1001&lt;=I532))/SUMPRODUCT(($B$2:$B$1001=B532)*1),0)</f>
        <v>0.460176991150442</v>
      </c>
      <c r="O532" s="24" t="n">
        <f aca="false">IFERROR(SUMPRODUCT(($B$2:$B$1001=B532)*($J$2:$J$1001&lt;=J532))/SUMPRODUCT(($B$2:$B$1001=B532)*1),0)</f>
        <v>0.575221238938053</v>
      </c>
      <c r="P532" s="24" t="n">
        <f aca="false">IFERROR(SUMPRODUCT(($B$2:$B$1001=B532)*((0-$F$2:$F$1001)&lt;=(0-F532)))/SUMPRODUCT(($B$2:$B$1001=B532)*1),0)</f>
        <v>0.194690265486726</v>
      </c>
      <c r="Q532" s="25" t="n">
        <f aca="false">(M532*Assumptions!$B$5+N532*Assumptions!$B$6+O532*Assumptions!$B$7+P532*Assumptions!$B$8)*L532</f>
        <v>0.452212389380531</v>
      </c>
      <c r="R532" s="24" t="n">
        <f aca="false">IFERROR(SUMPRODUCT(($B$2:$B$1001=B532)*($Q$2:$Q$1001&lt;=Q532))/SUMPRODUCT(($B$2:$B$1001=B532)*1),0)</f>
        <v>0.513274336283186</v>
      </c>
      <c r="S532" s="24" t="n">
        <f aca="false">IFERROR(SUMPRODUCT(($B$2:$B$1001=B532)*($K$2:$K$1001&lt;=K532))/SUMPRODUCT(($B$2:$B$1001=B532)*1),0)</f>
        <v>0.871681415929204</v>
      </c>
      <c r="T532" s="26" t="n">
        <f aca="false">(R532-S532)*100</f>
        <v>-35.8407079646018</v>
      </c>
      <c r="U532" s="21" t="str">
        <f aca="false">'Player Data'!T532</f>
        <v>Unknown</v>
      </c>
      <c r="V532" s="27" t="n">
        <f aca="false">'Player Data'!U532</f>
        <v>2029</v>
      </c>
      <c r="W532" s="21" t="str">
        <f aca="false">IF(AND(T532&gt;=Assumptions!$B$19,U532="No"),"High Priority - Unrepresented",IF(T532&gt;=Assumptions!$B$19,"High Priority",IF(AND(T532&gt;=Assumptions!$B$20,U532="No"),"Watchlist - Unrepresented",IF(T532&gt;=Assumptions!$B$20,"Watchlist",""))))</f>
        <v/>
      </c>
      <c r="X532" s="21" t="str">
        <f aca="false">'Player Data'!V532</f>
        <v>info@samarkandathletic.uz</v>
      </c>
      <c r="Y532" s="28" t="str">
        <f aca="false">'Player Data'!W532</f>
        <v>Club sporting director / first-team office</v>
      </c>
      <c r="Z532" s="28" t="str">
        <f aca="false">'Player Data'!X532</f>
        <v>UFF (Uzbekistan Football Federation) player registry</v>
      </c>
      <c r="AA532" s="19" t="str">
        <f aca="false">HYPERLINK("https://www.transfermarkt.com/schnellsuche/ergebnis/schnellsuche?query="&amp;SUBSTITUTE(A532," ","+"),"Search Transfermarkt")</f>
        <v>Search Transfermarkt</v>
      </c>
      <c r="AB532" s="29" t="n">
        <f aca="false">IFERROR('Player Data'!K532/('Player Data'!K532+'Player Data'!L532),0)</f>
        <v>0.319672131147541</v>
      </c>
      <c r="AC532" s="21" t="str">
        <f aca="false">IF(B532="GK",IF(AND(O532&gt;=Assumptions!$B$23,N532&gt;=Assumptions!$B$23),"Sweeper-Keeper / Build-from-the-Back",IF(O532&gt;=Assumptions!$B$23,"Sweeper-Keeper / High Line",IF(M532&gt;=Assumptions!$B$23,"Shot-Stopper / Traditional","Flexible / Multi-System"))),IF(AND(O532&gt;=Assumptions!$B$23,P532&gt;=Assumptions!$B$24),"High Press / Gegenpressing",IF(AND(N532&gt;=Assumptions!$B$23,AB532&gt;=Assumptions!$B$25),"Possession / Build-from-the-Back",IF(N532&gt;=Assumptions!$B$23,"Counter-Attack / Transition",IF(AND(O532&gt;=Assumptions!$B$23,N532&lt;Assumptions!$B$26),"Low Block / Park the Bus",IF(AND(B532="FW",M532&gt;=Assumptions!$B$23,N532&lt;Assumptions!$B$26),"Direct / Target Approach","Flexible / Multi-System"))))))</f>
        <v>Flexible / Multi-System</v>
      </c>
      <c r="AD532" s="21" t="str">
        <f aca="false">'Player Data'!Y532</f>
        <v>2026-07-17</v>
      </c>
      <c r="AE532" s="21" t="str">
        <f aca="false">'Player Data'!Z532</f>
        <v>2026-07-17</v>
      </c>
      <c r="AF532" s="28" t="str">
        <f aca="false">IFERROR(INDEX(Assumptions!$B$30:$B$61,MATCH(C532,Assumptions!$A$30:$A$61,0)),"--")</f>
        <v>Turkey, Saudi Arabia</v>
      </c>
      <c r="AG532" s="30" t="str">
        <f aca="false">IF(R532&gt;=0.7,"Step-Up Candidate",IF(R532&gt;=0.4,"Lateral Move","Stay &amp; Develop"))</f>
        <v>Lateral Move</v>
      </c>
    </row>
    <row r="533" customFormat="false" ht="23.85" hidden="false" customHeight="false" outlineLevel="0" collapsed="false">
      <c r="A533" s="21" t="str">
        <f aca="false">'Player Data'!A533</f>
        <v>Milos Ilic</v>
      </c>
      <c r="B533" s="21" t="str">
        <f aca="false">'Player Data'!F533</f>
        <v>DF</v>
      </c>
      <c r="C533" s="21" t="str">
        <f aca="false">'Player Data'!B533</f>
        <v>Serbia</v>
      </c>
      <c r="D533" s="21" t="str">
        <f aca="false">'Player Data'!C533</f>
        <v>Serbia Third Tier - South</v>
      </c>
      <c r="E533" s="21" t="n">
        <f aca="false">'Player Data'!D533</f>
        <v>2</v>
      </c>
      <c r="F533" s="21" t="n">
        <f aca="false">'Player Data'!G533</f>
        <v>22</v>
      </c>
      <c r="G533" s="21" t="n">
        <f aca="false">'Player Data'!H533</f>
        <v>1351</v>
      </c>
      <c r="H533" s="22" t="n">
        <f aca="false">IF(B533="GK",IFERROR(('Player Data'!N533-1.5*'Player Data'!O533)/'Player Data'!H533*90,0),IFERROR(('Player Data'!I533+'Player Data'!J533)/'Player Data'!H533*90,0))</f>
        <v>0.0666173205033309</v>
      </c>
      <c r="I533" s="22" t="n">
        <f aca="false">IF(B533="GK",'Player Data'!P533,IFERROR(('Player Data'!K533+'Player Data'!L533)/'Player Data'!H533*90,0))</f>
        <v>4.66321243523316</v>
      </c>
      <c r="J533" s="22" t="n">
        <f aca="false">IF(B533="GK",IFERROR('Player Data'!Q533/'Player Data'!H533*90,0),IFERROR('Player Data'!M533/'Player Data'!H533*90,0))</f>
        <v>5.79570688378978</v>
      </c>
      <c r="K533" s="23" t="n">
        <f aca="false">'Player Data'!S533</f>
        <v>105160</v>
      </c>
      <c r="L533" s="22" t="n">
        <f aca="false">INDEX(Assumptions!$B$13:$B$15,MATCH(E533,Assumptions!$A$13:$A$15,0))</f>
        <v>1</v>
      </c>
      <c r="M533" s="24" t="n">
        <f aca="false">IFERROR(SUMPRODUCT(($B$2:$B$1001=B533)*($H$2:$H$1001&lt;=H533))/SUMPRODUCT(($B$2:$B$1001=B533)*1),0)</f>
        <v>0.0918367346938776</v>
      </c>
      <c r="N533" s="24" t="n">
        <f aca="false">IFERROR(SUMPRODUCT(($B$2:$B$1001=B533)*($I$2:$I$1001&lt;=I533))/SUMPRODUCT(($B$2:$B$1001=B533)*1),0)</f>
        <v>0.54421768707483</v>
      </c>
      <c r="O533" s="24" t="n">
        <f aca="false">IFERROR(SUMPRODUCT(($B$2:$B$1001=B533)*($J$2:$J$1001&lt;=J533))/SUMPRODUCT(($B$2:$B$1001=B533)*1),0)</f>
        <v>0.578231292517007</v>
      </c>
      <c r="P533" s="24" t="n">
        <f aca="false">IFERROR(SUMPRODUCT(($B$2:$B$1001=B533)*((0-$F$2:$F$1001)&lt;=(0-F533)))/SUMPRODUCT(($B$2:$B$1001=B533)*1),0)</f>
        <v>0.493197278911565</v>
      </c>
      <c r="Q533" s="25" t="n">
        <f aca="false">(M533*Assumptions!$B$5+N533*Assumptions!$B$6+O533*Assumptions!$B$7+P533*Assumptions!$B$8)*L533</f>
        <v>0.427721088435374</v>
      </c>
      <c r="R533" s="24" t="n">
        <f aca="false">IFERROR(SUMPRODUCT(($B$2:$B$1001=B533)*($Q$2:$Q$1001&lt;=Q533))/SUMPRODUCT(($B$2:$B$1001=B533)*1),0)</f>
        <v>0.527210884353742</v>
      </c>
      <c r="S533" s="24" t="n">
        <f aca="false">IFERROR(SUMPRODUCT(($B$2:$B$1001=B533)*($K$2:$K$1001&lt;=K533))/SUMPRODUCT(($B$2:$B$1001=B533)*1),0)</f>
        <v>0.77891156462585</v>
      </c>
      <c r="T533" s="26" t="n">
        <f aca="false">(R533-S533)*100</f>
        <v>-25.1700680272109</v>
      </c>
      <c r="U533" s="21" t="str">
        <f aca="false">'Player Data'!T533</f>
        <v>No</v>
      </c>
      <c r="V533" s="27" t="n">
        <f aca="false">'Player Data'!U533</f>
        <v>2028</v>
      </c>
      <c r="W533" s="21" t="str">
        <f aca="false">IF(AND(T533&gt;=Assumptions!$B$19,U533="No"),"High Priority - Unrepresented",IF(T533&gt;=Assumptions!$B$19,"High Priority",IF(AND(T533&gt;=Assumptions!$B$20,U533="No"),"Watchlist - Unrepresented",IF(T533&gt;=Assumptions!$B$20,"Watchlist",""))))</f>
        <v/>
      </c>
      <c r="X533" s="21" t="str">
        <f aca="false">'Player Data'!V533</f>
        <v>info@dobanovciunited.rs</v>
      </c>
      <c r="Y533" s="28" t="str">
        <f aca="false">'Player Data'!W533</f>
        <v>Club sporting director / first-team office</v>
      </c>
      <c r="Z533" s="28" t="str">
        <f aca="false">'Player Data'!X533</f>
        <v>FSS (Football Association of Serbia) player registry</v>
      </c>
      <c r="AA533" s="19" t="str">
        <f aca="false">HYPERLINK("https://www.transfermarkt.com/schnellsuche/ergebnis/schnellsuche?query="&amp;SUBSTITUTE(A533," ","+"),"Search Transfermarkt")</f>
        <v>Search Transfermarkt</v>
      </c>
      <c r="AB533" s="29" t="n">
        <f aca="false">IFERROR('Player Data'!K533/('Player Data'!K533+'Player Data'!L533),0)</f>
        <v>0.642857142857143</v>
      </c>
      <c r="AC533" s="21" t="str">
        <f aca="false">IF(B533="GK",IF(AND(O533&gt;=Assumptions!$B$23,N533&gt;=Assumptions!$B$23),"Sweeper-Keeper / Build-from-the-Back",IF(O533&gt;=Assumptions!$B$23,"Sweeper-Keeper / High Line",IF(M533&gt;=Assumptions!$B$23,"Shot-Stopper / Traditional","Flexible / Multi-System"))),IF(AND(O533&gt;=Assumptions!$B$23,P533&gt;=Assumptions!$B$24),"High Press / Gegenpressing",IF(AND(N533&gt;=Assumptions!$B$23,AB533&gt;=Assumptions!$B$25),"Possession / Build-from-the-Back",IF(N533&gt;=Assumptions!$B$23,"Counter-Attack / Transition",IF(AND(O533&gt;=Assumptions!$B$23,N533&lt;Assumptions!$B$26),"Low Block / Park the Bus",IF(AND(B533="FW",M533&gt;=Assumptions!$B$23,N533&lt;Assumptions!$B$26),"Direct / Target Approach","Flexible / Multi-System"))))))</f>
        <v>Flexible / Multi-System</v>
      </c>
      <c r="AD533" s="21" t="str">
        <f aca="false">'Player Data'!Y533</f>
        <v>2026-07-17</v>
      </c>
      <c r="AE533" s="21" t="str">
        <f aca="false">'Player Data'!Z533</f>
        <v>2026-07-17</v>
      </c>
      <c r="AF533" s="28" t="str">
        <f aca="false">IFERROR(INDEX(Assumptions!$B$30:$B$61,MATCH(C533,Assumptions!$A$30:$A$61,0)),"--")</f>
        <v>Austria, Turkey</v>
      </c>
      <c r="AG533" s="30" t="str">
        <f aca="false">IF(R533&gt;=0.7,"Step-Up Candidate",IF(R533&gt;=0.4,"Lateral Move","Stay &amp; Develop"))</f>
        <v>Lateral Move</v>
      </c>
    </row>
    <row r="534" customFormat="false" ht="23.85" hidden="false" customHeight="false" outlineLevel="0" collapsed="false">
      <c r="A534" s="21" t="str">
        <f aca="false">'Player Data'!A534</f>
        <v>Diyorbek Yuldashev</v>
      </c>
      <c r="B534" s="21" t="str">
        <f aca="false">'Player Data'!F534</f>
        <v>MF</v>
      </c>
      <c r="C534" s="21" t="str">
        <f aca="false">'Player Data'!B534</f>
        <v>Uzbekistan</v>
      </c>
      <c r="D534" s="21" t="str">
        <f aca="false">'Player Data'!C534</f>
        <v>Uzbekistan Third Tier - South</v>
      </c>
      <c r="E534" s="21" t="n">
        <f aca="false">'Player Data'!D534</f>
        <v>2</v>
      </c>
      <c r="F534" s="21" t="n">
        <f aca="false">'Player Data'!G534</f>
        <v>26</v>
      </c>
      <c r="G534" s="21" t="n">
        <f aca="false">'Player Data'!H534</f>
        <v>2039</v>
      </c>
      <c r="H534" s="22" t="n">
        <f aca="false">IF(B534="GK",IFERROR(('Player Data'!N534-1.5*'Player Data'!O534)/'Player Data'!H534*90,0),IFERROR(('Player Data'!I534+'Player Data'!J534)/'Player Data'!H534*90,0))</f>
        <v>0.662089259440903</v>
      </c>
      <c r="I534" s="22" t="n">
        <f aca="false">IF(B534="GK",'Player Data'!P534,IFERROR(('Player Data'!K534+'Player Data'!L534)/'Player Data'!H534*90,0))</f>
        <v>11.8734673859735</v>
      </c>
      <c r="J534" s="22" t="n">
        <f aca="false">IF(B534="GK",IFERROR('Player Data'!Q534/'Player Data'!H534*90,0),IFERROR('Player Data'!M534/'Player Data'!H534*90,0))</f>
        <v>1.58901422265817</v>
      </c>
      <c r="K534" s="23" t="n">
        <f aca="false">'Player Data'!S534</f>
        <v>132651</v>
      </c>
      <c r="L534" s="22" t="n">
        <f aca="false">INDEX(Assumptions!$B$13:$B$15,MATCH(E534,Assumptions!$A$13:$A$15,0))</f>
        <v>1</v>
      </c>
      <c r="M534" s="24" t="n">
        <f aca="false">IFERROR(SUMPRODUCT(($B$2:$B$1001=B534)*($H$2:$H$1001&lt;=H534))/SUMPRODUCT(($B$2:$B$1001=B534)*1),0)</f>
        <v>0.407407407407407</v>
      </c>
      <c r="N534" s="24" t="n">
        <f aca="false">IFERROR(SUMPRODUCT(($B$2:$B$1001=B534)*($I$2:$I$1001&lt;=I534))/SUMPRODUCT(($B$2:$B$1001=B534)*1),0)</f>
        <v>0.579124579124579</v>
      </c>
      <c r="O534" s="24" t="n">
        <f aca="false">IFERROR(SUMPRODUCT(($B$2:$B$1001=B534)*($J$2:$J$1001&lt;=J534))/SUMPRODUCT(($B$2:$B$1001=B534)*1),0)</f>
        <v>0.225589225589226</v>
      </c>
      <c r="P534" s="24" t="n">
        <f aca="false">IFERROR(SUMPRODUCT(($B$2:$B$1001=B534)*((0-$F$2:$F$1001)&lt;=(0-F534)))/SUMPRODUCT(($B$2:$B$1001=B534)*1),0)</f>
        <v>0.0909090909090909</v>
      </c>
      <c r="Q534" s="25" t="n">
        <f aca="false">(M534*Assumptions!$B$5+N534*Assumptions!$B$6+O534*Assumptions!$B$7+P534*Assumptions!$B$8)*L534</f>
        <v>0.367845117845118</v>
      </c>
      <c r="R534" s="24" t="n">
        <f aca="false">IFERROR(SUMPRODUCT(($B$2:$B$1001=B534)*($Q$2:$Q$1001&lt;=Q534))/SUMPRODUCT(($B$2:$B$1001=B534)*1),0)</f>
        <v>0.367003367003367</v>
      </c>
      <c r="S534" s="24" t="n">
        <f aca="false">IFERROR(SUMPRODUCT(($B$2:$B$1001=B534)*($K$2:$K$1001&lt;=K534))/SUMPRODUCT(($B$2:$B$1001=B534)*1),0)</f>
        <v>0.932659932659933</v>
      </c>
      <c r="T534" s="26" t="n">
        <f aca="false">(R534-S534)*100</f>
        <v>-56.5656565656566</v>
      </c>
      <c r="U534" s="21" t="str">
        <f aca="false">'Player Data'!T534</f>
        <v>Yes</v>
      </c>
      <c r="V534" s="27" t="n">
        <f aca="false">'Player Data'!U534</f>
        <v>2026</v>
      </c>
      <c r="W534" s="21" t="str">
        <f aca="false">IF(AND(T534&gt;=Assumptions!$B$19,U534="No"),"High Priority - Unrepresented",IF(T534&gt;=Assumptions!$B$19,"High Priority",IF(AND(T534&gt;=Assumptions!$B$20,U534="No"),"Watchlist - Unrepresented",IF(T534&gt;=Assumptions!$B$20,"Watchlist",""))))</f>
        <v/>
      </c>
      <c r="X534" s="21" t="str">
        <f aca="false">'Player Data'!V534</f>
        <v>info@bukharatown.uz</v>
      </c>
      <c r="Y534" s="28" t="str">
        <f aca="false">'Player Data'!W534</f>
        <v>Go through the player's agent - ask the club to confirm representation first</v>
      </c>
      <c r="Z534" s="28" t="str">
        <f aca="false">'Player Data'!X534</f>
        <v>UFF (Uzbekistan Football Federation) player registry</v>
      </c>
      <c r="AA534" s="19" t="str">
        <f aca="false">HYPERLINK("https://www.transfermarkt.com/schnellsuche/ergebnis/schnellsuche?query="&amp;SUBSTITUTE(A534," ","+"),"Search Transfermarkt")</f>
        <v>Search Transfermarkt</v>
      </c>
      <c r="AB534" s="29" t="n">
        <f aca="false">IFERROR('Player Data'!K534/('Player Data'!K534+'Player Data'!L534),0)</f>
        <v>0.657992565055762</v>
      </c>
      <c r="AC534" s="21" t="str">
        <f aca="false">IF(B534="GK",IF(AND(O534&gt;=Assumptions!$B$23,N534&gt;=Assumptions!$B$23),"Sweeper-Keeper / Build-from-the-Back",IF(O534&gt;=Assumptions!$B$23,"Sweeper-Keeper / High Line",IF(M534&gt;=Assumptions!$B$23,"Shot-Stopper / Traditional","Flexible / Multi-System"))),IF(AND(O534&gt;=Assumptions!$B$23,P534&gt;=Assumptions!$B$24),"High Press / Gegenpressing",IF(AND(N534&gt;=Assumptions!$B$23,AB534&gt;=Assumptions!$B$25),"Possession / Build-from-the-Back",IF(N534&gt;=Assumptions!$B$23,"Counter-Attack / Transition",IF(AND(O534&gt;=Assumptions!$B$23,N534&lt;Assumptions!$B$26),"Low Block / Park the Bus",IF(AND(B534="FW",M534&gt;=Assumptions!$B$23,N534&lt;Assumptions!$B$26),"Direct / Target Approach","Flexible / Multi-System"))))))</f>
        <v>Flexible / Multi-System</v>
      </c>
      <c r="AD534" s="21" t="str">
        <f aca="false">'Player Data'!Y534</f>
        <v>2026-07-17</v>
      </c>
      <c r="AE534" s="21" t="str">
        <f aca="false">'Player Data'!Z534</f>
        <v>2026-07-17</v>
      </c>
      <c r="AF534" s="28" t="str">
        <f aca="false">IFERROR(INDEX(Assumptions!$B$30:$B$61,MATCH(C534,Assumptions!$A$30:$A$61,0)),"--")</f>
        <v>Turkey, Saudi Arabia</v>
      </c>
      <c r="AG534" s="30" t="str">
        <f aca="false">IF(R534&gt;=0.7,"Step-Up Candidate",IF(R534&gt;=0.4,"Lateral Move","Stay &amp; Develop"))</f>
        <v>Stay &amp; Develop</v>
      </c>
    </row>
    <row r="535" customFormat="false" ht="23.85" hidden="false" customHeight="false" outlineLevel="0" collapsed="false">
      <c r="A535" s="21" t="str">
        <f aca="false">'Player Data'!A535</f>
        <v>Mwansa Mwansa</v>
      </c>
      <c r="B535" s="21" t="str">
        <f aca="false">'Player Data'!F535</f>
        <v>GK</v>
      </c>
      <c r="C535" s="21" t="str">
        <f aca="false">'Player Data'!B535</f>
        <v>Zambia</v>
      </c>
      <c r="D535" s="21" t="str">
        <f aca="false">'Player Data'!C535</f>
        <v>Zambia Third Tier - North</v>
      </c>
      <c r="E535" s="21" t="n">
        <f aca="false">'Player Data'!D535</f>
        <v>2</v>
      </c>
      <c r="F535" s="21" t="n">
        <f aca="false">'Player Data'!G535</f>
        <v>21</v>
      </c>
      <c r="G535" s="21" t="n">
        <f aca="false">'Player Data'!H535</f>
        <v>2297</v>
      </c>
      <c r="H535" s="22" t="n">
        <f aca="false">IF(B535="GK",IFERROR(('Player Data'!N535-1.5*'Player Data'!O535)/'Player Data'!H535*90,0),IFERROR(('Player Data'!I535+'Player Data'!J535)/'Player Data'!H535*90,0))</f>
        <v>1.74357858075751</v>
      </c>
      <c r="I535" s="22" t="n">
        <f aca="false">IF(B535="GK",'Player Data'!P535,IFERROR(('Player Data'!K535+'Player Data'!L535)/'Player Data'!H535*90,0))</f>
        <v>67.9</v>
      </c>
      <c r="J535" s="22" t="n">
        <f aca="false">IF(B535="GK",IFERROR('Player Data'!Q535/'Player Data'!H535*90,0),IFERROR('Player Data'!M535/'Player Data'!H535*90,0))</f>
        <v>1.40269917283413</v>
      </c>
      <c r="K535" s="23" t="n">
        <f aca="false">'Player Data'!S535</f>
        <v>0</v>
      </c>
      <c r="L535" s="22" t="n">
        <f aca="false">INDEX(Assumptions!$B$13:$B$15,MATCH(E535,Assumptions!$A$13:$A$15,0))</f>
        <v>1</v>
      </c>
      <c r="M535" s="24" t="n">
        <f aca="false">IFERROR(SUMPRODUCT(($B$2:$B$1001=B535)*($H$2:$H$1001&lt;=H535))/SUMPRODUCT(($B$2:$B$1001=B535)*1),0)</f>
        <v>0.786885245901639</v>
      </c>
      <c r="N535" s="24" t="n">
        <f aca="false">IFERROR(SUMPRODUCT(($B$2:$B$1001=B535)*($I$2:$I$1001&lt;=I535))/SUMPRODUCT(($B$2:$B$1001=B535)*1),0)</f>
        <v>0.360655737704918</v>
      </c>
      <c r="O535" s="24" t="n">
        <f aca="false">IFERROR(SUMPRODUCT(($B$2:$B$1001=B535)*($J$2:$J$1001&lt;=J535))/SUMPRODUCT(($B$2:$B$1001=B535)*1),0)</f>
        <v>0.907103825136612</v>
      </c>
      <c r="P535" s="24" t="n">
        <f aca="false">IFERROR(SUMPRODUCT(($B$2:$B$1001=B535)*((0-$F$2:$F$1001)&lt;=(0-F535)))/SUMPRODUCT(($B$2:$B$1001=B535)*1),0)</f>
        <v>0.60655737704918</v>
      </c>
      <c r="Q535" s="25" t="n">
        <f aca="false">(M535*Assumptions!$B$5+N535*Assumptions!$B$6+O535*Assumptions!$B$7+P535*Assumptions!$B$8)*L535</f>
        <v>0.62568306010929</v>
      </c>
      <c r="R535" s="24" t="n">
        <f aca="false">IFERROR(SUMPRODUCT(($B$2:$B$1001=B535)*($Q$2:$Q$1001&lt;=Q535))/SUMPRODUCT(($B$2:$B$1001=B535)*1),0)</f>
        <v>0.912568306010929</v>
      </c>
      <c r="S535" s="24" t="n">
        <f aca="false">IFERROR(SUMPRODUCT(($B$2:$B$1001=B535)*($K$2:$K$1001&lt;=K535))/SUMPRODUCT(($B$2:$B$1001=B535)*1),0)</f>
        <v>0.218579234972678</v>
      </c>
      <c r="T535" s="26" t="n">
        <f aca="false">(R535-S535)*100</f>
        <v>69.3989071038251</v>
      </c>
      <c r="U535" s="21" t="str">
        <f aca="false">'Player Data'!T535</f>
        <v>Unknown</v>
      </c>
      <c r="V535" s="27" t="n">
        <f aca="false">'Player Data'!U535</f>
        <v>2027</v>
      </c>
      <c r="W535" s="21" t="str">
        <f aca="false">IF(AND(T535&gt;=Assumptions!$B$19,U535="No"),"High Priority - Unrepresented",IF(T535&gt;=Assumptions!$B$19,"High Priority",IF(AND(T535&gt;=Assumptions!$B$20,U535="No"),"Watchlist - Unrepresented",IF(T535&gt;=Assumptions!$B$20,"Watchlist",""))))</f>
        <v>High Priority</v>
      </c>
      <c r="X535" s="21" t="str">
        <f aca="false">'Player Data'!V535</f>
        <v>info@livingstonewanderers.zm</v>
      </c>
      <c r="Y535" s="28" t="str">
        <f aca="false">'Player Data'!W535</f>
        <v>Club sporting director / first-team office</v>
      </c>
      <c r="Z535" s="28" t="str">
        <f aca="false">'Player Data'!X535</f>
        <v>FAZ (Football Association of Zambia) player registry</v>
      </c>
      <c r="AA535" s="19" t="str">
        <f aca="false">HYPERLINK("https://www.transfermarkt.com/schnellsuche/ergebnis/schnellsuche?query="&amp;SUBSTITUTE(A535," ","+"),"Search Transfermarkt")</f>
        <v>Search Transfermarkt</v>
      </c>
      <c r="AB535" s="29" t="n">
        <f aca="false">IFERROR('Player Data'!K535/('Player Data'!K535+'Player Data'!L535),0)</f>
        <v>0.666666666666667</v>
      </c>
      <c r="AC535" s="21" t="str">
        <f aca="false">IF(B535="GK",IF(AND(O535&gt;=Assumptions!$B$23,N535&gt;=Assumptions!$B$23),"Sweeper-Keeper / Build-from-the-Back",IF(O535&gt;=Assumptions!$B$23,"Sweeper-Keeper / High Line",IF(M535&gt;=Assumptions!$B$23,"Shot-Stopper / Traditional","Flexible / Multi-System"))),IF(AND(O535&gt;=Assumptions!$B$23,P535&gt;=Assumptions!$B$24),"High Press / Gegenpressing",IF(AND(N535&gt;=Assumptions!$B$23,AB535&gt;=Assumptions!$B$25),"Possession / Build-from-the-Back",IF(N535&gt;=Assumptions!$B$23,"Counter-Attack / Transition",IF(AND(O535&gt;=Assumptions!$B$23,N535&lt;Assumptions!$B$26),"Low Block / Park the Bus",IF(AND(B535="FW",M535&gt;=Assumptions!$B$23,N535&lt;Assumptions!$B$26),"Direct / Target Approach","Flexible / Multi-System"))))))</f>
        <v>Sweeper-Keeper / High Line</v>
      </c>
      <c r="AD535" s="21" t="str">
        <f aca="false">'Player Data'!Y535</f>
        <v>2026-07-17</v>
      </c>
      <c r="AE535" s="21" t="str">
        <f aca="false">'Player Data'!Z535</f>
        <v>2026-07-17</v>
      </c>
      <c r="AF535" s="28" t="str">
        <f aca="false">IFERROR(INDEX(Assumptions!$B$30:$B$61,MATCH(C535,Assumptions!$A$30:$A$61,0)),"--")</f>
        <v>Belgium, Portugal</v>
      </c>
      <c r="AG535" s="30" t="str">
        <f aca="false">IF(R535&gt;=0.7,"Step-Up Candidate",IF(R535&gt;=0.4,"Lateral Move","Stay &amp; Develop"))</f>
        <v>Step-Up Candidate</v>
      </c>
    </row>
    <row r="536" customFormat="false" ht="23.85" hidden="false" customHeight="false" outlineLevel="0" collapsed="false">
      <c r="A536" s="21" t="str">
        <f aca="false">'Player Data'!A536</f>
        <v>Sebastian Ramirez</v>
      </c>
      <c r="B536" s="21" t="str">
        <f aca="false">'Player Data'!F536</f>
        <v>FW</v>
      </c>
      <c r="C536" s="21" t="str">
        <f aca="false">'Player Data'!B536</f>
        <v>Paraguay</v>
      </c>
      <c r="D536" s="21" t="str">
        <f aca="false">'Player Data'!C536</f>
        <v>Paraguay Third Tier - South</v>
      </c>
      <c r="E536" s="21" t="n">
        <f aca="false">'Player Data'!D536</f>
        <v>2</v>
      </c>
      <c r="F536" s="21" t="n">
        <f aca="false">'Player Data'!G536</f>
        <v>23</v>
      </c>
      <c r="G536" s="21" t="n">
        <f aca="false">'Player Data'!H536</f>
        <v>1674</v>
      </c>
      <c r="H536" s="22" t="n">
        <f aca="false">IF(B536="GK",IFERROR(('Player Data'!N536-1.5*'Player Data'!O536)/'Player Data'!H536*90,0),IFERROR(('Player Data'!I536+'Player Data'!J536)/'Player Data'!H536*90,0))</f>
        <v>0.698924731182796</v>
      </c>
      <c r="I536" s="22" t="n">
        <f aca="false">IF(B536="GK",'Player Data'!P536,IFERROR(('Player Data'!K536+'Player Data'!L536)/'Player Data'!H536*90,0))</f>
        <v>6.12903225806452</v>
      </c>
      <c r="J536" s="22" t="n">
        <f aca="false">IF(B536="GK",IFERROR('Player Data'!Q536/'Player Data'!H536*90,0),IFERROR('Player Data'!M536/'Player Data'!H536*90,0))</f>
        <v>0.376344086021505</v>
      </c>
      <c r="K536" s="23" t="n">
        <f aca="false">'Player Data'!S536</f>
        <v>76016</v>
      </c>
      <c r="L536" s="22" t="n">
        <f aca="false">INDEX(Assumptions!$B$13:$B$15,MATCH(E536,Assumptions!$A$13:$A$15,0))</f>
        <v>1</v>
      </c>
      <c r="M536" s="24" t="n">
        <f aca="false">IFERROR(SUMPRODUCT(($B$2:$B$1001=B536)*($H$2:$H$1001&lt;=H536))/SUMPRODUCT(($B$2:$B$1001=B536)*1),0)</f>
        <v>0.234513274336283</v>
      </c>
      <c r="N536" s="24" t="n">
        <f aca="false">IFERROR(SUMPRODUCT(($B$2:$B$1001=B536)*($I$2:$I$1001&lt;=I536))/SUMPRODUCT(($B$2:$B$1001=B536)*1),0)</f>
        <v>0.433628318584071</v>
      </c>
      <c r="O536" s="24" t="n">
        <f aca="false">IFERROR(SUMPRODUCT(($B$2:$B$1001=B536)*($J$2:$J$1001&lt;=J536))/SUMPRODUCT(($B$2:$B$1001=B536)*1),0)</f>
        <v>0.29646017699115</v>
      </c>
      <c r="P536" s="24" t="n">
        <f aca="false">IFERROR(SUMPRODUCT(($B$2:$B$1001=B536)*((0-$F$2:$F$1001)&lt;=(0-F536)))/SUMPRODUCT(($B$2:$B$1001=B536)*1),0)</f>
        <v>0.389380530973451</v>
      </c>
      <c r="Q536" s="25" t="n">
        <f aca="false">(M536*Assumptions!$B$5+N536*Assumptions!$B$6+O536*Assumptions!$B$7+P536*Assumptions!$B$8)*L536</f>
        <v>0.347566371681416</v>
      </c>
      <c r="R536" s="24" t="n">
        <f aca="false">IFERROR(SUMPRODUCT(($B$2:$B$1001=B536)*($Q$2:$Q$1001&lt;=Q536))/SUMPRODUCT(($B$2:$B$1001=B536)*1),0)</f>
        <v>0.349557522123894</v>
      </c>
      <c r="S536" s="24" t="n">
        <f aca="false">IFERROR(SUMPRODUCT(($B$2:$B$1001=B536)*($K$2:$K$1001&lt;=K536))/SUMPRODUCT(($B$2:$B$1001=B536)*1),0)</f>
        <v>0.584070796460177</v>
      </c>
      <c r="T536" s="26" t="n">
        <f aca="false">(R536-S536)*100</f>
        <v>-23.4513274336283</v>
      </c>
      <c r="U536" s="21" t="str">
        <f aca="false">'Player Data'!T536</f>
        <v>Unknown</v>
      </c>
      <c r="V536" s="27" t="n">
        <f aca="false">'Player Data'!U536</f>
        <v>2026</v>
      </c>
      <c r="W536" s="21" t="str">
        <f aca="false">IF(AND(T536&gt;=Assumptions!$B$19,U536="No"),"High Priority - Unrepresented",IF(T536&gt;=Assumptions!$B$19,"High Priority",IF(AND(T536&gt;=Assumptions!$B$20,U536="No"),"Watchlist - Unrepresented",IF(T536&gt;=Assumptions!$B$20,"Watchlist",""))))</f>
        <v/>
      </c>
      <c r="X536" s="21" t="str">
        <f aca="false">'Player Data'!V536</f>
        <v>info@ciudaddelestetown.py</v>
      </c>
      <c r="Y536" s="28" t="str">
        <f aca="false">'Player Data'!W536</f>
        <v>Club sporting director / first-team office</v>
      </c>
      <c r="Z536" s="28" t="str">
        <f aca="false">'Player Data'!X536</f>
        <v>APF (Paraguayan Football Association) player registry</v>
      </c>
      <c r="AA536" s="19" t="str">
        <f aca="false">HYPERLINK("https://www.transfermarkt.com/schnellsuche/ergebnis/schnellsuche?query="&amp;SUBSTITUTE(A536," ","+"),"Search Transfermarkt")</f>
        <v>Search Transfermarkt</v>
      </c>
      <c r="AB536" s="29" t="n">
        <f aca="false">IFERROR('Player Data'!K536/('Player Data'!K536+'Player Data'!L536),0)</f>
        <v>0.359649122807018</v>
      </c>
      <c r="AC536" s="21" t="str">
        <f aca="false">IF(B536="GK",IF(AND(O536&gt;=Assumptions!$B$23,N536&gt;=Assumptions!$B$23),"Sweeper-Keeper / Build-from-the-Back",IF(O536&gt;=Assumptions!$B$23,"Sweeper-Keeper / High Line",IF(M536&gt;=Assumptions!$B$23,"Shot-Stopper / Traditional","Flexible / Multi-System"))),IF(AND(O536&gt;=Assumptions!$B$23,P536&gt;=Assumptions!$B$24),"High Press / Gegenpressing",IF(AND(N536&gt;=Assumptions!$B$23,AB536&gt;=Assumptions!$B$25),"Possession / Build-from-the-Back",IF(N536&gt;=Assumptions!$B$23,"Counter-Attack / Transition",IF(AND(O536&gt;=Assumptions!$B$23,N536&lt;Assumptions!$B$26),"Low Block / Park the Bus",IF(AND(B536="FW",M536&gt;=Assumptions!$B$23,N536&lt;Assumptions!$B$26),"Direct / Target Approach","Flexible / Multi-System"))))))</f>
        <v>Flexible / Multi-System</v>
      </c>
      <c r="AD536" s="21" t="str">
        <f aca="false">'Player Data'!Y536</f>
        <v>2026-07-17</v>
      </c>
      <c r="AE536" s="21" t="str">
        <f aca="false">'Player Data'!Z536</f>
        <v>2026-07-17</v>
      </c>
      <c r="AF536" s="28" t="str">
        <f aca="false">IFERROR(INDEX(Assumptions!$B$30:$B$61,MATCH(C536,Assumptions!$A$30:$A$61,0)),"--")</f>
        <v>Argentina, Portugal</v>
      </c>
      <c r="AG536" s="30" t="str">
        <f aca="false">IF(R536&gt;=0.7,"Step-Up Candidate",IF(R536&gt;=0.4,"Lateral Move","Stay &amp; Develop"))</f>
        <v>Stay &amp; Develop</v>
      </c>
    </row>
    <row r="537" customFormat="false" ht="23.85" hidden="false" customHeight="false" outlineLevel="0" collapsed="false">
      <c r="A537" s="21" t="str">
        <f aca="false">'Player Data'!A537</f>
        <v>Emmanuel Mwansa</v>
      </c>
      <c r="B537" s="21" t="str">
        <f aca="false">'Player Data'!F537</f>
        <v>DF</v>
      </c>
      <c r="C537" s="21" t="str">
        <f aca="false">'Player Data'!B537</f>
        <v>Zambia</v>
      </c>
      <c r="D537" s="21" t="str">
        <f aca="false">'Player Data'!C537</f>
        <v>Zambia Second Division - West</v>
      </c>
      <c r="E537" s="21" t="n">
        <f aca="false">'Player Data'!D537</f>
        <v>4</v>
      </c>
      <c r="F537" s="21" t="n">
        <f aca="false">'Player Data'!G537</f>
        <v>23</v>
      </c>
      <c r="G537" s="21" t="n">
        <f aca="false">'Player Data'!H537</f>
        <v>1375</v>
      </c>
      <c r="H537" s="22" t="n">
        <f aca="false">IF(B537="GK",IFERROR(('Player Data'!N537-1.5*'Player Data'!O537)/'Player Data'!H537*90,0),IFERROR(('Player Data'!I537+'Player Data'!J537)/'Player Data'!H537*90,0))</f>
        <v>0.196363636363636</v>
      </c>
      <c r="I537" s="22" t="n">
        <f aca="false">IF(B537="GK",'Player Data'!P537,IFERROR(('Player Data'!K537+'Player Data'!L537)/'Player Data'!H537*90,0))</f>
        <v>5.76</v>
      </c>
      <c r="J537" s="22" t="n">
        <f aca="false">IF(B537="GK",IFERROR('Player Data'!Q537/'Player Data'!H537*90,0),IFERROR('Player Data'!M537/'Player Data'!H537*90,0))</f>
        <v>5.30181818181818</v>
      </c>
      <c r="K537" s="23" t="n">
        <f aca="false">'Player Data'!S537</f>
        <v>132088</v>
      </c>
      <c r="L537" s="22" t="n">
        <f aca="false">INDEX(Assumptions!$B$13:$B$15,MATCH(E537,Assumptions!$A$13:$A$15,0))</f>
        <v>0.7</v>
      </c>
      <c r="M537" s="24" t="n">
        <f aca="false">IFERROR(SUMPRODUCT(($B$2:$B$1001=B537)*($H$2:$H$1001&lt;=H537))/SUMPRODUCT(($B$2:$B$1001=B537)*1),0)</f>
        <v>0.520408163265306</v>
      </c>
      <c r="N537" s="24" t="n">
        <f aca="false">IFERROR(SUMPRODUCT(($B$2:$B$1001=B537)*($I$2:$I$1001&lt;=I537))/SUMPRODUCT(($B$2:$B$1001=B537)*1),0)</f>
        <v>0.714285714285714</v>
      </c>
      <c r="O537" s="24" t="n">
        <f aca="false">IFERROR(SUMPRODUCT(($B$2:$B$1001=B537)*($J$2:$J$1001&lt;=J537))/SUMPRODUCT(($B$2:$B$1001=B537)*1),0)</f>
        <v>0.493197278911565</v>
      </c>
      <c r="P537" s="24" t="n">
        <f aca="false">IFERROR(SUMPRODUCT(($B$2:$B$1001=B537)*((0-$F$2:$F$1001)&lt;=(0-F537)))/SUMPRODUCT(($B$2:$B$1001=B537)*1),0)</f>
        <v>0.374149659863946</v>
      </c>
      <c r="Q537" s="25" t="n">
        <f aca="false">(M537*Assumptions!$B$5+N537*Assumptions!$B$6+O537*Assumptions!$B$7+P537*Assumptions!$B$8)*L537</f>
        <v>0.3875</v>
      </c>
      <c r="R537" s="24" t="n">
        <f aca="false">IFERROR(SUMPRODUCT(($B$2:$B$1001=B537)*($Q$2:$Q$1001&lt;=Q537))/SUMPRODUCT(($B$2:$B$1001=B537)*1),0)</f>
        <v>0.425170068027211</v>
      </c>
      <c r="S537" s="24" t="n">
        <f aca="false">IFERROR(SUMPRODUCT(($B$2:$B$1001=B537)*($K$2:$K$1001&lt;=K537))/SUMPRODUCT(($B$2:$B$1001=B537)*1),0)</f>
        <v>0.914965986394558</v>
      </c>
      <c r="T537" s="26" t="n">
        <f aca="false">(R537-S537)*100</f>
        <v>-48.9795918367347</v>
      </c>
      <c r="U537" s="21" t="str">
        <f aca="false">'Player Data'!T537</f>
        <v>No</v>
      </c>
      <c r="V537" s="27" t="n">
        <f aca="false">'Player Data'!U537</f>
        <v>2028</v>
      </c>
      <c r="W537" s="21" t="str">
        <f aca="false">IF(AND(T537&gt;=Assumptions!$B$19,U537="No"),"High Priority - Unrepresented",IF(T537&gt;=Assumptions!$B$19,"High Priority",IF(AND(T537&gt;=Assumptions!$B$20,U537="No"),"Watchlist - Unrepresented",IF(T537&gt;=Assumptions!$B$20,"Watchlist",""))))</f>
        <v/>
      </c>
      <c r="X537" s="21" t="str">
        <f aca="false">'Player Data'!V537</f>
        <v>info@kitweathletic.zm</v>
      </c>
      <c r="Y537" s="28" t="str">
        <f aca="false">'Player Data'!W537</f>
        <v>Club sporting director / first-team office</v>
      </c>
      <c r="Z537" s="28" t="str">
        <f aca="false">'Player Data'!X537</f>
        <v>FAZ (Football Association of Zambia) player registry</v>
      </c>
      <c r="AA537" s="19" t="str">
        <f aca="false">HYPERLINK("https://www.transfermarkt.com/schnellsuche/ergebnis/schnellsuche?query="&amp;SUBSTITUTE(A537," ","+"),"Search Transfermarkt")</f>
        <v>Search Transfermarkt</v>
      </c>
      <c r="AB537" s="29" t="n">
        <f aca="false">IFERROR('Player Data'!K537/('Player Data'!K537+'Player Data'!L537),0)</f>
        <v>0.568181818181818</v>
      </c>
      <c r="AC537" s="21" t="str">
        <f aca="false">IF(B537="GK",IF(AND(O537&gt;=Assumptions!$B$23,N537&gt;=Assumptions!$B$23),"Sweeper-Keeper / Build-from-the-Back",IF(O537&gt;=Assumptions!$B$23,"Sweeper-Keeper / High Line",IF(M537&gt;=Assumptions!$B$23,"Shot-Stopper / Traditional","Flexible / Multi-System"))),IF(AND(O537&gt;=Assumptions!$B$23,P537&gt;=Assumptions!$B$24),"High Press / Gegenpressing",IF(AND(N537&gt;=Assumptions!$B$23,AB537&gt;=Assumptions!$B$25),"Possession / Build-from-the-Back",IF(N537&gt;=Assumptions!$B$23,"Counter-Attack / Transition",IF(AND(O537&gt;=Assumptions!$B$23,N537&lt;Assumptions!$B$26),"Low Block / Park the Bus",IF(AND(B537="FW",M537&gt;=Assumptions!$B$23,N537&lt;Assumptions!$B$26),"Direct / Target Approach","Flexible / Multi-System"))))))</f>
        <v>Counter-Attack / Transition</v>
      </c>
      <c r="AD537" s="21" t="str">
        <f aca="false">'Player Data'!Y537</f>
        <v>2026-07-17</v>
      </c>
      <c r="AE537" s="21" t="str">
        <f aca="false">'Player Data'!Z537</f>
        <v>2026-07-17</v>
      </c>
      <c r="AF537" s="28" t="str">
        <f aca="false">IFERROR(INDEX(Assumptions!$B$30:$B$61,MATCH(C537,Assumptions!$A$30:$A$61,0)),"--")</f>
        <v>Belgium, Portugal</v>
      </c>
      <c r="AG537" s="30" t="str">
        <f aca="false">IF(R537&gt;=0.7,"Step-Up Candidate",IF(R537&gt;=0.4,"Lateral Move","Stay &amp; Develop"))</f>
        <v>Lateral Move</v>
      </c>
    </row>
    <row r="538" customFormat="false" ht="23.85" hidden="false" customHeight="false" outlineLevel="0" collapsed="false">
      <c r="A538" s="21" t="str">
        <f aca="false">'Player Data'!A538</f>
        <v>Igor Jovanovic</v>
      </c>
      <c r="B538" s="21" t="str">
        <f aca="false">'Player Data'!F538</f>
        <v>MF</v>
      </c>
      <c r="C538" s="21" t="str">
        <f aca="false">'Player Data'!B538</f>
        <v>Montenegro</v>
      </c>
      <c r="D538" s="21" t="str">
        <f aca="false">'Player Data'!C538</f>
        <v>Montenegro Regional League</v>
      </c>
      <c r="E538" s="21" t="n">
        <f aca="false">'Player Data'!D538</f>
        <v>2</v>
      </c>
      <c r="F538" s="21" t="n">
        <f aca="false">'Player Data'!G538</f>
        <v>18</v>
      </c>
      <c r="G538" s="21" t="n">
        <f aca="false">'Player Data'!H538</f>
        <v>2115</v>
      </c>
      <c r="H538" s="22" t="n">
        <f aca="false">IF(B538="GK",IFERROR(('Player Data'!N538-1.5*'Player Data'!O538)/'Player Data'!H538*90,0),IFERROR(('Player Data'!I538+'Player Data'!J538)/'Player Data'!H538*90,0))</f>
        <v>0.553191489361702</v>
      </c>
      <c r="I538" s="22" t="n">
        <f aca="false">IF(B538="GK",'Player Data'!P538,IFERROR(('Player Data'!K538+'Player Data'!L538)/'Player Data'!H538*90,0))</f>
        <v>7.82978723404255</v>
      </c>
      <c r="J538" s="22" t="n">
        <f aca="false">IF(B538="GK",IFERROR('Player Data'!Q538/'Player Data'!H538*90,0),IFERROR('Player Data'!M538/'Player Data'!H538*90,0))</f>
        <v>2.34042553191489</v>
      </c>
      <c r="K538" s="23" t="n">
        <f aca="false">'Player Data'!S538</f>
        <v>32223</v>
      </c>
      <c r="L538" s="22" t="n">
        <f aca="false">INDEX(Assumptions!$B$13:$B$15,MATCH(E538,Assumptions!$A$13:$A$15,0))</f>
        <v>1</v>
      </c>
      <c r="M538" s="24" t="n">
        <f aca="false">IFERROR(SUMPRODUCT(($B$2:$B$1001=B538)*($H$2:$H$1001&lt;=H538))/SUMPRODUCT(($B$2:$B$1001=B538)*1),0)</f>
        <v>0.272727272727273</v>
      </c>
      <c r="N538" s="24" t="n">
        <f aca="false">IFERROR(SUMPRODUCT(($B$2:$B$1001=B538)*($I$2:$I$1001&lt;=I538))/SUMPRODUCT(($B$2:$B$1001=B538)*1),0)</f>
        <v>0.138047138047138</v>
      </c>
      <c r="O538" s="24" t="n">
        <f aca="false">IFERROR(SUMPRODUCT(($B$2:$B$1001=B538)*($J$2:$J$1001&lt;=J538))/SUMPRODUCT(($B$2:$B$1001=B538)*1),0)</f>
        <v>0.575757575757576</v>
      </c>
      <c r="P538" s="24" t="n">
        <f aca="false">IFERROR(SUMPRODUCT(($B$2:$B$1001=B538)*((0-$F$2:$F$1001)&lt;=(0-F538)))/SUMPRODUCT(($B$2:$B$1001=B538)*1),0)</f>
        <v>0.929292929292929</v>
      </c>
      <c r="Q538" s="25" t="n">
        <f aca="false">(M538*Assumptions!$B$5+N538*Assumptions!$B$6+O538*Assumptions!$B$7+P538*Assumptions!$B$8)*L538</f>
        <v>0.417508417508418</v>
      </c>
      <c r="R538" s="24" t="n">
        <f aca="false">IFERROR(SUMPRODUCT(($B$2:$B$1001=B538)*($Q$2:$Q$1001&lt;=Q538))/SUMPRODUCT(($B$2:$B$1001=B538)*1),0)</f>
        <v>0.461279461279461</v>
      </c>
      <c r="S538" s="24" t="n">
        <f aca="false">IFERROR(SUMPRODUCT(($B$2:$B$1001=B538)*($K$2:$K$1001&lt;=K538))/SUMPRODUCT(($B$2:$B$1001=B538)*1),0)</f>
        <v>0.336700336700337</v>
      </c>
      <c r="T538" s="26" t="n">
        <f aca="false">(R538-S538)*100</f>
        <v>12.4579124579125</v>
      </c>
      <c r="U538" s="21" t="str">
        <f aca="false">'Player Data'!T538</f>
        <v>No</v>
      </c>
      <c r="V538" s="27" t="n">
        <f aca="false">'Player Data'!U538</f>
        <v>2026</v>
      </c>
      <c r="W538" s="21" t="str">
        <f aca="false">IF(AND(T538&gt;=Assumptions!$B$19,U538="No"),"High Priority - Unrepresented",IF(T538&gt;=Assumptions!$B$19,"High Priority",IF(AND(T538&gt;=Assumptions!$B$20,U538="No"),"Watchlist - Unrepresented",IF(T538&gt;=Assumptions!$B$20,"Watchlist",""))))</f>
        <v/>
      </c>
      <c r="X538" s="21" t="str">
        <f aca="false">'Player Data'!V538</f>
        <v>info@beranefc.me</v>
      </c>
      <c r="Y538" s="28" t="str">
        <f aca="false">'Player Data'!W538</f>
        <v>Club sporting director / first-team office</v>
      </c>
      <c r="Z538" s="28" t="str">
        <f aca="false">'Player Data'!X538</f>
        <v>FSCG (Football Association of Montenegro) player registry</v>
      </c>
      <c r="AA538" s="19" t="str">
        <f aca="false">HYPERLINK("https://www.transfermarkt.com/schnellsuche/ergebnis/schnellsuche?query="&amp;SUBSTITUTE(A538," ","+"),"Search Transfermarkt")</f>
        <v>Search Transfermarkt</v>
      </c>
      <c r="AB538" s="29" t="n">
        <f aca="false">IFERROR('Player Data'!K538/('Player Data'!K538+'Player Data'!L538),0)</f>
        <v>0.66304347826087</v>
      </c>
      <c r="AC538" s="21" t="str">
        <f aca="false">IF(B538="GK",IF(AND(O538&gt;=Assumptions!$B$23,N538&gt;=Assumptions!$B$23),"Sweeper-Keeper / Build-from-the-Back",IF(O538&gt;=Assumptions!$B$23,"Sweeper-Keeper / High Line",IF(M538&gt;=Assumptions!$B$23,"Shot-Stopper / Traditional","Flexible / Multi-System"))),IF(AND(O538&gt;=Assumptions!$B$23,P538&gt;=Assumptions!$B$24),"High Press / Gegenpressing",IF(AND(N538&gt;=Assumptions!$B$23,AB538&gt;=Assumptions!$B$25),"Possession / Build-from-the-Back",IF(N538&gt;=Assumptions!$B$23,"Counter-Attack / Transition",IF(AND(O538&gt;=Assumptions!$B$23,N538&lt;Assumptions!$B$26),"Low Block / Park the Bus",IF(AND(B538="FW",M538&gt;=Assumptions!$B$23,N538&lt;Assumptions!$B$26),"Direct / Target Approach","Flexible / Multi-System"))))))</f>
        <v>Flexible / Multi-System</v>
      </c>
      <c r="AD538" s="21" t="str">
        <f aca="false">'Player Data'!Y538</f>
        <v>2026-07-17</v>
      </c>
      <c r="AE538" s="21" t="str">
        <f aca="false">'Player Data'!Z538</f>
        <v>2026-07-17</v>
      </c>
      <c r="AF538" s="28" t="str">
        <f aca="false">IFERROR(INDEX(Assumptions!$B$30:$B$61,MATCH(C538,Assumptions!$A$30:$A$61,0)),"--")</f>
        <v>Austria, Turkey</v>
      </c>
      <c r="AG538" s="30" t="str">
        <f aca="false">IF(R538&gt;=0.7,"Step-Up Candidate",IF(R538&gt;=0.4,"Lateral Move","Stay &amp; Develop"))</f>
        <v>Lateral Move</v>
      </c>
    </row>
    <row r="539" customFormat="false" ht="23.85" hidden="false" customHeight="false" outlineLevel="0" collapsed="false">
      <c r="A539" s="21" t="str">
        <f aca="false">'Player Data'!A539</f>
        <v>Andri Petursson</v>
      </c>
      <c r="B539" s="21" t="str">
        <f aca="false">'Player Data'!F539</f>
        <v>FW</v>
      </c>
      <c r="C539" s="21" t="str">
        <f aca="false">'Player Data'!B539</f>
        <v>Iceland</v>
      </c>
      <c r="D539" s="21" t="str">
        <f aca="false">'Player Data'!C539</f>
        <v>Iceland Third Tier - South</v>
      </c>
      <c r="E539" s="21" t="n">
        <f aca="false">'Player Data'!D539</f>
        <v>3</v>
      </c>
      <c r="F539" s="21" t="n">
        <f aca="false">'Player Data'!G539</f>
        <v>23</v>
      </c>
      <c r="G539" s="21" t="n">
        <f aca="false">'Player Data'!H539</f>
        <v>2229</v>
      </c>
      <c r="H539" s="22" t="n">
        <f aca="false">IF(B539="GK",IFERROR(('Player Data'!N539-1.5*'Player Data'!O539)/'Player Data'!H539*90,0),IFERROR(('Player Data'!I539+'Player Data'!J539)/'Player Data'!H539*90,0))</f>
        <v>0.605652759084791</v>
      </c>
      <c r="I539" s="22" t="n">
        <f aca="false">IF(B539="GK",'Player Data'!P539,IFERROR(('Player Data'!K539+'Player Data'!L539)/'Player Data'!H539*90,0))</f>
        <v>6.13728129205922</v>
      </c>
      <c r="J539" s="22" t="n">
        <f aca="false">IF(B539="GK",IFERROR('Player Data'!Q539/'Player Data'!H539*90,0),IFERROR('Player Data'!M539/'Player Data'!H539*90,0))</f>
        <v>0.646029609690444</v>
      </c>
      <c r="K539" s="23" t="n">
        <f aca="false">'Player Data'!S539</f>
        <v>70850</v>
      </c>
      <c r="L539" s="22" t="n">
        <f aca="false">INDEX(Assumptions!$B$13:$B$15,MATCH(E539,Assumptions!$A$13:$A$15,0))</f>
        <v>0.85</v>
      </c>
      <c r="M539" s="24" t="n">
        <f aca="false">IFERROR(SUMPRODUCT(($B$2:$B$1001=B539)*($H$2:$H$1001&lt;=H539))/SUMPRODUCT(($B$2:$B$1001=B539)*1),0)</f>
        <v>0.15929203539823</v>
      </c>
      <c r="N539" s="24" t="n">
        <f aca="false">IFERROR(SUMPRODUCT(($B$2:$B$1001=B539)*($I$2:$I$1001&lt;=I539))/SUMPRODUCT(($B$2:$B$1001=B539)*1),0)</f>
        <v>0.438053097345133</v>
      </c>
      <c r="O539" s="24" t="n">
        <f aca="false">IFERROR(SUMPRODUCT(($B$2:$B$1001=B539)*($J$2:$J$1001&lt;=J539))/SUMPRODUCT(($B$2:$B$1001=B539)*1),0)</f>
        <v>0.690265486725664</v>
      </c>
      <c r="P539" s="24" t="n">
        <f aca="false">IFERROR(SUMPRODUCT(($B$2:$B$1001=B539)*((0-$F$2:$F$1001)&lt;=(0-F539)))/SUMPRODUCT(($B$2:$B$1001=B539)*1),0)</f>
        <v>0.389380530973451</v>
      </c>
      <c r="Q539" s="25" t="n">
        <f aca="false">(M539*Assumptions!$B$5+N539*Assumptions!$B$6+O539*Assumptions!$B$7+P539*Assumptions!$B$8)*L539</f>
        <v>0.347710176991151</v>
      </c>
      <c r="R539" s="24" t="n">
        <f aca="false">IFERROR(SUMPRODUCT(($B$2:$B$1001=B539)*($Q$2:$Q$1001&lt;=Q539))/SUMPRODUCT(($B$2:$B$1001=B539)*1),0)</f>
        <v>0.353982300884956</v>
      </c>
      <c r="S539" s="24" t="n">
        <f aca="false">IFERROR(SUMPRODUCT(($B$2:$B$1001=B539)*($K$2:$K$1001&lt;=K539))/SUMPRODUCT(($B$2:$B$1001=B539)*1),0)</f>
        <v>0.566371681415929</v>
      </c>
      <c r="T539" s="26" t="n">
        <f aca="false">(R539-S539)*100</f>
        <v>-21.2389380530973</v>
      </c>
      <c r="U539" s="21" t="str">
        <f aca="false">'Player Data'!T539</f>
        <v>No</v>
      </c>
      <c r="V539" s="27" t="n">
        <f aca="false">'Player Data'!U539</f>
        <v>2027</v>
      </c>
      <c r="W539" s="21" t="str">
        <f aca="false">IF(AND(T539&gt;=Assumptions!$B$19,U539="No"),"High Priority - Unrepresented",IF(T539&gt;=Assumptions!$B$19,"High Priority",IF(AND(T539&gt;=Assumptions!$B$20,U539="No"),"Watchlist - Unrepresented",IF(T539&gt;=Assumptions!$B$20,"Watchlist",""))))</f>
        <v/>
      </c>
      <c r="X539" s="21" t="str">
        <f aca="false">'Player Data'!V539</f>
        <v>info@keflavikcity.is</v>
      </c>
      <c r="Y539" s="28" t="str">
        <f aca="false">'Player Data'!W539</f>
        <v>Club sporting director / first-team office</v>
      </c>
      <c r="Z539" s="28" t="str">
        <f aca="false">'Player Data'!X539</f>
        <v>KSI (Icelandic Football Association) player registry</v>
      </c>
      <c r="AA539" s="19" t="str">
        <f aca="false">HYPERLINK("https://www.transfermarkt.com/schnellsuche/ergebnis/schnellsuche?query="&amp;SUBSTITUTE(A539," ","+"),"Search Transfermarkt")</f>
        <v>Search Transfermarkt</v>
      </c>
      <c r="AB539" s="29" t="n">
        <f aca="false">IFERROR('Player Data'!K539/('Player Data'!K539+'Player Data'!L539),0)</f>
        <v>0.447368421052632</v>
      </c>
      <c r="AC539" s="21" t="str">
        <f aca="false">IF(B539="GK",IF(AND(O539&gt;=Assumptions!$B$23,N539&gt;=Assumptions!$B$23),"Sweeper-Keeper / Build-from-the-Back",IF(O539&gt;=Assumptions!$B$23,"Sweeper-Keeper / High Line",IF(M539&gt;=Assumptions!$B$23,"Shot-Stopper / Traditional","Flexible / Multi-System"))),IF(AND(O539&gt;=Assumptions!$B$23,P539&gt;=Assumptions!$B$24),"High Press / Gegenpressing",IF(AND(N539&gt;=Assumptions!$B$23,AB539&gt;=Assumptions!$B$25),"Possession / Build-from-the-Back",IF(N539&gt;=Assumptions!$B$23,"Counter-Attack / Transition",IF(AND(O539&gt;=Assumptions!$B$23,N539&lt;Assumptions!$B$26),"Low Block / Park the Bus",IF(AND(B539="FW",M539&gt;=Assumptions!$B$23,N539&lt;Assumptions!$B$26),"Direct / Target Approach","Flexible / Multi-System"))))))</f>
        <v>Low Block / Park the Bus</v>
      </c>
      <c r="AD539" s="21" t="str">
        <f aca="false">'Player Data'!Y539</f>
        <v>2026-07-17</v>
      </c>
      <c r="AE539" s="21" t="str">
        <f aca="false">'Player Data'!Z539</f>
        <v>2026-07-17</v>
      </c>
      <c r="AF539" s="28" t="str">
        <f aca="false">IFERROR(INDEX(Assumptions!$B$30:$B$61,MATCH(C539,Assumptions!$A$30:$A$61,0)),"--")</f>
        <v>Norway, Belgium</v>
      </c>
      <c r="AG539" s="30" t="str">
        <f aca="false">IF(R539&gt;=0.7,"Step-Up Candidate",IF(R539&gt;=0.4,"Lateral Move","Stay &amp; Develop"))</f>
        <v>Stay &amp; Develop</v>
      </c>
    </row>
    <row r="540" customFormat="false" ht="23.85" hidden="false" customHeight="false" outlineLevel="0" collapsed="false">
      <c r="A540" s="21" t="str">
        <f aca="false">'Player Data'!A540</f>
        <v>Ened Krasniqi</v>
      </c>
      <c r="B540" s="21" t="str">
        <f aca="false">'Player Data'!F540</f>
        <v>MF</v>
      </c>
      <c r="C540" s="21" t="str">
        <f aca="false">'Player Data'!B540</f>
        <v>Albania</v>
      </c>
      <c r="D540" s="21" t="str">
        <f aca="false">'Player Data'!C540</f>
        <v>Albania Second Division - West</v>
      </c>
      <c r="E540" s="21" t="n">
        <f aca="false">'Player Data'!D540</f>
        <v>2</v>
      </c>
      <c r="F540" s="21" t="n">
        <f aca="false">'Player Data'!G540</f>
        <v>25</v>
      </c>
      <c r="G540" s="21" t="n">
        <f aca="false">'Player Data'!H540</f>
        <v>2390</v>
      </c>
      <c r="H540" s="22" t="n">
        <f aca="false">IF(B540="GK",IFERROR(('Player Data'!N540-1.5*'Player Data'!O540)/'Player Data'!H540*90,0),IFERROR(('Player Data'!I540+'Player Data'!J540)/'Player Data'!H540*90,0))</f>
        <v>0.301255230125523</v>
      </c>
      <c r="I540" s="22" t="n">
        <f aca="false">IF(B540="GK",'Player Data'!P540,IFERROR(('Player Data'!K540+'Player Data'!L540)/'Player Data'!H540*90,0))</f>
        <v>7.49372384937239</v>
      </c>
      <c r="J540" s="22" t="n">
        <f aca="false">IF(B540="GK",IFERROR('Player Data'!Q540/'Player Data'!H540*90,0),IFERROR('Player Data'!M540/'Player Data'!H540*90,0))</f>
        <v>1.20502092050209</v>
      </c>
      <c r="K540" s="23" t="n">
        <f aca="false">'Player Data'!S540</f>
        <v>142509</v>
      </c>
      <c r="L540" s="22" t="n">
        <f aca="false">INDEX(Assumptions!$B$13:$B$15,MATCH(E540,Assumptions!$A$13:$A$15,0))</f>
        <v>1</v>
      </c>
      <c r="M540" s="24" t="n">
        <f aca="false">IFERROR(SUMPRODUCT(($B$2:$B$1001=B540)*($H$2:$H$1001&lt;=H540))/SUMPRODUCT(($B$2:$B$1001=B540)*1),0)</f>
        <v>0.0437710437710438</v>
      </c>
      <c r="N540" s="24" t="n">
        <f aca="false">IFERROR(SUMPRODUCT(($B$2:$B$1001=B540)*($I$2:$I$1001&lt;=I540))/SUMPRODUCT(($B$2:$B$1001=B540)*1),0)</f>
        <v>0.101010101010101</v>
      </c>
      <c r="O540" s="24" t="n">
        <f aca="false">IFERROR(SUMPRODUCT(($B$2:$B$1001=B540)*($J$2:$J$1001&lt;=J540))/SUMPRODUCT(($B$2:$B$1001=B540)*1),0)</f>
        <v>0.0572390572390572</v>
      </c>
      <c r="P540" s="24" t="n">
        <f aca="false">IFERROR(SUMPRODUCT(($B$2:$B$1001=B540)*((0-$F$2:$F$1001)&lt;=(0-F540)))/SUMPRODUCT(($B$2:$B$1001=B540)*1),0)</f>
        <v>0.202020202020202</v>
      </c>
      <c r="Q540" s="25" t="n">
        <f aca="false">(M540*Assumptions!$B$5+N540*Assumptions!$B$6+O540*Assumptions!$B$7+P540*Assumptions!$B$8)*L540</f>
        <v>0.0981481481481482</v>
      </c>
      <c r="R540" s="24" t="n">
        <f aca="false">IFERROR(SUMPRODUCT(($B$2:$B$1001=B540)*($Q$2:$Q$1001&lt;=Q540))/SUMPRODUCT(($B$2:$B$1001=B540)*1),0)</f>
        <v>0.0101010101010101</v>
      </c>
      <c r="S540" s="24" t="n">
        <f aca="false">IFERROR(SUMPRODUCT(($B$2:$B$1001=B540)*($K$2:$K$1001&lt;=K540))/SUMPRODUCT(($B$2:$B$1001=B540)*1),0)</f>
        <v>0.97979797979798</v>
      </c>
      <c r="T540" s="26" t="n">
        <f aca="false">(R540-S540)*100</f>
        <v>-96.969696969697</v>
      </c>
      <c r="U540" s="21" t="str">
        <f aca="false">'Player Data'!T540</f>
        <v>No</v>
      </c>
      <c r="V540" s="27" t="n">
        <f aca="false">'Player Data'!U540</f>
        <v>2026</v>
      </c>
      <c r="W540" s="21" t="str">
        <f aca="false">IF(AND(T540&gt;=Assumptions!$B$19,U540="No"),"High Priority - Unrepresented",IF(T540&gt;=Assumptions!$B$19,"High Priority",IF(AND(T540&gt;=Assumptions!$B$20,U540="No"),"Watchlist - Unrepresented",IF(T540&gt;=Assumptions!$B$20,"Watchlist",""))))</f>
        <v/>
      </c>
      <c r="X540" s="21" t="str">
        <f aca="false">'Player Data'!V540</f>
        <v>info@elbasantown.al</v>
      </c>
      <c r="Y540" s="28" t="str">
        <f aca="false">'Player Data'!W540</f>
        <v>Club sporting director / first-team office</v>
      </c>
      <c r="Z540" s="28" t="str">
        <f aca="false">'Player Data'!X540</f>
        <v>FSHF (Albanian Football Association) player registry</v>
      </c>
      <c r="AA540" s="19" t="str">
        <f aca="false">HYPERLINK("https://www.transfermarkt.com/schnellsuche/ergebnis/schnellsuche?query="&amp;SUBSTITUTE(A540," ","+"),"Search Transfermarkt")</f>
        <v>Search Transfermarkt</v>
      </c>
      <c r="AB540" s="29" t="n">
        <f aca="false">IFERROR('Player Data'!K540/('Player Data'!K540+'Player Data'!L540),0)</f>
        <v>0.618090452261307</v>
      </c>
      <c r="AC540" s="21" t="str">
        <f aca="false">IF(B540="GK",IF(AND(O540&gt;=Assumptions!$B$23,N540&gt;=Assumptions!$B$23),"Sweeper-Keeper / Build-from-the-Back",IF(O540&gt;=Assumptions!$B$23,"Sweeper-Keeper / High Line",IF(M540&gt;=Assumptions!$B$23,"Shot-Stopper / Traditional","Flexible / Multi-System"))),IF(AND(O540&gt;=Assumptions!$B$23,P540&gt;=Assumptions!$B$24),"High Press / Gegenpressing",IF(AND(N540&gt;=Assumptions!$B$23,AB540&gt;=Assumptions!$B$25),"Possession / Build-from-the-Back",IF(N540&gt;=Assumptions!$B$23,"Counter-Attack / Transition",IF(AND(O540&gt;=Assumptions!$B$23,N540&lt;Assumptions!$B$26),"Low Block / Park the Bus",IF(AND(B540="FW",M540&gt;=Assumptions!$B$23,N540&lt;Assumptions!$B$26),"Direct / Target Approach","Flexible / Multi-System"))))))</f>
        <v>Flexible / Multi-System</v>
      </c>
      <c r="AD540" s="21" t="str">
        <f aca="false">'Player Data'!Y540</f>
        <v>2026-07-17</v>
      </c>
      <c r="AE540" s="21" t="str">
        <f aca="false">'Player Data'!Z540</f>
        <v>2026-07-17</v>
      </c>
      <c r="AF540" s="28" t="str">
        <f aca="false">IFERROR(INDEX(Assumptions!$B$30:$B$61,MATCH(C540,Assumptions!$A$30:$A$61,0)),"--")</f>
        <v>Turkey, Poland</v>
      </c>
      <c r="AG540" s="30" t="str">
        <f aca="false">IF(R540&gt;=0.7,"Step-Up Candidate",IF(R540&gt;=0.4,"Lateral Move","Stay &amp; Develop"))</f>
        <v>Stay &amp; Develop</v>
      </c>
    </row>
    <row r="541" customFormat="false" ht="23.85" hidden="false" customHeight="false" outlineLevel="0" collapsed="false">
      <c r="A541" s="21" t="str">
        <f aca="false">'Player Data'!A541</f>
        <v>Rasmus Tamm</v>
      </c>
      <c r="B541" s="21" t="str">
        <f aca="false">'Player Data'!F541</f>
        <v>MF</v>
      </c>
      <c r="C541" s="21" t="str">
        <f aca="false">'Player Data'!B541</f>
        <v>Estonia</v>
      </c>
      <c r="D541" s="21" t="str">
        <f aca="false">'Player Data'!C541</f>
        <v>Estonia Second Division - West</v>
      </c>
      <c r="E541" s="21" t="n">
        <f aca="false">'Player Data'!D541</f>
        <v>2</v>
      </c>
      <c r="F541" s="21" t="n">
        <f aca="false">'Player Data'!G541</f>
        <v>25</v>
      </c>
      <c r="G541" s="21" t="n">
        <f aca="false">'Player Data'!H541</f>
        <v>1724</v>
      </c>
      <c r="H541" s="22" t="n">
        <f aca="false">IF(B541="GK",IFERROR(('Player Data'!N541-1.5*'Player Data'!O541)/'Player Data'!H541*90,0),IFERROR(('Player Data'!I541+'Player Data'!J541)/'Player Data'!H541*90,0))</f>
        <v>0.626450116009281</v>
      </c>
      <c r="I541" s="22" t="n">
        <f aca="false">IF(B541="GK",'Player Data'!P541,IFERROR(('Player Data'!K541+'Player Data'!L541)/'Player Data'!H541*90,0))</f>
        <v>10.9106728538283</v>
      </c>
      <c r="J541" s="22" t="n">
        <f aca="false">IF(B541="GK",IFERROR('Player Data'!Q541/'Player Data'!H541*90,0),IFERROR('Player Data'!M541/'Player Data'!H541*90,0))</f>
        <v>1.87935034802784</v>
      </c>
      <c r="K541" s="23" t="n">
        <f aca="false">'Player Data'!S541</f>
        <v>91036</v>
      </c>
      <c r="L541" s="22" t="n">
        <f aca="false">INDEX(Assumptions!$B$13:$B$15,MATCH(E541,Assumptions!$A$13:$A$15,0))</f>
        <v>1</v>
      </c>
      <c r="M541" s="24" t="n">
        <f aca="false">IFERROR(SUMPRODUCT(($B$2:$B$1001=B541)*($H$2:$H$1001&lt;=H541))/SUMPRODUCT(($B$2:$B$1001=B541)*1),0)</f>
        <v>0.353535353535354</v>
      </c>
      <c r="N541" s="24" t="n">
        <f aca="false">IFERROR(SUMPRODUCT(($B$2:$B$1001=B541)*($I$2:$I$1001&lt;=I541))/SUMPRODUCT(($B$2:$B$1001=B541)*1),0)</f>
        <v>0.501683501683502</v>
      </c>
      <c r="O541" s="24" t="n">
        <f aca="false">IFERROR(SUMPRODUCT(($B$2:$B$1001=B541)*($J$2:$J$1001&lt;=J541))/SUMPRODUCT(($B$2:$B$1001=B541)*1),0)</f>
        <v>0.363636363636364</v>
      </c>
      <c r="P541" s="24" t="n">
        <f aca="false">IFERROR(SUMPRODUCT(($B$2:$B$1001=B541)*((0-$F$2:$F$1001)&lt;=(0-F541)))/SUMPRODUCT(($B$2:$B$1001=B541)*1),0)</f>
        <v>0.202020202020202</v>
      </c>
      <c r="Q541" s="25" t="n">
        <f aca="false">(M541*Assumptions!$B$5+N541*Assumptions!$B$6+O541*Assumptions!$B$7+P541*Assumptions!$B$8)*L541</f>
        <v>0.377104377104377</v>
      </c>
      <c r="R541" s="24" t="n">
        <f aca="false">IFERROR(SUMPRODUCT(($B$2:$B$1001=B541)*($Q$2:$Q$1001&lt;=Q541))/SUMPRODUCT(($B$2:$B$1001=B541)*1),0)</f>
        <v>0.383838383838384</v>
      </c>
      <c r="S541" s="24" t="n">
        <f aca="false">IFERROR(SUMPRODUCT(($B$2:$B$1001=B541)*($K$2:$K$1001&lt;=K541))/SUMPRODUCT(($B$2:$B$1001=B541)*1),0)</f>
        <v>0.693602693602694</v>
      </c>
      <c r="T541" s="26" t="n">
        <f aca="false">(R541-S541)*100</f>
        <v>-30.976430976431</v>
      </c>
      <c r="U541" s="21" t="str">
        <f aca="false">'Player Data'!T541</f>
        <v>No</v>
      </c>
      <c r="V541" s="27" t="n">
        <f aca="false">'Player Data'!U541</f>
        <v>2028</v>
      </c>
      <c r="W541" s="21" t="str">
        <f aca="false">IF(AND(T541&gt;=Assumptions!$B$19,U541="No"),"High Priority - Unrepresented",IF(T541&gt;=Assumptions!$B$19,"High Priority",IF(AND(T541&gt;=Assumptions!$B$20,U541="No"),"Watchlist - Unrepresented",IF(T541&gt;=Assumptions!$B$20,"Watchlist",""))))</f>
        <v/>
      </c>
      <c r="X541" s="21" t="str">
        <f aca="false">'Player Data'!V541</f>
        <v>info@parnucity.ee</v>
      </c>
      <c r="Y541" s="28" t="str">
        <f aca="false">'Player Data'!W541</f>
        <v>Club sporting director / first-team office</v>
      </c>
      <c r="Z541" s="28" t="str">
        <f aca="false">'Player Data'!X541</f>
        <v>EJL (Estonian Football Association) player registry</v>
      </c>
      <c r="AA541" s="19" t="str">
        <f aca="false">HYPERLINK("https://www.transfermarkt.com/schnellsuche/ergebnis/schnellsuche?query="&amp;SUBSTITUTE(A541," ","+"),"Search Transfermarkt")</f>
        <v>Search Transfermarkt</v>
      </c>
      <c r="AB541" s="29" t="n">
        <f aca="false">IFERROR('Player Data'!K541/('Player Data'!K541+'Player Data'!L541),0)</f>
        <v>0.660287081339713</v>
      </c>
      <c r="AC541" s="21" t="str">
        <f aca="false">IF(B541="GK",IF(AND(O541&gt;=Assumptions!$B$23,N541&gt;=Assumptions!$B$23),"Sweeper-Keeper / Build-from-the-Back",IF(O541&gt;=Assumptions!$B$23,"Sweeper-Keeper / High Line",IF(M541&gt;=Assumptions!$B$23,"Shot-Stopper / Traditional","Flexible / Multi-System"))),IF(AND(O541&gt;=Assumptions!$B$23,P541&gt;=Assumptions!$B$24),"High Press / Gegenpressing",IF(AND(N541&gt;=Assumptions!$B$23,AB541&gt;=Assumptions!$B$25),"Possession / Build-from-the-Back",IF(N541&gt;=Assumptions!$B$23,"Counter-Attack / Transition",IF(AND(O541&gt;=Assumptions!$B$23,N541&lt;Assumptions!$B$26),"Low Block / Park the Bus",IF(AND(B541="FW",M541&gt;=Assumptions!$B$23,N541&lt;Assumptions!$B$26),"Direct / Target Approach","Flexible / Multi-System"))))))</f>
        <v>Flexible / Multi-System</v>
      </c>
      <c r="AD541" s="21" t="str">
        <f aca="false">'Player Data'!Y541</f>
        <v>2026-07-17</v>
      </c>
      <c r="AE541" s="21" t="str">
        <f aca="false">'Player Data'!Z541</f>
        <v>2026-07-17</v>
      </c>
      <c r="AF541" s="28" t="str">
        <f aca="false">IFERROR(INDEX(Assumptions!$B$30:$B$61,MATCH(C541,Assumptions!$A$30:$A$61,0)),"--")</f>
        <v>Poland, Norway</v>
      </c>
      <c r="AG541" s="30" t="str">
        <f aca="false">IF(R541&gt;=0.7,"Step-Up Candidate",IF(R541&gt;=0.4,"Lateral Move","Stay &amp; Develop"))</f>
        <v>Stay &amp; Develop</v>
      </c>
    </row>
    <row r="542" customFormat="false" ht="23.85" hidden="false" customHeight="false" outlineLevel="0" collapsed="false">
      <c r="A542" s="21" t="str">
        <f aca="false">'Player Data'!A542</f>
        <v>Kevin Mets</v>
      </c>
      <c r="B542" s="21" t="str">
        <f aca="false">'Player Data'!F542</f>
        <v>MF</v>
      </c>
      <c r="C542" s="21" t="str">
        <f aca="false">'Player Data'!B542</f>
        <v>Estonia</v>
      </c>
      <c r="D542" s="21" t="str">
        <f aca="false">'Player Data'!C542</f>
        <v>Estonia Second Division - West</v>
      </c>
      <c r="E542" s="21" t="n">
        <f aca="false">'Player Data'!D542</f>
        <v>2</v>
      </c>
      <c r="F542" s="21" t="n">
        <f aca="false">'Player Data'!G542</f>
        <v>25</v>
      </c>
      <c r="G542" s="21" t="n">
        <f aca="false">'Player Data'!H542</f>
        <v>1266</v>
      </c>
      <c r="H542" s="22" t="n">
        <f aca="false">IF(B542="GK",IFERROR(('Player Data'!N542-1.5*'Player Data'!O542)/'Player Data'!H542*90,0),IFERROR(('Player Data'!I542+'Player Data'!J542)/'Player Data'!H542*90,0))</f>
        <v>1.27962085308057</v>
      </c>
      <c r="I542" s="22" t="n">
        <f aca="false">IF(B542="GK",'Player Data'!P542,IFERROR(('Player Data'!K542+'Player Data'!L542)/'Player Data'!H542*90,0))</f>
        <v>12.8672985781991</v>
      </c>
      <c r="J542" s="22" t="n">
        <f aca="false">IF(B542="GK",IFERROR('Player Data'!Q542/'Player Data'!H542*90,0),IFERROR('Player Data'!M542/'Player Data'!H542*90,0))</f>
        <v>2.41706161137441</v>
      </c>
      <c r="K542" s="23" t="n">
        <f aca="false">'Player Data'!S542</f>
        <v>0</v>
      </c>
      <c r="L542" s="22" t="n">
        <f aca="false">INDEX(Assumptions!$B$13:$B$15,MATCH(E542,Assumptions!$A$13:$A$15,0))</f>
        <v>1</v>
      </c>
      <c r="M542" s="24" t="n">
        <f aca="false">IFERROR(SUMPRODUCT(($B$2:$B$1001=B542)*($H$2:$H$1001&lt;=H542))/SUMPRODUCT(($B$2:$B$1001=B542)*1),0)</f>
        <v>0.865319865319865</v>
      </c>
      <c r="N542" s="24" t="n">
        <f aca="false">IFERROR(SUMPRODUCT(($B$2:$B$1001=B542)*($I$2:$I$1001&lt;=I542))/SUMPRODUCT(($B$2:$B$1001=B542)*1),0)</f>
        <v>0.653198653198653</v>
      </c>
      <c r="O542" s="24" t="n">
        <f aca="false">IFERROR(SUMPRODUCT(($B$2:$B$1001=B542)*($J$2:$J$1001&lt;=J542))/SUMPRODUCT(($B$2:$B$1001=B542)*1),0)</f>
        <v>0.612794612794613</v>
      </c>
      <c r="P542" s="24" t="n">
        <f aca="false">IFERROR(SUMPRODUCT(($B$2:$B$1001=B542)*((0-$F$2:$F$1001)&lt;=(0-F542)))/SUMPRODUCT(($B$2:$B$1001=B542)*1),0)</f>
        <v>0.202020202020202</v>
      </c>
      <c r="Q542" s="25" t="n">
        <f aca="false">(M542*Assumptions!$B$5+N542*Assumptions!$B$6+O542*Assumptions!$B$7+P542*Assumptions!$B$8)*L542</f>
        <v>0.607912457912458</v>
      </c>
      <c r="R542" s="24" t="n">
        <f aca="false">IFERROR(SUMPRODUCT(($B$2:$B$1001=B542)*($Q$2:$Q$1001&lt;=Q542))/SUMPRODUCT(($B$2:$B$1001=B542)*1),0)</f>
        <v>0.757575757575758</v>
      </c>
      <c r="S542" s="24" t="n">
        <f aca="false">IFERROR(SUMPRODUCT(($B$2:$B$1001=B542)*($K$2:$K$1001&lt;=K542))/SUMPRODUCT(($B$2:$B$1001=B542)*1),0)</f>
        <v>0.228956228956229</v>
      </c>
      <c r="T542" s="26" t="n">
        <f aca="false">(R542-S542)*100</f>
        <v>52.8619528619529</v>
      </c>
      <c r="U542" s="21" t="str">
        <f aca="false">'Player Data'!T542</f>
        <v>No</v>
      </c>
      <c r="V542" s="27" t="n">
        <f aca="false">'Player Data'!U542</f>
        <v>2026</v>
      </c>
      <c r="W542" s="21" t="str">
        <f aca="false">IF(AND(T542&gt;=Assumptions!$B$19,U542="No"),"High Priority - Unrepresented",IF(T542&gt;=Assumptions!$B$19,"High Priority",IF(AND(T542&gt;=Assumptions!$B$20,U542="No"),"Watchlist - Unrepresented",IF(T542&gt;=Assumptions!$B$20,"Watchlist",""))))</f>
        <v>High Priority - Unrepresented</v>
      </c>
      <c r="X542" s="21" t="str">
        <f aca="false">'Player Data'!V542</f>
        <v>info@tallinncity.ee</v>
      </c>
      <c r="Y542" s="28" t="str">
        <f aca="false">'Player Data'!W542</f>
        <v>Club sporting director / first-team office</v>
      </c>
      <c r="Z542" s="28" t="str">
        <f aca="false">'Player Data'!X542</f>
        <v>EJL (Estonian Football Association) player registry</v>
      </c>
      <c r="AA542" s="19" t="str">
        <f aca="false">HYPERLINK("https://www.transfermarkt.com/schnellsuche/ergebnis/schnellsuche?query="&amp;SUBSTITUTE(A542," ","+"),"Search Transfermarkt")</f>
        <v>Search Transfermarkt</v>
      </c>
      <c r="AB542" s="29" t="n">
        <f aca="false">IFERROR('Player Data'!K542/('Player Data'!K542+'Player Data'!L542),0)</f>
        <v>0.596685082872928</v>
      </c>
      <c r="AC542" s="21" t="str">
        <f aca="false">IF(B542="GK",IF(AND(O542&gt;=Assumptions!$B$23,N542&gt;=Assumptions!$B$23),"Sweeper-Keeper / Build-from-the-Back",IF(O542&gt;=Assumptions!$B$23,"Sweeper-Keeper / High Line",IF(M542&gt;=Assumptions!$B$23,"Shot-Stopper / Traditional","Flexible / Multi-System"))),IF(AND(O542&gt;=Assumptions!$B$23,P542&gt;=Assumptions!$B$24),"High Press / Gegenpressing",IF(AND(N542&gt;=Assumptions!$B$23,AB542&gt;=Assumptions!$B$25),"Possession / Build-from-the-Back",IF(N542&gt;=Assumptions!$B$23,"Counter-Attack / Transition",IF(AND(O542&gt;=Assumptions!$B$23,N542&lt;Assumptions!$B$26),"Low Block / Park the Bus",IF(AND(B542="FW",M542&gt;=Assumptions!$B$23,N542&lt;Assumptions!$B$26),"Direct / Target Approach","Flexible / Multi-System"))))))</f>
        <v>Counter-Attack / Transition</v>
      </c>
      <c r="AD542" s="21" t="str">
        <f aca="false">'Player Data'!Y542</f>
        <v>2026-07-17</v>
      </c>
      <c r="AE542" s="21" t="str">
        <f aca="false">'Player Data'!Z542</f>
        <v>2026-07-17</v>
      </c>
      <c r="AF542" s="28" t="str">
        <f aca="false">IFERROR(INDEX(Assumptions!$B$30:$B$61,MATCH(C542,Assumptions!$A$30:$A$61,0)),"--")</f>
        <v>Poland, Norway</v>
      </c>
      <c r="AG542" s="30" t="str">
        <f aca="false">IF(R542&gt;=0.7,"Step-Up Candidate",IF(R542&gt;=0.4,"Lateral Move","Stay &amp; Develop"))</f>
        <v>Step-Up Candidate</v>
      </c>
    </row>
    <row r="543" customFormat="false" ht="23.85" hidden="false" customHeight="false" outlineLevel="0" collapsed="false">
      <c r="A543" s="21" t="str">
        <f aca="false">'Player Data'!A543</f>
        <v>Franck Kouassi</v>
      </c>
      <c r="B543" s="21" t="str">
        <f aca="false">'Player Data'!F543</f>
        <v>FW</v>
      </c>
      <c r="C543" s="21" t="str">
        <f aca="false">'Player Data'!B543</f>
        <v>Ivory Coast</v>
      </c>
      <c r="D543" s="21" t="str">
        <f aca="false">'Player Data'!C543</f>
        <v>Ivory Coast Amateur League</v>
      </c>
      <c r="E543" s="21" t="n">
        <f aca="false">'Player Data'!D543</f>
        <v>2</v>
      </c>
      <c r="F543" s="21" t="n">
        <f aca="false">'Player Data'!G543</f>
        <v>20</v>
      </c>
      <c r="G543" s="21" t="n">
        <f aca="false">'Player Data'!H543</f>
        <v>992</v>
      </c>
      <c r="H543" s="22" t="n">
        <f aca="false">IF(B543="GK",IFERROR(('Player Data'!N543-1.5*'Player Data'!O543)/'Player Data'!H543*90,0),IFERROR(('Player Data'!I543+'Player Data'!J543)/'Player Data'!H543*90,0))</f>
        <v>2.0866935483871</v>
      </c>
      <c r="I543" s="22" t="n">
        <f aca="false">IF(B543="GK",'Player Data'!P543,IFERROR(('Player Data'!K543+'Player Data'!L543)/'Player Data'!H543*90,0))</f>
        <v>12.7016129032258</v>
      </c>
      <c r="J543" s="22" t="n">
        <f aca="false">IF(B543="GK",IFERROR('Player Data'!Q543/'Player Data'!H543*90,0),IFERROR('Player Data'!M543/'Player Data'!H543*90,0))</f>
        <v>1.36088709677419</v>
      </c>
      <c r="K543" s="23" t="n">
        <f aca="false">'Player Data'!S543</f>
        <v>26727</v>
      </c>
      <c r="L543" s="22" t="n">
        <f aca="false">INDEX(Assumptions!$B$13:$B$15,MATCH(E543,Assumptions!$A$13:$A$15,0))</f>
        <v>1</v>
      </c>
      <c r="M543" s="24" t="n">
        <f aca="false">IFERROR(SUMPRODUCT(($B$2:$B$1001=B543)*($H$2:$H$1001&lt;=H543))/SUMPRODUCT(($B$2:$B$1001=B543)*1),0)</f>
        <v>0.955752212389381</v>
      </c>
      <c r="N543" s="24" t="n">
        <f aca="false">IFERROR(SUMPRODUCT(($B$2:$B$1001=B543)*($I$2:$I$1001&lt;=I543))/SUMPRODUCT(($B$2:$B$1001=B543)*1),0)</f>
        <v>0.929203539823009</v>
      </c>
      <c r="O543" s="24" t="n">
        <f aca="false">IFERROR(SUMPRODUCT(($B$2:$B$1001=B543)*($J$2:$J$1001&lt;=J543))/SUMPRODUCT(($B$2:$B$1001=B543)*1),0)</f>
        <v>0.960176991150443</v>
      </c>
      <c r="P543" s="24" t="n">
        <f aca="false">IFERROR(SUMPRODUCT(($B$2:$B$1001=B543)*((0-$F$2:$F$1001)&lt;=(0-F543)))/SUMPRODUCT(($B$2:$B$1001=B543)*1),0)</f>
        <v>0.712389380530973</v>
      </c>
      <c r="Q543" s="25" t="n">
        <f aca="false">(M543*Assumptions!$B$5+N543*Assumptions!$B$6+O543*Assumptions!$B$7+P543*Assumptions!$B$8)*L543</f>
        <v>0.898672566371682</v>
      </c>
      <c r="R543" s="24" t="n">
        <f aca="false">IFERROR(SUMPRODUCT(($B$2:$B$1001=B543)*($Q$2:$Q$1001&lt;=Q543))/SUMPRODUCT(($B$2:$B$1001=B543)*1),0)</f>
        <v>0.982300884955752</v>
      </c>
      <c r="S543" s="24" t="n">
        <f aca="false">IFERROR(SUMPRODUCT(($B$2:$B$1001=B543)*($K$2:$K$1001&lt;=K543))/SUMPRODUCT(($B$2:$B$1001=B543)*1),0)</f>
        <v>0.358407079646018</v>
      </c>
      <c r="T543" s="26" t="n">
        <f aca="false">(R543-S543)*100</f>
        <v>62.3893805309735</v>
      </c>
      <c r="U543" s="21" t="str">
        <f aca="false">'Player Data'!T543</f>
        <v>Yes</v>
      </c>
      <c r="V543" s="27" t="n">
        <f aca="false">'Player Data'!U543</f>
        <v>2026</v>
      </c>
      <c r="W543" s="21" t="str">
        <f aca="false">IF(AND(T543&gt;=Assumptions!$B$19,U543="No"),"High Priority - Unrepresented",IF(T543&gt;=Assumptions!$B$19,"High Priority",IF(AND(T543&gt;=Assumptions!$B$20,U543="No"),"Watchlist - Unrepresented",IF(T543&gt;=Assumptions!$B$20,"Watchlist",""))))</f>
        <v>High Priority</v>
      </c>
      <c r="X543" s="21" t="str">
        <f aca="false">'Player Data'!V543</f>
        <v>info@yamoussoukrorangers.ci</v>
      </c>
      <c r="Y543" s="28" t="str">
        <f aca="false">'Player Data'!W543</f>
        <v>Go through the player's agent - ask the club to confirm representation first</v>
      </c>
      <c r="Z543" s="28" t="str">
        <f aca="false">'Player Data'!X543</f>
        <v>FIF (Ivorian Football Federation) player registry</v>
      </c>
      <c r="AA543" s="19" t="str">
        <f aca="false">HYPERLINK("https://www.transfermarkt.com/schnellsuche/ergebnis/schnellsuche?query="&amp;SUBSTITUTE(A543," ","+"),"Search Transfermarkt")</f>
        <v>Search Transfermarkt</v>
      </c>
      <c r="AB543" s="29" t="n">
        <f aca="false">IFERROR('Player Data'!K543/('Player Data'!K543+'Player Data'!L543),0)</f>
        <v>0.421428571428571</v>
      </c>
      <c r="AC543" s="21" t="str">
        <f aca="false">IF(B543="GK",IF(AND(O543&gt;=Assumptions!$B$23,N543&gt;=Assumptions!$B$23),"Sweeper-Keeper / Build-from-the-Back",IF(O543&gt;=Assumptions!$B$23,"Sweeper-Keeper / High Line",IF(M543&gt;=Assumptions!$B$23,"Shot-Stopper / Traditional","Flexible / Multi-System"))),IF(AND(O543&gt;=Assumptions!$B$23,P543&gt;=Assumptions!$B$24),"High Press / Gegenpressing",IF(AND(N543&gt;=Assumptions!$B$23,AB543&gt;=Assumptions!$B$25),"Possession / Build-from-the-Back",IF(N543&gt;=Assumptions!$B$23,"Counter-Attack / Transition",IF(AND(O543&gt;=Assumptions!$B$23,N543&lt;Assumptions!$B$26),"Low Block / Park the Bus",IF(AND(B543="FW",M543&gt;=Assumptions!$B$23,N543&lt;Assumptions!$B$26),"Direct / Target Approach","Flexible / Multi-System"))))))</f>
        <v>High Press / Gegenpressing</v>
      </c>
      <c r="AD543" s="21" t="str">
        <f aca="false">'Player Data'!Y543</f>
        <v>2026-07-17</v>
      </c>
      <c r="AE543" s="21" t="str">
        <f aca="false">'Player Data'!Z543</f>
        <v>2026-07-17</v>
      </c>
      <c r="AF543" s="28" t="str">
        <f aca="false">IFERROR(INDEX(Assumptions!$B$30:$B$61,MATCH(C543,Assumptions!$A$30:$A$61,0)),"--")</f>
        <v>Belgium, Portugal</v>
      </c>
      <c r="AG543" s="30" t="str">
        <f aca="false">IF(R543&gt;=0.7,"Step-Up Candidate",IF(R543&gt;=0.4,"Lateral Move","Stay &amp; Develop"))</f>
        <v>Step-Up Candidate</v>
      </c>
    </row>
    <row r="544" customFormat="false" ht="23.85" hidden="false" customHeight="false" outlineLevel="0" collapsed="false">
      <c r="A544" s="21" t="str">
        <f aca="false">'Player Data'!A544</f>
        <v>Diego Rodriguez</v>
      </c>
      <c r="B544" s="21" t="str">
        <f aca="false">'Player Data'!F544</f>
        <v>MF</v>
      </c>
      <c r="C544" s="21" t="str">
        <f aca="false">'Player Data'!B544</f>
        <v>Bolivia</v>
      </c>
      <c r="D544" s="21" t="str">
        <f aca="false">'Player Data'!C544</f>
        <v>Bolivia Second Division</v>
      </c>
      <c r="E544" s="21" t="n">
        <f aca="false">'Player Data'!D544</f>
        <v>2</v>
      </c>
      <c r="F544" s="21" t="n">
        <f aca="false">'Player Data'!G544</f>
        <v>22</v>
      </c>
      <c r="G544" s="21" t="n">
        <f aca="false">'Player Data'!H544</f>
        <v>1810</v>
      </c>
      <c r="H544" s="22" t="n">
        <f aca="false">IF(B544="GK",IFERROR(('Player Data'!N544-1.5*'Player Data'!O544)/'Player Data'!H544*90,0),IFERROR(('Player Data'!I544+'Player Data'!J544)/'Player Data'!H544*90,0))</f>
        <v>0.74585635359116</v>
      </c>
      <c r="I544" s="22" t="n">
        <f aca="false">IF(B544="GK",'Player Data'!P544,IFERROR(('Player Data'!K544+'Player Data'!L544)/'Player Data'!H544*90,0))</f>
        <v>12.4309392265193</v>
      </c>
      <c r="J544" s="22" t="n">
        <f aca="false">IF(B544="GK",IFERROR('Player Data'!Q544/'Player Data'!H544*90,0),IFERROR('Player Data'!M544/'Player Data'!H544*90,0))</f>
        <v>1.98895027624309</v>
      </c>
      <c r="K544" s="23" t="n">
        <f aca="false">'Player Data'!S544</f>
        <v>94016</v>
      </c>
      <c r="L544" s="22" t="n">
        <f aca="false">INDEX(Assumptions!$B$13:$B$15,MATCH(E544,Assumptions!$A$13:$A$15,0))</f>
        <v>1</v>
      </c>
      <c r="M544" s="24" t="n">
        <f aca="false">IFERROR(SUMPRODUCT(($B$2:$B$1001=B544)*($H$2:$H$1001&lt;=H544))/SUMPRODUCT(($B$2:$B$1001=B544)*1),0)</f>
        <v>0.501683501683502</v>
      </c>
      <c r="N544" s="24" t="n">
        <f aca="false">IFERROR(SUMPRODUCT(($B$2:$B$1001=B544)*($I$2:$I$1001&lt;=I544))/SUMPRODUCT(($B$2:$B$1001=B544)*1),0)</f>
        <v>0.616161616161616</v>
      </c>
      <c r="O544" s="24" t="n">
        <f aca="false">IFERROR(SUMPRODUCT(($B$2:$B$1001=B544)*($J$2:$J$1001&lt;=J544))/SUMPRODUCT(($B$2:$B$1001=B544)*1),0)</f>
        <v>0.410774410774411</v>
      </c>
      <c r="P544" s="24" t="n">
        <f aca="false">IFERROR(SUMPRODUCT(($B$2:$B$1001=B544)*((0-$F$2:$F$1001)&lt;=(0-F544)))/SUMPRODUCT(($B$2:$B$1001=B544)*1),0)</f>
        <v>0.515151515151515</v>
      </c>
      <c r="Q544" s="25" t="n">
        <f aca="false">(M544*Assumptions!$B$5+N544*Assumptions!$B$6+O544*Assumptions!$B$7+P544*Assumptions!$B$8)*L544</f>
        <v>0.526262626262626</v>
      </c>
      <c r="R544" s="24" t="n">
        <f aca="false">IFERROR(SUMPRODUCT(($B$2:$B$1001=B544)*($Q$2:$Q$1001&lt;=Q544))/SUMPRODUCT(($B$2:$B$1001=B544)*1),0)</f>
        <v>0.673400673400673</v>
      </c>
      <c r="S544" s="24" t="n">
        <f aca="false">IFERROR(SUMPRODUCT(($B$2:$B$1001=B544)*($K$2:$K$1001&lt;=K544))/SUMPRODUCT(($B$2:$B$1001=B544)*1),0)</f>
        <v>0.713804713804714</v>
      </c>
      <c r="T544" s="26" t="n">
        <f aca="false">(R544-S544)*100</f>
        <v>-4.04040404040403</v>
      </c>
      <c r="U544" s="21" t="str">
        <f aca="false">'Player Data'!T544</f>
        <v>Yes</v>
      </c>
      <c r="V544" s="27" t="n">
        <f aca="false">'Player Data'!U544</f>
        <v>2026</v>
      </c>
      <c r="W544" s="21" t="str">
        <f aca="false">IF(AND(T544&gt;=Assumptions!$B$19,U544="No"),"High Priority - Unrepresented",IF(T544&gt;=Assumptions!$B$19,"High Priority",IF(AND(T544&gt;=Assumptions!$B$20,U544="No"),"Watchlist - Unrepresented",IF(T544&gt;=Assumptions!$B$20,"Watchlist",""))))</f>
        <v/>
      </c>
      <c r="X544" s="21" t="str">
        <f aca="false">'Player Data'!V544</f>
        <v>info@lapazfc.bo</v>
      </c>
      <c r="Y544" s="28" t="str">
        <f aca="false">'Player Data'!W544</f>
        <v>Go through the player's agent - ask the club to confirm representation first</v>
      </c>
      <c r="Z544" s="28" t="str">
        <f aca="false">'Player Data'!X544</f>
        <v>FBF (Bolivian Football Federation) player registry</v>
      </c>
      <c r="AA544" s="19" t="str">
        <f aca="false">HYPERLINK("https://www.transfermarkt.com/schnellsuche/ergebnis/schnellsuche?query="&amp;SUBSTITUTE(A544," ","+"),"Search Transfermarkt")</f>
        <v>Search Transfermarkt</v>
      </c>
      <c r="AB544" s="29" t="n">
        <f aca="false">IFERROR('Player Data'!K544/('Player Data'!K544+'Player Data'!L544),0)</f>
        <v>0.656</v>
      </c>
      <c r="AC544" s="21" t="str">
        <f aca="false">IF(B544="GK",IF(AND(O544&gt;=Assumptions!$B$23,N544&gt;=Assumptions!$B$23),"Sweeper-Keeper / Build-from-the-Back",IF(O544&gt;=Assumptions!$B$23,"Sweeper-Keeper / High Line",IF(M544&gt;=Assumptions!$B$23,"Shot-Stopper / Traditional","Flexible / Multi-System"))),IF(AND(O544&gt;=Assumptions!$B$23,P544&gt;=Assumptions!$B$24),"High Press / Gegenpressing",IF(AND(N544&gt;=Assumptions!$B$23,AB544&gt;=Assumptions!$B$25),"Possession / Build-from-the-Back",IF(N544&gt;=Assumptions!$B$23,"Counter-Attack / Transition",IF(AND(O544&gt;=Assumptions!$B$23,N544&lt;Assumptions!$B$26),"Low Block / Park the Bus",IF(AND(B544="FW",M544&gt;=Assumptions!$B$23,N544&lt;Assumptions!$B$26),"Direct / Target Approach","Flexible / Multi-System"))))))</f>
        <v>Flexible / Multi-System</v>
      </c>
      <c r="AD544" s="21" t="str">
        <f aca="false">'Player Data'!Y544</f>
        <v>2026-07-17</v>
      </c>
      <c r="AE544" s="21" t="str">
        <f aca="false">'Player Data'!Z544</f>
        <v>2026-07-17</v>
      </c>
      <c r="AF544" s="28" t="str">
        <f aca="false">IFERROR(INDEX(Assumptions!$B$30:$B$61,MATCH(C544,Assumptions!$A$30:$A$61,0)),"--")</f>
        <v>Argentina, Portugal</v>
      </c>
      <c r="AG544" s="30" t="str">
        <f aca="false">IF(R544&gt;=0.7,"Step-Up Candidate",IF(R544&gt;=0.4,"Lateral Move","Stay &amp; Develop"))</f>
        <v>Lateral Move</v>
      </c>
    </row>
    <row r="545" customFormat="false" ht="23.85" hidden="false" customHeight="false" outlineLevel="0" collapsed="false">
      <c r="A545" s="21" t="str">
        <f aca="false">'Player Data'!A545</f>
        <v>Kwame Owusu</v>
      </c>
      <c r="B545" s="21" t="str">
        <f aca="false">'Player Data'!F545</f>
        <v>MF</v>
      </c>
      <c r="C545" s="21" t="str">
        <f aca="false">'Player Data'!B545</f>
        <v>Ghana</v>
      </c>
      <c r="D545" s="21" t="str">
        <f aca="false">'Player Data'!C545</f>
        <v>Ghana Third Tier - North</v>
      </c>
      <c r="E545" s="21" t="n">
        <f aca="false">'Player Data'!D545</f>
        <v>2</v>
      </c>
      <c r="F545" s="21" t="n">
        <f aca="false">'Player Data'!G545</f>
        <v>22</v>
      </c>
      <c r="G545" s="21" t="n">
        <f aca="false">'Player Data'!H545</f>
        <v>1521</v>
      </c>
      <c r="H545" s="22" t="n">
        <f aca="false">IF(B545="GK",IFERROR(('Player Data'!N545-1.5*'Player Data'!O545)/'Player Data'!H545*90,0),IFERROR(('Player Data'!I545+'Player Data'!J545)/'Player Data'!H545*90,0))</f>
        <v>1.00591715976331</v>
      </c>
      <c r="I545" s="22" t="n">
        <f aca="false">IF(B545="GK",'Player Data'!P545,IFERROR(('Player Data'!K545+'Player Data'!L545)/'Player Data'!H545*90,0))</f>
        <v>13.3136094674556</v>
      </c>
      <c r="J545" s="22" t="n">
        <f aca="false">IF(B545="GK",IFERROR('Player Data'!Q545/'Player Data'!H545*90,0),IFERROR('Player Data'!M545/'Player Data'!H545*90,0))</f>
        <v>2.72189349112426</v>
      </c>
      <c r="K545" s="23" t="n">
        <f aca="false">'Player Data'!S545</f>
        <v>114443</v>
      </c>
      <c r="L545" s="22" t="n">
        <f aca="false">INDEX(Assumptions!$B$13:$B$15,MATCH(E545,Assumptions!$A$13:$A$15,0))</f>
        <v>1</v>
      </c>
      <c r="M545" s="24" t="n">
        <f aca="false">IFERROR(SUMPRODUCT(($B$2:$B$1001=B545)*($H$2:$H$1001&lt;=H545))/SUMPRODUCT(($B$2:$B$1001=B545)*1),0)</f>
        <v>0.781144781144781</v>
      </c>
      <c r="N545" s="24" t="n">
        <f aca="false">IFERROR(SUMPRODUCT(($B$2:$B$1001=B545)*($I$2:$I$1001&lt;=I545))/SUMPRODUCT(($B$2:$B$1001=B545)*1),0)</f>
        <v>0.676767676767677</v>
      </c>
      <c r="O545" s="24" t="n">
        <f aca="false">IFERROR(SUMPRODUCT(($B$2:$B$1001=B545)*($J$2:$J$1001&lt;=J545))/SUMPRODUCT(($B$2:$B$1001=B545)*1),0)</f>
        <v>0.713804713804714</v>
      </c>
      <c r="P545" s="24" t="n">
        <f aca="false">IFERROR(SUMPRODUCT(($B$2:$B$1001=B545)*((0-$F$2:$F$1001)&lt;=(0-F545)))/SUMPRODUCT(($B$2:$B$1001=B545)*1),0)</f>
        <v>0.515151515151515</v>
      </c>
      <c r="Q545" s="25" t="n">
        <f aca="false">(M545*Assumptions!$B$5+N545*Assumptions!$B$6+O545*Assumptions!$B$7+P545*Assumptions!$B$8)*L545</f>
        <v>0.677946127946128</v>
      </c>
      <c r="R545" s="24" t="n">
        <f aca="false">IFERROR(SUMPRODUCT(($B$2:$B$1001=B545)*($Q$2:$Q$1001&lt;=Q545))/SUMPRODUCT(($B$2:$B$1001=B545)*1),0)</f>
        <v>0.858585858585859</v>
      </c>
      <c r="S545" s="24" t="n">
        <f aca="false">IFERROR(SUMPRODUCT(($B$2:$B$1001=B545)*($K$2:$K$1001&lt;=K545))/SUMPRODUCT(($B$2:$B$1001=B545)*1),0)</f>
        <v>0.824915824915825</v>
      </c>
      <c r="T545" s="26" t="n">
        <f aca="false">(R545-S545)*100</f>
        <v>3.36700336700336</v>
      </c>
      <c r="U545" s="21" t="str">
        <f aca="false">'Player Data'!T545</f>
        <v>Yes</v>
      </c>
      <c r="V545" s="27" t="n">
        <f aca="false">'Player Data'!U545</f>
        <v>2029</v>
      </c>
      <c r="W545" s="21" t="str">
        <f aca="false">IF(AND(T545&gt;=Assumptions!$B$19,U545="No"),"High Priority - Unrepresented",IF(T545&gt;=Assumptions!$B$19,"High Priority",IF(AND(T545&gt;=Assumptions!$B$20,U545="No"),"Watchlist - Unrepresented",IF(T545&gt;=Assumptions!$B$20,"Watchlist",""))))</f>
        <v/>
      </c>
      <c r="X545" s="21" t="str">
        <f aca="false">'Player Data'!V545</f>
        <v>info@accrarovers.gh</v>
      </c>
      <c r="Y545" s="28" t="str">
        <f aca="false">'Player Data'!W545</f>
        <v>Go through the player's agent - ask the club to confirm representation first</v>
      </c>
      <c r="Z545" s="28" t="str">
        <f aca="false">'Player Data'!X545</f>
        <v>GFA (Ghana Football Association) player registry</v>
      </c>
      <c r="AA545" s="19" t="str">
        <f aca="false">HYPERLINK("https://www.transfermarkt.com/schnellsuche/ergebnis/schnellsuche?query="&amp;SUBSTITUTE(A545," ","+"),"Search Transfermarkt")</f>
        <v>Search Transfermarkt</v>
      </c>
      <c r="AB545" s="29" t="n">
        <f aca="false">IFERROR('Player Data'!K545/('Player Data'!K545+'Player Data'!L545),0)</f>
        <v>0.671111111111111</v>
      </c>
      <c r="AC545" s="21" t="str">
        <f aca="false">IF(B545="GK",IF(AND(O545&gt;=Assumptions!$B$23,N545&gt;=Assumptions!$B$23),"Sweeper-Keeper / Build-from-the-Back",IF(O545&gt;=Assumptions!$B$23,"Sweeper-Keeper / High Line",IF(M545&gt;=Assumptions!$B$23,"Shot-Stopper / Traditional","Flexible / Multi-System"))),IF(AND(O545&gt;=Assumptions!$B$23,P545&gt;=Assumptions!$B$24),"High Press / Gegenpressing",IF(AND(N545&gt;=Assumptions!$B$23,AB545&gt;=Assumptions!$B$25),"Possession / Build-from-the-Back",IF(N545&gt;=Assumptions!$B$23,"Counter-Attack / Transition",IF(AND(O545&gt;=Assumptions!$B$23,N545&lt;Assumptions!$B$26),"Low Block / Park the Bus",IF(AND(B545="FW",M545&gt;=Assumptions!$B$23,N545&lt;Assumptions!$B$26),"Direct / Target Approach","Flexible / Multi-System"))))))</f>
        <v>Possession / Build-from-the-Back</v>
      </c>
      <c r="AD545" s="21" t="str">
        <f aca="false">'Player Data'!Y545</f>
        <v>2026-07-17</v>
      </c>
      <c r="AE545" s="21" t="str">
        <f aca="false">'Player Data'!Z545</f>
        <v>2026-07-17</v>
      </c>
      <c r="AF545" s="28" t="str">
        <f aca="false">IFERROR(INDEX(Assumptions!$B$30:$B$61,MATCH(C545,Assumptions!$A$30:$A$61,0)),"--")</f>
        <v>Belgium, Portugal</v>
      </c>
      <c r="AG545" s="30" t="str">
        <f aca="false">IF(R545&gt;=0.7,"Step-Up Candidate",IF(R545&gt;=0.4,"Lateral Move","Stay &amp; Develop"))</f>
        <v>Step-Up Candidate</v>
      </c>
    </row>
    <row r="546" customFormat="false" ht="23.85" hidden="false" customHeight="false" outlineLevel="0" collapsed="false">
      <c r="A546" s="21" t="str">
        <f aca="false">'Player Data'!A546</f>
        <v>Mateo Torres</v>
      </c>
      <c r="B546" s="21" t="str">
        <f aca="false">'Player Data'!F546</f>
        <v>FW</v>
      </c>
      <c r="C546" s="21" t="str">
        <f aca="false">'Player Data'!B546</f>
        <v>Bolivia</v>
      </c>
      <c r="D546" s="21" t="str">
        <f aca="false">'Player Data'!C546</f>
        <v>Bolivia Provincial League</v>
      </c>
      <c r="E546" s="21" t="n">
        <f aca="false">'Player Data'!D546</f>
        <v>2</v>
      </c>
      <c r="F546" s="21" t="n">
        <f aca="false">'Player Data'!G546</f>
        <v>20</v>
      </c>
      <c r="G546" s="21" t="n">
        <f aca="false">'Player Data'!H546</f>
        <v>1652</v>
      </c>
      <c r="H546" s="22" t="n">
        <f aca="false">IF(B546="GK",IFERROR(('Player Data'!N546-1.5*'Player Data'!O546)/'Player Data'!H546*90,0),IFERROR(('Player Data'!I546+'Player Data'!J546)/'Player Data'!H546*90,0))</f>
        <v>1.36198547215496</v>
      </c>
      <c r="I546" s="22" t="n">
        <f aca="false">IF(B546="GK",'Player Data'!P546,IFERROR(('Player Data'!K546+'Player Data'!L546)/'Player Data'!H546*90,0))</f>
        <v>7.79055690072639</v>
      </c>
      <c r="J546" s="22" t="n">
        <f aca="false">IF(B546="GK",IFERROR('Player Data'!Q546/'Player Data'!H546*90,0),IFERROR('Player Data'!M546/'Player Data'!H546*90,0))</f>
        <v>0.217917675544794</v>
      </c>
      <c r="K546" s="23" t="n">
        <f aca="false">'Player Data'!S546</f>
        <v>0</v>
      </c>
      <c r="L546" s="22" t="n">
        <f aca="false">INDEX(Assumptions!$B$13:$B$15,MATCH(E546,Assumptions!$A$13:$A$15,0))</f>
        <v>1</v>
      </c>
      <c r="M546" s="24" t="n">
        <f aca="false">IFERROR(SUMPRODUCT(($B$2:$B$1001=B546)*($H$2:$H$1001&lt;=H546))/SUMPRODUCT(($B$2:$B$1001=B546)*1),0)</f>
        <v>0.774336283185841</v>
      </c>
      <c r="N546" s="24" t="n">
        <f aca="false">IFERROR(SUMPRODUCT(($B$2:$B$1001=B546)*($I$2:$I$1001&lt;=I546))/SUMPRODUCT(($B$2:$B$1001=B546)*1),0)</f>
        <v>0.650442477876106</v>
      </c>
      <c r="O546" s="24" t="n">
        <f aca="false">IFERROR(SUMPRODUCT(($B$2:$B$1001=B546)*($J$2:$J$1001&lt;=J546))/SUMPRODUCT(($B$2:$B$1001=B546)*1),0)</f>
        <v>0.0530973451327434</v>
      </c>
      <c r="P546" s="24" t="n">
        <f aca="false">IFERROR(SUMPRODUCT(($B$2:$B$1001=B546)*((0-$F$2:$F$1001)&lt;=(0-F546)))/SUMPRODUCT(($B$2:$B$1001=B546)*1),0)</f>
        <v>0.712389380530973</v>
      </c>
      <c r="Q546" s="25" t="n">
        <f aca="false">(M546*Assumptions!$B$5+N546*Assumptions!$B$6+O546*Assumptions!$B$7+P546*Assumptions!$B$8)*L546</f>
        <v>0.574336283185841</v>
      </c>
      <c r="R546" s="24" t="n">
        <f aca="false">IFERROR(SUMPRODUCT(($B$2:$B$1001=B546)*($Q$2:$Q$1001&lt;=Q546))/SUMPRODUCT(($B$2:$B$1001=B546)*1),0)</f>
        <v>0.716814159292035</v>
      </c>
      <c r="S546" s="24" t="n">
        <f aca="false">IFERROR(SUMPRODUCT(($B$2:$B$1001=B546)*($K$2:$K$1001&lt;=K546))/SUMPRODUCT(($B$2:$B$1001=B546)*1),0)</f>
        <v>0.261061946902655</v>
      </c>
      <c r="T546" s="26" t="n">
        <f aca="false">(R546-S546)*100</f>
        <v>45.5752212389381</v>
      </c>
      <c r="U546" s="21" t="str">
        <f aca="false">'Player Data'!T546</f>
        <v>No</v>
      </c>
      <c r="V546" s="27" t="n">
        <f aca="false">'Player Data'!U546</f>
        <v>2027</v>
      </c>
      <c r="W546" s="21" t="str">
        <f aca="false">IF(AND(T546&gt;=Assumptions!$B$19,U546="No"),"High Priority - Unrepresented",IF(T546&gt;=Assumptions!$B$19,"High Priority",IF(AND(T546&gt;=Assumptions!$B$20,U546="No"),"Watchlist - Unrepresented",IF(T546&gt;=Assumptions!$B$20,"Watchlist",""))))</f>
        <v>High Priority - Unrepresented</v>
      </c>
      <c r="X546" s="21" t="str">
        <f aca="false">'Player Data'!V546</f>
        <v>info@lapazwanderers.bo</v>
      </c>
      <c r="Y546" s="28" t="str">
        <f aca="false">'Player Data'!W546</f>
        <v>Club sporting director / first-team office</v>
      </c>
      <c r="Z546" s="28" t="str">
        <f aca="false">'Player Data'!X546</f>
        <v>FBF (Bolivian Football Federation) player registry</v>
      </c>
      <c r="AA546" s="19" t="str">
        <f aca="false">HYPERLINK("https://www.transfermarkt.com/schnellsuche/ergebnis/schnellsuche?query="&amp;SUBSTITUTE(A546," ","+"),"Search Transfermarkt")</f>
        <v>Search Transfermarkt</v>
      </c>
      <c r="AB546" s="29" t="n">
        <f aca="false">IFERROR('Player Data'!K546/('Player Data'!K546+'Player Data'!L546),0)</f>
        <v>0.475524475524476</v>
      </c>
      <c r="AC546" s="21" t="str">
        <f aca="false">IF(B546="GK",IF(AND(O546&gt;=Assumptions!$B$23,N546&gt;=Assumptions!$B$23),"Sweeper-Keeper / Build-from-the-Back",IF(O546&gt;=Assumptions!$B$23,"Sweeper-Keeper / High Line",IF(M546&gt;=Assumptions!$B$23,"Shot-Stopper / Traditional","Flexible / Multi-System"))),IF(AND(O546&gt;=Assumptions!$B$23,P546&gt;=Assumptions!$B$24),"High Press / Gegenpressing",IF(AND(N546&gt;=Assumptions!$B$23,AB546&gt;=Assumptions!$B$25),"Possession / Build-from-the-Back",IF(N546&gt;=Assumptions!$B$23,"Counter-Attack / Transition",IF(AND(O546&gt;=Assumptions!$B$23,N546&lt;Assumptions!$B$26),"Low Block / Park the Bus",IF(AND(B546="FW",M546&gt;=Assumptions!$B$23,N546&lt;Assumptions!$B$26),"Direct / Target Approach","Flexible / Multi-System"))))))</f>
        <v>Counter-Attack / Transition</v>
      </c>
      <c r="AD546" s="21" t="str">
        <f aca="false">'Player Data'!Y546</f>
        <v>2026-07-17</v>
      </c>
      <c r="AE546" s="21" t="str">
        <f aca="false">'Player Data'!Z546</f>
        <v>2026-07-17</v>
      </c>
      <c r="AF546" s="28" t="str">
        <f aca="false">IFERROR(INDEX(Assumptions!$B$30:$B$61,MATCH(C546,Assumptions!$A$30:$A$61,0)),"--")</f>
        <v>Argentina, Portugal</v>
      </c>
      <c r="AG546" s="30" t="str">
        <f aca="false">IF(R546&gt;=0.7,"Step-Up Candidate",IF(R546&gt;=0.4,"Lateral Move","Stay &amp; Develop"))</f>
        <v>Step-Up Candidate</v>
      </c>
    </row>
    <row r="547" customFormat="false" ht="23.85" hidden="false" customHeight="false" outlineLevel="0" collapsed="false">
      <c r="A547" s="21" t="str">
        <f aca="false">'Player Data'!A547</f>
        <v>Karlo Matic</v>
      </c>
      <c r="B547" s="21" t="str">
        <f aca="false">'Player Data'!F547</f>
        <v>GK</v>
      </c>
      <c r="C547" s="21" t="str">
        <f aca="false">'Player Data'!B547</f>
        <v>Croatia</v>
      </c>
      <c r="D547" s="21" t="str">
        <f aca="false">'Player Data'!C547</f>
        <v>Croatia Amateur League</v>
      </c>
      <c r="E547" s="21" t="n">
        <f aca="false">'Player Data'!D547</f>
        <v>3</v>
      </c>
      <c r="F547" s="21" t="n">
        <f aca="false">'Player Data'!G547</f>
        <v>25</v>
      </c>
      <c r="G547" s="21" t="n">
        <f aca="false">'Player Data'!H547</f>
        <v>1165</v>
      </c>
      <c r="H547" s="22" t="n">
        <f aca="false">IF(B547="GK",IFERROR(('Player Data'!N547-1.5*'Player Data'!O547)/'Player Data'!H547*90,0),IFERROR(('Player Data'!I547+'Player Data'!J547)/'Player Data'!H547*90,0))</f>
        <v>1.62231759656652</v>
      </c>
      <c r="I547" s="22" t="n">
        <f aca="false">IF(B547="GK",'Player Data'!P547,IFERROR(('Player Data'!K547+'Player Data'!L547)/'Player Data'!H547*90,0))</f>
        <v>88.4</v>
      </c>
      <c r="J547" s="22" t="n">
        <f aca="false">IF(B547="GK",IFERROR('Player Data'!Q547/'Player Data'!H547*90,0),IFERROR('Player Data'!M547/'Player Data'!H547*90,0))</f>
        <v>0.826609442060086</v>
      </c>
      <c r="K547" s="23" t="n">
        <f aca="false">'Player Data'!S547</f>
        <v>0</v>
      </c>
      <c r="L547" s="22" t="n">
        <f aca="false">INDEX(Assumptions!$B$13:$B$15,MATCH(E547,Assumptions!$A$13:$A$15,0))</f>
        <v>0.85</v>
      </c>
      <c r="M547" s="24" t="n">
        <f aca="false">IFERROR(SUMPRODUCT(($B$2:$B$1001=B547)*($H$2:$H$1001&lt;=H547))/SUMPRODUCT(($B$2:$B$1001=B547)*1),0)</f>
        <v>0.748633879781421</v>
      </c>
      <c r="N547" s="24" t="n">
        <f aca="false">IFERROR(SUMPRODUCT(($B$2:$B$1001=B547)*($I$2:$I$1001&lt;=I547))/SUMPRODUCT(($B$2:$B$1001=B547)*1),0)</f>
        <v>0.92896174863388</v>
      </c>
      <c r="O547" s="24" t="n">
        <f aca="false">IFERROR(SUMPRODUCT(($B$2:$B$1001=B547)*($J$2:$J$1001&lt;=J547))/SUMPRODUCT(($B$2:$B$1001=B547)*1),0)</f>
        <v>0.475409836065574</v>
      </c>
      <c r="P547" s="24" t="n">
        <f aca="false">IFERROR(SUMPRODUCT(($B$2:$B$1001=B547)*((0-$F$2:$F$1001)&lt;=(0-F547)))/SUMPRODUCT(($B$2:$B$1001=B547)*1),0)</f>
        <v>0.240437158469945</v>
      </c>
      <c r="Q547" s="25" t="n">
        <f aca="false">(M547*Assumptions!$B$5+N547*Assumptions!$B$6+O547*Assumptions!$B$7+P547*Assumptions!$B$8)*L547</f>
        <v>0.557144808743169</v>
      </c>
      <c r="R547" s="24" t="n">
        <f aca="false">IFERROR(SUMPRODUCT(($B$2:$B$1001=B547)*($Q$2:$Q$1001&lt;=Q547))/SUMPRODUCT(($B$2:$B$1001=B547)*1),0)</f>
        <v>0.759562841530055</v>
      </c>
      <c r="S547" s="24" t="n">
        <f aca="false">IFERROR(SUMPRODUCT(($B$2:$B$1001=B547)*($K$2:$K$1001&lt;=K547))/SUMPRODUCT(($B$2:$B$1001=B547)*1),0)</f>
        <v>0.218579234972678</v>
      </c>
      <c r="T547" s="26" t="n">
        <f aca="false">(R547-S547)*100</f>
        <v>54.0983606557377</v>
      </c>
      <c r="U547" s="21" t="str">
        <f aca="false">'Player Data'!T547</f>
        <v>No</v>
      </c>
      <c r="V547" s="27" t="n">
        <f aca="false">'Player Data'!U547</f>
        <v>2027</v>
      </c>
      <c r="W547" s="21" t="str">
        <f aca="false">IF(AND(T547&gt;=Assumptions!$B$19,U547="No"),"High Priority - Unrepresented",IF(T547&gt;=Assumptions!$B$19,"High Priority",IF(AND(T547&gt;=Assumptions!$B$20,U547="No"),"Watchlist - Unrepresented",IF(T547&gt;=Assumptions!$B$20,"Watchlist",""))))</f>
        <v>High Priority - Unrepresented</v>
      </c>
      <c r="X547" s="21" t="str">
        <f aca="false">'Player Data'!V547</f>
        <v>info@osijekrovers.hr</v>
      </c>
      <c r="Y547" s="28" t="str">
        <f aca="false">'Player Data'!W547</f>
        <v>Club sporting director / first-team office</v>
      </c>
      <c r="Z547" s="28" t="str">
        <f aca="false">'Player Data'!X547</f>
        <v>HNS (Croatian Football Federation) player registry</v>
      </c>
      <c r="AA547" s="19" t="str">
        <f aca="false">HYPERLINK("https://www.transfermarkt.com/schnellsuche/ergebnis/schnellsuche?query="&amp;SUBSTITUTE(A547," ","+"),"Search Transfermarkt")</f>
        <v>Search Transfermarkt</v>
      </c>
      <c r="AB547" s="29" t="n">
        <f aca="false">IFERROR('Player Data'!K547/('Player Data'!K547+'Player Data'!L547),0)</f>
        <v>0.863636363636364</v>
      </c>
      <c r="AC547" s="21" t="str">
        <f aca="false">IF(B547="GK",IF(AND(O547&gt;=Assumptions!$B$23,N547&gt;=Assumptions!$B$23),"Sweeper-Keeper / Build-from-the-Back",IF(O547&gt;=Assumptions!$B$23,"Sweeper-Keeper / High Line",IF(M547&gt;=Assumptions!$B$23,"Shot-Stopper / Traditional","Flexible / Multi-System"))),IF(AND(O547&gt;=Assumptions!$B$23,P547&gt;=Assumptions!$B$24),"High Press / Gegenpressing",IF(AND(N547&gt;=Assumptions!$B$23,AB547&gt;=Assumptions!$B$25),"Possession / Build-from-the-Back",IF(N547&gt;=Assumptions!$B$23,"Counter-Attack / Transition",IF(AND(O547&gt;=Assumptions!$B$23,N547&lt;Assumptions!$B$26),"Low Block / Park the Bus",IF(AND(B547="FW",M547&gt;=Assumptions!$B$23,N547&lt;Assumptions!$B$26),"Direct / Target Approach","Flexible / Multi-System"))))))</f>
        <v>Shot-Stopper / Traditional</v>
      </c>
      <c r="AD547" s="21" t="str">
        <f aca="false">'Player Data'!Y547</f>
        <v>2026-07-17</v>
      </c>
      <c r="AE547" s="21" t="str">
        <f aca="false">'Player Data'!Z547</f>
        <v>2026-07-17</v>
      </c>
      <c r="AF547" s="28" t="str">
        <f aca="false">IFERROR(INDEX(Assumptions!$B$30:$B$61,MATCH(C547,Assumptions!$A$30:$A$61,0)),"--")</f>
        <v>Austria, Turkey</v>
      </c>
      <c r="AG547" s="30" t="str">
        <f aca="false">IF(R547&gt;=0.7,"Step-Up Candidate",IF(R547&gt;=0.4,"Lateral Move","Stay &amp; Develop"))</f>
        <v>Step-Up Candidate</v>
      </c>
    </row>
    <row r="548" customFormat="false" ht="23.85" hidden="false" customHeight="false" outlineLevel="0" collapsed="false">
      <c r="A548" s="21" t="str">
        <f aca="false">'Player Data'!A548</f>
        <v>Kaito Watanabe</v>
      </c>
      <c r="B548" s="21" t="str">
        <f aca="false">'Player Data'!F548</f>
        <v>MF</v>
      </c>
      <c r="C548" s="21" t="str">
        <f aca="false">'Player Data'!B548</f>
        <v>Japan</v>
      </c>
      <c r="D548" s="21" t="str">
        <f aca="false">'Player Data'!C548</f>
        <v>Japan Third Tier - South</v>
      </c>
      <c r="E548" s="21" t="n">
        <f aca="false">'Player Data'!D548</f>
        <v>2</v>
      </c>
      <c r="F548" s="21" t="n">
        <f aca="false">'Player Data'!G548</f>
        <v>19</v>
      </c>
      <c r="G548" s="21" t="n">
        <f aca="false">'Player Data'!H548</f>
        <v>1290</v>
      </c>
      <c r="H548" s="22" t="n">
        <f aca="false">IF(B548="GK",IFERROR(('Player Data'!N548-1.5*'Player Data'!O548)/'Player Data'!H548*90,0),IFERROR(('Player Data'!I548+'Player Data'!J548)/'Player Data'!H548*90,0))</f>
        <v>1.18604651162791</v>
      </c>
      <c r="I548" s="22" t="n">
        <f aca="false">IF(B548="GK",'Player Data'!P548,IFERROR(('Player Data'!K548+'Player Data'!L548)/'Player Data'!H548*90,0))</f>
        <v>18.5581395348837</v>
      </c>
      <c r="J548" s="22" t="n">
        <f aca="false">IF(B548="GK",IFERROR('Player Data'!Q548/'Player Data'!H548*90,0),IFERROR('Player Data'!M548/'Player Data'!H548*90,0))</f>
        <v>3.41860465116279</v>
      </c>
      <c r="K548" s="23" t="n">
        <f aca="false">'Player Data'!S548</f>
        <v>0</v>
      </c>
      <c r="L548" s="22" t="n">
        <f aca="false">INDEX(Assumptions!$B$13:$B$15,MATCH(E548,Assumptions!$A$13:$A$15,0))</f>
        <v>1</v>
      </c>
      <c r="M548" s="24" t="n">
        <f aca="false">IFERROR(SUMPRODUCT(($B$2:$B$1001=B548)*($H$2:$H$1001&lt;=H548))/SUMPRODUCT(($B$2:$B$1001=B548)*1),0)</f>
        <v>0.845117845117845</v>
      </c>
      <c r="N548" s="24" t="n">
        <f aca="false">IFERROR(SUMPRODUCT(($B$2:$B$1001=B548)*($I$2:$I$1001&lt;=I548))/SUMPRODUCT(($B$2:$B$1001=B548)*1),0)</f>
        <v>0.882154882154882</v>
      </c>
      <c r="O548" s="24" t="n">
        <f aca="false">IFERROR(SUMPRODUCT(($B$2:$B$1001=B548)*($J$2:$J$1001&lt;=J548))/SUMPRODUCT(($B$2:$B$1001=B548)*1),0)</f>
        <v>0.838383838383838</v>
      </c>
      <c r="P548" s="24" t="n">
        <f aca="false">IFERROR(SUMPRODUCT(($B$2:$B$1001=B548)*((0-$F$2:$F$1001)&lt;=(0-F548)))/SUMPRODUCT(($B$2:$B$1001=B548)*1),0)</f>
        <v>0.868686868686869</v>
      </c>
      <c r="Q548" s="25" t="n">
        <f aca="false">(M548*Assumptions!$B$5+N548*Assumptions!$B$6+O548*Assumptions!$B$7+P548*Assumptions!$B$8)*L548</f>
        <v>0.861447811447812</v>
      </c>
      <c r="R548" s="24" t="n">
        <f aca="false">IFERROR(SUMPRODUCT(($B$2:$B$1001=B548)*($Q$2:$Q$1001&lt;=Q548))/SUMPRODUCT(($B$2:$B$1001=B548)*1),0)</f>
        <v>0.97979797979798</v>
      </c>
      <c r="S548" s="24" t="n">
        <f aca="false">IFERROR(SUMPRODUCT(($B$2:$B$1001=B548)*($K$2:$K$1001&lt;=K548))/SUMPRODUCT(($B$2:$B$1001=B548)*1),0)</f>
        <v>0.228956228956229</v>
      </c>
      <c r="T548" s="26" t="n">
        <f aca="false">(R548-S548)*100</f>
        <v>75.0841750841751</v>
      </c>
      <c r="U548" s="21" t="str">
        <f aca="false">'Player Data'!T548</f>
        <v>No</v>
      </c>
      <c r="V548" s="27" t="n">
        <f aca="false">'Player Data'!U548</f>
        <v>2027</v>
      </c>
      <c r="W548" s="21" t="str">
        <f aca="false">IF(AND(T548&gt;=Assumptions!$B$19,U548="No"),"High Priority - Unrepresented",IF(T548&gt;=Assumptions!$B$19,"High Priority",IF(AND(T548&gt;=Assumptions!$B$20,U548="No"),"Watchlist - Unrepresented",IF(T548&gt;=Assumptions!$B$20,"Watchlist",""))))</f>
        <v>High Priority - Unrepresented</v>
      </c>
      <c r="X548" s="21" t="str">
        <f aca="false">'Player Data'!V548</f>
        <v>info@nagoyaathletic.jp</v>
      </c>
      <c r="Y548" s="28" t="str">
        <f aca="false">'Player Data'!W548</f>
        <v>Club sporting director / first-team office</v>
      </c>
      <c r="Z548" s="28" t="str">
        <f aca="false">'Player Data'!X548</f>
        <v>JFA (Japan Football Association) player registry</v>
      </c>
      <c r="AA548" s="19" t="str">
        <f aca="false">HYPERLINK("https://www.transfermarkt.com/schnellsuche/ergebnis/schnellsuche?query="&amp;SUBSTITUTE(A548," ","+"),"Search Transfermarkt")</f>
        <v>Search Transfermarkt</v>
      </c>
      <c r="AB548" s="29" t="n">
        <f aca="false">IFERROR('Player Data'!K548/('Player Data'!K548+'Player Data'!L548),0)</f>
        <v>0.631578947368421</v>
      </c>
      <c r="AC548" s="21" t="str">
        <f aca="false">IF(B548="GK",IF(AND(O548&gt;=Assumptions!$B$23,N548&gt;=Assumptions!$B$23),"Sweeper-Keeper / Build-from-the-Back",IF(O548&gt;=Assumptions!$B$23,"Sweeper-Keeper / High Line",IF(M548&gt;=Assumptions!$B$23,"Shot-Stopper / Traditional","Flexible / Multi-System"))),IF(AND(O548&gt;=Assumptions!$B$23,P548&gt;=Assumptions!$B$24),"High Press / Gegenpressing",IF(AND(N548&gt;=Assumptions!$B$23,AB548&gt;=Assumptions!$B$25),"Possession / Build-from-the-Back",IF(N548&gt;=Assumptions!$B$23,"Counter-Attack / Transition",IF(AND(O548&gt;=Assumptions!$B$23,N548&lt;Assumptions!$B$26),"Low Block / Park the Bus",IF(AND(B548="FW",M548&gt;=Assumptions!$B$23,N548&lt;Assumptions!$B$26),"Direct / Target Approach","Flexible / Multi-System"))))))</f>
        <v>High Press / Gegenpressing</v>
      </c>
      <c r="AD548" s="21" t="str">
        <f aca="false">'Player Data'!Y548</f>
        <v>2026-07-17</v>
      </c>
      <c r="AE548" s="21" t="str">
        <f aca="false">'Player Data'!Z548</f>
        <v>2026-07-17</v>
      </c>
      <c r="AF548" s="28" t="str">
        <f aca="false">IFERROR(INDEX(Assumptions!$B$30:$B$61,MATCH(C548,Assumptions!$A$30:$A$61,0)),"--")</f>
        <v>Belgium, Australia</v>
      </c>
      <c r="AG548" s="30" t="str">
        <f aca="false">IF(R548&gt;=0.7,"Step-Up Candidate",IF(R548&gt;=0.4,"Lateral Move","Stay &amp; Develop"))</f>
        <v>Step-Up Candidate</v>
      </c>
    </row>
    <row r="549" customFormat="false" ht="23.85" hidden="false" customHeight="false" outlineLevel="0" collapsed="false">
      <c r="A549" s="21" t="str">
        <f aca="false">'Player Data'!A549</f>
        <v>Tim Horvat</v>
      </c>
      <c r="B549" s="21" t="str">
        <f aca="false">'Player Data'!F549</f>
        <v>DF</v>
      </c>
      <c r="C549" s="21" t="str">
        <f aca="false">'Player Data'!B549</f>
        <v>Slovenia</v>
      </c>
      <c r="D549" s="21" t="str">
        <f aca="false">'Player Data'!C549</f>
        <v>Slovenia Second Division - West</v>
      </c>
      <c r="E549" s="21" t="n">
        <f aca="false">'Player Data'!D549</f>
        <v>2</v>
      </c>
      <c r="F549" s="21" t="n">
        <f aca="false">'Player Data'!G549</f>
        <v>18</v>
      </c>
      <c r="G549" s="21" t="n">
        <f aca="false">'Player Data'!H549</f>
        <v>2043</v>
      </c>
      <c r="H549" s="22" t="n">
        <f aca="false">IF(B549="GK",IFERROR(('Player Data'!N549-1.5*'Player Data'!O549)/'Player Data'!H549*90,0),IFERROR(('Player Data'!I549+'Player Data'!J549)/'Player Data'!H549*90,0))</f>
        <v>0.176211453744493</v>
      </c>
      <c r="I549" s="22" t="n">
        <f aca="false">IF(B549="GK",'Player Data'!P549,IFERROR(('Player Data'!K549+'Player Data'!L549)/'Player Data'!H549*90,0))</f>
        <v>3.215859030837</v>
      </c>
      <c r="J549" s="22" t="n">
        <f aca="false">IF(B549="GK",IFERROR('Player Data'!Q549/'Player Data'!H549*90,0),IFERROR('Player Data'!M549/'Player Data'!H549*90,0))</f>
        <v>3.43612334801762</v>
      </c>
      <c r="K549" s="23" t="n">
        <f aca="false">'Player Data'!S549</f>
        <v>59207</v>
      </c>
      <c r="L549" s="22" t="n">
        <f aca="false">INDEX(Assumptions!$B$13:$B$15,MATCH(E549,Assumptions!$A$13:$A$15,0))</f>
        <v>1</v>
      </c>
      <c r="M549" s="24" t="n">
        <f aca="false">IFERROR(SUMPRODUCT(($B$2:$B$1001=B549)*($H$2:$H$1001&lt;=H549))/SUMPRODUCT(($B$2:$B$1001=B549)*1),0)</f>
        <v>0.465986394557823</v>
      </c>
      <c r="N549" s="24" t="n">
        <f aca="false">IFERROR(SUMPRODUCT(($B$2:$B$1001=B549)*($I$2:$I$1001&lt;=I549))/SUMPRODUCT(($B$2:$B$1001=B549)*1),0)</f>
        <v>0.136054421768708</v>
      </c>
      <c r="O549" s="24" t="n">
        <f aca="false">IFERROR(SUMPRODUCT(($B$2:$B$1001=B549)*($J$2:$J$1001&lt;=J549))/SUMPRODUCT(($B$2:$B$1001=B549)*1),0)</f>
        <v>0.0816326530612245</v>
      </c>
      <c r="P549" s="24" t="n">
        <f aca="false">IFERROR(SUMPRODUCT(($B$2:$B$1001=B549)*((0-$F$2:$F$1001)&lt;=(0-F549)))/SUMPRODUCT(($B$2:$B$1001=B549)*1),0)</f>
        <v>0.863945578231293</v>
      </c>
      <c r="Q549" s="25" t="n">
        <f aca="false">(M549*Assumptions!$B$5+N549*Assumptions!$B$6+O549*Assumptions!$B$7+P549*Assumptions!$B$8)*L549</f>
        <v>0.353231292517007</v>
      </c>
      <c r="R549" s="24" t="n">
        <f aca="false">IFERROR(SUMPRODUCT(($B$2:$B$1001=B549)*($Q$2:$Q$1001&lt;=Q549))/SUMPRODUCT(($B$2:$B$1001=B549)*1),0)</f>
        <v>0.360544217687075</v>
      </c>
      <c r="S549" s="24" t="n">
        <f aca="false">IFERROR(SUMPRODUCT(($B$2:$B$1001=B549)*($K$2:$K$1001&lt;=K549))/SUMPRODUCT(($B$2:$B$1001=B549)*1),0)</f>
        <v>0.479591836734694</v>
      </c>
      <c r="T549" s="26" t="n">
        <f aca="false">(R549-S549)*100</f>
        <v>-11.9047619047619</v>
      </c>
      <c r="U549" s="21" t="str">
        <f aca="false">'Player Data'!T549</f>
        <v>No</v>
      </c>
      <c r="V549" s="27" t="n">
        <f aca="false">'Player Data'!U549</f>
        <v>2029</v>
      </c>
      <c r="W549" s="21" t="str">
        <f aca="false">IF(AND(T549&gt;=Assumptions!$B$19,U549="No"),"High Priority - Unrepresented",IF(T549&gt;=Assumptions!$B$19,"High Priority",IF(AND(T549&gt;=Assumptions!$B$20,U549="No"),"Watchlist - Unrepresented",IF(T549&gt;=Assumptions!$B$20,"Watchlist",""))))</f>
        <v/>
      </c>
      <c r="X549" s="21" t="str">
        <f aca="false">'Player Data'!V549</f>
        <v>info@celjecity.si</v>
      </c>
      <c r="Y549" s="28" t="str">
        <f aca="false">'Player Data'!W549</f>
        <v>Club sporting director / first-team office</v>
      </c>
      <c r="Z549" s="28" t="str">
        <f aca="false">'Player Data'!X549</f>
        <v>NZS (Football Association of Slovenia) player registry</v>
      </c>
      <c r="AA549" s="19" t="str">
        <f aca="false">HYPERLINK("https://www.transfermarkt.com/schnellsuche/ergebnis/schnellsuche?query="&amp;SUBSTITUTE(A549," ","+"),"Search Transfermarkt")</f>
        <v>Search Transfermarkt</v>
      </c>
      <c r="AB549" s="29" t="n">
        <f aca="false">IFERROR('Player Data'!K549/('Player Data'!K549+'Player Data'!L549),0)</f>
        <v>0.561643835616438</v>
      </c>
      <c r="AC549" s="21" t="str">
        <f aca="false">IF(B549="GK",IF(AND(O549&gt;=Assumptions!$B$23,N549&gt;=Assumptions!$B$23),"Sweeper-Keeper / Build-from-the-Back",IF(O549&gt;=Assumptions!$B$23,"Sweeper-Keeper / High Line",IF(M549&gt;=Assumptions!$B$23,"Shot-Stopper / Traditional","Flexible / Multi-System"))),IF(AND(O549&gt;=Assumptions!$B$23,P549&gt;=Assumptions!$B$24),"High Press / Gegenpressing",IF(AND(N549&gt;=Assumptions!$B$23,AB549&gt;=Assumptions!$B$25),"Possession / Build-from-the-Back",IF(N549&gt;=Assumptions!$B$23,"Counter-Attack / Transition",IF(AND(O549&gt;=Assumptions!$B$23,N549&lt;Assumptions!$B$26),"Low Block / Park the Bus",IF(AND(B549="FW",M549&gt;=Assumptions!$B$23,N549&lt;Assumptions!$B$26),"Direct / Target Approach","Flexible / Multi-System"))))))</f>
        <v>Flexible / Multi-System</v>
      </c>
      <c r="AD549" s="21" t="str">
        <f aca="false">'Player Data'!Y549</f>
        <v>2026-07-17</v>
      </c>
      <c r="AE549" s="21" t="str">
        <f aca="false">'Player Data'!Z549</f>
        <v>2026-07-17</v>
      </c>
      <c r="AF549" s="28" t="str">
        <f aca="false">IFERROR(INDEX(Assumptions!$B$30:$B$61,MATCH(C549,Assumptions!$A$30:$A$61,0)),"--")</f>
        <v>Austria, Poland</v>
      </c>
      <c r="AG549" s="30" t="str">
        <f aca="false">IF(R549&gt;=0.7,"Step-Up Candidate",IF(R549&gt;=0.4,"Lateral Move","Stay &amp; Develop"))</f>
        <v>Stay &amp; Develop</v>
      </c>
    </row>
    <row r="550" customFormat="false" ht="23.85" hidden="false" customHeight="false" outlineLevel="0" collapsed="false">
      <c r="A550" s="21" t="str">
        <f aca="false">'Player Data'!A550</f>
        <v>Yuto Tanaka</v>
      </c>
      <c r="B550" s="21" t="str">
        <f aca="false">'Player Data'!F550</f>
        <v>GK</v>
      </c>
      <c r="C550" s="21" t="str">
        <f aca="false">'Player Data'!B550</f>
        <v>Japan</v>
      </c>
      <c r="D550" s="21" t="str">
        <f aca="false">'Player Data'!C550</f>
        <v>Japan Second Division - East</v>
      </c>
      <c r="E550" s="21" t="n">
        <f aca="false">'Player Data'!D550</f>
        <v>3</v>
      </c>
      <c r="F550" s="21" t="n">
        <f aca="false">'Player Data'!G550</f>
        <v>26</v>
      </c>
      <c r="G550" s="21" t="n">
        <f aca="false">'Player Data'!H550</f>
        <v>2357</v>
      </c>
      <c r="H550" s="22" t="n">
        <f aca="false">IF(B550="GK",IFERROR(('Player Data'!N550-1.5*'Player Data'!O550)/'Player Data'!H550*90,0),IFERROR(('Player Data'!I550+'Player Data'!J550)/'Player Data'!H550*90,0))</f>
        <v>0.954603309291472</v>
      </c>
      <c r="I550" s="22" t="n">
        <f aca="false">IF(B550="GK",'Player Data'!P550,IFERROR(('Player Data'!K550+'Player Data'!L550)/'Player Data'!H550*90,0))</f>
        <v>70.1</v>
      </c>
      <c r="J550" s="22" t="n">
        <f aca="false">IF(B550="GK",IFERROR('Player Data'!Q550/'Player Data'!H550*90,0),IFERROR('Player Data'!M550/'Player Data'!H550*90,0))</f>
        <v>0.400933389902418</v>
      </c>
      <c r="K550" s="23" t="n">
        <f aca="false">'Player Data'!S550</f>
        <v>108800</v>
      </c>
      <c r="L550" s="22" t="n">
        <f aca="false">INDEX(Assumptions!$B$13:$B$15,MATCH(E550,Assumptions!$A$13:$A$15,0))</f>
        <v>0.85</v>
      </c>
      <c r="M550" s="24" t="n">
        <f aca="false">IFERROR(SUMPRODUCT(($B$2:$B$1001=B550)*($H$2:$H$1001&lt;=H550))/SUMPRODUCT(($B$2:$B$1001=B550)*1),0)</f>
        <v>0.398907103825137</v>
      </c>
      <c r="N550" s="24" t="n">
        <f aca="false">IFERROR(SUMPRODUCT(($B$2:$B$1001=B550)*($I$2:$I$1001&lt;=I550))/SUMPRODUCT(($B$2:$B$1001=B550)*1),0)</f>
        <v>0.415300546448087</v>
      </c>
      <c r="O550" s="24" t="n">
        <f aca="false">IFERROR(SUMPRODUCT(($B$2:$B$1001=B550)*($J$2:$J$1001&lt;=J550))/SUMPRODUCT(($B$2:$B$1001=B550)*1),0)</f>
        <v>0.185792349726776</v>
      </c>
      <c r="P550" s="24" t="n">
        <f aca="false">IFERROR(SUMPRODUCT(($B$2:$B$1001=B550)*((0-$F$2:$F$1001)&lt;=(0-F550)))/SUMPRODUCT(($B$2:$B$1001=B550)*1),0)</f>
        <v>0.131147540983607</v>
      </c>
      <c r="Q550" s="25" t="n">
        <f aca="false">(M550*Assumptions!$B$5+N550*Assumptions!$B$6+O550*Assumptions!$B$7+P550*Assumptions!$B$8)*L550</f>
        <v>0.262199453551913</v>
      </c>
      <c r="R550" s="24" t="n">
        <f aca="false">IFERROR(SUMPRODUCT(($B$2:$B$1001=B550)*($Q$2:$Q$1001&lt;=Q550))/SUMPRODUCT(($B$2:$B$1001=B550)*1),0)</f>
        <v>0.0765027322404372</v>
      </c>
      <c r="S550" s="24" t="n">
        <f aca="false">IFERROR(SUMPRODUCT(($B$2:$B$1001=B550)*($K$2:$K$1001&lt;=K550))/SUMPRODUCT(($B$2:$B$1001=B550)*1),0)</f>
        <v>0.754098360655738</v>
      </c>
      <c r="T550" s="26" t="n">
        <f aca="false">(R550-S550)*100</f>
        <v>-67.7595628415301</v>
      </c>
      <c r="U550" s="21" t="str">
        <f aca="false">'Player Data'!T550</f>
        <v>Unknown</v>
      </c>
      <c r="V550" s="27" t="n">
        <f aca="false">'Player Data'!U550</f>
        <v>2026</v>
      </c>
      <c r="W550" s="21" t="str">
        <f aca="false">IF(AND(T550&gt;=Assumptions!$B$19,U550="No"),"High Priority - Unrepresented",IF(T550&gt;=Assumptions!$B$19,"High Priority",IF(AND(T550&gt;=Assumptions!$B$20,U550="No"),"Watchlist - Unrepresented",IF(T550&gt;=Assumptions!$B$20,"Watchlist",""))))</f>
        <v/>
      </c>
      <c r="X550" s="21" t="str">
        <f aca="false">'Player Data'!V550</f>
        <v>info@sendaiunited.jp</v>
      </c>
      <c r="Y550" s="28" t="str">
        <f aca="false">'Player Data'!W550</f>
        <v>Club sporting director / first-team office</v>
      </c>
      <c r="Z550" s="28" t="str">
        <f aca="false">'Player Data'!X550</f>
        <v>JFA (Japan Football Association) player registry</v>
      </c>
      <c r="AA550" s="19" t="str">
        <f aca="false">HYPERLINK("https://www.transfermarkt.com/schnellsuche/ergebnis/schnellsuche?query="&amp;SUBSTITUTE(A550," ","+"),"Search Transfermarkt")</f>
        <v>Search Transfermarkt</v>
      </c>
      <c r="AB550" s="29" t="n">
        <f aca="false">IFERROR('Player Data'!K550/('Player Data'!K550+'Player Data'!L550),0)</f>
        <v>0.888888888888889</v>
      </c>
      <c r="AC550" s="21" t="str">
        <f aca="false">IF(B550="GK",IF(AND(O550&gt;=Assumptions!$B$23,N550&gt;=Assumptions!$B$23),"Sweeper-Keeper / Build-from-the-Back",IF(O550&gt;=Assumptions!$B$23,"Sweeper-Keeper / High Line",IF(M550&gt;=Assumptions!$B$23,"Shot-Stopper / Traditional","Flexible / Multi-System"))),IF(AND(O550&gt;=Assumptions!$B$23,P550&gt;=Assumptions!$B$24),"High Press / Gegenpressing",IF(AND(N550&gt;=Assumptions!$B$23,AB550&gt;=Assumptions!$B$25),"Possession / Build-from-the-Back",IF(N550&gt;=Assumptions!$B$23,"Counter-Attack / Transition",IF(AND(O550&gt;=Assumptions!$B$23,N550&lt;Assumptions!$B$26),"Low Block / Park the Bus",IF(AND(B550="FW",M550&gt;=Assumptions!$B$23,N550&lt;Assumptions!$B$26),"Direct / Target Approach","Flexible / Multi-System"))))))</f>
        <v>Flexible / Multi-System</v>
      </c>
      <c r="AD550" s="21" t="str">
        <f aca="false">'Player Data'!Y550</f>
        <v>2026-07-17</v>
      </c>
      <c r="AE550" s="21" t="str">
        <f aca="false">'Player Data'!Z550</f>
        <v>2026-07-17</v>
      </c>
      <c r="AF550" s="28" t="str">
        <f aca="false">IFERROR(INDEX(Assumptions!$B$30:$B$61,MATCH(C550,Assumptions!$A$30:$A$61,0)),"--")</f>
        <v>Belgium, Australia</v>
      </c>
      <c r="AG550" s="30" t="str">
        <f aca="false">IF(R550&gt;=0.7,"Step-Up Candidate",IF(R550&gt;=0.4,"Lateral Move","Stay &amp; Develop"))</f>
        <v>Stay &amp; Develop</v>
      </c>
    </row>
    <row r="551" customFormat="false" ht="23.85" hidden="false" customHeight="false" outlineLevel="0" collapsed="false">
      <c r="A551" s="21" t="str">
        <f aca="false">'Player Data'!A551</f>
        <v>Domagoj Novak</v>
      </c>
      <c r="B551" s="21" t="str">
        <f aca="false">'Player Data'!F551</f>
        <v>DF</v>
      </c>
      <c r="C551" s="21" t="str">
        <f aca="false">'Player Data'!B551</f>
        <v>Croatia</v>
      </c>
      <c r="D551" s="21" t="str">
        <f aca="false">'Player Data'!C551</f>
        <v>Croatia Provincial League</v>
      </c>
      <c r="E551" s="21" t="n">
        <f aca="false">'Player Data'!D551</f>
        <v>4</v>
      </c>
      <c r="F551" s="21" t="n">
        <f aca="false">'Player Data'!G551</f>
        <v>23</v>
      </c>
      <c r="G551" s="21" t="n">
        <f aca="false">'Player Data'!H551</f>
        <v>2212</v>
      </c>
      <c r="H551" s="22" t="n">
        <f aca="false">IF(B551="GK",IFERROR(('Player Data'!N551-1.5*'Player Data'!O551)/'Player Data'!H551*90,0),IFERROR(('Player Data'!I551+'Player Data'!J551)/'Player Data'!H551*90,0))</f>
        <v>0.081374321880651</v>
      </c>
      <c r="I551" s="22" t="n">
        <f aca="false">IF(B551="GK",'Player Data'!P551,IFERROR(('Player Data'!K551+'Player Data'!L551)/'Player Data'!H551*90,0))</f>
        <v>4.43490054249548</v>
      </c>
      <c r="J551" s="22" t="n">
        <f aca="false">IF(B551="GK",IFERROR('Player Data'!Q551/'Player Data'!H551*90,0),IFERROR('Player Data'!M551/'Player Data'!H551*90,0))</f>
        <v>4.51627486437613</v>
      </c>
      <c r="K551" s="23" t="n">
        <f aca="false">'Player Data'!S551</f>
        <v>15026</v>
      </c>
      <c r="L551" s="22" t="n">
        <f aca="false">INDEX(Assumptions!$B$13:$B$15,MATCH(E551,Assumptions!$A$13:$A$15,0))</f>
        <v>0.7</v>
      </c>
      <c r="M551" s="24" t="n">
        <f aca="false">IFERROR(SUMPRODUCT(($B$2:$B$1001=B551)*($H$2:$H$1001&lt;=H551))/SUMPRODUCT(($B$2:$B$1001=B551)*1),0)</f>
        <v>0.125850340136054</v>
      </c>
      <c r="N551" s="24" t="n">
        <f aca="false">IFERROR(SUMPRODUCT(($B$2:$B$1001=B551)*($I$2:$I$1001&lt;=I551))/SUMPRODUCT(($B$2:$B$1001=B551)*1),0)</f>
        <v>0.493197278911565</v>
      </c>
      <c r="O551" s="24" t="n">
        <f aca="false">IFERROR(SUMPRODUCT(($B$2:$B$1001=B551)*($J$2:$J$1001&lt;=J551))/SUMPRODUCT(($B$2:$B$1001=B551)*1),0)</f>
        <v>0.363945578231293</v>
      </c>
      <c r="P551" s="24" t="n">
        <f aca="false">IFERROR(SUMPRODUCT(($B$2:$B$1001=B551)*((0-$F$2:$F$1001)&lt;=(0-F551)))/SUMPRODUCT(($B$2:$B$1001=B551)*1),0)</f>
        <v>0.374149659863946</v>
      </c>
      <c r="Q551" s="25" t="n">
        <f aca="false">(M551*Assumptions!$B$5+N551*Assumptions!$B$6+O551*Assumptions!$B$7+P551*Assumptions!$B$8)*L551</f>
        <v>0.246190476190476</v>
      </c>
      <c r="R551" s="24" t="n">
        <f aca="false">IFERROR(SUMPRODUCT(($B$2:$B$1001=B551)*($Q$2:$Q$1001&lt;=Q551))/SUMPRODUCT(($B$2:$B$1001=B551)*1),0)</f>
        <v>0.149659863945578</v>
      </c>
      <c r="S551" s="24" t="n">
        <f aca="false">IFERROR(SUMPRODUCT(($B$2:$B$1001=B551)*($K$2:$K$1001&lt;=K551))/SUMPRODUCT(($B$2:$B$1001=B551)*1),0)</f>
        <v>0.282312925170068</v>
      </c>
      <c r="T551" s="26" t="n">
        <f aca="false">(R551-S551)*100</f>
        <v>-13.265306122449</v>
      </c>
      <c r="U551" s="21" t="str">
        <f aca="false">'Player Data'!T551</f>
        <v>No</v>
      </c>
      <c r="V551" s="27" t="n">
        <f aca="false">'Player Data'!U551</f>
        <v>2026</v>
      </c>
      <c r="W551" s="21" t="str">
        <f aca="false">IF(AND(T551&gt;=Assumptions!$B$19,U551="No"),"High Priority - Unrepresented",IF(T551&gt;=Assumptions!$B$19,"High Priority",IF(AND(T551&gt;=Assumptions!$B$20,U551="No"),"Watchlist - Unrepresented",IF(T551&gt;=Assumptions!$B$20,"Watchlist",""))))</f>
        <v/>
      </c>
      <c r="X551" s="21" t="str">
        <f aca="false">'Player Data'!V551</f>
        <v>info@rudescity.hr</v>
      </c>
      <c r="Y551" s="28" t="str">
        <f aca="false">'Player Data'!W551</f>
        <v>Club sporting director / first-team office</v>
      </c>
      <c r="Z551" s="28" t="str">
        <f aca="false">'Player Data'!X551</f>
        <v>HNS (Croatian Football Federation) player registry</v>
      </c>
      <c r="AA551" s="19" t="str">
        <f aca="false">HYPERLINK("https://www.transfermarkt.com/schnellsuche/ergebnis/schnellsuche?query="&amp;SUBSTITUTE(A551," ","+"),"Search Transfermarkt")</f>
        <v>Search Transfermarkt</v>
      </c>
      <c r="AB551" s="29" t="n">
        <f aca="false">IFERROR('Player Data'!K551/('Player Data'!K551+'Player Data'!L551),0)</f>
        <v>0.614678899082569</v>
      </c>
      <c r="AC551" s="21" t="str">
        <f aca="false">IF(B551="GK",IF(AND(O551&gt;=Assumptions!$B$23,N551&gt;=Assumptions!$B$23),"Sweeper-Keeper / Build-from-the-Back",IF(O551&gt;=Assumptions!$B$23,"Sweeper-Keeper / High Line",IF(M551&gt;=Assumptions!$B$23,"Shot-Stopper / Traditional","Flexible / Multi-System"))),IF(AND(O551&gt;=Assumptions!$B$23,P551&gt;=Assumptions!$B$24),"High Press / Gegenpressing",IF(AND(N551&gt;=Assumptions!$B$23,AB551&gt;=Assumptions!$B$25),"Possession / Build-from-the-Back",IF(N551&gt;=Assumptions!$B$23,"Counter-Attack / Transition",IF(AND(O551&gt;=Assumptions!$B$23,N551&lt;Assumptions!$B$26),"Low Block / Park the Bus",IF(AND(B551="FW",M551&gt;=Assumptions!$B$23,N551&lt;Assumptions!$B$26),"Direct / Target Approach","Flexible / Multi-System"))))))</f>
        <v>Flexible / Multi-System</v>
      </c>
      <c r="AD551" s="21" t="str">
        <f aca="false">'Player Data'!Y551</f>
        <v>2026-07-17</v>
      </c>
      <c r="AE551" s="21" t="str">
        <f aca="false">'Player Data'!Z551</f>
        <v>2026-07-17</v>
      </c>
      <c r="AF551" s="28" t="str">
        <f aca="false">IFERROR(INDEX(Assumptions!$B$30:$B$61,MATCH(C551,Assumptions!$A$30:$A$61,0)),"--")</f>
        <v>Austria, Turkey</v>
      </c>
      <c r="AG551" s="30" t="str">
        <f aca="false">IF(R551&gt;=0.7,"Step-Up Candidate",IF(R551&gt;=0.4,"Lateral Move","Stay &amp; Develop"))</f>
        <v>Stay &amp; Develop</v>
      </c>
    </row>
    <row r="552" customFormat="false" ht="23.85" hidden="false" customHeight="false" outlineLevel="0" collapsed="false">
      <c r="A552" s="21" t="str">
        <f aca="false">'Player Data'!A552</f>
        <v>Chanda Phiri</v>
      </c>
      <c r="B552" s="21" t="str">
        <f aca="false">'Player Data'!F552</f>
        <v>MF</v>
      </c>
      <c r="C552" s="21" t="str">
        <f aca="false">'Player Data'!B552</f>
        <v>Zambia</v>
      </c>
      <c r="D552" s="21" t="str">
        <f aca="false">'Player Data'!C552</f>
        <v>Zambia Provincial League</v>
      </c>
      <c r="E552" s="21" t="n">
        <f aca="false">'Player Data'!D552</f>
        <v>2</v>
      </c>
      <c r="F552" s="21" t="n">
        <f aca="false">'Player Data'!G552</f>
        <v>23</v>
      </c>
      <c r="G552" s="21" t="n">
        <f aca="false">'Player Data'!H552</f>
        <v>2199</v>
      </c>
      <c r="H552" s="22" t="n">
        <f aca="false">IF(B552="GK",IFERROR(('Player Data'!N552-1.5*'Player Data'!O552)/'Player Data'!H552*90,0),IFERROR(('Player Data'!I552+'Player Data'!J552)/'Player Data'!H552*90,0))</f>
        <v>0.491132332878581</v>
      </c>
      <c r="I552" s="22" t="n">
        <f aca="false">IF(B552="GK",'Player Data'!P552,IFERROR(('Player Data'!K552+'Player Data'!L552)/'Player Data'!H552*90,0))</f>
        <v>10.2319236016371</v>
      </c>
      <c r="J552" s="22" t="n">
        <f aca="false">IF(B552="GK",IFERROR('Player Data'!Q552/'Player Data'!H552*90,0),IFERROR('Player Data'!M552/'Player Data'!H552*90,0))</f>
        <v>1.14597544338336</v>
      </c>
      <c r="K552" s="23" t="n">
        <f aca="false">'Player Data'!S552</f>
        <v>45323</v>
      </c>
      <c r="L552" s="22" t="n">
        <f aca="false">INDEX(Assumptions!$B$13:$B$15,MATCH(E552,Assumptions!$A$13:$A$15,0))</f>
        <v>1</v>
      </c>
      <c r="M552" s="24" t="n">
        <f aca="false">IFERROR(SUMPRODUCT(($B$2:$B$1001=B552)*($H$2:$H$1001&lt;=H552))/SUMPRODUCT(($B$2:$B$1001=B552)*1),0)</f>
        <v>0.208754208754209</v>
      </c>
      <c r="N552" s="24" t="n">
        <f aca="false">IFERROR(SUMPRODUCT(($B$2:$B$1001=B552)*($I$2:$I$1001&lt;=I552))/SUMPRODUCT(($B$2:$B$1001=B552)*1),0)</f>
        <v>0.441077441077441</v>
      </c>
      <c r="O552" s="24" t="n">
        <f aca="false">IFERROR(SUMPRODUCT(($B$2:$B$1001=B552)*($J$2:$J$1001&lt;=J552))/SUMPRODUCT(($B$2:$B$1001=B552)*1),0)</f>
        <v>0.0437710437710438</v>
      </c>
      <c r="P552" s="24" t="n">
        <f aca="false">IFERROR(SUMPRODUCT(($B$2:$B$1001=B552)*((0-$F$2:$F$1001)&lt;=(0-F552)))/SUMPRODUCT(($B$2:$B$1001=B552)*1),0)</f>
        <v>0.390572390572391</v>
      </c>
      <c r="Q552" s="25" t="n">
        <f aca="false">(M552*Assumptions!$B$5+N552*Assumptions!$B$6+O552*Assumptions!$B$7+P552*Assumptions!$B$8)*L552</f>
        <v>0.293434343434343</v>
      </c>
      <c r="R552" s="24" t="n">
        <f aca="false">IFERROR(SUMPRODUCT(($B$2:$B$1001=B552)*($Q$2:$Q$1001&lt;=Q552))/SUMPRODUCT(($B$2:$B$1001=B552)*1),0)</f>
        <v>0.242424242424242</v>
      </c>
      <c r="S552" s="24" t="n">
        <f aca="false">IFERROR(SUMPRODUCT(($B$2:$B$1001=B552)*($K$2:$K$1001&lt;=K552))/SUMPRODUCT(($B$2:$B$1001=B552)*1),0)</f>
        <v>0.404040404040404</v>
      </c>
      <c r="T552" s="26" t="n">
        <f aca="false">(R552-S552)*100</f>
        <v>-16.1616161616162</v>
      </c>
      <c r="U552" s="21" t="str">
        <f aca="false">'Player Data'!T552</f>
        <v>No</v>
      </c>
      <c r="V552" s="27" t="n">
        <f aca="false">'Player Data'!U552</f>
        <v>2026</v>
      </c>
      <c r="W552" s="21" t="str">
        <f aca="false">IF(AND(T552&gt;=Assumptions!$B$19,U552="No"),"High Priority - Unrepresented",IF(T552&gt;=Assumptions!$B$19,"High Priority",IF(AND(T552&gt;=Assumptions!$B$20,U552="No"),"Watchlist - Unrepresented",IF(T552&gt;=Assumptions!$B$20,"Watchlist",""))))</f>
        <v/>
      </c>
      <c r="X552" s="21" t="str">
        <f aca="false">'Player Data'!V552</f>
        <v>info@livingstonewanderers.zm</v>
      </c>
      <c r="Y552" s="28" t="str">
        <f aca="false">'Player Data'!W552</f>
        <v>Club sporting director / first-team office</v>
      </c>
      <c r="Z552" s="28" t="str">
        <f aca="false">'Player Data'!X552</f>
        <v>FAZ (Football Association of Zambia) player registry</v>
      </c>
      <c r="AA552" s="19" t="str">
        <f aca="false">HYPERLINK("https://www.transfermarkt.com/schnellsuche/ergebnis/schnellsuche?query="&amp;SUBSTITUTE(A552," ","+"),"Search Transfermarkt")</f>
        <v>Search Transfermarkt</v>
      </c>
      <c r="AB552" s="29" t="n">
        <f aca="false">IFERROR('Player Data'!K552/('Player Data'!K552+'Player Data'!L552),0)</f>
        <v>0.612</v>
      </c>
      <c r="AC552" s="21" t="str">
        <f aca="false">IF(B552="GK",IF(AND(O552&gt;=Assumptions!$B$23,N552&gt;=Assumptions!$B$23),"Sweeper-Keeper / Build-from-the-Back",IF(O552&gt;=Assumptions!$B$23,"Sweeper-Keeper / High Line",IF(M552&gt;=Assumptions!$B$23,"Shot-Stopper / Traditional","Flexible / Multi-System"))),IF(AND(O552&gt;=Assumptions!$B$23,P552&gt;=Assumptions!$B$24),"High Press / Gegenpressing",IF(AND(N552&gt;=Assumptions!$B$23,AB552&gt;=Assumptions!$B$25),"Possession / Build-from-the-Back",IF(N552&gt;=Assumptions!$B$23,"Counter-Attack / Transition",IF(AND(O552&gt;=Assumptions!$B$23,N552&lt;Assumptions!$B$26),"Low Block / Park the Bus",IF(AND(B552="FW",M552&gt;=Assumptions!$B$23,N552&lt;Assumptions!$B$26),"Direct / Target Approach","Flexible / Multi-System"))))))</f>
        <v>Flexible / Multi-System</v>
      </c>
      <c r="AD552" s="21" t="str">
        <f aca="false">'Player Data'!Y552</f>
        <v>2026-07-17</v>
      </c>
      <c r="AE552" s="21" t="str">
        <f aca="false">'Player Data'!Z552</f>
        <v>2026-07-17</v>
      </c>
      <c r="AF552" s="28" t="str">
        <f aca="false">IFERROR(INDEX(Assumptions!$B$30:$B$61,MATCH(C552,Assumptions!$A$30:$A$61,0)),"--")</f>
        <v>Belgium, Portugal</v>
      </c>
      <c r="AG552" s="30" t="str">
        <f aca="false">IF(R552&gt;=0.7,"Step-Up Candidate",IF(R552&gt;=0.4,"Lateral Move","Stay &amp; Develop"))</f>
        <v>Stay &amp; Develop</v>
      </c>
    </row>
    <row r="553" customFormat="false" ht="23.85" hidden="false" customHeight="false" outlineLevel="0" collapsed="false">
      <c r="A553" s="21" t="str">
        <f aca="false">'Player Data'!A553</f>
        <v>Souleymane Camara</v>
      </c>
      <c r="B553" s="21" t="str">
        <f aca="false">'Player Data'!F553</f>
        <v>DF</v>
      </c>
      <c r="C553" s="21" t="str">
        <f aca="false">'Player Data'!B553</f>
        <v>Mali</v>
      </c>
      <c r="D553" s="21" t="str">
        <f aca="false">'Player Data'!C553</f>
        <v>Mali Provincial League</v>
      </c>
      <c r="E553" s="21" t="n">
        <f aca="false">'Player Data'!D553</f>
        <v>4</v>
      </c>
      <c r="F553" s="21" t="n">
        <f aca="false">'Player Data'!G553</f>
        <v>17</v>
      </c>
      <c r="G553" s="21" t="n">
        <f aca="false">'Player Data'!H553</f>
        <v>1268</v>
      </c>
      <c r="H553" s="22" t="n">
        <f aca="false">IF(B553="GK",IFERROR(('Player Data'!N553-1.5*'Player Data'!O553)/'Player Data'!H553*90,0),IFERROR(('Player Data'!I553+'Player Data'!J553)/'Player Data'!H553*90,0))</f>
        <v>0.141955835962145</v>
      </c>
      <c r="I553" s="22" t="n">
        <f aca="false">IF(B553="GK",'Player Data'!P553,IFERROR(('Player Data'!K553+'Player Data'!L553)/'Player Data'!H553*90,0))</f>
        <v>7.38170347003155</v>
      </c>
      <c r="J553" s="22" t="n">
        <f aca="false">IF(B553="GK",IFERROR('Player Data'!Q553/'Player Data'!H553*90,0),IFERROR('Player Data'!M553/'Player Data'!H553*90,0))</f>
        <v>7.87854889589905</v>
      </c>
      <c r="K553" s="23" t="n">
        <f aca="false">'Player Data'!S553</f>
        <v>97217</v>
      </c>
      <c r="L553" s="22" t="n">
        <f aca="false">INDEX(Assumptions!$B$13:$B$15,MATCH(E553,Assumptions!$A$13:$A$15,0))</f>
        <v>0.7</v>
      </c>
      <c r="M553" s="24" t="n">
        <f aca="false">IFERROR(SUMPRODUCT(($B$2:$B$1001=B553)*($H$2:$H$1001&lt;=H553))/SUMPRODUCT(($B$2:$B$1001=B553)*1),0)</f>
        <v>0.340136054421769</v>
      </c>
      <c r="N553" s="24" t="n">
        <f aca="false">IFERROR(SUMPRODUCT(($B$2:$B$1001=B553)*($I$2:$I$1001&lt;=I553))/SUMPRODUCT(($B$2:$B$1001=B553)*1),0)</f>
        <v>0.850340136054422</v>
      </c>
      <c r="O553" s="24" t="n">
        <f aca="false">IFERROR(SUMPRODUCT(($B$2:$B$1001=B553)*($J$2:$J$1001&lt;=J553))/SUMPRODUCT(($B$2:$B$1001=B553)*1),0)</f>
        <v>0.829931972789116</v>
      </c>
      <c r="P553" s="24" t="n">
        <f aca="false">IFERROR(SUMPRODUCT(($B$2:$B$1001=B553)*((0-$F$2:$F$1001)&lt;=(0-F553)))/SUMPRODUCT(($B$2:$B$1001=B553)*1),0)</f>
        <v>1</v>
      </c>
      <c r="Q553" s="25" t="n">
        <f aca="false">(M553*Assumptions!$B$5+N553*Assumptions!$B$6+O553*Assumptions!$B$7+P553*Assumptions!$B$8)*L553</f>
        <v>0.524047619047619</v>
      </c>
      <c r="R553" s="24" t="n">
        <f aca="false">IFERROR(SUMPRODUCT(($B$2:$B$1001=B553)*($Q$2:$Q$1001&lt;=Q553))/SUMPRODUCT(($B$2:$B$1001=B553)*1),0)</f>
        <v>0.656462585034014</v>
      </c>
      <c r="S553" s="24" t="n">
        <f aca="false">IFERROR(SUMPRODUCT(($B$2:$B$1001=B553)*($K$2:$K$1001&lt;=K553))/SUMPRODUCT(($B$2:$B$1001=B553)*1),0)</f>
        <v>0.724489795918367</v>
      </c>
      <c r="T553" s="26" t="n">
        <f aca="false">(R553-S553)*100</f>
        <v>-6.80272108843538</v>
      </c>
      <c r="U553" s="21" t="str">
        <f aca="false">'Player Data'!T553</f>
        <v>No</v>
      </c>
      <c r="V553" s="27" t="n">
        <f aca="false">'Player Data'!U553</f>
        <v>2027</v>
      </c>
      <c r="W553" s="21" t="str">
        <f aca="false">IF(AND(T553&gt;=Assumptions!$B$19,U553="No"),"High Priority - Unrepresented",IF(T553&gt;=Assumptions!$B$19,"High Priority",IF(AND(T553&gt;=Assumptions!$B$20,U553="No"),"Watchlist - Unrepresented",IF(T553&gt;=Assumptions!$B$20,"Watchlist",""))))</f>
        <v/>
      </c>
      <c r="X553" s="21" t="str">
        <f aca="false">'Player Data'!V553</f>
        <v>info@moptifc.ml</v>
      </c>
      <c r="Y553" s="28" t="str">
        <f aca="false">'Player Data'!W553</f>
        <v>Club youth/academy office ONLY - player is a minor, do not contact directly</v>
      </c>
      <c r="Z553" s="28" t="str">
        <f aca="false">'Player Data'!X553</f>
        <v>FEMAFOOT (Malian Football Federation) player registry</v>
      </c>
      <c r="AA553" s="19" t="str">
        <f aca="false">HYPERLINK("https://www.transfermarkt.com/schnellsuche/ergebnis/schnellsuche?query="&amp;SUBSTITUTE(A553," ","+"),"Search Transfermarkt")</f>
        <v>Search Transfermarkt</v>
      </c>
      <c r="AB553" s="29" t="n">
        <f aca="false">IFERROR('Player Data'!K553/('Player Data'!K553+'Player Data'!L553),0)</f>
        <v>0.557692307692308</v>
      </c>
      <c r="AC553" s="21" t="str">
        <f aca="false">IF(B553="GK",IF(AND(O553&gt;=Assumptions!$B$23,N553&gt;=Assumptions!$B$23),"Sweeper-Keeper / Build-from-the-Back",IF(O553&gt;=Assumptions!$B$23,"Sweeper-Keeper / High Line",IF(M553&gt;=Assumptions!$B$23,"Shot-Stopper / Traditional","Flexible / Multi-System"))),IF(AND(O553&gt;=Assumptions!$B$23,P553&gt;=Assumptions!$B$24),"High Press / Gegenpressing",IF(AND(N553&gt;=Assumptions!$B$23,AB553&gt;=Assumptions!$B$25),"Possession / Build-from-the-Back",IF(N553&gt;=Assumptions!$B$23,"Counter-Attack / Transition",IF(AND(O553&gt;=Assumptions!$B$23,N553&lt;Assumptions!$B$26),"Low Block / Park the Bus",IF(AND(B553="FW",M553&gt;=Assumptions!$B$23,N553&lt;Assumptions!$B$26),"Direct / Target Approach","Flexible / Multi-System"))))))</f>
        <v>High Press / Gegenpressing</v>
      </c>
      <c r="AD553" s="21" t="str">
        <f aca="false">'Player Data'!Y553</f>
        <v>2026-07-17</v>
      </c>
      <c r="AE553" s="21" t="str">
        <f aca="false">'Player Data'!Z553</f>
        <v>2026-07-17</v>
      </c>
      <c r="AF553" s="28" t="str">
        <f aca="false">IFERROR(INDEX(Assumptions!$B$30:$B$61,MATCH(C553,Assumptions!$A$30:$A$61,0)),"--")</f>
        <v>Belgium, Portugal</v>
      </c>
      <c r="AG553" s="30" t="str">
        <f aca="false">IF(R553&gt;=0.7,"Step-Up Candidate",IF(R553&gt;=0.4,"Lateral Move","Stay &amp; Develop"))</f>
        <v>Lateral Move</v>
      </c>
    </row>
    <row r="554" customFormat="false" ht="23.85" hidden="false" customHeight="false" outlineLevel="0" collapsed="false">
      <c r="A554" s="21" t="str">
        <f aca="false">'Player Data'!A554</f>
        <v>Luka Kapanadze</v>
      </c>
      <c r="B554" s="21" t="str">
        <f aca="false">'Player Data'!F554</f>
        <v>GK</v>
      </c>
      <c r="C554" s="21" t="str">
        <f aca="false">'Player Data'!B554</f>
        <v>Georgia</v>
      </c>
      <c r="D554" s="21" t="str">
        <f aca="false">'Player Data'!C554</f>
        <v>Georgia Third Tier - North</v>
      </c>
      <c r="E554" s="21" t="n">
        <f aca="false">'Player Data'!D554</f>
        <v>2</v>
      </c>
      <c r="F554" s="21" t="n">
        <f aca="false">'Player Data'!G554</f>
        <v>18</v>
      </c>
      <c r="G554" s="21" t="n">
        <f aca="false">'Player Data'!H554</f>
        <v>2444</v>
      </c>
      <c r="H554" s="22" t="n">
        <f aca="false">IF(B554="GK",IFERROR(('Player Data'!N554-1.5*'Player Data'!O554)/'Player Data'!H554*90,0),IFERROR(('Player Data'!I554+'Player Data'!J554)/'Player Data'!H554*90,0))</f>
        <v>-0.994271685761048</v>
      </c>
      <c r="I554" s="22" t="n">
        <f aca="false">IF(B554="GK",'Player Data'!P554,IFERROR(('Player Data'!K554+'Player Data'!L554)/'Player Data'!H554*90,0))</f>
        <v>87.9</v>
      </c>
      <c r="J554" s="22" t="n">
        <f aca="false">IF(B554="GK",IFERROR('Player Data'!Q554/'Player Data'!H554*90,0),IFERROR('Player Data'!M554/'Player Data'!H554*90,0))</f>
        <v>1.34779050736498</v>
      </c>
      <c r="K554" s="23" t="n">
        <f aca="false">'Player Data'!S554</f>
        <v>146538</v>
      </c>
      <c r="L554" s="22" t="n">
        <f aca="false">INDEX(Assumptions!$B$13:$B$15,MATCH(E554,Assumptions!$A$13:$A$15,0))</f>
        <v>1</v>
      </c>
      <c r="M554" s="24" t="n">
        <f aca="false">IFERROR(SUMPRODUCT(($B$2:$B$1001=B554)*($H$2:$H$1001&lt;=H554))/SUMPRODUCT(($B$2:$B$1001=B554)*1),0)</f>
        <v>0.00546448087431694</v>
      </c>
      <c r="N554" s="24" t="n">
        <f aca="false">IFERROR(SUMPRODUCT(($B$2:$B$1001=B554)*($I$2:$I$1001&lt;=I554))/SUMPRODUCT(($B$2:$B$1001=B554)*1),0)</f>
        <v>0.918032786885246</v>
      </c>
      <c r="O554" s="24" t="n">
        <f aca="false">IFERROR(SUMPRODUCT(($B$2:$B$1001=B554)*($J$2:$J$1001&lt;=J554))/SUMPRODUCT(($B$2:$B$1001=B554)*1),0)</f>
        <v>0.863387978142077</v>
      </c>
      <c r="P554" s="24" t="n">
        <f aca="false">IFERROR(SUMPRODUCT(($B$2:$B$1001=B554)*((0-$F$2:$F$1001)&lt;=(0-F554)))/SUMPRODUCT(($B$2:$B$1001=B554)*1),0)</f>
        <v>0.907103825136612</v>
      </c>
      <c r="Q554" s="25" t="n">
        <f aca="false">(M554*Assumptions!$B$5+N554*Assumptions!$B$6+O554*Assumptions!$B$7+P554*Assumptions!$B$8)*L554</f>
        <v>0.676775956284153</v>
      </c>
      <c r="R554" s="24" t="n">
        <f aca="false">IFERROR(SUMPRODUCT(($B$2:$B$1001=B554)*($Q$2:$Q$1001&lt;=Q554))/SUMPRODUCT(($B$2:$B$1001=B554)*1),0)</f>
        <v>0.967213114754098</v>
      </c>
      <c r="S554" s="24" t="n">
        <f aca="false">IFERROR(SUMPRODUCT(($B$2:$B$1001=B554)*($K$2:$K$1001&lt;=K554))/SUMPRODUCT(($B$2:$B$1001=B554)*1),0)</f>
        <v>0.983606557377049</v>
      </c>
      <c r="T554" s="26" t="n">
        <f aca="false">(R554-S554)*100</f>
        <v>-1.63934426229508</v>
      </c>
      <c r="U554" s="21" t="str">
        <f aca="false">'Player Data'!T554</f>
        <v>No</v>
      </c>
      <c r="V554" s="27" t="n">
        <f aca="false">'Player Data'!U554</f>
        <v>2028</v>
      </c>
      <c r="W554" s="21" t="str">
        <f aca="false">IF(AND(T554&gt;=Assumptions!$B$19,U554="No"),"High Priority - Unrepresented",IF(T554&gt;=Assumptions!$B$19,"High Priority",IF(AND(T554&gt;=Assumptions!$B$20,U554="No"),"Watchlist - Unrepresented",IF(T554&gt;=Assumptions!$B$20,"Watchlist",""))))</f>
        <v/>
      </c>
      <c r="X554" s="21" t="str">
        <f aca="false">'Player Data'!V554</f>
        <v>info@batumicity.ge</v>
      </c>
      <c r="Y554" s="28" t="str">
        <f aca="false">'Player Data'!W554</f>
        <v>Club sporting director / first-team office</v>
      </c>
      <c r="Z554" s="28" t="str">
        <f aca="false">'Player Data'!X554</f>
        <v>GFF (Georgian Football Federation) player registry</v>
      </c>
      <c r="AA554" s="19" t="str">
        <f aca="false">HYPERLINK("https://www.transfermarkt.com/schnellsuche/ergebnis/schnellsuche?query="&amp;SUBSTITUTE(A554," ","+"),"Search Transfermarkt")</f>
        <v>Search Transfermarkt</v>
      </c>
      <c r="AB554" s="29" t="n">
        <f aca="false">IFERROR('Player Data'!K554/('Player Data'!K554+'Player Data'!L554),0)</f>
        <v>0.785714285714286</v>
      </c>
      <c r="AC554" s="21" t="str">
        <f aca="false">IF(B554="GK",IF(AND(O554&gt;=Assumptions!$B$23,N554&gt;=Assumptions!$B$23),"Sweeper-Keeper / Build-from-the-Back",IF(O554&gt;=Assumptions!$B$23,"Sweeper-Keeper / High Line",IF(M554&gt;=Assumptions!$B$23,"Shot-Stopper / Traditional","Flexible / Multi-System"))),IF(AND(O554&gt;=Assumptions!$B$23,P554&gt;=Assumptions!$B$24),"High Press / Gegenpressing",IF(AND(N554&gt;=Assumptions!$B$23,AB554&gt;=Assumptions!$B$25),"Possession / Build-from-the-Back",IF(N554&gt;=Assumptions!$B$23,"Counter-Attack / Transition",IF(AND(O554&gt;=Assumptions!$B$23,N554&lt;Assumptions!$B$26),"Low Block / Park the Bus",IF(AND(B554="FW",M554&gt;=Assumptions!$B$23,N554&lt;Assumptions!$B$26),"Direct / Target Approach","Flexible / Multi-System"))))))</f>
        <v>Sweeper-Keeper / Build-from-the-Back</v>
      </c>
      <c r="AD554" s="21" t="str">
        <f aca="false">'Player Data'!Y554</f>
        <v>2026-07-17</v>
      </c>
      <c r="AE554" s="21" t="str">
        <f aca="false">'Player Data'!Z554</f>
        <v>2026-07-17</v>
      </c>
      <c r="AF554" s="28" t="str">
        <f aca="false">IFERROR(INDEX(Assumptions!$B$30:$B$61,MATCH(C554,Assumptions!$A$30:$A$61,0)),"--")</f>
        <v>Turkey, Poland</v>
      </c>
      <c r="AG554" s="30" t="str">
        <f aca="false">IF(R554&gt;=0.7,"Step-Up Candidate",IF(R554&gt;=0.4,"Lateral Move","Stay &amp; Develop"))</f>
        <v>Step-Up Candidate</v>
      </c>
    </row>
    <row r="555" customFormat="false" ht="23.85" hidden="false" customHeight="false" outlineLevel="0" collapsed="false">
      <c r="A555" s="21" t="str">
        <f aca="false">'Player Data'!A555</f>
        <v>Ali Salim</v>
      </c>
      <c r="B555" s="21" t="str">
        <f aca="false">'Player Data'!F555</f>
        <v>FW</v>
      </c>
      <c r="C555" s="21" t="str">
        <f aca="false">'Player Data'!B555</f>
        <v>Iraq</v>
      </c>
      <c r="D555" s="21" t="str">
        <f aca="false">'Player Data'!C555</f>
        <v>Iraq Second Division - East</v>
      </c>
      <c r="E555" s="21" t="n">
        <f aca="false">'Player Data'!D555</f>
        <v>2</v>
      </c>
      <c r="F555" s="21" t="n">
        <f aca="false">'Player Data'!G555</f>
        <v>26</v>
      </c>
      <c r="G555" s="21" t="n">
        <f aca="false">'Player Data'!H555</f>
        <v>1914</v>
      </c>
      <c r="H555" s="22" t="n">
        <f aca="false">IF(B555="GK",IFERROR(('Player Data'!N555-1.5*'Player Data'!O555)/'Player Data'!H555*90,0),IFERROR(('Player Data'!I555+'Player Data'!J555)/'Player Data'!H555*90,0))</f>
        <v>1.12852664576803</v>
      </c>
      <c r="I555" s="22" t="n">
        <f aca="false">IF(B555="GK",'Player Data'!P555,IFERROR(('Player Data'!K555+'Player Data'!L555)/'Player Data'!H555*90,0))</f>
        <v>5.68965517241379</v>
      </c>
      <c r="J555" s="22" t="n">
        <f aca="false">IF(B555="GK",IFERROR('Player Data'!Q555/'Player Data'!H555*90,0),IFERROR('Player Data'!M555/'Player Data'!H555*90,0))</f>
        <v>0.188087774294671</v>
      </c>
      <c r="K555" s="23" t="n">
        <f aca="false">'Player Data'!S555</f>
        <v>68929</v>
      </c>
      <c r="L555" s="22" t="n">
        <f aca="false">INDEX(Assumptions!$B$13:$B$15,MATCH(E555,Assumptions!$A$13:$A$15,0))</f>
        <v>1</v>
      </c>
      <c r="M555" s="24" t="n">
        <f aca="false">IFERROR(SUMPRODUCT(($B$2:$B$1001=B555)*($H$2:$H$1001&lt;=H555))/SUMPRODUCT(($B$2:$B$1001=B555)*1),0)</f>
        <v>0.646017699115044</v>
      </c>
      <c r="N555" s="24" t="n">
        <f aca="false">IFERROR(SUMPRODUCT(($B$2:$B$1001=B555)*($I$2:$I$1001&lt;=I555))/SUMPRODUCT(($B$2:$B$1001=B555)*1),0)</f>
        <v>0.367256637168142</v>
      </c>
      <c r="O555" s="24" t="n">
        <f aca="false">IFERROR(SUMPRODUCT(($B$2:$B$1001=B555)*($J$2:$J$1001&lt;=J555))/SUMPRODUCT(($B$2:$B$1001=B555)*1),0)</f>
        <v>0.0353982300884956</v>
      </c>
      <c r="P555" s="24" t="n">
        <f aca="false">IFERROR(SUMPRODUCT(($B$2:$B$1001=B555)*((0-$F$2:$F$1001)&lt;=(0-F555)))/SUMPRODUCT(($B$2:$B$1001=B555)*1),0)</f>
        <v>0.0929203539823009</v>
      </c>
      <c r="Q555" s="25" t="n">
        <f aca="false">(M555*Assumptions!$B$5+N555*Assumptions!$B$6+O555*Assumptions!$B$7+P555*Assumptions!$B$8)*L555</f>
        <v>0.31570796460177</v>
      </c>
      <c r="R555" s="24" t="n">
        <f aca="false">IFERROR(SUMPRODUCT(($B$2:$B$1001=B555)*($Q$2:$Q$1001&lt;=Q555))/SUMPRODUCT(($B$2:$B$1001=B555)*1),0)</f>
        <v>0.305309734513274</v>
      </c>
      <c r="S555" s="24" t="n">
        <f aca="false">IFERROR(SUMPRODUCT(($B$2:$B$1001=B555)*($K$2:$K$1001&lt;=K555))/SUMPRODUCT(($B$2:$B$1001=B555)*1),0)</f>
        <v>0.553097345132743</v>
      </c>
      <c r="T555" s="26" t="n">
        <f aca="false">(R555-S555)*100</f>
        <v>-24.7787610619469</v>
      </c>
      <c r="U555" s="21" t="str">
        <f aca="false">'Player Data'!T555</f>
        <v>No</v>
      </c>
      <c r="V555" s="27" t="n">
        <f aca="false">'Player Data'!U555</f>
        <v>2027</v>
      </c>
      <c r="W555" s="21" t="str">
        <f aca="false">IF(AND(T555&gt;=Assumptions!$B$19,U555="No"),"High Priority - Unrepresented",IF(T555&gt;=Assumptions!$B$19,"High Priority",IF(AND(T555&gt;=Assumptions!$B$20,U555="No"),"Watchlist - Unrepresented",IF(T555&gt;=Assumptions!$B$20,"Watchlist",""))))</f>
        <v/>
      </c>
      <c r="X555" s="21" t="str">
        <f aca="false">'Player Data'!V555</f>
        <v>info@najafrovers.iq</v>
      </c>
      <c r="Y555" s="28" t="str">
        <f aca="false">'Player Data'!W555</f>
        <v>Club sporting director / first-team office</v>
      </c>
      <c r="Z555" s="28" t="str">
        <f aca="false">'Player Data'!X555</f>
        <v>IFA (Iraq Football Association) player registry</v>
      </c>
      <c r="AA555" s="19" t="str">
        <f aca="false">HYPERLINK("https://www.transfermarkt.com/schnellsuche/ergebnis/schnellsuche?query="&amp;SUBSTITUTE(A555," ","+"),"Search Transfermarkt")</f>
        <v>Search Transfermarkt</v>
      </c>
      <c r="AB555" s="29" t="n">
        <f aca="false">IFERROR('Player Data'!K555/('Player Data'!K555+'Player Data'!L555),0)</f>
        <v>0.479338842975207</v>
      </c>
      <c r="AC555" s="21" t="str">
        <f aca="false">IF(B555="GK",IF(AND(O555&gt;=Assumptions!$B$23,N555&gt;=Assumptions!$B$23),"Sweeper-Keeper / Build-from-the-Back",IF(O555&gt;=Assumptions!$B$23,"Sweeper-Keeper / High Line",IF(M555&gt;=Assumptions!$B$23,"Shot-Stopper / Traditional","Flexible / Multi-System"))),IF(AND(O555&gt;=Assumptions!$B$23,P555&gt;=Assumptions!$B$24),"High Press / Gegenpressing",IF(AND(N555&gt;=Assumptions!$B$23,AB555&gt;=Assumptions!$B$25),"Possession / Build-from-the-Back",IF(N555&gt;=Assumptions!$B$23,"Counter-Attack / Transition",IF(AND(O555&gt;=Assumptions!$B$23,N555&lt;Assumptions!$B$26),"Low Block / Park the Bus",IF(AND(B555="FW",M555&gt;=Assumptions!$B$23,N555&lt;Assumptions!$B$26),"Direct / Target Approach","Flexible / Multi-System"))))))</f>
        <v>Flexible / Multi-System</v>
      </c>
      <c r="AD555" s="21" t="str">
        <f aca="false">'Player Data'!Y555</f>
        <v>2026-07-17</v>
      </c>
      <c r="AE555" s="21" t="str">
        <f aca="false">'Player Data'!Z555</f>
        <v>2026-07-17</v>
      </c>
      <c r="AF555" s="28" t="str">
        <f aca="false">IFERROR(INDEX(Assumptions!$B$30:$B$61,MATCH(C555,Assumptions!$A$30:$A$61,0)),"--")</f>
        <v>Turkey, Saudi Arabia</v>
      </c>
      <c r="AG555" s="30" t="str">
        <f aca="false">IF(R555&gt;=0.7,"Step-Up Candidate",IF(R555&gt;=0.4,"Lateral Move","Stay &amp; Develop"))</f>
        <v>Stay &amp; Develop</v>
      </c>
    </row>
    <row r="556" customFormat="false" ht="23.85" hidden="false" customHeight="false" outlineLevel="0" collapsed="false">
      <c r="A556" s="21" t="str">
        <f aca="false">'Player Data'!A556</f>
        <v>Yaw Asante</v>
      </c>
      <c r="B556" s="21" t="str">
        <f aca="false">'Player Data'!F556</f>
        <v>MF</v>
      </c>
      <c r="C556" s="21" t="str">
        <f aca="false">'Player Data'!B556</f>
        <v>Ghana</v>
      </c>
      <c r="D556" s="21" t="str">
        <f aca="false">'Player Data'!C556</f>
        <v>Ghana Third Tier - South</v>
      </c>
      <c r="E556" s="21" t="n">
        <f aca="false">'Player Data'!D556</f>
        <v>3</v>
      </c>
      <c r="F556" s="21" t="n">
        <f aca="false">'Player Data'!G556</f>
        <v>21</v>
      </c>
      <c r="G556" s="21" t="n">
        <f aca="false">'Player Data'!H556</f>
        <v>1121</v>
      </c>
      <c r="H556" s="22" t="n">
        <f aca="false">IF(B556="GK",IFERROR(('Player Data'!N556-1.5*'Player Data'!O556)/'Player Data'!H556*90,0),IFERROR(('Player Data'!I556+'Player Data'!J556)/'Player Data'!H556*90,0))</f>
        <v>1.04371097234612</v>
      </c>
      <c r="I556" s="22" t="n">
        <f aca="false">IF(B556="GK",'Player Data'!P556,IFERROR(('Player Data'!K556+'Player Data'!L556)/'Player Data'!H556*90,0))</f>
        <v>19.1882247992864</v>
      </c>
      <c r="J556" s="22" t="n">
        <f aca="false">IF(B556="GK",IFERROR('Player Data'!Q556/'Player Data'!H556*90,0),IFERROR('Player Data'!M556/'Player Data'!H556*90,0))</f>
        <v>3.77341659232828</v>
      </c>
      <c r="K556" s="23" t="n">
        <f aca="false">'Player Data'!S556</f>
        <v>149564</v>
      </c>
      <c r="L556" s="22" t="n">
        <f aca="false">INDEX(Assumptions!$B$13:$B$15,MATCH(E556,Assumptions!$A$13:$A$15,0))</f>
        <v>0.85</v>
      </c>
      <c r="M556" s="24" t="n">
        <f aca="false">IFERROR(SUMPRODUCT(($B$2:$B$1001=B556)*($H$2:$H$1001&lt;=H556))/SUMPRODUCT(($B$2:$B$1001=B556)*1),0)</f>
        <v>0.804713804713805</v>
      </c>
      <c r="N556" s="24" t="n">
        <f aca="false">IFERROR(SUMPRODUCT(($B$2:$B$1001=B556)*($I$2:$I$1001&lt;=I556))/SUMPRODUCT(($B$2:$B$1001=B556)*1),0)</f>
        <v>0.888888888888889</v>
      </c>
      <c r="O556" s="24" t="n">
        <f aca="false">IFERROR(SUMPRODUCT(($B$2:$B$1001=B556)*($J$2:$J$1001&lt;=J556))/SUMPRODUCT(($B$2:$B$1001=B556)*1),0)</f>
        <v>0.902356902356902</v>
      </c>
      <c r="P556" s="24" t="n">
        <f aca="false">IFERROR(SUMPRODUCT(($B$2:$B$1001=B556)*((0-$F$2:$F$1001)&lt;=(0-F556)))/SUMPRODUCT(($B$2:$B$1001=B556)*1),0)</f>
        <v>0.61952861952862</v>
      </c>
      <c r="Q556" s="25" t="n">
        <f aca="false">(M556*Assumptions!$B$5+N556*Assumptions!$B$6+O556*Assumptions!$B$7+P556*Assumptions!$B$8)*L556</f>
        <v>0.694166666666667</v>
      </c>
      <c r="R556" s="24" t="n">
        <f aca="false">IFERROR(SUMPRODUCT(($B$2:$B$1001=B556)*($Q$2:$Q$1001&lt;=Q556))/SUMPRODUCT(($B$2:$B$1001=B556)*1),0)</f>
        <v>0.872053872053872</v>
      </c>
      <c r="S556" s="24" t="n">
        <f aca="false">IFERROR(SUMPRODUCT(($B$2:$B$1001=B556)*($K$2:$K$1001&lt;=K556))/SUMPRODUCT(($B$2:$B$1001=B556)*1),0)</f>
        <v>1</v>
      </c>
      <c r="T556" s="26" t="n">
        <f aca="false">(R556-S556)*100</f>
        <v>-12.7946127946128</v>
      </c>
      <c r="U556" s="21" t="str">
        <f aca="false">'Player Data'!T556</f>
        <v>No</v>
      </c>
      <c r="V556" s="27" t="n">
        <f aca="false">'Player Data'!U556</f>
        <v>2026</v>
      </c>
      <c r="W556" s="21" t="str">
        <f aca="false">IF(AND(T556&gt;=Assumptions!$B$19,U556="No"),"High Priority - Unrepresented",IF(T556&gt;=Assumptions!$B$19,"High Priority",IF(AND(T556&gt;=Assumptions!$B$20,U556="No"),"Watchlist - Unrepresented",IF(T556&gt;=Assumptions!$B$20,"Watchlist",""))))</f>
        <v/>
      </c>
      <c r="X556" s="21" t="str">
        <f aca="false">'Player Data'!V556</f>
        <v>info@accrawanderers.gh</v>
      </c>
      <c r="Y556" s="28" t="str">
        <f aca="false">'Player Data'!W556</f>
        <v>Club sporting director / first-team office</v>
      </c>
      <c r="Z556" s="28" t="str">
        <f aca="false">'Player Data'!X556</f>
        <v>GFA (Ghana Football Association) player registry</v>
      </c>
      <c r="AA556" s="19" t="str">
        <f aca="false">HYPERLINK("https://www.transfermarkt.com/schnellsuche/ergebnis/schnellsuche?query="&amp;SUBSTITUTE(A556," ","+"),"Search Transfermarkt")</f>
        <v>Search Transfermarkt</v>
      </c>
      <c r="AB556" s="29" t="n">
        <f aca="false">IFERROR('Player Data'!K556/('Player Data'!K556+'Player Data'!L556),0)</f>
        <v>0.656903765690377</v>
      </c>
      <c r="AC556" s="21" t="str">
        <f aca="false">IF(B556="GK",IF(AND(O556&gt;=Assumptions!$B$23,N556&gt;=Assumptions!$B$23),"Sweeper-Keeper / Build-from-the-Back",IF(O556&gt;=Assumptions!$B$23,"Sweeper-Keeper / High Line",IF(M556&gt;=Assumptions!$B$23,"Shot-Stopper / Traditional","Flexible / Multi-System"))),IF(AND(O556&gt;=Assumptions!$B$23,P556&gt;=Assumptions!$B$24),"High Press / Gegenpressing",IF(AND(N556&gt;=Assumptions!$B$23,AB556&gt;=Assumptions!$B$25),"Possession / Build-from-the-Back",IF(N556&gt;=Assumptions!$B$23,"Counter-Attack / Transition",IF(AND(O556&gt;=Assumptions!$B$23,N556&lt;Assumptions!$B$26),"Low Block / Park the Bus",IF(AND(B556="FW",M556&gt;=Assumptions!$B$23,N556&lt;Assumptions!$B$26),"Direct / Target Approach","Flexible / Multi-System"))))))</f>
        <v>High Press / Gegenpressing</v>
      </c>
      <c r="AD556" s="21" t="str">
        <f aca="false">'Player Data'!Y556</f>
        <v>2026-07-17</v>
      </c>
      <c r="AE556" s="21" t="str">
        <f aca="false">'Player Data'!Z556</f>
        <v>2026-07-17</v>
      </c>
      <c r="AF556" s="28" t="str">
        <f aca="false">IFERROR(INDEX(Assumptions!$B$30:$B$61,MATCH(C556,Assumptions!$A$30:$A$61,0)),"--")</f>
        <v>Belgium, Portugal</v>
      </c>
      <c r="AG556" s="30" t="str">
        <f aca="false">IF(R556&gt;=0.7,"Step-Up Candidate",IF(R556&gt;=0.4,"Lateral Move","Stay &amp; Develop"))</f>
        <v>Step-Up Candidate</v>
      </c>
    </row>
    <row r="557" customFormat="false" ht="23.85" hidden="false" customHeight="false" outlineLevel="0" collapsed="false">
      <c r="A557" s="21" t="str">
        <f aca="false">'Player Data'!A557</f>
        <v>Bruno Pereira</v>
      </c>
      <c r="B557" s="21" t="str">
        <f aca="false">'Player Data'!F557</f>
        <v>DF</v>
      </c>
      <c r="C557" s="21" t="str">
        <f aca="false">'Player Data'!B557</f>
        <v>Uruguay</v>
      </c>
      <c r="D557" s="21" t="str">
        <f aca="false">'Player Data'!C557</f>
        <v>Uruguay Second Division</v>
      </c>
      <c r="E557" s="21" t="n">
        <f aca="false">'Player Data'!D557</f>
        <v>3</v>
      </c>
      <c r="F557" s="21" t="n">
        <f aca="false">'Player Data'!G557</f>
        <v>17</v>
      </c>
      <c r="G557" s="21" t="n">
        <f aca="false">'Player Data'!H557</f>
        <v>1807</v>
      </c>
      <c r="H557" s="22" t="n">
        <f aca="false">IF(B557="GK",IFERROR(('Player Data'!N557-1.5*'Player Data'!O557)/'Player Data'!H557*90,0),IFERROR(('Player Data'!I557+'Player Data'!J557)/'Player Data'!H557*90,0))</f>
        <v>0.298837852794687</v>
      </c>
      <c r="I557" s="22" t="n">
        <f aca="false">IF(B557="GK",'Player Data'!P557,IFERROR(('Player Data'!K557+'Player Data'!L557)/'Player Data'!H557*90,0))</f>
        <v>3.4366353071389</v>
      </c>
      <c r="J557" s="22" t="n">
        <f aca="false">IF(B557="GK",IFERROR('Player Data'!Q557/'Player Data'!H557*90,0),IFERROR('Player Data'!M557/'Player Data'!H557*90,0))</f>
        <v>4.33314886552297</v>
      </c>
      <c r="K557" s="23" t="n">
        <f aca="false">'Player Data'!S557</f>
        <v>0</v>
      </c>
      <c r="L557" s="22" t="n">
        <f aca="false">INDEX(Assumptions!$B$13:$B$15,MATCH(E557,Assumptions!$A$13:$A$15,0))</f>
        <v>0.85</v>
      </c>
      <c r="M557" s="24" t="n">
        <f aca="false">IFERROR(SUMPRODUCT(($B$2:$B$1001=B557)*($H$2:$H$1001&lt;=H557))/SUMPRODUCT(($B$2:$B$1001=B557)*1),0)</f>
        <v>0.76530612244898</v>
      </c>
      <c r="N557" s="24" t="n">
        <f aca="false">IFERROR(SUMPRODUCT(($B$2:$B$1001=B557)*($I$2:$I$1001&lt;=I557))/SUMPRODUCT(($B$2:$B$1001=B557)*1),0)</f>
        <v>0.210884353741497</v>
      </c>
      <c r="O557" s="24" t="n">
        <f aca="false">IFERROR(SUMPRODUCT(($B$2:$B$1001=B557)*($J$2:$J$1001&lt;=J557))/SUMPRODUCT(($B$2:$B$1001=B557)*1),0)</f>
        <v>0.326530612244898</v>
      </c>
      <c r="P557" s="24" t="n">
        <f aca="false">IFERROR(SUMPRODUCT(($B$2:$B$1001=B557)*((0-$F$2:$F$1001)&lt;=(0-F557)))/SUMPRODUCT(($B$2:$B$1001=B557)*1),0)</f>
        <v>1</v>
      </c>
      <c r="Q557" s="25" t="n">
        <f aca="false">(M557*Assumptions!$B$5+N557*Assumptions!$B$6+O557*Assumptions!$B$7+P557*Assumptions!$B$8)*L557</f>
        <v>0.450875850340136</v>
      </c>
      <c r="R557" s="24" t="n">
        <f aca="false">IFERROR(SUMPRODUCT(($B$2:$B$1001=B557)*($Q$2:$Q$1001&lt;=Q557))/SUMPRODUCT(($B$2:$B$1001=B557)*1),0)</f>
        <v>0.574829931972789</v>
      </c>
      <c r="S557" s="24" t="n">
        <f aca="false">IFERROR(SUMPRODUCT(($B$2:$B$1001=B557)*($K$2:$K$1001&lt;=K557))/SUMPRODUCT(($B$2:$B$1001=B557)*1),0)</f>
        <v>0.248299319727891</v>
      </c>
      <c r="T557" s="26" t="n">
        <f aca="false">(R557-S557)*100</f>
        <v>32.6530612244898</v>
      </c>
      <c r="U557" s="21" t="str">
        <f aca="false">'Player Data'!T557</f>
        <v>No</v>
      </c>
      <c r="V557" s="27" t="n">
        <f aca="false">'Player Data'!U557</f>
        <v>2028</v>
      </c>
      <c r="W557" s="21" t="str">
        <f aca="false">IF(AND(T557&gt;=Assumptions!$B$19,U557="No"),"High Priority - Unrepresented",IF(T557&gt;=Assumptions!$B$19,"High Priority",IF(AND(T557&gt;=Assumptions!$B$20,U557="No"),"Watchlist - Unrepresented",IF(T557&gt;=Assumptions!$B$20,"Watchlist",""))))</f>
        <v>Watchlist - Unrepresented</v>
      </c>
      <c r="X557" s="21" t="str">
        <f aca="false">'Player Data'!V557</f>
        <v>info@saltocity.uy</v>
      </c>
      <c r="Y557" s="28" t="str">
        <f aca="false">'Player Data'!W557</f>
        <v>Club youth/academy office ONLY - player is a minor, do not contact directly</v>
      </c>
      <c r="Z557" s="28" t="str">
        <f aca="false">'Player Data'!X557</f>
        <v>AUF (Uruguayan Football Association) player registry</v>
      </c>
      <c r="AA557" s="19" t="str">
        <f aca="false">HYPERLINK("https://www.transfermarkt.com/schnellsuche/ergebnis/schnellsuche?query="&amp;SUBSTITUTE(A557," ","+"),"Search Transfermarkt")</f>
        <v>Search Transfermarkt</v>
      </c>
      <c r="AB557" s="29" t="n">
        <f aca="false">IFERROR('Player Data'!K557/('Player Data'!K557+'Player Data'!L557),0)</f>
        <v>0.681159420289855</v>
      </c>
      <c r="AC557" s="21" t="str">
        <f aca="false">IF(B557="GK",IF(AND(O557&gt;=Assumptions!$B$23,N557&gt;=Assumptions!$B$23),"Sweeper-Keeper / Build-from-the-Back",IF(O557&gt;=Assumptions!$B$23,"Sweeper-Keeper / High Line",IF(M557&gt;=Assumptions!$B$23,"Shot-Stopper / Traditional","Flexible / Multi-System"))),IF(AND(O557&gt;=Assumptions!$B$23,P557&gt;=Assumptions!$B$24),"High Press / Gegenpressing",IF(AND(N557&gt;=Assumptions!$B$23,AB557&gt;=Assumptions!$B$25),"Possession / Build-from-the-Back",IF(N557&gt;=Assumptions!$B$23,"Counter-Attack / Transition",IF(AND(O557&gt;=Assumptions!$B$23,N557&lt;Assumptions!$B$26),"Low Block / Park the Bus",IF(AND(B557="FW",M557&gt;=Assumptions!$B$23,N557&lt;Assumptions!$B$26),"Direct / Target Approach","Flexible / Multi-System"))))))</f>
        <v>Flexible / Multi-System</v>
      </c>
      <c r="AD557" s="21" t="str">
        <f aca="false">'Player Data'!Y557</f>
        <v>2026-07-17</v>
      </c>
      <c r="AE557" s="21" t="str">
        <f aca="false">'Player Data'!Z557</f>
        <v>2026-07-17</v>
      </c>
      <c r="AF557" s="28" t="str">
        <f aca="false">IFERROR(INDEX(Assumptions!$B$30:$B$61,MATCH(C557,Assumptions!$A$30:$A$61,0)),"--")</f>
        <v>Argentina, Portugal</v>
      </c>
      <c r="AG557" s="30" t="str">
        <f aca="false">IF(R557&gt;=0.7,"Step-Up Candidate",IF(R557&gt;=0.4,"Lateral Move","Stay &amp; Develop"))</f>
        <v>Lateral Move</v>
      </c>
    </row>
    <row r="558" customFormat="false" ht="23.85" hidden="false" customHeight="false" outlineLevel="0" collapsed="false">
      <c r="A558" s="21" t="str">
        <f aca="false">'Player Data'!A558</f>
        <v>Anthony Martinez</v>
      </c>
      <c r="B558" s="21" t="str">
        <f aca="false">'Player Data'!F558</f>
        <v>DF</v>
      </c>
      <c r="C558" s="21" t="str">
        <f aca="false">'Player Data'!B558</f>
        <v>Honduras</v>
      </c>
      <c r="D558" s="21" t="str">
        <f aca="false">'Player Data'!C558</f>
        <v>Honduras Third Tier - North</v>
      </c>
      <c r="E558" s="21" t="n">
        <f aca="false">'Player Data'!D558</f>
        <v>2</v>
      </c>
      <c r="F558" s="21" t="n">
        <f aca="false">'Player Data'!G558</f>
        <v>26</v>
      </c>
      <c r="G558" s="21" t="n">
        <f aca="false">'Player Data'!H558</f>
        <v>2544</v>
      </c>
      <c r="H558" s="22" t="n">
        <f aca="false">IF(B558="GK",IFERROR(('Player Data'!N558-1.5*'Player Data'!O558)/'Player Data'!H558*90,0),IFERROR(('Player Data'!I558+'Player Data'!J558)/'Player Data'!H558*90,0))</f>
        <v>0.17688679245283</v>
      </c>
      <c r="I558" s="22" t="n">
        <f aca="false">IF(B558="GK",'Player Data'!P558,IFERROR(('Player Data'!K558+'Player Data'!L558)/'Player Data'!H558*90,0))</f>
        <v>3.14858490566038</v>
      </c>
      <c r="J558" s="22" t="n">
        <f aca="false">IF(B558="GK",IFERROR('Player Data'!Q558/'Player Data'!H558*90,0),IFERROR('Player Data'!M558/'Player Data'!H558*90,0))</f>
        <v>4.56367924528302</v>
      </c>
      <c r="K558" s="23" t="n">
        <f aca="false">'Player Data'!S558</f>
        <v>0</v>
      </c>
      <c r="L558" s="22" t="n">
        <f aca="false">INDEX(Assumptions!$B$13:$B$15,MATCH(E558,Assumptions!$A$13:$A$15,0))</f>
        <v>1</v>
      </c>
      <c r="M558" s="24" t="n">
        <f aca="false">IFERROR(SUMPRODUCT(($B$2:$B$1001=B558)*($H$2:$H$1001&lt;=H558))/SUMPRODUCT(($B$2:$B$1001=B558)*1),0)</f>
        <v>0.469387755102041</v>
      </c>
      <c r="N558" s="24" t="n">
        <f aca="false">IFERROR(SUMPRODUCT(($B$2:$B$1001=B558)*($I$2:$I$1001&lt;=I558))/SUMPRODUCT(($B$2:$B$1001=B558)*1),0)</f>
        <v>0.108843537414966</v>
      </c>
      <c r="O558" s="24" t="n">
        <f aca="false">IFERROR(SUMPRODUCT(($B$2:$B$1001=B558)*($J$2:$J$1001&lt;=J558))/SUMPRODUCT(($B$2:$B$1001=B558)*1),0)</f>
        <v>0.370748299319728</v>
      </c>
      <c r="P558" s="24" t="n">
        <f aca="false">IFERROR(SUMPRODUCT(($B$2:$B$1001=B558)*((0-$F$2:$F$1001)&lt;=(0-F558)))/SUMPRODUCT(($B$2:$B$1001=B558)*1),0)</f>
        <v>0.0748299319727891</v>
      </c>
      <c r="Q558" s="25" t="n">
        <f aca="false">(M558*Assumptions!$B$5+N558*Assumptions!$B$6+O558*Assumptions!$B$7+P558*Assumptions!$B$8)*L558</f>
        <v>0.244557823129252</v>
      </c>
      <c r="R558" s="24" t="n">
        <f aca="false">IFERROR(SUMPRODUCT(($B$2:$B$1001=B558)*($Q$2:$Q$1001&lt;=Q558))/SUMPRODUCT(($B$2:$B$1001=B558)*1),0)</f>
        <v>0.142857142857143</v>
      </c>
      <c r="S558" s="24" t="n">
        <f aca="false">IFERROR(SUMPRODUCT(($B$2:$B$1001=B558)*($K$2:$K$1001&lt;=K558))/SUMPRODUCT(($B$2:$B$1001=B558)*1),0)</f>
        <v>0.248299319727891</v>
      </c>
      <c r="T558" s="26" t="n">
        <f aca="false">(R558-S558)*100</f>
        <v>-10.5442176870748</v>
      </c>
      <c r="U558" s="21" t="str">
        <f aca="false">'Player Data'!T558</f>
        <v>Yes</v>
      </c>
      <c r="V558" s="27" t="n">
        <f aca="false">'Player Data'!U558</f>
        <v>2029</v>
      </c>
      <c r="W558" s="21" t="str">
        <f aca="false">IF(AND(T558&gt;=Assumptions!$B$19,U558="No"),"High Priority - Unrepresented",IF(T558&gt;=Assumptions!$B$19,"High Priority",IF(AND(T558&gt;=Assumptions!$B$20,U558="No"),"Watchlist - Unrepresented",IF(T558&gt;=Assumptions!$B$20,"Watchlist",""))))</f>
        <v/>
      </c>
      <c r="X558" s="21" t="str">
        <f aca="false">'Player Data'!V558</f>
        <v>info@cholutecasc.hn</v>
      </c>
      <c r="Y558" s="28" t="str">
        <f aca="false">'Player Data'!W558</f>
        <v>Go through the player's agent - ask the club to confirm representation first</v>
      </c>
      <c r="Z558" s="28" t="str">
        <f aca="false">'Player Data'!X558</f>
        <v>FENAFUTH (Honduran Football Federation) player registry</v>
      </c>
      <c r="AA558" s="19" t="str">
        <f aca="false">HYPERLINK("https://www.transfermarkt.com/schnellsuche/ergebnis/schnellsuche?query="&amp;SUBSTITUTE(A558," ","+"),"Search Transfermarkt")</f>
        <v>Search Transfermarkt</v>
      </c>
      <c r="AB558" s="29" t="n">
        <f aca="false">IFERROR('Player Data'!K558/('Player Data'!K558+'Player Data'!L558),0)</f>
        <v>0.51685393258427</v>
      </c>
      <c r="AC558" s="21" t="str">
        <f aca="false">IF(B558="GK",IF(AND(O558&gt;=Assumptions!$B$23,N558&gt;=Assumptions!$B$23),"Sweeper-Keeper / Build-from-the-Back",IF(O558&gt;=Assumptions!$B$23,"Sweeper-Keeper / High Line",IF(M558&gt;=Assumptions!$B$23,"Shot-Stopper / Traditional","Flexible / Multi-System"))),IF(AND(O558&gt;=Assumptions!$B$23,P558&gt;=Assumptions!$B$24),"High Press / Gegenpressing",IF(AND(N558&gt;=Assumptions!$B$23,AB558&gt;=Assumptions!$B$25),"Possession / Build-from-the-Back",IF(N558&gt;=Assumptions!$B$23,"Counter-Attack / Transition",IF(AND(O558&gt;=Assumptions!$B$23,N558&lt;Assumptions!$B$26),"Low Block / Park the Bus",IF(AND(B558="FW",M558&gt;=Assumptions!$B$23,N558&lt;Assumptions!$B$26),"Direct / Target Approach","Flexible / Multi-System"))))))</f>
        <v>Flexible / Multi-System</v>
      </c>
      <c r="AD558" s="21" t="str">
        <f aca="false">'Player Data'!Y558</f>
        <v>2026-07-17</v>
      </c>
      <c r="AE558" s="21" t="str">
        <f aca="false">'Player Data'!Z558</f>
        <v>2026-07-17</v>
      </c>
      <c r="AF558" s="28" t="str">
        <f aca="false">IFERROR(INDEX(Assumptions!$B$30:$B$61,MATCH(C558,Assumptions!$A$30:$A$61,0)),"--")</f>
        <v>Mexico, United States</v>
      </c>
      <c r="AG558" s="30" t="str">
        <f aca="false">IF(R558&gt;=0.7,"Step-Up Candidate",IF(R558&gt;=0.4,"Lateral Move","Stay &amp; Develop"))</f>
        <v>Stay &amp; Develop</v>
      </c>
    </row>
    <row r="559" customFormat="false" ht="23.85" hidden="false" customHeight="false" outlineLevel="0" collapsed="false">
      <c r="A559" s="21" t="str">
        <f aca="false">'Player Data'!A559</f>
        <v>Klodian Krasniqi</v>
      </c>
      <c r="B559" s="21" t="str">
        <f aca="false">'Player Data'!F559</f>
        <v>GK</v>
      </c>
      <c r="C559" s="21" t="str">
        <f aca="false">'Player Data'!B559</f>
        <v>Albania</v>
      </c>
      <c r="D559" s="21" t="str">
        <f aca="false">'Player Data'!C559</f>
        <v>Albania Amateur League</v>
      </c>
      <c r="E559" s="21" t="n">
        <f aca="false">'Player Data'!D559</f>
        <v>2</v>
      </c>
      <c r="F559" s="21" t="n">
        <f aca="false">'Player Data'!G559</f>
        <v>23</v>
      </c>
      <c r="G559" s="21" t="n">
        <f aca="false">'Player Data'!H559</f>
        <v>1820</v>
      </c>
      <c r="H559" s="22" t="n">
        <f aca="false">IF(B559="GK",IFERROR(('Player Data'!N559-1.5*'Player Data'!O559)/'Player Data'!H559*90,0),IFERROR(('Player Data'!I559+'Player Data'!J559)/'Player Data'!H559*90,0))</f>
        <v>-0.0741758241758242</v>
      </c>
      <c r="I559" s="22" t="n">
        <f aca="false">IF(B559="GK",'Player Data'!P559,IFERROR(('Player Data'!K559+'Player Data'!L559)/'Player Data'!H559*90,0))</f>
        <v>68</v>
      </c>
      <c r="J559" s="22" t="n">
        <f aca="false">IF(B559="GK",IFERROR('Player Data'!Q559/'Player Data'!H559*90,0),IFERROR('Player Data'!M559/'Player Data'!H559*90,0))</f>
        <v>0.90989010989011</v>
      </c>
      <c r="K559" s="23" t="n">
        <f aca="false">'Player Data'!S559</f>
        <v>26073</v>
      </c>
      <c r="L559" s="22" t="n">
        <f aca="false">INDEX(Assumptions!$B$13:$B$15,MATCH(E559,Assumptions!$A$13:$A$15,0))</f>
        <v>1</v>
      </c>
      <c r="M559" s="24" t="n">
        <f aca="false">IFERROR(SUMPRODUCT(($B$2:$B$1001=B559)*($H$2:$H$1001&lt;=H559))/SUMPRODUCT(($B$2:$B$1001=B559)*1),0)</f>
        <v>0.163934426229508</v>
      </c>
      <c r="N559" s="24" t="n">
        <f aca="false">IFERROR(SUMPRODUCT(($B$2:$B$1001=B559)*($I$2:$I$1001&lt;=I559))/SUMPRODUCT(($B$2:$B$1001=B559)*1),0)</f>
        <v>0.366120218579235</v>
      </c>
      <c r="O559" s="24" t="n">
        <f aca="false">IFERROR(SUMPRODUCT(($B$2:$B$1001=B559)*($J$2:$J$1001&lt;=J559))/SUMPRODUCT(($B$2:$B$1001=B559)*1),0)</f>
        <v>0.551912568306011</v>
      </c>
      <c r="P559" s="24" t="n">
        <f aca="false">IFERROR(SUMPRODUCT(($B$2:$B$1001=B559)*((0-$F$2:$F$1001)&lt;=(0-F559)))/SUMPRODUCT(($B$2:$B$1001=B559)*1),0)</f>
        <v>0.431693989071038</v>
      </c>
      <c r="Q559" s="25" t="n">
        <f aca="false">(M559*Assumptions!$B$5+N559*Assumptions!$B$6+O559*Assumptions!$B$7+P559*Assumptions!$B$8)*L559</f>
        <v>0.365846994535519</v>
      </c>
      <c r="R559" s="24" t="n">
        <f aca="false">IFERROR(SUMPRODUCT(($B$2:$B$1001=B559)*($Q$2:$Q$1001&lt;=Q559))/SUMPRODUCT(($B$2:$B$1001=B559)*1),0)</f>
        <v>0.306010928961749</v>
      </c>
      <c r="S559" s="24" t="n">
        <f aca="false">IFERROR(SUMPRODUCT(($B$2:$B$1001=B559)*($K$2:$K$1001&lt;=K559))/SUMPRODUCT(($B$2:$B$1001=B559)*1),0)</f>
        <v>0.306010928961749</v>
      </c>
      <c r="T559" s="26" t="n">
        <f aca="false">(R559-S559)*100</f>
        <v>0</v>
      </c>
      <c r="U559" s="21" t="str">
        <f aca="false">'Player Data'!T559</f>
        <v>Unknown</v>
      </c>
      <c r="V559" s="27" t="n">
        <f aca="false">'Player Data'!U559</f>
        <v>2027</v>
      </c>
      <c r="W559" s="21" t="str">
        <f aca="false">IF(AND(T559&gt;=Assumptions!$B$19,U559="No"),"High Priority - Unrepresented",IF(T559&gt;=Assumptions!$B$19,"High Priority",IF(AND(T559&gt;=Assumptions!$B$20,U559="No"),"Watchlist - Unrepresented",IF(T559&gt;=Assumptions!$B$20,"Watchlist",""))))</f>
        <v/>
      </c>
      <c r="X559" s="21" t="str">
        <f aca="false">'Player Data'!V559</f>
        <v>info@durrestown.al</v>
      </c>
      <c r="Y559" s="28" t="str">
        <f aca="false">'Player Data'!W559</f>
        <v>Club sporting director / first-team office</v>
      </c>
      <c r="Z559" s="28" t="str">
        <f aca="false">'Player Data'!X559</f>
        <v>FSHF (Albanian Football Association) player registry</v>
      </c>
      <c r="AA559" s="19" t="str">
        <f aca="false">HYPERLINK("https://www.transfermarkt.com/schnellsuche/ergebnis/schnellsuche?query="&amp;SUBSTITUTE(A559," ","+"),"Search Transfermarkt")</f>
        <v>Search Transfermarkt</v>
      </c>
      <c r="AB559" s="29" t="n">
        <f aca="false">IFERROR('Player Data'!K559/('Player Data'!K559+'Player Data'!L559),0)</f>
        <v>0.571428571428571</v>
      </c>
      <c r="AC559" s="21" t="str">
        <f aca="false">IF(B559="GK",IF(AND(O559&gt;=Assumptions!$B$23,N559&gt;=Assumptions!$B$23),"Sweeper-Keeper / Build-from-the-Back",IF(O559&gt;=Assumptions!$B$23,"Sweeper-Keeper / High Line",IF(M559&gt;=Assumptions!$B$23,"Shot-Stopper / Traditional","Flexible / Multi-System"))),IF(AND(O559&gt;=Assumptions!$B$23,P559&gt;=Assumptions!$B$24),"High Press / Gegenpressing",IF(AND(N559&gt;=Assumptions!$B$23,AB559&gt;=Assumptions!$B$25),"Possession / Build-from-the-Back",IF(N559&gt;=Assumptions!$B$23,"Counter-Attack / Transition",IF(AND(O559&gt;=Assumptions!$B$23,N559&lt;Assumptions!$B$26),"Low Block / Park the Bus",IF(AND(B559="FW",M559&gt;=Assumptions!$B$23,N559&lt;Assumptions!$B$26),"Direct / Target Approach","Flexible / Multi-System"))))))</f>
        <v>Flexible / Multi-System</v>
      </c>
      <c r="AD559" s="21" t="str">
        <f aca="false">'Player Data'!Y559</f>
        <v>2026-07-17</v>
      </c>
      <c r="AE559" s="21" t="str">
        <f aca="false">'Player Data'!Z559</f>
        <v>2026-07-17</v>
      </c>
      <c r="AF559" s="28" t="str">
        <f aca="false">IFERROR(INDEX(Assumptions!$B$30:$B$61,MATCH(C559,Assumptions!$A$30:$A$61,0)),"--")</f>
        <v>Turkey, Poland</v>
      </c>
      <c r="AG559" s="30" t="str">
        <f aca="false">IF(R559&gt;=0.7,"Step-Up Candidate",IF(R559&gt;=0.4,"Lateral Move","Stay &amp; Develop"))</f>
        <v>Stay &amp; Develop</v>
      </c>
    </row>
    <row r="560" customFormat="false" ht="23.85" hidden="false" customHeight="false" outlineLevel="0" collapsed="false">
      <c r="A560" s="21" t="str">
        <f aca="false">'Player Data'!A560</f>
        <v>Wuilker Martinez</v>
      </c>
      <c r="B560" s="21" t="str">
        <f aca="false">'Player Data'!F560</f>
        <v>DF</v>
      </c>
      <c r="C560" s="21" t="str">
        <f aca="false">'Player Data'!B560</f>
        <v>Venezuela</v>
      </c>
      <c r="D560" s="21" t="str">
        <f aca="false">'Player Data'!C560</f>
        <v>Venezuela Provincial League</v>
      </c>
      <c r="E560" s="21" t="n">
        <f aca="false">'Player Data'!D560</f>
        <v>2</v>
      </c>
      <c r="F560" s="21" t="n">
        <f aca="false">'Player Data'!G560</f>
        <v>23</v>
      </c>
      <c r="G560" s="21" t="n">
        <f aca="false">'Player Data'!H560</f>
        <v>2130</v>
      </c>
      <c r="H560" s="22" t="n">
        <f aca="false">IF(B560="GK",IFERROR(('Player Data'!N560-1.5*'Player Data'!O560)/'Player Data'!H560*90,0),IFERROR(('Player Data'!I560+'Player Data'!J560)/'Player Data'!H560*90,0))</f>
        <v>0.0845070422535211</v>
      </c>
      <c r="I560" s="22" t="n">
        <f aca="false">IF(B560="GK",'Player Data'!P560,IFERROR(('Player Data'!K560+'Player Data'!L560)/'Player Data'!H560*90,0))</f>
        <v>4.98591549295775</v>
      </c>
      <c r="J560" s="22" t="n">
        <f aca="false">IF(B560="GK",IFERROR('Player Data'!Q560/'Player Data'!H560*90,0),IFERROR('Player Data'!M560/'Player Data'!H560*90,0))</f>
        <v>4.77464788732394</v>
      </c>
      <c r="K560" s="23" t="n">
        <f aca="false">'Player Data'!S560</f>
        <v>71379</v>
      </c>
      <c r="L560" s="22" t="n">
        <f aca="false">INDEX(Assumptions!$B$13:$B$15,MATCH(E560,Assumptions!$A$13:$A$15,0))</f>
        <v>1</v>
      </c>
      <c r="M560" s="24" t="n">
        <f aca="false">IFERROR(SUMPRODUCT(($B$2:$B$1001=B560)*($H$2:$H$1001&lt;=H560))/SUMPRODUCT(($B$2:$B$1001=B560)*1),0)</f>
        <v>0.142857142857143</v>
      </c>
      <c r="N560" s="24" t="n">
        <f aca="false">IFERROR(SUMPRODUCT(($B$2:$B$1001=B560)*($I$2:$I$1001&lt;=I560))/SUMPRODUCT(($B$2:$B$1001=B560)*1),0)</f>
        <v>0.591836734693878</v>
      </c>
      <c r="O560" s="24" t="n">
        <f aca="false">IFERROR(SUMPRODUCT(($B$2:$B$1001=B560)*($J$2:$J$1001&lt;=J560))/SUMPRODUCT(($B$2:$B$1001=B560)*1),0)</f>
        <v>0.41156462585034</v>
      </c>
      <c r="P560" s="24" t="n">
        <f aca="false">IFERROR(SUMPRODUCT(($B$2:$B$1001=B560)*((0-$F$2:$F$1001)&lt;=(0-F560)))/SUMPRODUCT(($B$2:$B$1001=B560)*1),0)</f>
        <v>0.374149659863946</v>
      </c>
      <c r="Q560" s="25" t="n">
        <f aca="false">(M560*Assumptions!$B$5+N560*Assumptions!$B$6+O560*Assumptions!$B$7+P560*Assumptions!$B$8)*L560</f>
        <v>0.4</v>
      </c>
      <c r="R560" s="24" t="n">
        <f aca="false">IFERROR(SUMPRODUCT(($B$2:$B$1001=B560)*($Q$2:$Q$1001&lt;=Q560))/SUMPRODUCT(($B$2:$B$1001=B560)*1),0)</f>
        <v>0.462585034013605</v>
      </c>
      <c r="S560" s="24" t="n">
        <f aca="false">IFERROR(SUMPRODUCT(($B$2:$B$1001=B560)*($K$2:$K$1001&lt;=K560))/SUMPRODUCT(($B$2:$B$1001=B560)*1),0)</f>
        <v>0.557823129251701</v>
      </c>
      <c r="T560" s="26" t="n">
        <f aca="false">(R560-S560)*100</f>
        <v>-9.52380952380952</v>
      </c>
      <c r="U560" s="21" t="str">
        <f aca="false">'Player Data'!T560</f>
        <v>No</v>
      </c>
      <c r="V560" s="27" t="n">
        <f aca="false">'Player Data'!U560</f>
        <v>2029</v>
      </c>
      <c r="W560" s="21" t="str">
        <f aca="false">IF(AND(T560&gt;=Assumptions!$B$19,U560="No"),"High Priority - Unrepresented",IF(T560&gt;=Assumptions!$B$19,"High Priority",IF(AND(T560&gt;=Assumptions!$B$20,U560="No"),"Watchlist - Unrepresented",IF(T560&gt;=Assumptions!$B$20,"Watchlist",""))))</f>
        <v/>
      </c>
      <c r="X560" s="21" t="str">
        <f aca="false">'Player Data'!V560</f>
        <v>info@valenciaathletic.ve</v>
      </c>
      <c r="Y560" s="28" t="str">
        <f aca="false">'Player Data'!W560</f>
        <v>Club sporting director / first-team office</v>
      </c>
      <c r="Z560" s="28" t="str">
        <f aca="false">'Player Data'!X560</f>
        <v>FVF (Venezuelan Football Federation) player registry</v>
      </c>
      <c r="AA560" s="19" t="str">
        <f aca="false">HYPERLINK("https://www.transfermarkt.com/schnellsuche/ergebnis/schnellsuche?query="&amp;SUBSTITUTE(A560," ","+"),"Search Transfermarkt")</f>
        <v>Search Transfermarkt</v>
      </c>
      <c r="AB560" s="29" t="n">
        <f aca="false">IFERROR('Player Data'!K560/('Player Data'!K560+'Player Data'!L560),0)</f>
        <v>0.593220338983051</v>
      </c>
      <c r="AC560" s="21" t="str">
        <f aca="false">IF(B560="GK",IF(AND(O560&gt;=Assumptions!$B$23,N560&gt;=Assumptions!$B$23),"Sweeper-Keeper / Build-from-the-Back",IF(O560&gt;=Assumptions!$B$23,"Sweeper-Keeper / High Line",IF(M560&gt;=Assumptions!$B$23,"Shot-Stopper / Traditional","Flexible / Multi-System"))),IF(AND(O560&gt;=Assumptions!$B$23,P560&gt;=Assumptions!$B$24),"High Press / Gegenpressing",IF(AND(N560&gt;=Assumptions!$B$23,AB560&gt;=Assumptions!$B$25),"Possession / Build-from-the-Back",IF(N560&gt;=Assumptions!$B$23,"Counter-Attack / Transition",IF(AND(O560&gt;=Assumptions!$B$23,N560&lt;Assumptions!$B$26),"Low Block / Park the Bus",IF(AND(B560="FW",M560&gt;=Assumptions!$B$23,N560&lt;Assumptions!$B$26),"Direct / Target Approach","Flexible / Multi-System"))))))</f>
        <v>Flexible / Multi-System</v>
      </c>
      <c r="AD560" s="21" t="str">
        <f aca="false">'Player Data'!Y560</f>
        <v>2026-07-17</v>
      </c>
      <c r="AE560" s="21" t="str">
        <f aca="false">'Player Data'!Z560</f>
        <v>2026-07-17</v>
      </c>
      <c r="AF560" s="28" t="str">
        <f aca="false">IFERROR(INDEX(Assumptions!$B$30:$B$61,MATCH(C560,Assumptions!$A$30:$A$61,0)),"--")</f>
        <v>Argentina, Portugal</v>
      </c>
      <c r="AG560" s="30" t="str">
        <f aca="false">IF(R560&gt;=0.7,"Step-Up Candidate",IF(R560&gt;=0.4,"Lateral Move","Stay &amp; Develop"))</f>
        <v>Lateral Move</v>
      </c>
    </row>
    <row r="561" customFormat="false" ht="23.85" hidden="false" customHeight="false" outlineLevel="0" collapsed="false">
      <c r="A561" s="21" t="str">
        <f aca="false">'Player Data'!A561</f>
        <v>Luis Solano</v>
      </c>
      <c r="B561" s="21" t="str">
        <f aca="false">'Player Data'!F561</f>
        <v>FW</v>
      </c>
      <c r="C561" s="21" t="str">
        <f aca="false">'Player Data'!B561</f>
        <v>Costa Rica</v>
      </c>
      <c r="D561" s="21" t="str">
        <f aca="false">'Player Data'!C561</f>
        <v>Costa Rica Third Tier - North</v>
      </c>
      <c r="E561" s="21" t="n">
        <f aca="false">'Player Data'!D561</f>
        <v>2</v>
      </c>
      <c r="F561" s="21" t="n">
        <f aca="false">'Player Data'!G561</f>
        <v>23</v>
      </c>
      <c r="G561" s="21" t="n">
        <f aca="false">'Player Data'!H561</f>
        <v>1925</v>
      </c>
      <c r="H561" s="22" t="n">
        <f aca="false">IF(B561="GK",IFERROR(('Player Data'!N561-1.5*'Player Data'!O561)/'Player Data'!H561*90,0),IFERROR(('Player Data'!I561+'Player Data'!J561)/'Player Data'!H561*90,0))</f>
        <v>0.794805194805195</v>
      </c>
      <c r="I561" s="22" t="n">
        <f aca="false">IF(B561="GK",'Player Data'!P561,IFERROR(('Player Data'!K561+'Player Data'!L561)/'Player Data'!H561*90,0))</f>
        <v>5.04935064935065</v>
      </c>
      <c r="J561" s="22" t="n">
        <f aca="false">IF(B561="GK",IFERROR('Player Data'!Q561/'Player Data'!H561*90,0),IFERROR('Player Data'!M561/'Player Data'!H561*90,0))</f>
        <v>0.187012987012987</v>
      </c>
      <c r="K561" s="23" t="n">
        <f aca="false">'Player Data'!S561</f>
        <v>147610</v>
      </c>
      <c r="L561" s="22" t="n">
        <f aca="false">INDEX(Assumptions!$B$13:$B$15,MATCH(E561,Assumptions!$A$13:$A$15,0))</f>
        <v>1</v>
      </c>
      <c r="M561" s="24" t="n">
        <f aca="false">IFERROR(SUMPRODUCT(($B$2:$B$1001=B561)*($H$2:$H$1001&lt;=H561))/SUMPRODUCT(($B$2:$B$1001=B561)*1),0)</f>
        <v>0.309734513274336</v>
      </c>
      <c r="N561" s="24" t="n">
        <f aca="false">IFERROR(SUMPRODUCT(($B$2:$B$1001=B561)*($I$2:$I$1001&lt;=I561))/SUMPRODUCT(($B$2:$B$1001=B561)*1),0)</f>
        <v>0.238938053097345</v>
      </c>
      <c r="O561" s="24" t="n">
        <f aca="false">IFERROR(SUMPRODUCT(($B$2:$B$1001=B561)*($J$2:$J$1001&lt;=J561))/SUMPRODUCT(($B$2:$B$1001=B561)*1),0)</f>
        <v>0.0309734513274336</v>
      </c>
      <c r="P561" s="24" t="n">
        <f aca="false">IFERROR(SUMPRODUCT(($B$2:$B$1001=B561)*((0-$F$2:$F$1001)&lt;=(0-F561)))/SUMPRODUCT(($B$2:$B$1001=B561)*1),0)</f>
        <v>0.389380530973451</v>
      </c>
      <c r="Q561" s="25" t="n">
        <f aca="false">(M561*Assumptions!$B$5+N561*Assumptions!$B$6+O561*Assumptions!$B$7+P561*Assumptions!$B$8)*L561</f>
        <v>0.245132743362832</v>
      </c>
      <c r="R561" s="24" t="n">
        <f aca="false">IFERROR(SUMPRODUCT(($B$2:$B$1001=B561)*($Q$2:$Q$1001&lt;=Q561))/SUMPRODUCT(($B$2:$B$1001=B561)*1),0)</f>
        <v>0.18141592920354</v>
      </c>
      <c r="S561" s="24" t="n">
        <f aca="false">IFERROR(SUMPRODUCT(($B$2:$B$1001=B561)*($K$2:$K$1001&lt;=K561))/SUMPRODUCT(($B$2:$B$1001=B561)*1),0)</f>
        <v>0.995575221238938</v>
      </c>
      <c r="T561" s="26" t="n">
        <f aca="false">(R561-S561)*100</f>
        <v>-81.4159292035398</v>
      </c>
      <c r="U561" s="21" t="str">
        <f aca="false">'Player Data'!T561</f>
        <v>Unknown</v>
      </c>
      <c r="V561" s="27" t="n">
        <f aca="false">'Player Data'!U561</f>
        <v>2027</v>
      </c>
      <c r="W561" s="21" t="str">
        <f aca="false">IF(AND(T561&gt;=Assumptions!$B$19,U561="No"),"High Priority - Unrepresented",IF(T561&gt;=Assumptions!$B$19,"High Priority",IF(AND(T561&gt;=Assumptions!$B$20,U561="No"),"Watchlist - Unrepresented",IF(T561&gt;=Assumptions!$B$20,"Watchlist",""))))</f>
        <v/>
      </c>
      <c r="X561" s="21" t="str">
        <f aca="false">'Player Data'!V561</f>
        <v>info@sanjoserovers.cr</v>
      </c>
      <c r="Y561" s="28" t="str">
        <f aca="false">'Player Data'!W561</f>
        <v>Club sporting director / first-team office</v>
      </c>
      <c r="Z561" s="28" t="str">
        <f aca="false">'Player Data'!X561</f>
        <v>FEDEFUTBOL (Costa Rican Football Federation) player registry</v>
      </c>
      <c r="AA561" s="19" t="str">
        <f aca="false">HYPERLINK("https://www.transfermarkt.com/schnellsuche/ergebnis/schnellsuche?query="&amp;SUBSTITUTE(A561," ","+"),"Search Transfermarkt")</f>
        <v>Search Transfermarkt</v>
      </c>
      <c r="AB561" s="29" t="n">
        <f aca="false">IFERROR('Player Data'!K561/('Player Data'!K561+'Player Data'!L561),0)</f>
        <v>0.425925925925926</v>
      </c>
      <c r="AC561" s="21" t="str">
        <f aca="false">IF(B561="GK",IF(AND(O561&gt;=Assumptions!$B$23,N561&gt;=Assumptions!$B$23),"Sweeper-Keeper / Build-from-the-Back",IF(O561&gt;=Assumptions!$B$23,"Sweeper-Keeper / High Line",IF(M561&gt;=Assumptions!$B$23,"Shot-Stopper / Traditional","Flexible / Multi-System"))),IF(AND(O561&gt;=Assumptions!$B$23,P561&gt;=Assumptions!$B$24),"High Press / Gegenpressing",IF(AND(N561&gt;=Assumptions!$B$23,AB561&gt;=Assumptions!$B$25),"Possession / Build-from-the-Back",IF(N561&gt;=Assumptions!$B$23,"Counter-Attack / Transition",IF(AND(O561&gt;=Assumptions!$B$23,N561&lt;Assumptions!$B$26),"Low Block / Park the Bus",IF(AND(B561="FW",M561&gt;=Assumptions!$B$23,N561&lt;Assumptions!$B$26),"Direct / Target Approach","Flexible / Multi-System"))))))</f>
        <v>Flexible / Multi-System</v>
      </c>
      <c r="AD561" s="21" t="str">
        <f aca="false">'Player Data'!Y561</f>
        <v>2026-07-17</v>
      </c>
      <c r="AE561" s="21" t="str">
        <f aca="false">'Player Data'!Z561</f>
        <v>2026-07-17</v>
      </c>
      <c r="AF561" s="28" t="str">
        <f aca="false">IFERROR(INDEX(Assumptions!$B$30:$B$61,MATCH(C561,Assumptions!$A$30:$A$61,0)),"--")</f>
        <v>Mexico, United States</v>
      </c>
      <c r="AG561" s="30" t="str">
        <f aca="false">IF(R561&gt;=0.7,"Step-Up Candidate",IF(R561&gt;=0.4,"Lateral Move","Stay &amp; Develop"))</f>
        <v>Stay &amp; Develop</v>
      </c>
    </row>
    <row r="562" customFormat="false" ht="23.85" hidden="false" customHeight="false" outlineLevel="0" collapsed="false">
      <c r="A562" s="21" t="str">
        <f aca="false">'Player Data'!A562</f>
        <v>Bryan Elvir</v>
      </c>
      <c r="B562" s="21" t="str">
        <f aca="false">'Player Data'!F562</f>
        <v>DF</v>
      </c>
      <c r="C562" s="21" t="str">
        <f aca="false">'Player Data'!B562</f>
        <v>Honduras</v>
      </c>
      <c r="D562" s="21" t="str">
        <f aca="false">'Player Data'!C562</f>
        <v>Honduras Amateur League</v>
      </c>
      <c r="E562" s="21" t="n">
        <f aca="false">'Player Data'!D562</f>
        <v>2</v>
      </c>
      <c r="F562" s="21" t="n">
        <f aca="false">'Player Data'!G562</f>
        <v>23</v>
      </c>
      <c r="G562" s="21" t="n">
        <f aca="false">'Player Data'!H562</f>
        <v>1906</v>
      </c>
      <c r="H562" s="22" t="n">
        <f aca="false">IF(B562="GK",IFERROR(('Player Data'!N562-1.5*'Player Data'!O562)/'Player Data'!H562*90,0),IFERROR(('Player Data'!I562+'Player Data'!J562)/'Player Data'!H562*90,0))</f>
        <v>0.283315844700944</v>
      </c>
      <c r="I562" s="22" t="n">
        <f aca="false">IF(B562="GK",'Player Data'!P562,IFERROR(('Player Data'!K562+'Player Data'!L562)/'Player Data'!H562*90,0))</f>
        <v>3.58866736621196</v>
      </c>
      <c r="J562" s="22" t="n">
        <f aca="false">IF(B562="GK",IFERROR('Player Data'!Q562/'Player Data'!H562*90,0),IFERROR('Player Data'!M562/'Player Data'!H562*90,0))</f>
        <v>4.20251836306401</v>
      </c>
      <c r="K562" s="23" t="n">
        <f aca="false">'Player Data'!S562</f>
        <v>148711</v>
      </c>
      <c r="L562" s="22" t="n">
        <f aca="false">INDEX(Assumptions!$B$13:$B$15,MATCH(E562,Assumptions!$A$13:$A$15,0))</f>
        <v>1</v>
      </c>
      <c r="M562" s="24" t="n">
        <f aca="false">IFERROR(SUMPRODUCT(($B$2:$B$1001=B562)*($H$2:$H$1001&lt;=H562))/SUMPRODUCT(($B$2:$B$1001=B562)*1),0)</f>
        <v>0.731292517006803</v>
      </c>
      <c r="N562" s="24" t="n">
        <f aca="false">IFERROR(SUMPRODUCT(($B$2:$B$1001=B562)*($I$2:$I$1001&lt;=I562))/SUMPRODUCT(($B$2:$B$1001=B562)*1),0)</f>
        <v>0.26530612244898</v>
      </c>
      <c r="O562" s="24" t="n">
        <f aca="false">IFERROR(SUMPRODUCT(($B$2:$B$1001=B562)*($J$2:$J$1001&lt;=J562))/SUMPRODUCT(($B$2:$B$1001=B562)*1),0)</f>
        <v>0.295918367346939</v>
      </c>
      <c r="P562" s="24" t="n">
        <f aca="false">IFERROR(SUMPRODUCT(($B$2:$B$1001=B562)*((0-$F$2:$F$1001)&lt;=(0-F562)))/SUMPRODUCT(($B$2:$B$1001=B562)*1),0)</f>
        <v>0.374149659863946</v>
      </c>
      <c r="Q562" s="25" t="n">
        <f aca="false">(M562*Assumptions!$B$5+N562*Assumptions!$B$6+O562*Assumptions!$B$7+P562*Assumptions!$B$8)*L562</f>
        <v>0.40969387755102</v>
      </c>
      <c r="R562" s="24" t="n">
        <f aca="false">IFERROR(SUMPRODUCT(($B$2:$B$1001=B562)*($Q$2:$Q$1001&lt;=Q562))/SUMPRODUCT(($B$2:$B$1001=B562)*1),0)</f>
        <v>0.482993197278912</v>
      </c>
      <c r="S562" s="24" t="n">
        <f aca="false">IFERROR(SUMPRODUCT(($B$2:$B$1001=B562)*($K$2:$K$1001&lt;=K562))/SUMPRODUCT(($B$2:$B$1001=B562)*1),0)</f>
        <v>0.996598639455782</v>
      </c>
      <c r="T562" s="26" t="n">
        <f aca="false">(R562-S562)*100</f>
        <v>-51.3605442176871</v>
      </c>
      <c r="U562" s="21" t="str">
        <f aca="false">'Player Data'!T562</f>
        <v>Unknown</v>
      </c>
      <c r="V562" s="27" t="n">
        <f aca="false">'Player Data'!U562</f>
        <v>2028</v>
      </c>
      <c r="W562" s="21" t="str">
        <f aca="false">IF(AND(T562&gt;=Assumptions!$B$19,U562="No"),"High Priority - Unrepresented",IF(T562&gt;=Assumptions!$B$19,"High Priority",IF(AND(T562&gt;=Assumptions!$B$20,U562="No"),"Watchlist - Unrepresented",IF(T562&gt;=Assumptions!$B$20,"Watchlist",""))))</f>
        <v/>
      </c>
      <c r="X562" s="21" t="str">
        <f aca="false">'Player Data'!V562</f>
        <v>info@sanpedrosulaunited.hn</v>
      </c>
      <c r="Y562" s="28" t="str">
        <f aca="false">'Player Data'!W562</f>
        <v>Club sporting director / first-team office</v>
      </c>
      <c r="Z562" s="28" t="str">
        <f aca="false">'Player Data'!X562</f>
        <v>FENAFUTH (Honduran Football Federation) player registry</v>
      </c>
      <c r="AA562" s="19" t="str">
        <f aca="false">HYPERLINK("https://www.transfermarkt.com/schnellsuche/ergebnis/schnellsuche?query="&amp;SUBSTITUTE(A562," ","+"),"Search Transfermarkt")</f>
        <v>Search Transfermarkt</v>
      </c>
      <c r="AB562" s="29" t="n">
        <f aca="false">IFERROR('Player Data'!K562/('Player Data'!K562+'Player Data'!L562),0)</f>
        <v>0.565789473684211</v>
      </c>
      <c r="AC562" s="21" t="str">
        <f aca="false">IF(B562="GK",IF(AND(O562&gt;=Assumptions!$B$23,N562&gt;=Assumptions!$B$23),"Sweeper-Keeper / Build-from-the-Back",IF(O562&gt;=Assumptions!$B$23,"Sweeper-Keeper / High Line",IF(M562&gt;=Assumptions!$B$23,"Shot-Stopper / Traditional","Flexible / Multi-System"))),IF(AND(O562&gt;=Assumptions!$B$23,P562&gt;=Assumptions!$B$24),"High Press / Gegenpressing",IF(AND(N562&gt;=Assumptions!$B$23,AB562&gt;=Assumptions!$B$25),"Possession / Build-from-the-Back",IF(N562&gt;=Assumptions!$B$23,"Counter-Attack / Transition",IF(AND(O562&gt;=Assumptions!$B$23,N562&lt;Assumptions!$B$26),"Low Block / Park the Bus",IF(AND(B562="FW",M562&gt;=Assumptions!$B$23,N562&lt;Assumptions!$B$26),"Direct / Target Approach","Flexible / Multi-System"))))))</f>
        <v>Flexible / Multi-System</v>
      </c>
      <c r="AD562" s="21" t="str">
        <f aca="false">'Player Data'!Y562</f>
        <v>2026-07-17</v>
      </c>
      <c r="AE562" s="21" t="str">
        <f aca="false">'Player Data'!Z562</f>
        <v>2026-07-17</v>
      </c>
      <c r="AF562" s="28" t="str">
        <f aca="false">IFERROR(INDEX(Assumptions!$B$30:$B$61,MATCH(C562,Assumptions!$A$30:$A$61,0)),"--")</f>
        <v>Mexico, United States</v>
      </c>
      <c r="AG562" s="30" t="str">
        <f aca="false">IF(R562&gt;=0.7,"Step-Up Candidate",IF(R562&gt;=0.4,"Lateral Move","Stay &amp; Develop"))</f>
        <v>Lateral Move</v>
      </c>
    </row>
    <row r="563" customFormat="false" ht="23.85" hidden="false" customHeight="false" outlineLevel="0" collapsed="false">
      <c r="A563" s="21" t="str">
        <f aca="false">'Player Data'!A563</f>
        <v>Somchai Srisawat</v>
      </c>
      <c r="B563" s="21" t="str">
        <f aca="false">'Player Data'!F563</f>
        <v>MF</v>
      </c>
      <c r="C563" s="21" t="str">
        <f aca="false">'Player Data'!B563</f>
        <v>Thailand</v>
      </c>
      <c r="D563" s="21" t="str">
        <f aca="false">'Player Data'!C563</f>
        <v>Thailand Reserve League</v>
      </c>
      <c r="E563" s="21" t="n">
        <f aca="false">'Player Data'!D563</f>
        <v>2</v>
      </c>
      <c r="F563" s="21" t="n">
        <f aca="false">'Player Data'!G563</f>
        <v>24</v>
      </c>
      <c r="G563" s="21" t="n">
        <f aca="false">'Player Data'!H563</f>
        <v>2293</v>
      </c>
      <c r="H563" s="22" t="n">
        <f aca="false">IF(B563="GK",IFERROR(('Player Data'!N563-1.5*'Player Data'!O563)/'Player Data'!H563*90,0),IFERROR(('Player Data'!I563+'Player Data'!J563)/'Player Data'!H563*90,0))</f>
        <v>0.824247710423027</v>
      </c>
      <c r="I563" s="22" t="n">
        <f aca="false">IF(B563="GK",'Player Data'!P563,IFERROR(('Player Data'!K563+'Player Data'!L563)/'Player Data'!H563*90,0))</f>
        <v>7.53597906672482</v>
      </c>
      <c r="J563" s="22" t="n">
        <f aca="false">IF(B563="GK",IFERROR('Player Data'!Q563/'Player Data'!H563*90,0),IFERROR('Player Data'!M563/'Player Data'!H563*90,0))</f>
        <v>1.68774531181858</v>
      </c>
      <c r="K563" s="23" t="n">
        <f aca="false">'Player Data'!S563</f>
        <v>109916</v>
      </c>
      <c r="L563" s="22" t="n">
        <f aca="false">INDEX(Assumptions!$B$13:$B$15,MATCH(E563,Assumptions!$A$13:$A$15,0))</f>
        <v>1</v>
      </c>
      <c r="M563" s="24" t="n">
        <f aca="false">IFERROR(SUMPRODUCT(($B$2:$B$1001=B563)*($H$2:$H$1001&lt;=H563))/SUMPRODUCT(($B$2:$B$1001=B563)*1),0)</f>
        <v>0.626262626262626</v>
      </c>
      <c r="N563" s="24" t="n">
        <f aca="false">IFERROR(SUMPRODUCT(($B$2:$B$1001=B563)*($I$2:$I$1001&lt;=I563))/SUMPRODUCT(($B$2:$B$1001=B563)*1),0)</f>
        <v>0.107744107744108</v>
      </c>
      <c r="O563" s="24" t="n">
        <f aca="false">IFERROR(SUMPRODUCT(($B$2:$B$1001=B563)*($J$2:$J$1001&lt;=J563))/SUMPRODUCT(($B$2:$B$1001=B563)*1),0)</f>
        <v>0.276094276094276</v>
      </c>
      <c r="P563" s="24" t="n">
        <f aca="false">IFERROR(SUMPRODUCT(($B$2:$B$1001=B563)*((0-$F$2:$F$1001)&lt;=(0-F563)))/SUMPRODUCT(($B$2:$B$1001=B563)*1),0)</f>
        <v>0.326599326599327</v>
      </c>
      <c r="Q563" s="25" t="n">
        <f aca="false">(M563*Assumptions!$B$5+N563*Assumptions!$B$6+O563*Assumptions!$B$7+P563*Assumptions!$B$8)*L563</f>
        <v>0.314814814814815</v>
      </c>
      <c r="R563" s="24" t="n">
        <f aca="false">IFERROR(SUMPRODUCT(($B$2:$B$1001=B563)*($Q$2:$Q$1001&lt;=Q563))/SUMPRODUCT(($B$2:$B$1001=B563)*1),0)</f>
        <v>0.272727272727273</v>
      </c>
      <c r="S563" s="24" t="n">
        <f aca="false">IFERROR(SUMPRODUCT(($B$2:$B$1001=B563)*($K$2:$K$1001&lt;=K563))/SUMPRODUCT(($B$2:$B$1001=B563)*1),0)</f>
        <v>0.797979797979798</v>
      </c>
      <c r="T563" s="26" t="n">
        <f aca="false">(R563-S563)*100</f>
        <v>-52.5252525252525</v>
      </c>
      <c r="U563" s="21" t="str">
        <f aca="false">'Player Data'!T563</f>
        <v>No</v>
      </c>
      <c r="V563" s="27" t="n">
        <f aca="false">'Player Data'!U563</f>
        <v>2026</v>
      </c>
      <c r="W563" s="21" t="str">
        <f aca="false">IF(AND(T563&gt;=Assumptions!$B$19,U563="No"),"High Priority - Unrepresented",IF(T563&gt;=Assumptions!$B$19,"High Priority",IF(AND(T563&gt;=Assumptions!$B$20,U563="No"),"Watchlist - Unrepresented",IF(T563&gt;=Assumptions!$B$20,"Watchlist",""))))</f>
        <v/>
      </c>
      <c r="X563" s="21" t="str">
        <f aca="false">'Player Data'!V563</f>
        <v>info@khonkaenathletic.th</v>
      </c>
      <c r="Y563" s="28" t="str">
        <f aca="false">'Player Data'!W563</f>
        <v>Club sporting director / first-team office</v>
      </c>
      <c r="Z563" s="28" t="str">
        <f aca="false">'Player Data'!X563</f>
        <v>FAT (Football Association of Thailand) player registry</v>
      </c>
      <c r="AA563" s="19" t="str">
        <f aca="false">HYPERLINK("https://www.transfermarkt.com/schnellsuche/ergebnis/schnellsuche?query="&amp;SUBSTITUTE(A563," ","+"),"Search Transfermarkt")</f>
        <v>Search Transfermarkt</v>
      </c>
      <c r="AB563" s="29" t="n">
        <f aca="false">IFERROR('Player Data'!K563/('Player Data'!K563+'Player Data'!L563),0)</f>
        <v>0.59375</v>
      </c>
      <c r="AC563" s="21" t="str">
        <f aca="false">IF(B563="GK",IF(AND(O563&gt;=Assumptions!$B$23,N563&gt;=Assumptions!$B$23),"Sweeper-Keeper / Build-from-the-Back",IF(O563&gt;=Assumptions!$B$23,"Sweeper-Keeper / High Line",IF(M563&gt;=Assumptions!$B$23,"Shot-Stopper / Traditional","Flexible / Multi-System"))),IF(AND(O563&gt;=Assumptions!$B$23,P563&gt;=Assumptions!$B$24),"High Press / Gegenpressing",IF(AND(N563&gt;=Assumptions!$B$23,AB563&gt;=Assumptions!$B$25),"Possession / Build-from-the-Back",IF(N563&gt;=Assumptions!$B$23,"Counter-Attack / Transition",IF(AND(O563&gt;=Assumptions!$B$23,N563&lt;Assumptions!$B$26),"Low Block / Park the Bus",IF(AND(B563="FW",M563&gt;=Assumptions!$B$23,N563&lt;Assumptions!$B$26),"Direct / Target Approach","Flexible / Multi-System"))))))</f>
        <v>Flexible / Multi-System</v>
      </c>
      <c r="AD563" s="21" t="str">
        <f aca="false">'Player Data'!Y563</f>
        <v>2026-07-17</v>
      </c>
      <c r="AE563" s="21" t="str">
        <f aca="false">'Player Data'!Z563</f>
        <v>2026-07-17</v>
      </c>
      <c r="AF563" s="28" t="str">
        <f aca="false">IFERROR(INDEX(Assumptions!$B$30:$B$61,MATCH(C563,Assumptions!$A$30:$A$61,0)),"--")</f>
        <v>Australia, Saudi Arabia</v>
      </c>
      <c r="AG563" s="30" t="str">
        <f aca="false">IF(R563&gt;=0.7,"Step-Up Candidate",IF(R563&gt;=0.4,"Lateral Move","Stay &amp; Develop"))</f>
        <v>Stay &amp; Develop</v>
      </c>
    </row>
    <row r="564" customFormat="false" ht="23.85" hidden="false" customHeight="false" outlineLevel="0" collapsed="false">
      <c r="A564" s="21" t="str">
        <f aca="false">'Player Data'!A564</f>
        <v>Marlon Powell</v>
      </c>
      <c r="B564" s="21" t="str">
        <f aca="false">'Player Data'!F564</f>
        <v>DF</v>
      </c>
      <c r="C564" s="21" t="str">
        <f aca="false">'Player Data'!B564</f>
        <v>Jamaica</v>
      </c>
      <c r="D564" s="21" t="str">
        <f aca="false">'Player Data'!C564</f>
        <v>Jamaica Reserve League</v>
      </c>
      <c r="E564" s="21" t="n">
        <f aca="false">'Player Data'!D564</f>
        <v>3</v>
      </c>
      <c r="F564" s="21" t="n">
        <f aca="false">'Player Data'!G564</f>
        <v>22</v>
      </c>
      <c r="G564" s="21" t="n">
        <f aca="false">'Player Data'!H564</f>
        <v>876</v>
      </c>
      <c r="H564" s="22" t="n">
        <f aca="false">IF(B564="GK",IFERROR(('Player Data'!N564-1.5*'Player Data'!O564)/'Player Data'!H564*90,0),IFERROR(('Player Data'!I564+'Player Data'!J564)/'Player Data'!H564*90,0))</f>
        <v>0.308219178082192</v>
      </c>
      <c r="I564" s="22" t="n">
        <f aca="false">IF(B564="GK",'Player Data'!P564,IFERROR(('Player Data'!K564+'Player Data'!L564)/'Player Data'!H564*90,0))</f>
        <v>8.11643835616438</v>
      </c>
      <c r="J564" s="22" t="n">
        <f aca="false">IF(B564="GK",IFERROR('Player Data'!Q564/'Player Data'!H564*90,0),IFERROR('Player Data'!M564/'Player Data'!H564*90,0))</f>
        <v>9.86301369863014</v>
      </c>
      <c r="K564" s="23" t="n">
        <f aca="false">'Player Data'!S564</f>
        <v>91551</v>
      </c>
      <c r="L564" s="22" t="n">
        <f aca="false">INDEX(Assumptions!$B$13:$B$15,MATCH(E564,Assumptions!$A$13:$A$15,0))</f>
        <v>0.85</v>
      </c>
      <c r="M564" s="24" t="n">
        <f aca="false">IFERROR(SUMPRODUCT(($B$2:$B$1001=B564)*($H$2:$H$1001&lt;=H564))/SUMPRODUCT(($B$2:$B$1001=B564)*1),0)</f>
        <v>0.789115646258503</v>
      </c>
      <c r="N564" s="24" t="n">
        <f aca="false">IFERROR(SUMPRODUCT(($B$2:$B$1001=B564)*($I$2:$I$1001&lt;=I564))/SUMPRODUCT(($B$2:$B$1001=B564)*1),0)</f>
        <v>0.904761904761905</v>
      </c>
      <c r="O564" s="24" t="n">
        <f aca="false">IFERROR(SUMPRODUCT(($B$2:$B$1001=B564)*($J$2:$J$1001&lt;=J564))/SUMPRODUCT(($B$2:$B$1001=B564)*1),0)</f>
        <v>0.928571428571429</v>
      </c>
      <c r="P564" s="24" t="n">
        <f aca="false">IFERROR(SUMPRODUCT(($B$2:$B$1001=B564)*((0-$F$2:$F$1001)&lt;=(0-F564)))/SUMPRODUCT(($B$2:$B$1001=B564)*1),0)</f>
        <v>0.493197278911565</v>
      </c>
      <c r="Q564" s="25" t="n">
        <f aca="false">(M564*Assumptions!$B$5+N564*Assumptions!$B$6+O564*Assumptions!$B$7+P564*Assumptions!$B$8)*L564</f>
        <v>0.678554421768708</v>
      </c>
      <c r="R564" s="24" t="n">
        <f aca="false">IFERROR(SUMPRODUCT(($B$2:$B$1001=B564)*($Q$2:$Q$1001&lt;=Q564))/SUMPRODUCT(($B$2:$B$1001=B564)*1),0)</f>
        <v>0.857142857142857</v>
      </c>
      <c r="S564" s="24" t="n">
        <f aca="false">IFERROR(SUMPRODUCT(($B$2:$B$1001=B564)*($K$2:$K$1001&lt;=K564))/SUMPRODUCT(($B$2:$B$1001=B564)*1),0)</f>
        <v>0.697278911564626</v>
      </c>
      <c r="T564" s="26" t="n">
        <f aca="false">(R564-S564)*100</f>
        <v>15.9863945578231</v>
      </c>
      <c r="U564" s="21" t="str">
        <f aca="false">'Player Data'!T564</f>
        <v>Unknown</v>
      </c>
      <c r="V564" s="27" t="n">
        <f aca="false">'Player Data'!U564</f>
        <v>2028</v>
      </c>
      <c r="W564" s="21" t="str">
        <f aca="false">IF(AND(T564&gt;=Assumptions!$B$19,U564="No"),"High Priority - Unrepresented",IF(T564&gt;=Assumptions!$B$19,"High Priority",IF(AND(T564&gt;=Assumptions!$B$20,U564="No"),"Watchlist - Unrepresented",IF(T564&gt;=Assumptions!$B$20,"Watchlist",""))))</f>
        <v/>
      </c>
      <c r="X564" s="21" t="str">
        <f aca="false">'Player Data'!V564</f>
        <v>info@spanishtownsc.jm</v>
      </c>
      <c r="Y564" s="28" t="str">
        <f aca="false">'Player Data'!W564</f>
        <v>Club sporting director / first-team office</v>
      </c>
      <c r="Z564" s="28" t="str">
        <f aca="false">'Player Data'!X564</f>
        <v>JFF (Jamaica Football Federation) player registry</v>
      </c>
      <c r="AA564" s="19" t="str">
        <f aca="false">HYPERLINK("https://www.transfermarkt.com/schnellsuche/ergebnis/schnellsuche?query="&amp;SUBSTITUTE(A564," ","+"),"Search Transfermarkt")</f>
        <v>Search Transfermarkt</v>
      </c>
      <c r="AB564" s="29" t="n">
        <f aca="false">IFERROR('Player Data'!K564/('Player Data'!K564+'Player Data'!L564),0)</f>
        <v>0.683544303797468</v>
      </c>
      <c r="AC564" s="21" t="str">
        <f aca="false">IF(B564="GK",IF(AND(O564&gt;=Assumptions!$B$23,N564&gt;=Assumptions!$B$23),"Sweeper-Keeper / Build-from-the-Back",IF(O564&gt;=Assumptions!$B$23,"Sweeper-Keeper / High Line",IF(M564&gt;=Assumptions!$B$23,"Shot-Stopper / Traditional","Flexible / Multi-System"))),IF(AND(O564&gt;=Assumptions!$B$23,P564&gt;=Assumptions!$B$24),"High Press / Gegenpressing",IF(AND(N564&gt;=Assumptions!$B$23,AB564&gt;=Assumptions!$B$25),"Possession / Build-from-the-Back",IF(N564&gt;=Assumptions!$B$23,"Counter-Attack / Transition",IF(AND(O564&gt;=Assumptions!$B$23,N564&lt;Assumptions!$B$26),"Low Block / Park the Bus",IF(AND(B564="FW",M564&gt;=Assumptions!$B$23,N564&lt;Assumptions!$B$26),"Direct / Target Approach","Flexible / Multi-System"))))))</f>
        <v>Possession / Build-from-the-Back</v>
      </c>
      <c r="AD564" s="21" t="str">
        <f aca="false">'Player Data'!Y564</f>
        <v>2026-07-17</v>
      </c>
      <c r="AE564" s="21" t="str">
        <f aca="false">'Player Data'!Z564</f>
        <v>2026-07-17</v>
      </c>
      <c r="AF564" s="28" t="str">
        <f aca="false">IFERROR(INDEX(Assumptions!$B$30:$B$61,MATCH(C564,Assumptions!$A$30:$A$61,0)),"--")</f>
        <v>United States, Mexico</v>
      </c>
      <c r="AG564" s="30" t="str">
        <f aca="false">IF(R564&gt;=0.7,"Step-Up Candidate",IF(R564&gt;=0.4,"Lateral Move","Stay &amp; Develop"))</f>
        <v>Step-Up Candidate</v>
      </c>
    </row>
    <row r="565" customFormat="false" ht="23.85" hidden="false" customHeight="false" outlineLevel="0" collapsed="false">
      <c r="A565" s="21" t="str">
        <f aca="false">'Player Data'!A565</f>
        <v>Aleksandar Jovanovic</v>
      </c>
      <c r="B565" s="21" t="str">
        <f aca="false">'Player Data'!F565</f>
        <v>DF</v>
      </c>
      <c r="C565" s="21" t="str">
        <f aca="false">'Player Data'!B565</f>
        <v>Serbia</v>
      </c>
      <c r="D565" s="21" t="str">
        <f aca="false">'Player Data'!C565</f>
        <v>Serbia Second Division</v>
      </c>
      <c r="E565" s="21" t="n">
        <f aca="false">'Player Data'!D565</f>
        <v>4</v>
      </c>
      <c r="F565" s="21" t="n">
        <f aca="false">'Player Data'!G565</f>
        <v>17</v>
      </c>
      <c r="G565" s="21" t="n">
        <f aca="false">'Player Data'!H565</f>
        <v>2246</v>
      </c>
      <c r="H565" s="22" t="n">
        <f aca="false">IF(B565="GK",IFERROR(('Player Data'!N565-1.5*'Player Data'!O565)/'Player Data'!H565*90,0),IFERROR(('Player Data'!I565+'Player Data'!J565)/'Player Data'!H565*90,0))</f>
        <v>0.240427426536064</v>
      </c>
      <c r="I565" s="22" t="n">
        <f aca="false">IF(B565="GK",'Player Data'!P565,IFERROR(('Player Data'!K565+'Player Data'!L565)/'Player Data'!H565*90,0))</f>
        <v>4.28762243989314</v>
      </c>
      <c r="J565" s="22" t="n">
        <f aca="false">IF(B565="GK",IFERROR('Player Data'!Q565/'Player Data'!H565*90,0),IFERROR('Player Data'!M565/'Player Data'!H565*90,0))</f>
        <v>4.76847729296527</v>
      </c>
      <c r="K565" s="23" t="n">
        <f aca="false">'Player Data'!S565</f>
        <v>71654</v>
      </c>
      <c r="L565" s="22" t="n">
        <f aca="false">INDEX(Assumptions!$B$13:$B$15,MATCH(E565,Assumptions!$A$13:$A$15,0))</f>
        <v>0.7</v>
      </c>
      <c r="M565" s="24" t="n">
        <f aca="false">IFERROR(SUMPRODUCT(($B$2:$B$1001=B565)*($H$2:$H$1001&lt;=H565))/SUMPRODUCT(($B$2:$B$1001=B565)*1),0)</f>
        <v>0.642857142857143</v>
      </c>
      <c r="N565" s="24" t="n">
        <f aca="false">IFERROR(SUMPRODUCT(($B$2:$B$1001=B565)*($I$2:$I$1001&lt;=I565))/SUMPRODUCT(($B$2:$B$1001=B565)*1),0)</f>
        <v>0.452380952380952</v>
      </c>
      <c r="O565" s="24" t="n">
        <f aca="false">IFERROR(SUMPRODUCT(($B$2:$B$1001=B565)*($J$2:$J$1001&lt;=J565))/SUMPRODUCT(($B$2:$B$1001=B565)*1),0)</f>
        <v>0.408163265306122</v>
      </c>
      <c r="P565" s="24" t="n">
        <f aca="false">IFERROR(SUMPRODUCT(($B$2:$B$1001=B565)*((0-$F$2:$F$1001)&lt;=(0-F565)))/SUMPRODUCT(($B$2:$B$1001=B565)*1),0)</f>
        <v>1</v>
      </c>
      <c r="Q565" s="25" t="n">
        <f aca="false">(M565*Assumptions!$B$5+N565*Assumptions!$B$6+O565*Assumptions!$B$7+P565*Assumptions!$B$8)*L565</f>
        <v>0.42047619047619</v>
      </c>
      <c r="R565" s="24" t="n">
        <f aca="false">IFERROR(SUMPRODUCT(($B$2:$B$1001=B565)*($Q$2:$Q$1001&lt;=Q565))/SUMPRODUCT(($B$2:$B$1001=B565)*1),0)</f>
        <v>0.503401360544218</v>
      </c>
      <c r="S565" s="24" t="n">
        <f aca="false">IFERROR(SUMPRODUCT(($B$2:$B$1001=B565)*($K$2:$K$1001&lt;=K565))/SUMPRODUCT(($B$2:$B$1001=B565)*1),0)</f>
        <v>0.561224489795918</v>
      </c>
      <c r="T565" s="26" t="n">
        <f aca="false">(R565-S565)*100</f>
        <v>-5.78231292517006</v>
      </c>
      <c r="U565" s="21" t="str">
        <f aca="false">'Player Data'!T565</f>
        <v>No</v>
      </c>
      <c r="V565" s="27" t="n">
        <f aca="false">'Player Data'!U565</f>
        <v>2027</v>
      </c>
      <c r="W565" s="21" t="str">
        <f aca="false">IF(AND(T565&gt;=Assumptions!$B$19,U565="No"),"High Priority - Unrepresented",IF(T565&gt;=Assumptions!$B$19,"High Priority",IF(AND(T565&gt;=Assumptions!$B$20,U565="No"),"Watchlist - Unrepresented",IF(T565&gt;=Assumptions!$B$20,"Watchlist",""))))</f>
        <v/>
      </c>
      <c r="X565" s="21" t="str">
        <f aca="false">'Player Data'!V565</f>
        <v>info@vojvodinarovers.rs</v>
      </c>
      <c r="Y565" s="28" t="str">
        <f aca="false">'Player Data'!W565</f>
        <v>Club youth/academy office ONLY - player is a minor, do not contact directly</v>
      </c>
      <c r="Z565" s="28" t="str">
        <f aca="false">'Player Data'!X565</f>
        <v>FSS (Football Association of Serbia) player registry</v>
      </c>
      <c r="AA565" s="19" t="str">
        <f aca="false">HYPERLINK("https://www.transfermarkt.com/schnellsuche/ergebnis/schnellsuche?query="&amp;SUBSTITUTE(A565," ","+"),"Search Transfermarkt")</f>
        <v>Search Transfermarkt</v>
      </c>
      <c r="AB565" s="29" t="n">
        <f aca="false">IFERROR('Player Data'!K565/('Player Data'!K565+'Player Data'!L565),0)</f>
        <v>0.644859813084112</v>
      </c>
      <c r="AC565" s="21" t="str">
        <f aca="false">IF(B565="GK",IF(AND(O565&gt;=Assumptions!$B$23,N565&gt;=Assumptions!$B$23),"Sweeper-Keeper / Build-from-the-Back",IF(O565&gt;=Assumptions!$B$23,"Sweeper-Keeper / High Line",IF(M565&gt;=Assumptions!$B$23,"Shot-Stopper / Traditional","Flexible / Multi-System"))),IF(AND(O565&gt;=Assumptions!$B$23,P565&gt;=Assumptions!$B$24),"High Press / Gegenpressing",IF(AND(N565&gt;=Assumptions!$B$23,AB565&gt;=Assumptions!$B$25),"Possession / Build-from-the-Back",IF(N565&gt;=Assumptions!$B$23,"Counter-Attack / Transition",IF(AND(O565&gt;=Assumptions!$B$23,N565&lt;Assumptions!$B$26),"Low Block / Park the Bus",IF(AND(B565="FW",M565&gt;=Assumptions!$B$23,N565&lt;Assumptions!$B$26),"Direct / Target Approach","Flexible / Multi-System"))))))</f>
        <v>Flexible / Multi-System</v>
      </c>
      <c r="AD565" s="21" t="str">
        <f aca="false">'Player Data'!Y565</f>
        <v>2026-07-17</v>
      </c>
      <c r="AE565" s="21" t="str">
        <f aca="false">'Player Data'!Z565</f>
        <v>2026-07-17</v>
      </c>
      <c r="AF565" s="28" t="str">
        <f aca="false">IFERROR(INDEX(Assumptions!$B$30:$B$61,MATCH(C565,Assumptions!$A$30:$A$61,0)),"--")</f>
        <v>Austria, Turkey</v>
      </c>
      <c r="AG565" s="30" t="str">
        <f aca="false">IF(R565&gt;=0.7,"Step-Up Candidate",IF(R565&gt;=0.4,"Lateral Move","Stay &amp; Develop"))</f>
        <v>Lateral Move</v>
      </c>
    </row>
    <row r="566" customFormat="false" ht="23.85" hidden="false" customHeight="false" outlineLevel="0" collapsed="false">
      <c r="A566" s="21" t="str">
        <f aca="false">'Player Data'!A566</f>
        <v>Andres Kukk</v>
      </c>
      <c r="B566" s="21" t="str">
        <f aca="false">'Player Data'!F566</f>
        <v>GK</v>
      </c>
      <c r="C566" s="21" t="str">
        <f aca="false">'Player Data'!B566</f>
        <v>Estonia</v>
      </c>
      <c r="D566" s="21" t="str">
        <f aca="false">'Player Data'!C566</f>
        <v>Estonia Amateur League</v>
      </c>
      <c r="E566" s="21" t="n">
        <f aca="false">'Player Data'!D566</f>
        <v>3</v>
      </c>
      <c r="F566" s="21" t="n">
        <f aca="false">'Player Data'!G566</f>
        <v>25</v>
      </c>
      <c r="G566" s="21" t="n">
        <f aca="false">'Player Data'!H566</f>
        <v>2180</v>
      </c>
      <c r="H566" s="22" t="n">
        <f aca="false">IF(B566="GK",IFERROR(('Player Data'!N566-1.5*'Player Data'!O566)/'Player Data'!H566*90,0),IFERROR(('Player Data'!I566+'Player Data'!J566)/'Player Data'!H566*90,0))</f>
        <v>1.52752293577982</v>
      </c>
      <c r="I566" s="22" t="n">
        <f aca="false">IF(B566="GK",'Player Data'!P566,IFERROR(('Player Data'!K566+'Player Data'!L566)/'Player Data'!H566*90,0))</f>
        <v>80</v>
      </c>
      <c r="J566" s="22" t="n">
        <f aca="false">IF(B566="GK",IFERROR('Player Data'!Q566/'Player Data'!H566*90,0),IFERROR('Player Data'!M566/'Player Data'!H566*90,0))</f>
        <v>1.26743119266055</v>
      </c>
      <c r="K566" s="23" t="n">
        <f aca="false">'Player Data'!S566</f>
        <v>127318</v>
      </c>
      <c r="L566" s="22" t="n">
        <f aca="false">INDEX(Assumptions!$B$13:$B$15,MATCH(E566,Assumptions!$A$13:$A$15,0))</f>
        <v>0.85</v>
      </c>
      <c r="M566" s="24" t="n">
        <f aca="false">IFERROR(SUMPRODUCT(($B$2:$B$1001=B566)*($H$2:$H$1001&lt;=H566))/SUMPRODUCT(($B$2:$B$1001=B566)*1),0)</f>
        <v>0.721311475409836</v>
      </c>
      <c r="N566" s="24" t="n">
        <f aca="false">IFERROR(SUMPRODUCT(($B$2:$B$1001=B566)*($I$2:$I$1001&lt;=I566))/SUMPRODUCT(($B$2:$B$1001=B566)*1),0)</f>
        <v>0.655737704918033</v>
      </c>
      <c r="O566" s="24" t="n">
        <f aca="false">IFERROR(SUMPRODUCT(($B$2:$B$1001=B566)*($J$2:$J$1001&lt;=J566))/SUMPRODUCT(($B$2:$B$1001=B566)*1),0)</f>
        <v>0.792349726775956</v>
      </c>
      <c r="P566" s="24" t="n">
        <f aca="false">IFERROR(SUMPRODUCT(($B$2:$B$1001=B566)*((0-$F$2:$F$1001)&lt;=(0-F566)))/SUMPRODUCT(($B$2:$B$1001=B566)*1),0)</f>
        <v>0.240437158469945</v>
      </c>
      <c r="Q566" s="25" t="n">
        <f aca="false">(M566*Assumptions!$B$5+N566*Assumptions!$B$6+O566*Assumptions!$B$7+P566*Assumptions!$B$8)*L566</f>
        <v>0.523934426229508</v>
      </c>
      <c r="R566" s="24" t="n">
        <f aca="false">IFERROR(SUMPRODUCT(($B$2:$B$1001=B566)*($Q$2:$Q$1001&lt;=Q566))/SUMPRODUCT(($B$2:$B$1001=B566)*1),0)</f>
        <v>0.683060109289618</v>
      </c>
      <c r="S566" s="24" t="n">
        <f aca="false">IFERROR(SUMPRODUCT(($B$2:$B$1001=B566)*($K$2:$K$1001&lt;=K566))/SUMPRODUCT(($B$2:$B$1001=B566)*1),0)</f>
        <v>0.863387978142077</v>
      </c>
      <c r="T566" s="26" t="n">
        <f aca="false">(R566-S566)*100</f>
        <v>-18.0327868852459</v>
      </c>
      <c r="U566" s="21" t="str">
        <f aca="false">'Player Data'!T566</f>
        <v>No</v>
      </c>
      <c r="V566" s="27" t="n">
        <f aca="false">'Player Data'!U566</f>
        <v>2028</v>
      </c>
      <c r="W566" s="21" t="str">
        <f aca="false">IF(AND(T566&gt;=Assumptions!$B$19,U566="No"),"High Priority - Unrepresented",IF(T566&gt;=Assumptions!$B$19,"High Priority",IF(AND(T566&gt;=Assumptions!$B$20,U566="No"),"Watchlist - Unrepresented",IF(T566&gt;=Assumptions!$B$20,"Watchlist",""))))</f>
        <v/>
      </c>
      <c r="X566" s="21" t="str">
        <f aca="false">'Player Data'!V566</f>
        <v>info@tarturovers.ee</v>
      </c>
      <c r="Y566" s="28" t="str">
        <f aca="false">'Player Data'!W566</f>
        <v>Club sporting director / first-team office</v>
      </c>
      <c r="Z566" s="28" t="str">
        <f aca="false">'Player Data'!X566</f>
        <v>EJL (Estonian Football Association) player registry</v>
      </c>
      <c r="AA566" s="19" t="str">
        <f aca="false">HYPERLINK("https://www.transfermarkt.com/schnellsuche/ergebnis/schnellsuche?query="&amp;SUBSTITUTE(A566," ","+"),"Search Transfermarkt")</f>
        <v>Search Transfermarkt</v>
      </c>
      <c r="AB566" s="29" t="n">
        <f aca="false">IFERROR('Player Data'!K566/('Player Data'!K566+'Player Data'!L566),0)</f>
        <v>0.8125</v>
      </c>
      <c r="AC566" s="21" t="str">
        <f aca="false">IF(B566="GK",IF(AND(O566&gt;=Assumptions!$B$23,N566&gt;=Assumptions!$B$23),"Sweeper-Keeper / Build-from-the-Back",IF(O566&gt;=Assumptions!$B$23,"Sweeper-Keeper / High Line",IF(M566&gt;=Assumptions!$B$23,"Shot-Stopper / Traditional","Flexible / Multi-System"))),IF(AND(O566&gt;=Assumptions!$B$23,P566&gt;=Assumptions!$B$24),"High Press / Gegenpressing",IF(AND(N566&gt;=Assumptions!$B$23,AB566&gt;=Assumptions!$B$25),"Possession / Build-from-the-Back",IF(N566&gt;=Assumptions!$B$23,"Counter-Attack / Transition",IF(AND(O566&gt;=Assumptions!$B$23,N566&lt;Assumptions!$B$26),"Low Block / Park the Bus",IF(AND(B566="FW",M566&gt;=Assumptions!$B$23,N566&lt;Assumptions!$B$26),"Direct / Target Approach","Flexible / Multi-System"))))))</f>
        <v>Sweeper-Keeper / Build-from-the-Back</v>
      </c>
      <c r="AD566" s="21" t="str">
        <f aca="false">'Player Data'!Y566</f>
        <v>2026-07-17</v>
      </c>
      <c r="AE566" s="21" t="str">
        <f aca="false">'Player Data'!Z566</f>
        <v>2026-07-17</v>
      </c>
      <c r="AF566" s="28" t="str">
        <f aca="false">IFERROR(INDEX(Assumptions!$B$30:$B$61,MATCH(C566,Assumptions!$A$30:$A$61,0)),"--")</f>
        <v>Poland, Norway</v>
      </c>
      <c r="AG566" s="30" t="str">
        <f aca="false">IF(R566&gt;=0.7,"Step-Up Candidate",IF(R566&gt;=0.4,"Lateral Move","Stay &amp; Develop"))</f>
        <v>Lateral Move</v>
      </c>
    </row>
    <row r="567" customFormat="false" ht="23.85" hidden="false" customHeight="false" outlineLevel="0" collapsed="false">
      <c r="A567" s="21" t="str">
        <f aca="false">'Player Data'!A567</f>
        <v>Carlos Preciado</v>
      </c>
      <c r="B567" s="21" t="str">
        <f aca="false">'Player Data'!F567</f>
        <v>FW</v>
      </c>
      <c r="C567" s="21" t="str">
        <f aca="false">'Player Data'!B567</f>
        <v>Ecuador</v>
      </c>
      <c r="D567" s="21" t="str">
        <f aca="false">'Player Data'!C567</f>
        <v>Ecuador Second Division - West</v>
      </c>
      <c r="E567" s="21" t="n">
        <f aca="false">'Player Data'!D567</f>
        <v>3</v>
      </c>
      <c r="F567" s="21" t="n">
        <f aca="false">'Player Data'!G567</f>
        <v>25</v>
      </c>
      <c r="G567" s="21" t="n">
        <f aca="false">'Player Data'!H567</f>
        <v>1877</v>
      </c>
      <c r="H567" s="22" t="n">
        <f aca="false">IF(B567="GK",IFERROR(('Player Data'!N567-1.5*'Player Data'!O567)/'Player Data'!H567*90,0),IFERROR(('Player Data'!I567+'Player Data'!J567)/'Player Data'!H567*90,0))</f>
        <v>1.34256792754395</v>
      </c>
      <c r="I567" s="22" t="n">
        <f aca="false">IF(B567="GK",'Player Data'!P567,IFERROR(('Player Data'!K567+'Player Data'!L567)/'Player Data'!H567*90,0))</f>
        <v>5.61001598295152</v>
      </c>
      <c r="J567" s="22" t="n">
        <f aca="false">IF(B567="GK",IFERROR('Player Data'!Q567/'Player Data'!H567*90,0),IFERROR('Player Data'!M567/'Player Data'!H567*90,0))</f>
        <v>0.479488545551412</v>
      </c>
      <c r="K567" s="23" t="n">
        <f aca="false">'Player Data'!S567</f>
        <v>31132</v>
      </c>
      <c r="L567" s="22" t="n">
        <f aca="false">INDEX(Assumptions!$B$13:$B$15,MATCH(E567,Assumptions!$A$13:$A$15,0))</f>
        <v>0.85</v>
      </c>
      <c r="M567" s="24" t="n">
        <f aca="false">IFERROR(SUMPRODUCT(($B$2:$B$1001=B567)*($H$2:$H$1001&lt;=H567))/SUMPRODUCT(($B$2:$B$1001=B567)*1),0)</f>
        <v>0.765486725663717</v>
      </c>
      <c r="N567" s="24" t="n">
        <f aca="false">IFERROR(SUMPRODUCT(($B$2:$B$1001=B567)*($I$2:$I$1001&lt;=I567))/SUMPRODUCT(($B$2:$B$1001=B567)*1),0)</f>
        <v>0.336283185840708</v>
      </c>
      <c r="O567" s="24" t="n">
        <f aca="false">IFERROR(SUMPRODUCT(($B$2:$B$1001=B567)*($J$2:$J$1001&lt;=J567))/SUMPRODUCT(($B$2:$B$1001=B567)*1),0)</f>
        <v>0.469026548672566</v>
      </c>
      <c r="P567" s="24" t="n">
        <f aca="false">IFERROR(SUMPRODUCT(($B$2:$B$1001=B567)*((0-$F$2:$F$1001)&lt;=(0-F567)))/SUMPRODUCT(($B$2:$B$1001=B567)*1),0)</f>
        <v>0.194690265486726</v>
      </c>
      <c r="Q567" s="25" t="n">
        <f aca="false">(M567*Assumptions!$B$5+N567*Assumptions!$B$6+O567*Assumptions!$B$7+P567*Assumptions!$B$8)*L567</f>
        <v>0.37554203539823</v>
      </c>
      <c r="R567" s="24" t="n">
        <f aca="false">IFERROR(SUMPRODUCT(($B$2:$B$1001=B567)*($Q$2:$Q$1001&lt;=Q567))/SUMPRODUCT(($B$2:$B$1001=B567)*1),0)</f>
        <v>0.393805309734513</v>
      </c>
      <c r="S567" s="24" t="n">
        <f aca="false">IFERROR(SUMPRODUCT(($B$2:$B$1001=B567)*($K$2:$K$1001&lt;=K567))/SUMPRODUCT(($B$2:$B$1001=B567)*1),0)</f>
        <v>0.36283185840708</v>
      </c>
      <c r="T567" s="26" t="n">
        <f aca="false">(R567-S567)*100</f>
        <v>3.09734513274336</v>
      </c>
      <c r="U567" s="21" t="str">
        <f aca="false">'Player Data'!T567</f>
        <v>Yes</v>
      </c>
      <c r="V567" s="27" t="n">
        <f aca="false">'Player Data'!U567</f>
        <v>2028</v>
      </c>
      <c r="W567" s="21" t="str">
        <f aca="false">IF(AND(T567&gt;=Assumptions!$B$19,U567="No"),"High Priority - Unrepresented",IF(T567&gt;=Assumptions!$B$19,"High Priority",IF(AND(T567&gt;=Assumptions!$B$20,U567="No"),"Watchlist - Unrepresented",IF(T567&gt;=Assumptions!$B$20,"Watchlist",""))))</f>
        <v/>
      </c>
      <c r="X567" s="21" t="str">
        <f aca="false">'Player Data'!V567</f>
        <v>info@quitofc.ec</v>
      </c>
      <c r="Y567" s="28" t="str">
        <f aca="false">'Player Data'!W567</f>
        <v>Go through the player's agent - ask the club to confirm representation first</v>
      </c>
      <c r="Z567" s="28" t="str">
        <f aca="false">'Player Data'!X567</f>
        <v>FEF (Ecuadorian Football Federation) player registry</v>
      </c>
      <c r="AA567" s="19" t="str">
        <f aca="false">HYPERLINK("https://www.transfermarkt.com/schnellsuche/ergebnis/schnellsuche?query="&amp;SUBSTITUTE(A567," ","+"),"Search Transfermarkt")</f>
        <v>Search Transfermarkt</v>
      </c>
      <c r="AB567" s="29" t="n">
        <f aca="false">IFERROR('Player Data'!K567/('Player Data'!K567+'Player Data'!L567),0)</f>
        <v>0.307692307692308</v>
      </c>
      <c r="AC567" s="21" t="str">
        <f aca="false">IF(B567="GK",IF(AND(O567&gt;=Assumptions!$B$23,N567&gt;=Assumptions!$B$23),"Sweeper-Keeper / Build-from-the-Back",IF(O567&gt;=Assumptions!$B$23,"Sweeper-Keeper / High Line",IF(M567&gt;=Assumptions!$B$23,"Shot-Stopper / Traditional","Flexible / Multi-System"))),IF(AND(O567&gt;=Assumptions!$B$23,P567&gt;=Assumptions!$B$24),"High Press / Gegenpressing",IF(AND(N567&gt;=Assumptions!$B$23,AB567&gt;=Assumptions!$B$25),"Possession / Build-from-the-Back",IF(N567&gt;=Assumptions!$B$23,"Counter-Attack / Transition",IF(AND(O567&gt;=Assumptions!$B$23,N567&lt;Assumptions!$B$26),"Low Block / Park the Bus",IF(AND(B567="FW",M567&gt;=Assumptions!$B$23,N567&lt;Assumptions!$B$26),"Direct / Target Approach","Flexible / Multi-System"))))))</f>
        <v>Direct / Target Approach</v>
      </c>
      <c r="AD567" s="21" t="str">
        <f aca="false">'Player Data'!Y567</f>
        <v>2026-07-17</v>
      </c>
      <c r="AE567" s="21" t="str">
        <f aca="false">'Player Data'!Z567</f>
        <v>2026-07-17</v>
      </c>
      <c r="AF567" s="28" t="str">
        <f aca="false">IFERROR(INDEX(Assumptions!$B$30:$B$61,MATCH(C567,Assumptions!$A$30:$A$61,0)),"--")</f>
        <v>Argentina, Portugal</v>
      </c>
      <c r="AG567" s="30" t="str">
        <f aca="false">IF(R567&gt;=0.7,"Step-Up Candidate",IF(R567&gt;=0.4,"Lateral Move","Stay &amp; Develop"))</f>
        <v>Stay &amp; Develop</v>
      </c>
    </row>
    <row r="568" customFormat="false" ht="23.85" hidden="false" customHeight="false" outlineLevel="0" collapsed="false">
      <c r="A568" s="21" t="str">
        <f aca="false">'Player Data'!A568</f>
        <v>Tim Kranjc</v>
      </c>
      <c r="B568" s="21" t="str">
        <f aca="false">'Player Data'!F568</f>
        <v>DF</v>
      </c>
      <c r="C568" s="21" t="str">
        <f aca="false">'Player Data'!B568</f>
        <v>Slovenia</v>
      </c>
      <c r="D568" s="21" t="str">
        <f aca="false">'Player Data'!C568</f>
        <v>Slovenia Second Division</v>
      </c>
      <c r="E568" s="21" t="n">
        <f aca="false">'Player Data'!D568</f>
        <v>3</v>
      </c>
      <c r="F568" s="21" t="n">
        <f aca="false">'Player Data'!G568</f>
        <v>19</v>
      </c>
      <c r="G568" s="21" t="n">
        <f aca="false">'Player Data'!H568</f>
        <v>1302</v>
      </c>
      <c r="H568" s="22" t="n">
        <f aca="false">IF(B568="GK",IFERROR(('Player Data'!N568-1.5*'Player Data'!O568)/'Player Data'!H568*90,0),IFERROR(('Player Data'!I568+'Player Data'!J568)/'Player Data'!H568*90,0))</f>
        <v>0.552995391705069</v>
      </c>
      <c r="I568" s="22" t="n">
        <f aca="false">IF(B568="GK",'Player Data'!P568,IFERROR(('Player Data'!K568+'Player Data'!L568)/'Player Data'!H568*90,0))</f>
        <v>6.49769585253456</v>
      </c>
      <c r="J568" s="22" t="n">
        <f aca="false">IF(B568="GK",IFERROR('Player Data'!Q568/'Player Data'!H568*90,0),IFERROR('Player Data'!M568/'Player Data'!H568*90,0))</f>
        <v>6.22119815668203</v>
      </c>
      <c r="K568" s="23" t="n">
        <f aca="false">'Player Data'!S568</f>
        <v>74924</v>
      </c>
      <c r="L568" s="22" t="n">
        <f aca="false">INDEX(Assumptions!$B$13:$B$15,MATCH(E568,Assumptions!$A$13:$A$15,0))</f>
        <v>0.85</v>
      </c>
      <c r="M568" s="24" t="n">
        <f aca="false">IFERROR(SUMPRODUCT(($B$2:$B$1001=B568)*($H$2:$H$1001&lt;=H568))/SUMPRODUCT(($B$2:$B$1001=B568)*1),0)</f>
        <v>0.972789115646259</v>
      </c>
      <c r="N568" s="24" t="n">
        <f aca="false">IFERROR(SUMPRODUCT(($B$2:$B$1001=B568)*($I$2:$I$1001&lt;=I568))/SUMPRODUCT(($B$2:$B$1001=B568)*1),0)</f>
        <v>0.792517006802721</v>
      </c>
      <c r="O568" s="24" t="n">
        <f aca="false">IFERROR(SUMPRODUCT(($B$2:$B$1001=B568)*($J$2:$J$1001&lt;=J568))/SUMPRODUCT(($B$2:$B$1001=B568)*1),0)</f>
        <v>0.656462585034014</v>
      </c>
      <c r="P568" s="24" t="n">
        <f aca="false">IFERROR(SUMPRODUCT(($B$2:$B$1001=B568)*((0-$F$2:$F$1001)&lt;=(0-F568)))/SUMPRODUCT(($B$2:$B$1001=B568)*1),0)</f>
        <v>0.738095238095238</v>
      </c>
      <c r="Q568" s="25" t="n">
        <f aca="false">(M568*Assumptions!$B$5+N568*Assumptions!$B$6+O568*Assumptions!$B$7+P568*Assumptions!$B$8)*L568</f>
        <v>0.679566326530612</v>
      </c>
      <c r="R568" s="24" t="n">
        <f aca="false">IFERROR(SUMPRODUCT(($B$2:$B$1001=B568)*($Q$2:$Q$1001&lt;=Q568))/SUMPRODUCT(($B$2:$B$1001=B568)*1),0)</f>
        <v>0.860544217687075</v>
      </c>
      <c r="S568" s="24" t="n">
        <f aca="false">IFERROR(SUMPRODUCT(($B$2:$B$1001=B568)*($K$2:$K$1001&lt;=K568))/SUMPRODUCT(($B$2:$B$1001=B568)*1),0)</f>
        <v>0.591836734693878</v>
      </c>
      <c r="T568" s="26" t="n">
        <f aca="false">(R568-S568)*100</f>
        <v>26.8707482993197</v>
      </c>
      <c r="U568" s="21" t="str">
        <f aca="false">'Player Data'!T568</f>
        <v>Unknown</v>
      </c>
      <c r="V568" s="27" t="n">
        <f aca="false">'Player Data'!U568</f>
        <v>2028</v>
      </c>
      <c r="W568" s="21" t="str">
        <f aca="false">IF(AND(T568&gt;=Assumptions!$B$19,U568="No"),"High Priority - Unrepresented",IF(T568&gt;=Assumptions!$B$19,"High Priority",IF(AND(T568&gt;=Assumptions!$B$20,U568="No"),"Watchlist - Unrepresented",IF(T568&gt;=Assumptions!$B$20,"Watchlist",""))))</f>
        <v>Watchlist</v>
      </c>
      <c r="X568" s="21" t="str">
        <f aca="false">'Player Data'!V568</f>
        <v>info@celjesc.si</v>
      </c>
      <c r="Y568" s="28" t="str">
        <f aca="false">'Player Data'!W568</f>
        <v>Club sporting director / first-team office</v>
      </c>
      <c r="Z568" s="28" t="str">
        <f aca="false">'Player Data'!X568</f>
        <v>NZS (Football Association of Slovenia) player registry</v>
      </c>
      <c r="AA568" s="19" t="str">
        <f aca="false">HYPERLINK("https://www.transfermarkt.com/schnellsuche/ergebnis/schnellsuche?query="&amp;SUBSTITUTE(A568," ","+"),"Search Transfermarkt")</f>
        <v>Search Transfermarkt</v>
      </c>
      <c r="AB568" s="29" t="n">
        <f aca="false">IFERROR('Player Data'!K568/('Player Data'!K568+'Player Data'!L568),0)</f>
        <v>0.680851063829787</v>
      </c>
      <c r="AC568" s="21" t="str">
        <f aca="false">IF(B568="GK",IF(AND(O568&gt;=Assumptions!$B$23,N568&gt;=Assumptions!$B$23),"Sweeper-Keeper / Build-from-the-Back",IF(O568&gt;=Assumptions!$B$23,"Sweeper-Keeper / High Line",IF(M568&gt;=Assumptions!$B$23,"Shot-Stopper / Traditional","Flexible / Multi-System"))),IF(AND(O568&gt;=Assumptions!$B$23,P568&gt;=Assumptions!$B$24),"High Press / Gegenpressing",IF(AND(N568&gt;=Assumptions!$B$23,AB568&gt;=Assumptions!$B$25),"Possession / Build-from-the-Back",IF(N568&gt;=Assumptions!$B$23,"Counter-Attack / Transition",IF(AND(O568&gt;=Assumptions!$B$23,N568&lt;Assumptions!$B$26),"Low Block / Park the Bus",IF(AND(B568="FW",M568&gt;=Assumptions!$B$23,N568&lt;Assumptions!$B$26),"Direct / Target Approach","Flexible / Multi-System"))))))</f>
        <v>High Press / Gegenpressing</v>
      </c>
      <c r="AD568" s="21" t="str">
        <f aca="false">'Player Data'!Y568</f>
        <v>2026-07-17</v>
      </c>
      <c r="AE568" s="21" t="str">
        <f aca="false">'Player Data'!Z568</f>
        <v>2026-07-17</v>
      </c>
      <c r="AF568" s="28" t="str">
        <f aca="false">IFERROR(INDEX(Assumptions!$B$30:$B$61,MATCH(C568,Assumptions!$A$30:$A$61,0)),"--")</f>
        <v>Austria, Poland</v>
      </c>
      <c r="AG568" s="30" t="str">
        <f aca="false">IF(R568&gt;=0.7,"Step-Up Candidate",IF(R568&gt;=0.4,"Lateral Move","Stay &amp; Develop"))</f>
        <v>Step-Up Candidate</v>
      </c>
    </row>
    <row r="569" customFormat="false" ht="23.85" hidden="false" customHeight="false" outlineLevel="0" collapsed="false">
      <c r="A569" s="21" t="str">
        <f aca="false">'Player Data'!A569</f>
        <v>Uros Ilic</v>
      </c>
      <c r="B569" s="21" t="str">
        <f aca="false">'Player Data'!F569</f>
        <v>FW</v>
      </c>
      <c r="C569" s="21" t="str">
        <f aca="false">'Player Data'!B569</f>
        <v>Serbia</v>
      </c>
      <c r="D569" s="21" t="str">
        <f aca="false">'Player Data'!C569</f>
        <v>Serbia Amateur League</v>
      </c>
      <c r="E569" s="21" t="n">
        <f aca="false">'Player Data'!D569</f>
        <v>2</v>
      </c>
      <c r="F569" s="21" t="n">
        <f aca="false">'Player Data'!G569</f>
        <v>25</v>
      </c>
      <c r="G569" s="21" t="n">
        <f aca="false">'Player Data'!H569</f>
        <v>1933</v>
      </c>
      <c r="H569" s="22" t="n">
        <f aca="false">IF(B569="GK",IFERROR(('Player Data'!N569-1.5*'Player Data'!O569)/'Player Data'!H569*90,0),IFERROR(('Player Data'!I569+'Player Data'!J569)/'Player Data'!H569*90,0))</f>
        <v>0.74495602690119</v>
      </c>
      <c r="I569" s="22" t="n">
        <f aca="false">IF(B569="GK",'Player Data'!P569,IFERROR(('Player Data'!K569+'Player Data'!L569)/'Player Data'!H569*90,0))</f>
        <v>5.02845318158303</v>
      </c>
      <c r="J569" s="22" t="n">
        <f aca="false">IF(B569="GK",IFERROR('Player Data'!Q569/'Player Data'!H569*90,0),IFERROR('Player Data'!M569/'Player Data'!H569*90,0))</f>
        <v>0.279358510087946</v>
      </c>
      <c r="K569" s="23" t="n">
        <f aca="false">'Player Data'!S569</f>
        <v>0</v>
      </c>
      <c r="L569" s="22" t="n">
        <f aca="false">INDEX(Assumptions!$B$13:$B$15,MATCH(E569,Assumptions!$A$13:$A$15,0))</f>
        <v>1</v>
      </c>
      <c r="M569" s="24" t="n">
        <f aca="false">IFERROR(SUMPRODUCT(($B$2:$B$1001=B569)*($H$2:$H$1001&lt;=H569))/SUMPRODUCT(($B$2:$B$1001=B569)*1),0)</f>
        <v>0.256637168141593</v>
      </c>
      <c r="N569" s="24" t="n">
        <f aca="false">IFERROR(SUMPRODUCT(($B$2:$B$1001=B569)*($I$2:$I$1001&lt;=I569))/SUMPRODUCT(($B$2:$B$1001=B569)*1),0)</f>
        <v>0.230088495575221</v>
      </c>
      <c r="O569" s="24" t="n">
        <f aca="false">IFERROR(SUMPRODUCT(($B$2:$B$1001=B569)*($J$2:$J$1001&lt;=J569))/SUMPRODUCT(($B$2:$B$1001=B569)*1),0)</f>
        <v>0.150442477876106</v>
      </c>
      <c r="P569" s="24" t="n">
        <f aca="false">IFERROR(SUMPRODUCT(($B$2:$B$1001=B569)*((0-$F$2:$F$1001)&lt;=(0-F569)))/SUMPRODUCT(($B$2:$B$1001=B569)*1),0)</f>
        <v>0.194690265486726</v>
      </c>
      <c r="Q569" s="25" t="n">
        <f aca="false">(M569*Assumptions!$B$5+N569*Assumptions!$B$6+O569*Assumptions!$B$7+P569*Assumptions!$B$8)*L569</f>
        <v>0.213716814159292</v>
      </c>
      <c r="R569" s="24" t="n">
        <f aca="false">IFERROR(SUMPRODUCT(($B$2:$B$1001=B569)*($Q$2:$Q$1001&lt;=Q569))/SUMPRODUCT(($B$2:$B$1001=B569)*1),0)</f>
        <v>0.0973451327433628</v>
      </c>
      <c r="S569" s="24" t="n">
        <f aca="false">IFERROR(SUMPRODUCT(($B$2:$B$1001=B569)*($K$2:$K$1001&lt;=K569))/SUMPRODUCT(($B$2:$B$1001=B569)*1),0)</f>
        <v>0.261061946902655</v>
      </c>
      <c r="T569" s="26" t="n">
        <f aca="false">(R569-S569)*100</f>
        <v>-16.3716814159292</v>
      </c>
      <c r="U569" s="21" t="str">
        <f aca="false">'Player Data'!T569</f>
        <v>No</v>
      </c>
      <c r="V569" s="27" t="n">
        <f aca="false">'Player Data'!U569</f>
        <v>2026</v>
      </c>
      <c r="W569" s="21" t="str">
        <f aca="false">IF(AND(T569&gt;=Assumptions!$B$19,U569="No"),"High Priority - Unrepresented",IF(T569&gt;=Assumptions!$B$19,"High Priority",IF(AND(T569&gt;=Assumptions!$B$20,U569="No"),"Watchlist - Unrepresented",IF(T569&gt;=Assumptions!$B$20,"Watchlist",""))))</f>
        <v/>
      </c>
      <c r="X569" s="21" t="str">
        <f aca="false">'Player Data'!V569</f>
        <v>info@kraljevorovers.rs</v>
      </c>
      <c r="Y569" s="28" t="str">
        <f aca="false">'Player Data'!W569</f>
        <v>Club sporting director / first-team office</v>
      </c>
      <c r="Z569" s="28" t="str">
        <f aca="false">'Player Data'!X569</f>
        <v>FSS (Football Association of Serbia) player registry</v>
      </c>
      <c r="AA569" s="19" t="str">
        <f aca="false">HYPERLINK("https://www.transfermarkt.com/schnellsuche/ergebnis/schnellsuche?query="&amp;SUBSTITUTE(A569," ","+"),"Search Transfermarkt")</f>
        <v>Search Transfermarkt</v>
      </c>
      <c r="AB569" s="29" t="n">
        <f aca="false">IFERROR('Player Data'!K569/('Player Data'!K569+'Player Data'!L569),0)</f>
        <v>0.462962962962963</v>
      </c>
      <c r="AC569" s="21" t="str">
        <f aca="false">IF(B569="GK",IF(AND(O569&gt;=Assumptions!$B$23,N569&gt;=Assumptions!$B$23),"Sweeper-Keeper / Build-from-the-Back",IF(O569&gt;=Assumptions!$B$23,"Sweeper-Keeper / High Line",IF(M569&gt;=Assumptions!$B$23,"Shot-Stopper / Traditional","Flexible / Multi-System"))),IF(AND(O569&gt;=Assumptions!$B$23,P569&gt;=Assumptions!$B$24),"High Press / Gegenpressing",IF(AND(N569&gt;=Assumptions!$B$23,AB569&gt;=Assumptions!$B$25),"Possession / Build-from-the-Back",IF(N569&gt;=Assumptions!$B$23,"Counter-Attack / Transition",IF(AND(O569&gt;=Assumptions!$B$23,N569&lt;Assumptions!$B$26),"Low Block / Park the Bus",IF(AND(B569="FW",M569&gt;=Assumptions!$B$23,N569&lt;Assumptions!$B$26),"Direct / Target Approach","Flexible / Multi-System"))))))</f>
        <v>Flexible / Multi-System</v>
      </c>
      <c r="AD569" s="21" t="str">
        <f aca="false">'Player Data'!Y569</f>
        <v>2026-07-17</v>
      </c>
      <c r="AE569" s="21" t="str">
        <f aca="false">'Player Data'!Z569</f>
        <v>2026-07-17</v>
      </c>
      <c r="AF569" s="28" t="str">
        <f aca="false">IFERROR(INDEX(Assumptions!$B$30:$B$61,MATCH(C569,Assumptions!$A$30:$A$61,0)),"--")</f>
        <v>Austria, Turkey</v>
      </c>
      <c r="AG569" s="30" t="str">
        <f aca="false">IF(R569&gt;=0.7,"Step-Up Candidate",IF(R569&gt;=0.4,"Lateral Move","Stay &amp; Develop"))</f>
        <v>Stay &amp; Develop</v>
      </c>
    </row>
    <row r="570" customFormat="false" ht="23.85" hidden="false" customHeight="false" outlineLevel="0" collapsed="false">
      <c r="A570" s="21" t="str">
        <f aca="false">'Player Data'!A570</f>
        <v>Marlon Palacios</v>
      </c>
      <c r="B570" s="21" t="str">
        <f aca="false">'Player Data'!F570</f>
        <v>GK</v>
      </c>
      <c r="C570" s="21" t="str">
        <f aca="false">'Player Data'!B570</f>
        <v>Honduras</v>
      </c>
      <c r="D570" s="21" t="str">
        <f aca="false">'Player Data'!C570</f>
        <v>Honduras Second Division - East</v>
      </c>
      <c r="E570" s="21" t="n">
        <f aca="false">'Player Data'!D570</f>
        <v>2</v>
      </c>
      <c r="F570" s="21" t="n">
        <f aca="false">'Player Data'!G570</f>
        <v>23</v>
      </c>
      <c r="G570" s="21" t="n">
        <f aca="false">'Player Data'!H570</f>
        <v>1262</v>
      </c>
      <c r="H570" s="22" t="n">
        <f aca="false">IF(B570="GK",IFERROR(('Player Data'!N570-1.5*'Player Data'!O570)/'Player Data'!H570*90,0),IFERROR(('Player Data'!I570+'Player Data'!J570)/'Player Data'!H570*90,0))</f>
        <v>0</v>
      </c>
      <c r="I570" s="22" t="n">
        <f aca="false">IF(B570="GK",'Player Data'!P570,IFERROR(('Player Data'!K570+'Player Data'!L570)/'Player Data'!H570*90,0))</f>
        <v>78.2</v>
      </c>
      <c r="J570" s="22" t="n">
        <f aca="false">IF(B570="GK",IFERROR('Player Data'!Q570/'Player Data'!H570*90,0),IFERROR('Player Data'!M570/'Player Data'!H570*90,0))</f>
        <v>0.898573692551506</v>
      </c>
      <c r="K570" s="23" t="n">
        <f aca="false">'Player Data'!S570</f>
        <v>77786</v>
      </c>
      <c r="L570" s="22" t="n">
        <f aca="false">INDEX(Assumptions!$B$13:$B$15,MATCH(E570,Assumptions!$A$13:$A$15,0))</f>
        <v>1</v>
      </c>
      <c r="M570" s="24" t="n">
        <f aca="false">IFERROR(SUMPRODUCT(($B$2:$B$1001=B570)*($H$2:$H$1001&lt;=H570))/SUMPRODUCT(($B$2:$B$1001=B570)*1),0)</f>
        <v>0.191256830601093</v>
      </c>
      <c r="N570" s="24" t="n">
        <f aca="false">IFERROR(SUMPRODUCT(($B$2:$B$1001=B570)*($I$2:$I$1001&lt;=I570))/SUMPRODUCT(($B$2:$B$1001=B570)*1),0)</f>
        <v>0.612021857923497</v>
      </c>
      <c r="O570" s="24" t="n">
        <f aca="false">IFERROR(SUMPRODUCT(($B$2:$B$1001=B570)*($J$2:$J$1001&lt;=J570))/SUMPRODUCT(($B$2:$B$1001=B570)*1),0)</f>
        <v>0.540983606557377</v>
      </c>
      <c r="P570" s="24" t="n">
        <f aca="false">IFERROR(SUMPRODUCT(($B$2:$B$1001=B570)*((0-$F$2:$F$1001)&lt;=(0-F570)))/SUMPRODUCT(($B$2:$B$1001=B570)*1),0)</f>
        <v>0.431693989071038</v>
      </c>
      <c r="Q570" s="25" t="n">
        <f aca="false">(M570*Assumptions!$B$5+N570*Assumptions!$B$6+O570*Assumptions!$B$7+P570*Assumptions!$B$8)*L570</f>
        <v>0.45655737704918</v>
      </c>
      <c r="R570" s="24" t="n">
        <f aca="false">IFERROR(SUMPRODUCT(($B$2:$B$1001=B570)*($Q$2:$Q$1001&lt;=Q570))/SUMPRODUCT(($B$2:$B$1001=B570)*1),0)</f>
        <v>0.480874316939891</v>
      </c>
      <c r="S570" s="24" t="n">
        <f aca="false">IFERROR(SUMPRODUCT(($B$2:$B$1001=B570)*($K$2:$K$1001&lt;=K570))/SUMPRODUCT(($B$2:$B$1001=B570)*1),0)</f>
        <v>0.573770491803279</v>
      </c>
      <c r="T570" s="26" t="n">
        <f aca="false">(R570-S570)*100</f>
        <v>-9.2896174863388</v>
      </c>
      <c r="U570" s="21" t="str">
        <f aca="false">'Player Data'!T570</f>
        <v>No</v>
      </c>
      <c r="V570" s="27" t="n">
        <f aca="false">'Player Data'!U570</f>
        <v>2029</v>
      </c>
      <c r="W570" s="21" t="str">
        <f aca="false">IF(AND(T570&gt;=Assumptions!$B$19,U570="No"),"High Priority - Unrepresented",IF(T570&gt;=Assumptions!$B$19,"High Priority",IF(AND(T570&gt;=Assumptions!$B$20,U570="No"),"Watchlist - Unrepresented",IF(T570&gt;=Assumptions!$B$20,"Watchlist",""))))</f>
        <v/>
      </c>
      <c r="X570" s="21" t="str">
        <f aca="false">'Player Data'!V570</f>
        <v>info@laceibacity.hn</v>
      </c>
      <c r="Y570" s="28" t="str">
        <f aca="false">'Player Data'!W570</f>
        <v>Club sporting director / first-team office</v>
      </c>
      <c r="Z570" s="28" t="str">
        <f aca="false">'Player Data'!X570</f>
        <v>FENAFUTH (Honduran Football Federation) player registry</v>
      </c>
      <c r="AA570" s="19" t="str">
        <f aca="false">HYPERLINK("https://www.transfermarkt.com/schnellsuche/ergebnis/schnellsuche?query="&amp;SUBSTITUTE(A570," ","+"),"Search Transfermarkt")</f>
        <v>Search Transfermarkt</v>
      </c>
      <c r="AB570" s="29" t="n">
        <f aca="false">IFERROR('Player Data'!K570/('Player Data'!K570+'Player Data'!L570),0)</f>
        <v>0.791666666666667</v>
      </c>
      <c r="AC570" s="21" t="str">
        <f aca="false">IF(B570="GK",IF(AND(O570&gt;=Assumptions!$B$23,N570&gt;=Assumptions!$B$23),"Sweeper-Keeper / Build-from-the-Back",IF(O570&gt;=Assumptions!$B$23,"Sweeper-Keeper / High Line",IF(M570&gt;=Assumptions!$B$23,"Shot-Stopper / Traditional","Flexible / Multi-System"))),IF(AND(O570&gt;=Assumptions!$B$23,P570&gt;=Assumptions!$B$24),"High Press / Gegenpressing",IF(AND(N570&gt;=Assumptions!$B$23,AB570&gt;=Assumptions!$B$25),"Possession / Build-from-the-Back",IF(N570&gt;=Assumptions!$B$23,"Counter-Attack / Transition",IF(AND(O570&gt;=Assumptions!$B$23,N570&lt;Assumptions!$B$26),"Low Block / Park the Bus",IF(AND(B570="FW",M570&gt;=Assumptions!$B$23,N570&lt;Assumptions!$B$26),"Direct / Target Approach","Flexible / Multi-System"))))))</f>
        <v>Flexible / Multi-System</v>
      </c>
      <c r="AD570" s="21" t="str">
        <f aca="false">'Player Data'!Y570</f>
        <v>2026-07-17</v>
      </c>
      <c r="AE570" s="21" t="str">
        <f aca="false">'Player Data'!Z570</f>
        <v>2026-07-17</v>
      </c>
      <c r="AF570" s="28" t="str">
        <f aca="false">IFERROR(INDEX(Assumptions!$B$30:$B$61,MATCH(C570,Assumptions!$A$30:$A$61,0)),"--")</f>
        <v>Mexico, United States</v>
      </c>
      <c r="AG570" s="30" t="str">
        <f aca="false">IF(R570&gt;=0.7,"Step-Up Candidate",IF(R570&gt;=0.4,"Lateral Move","Stay &amp; Develop"))</f>
        <v>Lateral Move</v>
      </c>
    </row>
    <row r="571" customFormat="false" ht="23.85" hidden="false" customHeight="false" outlineLevel="0" collapsed="false">
      <c r="A571" s="21" t="str">
        <f aca="false">'Player Data'!A571</f>
        <v>Vasil Naumovski</v>
      </c>
      <c r="B571" s="21" t="str">
        <f aca="false">'Player Data'!F571</f>
        <v>GK</v>
      </c>
      <c r="C571" s="21" t="str">
        <f aca="false">'Player Data'!B571</f>
        <v>North Macedonia</v>
      </c>
      <c r="D571" s="21" t="str">
        <f aca="false">'Player Data'!C571</f>
        <v>North Macedonia Second Division - East</v>
      </c>
      <c r="E571" s="21" t="n">
        <f aca="false">'Player Data'!D571</f>
        <v>4</v>
      </c>
      <c r="F571" s="21" t="n">
        <f aca="false">'Player Data'!G571</f>
        <v>18</v>
      </c>
      <c r="G571" s="21" t="n">
        <f aca="false">'Player Data'!H571</f>
        <v>2691</v>
      </c>
      <c r="H571" s="22" t="n">
        <f aca="false">IF(B571="GK",IFERROR(('Player Data'!N571-1.5*'Player Data'!O571)/'Player Data'!H571*90,0),IFERROR(('Player Data'!I571+'Player Data'!J571)/'Player Data'!H571*90,0))</f>
        <v>1.48829431438127</v>
      </c>
      <c r="I571" s="22" t="n">
        <f aca="false">IF(B571="GK",'Player Data'!P571,IFERROR(('Player Data'!K571+'Player Data'!L571)/'Player Data'!H571*90,0))</f>
        <v>79.4</v>
      </c>
      <c r="J571" s="22" t="n">
        <f aca="false">IF(B571="GK",IFERROR('Player Data'!Q571/'Player Data'!H571*90,0),IFERROR('Player Data'!M571/'Player Data'!H571*90,0))</f>
        <v>0.939799331103679</v>
      </c>
      <c r="K571" s="23" t="n">
        <f aca="false">'Player Data'!S571</f>
        <v>108928</v>
      </c>
      <c r="L571" s="22" t="n">
        <f aca="false">INDEX(Assumptions!$B$13:$B$15,MATCH(E571,Assumptions!$A$13:$A$15,0))</f>
        <v>0.7</v>
      </c>
      <c r="M571" s="24" t="n">
        <f aca="false">IFERROR(SUMPRODUCT(($B$2:$B$1001=B571)*($H$2:$H$1001&lt;=H571))/SUMPRODUCT(($B$2:$B$1001=B571)*1),0)</f>
        <v>0.693989071038251</v>
      </c>
      <c r="N571" s="24" t="n">
        <f aca="false">IFERROR(SUMPRODUCT(($B$2:$B$1001=B571)*($I$2:$I$1001&lt;=I571))/SUMPRODUCT(($B$2:$B$1001=B571)*1),0)</f>
        <v>0.644808743169399</v>
      </c>
      <c r="O571" s="24" t="n">
        <f aca="false">IFERROR(SUMPRODUCT(($B$2:$B$1001=B571)*($J$2:$J$1001&lt;=J571))/SUMPRODUCT(($B$2:$B$1001=B571)*1),0)</f>
        <v>0.579234972677596</v>
      </c>
      <c r="P571" s="24" t="n">
        <f aca="false">IFERROR(SUMPRODUCT(($B$2:$B$1001=B571)*((0-$F$2:$F$1001)&lt;=(0-F571)))/SUMPRODUCT(($B$2:$B$1001=B571)*1),0)</f>
        <v>0.907103825136612</v>
      </c>
      <c r="Q571" s="25" t="n">
        <f aca="false">(M571*Assumptions!$B$5+N571*Assumptions!$B$6+O571*Assumptions!$B$7+P571*Assumptions!$B$8)*L571</f>
        <v>0.487513661202186</v>
      </c>
      <c r="R571" s="24" t="n">
        <f aca="false">IFERROR(SUMPRODUCT(($B$2:$B$1001=B571)*($Q$2:$Q$1001&lt;=Q571))/SUMPRODUCT(($B$2:$B$1001=B571)*1),0)</f>
        <v>0.579234972677596</v>
      </c>
      <c r="S571" s="24" t="n">
        <f aca="false">IFERROR(SUMPRODUCT(($B$2:$B$1001=B571)*($K$2:$K$1001&lt;=K571))/SUMPRODUCT(($B$2:$B$1001=B571)*1),0)</f>
        <v>0.759562841530055</v>
      </c>
      <c r="T571" s="26" t="n">
        <f aca="false">(R571-S571)*100</f>
        <v>-18.0327868852459</v>
      </c>
      <c r="U571" s="21" t="str">
        <f aca="false">'Player Data'!T571</f>
        <v>Unknown</v>
      </c>
      <c r="V571" s="27" t="n">
        <f aca="false">'Player Data'!U571</f>
        <v>2027</v>
      </c>
      <c r="W571" s="21" t="str">
        <f aca="false">IF(AND(T571&gt;=Assumptions!$B$19,U571="No"),"High Priority - Unrepresented",IF(T571&gt;=Assumptions!$B$19,"High Priority",IF(AND(T571&gt;=Assumptions!$B$20,U571="No"),"Watchlist - Unrepresented",IF(T571&gt;=Assumptions!$B$20,"Watchlist",""))))</f>
        <v/>
      </c>
      <c r="X571" s="21" t="str">
        <f aca="false">'Player Data'!V571</f>
        <v>info@ohridrangers.mk</v>
      </c>
      <c r="Y571" s="28" t="str">
        <f aca="false">'Player Data'!W571</f>
        <v>Club sporting director / first-team office</v>
      </c>
      <c r="Z571" s="28" t="str">
        <f aca="false">'Player Data'!X571</f>
        <v>FFM (Football Federation of North Macedonia) player registry</v>
      </c>
      <c r="AA571" s="19" t="str">
        <f aca="false">HYPERLINK("https://www.transfermarkt.com/schnellsuche/ergebnis/schnellsuche?query="&amp;SUBSTITUTE(A571," ","+"),"Search Transfermarkt")</f>
        <v>Search Transfermarkt</v>
      </c>
      <c r="AB571" s="29" t="n">
        <f aca="false">IFERROR('Player Data'!K571/('Player Data'!K571+'Player Data'!L571),0)</f>
        <v>0.875</v>
      </c>
      <c r="AC571" s="21" t="str">
        <f aca="false">IF(B571="GK",IF(AND(O571&gt;=Assumptions!$B$23,N571&gt;=Assumptions!$B$23),"Sweeper-Keeper / Build-from-the-Back",IF(O571&gt;=Assumptions!$B$23,"Sweeper-Keeper / High Line",IF(M571&gt;=Assumptions!$B$23,"Shot-Stopper / Traditional","Flexible / Multi-System"))),IF(AND(O571&gt;=Assumptions!$B$23,P571&gt;=Assumptions!$B$24),"High Press / Gegenpressing",IF(AND(N571&gt;=Assumptions!$B$23,AB571&gt;=Assumptions!$B$25),"Possession / Build-from-the-Back",IF(N571&gt;=Assumptions!$B$23,"Counter-Attack / Transition",IF(AND(O571&gt;=Assumptions!$B$23,N571&lt;Assumptions!$B$26),"Low Block / Park the Bus",IF(AND(B571="FW",M571&gt;=Assumptions!$B$23,N571&lt;Assumptions!$B$26),"Direct / Target Approach","Flexible / Multi-System"))))))</f>
        <v>Shot-Stopper / Traditional</v>
      </c>
      <c r="AD571" s="21" t="str">
        <f aca="false">'Player Data'!Y571</f>
        <v>2026-07-17</v>
      </c>
      <c r="AE571" s="21" t="str">
        <f aca="false">'Player Data'!Z571</f>
        <v>2026-07-17</v>
      </c>
      <c r="AF571" s="28" t="str">
        <f aca="false">IFERROR(INDEX(Assumptions!$B$30:$B$61,MATCH(C571,Assumptions!$A$30:$A$61,0)),"--")</f>
        <v>Austria, Turkey</v>
      </c>
      <c r="AG571" s="30" t="str">
        <f aca="false">IF(R571&gt;=0.7,"Step-Up Candidate",IF(R571&gt;=0.4,"Lateral Move","Stay &amp; Develop"))</f>
        <v>Lateral Move</v>
      </c>
    </row>
    <row r="572" customFormat="false" ht="23.85" hidden="false" customHeight="false" outlineLevel="0" collapsed="false">
      <c r="A572" s="21" t="str">
        <f aca="false">'Player Data'!A572</f>
        <v>Facundo Rodriguez</v>
      </c>
      <c r="B572" s="21" t="str">
        <f aca="false">'Player Data'!F572</f>
        <v>MF</v>
      </c>
      <c r="C572" s="21" t="str">
        <f aca="false">'Player Data'!B572</f>
        <v>Uruguay</v>
      </c>
      <c r="D572" s="21" t="str">
        <f aca="false">'Player Data'!C572</f>
        <v>Uruguay Regional League</v>
      </c>
      <c r="E572" s="21" t="n">
        <f aca="false">'Player Data'!D572</f>
        <v>2</v>
      </c>
      <c r="F572" s="21" t="n">
        <f aca="false">'Player Data'!G572</f>
        <v>23</v>
      </c>
      <c r="G572" s="21" t="n">
        <f aca="false">'Player Data'!H572</f>
        <v>1867</v>
      </c>
      <c r="H572" s="22" t="n">
        <f aca="false">IF(B572="GK",IFERROR(('Player Data'!N572-1.5*'Player Data'!O572)/'Player Data'!H572*90,0),IFERROR(('Player Data'!I572+'Player Data'!J572)/'Player Data'!H572*90,0))</f>
        <v>0.96411355115158</v>
      </c>
      <c r="I572" s="22" t="n">
        <f aca="false">IF(B572="GK",'Player Data'!P572,IFERROR(('Player Data'!K572+'Player Data'!L572)/'Player Data'!H572*90,0))</f>
        <v>8.53240492769148</v>
      </c>
      <c r="J572" s="22" t="n">
        <f aca="false">IF(B572="GK",IFERROR('Player Data'!Q572/'Player Data'!H572*90,0),IFERROR('Player Data'!M572/'Player Data'!H572*90,0))</f>
        <v>1.73540439207284</v>
      </c>
      <c r="K572" s="23" t="n">
        <f aca="false">'Player Data'!S572</f>
        <v>126092</v>
      </c>
      <c r="L572" s="22" t="n">
        <f aca="false">INDEX(Assumptions!$B$13:$B$15,MATCH(E572,Assumptions!$A$13:$A$15,0))</f>
        <v>1</v>
      </c>
      <c r="M572" s="24" t="n">
        <f aca="false">IFERROR(SUMPRODUCT(($B$2:$B$1001=B572)*($H$2:$H$1001&lt;=H572))/SUMPRODUCT(($B$2:$B$1001=B572)*1),0)</f>
        <v>0.757575757575758</v>
      </c>
      <c r="N572" s="24" t="n">
        <f aca="false">IFERROR(SUMPRODUCT(($B$2:$B$1001=B572)*($I$2:$I$1001&lt;=I572))/SUMPRODUCT(($B$2:$B$1001=B572)*1),0)</f>
        <v>0.205387205387205</v>
      </c>
      <c r="O572" s="24" t="n">
        <f aca="false">IFERROR(SUMPRODUCT(($B$2:$B$1001=B572)*($J$2:$J$1001&lt;=J572))/SUMPRODUCT(($B$2:$B$1001=B572)*1),0)</f>
        <v>0.28956228956229</v>
      </c>
      <c r="P572" s="24" t="n">
        <f aca="false">IFERROR(SUMPRODUCT(($B$2:$B$1001=B572)*((0-$F$2:$F$1001)&lt;=(0-F572)))/SUMPRODUCT(($B$2:$B$1001=B572)*1),0)</f>
        <v>0.390572390572391</v>
      </c>
      <c r="Q572" s="25" t="n">
        <f aca="false">(M572*Assumptions!$B$5+N572*Assumptions!$B$6+O572*Assumptions!$B$7+P572*Assumptions!$B$8)*L572</f>
        <v>0.397306397306397</v>
      </c>
      <c r="R572" s="24" t="n">
        <f aca="false">IFERROR(SUMPRODUCT(($B$2:$B$1001=B572)*($Q$2:$Q$1001&lt;=Q572))/SUMPRODUCT(($B$2:$B$1001=B572)*1),0)</f>
        <v>0.410774410774411</v>
      </c>
      <c r="S572" s="24" t="n">
        <f aca="false">IFERROR(SUMPRODUCT(($B$2:$B$1001=B572)*($K$2:$K$1001&lt;=K572))/SUMPRODUCT(($B$2:$B$1001=B572)*1),0)</f>
        <v>0.888888888888889</v>
      </c>
      <c r="T572" s="26" t="n">
        <f aca="false">(R572-S572)*100</f>
        <v>-47.8114478114478</v>
      </c>
      <c r="U572" s="21" t="str">
        <f aca="false">'Player Data'!T572</f>
        <v>Yes</v>
      </c>
      <c r="V572" s="27" t="n">
        <f aca="false">'Player Data'!U572</f>
        <v>2027</v>
      </c>
      <c r="W572" s="21" t="str">
        <f aca="false">IF(AND(T572&gt;=Assumptions!$B$19,U572="No"),"High Priority - Unrepresented",IF(T572&gt;=Assumptions!$B$19,"High Priority",IF(AND(T572&gt;=Assumptions!$B$20,U572="No"),"Watchlist - Unrepresented",IF(T572&gt;=Assumptions!$B$20,"Watchlist",""))))</f>
        <v/>
      </c>
      <c r="X572" s="21" t="str">
        <f aca="false">'Player Data'!V572</f>
        <v>info@montevideorangers.uy</v>
      </c>
      <c r="Y572" s="28" t="str">
        <f aca="false">'Player Data'!W572</f>
        <v>Go through the player's agent - ask the club to confirm representation first</v>
      </c>
      <c r="Z572" s="28" t="str">
        <f aca="false">'Player Data'!X572</f>
        <v>AUF (Uruguayan Football Association) player registry</v>
      </c>
      <c r="AA572" s="19" t="str">
        <f aca="false">HYPERLINK("https://www.transfermarkt.com/schnellsuche/ergebnis/schnellsuche?query="&amp;SUBSTITUTE(A572," ","+"),"Search Transfermarkt")</f>
        <v>Search Transfermarkt</v>
      </c>
      <c r="AB572" s="29" t="n">
        <f aca="false">IFERROR('Player Data'!K572/('Player Data'!K572+'Player Data'!L572),0)</f>
        <v>0.677966101694915</v>
      </c>
      <c r="AC572" s="21" t="str">
        <f aca="false">IF(B572="GK",IF(AND(O572&gt;=Assumptions!$B$23,N572&gt;=Assumptions!$B$23),"Sweeper-Keeper / Build-from-the-Back",IF(O572&gt;=Assumptions!$B$23,"Sweeper-Keeper / High Line",IF(M572&gt;=Assumptions!$B$23,"Shot-Stopper / Traditional","Flexible / Multi-System"))),IF(AND(O572&gt;=Assumptions!$B$23,P572&gt;=Assumptions!$B$24),"High Press / Gegenpressing",IF(AND(N572&gt;=Assumptions!$B$23,AB572&gt;=Assumptions!$B$25),"Possession / Build-from-the-Back",IF(N572&gt;=Assumptions!$B$23,"Counter-Attack / Transition",IF(AND(O572&gt;=Assumptions!$B$23,N572&lt;Assumptions!$B$26),"Low Block / Park the Bus",IF(AND(B572="FW",M572&gt;=Assumptions!$B$23,N572&lt;Assumptions!$B$26),"Direct / Target Approach","Flexible / Multi-System"))))))</f>
        <v>Flexible / Multi-System</v>
      </c>
      <c r="AD572" s="21" t="str">
        <f aca="false">'Player Data'!Y572</f>
        <v>2026-07-17</v>
      </c>
      <c r="AE572" s="21" t="str">
        <f aca="false">'Player Data'!Z572</f>
        <v>2026-07-17</v>
      </c>
      <c r="AF572" s="28" t="str">
        <f aca="false">IFERROR(INDEX(Assumptions!$B$30:$B$61,MATCH(C572,Assumptions!$A$30:$A$61,0)),"--")</f>
        <v>Argentina, Portugal</v>
      </c>
      <c r="AG572" s="30" t="str">
        <f aca="false">IF(R572&gt;=0.7,"Step-Up Candidate",IF(R572&gt;=0.4,"Lateral Move","Stay &amp; Develop"))</f>
        <v>Lateral Move</v>
      </c>
    </row>
    <row r="573" customFormat="false" ht="23.85" hidden="false" customHeight="false" outlineLevel="0" collapsed="false">
      <c r="A573" s="21" t="str">
        <f aca="false">'Player Data'!A573</f>
        <v>Edgars Liepa</v>
      </c>
      <c r="B573" s="21" t="str">
        <f aca="false">'Player Data'!F573</f>
        <v>DF</v>
      </c>
      <c r="C573" s="21" t="str">
        <f aca="false">'Player Data'!B573</f>
        <v>Latvia</v>
      </c>
      <c r="D573" s="21" t="str">
        <f aca="false">'Player Data'!C573</f>
        <v>Latvia Provincial League</v>
      </c>
      <c r="E573" s="21" t="n">
        <f aca="false">'Player Data'!D573</f>
        <v>2</v>
      </c>
      <c r="F573" s="21" t="n">
        <f aca="false">'Player Data'!G573</f>
        <v>25</v>
      </c>
      <c r="G573" s="21" t="n">
        <f aca="false">'Player Data'!H573</f>
        <v>2521</v>
      </c>
      <c r="H573" s="22" t="n">
        <f aca="false">IF(B573="GK",IFERROR(('Player Data'!N573-1.5*'Player Data'!O573)/'Player Data'!H573*90,0),IFERROR(('Player Data'!I573+'Player Data'!J573)/'Player Data'!H573*90,0))</f>
        <v>0.10710035700119</v>
      </c>
      <c r="I573" s="22" t="n">
        <f aca="false">IF(B573="GK",'Player Data'!P573,IFERROR(('Player Data'!K573+'Player Data'!L573)/'Player Data'!H573*90,0))</f>
        <v>3.42721142403808</v>
      </c>
      <c r="J573" s="22" t="n">
        <f aca="false">IF(B573="GK",IFERROR('Player Data'!Q573/'Player Data'!H573*90,0),IFERROR('Player Data'!M573/'Player Data'!H573*90,0))</f>
        <v>2.89170963903213</v>
      </c>
      <c r="K573" s="23" t="n">
        <f aca="false">'Player Data'!S573</f>
        <v>77637</v>
      </c>
      <c r="L573" s="22" t="n">
        <f aca="false">INDEX(Assumptions!$B$13:$B$15,MATCH(E573,Assumptions!$A$13:$A$15,0))</f>
        <v>1</v>
      </c>
      <c r="M573" s="24" t="n">
        <f aca="false">IFERROR(SUMPRODUCT(($B$2:$B$1001=B573)*($H$2:$H$1001&lt;=H573))/SUMPRODUCT(($B$2:$B$1001=B573)*1),0)</f>
        <v>0.227891156462585</v>
      </c>
      <c r="N573" s="24" t="n">
        <f aca="false">IFERROR(SUMPRODUCT(($B$2:$B$1001=B573)*($I$2:$I$1001&lt;=I573))/SUMPRODUCT(($B$2:$B$1001=B573)*1),0)</f>
        <v>0.207482993197279</v>
      </c>
      <c r="O573" s="24" t="n">
        <f aca="false">IFERROR(SUMPRODUCT(($B$2:$B$1001=B573)*($J$2:$J$1001&lt;=J573))/SUMPRODUCT(($B$2:$B$1001=B573)*1),0)</f>
        <v>0.0204081632653061</v>
      </c>
      <c r="P573" s="24" t="n">
        <f aca="false">IFERROR(SUMPRODUCT(($B$2:$B$1001=B573)*((0-$F$2:$F$1001)&lt;=(0-F573)))/SUMPRODUCT(($B$2:$B$1001=B573)*1),0)</f>
        <v>0.146258503401361</v>
      </c>
      <c r="Q573" s="25" t="n">
        <f aca="false">(M573*Assumptions!$B$5+N573*Assumptions!$B$6+O573*Assumptions!$B$7+P573*Assumptions!$B$8)*L573</f>
        <v>0.162925170068027</v>
      </c>
      <c r="R573" s="24" t="n">
        <f aca="false">IFERROR(SUMPRODUCT(($B$2:$B$1001=B573)*($Q$2:$Q$1001&lt;=Q573))/SUMPRODUCT(($B$2:$B$1001=B573)*1),0)</f>
        <v>0.0442176870748299</v>
      </c>
      <c r="S573" s="24" t="n">
        <f aca="false">IFERROR(SUMPRODUCT(($B$2:$B$1001=B573)*($K$2:$K$1001&lt;=K573))/SUMPRODUCT(($B$2:$B$1001=B573)*1),0)</f>
        <v>0.605442176870748</v>
      </c>
      <c r="T573" s="26" t="n">
        <f aca="false">(R573-S573)*100</f>
        <v>-56.1224489795918</v>
      </c>
      <c r="U573" s="21" t="str">
        <f aca="false">'Player Data'!T573</f>
        <v>Unknown</v>
      </c>
      <c r="V573" s="27" t="n">
        <f aca="false">'Player Data'!U573</f>
        <v>2026</v>
      </c>
      <c r="W573" s="21" t="str">
        <f aca="false">IF(AND(T573&gt;=Assumptions!$B$19,U573="No"),"High Priority - Unrepresented",IF(T573&gt;=Assumptions!$B$19,"High Priority",IF(AND(T573&gt;=Assumptions!$B$20,U573="No"),"Watchlist - Unrepresented",IF(T573&gt;=Assumptions!$B$20,"Watchlist",""))))</f>
        <v/>
      </c>
      <c r="X573" s="21" t="str">
        <f aca="false">'Player Data'!V573</f>
        <v>info@rigaunited.lv</v>
      </c>
      <c r="Y573" s="28" t="str">
        <f aca="false">'Player Data'!W573</f>
        <v>Club sporting director / first-team office</v>
      </c>
      <c r="Z573" s="28" t="str">
        <f aca="false">'Player Data'!X573</f>
        <v>LFF (Latvian Football Federation) player registry</v>
      </c>
      <c r="AA573" s="19" t="str">
        <f aca="false">HYPERLINK("https://www.transfermarkt.com/schnellsuche/ergebnis/schnellsuche?query="&amp;SUBSTITUTE(A573," ","+"),"Search Transfermarkt")</f>
        <v>Search Transfermarkt</v>
      </c>
      <c r="AB573" s="29" t="n">
        <f aca="false">IFERROR('Player Data'!K573/('Player Data'!K573+'Player Data'!L573),0)</f>
        <v>0.697916666666667</v>
      </c>
      <c r="AC573" s="21" t="str">
        <f aca="false">IF(B573="GK",IF(AND(O573&gt;=Assumptions!$B$23,N573&gt;=Assumptions!$B$23),"Sweeper-Keeper / Build-from-the-Back",IF(O573&gt;=Assumptions!$B$23,"Sweeper-Keeper / High Line",IF(M573&gt;=Assumptions!$B$23,"Shot-Stopper / Traditional","Flexible / Multi-System"))),IF(AND(O573&gt;=Assumptions!$B$23,P573&gt;=Assumptions!$B$24),"High Press / Gegenpressing",IF(AND(N573&gt;=Assumptions!$B$23,AB573&gt;=Assumptions!$B$25),"Possession / Build-from-the-Back",IF(N573&gt;=Assumptions!$B$23,"Counter-Attack / Transition",IF(AND(O573&gt;=Assumptions!$B$23,N573&lt;Assumptions!$B$26),"Low Block / Park the Bus",IF(AND(B573="FW",M573&gt;=Assumptions!$B$23,N573&lt;Assumptions!$B$26),"Direct / Target Approach","Flexible / Multi-System"))))))</f>
        <v>Flexible / Multi-System</v>
      </c>
      <c r="AD573" s="21" t="str">
        <f aca="false">'Player Data'!Y573</f>
        <v>2026-07-17</v>
      </c>
      <c r="AE573" s="21" t="str">
        <f aca="false">'Player Data'!Z573</f>
        <v>2026-07-17</v>
      </c>
      <c r="AF573" s="28" t="str">
        <f aca="false">IFERROR(INDEX(Assumptions!$B$30:$B$61,MATCH(C573,Assumptions!$A$30:$A$61,0)),"--")</f>
        <v>Poland, Norway</v>
      </c>
      <c r="AG573" s="30" t="str">
        <f aca="false">IF(R573&gt;=0.7,"Step-Up Candidate",IF(R573&gt;=0.4,"Lateral Move","Stay &amp; Develop"))</f>
        <v>Stay &amp; Develop</v>
      </c>
    </row>
    <row r="574" customFormat="false" ht="23.85" hidden="false" customHeight="false" outlineLevel="0" collapsed="false">
      <c r="A574" s="21" t="str">
        <f aca="false">'Player Data'!A574</f>
        <v>Christian Mbia</v>
      </c>
      <c r="B574" s="21" t="str">
        <f aca="false">'Player Data'!F574</f>
        <v>FW</v>
      </c>
      <c r="C574" s="21" t="str">
        <f aca="false">'Player Data'!B574</f>
        <v>Cameroon</v>
      </c>
      <c r="D574" s="21" t="str">
        <f aca="false">'Player Data'!C574</f>
        <v>Cameroon Third Tier - South</v>
      </c>
      <c r="E574" s="21" t="n">
        <f aca="false">'Player Data'!D574</f>
        <v>2</v>
      </c>
      <c r="F574" s="21" t="n">
        <f aca="false">'Player Data'!G574</f>
        <v>19</v>
      </c>
      <c r="G574" s="21" t="n">
        <f aca="false">'Player Data'!H574</f>
        <v>1122</v>
      </c>
      <c r="H574" s="22" t="n">
        <f aca="false">IF(B574="GK",IFERROR(('Player Data'!N574-1.5*'Player Data'!O574)/'Player Data'!H574*90,0),IFERROR(('Player Data'!I574+'Player Data'!J574)/'Player Data'!H574*90,0))</f>
        <v>1.44385026737968</v>
      </c>
      <c r="I574" s="22" t="n">
        <f aca="false">IF(B574="GK",'Player Data'!P574,IFERROR(('Player Data'!K574+'Player Data'!L574)/'Player Data'!H574*90,0))</f>
        <v>10.5882352941176</v>
      </c>
      <c r="J574" s="22" t="n">
        <f aca="false">IF(B574="GK",IFERROR('Player Data'!Q574/'Player Data'!H574*90,0),IFERROR('Player Data'!M574/'Player Data'!H574*90,0))</f>
        <v>0.802139037433155</v>
      </c>
      <c r="K574" s="23" t="n">
        <f aca="false">'Player Data'!S574</f>
        <v>60887</v>
      </c>
      <c r="L574" s="22" t="n">
        <f aca="false">INDEX(Assumptions!$B$13:$B$15,MATCH(E574,Assumptions!$A$13:$A$15,0))</f>
        <v>1</v>
      </c>
      <c r="M574" s="24" t="n">
        <f aca="false">IFERROR(SUMPRODUCT(($B$2:$B$1001=B574)*($H$2:$H$1001&lt;=H574))/SUMPRODUCT(($B$2:$B$1001=B574)*1),0)</f>
        <v>0.809734513274336</v>
      </c>
      <c r="N574" s="24" t="n">
        <f aca="false">IFERROR(SUMPRODUCT(($B$2:$B$1001=B574)*($I$2:$I$1001&lt;=I574))/SUMPRODUCT(($B$2:$B$1001=B574)*1),0)</f>
        <v>0.858407079646018</v>
      </c>
      <c r="O574" s="24" t="n">
        <f aca="false">IFERROR(SUMPRODUCT(($B$2:$B$1001=B574)*($J$2:$J$1001&lt;=J574))/SUMPRODUCT(($B$2:$B$1001=B574)*1),0)</f>
        <v>0.783185840707965</v>
      </c>
      <c r="P574" s="24" t="n">
        <f aca="false">IFERROR(SUMPRODUCT(($B$2:$B$1001=B574)*((0-$F$2:$F$1001)&lt;=(0-F574)))/SUMPRODUCT(($B$2:$B$1001=B574)*1),0)</f>
        <v>0.831858407079646</v>
      </c>
      <c r="Q574" s="25" t="n">
        <f aca="false">(M574*Assumptions!$B$5+N574*Assumptions!$B$6+O574*Assumptions!$B$7+P574*Assumptions!$B$8)*L574</f>
        <v>0.825884955752212</v>
      </c>
      <c r="R574" s="24" t="n">
        <f aca="false">IFERROR(SUMPRODUCT(($B$2:$B$1001=B574)*($Q$2:$Q$1001&lt;=Q574))/SUMPRODUCT(($B$2:$B$1001=B574)*1),0)</f>
        <v>0.946902654867257</v>
      </c>
      <c r="S574" s="24" t="n">
        <f aca="false">IFERROR(SUMPRODUCT(($B$2:$B$1001=B574)*($K$2:$K$1001&lt;=K574))/SUMPRODUCT(($B$2:$B$1001=B574)*1),0)</f>
        <v>0.504424778761062</v>
      </c>
      <c r="T574" s="26" t="n">
        <f aca="false">(R574-S574)*100</f>
        <v>44.2477876106195</v>
      </c>
      <c r="U574" s="21" t="str">
        <f aca="false">'Player Data'!T574</f>
        <v>Yes</v>
      </c>
      <c r="V574" s="27" t="n">
        <f aca="false">'Player Data'!U574</f>
        <v>2027</v>
      </c>
      <c r="W574" s="21" t="str">
        <f aca="false">IF(AND(T574&gt;=Assumptions!$B$19,U574="No"),"High Priority - Unrepresented",IF(T574&gt;=Assumptions!$B$19,"High Priority",IF(AND(T574&gt;=Assumptions!$B$20,U574="No"),"Watchlist - Unrepresented",IF(T574&gt;=Assumptions!$B$20,"Watchlist",""))))</f>
        <v>High Priority</v>
      </c>
      <c r="X574" s="21" t="str">
        <f aca="false">'Player Data'!V574</f>
        <v>info@garouafc.cm</v>
      </c>
      <c r="Y574" s="28" t="str">
        <f aca="false">'Player Data'!W574</f>
        <v>Go through the player's agent - ask the club to confirm representation first</v>
      </c>
      <c r="Z574" s="28" t="str">
        <f aca="false">'Player Data'!X574</f>
        <v>FECAFOOT (Cameroonian Football Federation) player registry</v>
      </c>
      <c r="AA574" s="19" t="str">
        <f aca="false">HYPERLINK("https://www.transfermarkt.com/schnellsuche/ergebnis/schnellsuche?query="&amp;SUBSTITUTE(A574," ","+"),"Search Transfermarkt")</f>
        <v>Search Transfermarkt</v>
      </c>
      <c r="AB574" s="29" t="n">
        <f aca="false">IFERROR('Player Data'!K574/('Player Data'!K574+'Player Data'!L574),0)</f>
        <v>0.477272727272727</v>
      </c>
      <c r="AC574" s="21" t="str">
        <f aca="false">IF(B574="GK",IF(AND(O574&gt;=Assumptions!$B$23,N574&gt;=Assumptions!$B$23),"Sweeper-Keeper / Build-from-the-Back",IF(O574&gt;=Assumptions!$B$23,"Sweeper-Keeper / High Line",IF(M574&gt;=Assumptions!$B$23,"Shot-Stopper / Traditional","Flexible / Multi-System"))),IF(AND(O574&gt;=Assumptions!$B$23,P574&gt;=Assumptions!$B$24),"High Press / Gegenpressing",IF(AND(N574&gt;=Assumptions!$B$23,AB574&gt;=Assumptions!$B$25),"Possession / Build-from-the-Back",IF(N574&gt;=Assumptions!$B$23,"Counter-Attack / Transition",IF(AND(O574&gt;=Assumptions!$B$23,N574&lt;Assumptions!$B$26),"Low Block / Park the Bus",IF(AND(B574="FW",M574&gt;=Assumptions!$B$23,N574&lt;Assumptions!$B$26),"Direct / Target Approach","Flexible / Multi-System"))))))</f>
        <v>High Press / Gegenpressing</v>
      </c>
      <c r="AD574" s="21" t="str">
        <f aca="false">'Player Data'!Y574</f>
        <v>2026-07-17</v>
      </c>
      <c r="AE574" s="21" t="str">
        <f aca="false">'Player Data'!Z574</f>
        <v>2026-07-17</v>
      </c>
      <c r="AF574" s="28" t="str">
        <f aca="false">IFERROR(INDEX(Assumptions!$B$30:$B$61,MATCH(C574,Assumptions!$A$30:$A$61,0)),"--")</f>
        <v>Belgium, Portugal</v>
      </c>
      <c r="AG574" s="30" t="str">
        <f aca="false">IF(R574&gt;=0.7,"Step-Up Candidate",IF(R574&gt;=0.4,"Lateral Move","Stay &amp; Develop"))</f>
        <v>Step-Up Candidate</v>
      </c>
    </row>
    <row r="575" customFormat="false" ht="23.85" hidden="false" customHeight="false" outlineLevel="0" collapsed="false">
      <c r="A575" s="21" t="str">
        <f aca="false">'Player Data'!A575</f>
        <v>Gentian Hoxha</v>
      </c>
      <c r="B575" s="21" t="str">
        <f aca="false">'Player Data'!F575</f>
        <v>FW</v>
      </c>
      <c r="C575" s="21" t="str">
        <f aca="false">'Player Data'!B575</f>
        <v>Albania</v>
      </c>
      <c r="D575" s="21" t="str">
        <f aca="false">'Player Data'!C575</f>
        <v>Albania Third Tier - South</v>
      </c>
      <c r="E575" s="21" t="n">
        <f aca="false">'Player Data'!D575</f>
        <v>2</v>
      </c>
      <c r="F575" s="21" t="n">
        <f aca="false">'Player Data'!G575</f>
        <v>26</v>
      </c>
      <c r="G575" s="21" t="n">
        <f aca="false">'Player Data'!H575</f>
        <v>1531</v>
      </c>
      <c r="H575" s="22" t="n">
        <f aca="false">IF(B575="GK",IFERROR(('Player Data'!N575-1.5*'Player Data'!O575)/'Player Data'!H575*90,0),IFERROR(('Player Data'!I575+'Player Data'!J575)/'Player Data'!H575*90,0))</f>
        <v>0.940561724363161</v>
      </c>
      <c r="I575" s="22" t="n">
        <f aca="false">IF(B575="GK",'Player Data'!P575,IFERROR(('Player Data'!K575+'Player Data'!L575)/'Player Data'!H575*90,0))</f>
        <v>7.05421293272371</v>
      </c>
      <c r="J575" s="22" t="n">
        <f aca="false">IF(B575="GK",IFERROR('Player Data'!Q575/'Player Data'!H575*90,0),IFERROR('Player Data'!M575/'Player Data'!H575*90,0))</f>
        <v>0.705421293272371</v>
      </c>
      <c r="K575" s="23" t="n">
        <f aca="false">'Player Data'!S575</f>
        <v>38106</v>
      </c>
      <c r="L575" s="22" t="n">
        <f aca="false">INDEX(Assumptions!$B$13:$B$15,MATCH(E575,Assumptions!$A$13:$A$15,0))</f>
        <v>1</v>
      </c>
      <c r="M575" s="24" t="n">
        <f aca="false">IFERROR(SUMPRODUCT(($B$2:$B$1001=B575)*($H$2:$H$1001&lt;=H575))/SUMPRODUCT(($B$2:$B$1001=B575)*1),0)</f>
        <v>0.451327433628319</v>
      </c>
      <c r="N575" s="24" t="n">
        <f aca="false">IFERROR(SUMPRODUCT(($B$2:$B$1001=B575)*($I$2:$I$1001&lt;=I575))/SUMPRODUCT(($B$2:$B$1001=B575)*1),0)</f>
        <v>0.592920353982301</v>
      </c>
      <c r="O575" s="24" t="n">
        <f aca="false">IFERROR(SUMPRODUCT(($B$2:$B$1001=B575)*($J$2:$J$1001&lt;=J575))/SUMPRODUCT(($B$2:$B$1001=B575)*1),0)</f>
        <v>0.747787610619469</v>
      </c>
      <c r="P575" s="24" t="n">
        <f aca="false">IFERROR(SUMPRODUCT(($B$2:$B$1001=B575)*((0-$F$2:$F$1001)&lt;=(0-F575)))/SUMPRODUCT(($B$2:$B$1001=B575)*1),0)</f>
        <v>0.0929203539823009</v>
      </c>
      <c r="Q575" s="25" t="n">
        <f aca="false">(M575*Assumptions!$B$5+N575*Assumptions!$B$6+O575*Assumptions!$B$7+P575*Assumptions!$B$8)*L575</f>
        <v>0.488495575221239</v>
      </c>
      <c r="R575" s="24" t="n">
        <f aca="false">IFERROR(SUMPRODUCT(($B$2:$B$1001=B575)*($Q$2:$Q$1001&lt;=Q575))/SUMPRODUCT(($B$2:$B$1001=B575)*1),0)</f>
        <v>0.584070796460177</v>
      </c>
      <c r="S575" s="24" t="n">
        <f aca="false">IFERROR(SUMPRODUCT(($B$2:$B$1001=B575)*($K$2:$K$1001&lt;=K575))/SUMPRODUCT(($B$2:$B$1001=B575)*1),0)</f>
        <v>0.415929203539823</v>
      </c>
      <c r="T575" s="26" t="n">
        <f aca="false">(R575-S575)*100</f>
        <v>16.8141592920354</v>
      </c>
      <c r="U575" s="21" t="str">
        <f aca="false">'Player Data'!T575</f>
        <v>Yes</v>
      </c>
      <c r="V575" s="27" t="n">
        <f aca="false">'Player Data'!U575</f>
        <v>2029</v>
      </c>
      <c r="W575" s="21" t="str">
        <f aca="false">IF(AND(T575&gt;=Assumptions!$B$19,U575="No"),"High Priority - Unrepresented",IF(T575&gt;=Assumptions!$B$19,"High Priority",IF(AND(T575&gt;=Assumptions!$B$20,U575="No"),"Watchlist - Unrepresented",IF(T575&gt;=Assumptions!$B$20,"Watchlist",""))))</f>
        <v/>
      </c>
      <c r="X575" s="21" t="str">
        <f aca="false">'Player Data'!V575</f>
        <v>info@elbasanunited.al</v>
      </c>
      <c r="Y575" s="28" t="str">
        <f aca="false">'Player Data'!W575</f>
        <v>Go through the player's agent - ask the club to confirm representation first</v>
      </c>
      <c r="Z575" s="28" t="str">
        <f aca="false">'Player Data'!X575</f>
        <v>FSHF (Albanian Football Association) player registry</v>
      </c>
      <c r="AA575" s="19" t="str">
        <f aca="false">HYPERLINK("https://www.transfermarkt.com/schnellsuche/ergebnis/schnellsuche?query="&amp;SUBSTITUTE(A575," ","+"),"Search Transfermarkt")</f>
        <v>Search Transfermarkt</v>
      </c>
      <c r="AB575" s="29" t="n">
        <f aca="false">IFERROR('Player Data'!K575/('Player Data'!K575+'Player Data'!L575),0)</f>
        <v>0.333333333333333</v>
      </c>
      <c r="AC575" s="21" t="str">
        <f aca="false">IF(B575="GK",IF(AND(O575&gt;=Assumptions!$B$23,N575&gt;=Assumptions!$B$23),"Sweeper-Keeper / Build-from-the-Back",IF(O575&gt;=Assumptions!$B$23,"Sweeper-Keeper / High Line",IF(M575&gt;=Assumptions!$B$23,"Shot-Stopper / Traditional","Flexible / Multi-System"))),IF(AND(O575&gt;=Assumptions!$B$23,P575&gt;=Assumptions!$B$24),"High Press / Gegenpressing",IF(AND(N575&gt;=Assumptions!$B$23,AB575&gt;=Assumptions!$B$25),"Possession / Build-from-the-Back",IF(N575&gt;=Assumptions!$B$23,"Counter-Attack / Transition",IF(AND(O575&gt;=Assumptions!$B$23,N575&lt;Assumptions!$B$26),"Low Block / Park the Bus",IF(AND(B575="FW",M575&gt;=Assumptions!$B$23,N575&lt;Assumptions!$B$26),"Direct / Target Approach","Flexible / Multi-System"))))))</f>
        <v>Flexible / Multi-System</v>
      </c>
      <c r="AD575" s="21" t="str">
        <f aca="false">'Player Data'!Y575</f>
        <v>2026-07-17</v>
      </c>
      <c r="AE575" s="21" t="str">
        <f aca="false">'Player Data'!Z575</f>
        <v>2026-07-17</v>
      </c>
      <c r="AF575" s="28" t="str">
        <f aca="false">IFERROR(INDEX(Assumptions!$B$30:$B$61,MATCH(C575,Assumptions!$A$30:$A$61,0)),"--")</f>
        <v>Turkey, Poland</v>
      </c>
      <c r="AG575" s="30" t="str">
        <f aca="false">IF(R575&gt;=0.7,"Step-Up Candidate",IF(R575&gt;=0.4,"Lateral Move","Stay &amp; Develop"))</f>
        <v>Lateral Move</v>
      </c>
    </row>
    <row r="576" customFormat="false" ht="23.85" hidden="false" customHeight="false" outlineLevel="0" collapsed="false">
      <c r="A576" s="21" t="str">
        <f aca="false">'Player Data'!A576</f>
        <v>Milos Milic</v>
      </c>
      <c r="B576" s="21" t="str">
        <f aca="false">'Player Data'!F576</f>
        <v>GK</v>
      </c>
      <c r="C576" s="21" t="str">
        <f aca="false">'Player Data'!B576</f>
        <v>Serbia</v>
      </c>
      <c r="D576" s="21" t="str">
        <f aca="false">'Player Data'!C576</f>
        <v>Serbia Second Division</v>
      </c>
      <c r="E576" s="21" t="n">
        <f aca="false">'Player Data'!D576</f>
        <v>2</v>
      </c>
      <c r="F576" s="21" t="n">
        <f aca="false">'Player Data'!G576</f>
        <v>19</v>
      </c>
      <c r="G576" s="21" t="n">
        <f aca="false">'Player Data'!H576</f>
        <v>957</v>
      </c>
      <c r="H576" s="22" t="n">
        <f aca="false">IF(B576="GK",IFERROR(('Player Data'!N576-1.5*'Player Data'!O576)/'Player Data'!H576*90,0),IFERROR(('Player Data'!I576+'Player Data'!J576)/'Player Data'!H576*90,0))</f>
        <v>1.4576802507837</v>
      </c>
      <c r="I576" s="22" t="n">
        <f aca="false">IF(B576="GK",'Player Data'!P576,IFERROR(('Player Data'!K576+'Player Data'!L576)/'Player Data'!H576*90,0))</f>
        <v>82.7</v>
      </c>
      <c r="J576" s="22" t="n">
        <f aca="false">IF(B576="GK",IFERROR('Player Data'!Q576/'Player Data'!H576*90,0),IFERROR('Player Data'!M576/'Player Data'!H576*90,0))</f>
        <v>0.263322884012539</v>
      </c>
      <c r="K576" s="23" t="n">
        <f aca="false">'Player Data'!S576</f>
        <v>75839</v>
      </c>
      <c r="L576" s="22" t="n">
        <f aca="false">INDEX(Assumptions!$B$13:$B$15,MATCH(E576,Assumptions!$A$13:$A$15,0))</f>
        <v>1</v>
      </c>
      <c r="M576" s="24" t="n">
        <f aca="false">IFERROR(SUMPRODUCT(($B$2:$B$1001=B576)*($H$2:$H$1001&lt;=H576))/SUMPRODUCT(($B$2:$B$1001=B576)*1),0)</f>
        <v>0.672131147540984</v>
      </c>
      <c r="N576" s="24" t="n">
        <f aca="false">IFERROR(SUMPRODUCT(($B$2:$B$1001=B576)*($I$2:$I$1001&lt;=I576))/SUMPRODUCT(($B$2:$B$1001=B576)*1),0)</f>
        <v>0.759562841530055</v>
      </c>
      <c r="O576" s="24" t="n">
        <f aca="false">IFERROR(SUMPRODUCT(($B$2:$B$1001=B576)*($J$2:$J$1001&lt;=J576))/SUMPRODUCT(($B$2:$B$1001=B576)*1),0)</f>
        <v>0.109289617486339</v>
      </c>
      <c r="P576" s="24" t="n">
        <f aca="false">IFERROR(SUMPRODUCT(($B$2:$B$1001=B576)*((0-$F$2:$F$1001)&lt;=(0-F576)))/SUMPRODUCT(($B$2:$B$1001=B576)*1),0)</f>
        <v>0.770491803278689</v>
      </c>
      <c r="Q576" s="25" t="n">
        <f aca="false">(M576*Assumptions!$B$5+N576*Assumptions!$B$6+O576*Assumptions!$B$7+P576*Assumptions!$B$8)*L576</f>
        <v>0.609836065573771</v>
      </c>
      <c r="R576" s="24" t="n">
        <f aca="false">IFERROR(SUMPRODUCT(($B$2:$B$1001=B576)*($Q$2:$Q$1001&lt;=Q576))/SUMPRODUCT(($B$2:$B$1001=B576)*1),0)</f>
        <v>0.885245901639344</v>
      </c>
      <c r="S576" s="24" t="n">
        <f aca="false">IFERROR(SUMPRODUCT(($B$2:$B$1001=B576)*($K$2:$K$1001&lt;=K576))/SUMPRODUCT(($B$2:$B$1001=B576)*1),0)</f>
        <v>0.557377049180328</v>
      </c>
      <c r="T576" s="26" t="n">
        <f aca="false">(R576-S576)*100</f>
        <v>32.7868852459016</v>
      </c>
      <c r="U576" s="21" t="str">
        <f aca="false">'Player Data'!T576</f>
        <v>No</v>
      </c>
      <c r="V576" s="27" t="n">
        <f aca="false">'Player Data'!U576</f>
        <v>2029</v>
      </c>
      <c r="W576" s="21" t="str">
        <f aca="false">IF(AND(T576&gt;=Assumptions!$B$19,U576="No"),"High Priority - Unrepresented",IF(T576&gt;=Assumptions!$B$19,"High Priority",IF(AND(T576&gt;=Assumptions!$B$20,U576="No"),"Watchlist - Unrepresented",IF(T576&gt;=Assumptions!$B$20,"Watchlist",""))))</f>
        <v>Watchlist - Unrepresented</v>
      </c>
      <c r="X576" s="21" t="str">
        <f aca="false">'Player Data'!V576</f>
        <v>info@kraljevorangers.rs</v>
      </c>
      <c r="Y576" s="28" t="str">
        <f aca="false">'Player Data'!W576</f>
        <v>Club sporting director / first-team office</v>
      </c>
      <c r="Z576" s="28" t="str">
        <f aca="false">'Player Data'!X576</f>
        <v>FSS (Football Association of Serbia) player registry</v>
      </c>
      <c r="AA576" s="19" t="str">
        <f aca="false">HYPERLINK("https://www.transfermarkt.com/schnellsuche/ergebnis/schnellsuche?query="&amp;SUBSTITUTE(A576," ","+"),"Search Transfermarkt")</f>
        <v>Search Transfermarkt</v>
      </c>
      <c r="AB576" s="29" t="n">
        <f aca="false">IFERROR('Player Data'!K576/('Player Data'!K576+'Player Data'!L576),0)</f>
        <v>0.923076923076923</v>
      </c>
      <c r="AC576" s="21" t="str">
        <f aca="false">IF(B576="GK",IF(AND(O576&gt;=Assumptions!$B$23,N576&gt;=Assumptions!$B$23),"Sweeper-Keeper / Build-from-the-Back",IF(O576&gt;=Assumptions!$B$23,"Sweeper-Keeper / High Line",IF(M576&gt;=Assumptions!$B$23,"Shot-Stopper / Traditional","Flexible / Multi-System"))),IF(AND(O576&gt;=Assumptions!$B$23,P576&gt;=Assumptions!$B$24),"High Press / Gegenpressing",IF(AND(N576&gt;=Assumptions!$B$23,AB576&gt;=Assumptions!$B$25),"Possession / Build-from-the-Back",IF(N576&gt;=Assumptions!$B$23,"Counter-Attack / Transition",IF(AND(O576&gt;=Assumptions!$B$23,N576&lt;Assumptions!$B$26),"Low Block / Park the Bus",IF(AND(B576="FW",M576&gt;=Assumptions!$B$23,N576&lt;Assumptions!$B$26),"Direct / Target Approach","Flexible / Multi-System"))))))</f>
        <v>Shot-Stopper / Traditional</v>
      </c>
      <c r="AD576" s="21" t="str">
        <f aca="false">'Player Data'!Y576</f>
        <v>2026-07-17</v>
      </c>
      <c r="AE576" s="21" t="str">
        <f aca="false">'Player Data'!Z576</f>
        <v>2026-07-17</v>
      </c>
      <c r="AF576" s="28" t="str">
        <f aca="false">IFERROR(INDEX(Assumptions!$B$30:$B$61,MATCH(C576,Assumptions!$A$30:$A$61,0)),"--")</f>
        <v>Austria, Turkey</v>
      </c>
      <c r="AG576" s="30" t="str">
        <f aca="false">IF(R576&gt;=0.7,"Step-Up Candidate",IF(R576&gt;=0.4,"Lateral Move","Stay &amp; Develop"))</f>
        <v>Step-Up Candidate</v>
      </c>
    </row>
    <row r="577" customFormat="false" ht="23.85" hidden="false" customHeight="false" outlineLevel="0" collapsed="false">
      <c r="A577" s="21" t="str">
        <f aca="false">'Player Data'!A577</f>
        <v>Yaw Agyemang</v>
      </c>
      <c r="B577" s="21" t="str">
        <f aca="false">'Player Data'!F577</f>
        <v>MF</v>
      </c>
      <c r="C577" s="21" t="str">
        <f aca="false">'Player Data'!B577</f>
        <v>Ghana</v>
      </c>
      <c r="D577" s="21" t="str">
        <f aca="false">'Player Data'!C577</f>
        <v>Ghana Second Division</v>
      </c>
      <c r="E577" s="21" t="n">
        <f aca="false">'Player Data'!D577</f>
        <v>4</v>
      </c>
      <c r="F577" s="21" t="n">
        <f aca="false">'Player Data'!G577</f>
        <v>26</v>
      </c>
      <c r="G577" s="21" t="n">
        <f aca="false">'Player Data'!H577</f>
        <v>2311</v>
      </c>
      <c r="H577" s="22" t="n">
        <f aca="false">IF(B577="GK",IFERROR(('Player Data'!N577-1.5*'Player Data'!O577)/'Player Data'!H577*90,0),IFERROR(('Player Data'!I577+'Player Data'!J577)/'Player Data'!H577*90,0))</f>
        <v>0.54521852012116</v>
      </c>
      <c r="I577" s="22" t="n">
        <f aca="false">IF(B577="GK",'Player Data'!P577,IFERROR(('Player Data'!K577+'Player Data'!L577)/'Player Data'!H577*90,0))</f>
        <v>7.00995240155777</v>
      </c>
      <c r="J577" s="22" t="n">
        <f aca="false">IF(B577="GK",IFERROR('Player Data'!Q577/'Player Data'!H577*90,0),IFERROR('Player Data'!M577/'Player Data'!H577*90,0))</f>
        <v>2.02509736045002</v>
      </c>
      <c r="K577" s="23" t="n">
        <f aca="false">'Player Data'!S577</f>
        <v>53366</v>
      </c>
      <c r="L577" s="22" t="n">
        <f aca="false">INDEX(Assumptions!$B$13:$B$15,MATCH(E577,Assumptions!$A$13:$A$15,0))</f>
        <v>0.7</v>
      </c>
      <c r="M577" s="24" t="n">
        <f aca="false">IFERROR(SUMPRODUCT(($B$2:$B$1001=B577)*($H$2:$H$1001&lt;=H577))/SUMPRODUCT(($B$2:$B$1001=B577)*1),0)</f>
        <v>0.262626262626263</v>
      </c>
      <c r="N577" s="24" t="n">
        <f aca="false">IFERROR(SUMPRODUCT(($B$2:$B$1001=B577)*($I$2:$I$1001&lt;=I577))/SUMPRODUCT(($B$2:$B$1001=B577)*1),0)</f>
        <v>0.0606060606060606</v>
      </c>
      <c r="O577" s="24" t="n">
        <f aca="false">IFERROR(SUMPRODUCT(($B$2:$B$1001=B577)*($J$2:$J$1001&lt;=J577))/SUMPRODUCT(($B$2:$B$1001=B577)*1),0)</f>
        <v>0.444444444444444</v>
      </c>
      <c r="P577" s="24" t="n">
        <f aca="false">IFERROR(SUMPRODUCT(($B$2:$B$1001=B577)*((0-$F$2:$F$1001)&lt;=(0-F577)))/SUMPRODUCT(($B$2:$B$1001=B577)*1),0)</f>
        <v>0.0909090909090909</v>
      </c>
      <c r="Q577" s="25" t="n">
        <f aca="false">(M577*Assumptions!$B$5+N577*Assumptions!$B$6+O577*Assumptions!$B$7+P577*Assumptions!$B$8)*L577</f>
        <v>0.135757575757576</v>
      </c>
      <c r="R577" s="24" t="n">
        <f aca="false">IFERROR(SUMPRODUCT(($B$2:$B$1001=B577)*($Q$2:$Q$1001&lt;=Q577))/SUMPRODUCT(($B$2:$B$1001=B577)*1),0)</f>
        <v>0.0202020202020202</v>
      </c>
      <c r="S577" s="24" t="n">
        <f aca="false">IFERROR(SUMPRODUCT(($B$2:$B$1001=B577)*($K$2:$K$1001&lt;=K577))/SUMPRODUCT(($B$2:$B$1001=B577)*1),0)</f>
        <v>0.474747474747475</v>
      </c>
      <c r="T577" s="26" t="n">
        <f aca="false">(R577-S577)*100</f>
        <v>-45.4545454545455</v>
      </c>
      <c r="U577" s="21" t="str">
        <f aca="false">'Player Data'!T577</f>
        <v>Yes</v>
      </c>
      <c r="V577" s="27" t="n">
        <f aca="false">'Player Data'!U577</f>
        <v>2028</v>
      </c>
      <c r="W577" s="21" t="str">
        <f aca="false">IF(AND(T577&gt;=Assumptions!$B$19,U577="No"),"High Priority - Unrepresented",IF(T577&gt;=Assumptions!$B$19,"High Priority",IF(AND(T577&gt;=Assumptions!$B$20,U577="No"),"Watchlist - Unrepresented",IF(T577&gt;=Assumptions!$B$20,"Watchlist",""))))</f>
        <v/>
      </c>
      <c r="X577" s="21" t="str">
        <f aca="false">'Player Data'!V577</f>
        <v>info@accrasc.gh</v>
      </c>
      <c r="Y577" s="28" t="str">
        <f aca="false">'Player Data'!W577</f>
        <v>Go through the player's agent - ask the club to confirm representation first</v>
      </c>
      <c r="Z577" s="28" t="str">
        <f aca="false">'Player Data'!X577</f>
        <v>GFA (Ghana Football Association) player registry</v>
      </c>
      <c r="AA577" s="19" t="str">
        <f aca="false">HYPERLINK("https://www.transfermarkt.com/schnellsuche/ergebnis/schnellsuche?query="&amp;SUBSTITUTE(A577," ","+"),"Search Transfermarkt")</f>
        <v>Search Transfermarkt</v>
      </c>
      <c r="AB577" s="29" t="n">
        <f aca="false">IFERROR('Player Data'!K577/('Player Data'!K577+'Player Data'!L577),0)</f>
        <v>0.655555555555556</v>
      </c>
      <c r="AC577" s="21" t="str">
        <f aca="false">IF(B577="GK",IF(AND(O577&gt;=Assumptions!$B$23,N577&gt;=Assumptions!$B$23),"Sweeper-Keeper / Build-from-the-Back",IF(O577&gt;=Assumptions!$B$23,"Sweeper-Keeper / High Line",IF(M577&gt;=Assumptions!$B$23,"Shot-Stopper / Traditional","Flexible / Multi-System"))),IF(AND(O577&gt;=Assumptions!$B$23,P577&gt;=Assumptions!$B$24),"High Press / Gegenpressing",IF(AND(N577&gt;=Assumptions!$B$23,AB577&gt;=Assumptions!$B$25),"Possession / Build-from-the-Back",IF(N577&gt;=Assumptions!$B$23,"Counter-Attack / Transition",IF(AND(O577&gt;=Assumptions!$B$23,N577&lt;Assumptions!$B$26),"Low Block / Park the Bus",IF(AND(B577="FW",M577&gt;=Assumptions!$B$23,N577&lt;Assumptions!$B$26),"Direct / Target Approach","Flexible / Multi-System"))))))</f>
        <v>Flexible / Multi-System</v>
      </c>
      <c r="AD577" s="21" t="str">
        <f aca="false">'Player Data'!Y577</f>
        <v>2026-07-17</v>
      </c>
      <c r="AE577" s="21" t="str">
        <f aca="false">'Player Data'!Z577</f>
        <v>2026-07-17</v>
      </c>
      <c r="AF577" s="28" t="str">
        <f aca="false">IFERROR(INDEX(Assumptions!$B$30:$B$61,MATCH(C577,Assumptions!$A$30:$A$61,0)),"--")</f>
        <v>Belgium, Portugal</v>
      </c>
      <c r="AG577" s="30" t="str">
        <f aca="false">IF(R577&gt;=0.7,"Step-Up Candidate",IF(R577&gt;=0.4,"Lateral Move","Stay &amp; Develop"))</f>
        <v>Stay &amp; Develop</v>
      </c>
    </row>
    <row r="578" customFormat="false" ht="23.85" hidden="false" customHeight="false" outlineLevel="0" collapsed="false">
      <c r="A578" s="21" t="str">
        <f aca="false">'Player Data'!A578</f>
        <v>Stefan Olafsson</v>
      </c>
      <c r="B578" s="21" t="str">
        <f aca="false">'Player Data'!F578</f>
        <v>MF</v>
      </c>
      <c r="C578" s="21" t="str">
        <f aca="false">'Player Data'!B578</f>
        <v>Iceland</v>
      </c>
      <c r="D578" s="21" t="str">
        <f aca="false">'Player Data'!C578</f>
        <v>Iceland Provincial League</v>
      </c>
      <c r="E578" s="21" t="n">
        <f aca="false">'Player Data'!D578</f>
        <v>3</v>
      </c>
      <c r="F578" s="21" t="n">
        <f aca="false">'Player Data'!G578</f>
        <v>24</v>
      </c>
      <c r="G578" s="21" t="n">
        <f aca="false">'Player Data'!H578</f>
        <v>1725</v>
      </c>
      <c r="H578" s="22" t="n">
        <f aca="false">IF(B578="GK",IFERROR(('Player Data'!N578-1.5*'Player Data'!O578)/'Player Data'!H578*90,0),IFERROR(('Player Data'!I578+'Player Data'!J578)/'Player Data'!H578*90,0))</f>
        <v>1.04347826086957</v>
      </c>
      <c r="I578" s="22" t="n">
        <f aca="false">IF(B578="GK",'Player Data'!P578,IFERROR(('Player Data'!K578+'Player Data'!L578)/'Player Data'!H578*90,0))</f>
        <v>9.28695652173913</v>
      </c>
      <c r="J578" s="22" t="n">
        <f aca="false">IF(B578="GK",IFERROR('Player Data'!Q578/'Player Data'!H578*90,0),IFERROR('Player Data'!M578/'Player Data'!H578*90,0))</f>
        <v>1.56521739130435</v>
      </c>
      <c r="K578" s="23" t="n">
        <f aca="false">'Player Data'!S578</f>
        <v>46787</v>
      </c>
      <c r="L578" s="22" t="n">
        <f aca="false">INDEX(Assumptions!$B$13:$B$15,MATCH(E578,Assumptions!$A$13:$A$15,0))</f>
        <v>0.85</v>
      </c>
      <c r="M578" s="24" t="n">
        <f aca="false">IFERROR(SUMPRODUCT(($B$2:$B$1001=B578)*($H$2:$H$1001&lt;=H578))/SUMPRODUCT(($B$2:$B$1001=B578)*1),0)</f>
        <v>0.801346801346801</v>
      </c>
      <c r="N578" s="24" t="n">
        <f aca="false">IFERROR(SUMPRODUCT(($B$2:$B$1001=B578)*($I$2:$I$1001&lt;=I578))/SUMPRODUCT(($B$2:$B$1001=B578)*1),0)</f>
        <v>0.343434343434343</v>
      </c>
      <c r="O578" s="24" t="n">
        <f aca="false">IFERROR(SUMPRODUCT(($B$2:$B$1001=B578)*($J$2:$J$1001&lt;=J578))/SUMPRODUCT(($B$2:$B$1001=B578)*1),0)</f>
        <v>0.198653198653199</v>
      </c>
      <c r="P578" s="24" t="n">
        <f aca="false">IFERROR(SUMPRODUCT(($B$2:$B$1001=B578)*((0-$F$2:$F$1001)&lt;=(0-F578)))/SUMPRODUCT(($B$2:$B$1001=B578)*1),0)</f>
        <v>0.326599326599327</v>
      </c>
      <c r="Q578" s="25" t="n">
        <f aca="false">(M578*Assumptions!$B$5+N578*Assumptions!$B$6+O578*Assumptions!$B$7+P578*Assumptions!$B$8)*L578</f>
        <v>0.361750841750842</v>
      </c>
      <c r="R578" s="24" t="n">
        <f aca="false">IFERROR(SUMPRODUCT(($B$2:$B$1001=B578)*($Q$2:$Q$1001&lt;=Q578))/SUMPRODUCT(($B$2:$B$1001=B578)*1),0)</f>
        <v>0.353535353535354</v>
      </c>
      <c r="S578" s="24" t="n">
        <f aca="false">IFERROR(SUMPRODUCT(($B$2:$B$1001=B578)*($K$2:$K$1001&lt;=K578))/SUMPRODUCT(($B$2:$B$1001=B578)*1),0)</f>
        <v>0.420875420875421</v>
      </c>
      <c r="T578" s="26" t="n">
        <f aca="false">(R578-S578)*100</f>
        <v>-6.73400673400674</v>
      </c>
      <c r="U578" s="21" t="str">
        <f aca="false">'Player Data'!T578</f>
        <v>No</v>
      </c>
      <c r="V578" s="27" t="n">
        <f aca="false">'Player Data'!U578</f>
        <v>2028</v>
      </c>
      <c r="W578" s="21" t="str">
        <f aca="false">IF(AND(T578&gt;=Assumptions!$B$19,U578="No"),"High Priority - Unrepresented",IF(T578&gt;=Assumptions!$B$19,"High Priority",IF(AND(T578&gt;=Assumptions!$B$20,U578="No"),"Watchlist - Unrepresented",IF(T578&gt;=Assumptions!$B$20,"Watchlist",""))))</f>
        <v/>
      </c>
      <c r="X578" s="21" t="str">
        <f aca="false">'Player Data'!V578</f>
        <v>info@keflavikfc.is</v>
      </c>
      <c r="Y578" s="28" t="str">
        <f aca="false">'Player Data'!W578</f>
        <v>Club sporting director / first-team office</v>
      </c>
      <c r="Z578" s="28" t="str">
        <f aca="false">'Player Data'!X578</f>
        <v>KSI (Icelandic Football Association) player registry</v>
      </c>
      <c r="AA578" s="19" t="str">
        <f aca="false">HYPERLINK("https://www.transfermarkt.com/schnellsuche/ergebnis/schnellsuche?query="&amp;SUBSTITUTE(A578," ","+"),"Search Transfermarkt")</f>
        <v>Search Transfermarkt</v>
      </c>
      <c r="AB578" s="29" t="n">
        <f aca="false">IFERROR('Player Data'!K578/('Player Data'!K578+'Player Data'!L578),0)</f>
        <v>0.623595505617978</v>
      </c>
      <c r="AC578" s="21" t="str">
        <f aca="false">IF(B578="GK",IF(AND(O578&gt;=Assumptions!$B$23,N578&gt;=Assumptions!$B$23),"Sweeper-Keeper / Build-from-the-Back",IF(O578&gt;=Assumptions!$B$23,"Sweeper-Keeper / High Line",IF(M578&gt;=Assumptions!$B$23,"Shot-Stopper / Traditional","Flexible / Multi-System"))),IF(AND(O578&gt;=Assumptions!$B$23,P578&gt;=Assumptions!$B$24),"High Press / Gegenpressing",IF(AND(N578&gt;=Assumptions!$B$23,AB578&gt;=Assumptions!$B$25),"Possession / Build-from-the-Back",IF(N578&gt;=Assumptions!$B$23,"Counter-Attack / Transition",IF(AND(O578&gt;=Assumptions!$B$23,N578&lt;Assumptions!$B$26),"Low Block / Park the Bus",IF(AND(B578="FW",M578&gt;=Assumptions!$B$23,N578&lt;Assumptions!$B$26),"Direct / Target Approach","Flexible / Multi-System"))))))</f>
        <v>Flexible / Multi-System</v>
      </c>
      <c r="AD578" s="21" t="str">
        <f aca="false">'Player Data'!Y578</f>
        <v>2026-07-17</v>
      </c>
      <c r="AE578" s="21" t="str">
        <f aca="false">'Player Data'!Z578</f>
        <v>2026-07-17</v>
      </c>
      <c r="AF578" s="28" t="str">
        <f aca="false">IFERROR(INDEX(Assumptions!$B$30:$B$61,MATCH(C578,Assumptions!$A$30:$A$61,0)),"--")</f>
        <v>Norway, Belgium</v>
      </c>
      <c r="AG578" s="30" t="str">
        <f aca="false">IF(R578&gt;=0.7,"Step-Up Candidate",IF(R578&gt;=0.4,"Lateral Move","Stay &amp; Develop"))</f>
        <v>Stay &amp; Develop</v>
      </c>
    </row>
    <row r="579" customFormat="false" ht="23.85" hidden="false" customHeight="false" outlineLevel="0" collapsed="false">
      <c r="A579" s="21" t="str">
        <f aca="false">'Player Data'!A579</f>
        <v>Rodrigo Gonzalez</v>
      </c>
      <c r="B579" s="21" t="str">
        <f aca="false">'Player Data'!F579</f>
        <v>FW</v>
      </c>
      <c r="C579" s="21" t="str">
        <f aca="false">'Player Data'!B579</f>
        <v>Paraguay</v>
      </c>
      <c r="D579" s="21" t="str">
        <f aca="false">'Player Data'!C579</f>
        <v>Paraguay Reserve League</v>
      </c>
      <c r="E579" s="21" t="n">
        <f aca="false">'Player Data'!D579</f>
        <v>2</v>
      </c>
      <c r="F579" s="21" t="n">
        <f aca="false">'Player Data'!G579</f>
        <v>19</v>
      </c>
      <c r="G579" s="21" t="n">
        <f aca="false">'Player Data'!H579</f>
        <v>1693</v>
      </c>
      <c r="H579" s="22" t="n">
        <f aca="false">IF(B579="GK",IFERROR(('Player Data'!N579-1.5*'Player Data'!O579)/'Player Data'!H579*90,0),IFERROR(('Player Data'!I579+'Player Data'!J579)/'Player Data'!H579*90,0))</f>
        <v>0.956881275841701</v>
      </c>
      <c r="I579" s="22" t="n">
        <f aca="false">IF(B579="GK",'Player Data'!P579,IFERROR(('Player Data'!K579+'Player Data'!L579)/'Player Data'!H579*90,0))</f>
        <v>8.61193148257531</v>
      </c>
      <c r="J579" s="22" t="n">
        <f aca="false">IF(B579="GK",IFERROR('Player Data'!Q579/'Player Data'!H579*90,0),IFERROR('Player Data'!M579/'Player Data'!H579*90,0))</f>
        <v>0.744240992321323</v>
      </c>
      <c r="K579" s="23" t="n">
        <f aca="false">'Player Data'!S579</f>
        <v>105416</v>
      </c>
      <c r="L579" s="22" t="n">
        <f aca="false">INDEX(Assumptions!$B$13:$B$15,MATCH(E579,Assumptions!$A$13:$A$15,0))</f>
        <v>1</v>
      </c>
      <c r="M579" s="24" t="n">
        <f aca="false">IFERROR(SUMPRODUCT(($B$2:$B$1001=B579)*($H$2:$H$1001&lt;=H579))/SUMPRODUCT(($B$2:$B$1001=B579)*1),0)</f>
        <v>0.464601769911504</v>
      </c>
      <c r="N579" s="24" t="n">
        <f aca="false">IFERROR(SUMPRODUCT(($B$2:$B$1001=B579)*($I$2:$I$1001&lt;=I579))/SUMPRODUCT(($B$2:$B$1001=B579)*1),0)</f>
        <v>0.730088495575221</v>
      </c>
      <c r="O579" s="24" t="n">
        <f aca="false">IFERROR(SUMPRODUCT(($B$2:$B$1001=B579)*($J$2:$J$1001&lt;=J579))/SUMPRODUCT(($B$2:$B$1001=B579)*1),0)</f>
        <v>0.761061946902655</v>
      </c>
      <c r="P579" s="24" t="n">
        <f aca="false">IFERROR(SUMPRODUCT(($B$2:$B$1001=B579)*((0-$F$2:$F$1001)&lt;=(0-F579)))/SUMPRODUCT(($B$2:$B$1001=B579)*1),0)</f>
        <v>0.831858407079646</v>
      </c>
      <c r="Q579" s="25" t="n">
        <f aca="false">(M579*Assumptions!$B$5+N579*Assumptions!$B$6+O579*Assumptions!$B$7+P579*Assumptions!$B$8)*L579</f>
        <v>0.690265486725664</v>
      </c>
      <c r="R579" s="24" t="n">
        <f aca="false">IFERROR(SUMPRODUCT(($B$2:$B$1001=B579)*($Q$2:$Q$1001&lt;=Q579))/SUMPRODUCT(($B$2:$B$1001=B579)*1),0)</f>
        <v>0.871681415929204</v>
      </c>
      <c r="S579" s="24" t="n">
        <f aca="false">IFERROR(SUMPRODUCT(($B$2:$B$1001=B579)*($K$2:$K$1001&lt;=K579))/SUMPRODUCT(($B$2:$B$1001=B579)*1),0)</f>
        <v>0.752212389380531</v>
      </c>
      <c r="T579" s="26" t="n">
        <f aca="false">(R579-S579)*100</f>
        <v>11.9469026548673</v>
      </c>
      <c r="U579" s="21" t="str">
        <f aca="false">'Player Data'!T579</f>
        <v>No</v>
      </c>
      <c r="V579" s="27" t="n">
        <f aca="false">'Player Data'!U579</f>
        <v>2027</v>
      </c>
      <c r="W579" s="21" t="str">
        <f aca="false">IF(AND(T579&gt;=Assumptions!$B$19,U579="No"),"High Priority - Unrepresented",IF(T579&gt;=Assumptions!$B$19,"High Priority",IF(AND(T579&gt;=Assumptions!$B$20,U579="No"),"Watchlist - Unrepresented",IF(T579&gt;=Assumptions!$B$20,"Watchlist",""))))</f>
        <v/>
      </c>
      <c r="X579" s="21" t="str">
        <f aca="false">'Player Data'!V579</f>
        <v>info@luquecity.py</v>
      </c>
      <c r="Y579" s="28" t="str">
        <f aca="false">'Player Data'!W579</f>
        <v>Club sporting director / first-team office</v>
      </c>
      <c r="Z579" s="28" t="str">
        <f aca="false">'Player Data'!X579</f>
        <v>APF (Paraguayan Football Association) player registry</v>
      </c>
      <c r="AA579" s="19" t="str">
        <f aca="false">HYPERLINK("https://www.transfermarkt.com/schnellsuche/ergebnis/schnellsuche?query="&amp;SUBSTITUTE(A579," ","+"),"Search Transfermarkt")</f>
        <v>Search Transfermarkt</v>
      </c>
      <c r="AB579" s="29" t="n">
        <f aca="false">IFERROR('Player Data'!K579/('Player Data'!K579+'Player Data'!L579),0)</f>
        <v>0.407407407407407</v>
      </c>
      <c r="AC579" s="21" t="str">
        <f aca="false">IF(B579="GK",IF(AND(O579&gt;=Assumptions!$B$23,N579&gt;=Assumptions!$B$23),"Sweeper-Keeper / Build-from-the-Back",IF(O579&gt;=Assumptions!$B$23,"Sweeper-Keeper / High Line",IF(M579&gt;=Assumptions!$B$23,"Shot-Stopper / Traditional","Flexible / Multi-System"))),IF(AND(O579&gt;=Assumptions!$B$23,P579&gt;=Assumptions!$B$24),"High Press / Gegenpressing",IF(AND(N579&gt;=Assumptions!$B$23,AB579&gt;=Assumptions!$B$25),"Possession / Build-from-the-Back",IF(N579&gt;=Assumptions!$B$23,"Counter-Attack / Transition",IF(AND(O579&gt;=Assumptions!$B$23,N579&lt;Assumptions!$B$26),"Low Block / Park the Bus",IF(AND(B579="FW",M579&gt;=Assumptions!$B$23,N579&lt;Assumptions!$B$26),"Direct / Target Approach","Flexible / Multi-System"))))))</f>
        <v>High Press / Gegenpressing</v>
      </c>
      <c r="AD579" s="21" t="str">
        <f aca="false">'Player Data'!Y579</f>
        <v>2026-07-17</v>
      </c>
      <c r="AE579" s="21" t="str">
        <f aca="false">'Player Data'!Z579</f>
        <v>2026-07-17</v>
      </c>
      <c r="AF579" s="28" t="str">
        <f aca="false">IFERROR(INDEX(Assumptions!$B$30:$B$61,MATCH(C579,Assumptions!$A$30:$A$61,0)),"--")</f>
        <v>Argentina, Portugal</v>
      </c>
      <c r="AG579" s="30" t="str">
        <f aca="false">IF(R579&gt;=0.7,"Step-Up Candidate",IF(R579&gt;=0.4,"Lateral Move","Stay &amp; Develop"))</f>
        <v>Step-Up Candidate</v>
      </c>
    </row>
    <row r="580" customFormat="false" ht="23.85" hidden="false" customHeight="false" outlineLevel="0" collapsed="false">
      <c r="A580" s="21" t="str">
        <f aca="false">'Player Data'!A580</f>
        <v>Anthony Zambrano</v>
      </c>
      <c r="B580" s="21" t="str">
        <f aca="false">'Player Data'!F580</f>
        <v>FW</v>
      </c>
      <c r="C580" s="21" t="str">
        <f aca="false">'Player Data'!B580</f>
        <v>Ecuador</v>
      </c>
      <c r="D580" s="21" t="str">
        <f aca="false">'Player Data'!C580</f>
        <v>Ecuador Second Division - East</v>
      </c>
      <c r="E580" s="21" t="n">
        <f aca="false">'Player Data'!D580</f>
        <v>3</v>
      </c>
      <c r="F580" s="21" t="n">
        <f aca="false">'Player Data'!G580</f>
        <v>23</v>
      </c>
      <c r="G580" s="21" t="n">
        <f aca="false">'Player Data'!H580</f>
        <v>1804</v>
      </c>
      <c r="H580" s="22" t="n">
        <f aca="false">IF(B580="GK",IFERROR(('Player Data'!N580-1.5*'Player Data'!O580)/'Player Data'!H580*90,0),IFERROR(('Player Data'!I580+'Player Data'!J580)/'Player Data'!H580*90,0))</f>
        <v>1.09756097560976</v>
      </c>
      <c r="I580" s="22" t="n">
        <f aca="false">IF(B580="GK",'Player Data'!P580,IFERROR(('Player Data'!K580+'Player Data'!L580)/'Player Data'!H580*90,0))</f>
        <v>6.78492239467849</v>
      </c>
      <c r="J580" s="22" t="n">
        <f aca="false">IF(B580="GK",IFERROR('Player Data'!Q580/'Player Data'!H580*90,0),IFERROR('Player Data'!M580/'Player Data'!H580*90,0))</f>
        <v>0.249445676274945</v>
      </c>
      <c r="K580" s="23" t="n">
        <f aca="false">'Player Data'!S580</f>
        <v>13480</v>
      </c>
      <c r="L580" s="22" t="n">
        <f aca="false">INDEX(Assumptions!$B$13:$B$15,MATCH(E580,Assumptions!$A$13:$A$15,0))</f>
        <v>0.85</v>
      </c>
      <c r="M580" s="24" t="n">
        <f aca="false">IFERROR(SUMPRODUCT(($B$2:$B$1001=B580)*($H$2:$H$1001&lt;=H580))/SUMPRODUCT(($B$2:$B$1001=B580)*1),0)</f>
        <v>0.615044247787611</v>
      </c>
      <c r="N580" s="24" t="n">
        <f aca="false">IFERROR(SUMPRODUCT(($B$2:$B$1001=B580)*($I$2:$I$1001&lt;=I580))/SUMPRODUCT(($B$2:$B$1001=B580)*1),0)</f>
        <v>0.544247787610619</v>
      </c>
      <c r="O580" s="24" t="n">
        <f aca="false">IFERROR(SUMPRODUCT(($B$2:$B$1001=B580)*($J$2:$J$1001&lt;=J580))/SUMPRODUCT(($B$2:$B$1001=B580)*1),0)</f>
        <v>0.0973451327433628</v>
      </c>
      <c r="P580" s="24" t="n">
        <f aca="false">IFERROR(SUMPRODUCT(($B$2:$B$1001=B580)*((0-$F$2:$F$1001)&lt;=(0-F580)))/SUMPRODUCT(($B$2:$B$1001=B580)*1),0)</f>
        <v>0.389380530973451</v>
      </c>
      <c r="Q580" s="25" t="n">
        <f aca="false">(M580*Assumptions!$B$5+N580*Assumptions!$B$6+O580*Assumptions!$B$7+P580*Assumptions!$B$8)*L580</f>
        <v>0.375353982300885</v>
      </c>
      <c r="R580" s="24" t="n">
        <f aca="false">IFERROR(SUMPRODUCT(($B$2:$B$1001=B580)*($Q$2:$Q$1001&lt;=Q580))/SUMPRODUCT(($B$2:$B$1001=B580)*1),0)</f>
        <v>0.389380530973451</v>
      </c>
      <c r="S580" s="24" t="n">
        <f aca="false">IFERROR(SUMPRODUCT(($B$2:$B$1001=B580)*($K$2:$K$1001&lt;=K580))/SUMPRODUCT(($B$2:$B$1001=B580)*1),0)</f>
        <v>0.300884955752212</v>
      </c>
      <c r="T580" s="26" t="n">
        <f aca="false">(R580-S580)*100</f>
        <v>8.84955752212389</v>
      </c>
      <c r="U580" s="21" t="str">
        <f aca="false">'Player Data'!T580</f>
        <v>No</v>
      </c>
      <c r="V580" s="27" t="n">
        <f aca="false">'Player Data'!U580</f>
        <v>2028</v>
      </c>
      <c r="W580" s="21" t="str">
        <f aca="false">IF(AND(T580&gt;=Assumptions!$B$19,U580="No"),"High Priority - Unrepresented",IF(T580&gt;=Assumptions!$B$19,"High Priority",IF(AND(T580&gt;=Assumptions!$B$20,U580="No"),"Watchlist - Unrepresented",IF(T580&gt;=Assumptions!$B$20,"Watchlist",""))))</f>
        <v/>
      </c>
      <c r="X580" s="21" t="str">
        <f aca="false">'Player Data'!V580</f>
        <v>info@guayaquilwanderers.ec</v>
      </c>
      <c r="Y580" s="28" t="str">
        <f aca="false">'Player Data'!W580</f>
        <v>Club sporting director / first-team office</v>
      </c>
      <c r="Z580" s="28" t="str">
        <f aca="false">'Player Data'!X580</f>
        <v>FEF (Ecuadorian Football Federation) player registry</v>
      </c>
      <c r="AA580" s="19" t="str">
        <f aca="false">HYPERLINK("https://www.transfermarkt.com/schnellsuche/ergebnis/schnellsuche?query="&amp;SUBSTITUTE(A580," ","+"),"Search Transfermarkt")</f>
        <v>Search Transfermarkt</v>
      </c>
      <c r="AB580" s="29" t="n">
        <f aca="false">IFERROR('Player Data'!K580/('Player Data'!K580+'Player Data'!L580),0)</f>
        <v>0.5</v>
      </c>
      <c r="AC580" s="21" t="str">
        <f aca="false">IF(B580="GK",IF(AND(O580&gt;=Assumptions!$B$23,N580&gt;=Assumptions!$B$23),"Sweeper-Keeper / Build-from-the-Back",IF(O580&gt;=Assumptions!$B$23,"Sweeper-Keeper / High Line",IF(M580&gt;=Assumptions!$B$23,"Shot-Stopper / Traditional","Flexible / Multi-System"))),IF(AND(O580&gt;=Assumptions!$B$23,P580&gt;=Assumptions!$B$24),"High Press / Gegenpressing",IF(AND(N580&gt;=Assumptions!$B$23,AB580&gt;=Assumptions!$B$25),"Possession / Build-from-the-Back",IF(N580&gt;=Assumptions!$B$23,"Counter-Attack / Transition",IF(AND(O580&gt;=Assumptions!$B$23,N580&lt;Assumptions!$B$26),"Low Block / Park the Bus",IF(AND(B580="FW",M580&gt;=Assumptions!$B$23,N580&lt;Assumptions!$B$26),"Direct / Target Approach","Flexible / Multi-System"))))))</f>
        <v>Flexible / Multi-System</v>
      </c>
      <c r="AD580" s="21" t="str">
        <f aca="false">'Player Data'!Y580</f>
        <v>2026-07-17</v>
      </c>
      <c r="AE580" s="21" t="str">
        <f aca="false">'Player Data'!Z580</f>
        <v>2026-07-17</v>
      </c>
      <c r="AF580" s="28" t="str">
        <f aca="false">IFERROR(INDEX(Assumptions!$B$30:$B$61,MATCH(C580,Assumptions!$A$30:$A$61,0)),"--")</f>
        <v>Argentina, Portugal</v>
      </c>
      <c r="AG580" s="30" t="str">
        <f aca="false">IF(R580&gt;=0.7,"Step-Up Candidate",IF(R580&gt;=0.4,"Lateral Move","Stay &amp; Develop"))</f>
        <v>Stay &amp; Develop</v>
      </c>
    </row>
    <row r="581" customFormat="false" ht="23.85" hidden="false" customHeight="false" outlineLevel="0" collapsed="false">
      <c r="A581" s="21" t="str">
        <f aca="false">'Player Data'!A581</f>
        <v>Goran Ristovski</v>
      </c>
      <c r="B581" s="21" t="str">
        <f aca="false">'Player Data'!F581</f>
        <v>DF</v>
      </c>
      <c r="C581" s="21" t="str">
        <f aca="false">'Player Data'!B581</f>
        <v>North Macedonia</v>
      </c>
      <c r="D581" s="21" t="str">
        <f aca="false">'Player Data'!C581</f>
        <v>North Macedonia Amateur League</v>
      </c>
      <c r="E581" s="21" t="n">
        <f aca="false">'Player Data'!D581</f>
        <v>2</v>
      </c>
      <c r="F581" s="21" t="n">
        <f aca="false">'Player Data'!G581</f>
        <v>25</v>
      </c>
      <c r="G581" s="21" t="n">
        <f aca="false">'Player Data'!H581</f>
        <v>2275</v>
      </c>
      <c r="H581" s="22" t="n">
        <f aca="false">IF(B581="GK",IFERROR(('Player Data'!N581-1.5*'Player Data'!O581)/'Player Data'!H581*90,0),IFERROR(('Player Data'!I581+'Player Data'!J581)/'Player Data'!H581*90,0))</f>
        <v>0.197802197802198</v>
      </c>
      <c r="I581" s="22" t="n">
        <f aca="false">IF(B581="GK",'Player Data'!P581,IFERROR(('Player Data'!K581+'Player Data'!L581)/'Player Data'!H581*90,0))</f>
        <v>3.00659340659341</v>
      </c>
      <c r="J581" s="22" t="n">
        <f aca="false">IF(B581="GK",IFERROR('Player Data'!Q581/'Player Data'!H581*90,0),IFERROR('Player Data'!M581/'Player Data'!H581*90,0))</f>
        <v>4.23296703296703</v>
      </c>
      <c r="K581" s="23" t="n">
        <f aca="false">'Player Data'!S581</f>
        <v>59538</v>
      </c>
      <c r="L581" s="22" t="n">
        <f aca="false">INDEX(Assumptions!$B$13:$B$15,MATCH(E581,Assumptions!$A$13:$A$15,0))</f>
        <v>1</v>
      </c>
      <c r="M581" s="24" t="n">
        <f aca="false">IFERROR(SUMPRODUCT(($B$2:$B$1001=B581)*($H$2:$H$1001&lt;=H581))/SUMPRODUCT(($B$2:$B$1001=B581)*1),0)</f>
        <v>0.527210884353742</v>
      </c>
      <c r="N581" s="24" t="n">
        <f aca="false">IFERROR(SUMPRODUCT(($B$2:$B$1001=B581)*($I$2:$I$1001&lt;=I581))/SUMPRODUCT(($B$2:$B$1001=B581)*1),0)</f>
        <v>0.0816326530612245</v>
      </c>
      <c r="O581" s="24" t="n">
        <f aca="false">IFERROR(SUMPRODUCT(($B$2:$B$1001=B581)*($J$2:$J$1001&lt;=J581))/SUMPRODUCT(($B$2:$B$1001=B581)*1),0)</f>
        <v>0.30952380952381</v>
      </c>
      <c r="P581" s="24" t="n">
        <f aca="false">IFERROR(SUMPRODUCT(($B$2:$B$1001=B581)*((0-$F$2:$F$1001)&lt;=(0-F581)))/SUMPRODUCT(($B$2:$B$1001=B581)*1),0)</f>
        <v>0.146258503401361</v>
      </c>
      <c r="Q581" s="25" t="n">
        <f aca="false">(M581*Assumptions!$B$5+N581*Assumptions!$B$6+O581*Assumptions!$B$7+P581*Assumptions!$B$8)*L581</f>
        <v>0.251530612244898</v>
      </c>
      <c r="R581" s="24" t="n">
        <f aca="false">IFERROR(SUMPRODUCT(($B$2:$B$1001=B581)*($Q$2:$Q$1001&lt;=Q581))/SUMPRODUCT(($B$2:$B$1001=B581)*1),0)</f>
        <v>0.159863945578231</v>
      </c>
      <c r="S581" s="24" t="n">
        <f aca="false">IFERROR(SUMPRODUCT(($B$2:$B$1001=B581)*($K$2:$K$1001&lt;=K581))/SUMPRODUCT(($B$2:$B$1001=B581)*1),0)</f>
        <v>0.486394557823129</v>
      </c>
      <c r="T581" s="26" t="n">
        <f aca="false">(R581-S581)*100</f>
        <v>-32.6530612244898</v>
      </c>
      <c r="U581" s="21" t="str">
        <f aca="false">'Player Data'!T581</f>
        <v>No</v>
      </c>
      <c r="V581" s="27" t="n">
        <f aca="false">'Player Data'!U581</f>
        <v>2028</v>
      </c>
      <c r="W581" s="21" t="str">
        <f aca="false">IF(AND(T581&gt;=Assumptions!$B$19,U581="No"),"High Priority - Unrepresented",IF(T581&gt;=Assumptions!$B$19,"High Priority",IF(AND(T581&gt;=Assumptions!$B$20,U581="No"),"Watchlist - Unrepresented",IF(T581&gt;=Assumptions!$B$20,"Watchlist",""))))</f>
        <v/>
      </c>
      <c r="X581" s="21" t="str">
        <f aca="false">'Player Data'!V581</f>
        <v>info@negotinowanderers.mk</v>
      </c>
      <c r="Y581" s="28" t="str">
        <f aca="false">'Player Data'!W581</f>
        <v>Club sporting director / first-team office</v>
      </c>
      <c r="Z581" s="28" t="str">
        <f aca="false">'Player Data'!X581</f>
        <v>FFM (Football Federation of North Macedonia) player registry</v>
      </c>
      <c r="AA581" s="19" t="str">
        <f aca="false">HYPERLINK("https://www.transfermarkt.com/schnellsuche/ergebnis/schnellsuche?query="&amp;SUBSTITUTE(A581," ","+"),"Search Transfermarkt")</f>
        <v>Search Transfermarkt</v>
      </c>
      <c r="AB581" s="29" t="n">
        <f aca="false">IFERROR('Player Data'!K581/('Player Data'!K581+'Player Data'!L581),0)</f>
        <v>0.68421052631579</v>
      </c>
      <c r="AC581" s="21" t="str">
        <f aca="false">IF(B581="GK",IF(AND(O581&gt;=Assumptions!$B$23,N581&gt;=Assumptions!$B$23),"Sweeper-Keeper / Build-from-the-Back",IF(O581&gt;=Assumptions!$B$23,"Sweeper-Keeper / High Line",IF(M581&gt;=Assumptions!$B$23,"Shot-Stopper / Traditional","Flexible / Multi-System"))),IF(AND(O581&gt;=Assumptions!$B$23,P581&gt;=Assumptions!$B$24),"High Press / Gegenpressing",IF(AND(N581&gt;=Assumptions!$B$23,AB581&gt;=Assumptions!$B$25),"Possession / Build-from-the-Back",IF(N581&gt;=Assumptions!$B$23,"Counter-Attack / Transition",IF(AND(O581&gt;=Assumptions!$B$23,N581&lt;Assumptions!$B$26),"Low Block / Park the Bus",IF(AND(B581="FW",M581&gt;=Assumptions!$B$23,N581&lt;Assumptions!$B$26),"Direct / Target Approach","Flexible / Multi-System"))))))</f>
        <v>Flexible / Multi-System</v>
      </c>
      <c r="AD581" s="21" t="str">
        <f aca="false">'Player Data'!Y581</f>
        <v>2026-07-17</v>
      </c>
      <c r="AE581" s="21" t="str">
        <f aca="false">'Player Data'!Z581</f>
        <v>2026-07-17</v>
      </c>
      <c r="AF581" s="28" t="str">
        <f aca="false">IFERROR(INDEX(Assumptions!$B$30:$B$61,MATCH(C581,Assumptions!$A$30:$A$61,0)),"--")</f>
        <v>Austria, Turkey</v>
      </c>
      <c r="AG581" s="30" t="str">
        <f aca="false">IF(R581&gt;=0.7,"Step-Up Candidate",IF(R581&gt;=0.4,"Lateral Move","Stay &amp; Develop"))</f>
        <v>Stay &amp; Develop</v>
      </c>
    </row>
    <row r="582" customFormat="false" ht="23.85" hidden="false" customHeight="false" outlineLevel="0" collapsed="false">
      <c r="A582" s="21" t="str">
        <f aca="false">'Player Data'!A582</f>
        <v>Levan Lomidze</v>
      </c>
      <c r="B582" s="21" t="str">
        <f aca="false">'Player Data'!F582</f>
        <v>FW</v>
      </c>
      <c r="C582" s="21" t="str">
        <f aca="false">'Player Data'!B582</f>
        <v>Georgia</v>
      </c>
      <c r="D582" s="21" t="str">
        <f aca="false">'Player Data'!C582</f>
        <v>Georgia Third Tier - South</v>
      </c>
      <c r="E582" s="21" t="n">
        <f aca="false">'Player Data'!D582</f>
        <v>2</v>
      </c>
      <c r="F582" s="21" t="n">
        <f aca="false">'Player Data'!G582</f>
        <v>19</v>
      </c>
      <c r="G582" s="21" t="n">
        <f aca="false">'Player Data'!H582</f>
        <v>2627</v>
      </c>
      <c r="H582" s="22" t="n">
        <f aca="false">IF(B582="GK",IFERROR(('Player Data'!N582-1.5*'Player Data'!O582)/'Player Data'!H582*90,0),IFERROR(('Player Data'!I582+'Player Data'!J582)/'Player Data'!H582*90,0))</f>
        <v>0.650932622763609</v>
      </c>
      <c r="I582" s="22" t="n">
        <f aca="false">IF(B582="GK",'Player Data'!P582,IFERROR(('Player Data'!K582+'Player Data'!L582)/'Player Data'!H582*90,0))</f>
        <v>5.20746098210887</v>
      </c>
      <c r="J582" s="22" t="n">
        <f aca="false">IF(B582="GK",IFERROR('Player Data'!Q582/'Player Data'!H582*90,0),IFERROR('Player Data'!M582/'Player Data'!H582*90,0))</f>
        <v>0.239817282070803</v>
      </c>
      <c r="K582" s="23" t="n">
        <f aca="false">'Player Data'!S582</f>
        <v>0</v>
      </c>
      <c r="L582" s="22" t="n">
        <f aca="false">INDEX(Assumptions!$B$13:$B$15,MATCH(E582,Assumptions!$A$13:$A$15,0))</f>
        <v>1</v>
      </c>
      <c r="M582" s="24" t="n">
        <f aca="false">IFERROR(SUMPRODUCT(($B$2:$B$1001=B582)*($H$2:$H$1001&lt;=H582))/SUMPRODUCT(($B$2:$B$1001=B582)*1),0)</f>
        <v>0.20353982300885</v>
      </c>
      <c r="N582" s="24" t="n">
        <f aca="false">IFERROR(SUMPRODUCT(($B$2:$B$1001=B582)*($I$2:$I$1001&lt;=I582))/SUMPRODUCT(($B$2:$B$1001=B582)*1),0)</f>
        <v>0.247787610619469</v>
      </c>
      <c r="O582" s="24" t="n">
        <f aca="false">IFERROR(SUMPRODUCT(($B$2:$B$1001=B582)*($J$2:$J$1001&lt;=J582))/SUMPRODUCT(($B$2:$B$1001=B582)*1),0)</f>
        <v>0.0884955752212389</v>
      </c>
      <c r="P582" s="24" t="n">
        <f aca="false">IFERROR(SUMPRODUCT(($B$2:$B$1001=B582)*((0-$F$2:$F$1001)&lt;=(0-F582)))/SUMPRODUCT(($B$2:$B$1001=B582)*1),0)</f>
        <v>0.831858407079646</v>
      </c>
      <c r="Q582" s="25" t="n">
        <f aca="false">(M582*Assumptions!$B$5+N582*Assumptions!$B$6+O582*Assumptions!$B$7+P582*Assumptions!$B$8)*L582</f>
        <v>0.321681415929204</v>
      </c>
      <c r="R582" s="24" t="n">
        <f aca="false">IFERROR(SUMPRODUCT(($B$2:$B$1001=B582)*($Q$2:$Q$1001&lt;=Q582))/SUMPRODUCT(($B$2:$B$1001=B582)*1),0)</f>
        <v>0.309734513274336</v>
      </c>
      <c r="S582" s="24" t="n">
        <f aca="false">IFERROR(SUMPRODUCT(($B$2:$B$1001=B582)*($K$2:$K$1001&lt;=K582))/SUMPRODUCT(($B$2:$B$1001=B582)*1),0)</f>
        <v>0.261061946902655</v>
      </c>
      <c r="T582" s="26" t="n">
        <f aca="false">(R582-S582)*100</f>
        <v>4.86725663716814</v>
      </c>
      <c r="U582" s="21" t="str">
        <f aca="false">'Player Data'!T582</f>
        <v>No</v>
      </c>
      <c r="V582" s="27" t="n">
        <f aca="false">'Player Data'!U582</f>
        <v>2027</v>
      </c>
      <c r="W582" s="21" t="str">
        <f aca="false">IF(AND(T582&gt;=Assumptions!$B$19,U582="No"),"High Priority - Unrepresented",IF(T582&gt;=Assumptions!$B$19,"High Priority",IF(AND(T582&gt;=Assumptions!$B$20,U582="No"),"Watchlist - Unrepresented",IF(T582&gt;=Assumptions!$B$20,"Watchlist",""))))</f>
        <v/>
      </c>
      <c r="X582" s="21" t="str">
        <f aca="false">'Player Data'!V582</f>
        <v>info@kutaisirovers.ge</v>
      </c>
      <c r="Y582" s="28" t="str">
        <f aca="false">'Player Data'!W582</f>
        <v>Club sporting director / first-team office</v>
      </c>
      <c r="Z582" s="28" t="str">
        <f aca="false">'Player Data'!X582</f>
        <v>GFF (Georgian Football Federation) player registry</v>
      </c>
      <c r="AA582" s="19" t="str">
        <f aca="false">HYPERLINK("https://www.transfermarkt.com/schnellsuche/ergebnis/schnellsuche?query="&amp;SUBSTITUTE(A582," ","+"),"Search Transfermarkt")</f>
        <v>Search Transfermarkt</v>
      </c>
      <c r="AB582" s="29" t="n">
        <f aca="false">IFERROR('Player Data'!K582/('Player Data'!K582+'Player Data'!L582),0)</f>
        <v>0.335526315789474</v>
      </c>
      <c r="AC582" s="21" t="str">
        <f aca="false">IF(B582="GK",IF(AND(O582&gt;=Assumptions!$B$23,N582&gt;=Assumptions!$B$23),"Sweeper-Keeper / Build-from-the-Back",IF(O582&gt;=Assumptions!$B$23,"Sweeper-Keeper / High Line",IF(M582&gt;=Assumptions!$B$23,"Shot-Stopper / Traditional","Flexible / Multi-System"))),IF(AND(O582&gt;=Assumptions!$B$23,P582&gt;=Assumptions!$B$24),"High Press / Gegenpressing",IF(AND(N582&gt;=Assumptions!$B$23,AB582&gt;=Assumptions!$B$25),"Possession / Build-from-the-Back",IF(N582&gt;=Assumptions!$B$23,"Counter-Attack / Transition",IF(AND(O582&gt;=Assumptions!$B$23,N582&lt;Assumptions!$B$26),"Low Block / Park the Bus",IF(AND(B582="FW",M582&gt;=Assumptions!$B$23,N582&lt;Assumptions!$B$26),"Direct / Target Approach","Flexible / Multi-System"))))))</f>
        <v>Flexible / Multi-System</v>
      </c>
      <c r="AD582" s="21" t="str">
        <f aca="false">'Player Data'!Y582</f>
        <v>2026-07-17</v>
      </c>
      <c r="AE582" s="21" t="str">
        <f aca="false">'Player Data'!Z582</f>
        <v>2026-07-17</v>
      </c>
      <c r="AF582" s="28" t="str">
        <f aca="false">IFERROR(INDEX(Assumptions!$B$30:$B$61,MATCH(C582,Assumptions!$A$30:$A$61,0)),"--")</f>
        <v>Turkey, Poland</v>
      </c>
      <c r="AG582" s="30" t="str">
        <f aca="false">IF(R582&gt;=0.7,"Step-Up Candidate",IF(R582&gt;=0.4,"Lateral Move","Stay &amp; Develop"))</f>
        <v>Stay &amp; Develop</v>
      </c>
    </row>
    <row r="583" customFormat="false" ht="23.85" hidden="false" customHeight="false" outlineLevel="0" collapsed="false">
      <c r="A583" s="21" t="str">
        <f aca="false">'Player Data'!A583</f>
        <v>Andres Suarez</v>
      </c>
      <c r="B583" s="21" t="str">
        <f aca="false">'Player Data'!F583</f>
        <v>MF</v>
      </c>
      <c r="C583" s="21" t="str">
        <f aca="false">'Player Data'!B583</f>
        <v>Ecuador</v>
      </c>
      <c r="D583" s="21" t="str">
        <f aca="false">'Player Data'!C583</f>
        <v>Ecuador Regional League</v>
      </c>
      <c r="E583" s="21" t="n">
        <f aca="false">'Player Data'!D583</f>
        <v>3</v>
      </c>
      <c r="F583" s="21" t="n">
        <f aca="false">'Player Data'!G583</f>
        <v>19</v>
      </c>
      <c r="G583" s="21" t="n">
        <f aca="false">'Player Data'!H583</f>
        <v>2446</v>
      </c>
      <c r="H583" s="22" t="n">
        <f aca="false">IF(B583="GK",IFERROR(('Player Data'!N583-1.5*'Player Data'!O583)/'Player Data'!H583*90,0),IFERROR(('Player Data'!I583+'Player Data'!J583)/'Player Data'!H583*90,0))</f>
        <v>0.294358135731807</v>
      </c>
      <c r="I583" s="22" t="n">
        <f aca="false">IF(B583="GK",'Player Data'!P583,IFERROR(('Player Data'!K583+'Player Data'!L583)/'Player Data'!H583*90,0))</f>
        <v>6.88062142273099</v>
      </c>
      <c r="J583" s="22" t="n">
        <f aca="false">IF(B583="GK",IFERROR('Player Data'!Q583/'Player Data'!H583*90,0),IFERROR('Player Data'!M583/'Player Data'!H583*90,0))</f>
        <v>2.09730171708913</v>
      </c>
      <c r="K583" s="23" t="n">
        <f aca="false">'Player Data'!S583</f>
        <v>85754</v>
      </c>
      <c r="L583" s="22" t="n">
        <f aca="false">INDEX(Assumptions!$B$13:$B$15,MATCH(E583,Assumptions!$A$13:$A$15,0))</f>
        <v>0.85</v>
      </c>
      <c r="M583" s="24" t="n">
        <f aca="false">IFERROR(SUMPRODUCT(($B$2:$B$1001=B583)*($H$2:$H$1001&lt;=H583))/SUMPRODUCT(($B$2:$B$1001=B583)*1),0)</f>
        <v>0.037037037037037</v>
      </c>
      <c r="N583" s="24" t="n">
        <f aca="false">IFERROR(SUMPRODUCT(($B$2:$B$1001=B583)*($I$2:$I$1001&lt;=I583))/SUMPRODUCT(($B$2:$B$1001=B583)*1),0)</f>
        <v>0.0437710437710438</v>
      </c>
      <c r="O583" s="24" t="n">
        <f aca="false">IFERROR(SUMPRODUCT(($B$2:$B$1001=B583)*($J$2:$J$1001&lt;=J583))/SUMPRODUCT(($B$2:$B$1001=B583)*1),0)</f>
        <v>0.468013468013468</v>
      </c>
      <c r="P583" s="24" t="n">
        <f aca="false">IFERROR(SUMPRODUCT(($B$2:$B$1001=B583)*((0-$F$2:$F$1001)&lt;=(0-F583)))/SUMPRODUCT(($B$2:$B$1001=B583)*1),0)</f>
        <v>0.868686868686869</v>
      </c>
      <c r="Q583" s="25" t="n">
        <f aca="false">(M583*Assumptions!$B$5+N583*Assumptions!$B$6+O583*Assumptions!$B$7+P583*Assumptions!$B$8)*L583</f>
        <v>0.248131313131313</v>
      </c>
      <c r="R583" s="24" t="n">
        <f aca="false">IFERROR(SUMPRODUCT(($B$2:$B$1001=B583)*($Q$2:$Q$1001&lt;=Q583))/SUMPRODUCT(($B$2:$B$1001=B583)*1),0)</f>
        <v>0.175084175084175</v>
      </c>
      <c r="S583" s="24" t="n">
        <f aca="false">IFERROR(SUMPRODUCT(($B$2:$B$1001=B583)*($K$2:$K$1001&lt;=K583))/SUMPRODUCT(($B$2:$B$1001=B583)*1),0)</f>
        <v>0.676767676767677</v>
      </c>
      <c r="T583" s="26" t="n">
        <f aca="false">(R583-S583)*100</f>
        <v>-50.1683501683502</v>
      </c>
      <c r="U583" s="21" t="str">
        <f aca="false">'Player Data'!T583</f>
        <v>No</v>
      </c>
      <c r="V583" s="27" t="n">
        <f aca="false">'Player Data'!U583</f>
        <v>2028</v>
      </c>
      <c r="W583" s="21" t="str">
        <f aca="false">IF(AND(T583&gt;=Assumptions!$B$19,U583="No"),"High Priority - Unrepresented",IF(T583&gt;=Assumptions!$B$19,"High Priority",IF(AND(T583&gt;=Assumptions!$B$20,U583="No"),"Watchlist - Unrepresented",IF(T583&gt;=Assumptions!$B$20,"Watchlist",""))))</f>
        <v/>
      </c>
      <c r="X583" s="21" t="str">
        <f aca="false">'Player Data'!V583</f>
        <v>info@quitocity.ec</v>
      </c>
      <c r="Y583" s="28" t="str">
        <f aca="false">'Player Data'!W583</f>
        <v>Club sporting director / first-team office</v>
      </c>
      <c r="Z583" s="28" t="str">
        <f aca="false">'Player Data'!X583</f>
        <v>FEF (Ecuadorian Football Federation) player registry</v>
      </c>
      <c r="AA583" s="19" t="str">
        <f aca="false">HYPERLINK("https://www.transfermarkt.com/schnellsuche/ergebnis/schnellsuche?query="&amp;SUBSTITUTE(A583," ","+"),"Search Transfermarkt")</f>
        <v>Search Transfermarkt</v>
      </c>
      <c r="AB583" s="29" t="n">
        <f aca="false">IFERROR('Player Data'!K583/('Player Data'!K583+'Player Data'!L583),0)</f>
        <v>0.582887700534759</v>
      </c>
      <c r="AC583" s="21" t="str">
        <f aca="false">IF(B583="GK",IF(AND(O583&gt;=Assumptions!$B$23,N583&gt;=Assumptions!$B$23),"Sweeper-Keeper / Build-from-the-Back",IF(O583&gt;=Assumptions!$B$23,"Sweeper-Keeper / High Line",IF(M583&gt;=Assumptions!$B$23,"Shot-Stopper / Traditional","Flexible / Multi-System"))),IF(AND(O583&gt;=Assumptions!$B$23,P583&gt;=Assumptions!$B$24),"High Press / Gegenpressing",IF(AND(N583&gt;=Assumptions!$B$23,AB583&gt;=Assumptions!$B$25),"Possession / Build-from-the-Back",IF(N583&gt;=Assumptions!$B$23,"Counter-Attack / Transition",IF(AND(O583&gt;=Assumptions!$B$23,N583&lt;Assumptions!$B$26),"Low Block / Park the Bus",IF(AND(B583="FW",M583&gt;=Assumptions!$B$23,N583&lt;Assumptions!$B$26),"Direct / Target Approach","Flexible / Multi-System"))))))</f>
        <v>Flexible / Multi-System</v>
      </c>
      <c r="AD583" s="21" t="str">
        <f aca="false">'Player Data'!Y583</f>
        <v>2026-07-17</v>
      </c>
      <c r="AE583" s="21" t="str">
        <f aca="false">'Player Data'!Z583</f>
        <v>2026-07-17</v>
      </c>
      <c r="AF583" s="28" t="str">
        <f aca="false">IFERROR(INDEX(Assumptions!$B$30:$B$61,MATCH(C583,Assumptions!$A$30:$A$61,0)),"--")</f>
        <v>Argentina, Portugal</v>
      </c>
      <c r="AG583" s="30" t="str">
        <f aca="false">IF(R583&gt;=0.7,"Step-Up Candidate",IF(R583&gt;=0.4,"Lateral Move","Stay &amp; Develop"))</f>
        <v>Stay &amp; Develop</v>
      </c>
    </row>
    <row r="584" customFormat="false" ht="23.85" hidden="false" customHeight="false" outlineLevel="0" collapsed="false">
      <c r="A584" s="21" t="str">
        <f aca="false">'Player Data'!A584</f>
        <v>Max Bamba</v>
      </c>
      <c r="B584" s="21" t="str">
        <f aca="false">'Player Data'!F584</f>
        <v>GK</v>
      </c>
      <c r="C584" s="21" t="str">
        <f aca="false">'Player Data'!B584</f>
        <v>Ivory Coast</v>
      </c>
      <c r="D584" s="21" t="str">
        <f aca="false">'Player Data'!C584</f>
        <v>Ivory Coast Second Division</v>
      </c>
      <c r="E584" s="21" t="n">
        <f aca="false">'Player Data'!D584</f>
        <v>4</v>
      </c>
      <c r="F584" s="21" t="n">
        <f aca="false">'Player Data'!G584</f>
        <v>21</v>
      </c>
      <c r="G584" s="21" t="n">
        <f aca="false">'Player Data'!H584</f>
        <v>2416</v>
      </c>
      <c r="H584" s="22" t="n">
        <f aca="false">IF(B584="GK",IFERROR(('Player Data'!N584-1.5*'Player Data'!O584)/'Player Data'!H584*90,0),IFERROR(('Player Data'!I584+'Player Data'!J584)/'Player Data'!H584*90,0))</f>
        <v>1.19205298013245</v>
      </c>
      <c r="I584" s="22" t="n">
        <f aca="false">IF(B584="GK",'Player Data'!P584,IFERROR(('Player Data'!K584+'Player Data'!L584)/'Player Data'!H584*90,0))</f>
        <v>85.7</v>
      </c>
      <c r="J584" s="22" t="n">
        <f aca="false">IF(B584="GK",IFERROR('Player Data'!Q584/'Player Data'!H584*90,0),IFERROR('Player Data'!M584/'Player Data'!H584*90,0))</f>
        <v>1.16970198675497</v>
      </c>
      <c r="K584" s="23" t="n">
        <f aca="false">'Player Data'!S584</f>
        <v>73246</v>
      </c>
      <c r="L584" s="22" t="n">
        <f aca="false">INDEX(Assumptions!$B$13:$B$15,MATCH(E584,Assumptions!$A$13:$A$15,0))</f>
        <v>0.7</v>
      </c>
      <c r="M584" s="24" t="n">
        <f aca="false">IFERROR(SUMPRODUCT(($B$2:$B$1001=B584)*($H$2:$H$1001&lt;=H584))/SUMPRODUCT(($B$2:$B$1001=B584)*1),0)</f>
        <v>0.524590163934426</v>
      </c>
      <c r="N584" s="24" t="n">
        <f aca="false">IFERROR(SUMPRODUCT(($B$2:$B$1001=B584)*($I$2:$I$1001&lt;=I584))/SUMPRODUCT(($B$2:$B$1001=B584)*1),0)</f>
        <v>0.87431693989071</v>
      </c>
      <c r="O584" s="24" t="n">
        <f aca="false">IFERROR(SUMPRODUCT(($B$2:$B$1001=B584)*($J$2:$J$1001&lt;=J584))/SUMPRODUCT(($B$2:$B$1001=B584)*1),0)</f>
        <v>0.721311475409836</v>
      </c>
      <c r="P584" s="24" t="n">
        <f aca="false">IFERROR(SUMPRODUCT(($B$2:$B$1001=B584)*((0-$F$2:$F$1001)&lt;=(0-F584)))/SUMPRODUCT(($B$2:$B$1001=B584)*1),0)</f>
        <v>0.60655737704918</v>
      </c>
      <c r="Q584" s="25" t="n">
        <f aca="false">(M584*Assumptions!$B$5+N584*Assumptions!$B$6+O584*Assumptions!$B$7+P584*Assumptions!$B$8)*L584</f>
        <v>0.491912568306011</v>
      </c>
      <c r="R584" s="24" t="n">
        <f aca="false">IFERROR(SUMPRODUCT(($B$2:$B$1001=B584)*($Q$2:$Q$1001&lt;=Q584))/SUMPRODUCT(($B$2:$B$1001=B584)*1),0)</f>
        <v>0.601092896174863</v>
      </c>
      <c r="S584" s="24" t="n">
        <f aca="false">IFERROR(SUMPRODUCT(($B$2:$B$1001=B584)*($K$2:$K$1001&lt;=K584))/SUMPRODUCT(($B$2:$B$1001=B584)*1),0)</f>
        <v>0.540983606557377</v>
      </c>
      <c r="T584" s="26" t="n">
        <f aca="false">(R584-S584)*100</f>
        <v>6.01092896174863</v>
      </c>
      <c r="U584" s="21" t="str">
        <f aca="false">'Player Data'!T584</f>
        <v>No</v>
      </c>
      <c r="V584" s="27" t="n">
        <f aca="false">'Player Data'!U584</f>
        <v>2029</v>
      </c>
      <c r="W584" s="21" t="str">
        <f aca="false">IF(AND(T584&gt;=Assumptions!$B$19,U584="No"),"High Priority - Unrepresented",IF(T584&gt;=Assumptions!$B$19,"High Priority",IF(AND(T584&gt;=Assumptions!$B$20,U584="No"),"Watchlist - Unrepresented",IF(T584&gt;=Assumptions!$B$20,"Watchlist",""))))</f>
        <v/>
      </c>
      <c r="X584" s="21" t="str">
        <f aca="false">'Player Data'!V584</f>
        <v>info@bouakefc.ci</v>
      </c>
      <c r="Y584" s="28" t="str">
        <f aca="false">'Player Data'!W584</f>
        <v>Club sporting director / first-team office</v>
      </c>
      <c r="Z584" s="28" t="str">
        <f aca="false">'Player Data'!X584</f>
        <v>FIF (Ivorian Football Federation) player registry</v>
      </c>
      <c r="AA584" s="19" t="str">
        <f aca="false">HYPERLINK("https://www.transfermarkt.com/schnellsuche/ergebnis/schnellsuche?query="&amp;SUBSTITUTE(A584," ","+"),"Search Transfermarkt")</f>
        <v>Search Transfermarkt</v>
      </c>
      <c r="AB584" s="29" t="n">
        <f aca="false">IFERROR('Player Data'!K584/('Player Data'!K584+'Player Data'!L584),0)</f>
        <v>1</v>
      </c>
      <c r="AC584" s="21" t="str">
        <f aca="false">IF(B584="GK",IF(AND(O584&gt;=Assumptions!$B$23,N584&gt;=Assumptions!$B$23),"Sweeper-Keeper / Build-from-the-Back",IF(O584&gt;=Assumptions!$B$23,"Sweeper-Keeper / High Line",IF(M584&gt;=Assumptions!$B$23,"Shot-Stopper / Traditional","Flexible / Multi-System"))),IF(AND(O584&gt;=Assumptions!$B$23,P584&gt;=Assumptions!$B$24),"High Press / Gegenpressing",IF(AND(N584&gt;=Assumptions!$B$23,AB584&gt;=Assumptions!$B$25),"Possession / Build-from-the-Back",IF(N584&gt;=Assumptions!$B$23,"Counter-Attack / Transition",IF(AND(O584&gt;=Assumptions!$B$23,N584&lt;Assumptions!$B$26),"Low Block / Park the Bus",IF(AND(B584="FW",M584&gt;=Assumptions!$B$23,N584&lt;Assumptions!$B$26),"Direct / Target Approach","Flexible / Multi-System"))))))</f>
        <v>Sweeper-Keeper / Build-from-the-Back</v>
      </c>
      <c r="AD584" s="21" t="str">
        <f aca="false">'Player Data'!Y584</f>
        <v>2026-07-17</v>
      </c>
      <c r="AE584" s="21" t="str">
        <f aca="false">'Player Data'!Z584</f>
        <v>2026-07-17</v>
      </c>
      <c r="AF584" s="28" t="str">
        <f aca="false">IFERROR(INDEX(Assumptions!$B$30:$B$61,MATCH(C584,Assumptions!$A$30:$A$61,0)),"--")</f>
        <v>Belgium, Portugal</v>
      </c>
      <c r="AG584" s="30" t="str">
        <f aca="false">IF(R584&gt;=0.7,"Step-Up Candidate",IF(R584&gt;=0.4,"Lateral Move","Stay &amp; Develop"))</f>
        <v>Lateral Move</v>
      </c>
    </row>
    <row r="585" customFormat="false" ht="23.85" hidden="false" customHeight="false" outlineLevel="0" collapsed="false">
      <c r="A585" s="21" t="str">
        <f aca="false">'Player Data'!A585</f>
        <v>Nemanja Ilic</v>
      </c>
      <c r="B585" s="21" t="str">
        <f aca="false">'Player Data'!F585</f>
        <v>DF</v>
      </c>
      <c r="C585" s="21" t="str">
        <f aca="false">'Player Data'!B585</f>
        <v>Serbia</v>
      </c>
      <c r="D585" s="21" t="str">
        <f aca="false">'Player Data'!C585</f>
        <v>Serbia Second Division - East</v>
      </c>
      <c r="E585" s="21" t="n">
        <f aca="false">'Player Data'!D585</f>
        <v>3</v>
      </c>
      <c r="F585" s="21" t="n">
        <f aca="false">'Player Data'!G585</f>
        <v>18</v>
      </c>
      <c r="G585" s="21" t="n">
        <f aca="false">'Player Data'!H585</f>
        <v>874</v>
      </c>
      <c r="H585" s="22" t="n">
        <f aca="false">IF(B585="GK",IFERROR(('Player Data'!N585-1.5*'Player Data'!O585)/'Player Data'!H585*90,0),IFERROR(('Player Data'!I585+'Player Data'!J585)/'Player Data'!H585*90,0))</f>
        <v>0.205949656750572</v>
      </c>
      <c r="I585" s="22" t="n">
        <f aca="false">IF(B585="GK",'Player Data'!P585,IFERROR(('Player Data'!K585+'Player Data'!L585)/'Player Data'!H585*90,0))</f>
        <v>9.37070938215103</v>
      </c>
      <c r="J585" s="22" t="n">
        <f aca="false">IF(B585="GK",IFERROR('Player Data'!Q585/'Player Data'!H585*90,0),IFERROR('Player Data'!M585/'Player Data'!H585*90,0))</f>
        <v>11.3272311212815</v>
      </c>
      <c r="K585" s="23" t="n">
        <f aca="false">'Player Data'!S585</f>
        <v>35085</v>
      </c>
      <c r="L585" s="22" t="n">
        <f aca="false">INDEX(Assumptions!$B$13:$B$15,MATCH(E585,Assumptions!$A$13:$A$15,0))</f>
        <v>0.85</v>
      </c>
      <c r="M585" s="24" t="n">
        <f aca="false">IFERROR(SUMPRODUCT(($B$2:$B$1001=B585)*($H$2:$H$1001&lt;=H585))/SUMPRODUCT(($B$2:$B$1001=B585)*1),0)</f>
        <v>0.554421768707483</v>
      </c>
      <c r="N585" s="24" t="n">
        <f aca="false">IFERROR(SUMPRODUCT(($B$2:$B$1001=B585)*($I$2:$I$1001&lt;=I585))/SUMPRODUCT(($B$2:$B$1001=B585)*1),0)</f>
        <v>0.962585034013605</v>
      </c>
      <c r="O585" s="24" t="n">
        <f aca="false">IFERROR(SUMPRODUCT(($B$2:$B$1001=B585)*($J$2:$J$1001&lt;=J585))/SUMPRODUCT(($B$2:$B$1001=B585)*1),0)</f>
        <v>0.972789115646259</v>
      </c>
      <c r="P585" s="24" t="n">
        <f aca="false">IFERROR(SUMPRODUCT(($B$2:$B$1001=B585)*((0-$F$2:$F$1001)&lt;=(0-F585)))/SUMPRODUCT(($B$2:$B$1001=B585)*1),0)</f>
        <v>0.863945578231293</v>
      </c>
      <c r="Q585" s="25" t="n">
        <f aca="false">(M585*Assumptions!$B$5+N585*Assumptions!$B$6+O585*Assumptions!$B$7+P585*Assumptions!$B$8)*L585</f>
        <v>0.716428571428571</v>
      </c>
      <c r="R585" s="24" t="n">
        <f aca="false">IFERROR(SUMPRODUCT(($B$2:$B$1001=B585)*($Q$2:$Q$1001&lt;=Q585))/SUMPRODUCT(($B$2:$B$1001=B585)*1),0)</f>
        <v>0.887755102040816</v>
      </c>
      <c r="S585" s="24" t="n">
        <f aca="false">IFERROR(SUMPRODUCT(($B$2:$B$1001=B585)*($K$2:$K$1001&lt;=K585))/SUMPRODUCT(($B$2:$B$1001=B585)*1),0)</f>
        <v>0.377551020408163</v>
      </c>
      <c r="T585" s="26" t="n">
        <f aca="false">(R585-S585)*100</f>
        <v>51.0204081632653</v>
      </c>
      <c r="U585" s="21" t="str">
        <f aca="false">'Player Data'!T585</f>
        <v>Unknown</v>
      </c>
      <c r="V585" s="27" t="n">
        <f aca="false">'Player Data'!U585</f>
        <v>2029</v>
      </c>
      <c r="W585" s="21" t="str">
        <f aca="false">IF(AND(T585&gt;=Assumptions!$B$19,U585="No"),"High Priority - Unrepresented",IF(T585&gt;=Assumptions!$B$19,"High Priority",IF(AND(T585&gt;=Assumptions!$B$20,U585="No"),"Watchlist - Unrepresented",IF(T585&gt;=Assumptions!$B$20,"Watchlist",""))))</f>
        <v>High Priority</v>
      </c>
      <c r="X585" s="21" t="str">
        <f aca="false">'Player Data'!V585</f>
        <v>info@nisrovers.rs</v>
      </c>
      <c r="Y585" s="28" t="str">
        <f aca="false">'Player Data'!W585</f>
        <v>Club sporting director / first-team office</v>
      </c>
      <c r="Z585" s="28" t="str">
        <f aca="false">'Player Data'!X585</f>
        <v>FSS (Football Association of Serbia) player registry</v>
      </c>
      <c r="AA585" s="19" t="str">
        <f aca="false">HYPERLINK("https://www.transfermarkt.com/schnellsuche/ergebnis/schnellsuche?query="&amp;SUBSTITUTE(A585," ","+"),"Search Transfermarkt")</f>
        <v>Search Transfermarkt</v>
      </c>
      <c r="AB585" s="29" t="n">
        <f aca="false">IFERROR('Player Data'!K585/('Player Data'!K585+'Player Data'!L585),0)</f>
        <v>0.692307692307692</v>
      </c>
      <c r="AC585" s="21" t="str">
        <f aca="false">IF(B585="GK",IF(AND(O585&gt;=Assumptions!$B$23,N585&gt;=Assumptions!$B$23),"Sweeper-Keeper / Build-from-the-Back",IF(O585&gt;=Assumptions!$B$23,"Sweeper-Keeper / High Line",IF(M585&gt;=Assumptions!$B$23,"Shot-Stopper / Traditional","Flexible / Multi-System"))),IF(AND(O585&gt;=Assumptions!$B$23,P585&gt;=Assumptions!$B$24),"High Press / Gegenpressing",IF(AND(N585&gt;=Assumptions!$B$23,AB585&gt;=Assumptions!$B$25),"Possession / Build-from-the-Back",IF(N585&gt;=Assumptions!$B$23,"Counter-Attack / Transition",IF(AND(O585&gt;=Assumptions!$B$23,N585&lt;Assumptions!$B$26),"Low Block / Park the Bus",IF(AND(B585="FW",M585&gt;=Assumptions!$B$23,N585&lt;Assumptions!$B$26),"Direct / Target Approach","Flexible / Multi-System"))))))</f>
        <v>High Press / Gegenpressing</v>
      </c>
      <c r="AD585" s="21" t="str">
        <f aca="false">'Player Data'!Y585</f>
        <v>2026-07-17</v>
      </c>
      <c r="AE585" s="21" t="str">
        <f aca="false">'Player Data'!Z585</f>
        <v>2026-07-17</v>
      </c>
      <c r="AF585" s="28" t="str">
        <f aca="false">IFERROR(INDEX(Assumptions!$B$30:$B$61,MATCH(C585,Assumptions!$A$30:$A$61,0)),"--")</f>
        <v>Austria, Turkey</v>
      </c>
      <c r="AG585" s="30" t="str">
        <f aca="false">IF(R585&gt;=0.7,"Step-Up Candidate",IF(R585&gt;=0.4,"Lateral Move","Stay &amp; Develop"))</f>
        <v>Step-Up Candidate</v>
      </c>
    </row>
    <row r="586" customFormat="false" ht="23.85" hidden="false" customHeight="false" outlineLevel="0" collapsed="false">
      <c r="A586" s="21" t="str">
        <f aca="false">'Player Data'!A586</f>
        <v>Agustin Gonzalez</v>
      </c>
      <c r="B586" s="21" t="str">
        <f aca="false">'Player Data'!F586</f>
        <v>FW</v>
      </c>
      <c r="C586" s="21" t="str">
        <f aca="false">'Player Data'!B586</f>
        <v>Uruguay</v>
      </c>
      <c r="D586" s="21" t="str">
        <f aca="false">'Player Data'!C586</f>
        <v>Uruguay Second Division - West</v>
      </c>
      <c r="E586" s="21" t="n">
        <f aca="false">'Player Data'!D586</f>
        <v>4</v>
      </c>
      <c r="F586" s="21" t="n">
        <f aca="false">'Player Data'!G586</f>
        <v>26</v>
      </c>
      <c r="G586" s="21" t="n">
        <f aca="false">'Player Data'!H586</f>
        <v>1717</v>
      </c>
      <c r="H586" s="22" t="n">
        <f aca="false">IF(B586="GK",IFERROR(('Player Data'!N586-1.5*'Player Data'!O586)/'Player Data'!H586*90,0),IFERROR(('Player Data'!I586+'Player Data'!J586)/'Player Data'!H586*90,0))</f>
        <v>1.15317414094351</v>
      </c>
      <c r="I586" s="22" t="n">
        <f aca="false">IF(B586="GK",'Player Data'!P586,IFERROR(('Player Data'!K586+'Player Data'!L586)/'Player Data'!H586*90,0))</f>
        <v>7.49563191613279</v>
      </c>
      <c r="J586" s="22" t="n">
        <f aca="false">IF(B586="GK",IFERROR('Player Data'!Q586/'Player Data'!H586*90,0),IFERROR('Player Data'!M586/'Player Data'!H586*90,0))</f>
        <v>0.838672102504368</v>
      </c>
      <c r="K586" s="23" t="n">
        <f aca="false">'Player Data'!S586</f>
        <v>93535</v>
      </c>
      <c r="L586" s="22" t="n">
        <f aca="false">INDEX(Assumptions!$B$13:$B$15,MATCH(E586,Assumptions!$A$13:$A$15,0))</f>
        <v>0.7</v>
      </c>
      <c r="M586" s="24" t="n">
        <f aca="false">IFERROR(SUMPRODUCT(($B$2:$B$1001=B586)*($H$2:$H$1001&lt;=H586))/SUMPRODUCT(($B$2:$B$1001=B586)*1),0)</f>
        <v>0.663716814159292</v>
      </c>
      <c r="N586" s="24" t="n">
        <f aca="false">IFERROR(SUMPRODUCT(($B$2:$B$1001=B586)*($I$2:$I$1001&lt;=I586))/SUMPRODUCT(($B$2:$B$1001=B586)*1),0)</f>
        <v>0.628318584070796</v>
      </c>
      <c r="O586" s="24" t="n">
        <f aca="false">IFERROR(SUMPRODUCT(($B$2:$B$1001=B586)*($J$2:$J$1001&lt;=J586))/SUMPRODUCT(($B$2:$B$1001=B586)*1),0)</f>
        <v>0.81858407079646</v>
      </c>
      <c r="P586" s="24" t="n">
        <f aca="false">IFERROR(SUMPRODUCT(($B$2:$B$1001=B586)*((0-$F$2:$F$1001)&lt;=(0-F586)))/SUMPRODUCT(($B$2:$B$1001=B586)*1),0)</f>
        <v>0.0929203539823009</v>
      </c>
      <c r="Q586" s="25" t="n">
        <f aca="false">(M586*Assumptions!$B$5+N586*Assumptions!$B$6+O586*Assumptions!$B$7+P586*Assumptions!$B$8)*L586</f>
        <v>0.397699115044248</v>
      </c>
      <c r="R586" s="24" t="n">
        <f aca="false">IFERROR(SUMPRODUCT(($B$2:$B$1001=B586)*($Q$2:$Q$1001&lt;=Q586))/SUMPRODUCT(($B$2:$B$1001=B586)*1),0)</f>
        <v>0.438053097345133</v>
      </c>
      <c r="S586" s="24" t="n">
        <f aca="false">IFERROR(SUMPRODUCT(($B$2:$B$1001=B586)*($K$2:$K$1001&lt;=K586))/SUMPRODUCT(($B$2:$B$1001=B586)*1),0)</f>
        <v>0.668141592920354</v>
      </c>
      <c r="T586" s="26" t="n">
        <f aca="false">(R586-S586)*100</f>
        <v>-23.0088495575221</v>
      </c>
      <c r="U586" s="21" t="str">
        <f aca="false">'Player Data'!T586</f>
        <v>Yes</v>
      </c>
      <c r="V586" s="27" t="n">
        <f aca="false">'Player Data'!U586</f>
        <v>2028</v>
      </c>
      <c r="W586" s="21" t="str">
        <f aca="false">IF(AND(T586&gt;=Assumptions!$B$19,U586="No"),"High Priority - Unrepresented",IF(T586&gt;=Assumptions!$B$19,"High Priority",IF(AND(T586&gt;=Assumptions!$B$20,U586="No"),"Watchlist - Unrepresented",IF(T586&gt;=Assumptions!$B$20,"Watchlist",""))))</f>
        <v/>
      </c>
      <c r="X586" s="21" t="str">
        <f aca="false">'Player Data'!V586</f>
        <v>info@saltotown.uy</v>
      </c>
      <c r="Y586" s="28" t="str">
        <f aca="false">'Player Data'!W586</f>
        <v>Go through the player's agent - ask the club to confirm representation first</v>
      </c>
      <c r="Z586" s="28" t="str">
        <f aca="false">'Player Data'!X586</f>
        <v>AUF (Uruguayan Football Association) player registry</v>
      </c>
      <c r="AA586" s="19" t="str">
        <f aca="false">HYPERLINK("https://www.transfermarkt.com/schnellsuche/ergebnis/schnellsuche?query="&amp;SUBSTITUTE(A586," ","+"),"Search Transfermarkt")</f>
        <v>Search Transfermarkt</v>
      </c>
      <c r="AB586" s="29" t="n">
        <f aca="false">IFERROR('Player Data'!K586/('Player Data'!K586+'Player Data'!L586),0)</f>
        <v>0.34965034965035</v>
      </c>
      <c r="AC586" s="21" t="str">
        <f aca="false">IF(B586="GK",IF(AND(O586&gt;=Assumptions!$B$23,N586&gt;=Assumptions!$B$23),"Sweeper-Keeper / Build-from-the-Back",IF(O586&gt;=Assumptions!$B$23,"Sweeper-Keeper / High Line",IF(M586&gt;=Assumptions!$B$23,"Shot-Stopper / Traditional","Flexible / Multi-System"))),IF(AND(O586&gt;=Assumptions!$B$23,P586&gt;=Assumptions!$B$24),"High Press / Gegenpressing",IF(AND(N586&gt;=Assumptions!$B$23,AB586&gt;=Assumptions!$B$25),"Possession / Build-from-the-Back",IF(N586&gt;=Assumptions!$B$23,"Counter-Attack / Transition",IF(AND(O586&gt;=Assumptions!$B$23,N586&lt;Assumptions!$B$26),"Low Block / Park the Bus",IF(AND(B586="FW",M586&gt;=Assumptions!$B$23,N586&lt;Assumptions!$B$26),"Direct / Target Approach","Flexible / Multi-System"))))))</f>
        <v>Flexible / Multi-System</v>
      </c>
      <c r="AD586" s="21" t="str">
        <f aca="false">'Player Data'!Y586</f>
        <v>2026-07-17</v>
      </c>
      <c r="AE586" s="21" t="str">
        <f aca="false">'Player Data'!Z586</f>
        <v>2026-07-17</v>
      </c>
      <c r="AF586" s="28" t="str">
        <f aca="false">IFERROR(INDEX(Assumptions!$B$30:$B$61,MATCH(C586,Assumptions!$A$30:$A$61,0)),"--")</f>
        <v>Argentina, Portugal</v>
      </c>
      <c r="AG586" s="30" t="str">
        <f aca="false">IF(R586&gt;=0.7,"Step-Up Candidate",IF(R586&gt;=0.4,"Lateral Move","Stay &amp; Develop"))</f>
        <v>Lateral Move</v>
      </c>
    </row>
    <row r="587" customFormat="false" ht="23.85" hidden="false" customHeight="false" outlineLevel="0" collapsed="false">
      <c r="A587" s="21" t="str">
        <f aca="false">'Player Data'!A587</f>
        <v>Amadou Coulibaly</v>
      </c>
      <c r="B587" s="21" t="str">
        <f aca="false">'Player Data'!F587</f>
        <v>FW</v>
      </c>
      <c r="C587" s="21" t="str">
        <f aca="false">'Player Data'!B587</f>
        <v>Mali</v>
      </c>
      <c r="D587" s="21" t="str">
        <f aca="false">'Player Data'!C587</f>
        <v>Mali Reserve League</v>
      </c>
      <c r="E587" s="21" t="n">
        <f aca="false">'Player Data'!D587</f>
        <v>2</v>
      </c>
      <c r="F587" s="21" t="n">
        <f aca="false">'Player Data'!G587</f>
        <v>26</v>
      </c>
      <c r="G587" s="21" t="n">
        <f aca="false">'Player Data'!H587</f>
        <v>972</v>
      </c>
      <c r="H587" s="22" t="n">
        <f aca="false">IF(B587="GK",IFERROR(('Player Data'!N587-1.5*'Player Data'!O587)/'Player Data'!H587*90,0),IFERROR(('Player Data'!I587+'Player Data'!J587)/'Player Data'!H587*90,0))</f>
        <v>1.2962962962963</v>
      </c>
      <c r="I587" s="22" t="n">
        <f aca="false">IF(B587="GK",'Player Data'!P587,IFERROR(('Player Data'!K587+'Player Data'!L587)/'Player Data'!H587*90,0))</f>
        <v>10.9259259259259</v>
      </c>
      <c r="J587" s="22" t="n">
        <f aca="false">IF(B587="GK",IFERROR('Player Data'!Q587/'Player Data'!H587*90,0),IFERROR('Player Data'!M587/'Player Data'!H587*90,0))</f>
        <v>1.38888888888889</v>
      </c>
      <c r="K587" s="23" t="n">
        <f aca="false">'Player Data'!S587</f>
        <v>88756</v>
      </c>
      <c r="L587" s="22" t="n">
        <f aca="false">INDEX(Assumptions!$B$13:$B$15,MATCH(E587,Assumptions!$A$13:$A$15,0))</f>
        <v>1</v>
      </c>
      <c r="M587" s="24" t="n">
        <f aca="false">IFERROR(SUMPRODUCT(($B$2:$B$1001=B587)*($H$2:$H$1001&lt;=H587))/SUMPRODUCT(($B$2:$B$1001=B587)*1),0)</f>
        <v>0.738938053097345</v>
      </c>
      <c r="N587" s="24" t="n">
        <f aca="false">IFERROR(SUMPRODUCT(($B$2:$B$1001=B587)*($I$2:$I$1001&lt;=I587))/SUMPRODUCT(($B$2:$B$1001=B587)*1),0)</f>
        <v>0.876106194690266</v>
      </c>
      <c r="O587" s="24" t="n">
        <f aca="false">IFERROR(SUMPRODUCT(($B$2:$B$1001=B587)*($J$2:$J$1001&lt;=J587))/SUMPRODUCT(($B$2:$B$1001=B587)*1),0)</f>
        <v>0.969026548672566</v>
      </c>
      <c r="P587" s="24" t="n">
        <f aca="false">IFERROR(SUMPRODUCT(($B$2:$B$1001=B587)*((0-$F$2:$F$1001)&lt;=(0-F587)))/SUMPRODUCT(($B$2:$B$1001=B587)*1),0)</f>
        <v>0.0929203539823009</v>
      </c>
      <c r="Q587" s="25" t="n">
        <f aca="false">(M587*Assumptions!$B$5+N587*Assumptions!$B$6+O587*Assumptions!$B$7+P587*Assumptions!$B$8)*L587</f>
        <v>0.703761061946903</v>
      </c>
      <c r="R587" s="24" t="n">
        <f aca="false">IFERROR(SUMPRODUCT(($B$2:$B$1001=B587)*($Q$2:$Q$1001&lt;=Q587))/SUMPRODUCT(($B$2:$B$1001=B587)*1),0)</f>
        <v>0.880530973451328</v>
      </c>
      <c r="S587" s="24" t="n">
        <f aca="false">IFERROR(SUMPRODUCT(($B$2:$B$1001=B587)*($K$2:$K$1001&lt;=K587))/SUMPRODUCT(($B$2:$B$1001=B587)*1),0)</f>
        <v>0.632743362831858</v>
      </c>
      <c r="T587" s="26" t="n">
        <f aca="false">(R587-S587)*100</f>
        <v>24.7787610619469</v>
      </c>
      <c r="U587" s="21" t="str">
        <f aca="false">'Player Data'!T587</f>
        <v>Unknown</v>
      </c>
      <c r="V587" s="27" t="n">
        <f aca="false">'Player Data'!U587</f>
        <v>2029</v>
      </c>
      <c r="W587" s="21" t="str">
        <f aca="false">IF(AND(T587&gt;=Assumptions!$B$19,U587="No"),"High Priority - Unrepresented",IF(T587&gt;=Assumptions!$B$19,"High Priority",IF(AND(T587&gt;=Assumptions!$B$20,U587="No"),"Watchlist - Unrepresented",IF(T587&gt;=Assumptions!$B$20,"Watchlist",""))))</f>
        <v>Watchlist</v>
      </c>
      <c r="X587" s="21" t="str">
        <f aca="false">'Player Data'!V587</f>
        <v>info@bamakounited.ml</v>
      </c>
      <c r="Y587" s="28" t="str">
        <f aca="false">'Player Data'!W587</f>
        <v>Club sporting director / first-team office</v>
      </c>
      <c r="Z587" s="28" t="str">
        <f aca="false">'Player Data'!X587</f>
        <v>FEMAFOOT (Malian Football Federation) player registry</v>
      </c>
      <c r="AA587" s="19" t="str">
        <f aca="false">HYPERLINK("https://www.transfermarkt.com/schnellsuche/ergebnis/schnellsuche?query="&amp;SUBSTITUTE(A587," ","+"),"Search Transfermarkt")</f>
        <v>Search Transfermarkt</v>
      </c>
      <c r="AB587" s="29" t="n">
        <f aca="false">IFERROR('Player Data'!K587/('Player Data'!K587+'Player Data'!L587),0)</f>
        <v>0.347457627118644</v>
      </c>
      <c r="AC587" s="21" t="str">
        <f aca="false">IF(B587="GK",IF(AND(O587&gt;=Assumptions!$B$23,N587&gt;=Assumptions!$B$23),"Sweeper-Keeper / Build-from-the-Back",IF(O587&gt;=Assumptions!$B$23,"Sweeper-Keeper / High Line",IF(M587&gt;=Assumptions!$B$23,"Shot-Stopper / Traditional","Flexible / Multi-System"))),IF(AND(O587&gt;=Assumptions!$B$23,P587&gt;=Assumptions!$B$24),"High Press / Gegenpressing",IF(AND(N587&gt;=Assumptions!$B$23,AB587&gt;=Assumptions!$B$25),"Possession / Build-from-the-Back",IF(N587&gt;=Assumptions!$B$23,"Counter-Attack / Transition",IF(AND(O587&gt;=Assumptions!$B$23,N587&lt;Assumptions!$B$26),"Low Block / Park the Bus",IF(AND(B587="FW",M587&gt;=Assumptions!$B$23,N587&lt;Assumptions!$B$26),"Direct / Target Approach","Flexible / Multi-System"))))))</f>
        <v>Counter-Attack / Transition</v>
      </c>
      <c r="AD587" s="21" t="str">
        <f aca="false">'Player Data'!Y587</f>
        <v>2026-07-17</v>
      </c>
      <c r="AE587" s="21" t="str">
        <f aca="false">'Player Data'!Z587</f>
        <v>2026-07-17</v>
      </c>
      <c r="AF587" s="28" t="str">
        <f aca="false">IFERROR(INDEX(Assumptions!$B$30:$B$61,MATCH(C587,Assumptions!$A$30:$A$61,0)),"--")</f>
        <v>Belgium, Portugal</v>
      </c>
      <c r="AG587" s="30" t="str">
        <f aca="false">IF(R587&gt;=0.7,"Step-Up Candidate",IF(R587&gt;=0.4,"Lateral Move","Stay &amp; Develop"))</f>
        <v>Step-Up Candidate</v>
      </c>
    </row>
    <row r="588" customFormat="false" ht="23.85" hidden="false" customHeight="false" outlineLevel="0" collapsed="false">
      <c r="A588" s="21" t="str">
        <f aca="false">'Player Data'!A588</f>
        <v>Yoon-seo Kang</v>
      </c>
      <c r="B588" s="21" t="str">
        <f aca="false">'Player Data'!F588</f>
        <v>DF</v>
      </c>
      <c r="C588" s="21" t="str">
        <f aca="false">'Player Data'!B588</f>
        <v>South Korea</v>
      </c>
      <c r="D588" s="21" t="str">
        <f aca="false">'Player Data'!C588</f>
        <v>South Korea Second Division - West</v>
      </c>
      <c r="E588" s="21" t="n">
        <f aca="false">'Player Data'!D588</f>
        <v>2</v>
      </c>
      <c r="F588" s="21" t="n">
        <f aca="false">'Player Data'!G588</f>
        <v>22</v>
      </c>
      <c r="G588" s="21" t="n">
        <f aca="false">'Player Data'!H588</f>
        <v>1599</v>
      </c>
      <c r="H588" s="22" t="n">
        <f aca="false">IF(B588="GK",IFERROR(('Player Data'!N588-1.5*'Player Data'!O588)/'Player Data'!H588*90,0),IFERROR(('Player Data'!I588+'Player Data'!J588)/'Player Data'!H588*90,0))</f>
        <v>0.337711069418386</v>
      </c>
      <c r="I588" s="22" t="n">
        <f aca="false">IF(B588="GK",'Player Data'!P588,IFERROR(('Player Data'!K588+'Player Data'!L588)/'Player Data'!H588*90,0))</f>
        <v>5.90994371482176</v>
      </c>
      <c r="J588" s="22" t="n">
        <f aca="false">IF(B588="GK",IFERROR('Player Data'!Q588/'Player Data'!H588*90,0),IFERROR('Player Data'!M588/'Player Data'!H588*90,0))</f>
        <v>6.41651031894934</v>
      </c>
      <c r="K588" s="23" t="n">
        <f aca="false">'Player Data'!S588</f>
        <v>11917</v>
      </c>
      <c r="L588" s="22" t="n">
        <f aca="false">INDEX(Assumptions!$B$13:$B$15,MATCH(E588,Assumptions!$A$13:$A$15,0))</f>
        <v>1</v>
      </c>
      <c r="M588" s="24" t="n">
        <f aca="false">IFERROR(SUMPRODUCT(($B$2:$B$1001=B588)*($H$2:$H$1001&lt;=H588))/SUMPRODUCT(($B$2:$B$1001=B588)*1),0)</f>
        <v>0.840136054421769</v>
      </c>
      <c r="N588" s="24" t="n">
        <f aca="false">IFERROR(SUMPRODUCT(($B$2:$B$1001=B588)*($I$2:$I$1001&lt;=I588))/SUMPRODUCT(($B$2:$B$1001=B588)*1),0)</f>
        <v>0.731292517006803</v>
      </c>
      <c r="O588" s="24" t="n">
        <f aca="false">IFERROR(SUMPRODUCT(($B$2:$B$1001=B588)*($J$2:$J$1001&lt;=J588))/SUMPRODUCT(($B$2:$B$1001=B588)*1),0)</f>
        <v>0.67687074829932</v>
      </c>
      <c r="P588" s="24" t="n">
        <f aca="false">IFERROR(SUMPRODUCT(($B$2:$B$1001=B588)*((0-$F$2:$F$1001)&lt;=(0-F588)))/SUMPRODUCT(($B$2:$B$1001=B588)*1),0)</f>
        <v>0.493197278911565</v>
      </c>
      <c r="Q588" s="25" t="n">
        <f aca="false">(M588*Assumptions!$B$5+N588*Assumptions!$B$6+O588*Assumptions!$B$7+P588*Assumptions!$B$8)*L588</f>
        <v>0.7</v>
      </c>
      <c r="R588" s="24" t="n">
        <f aca="false">IFERROR(SUMPRODUCT(($B$2:$B$1001=B588)*($Q$2:$Q$1001&lt;=Q588))/SUMPRODUCT(($B$2:$B$1001=B588)*1),0)</f>
        <v>0.877551020408163</v>
      </c>
      <c r="S588" s="24" t="n">
        <f aca="false">IFERROR(SUMPRODUCT(($B$2:$B$1001=B588)*($K$2:$K$1001&lt;=K588))/SUMPRODUCT(($B$2:$B$1001=B588)*1),0)</f>
        <v>0.268707482993197</v>
      </c>
      <c r="T588" s="26" t="n">
        <f aca="false">(R588-S588)*100</f>
        <v>60.8843537414966</v>
      </c>
      <c r="U588" s="21" t="str">
        <f aca="false">'Player Data'!T588</f>
        <v>Yes</v>
      </c>
      <c r="V588" s="27" t="n">
        <f aca="false">'Player Data'!U588</f>
        <v>2028</v>
      </c>
      <c r="W588" s="21" t="str">
        <f aca="false">IF(AND(T588&gt;=Assumptions!$B$19,U588="No"),"High Priority - Unrepresented",IF(T588&gt;=Assumptions!$B$19,"High Priority",IF(AND(T588&gt;=Assumptions!$B$20,U588="No"),"Watchlist - Unrepresented",IF(T588&gt;=Assumptions!$B$20,"Watchlist",""))))</f>
        <v>High Priority</v>
      </c>
      <c r="X588" s="21" t="str">
        <f aca="false">'Player Data'!V588</f>
        <v>info@daejeonfc.kr</v>
      </c>
      <c r="Y588" s="28" t="str">
        <f aca="false">'Player Data'!W588</f>
        <v>Go through the player's agent - ask the club to confirm representation first</v>
      </c>
      <c r="Z588" s="28" t="str">
        <f aca="false">'Player Data'!X588</f>
        <v>KFA (Korea Football Association) player registry</v>
      </c>
      <c r="AA588" s="19" t="str">
        <f aca="false">HYPERLINK("https://www.transfermarkt.com/schnellsuche/ergebnis/schnellsuche?query="&amp;SUBSTITUTE(A588," ","+"),"Search Transfermarkt")</f>
        <v>Search Transfermarkt</v>
      </c>
      <c r="AB588" s="29" t="n">
        <f aca="false">IFERROR('Player Data'!K588/('Player Data'!K588+'Player Data'!L588),0)</f>
        <v>0.571428571428571</v>
      </c>
      <c r="AC588" s="21" t="str">
        <f aca="false">IF(B588="GK",IF(AND(O588&gt;=Assumptions!$B$23,N588&gt;=Assumptions!$B$23),"Sweeper-Keeper / Build-from-the-Back",IF(O588&gt;=Assumptions!$B$23,"Sweeper-Keeper / High Line",IF(M588&gt;=Assumptions!$B$23,"Shot-Stopper / Traditional","Flexible / Multi-System"))),IF(AND(O588&gt;=Assumptions!$B$23,P588&gt;=Assumptions!$B$24),"High Press / Gegenpressing",IF(AND(N588&gt;=Assumptions!$B$23,AB588&gt;=Assumptions!$B$25),"Possession / Build-from-the-Back",IF(N588&gt;=Assumptions!$B$23,"Counter-Attack / Transition",IF(AND(O588&gt;=Assumptions!$B$23,N588&lt;Assumptions!$B$26),"Low Block / Park the Bus",IF(AND(B588="FW",M588&gt;=Assumptions!$B$23,N588&lt;Assumptions!$B$26),"Direct / Target Approach","Flexible / Multi-System"))))))</f>
        <v>Counter-Attack / Transition</v>
      </c>
      <c r="AD588" s="21" t="str">
        <f aca="false">'Player Data'!Y588</f>
        <v>2026-07-17</v>
      </c>
      <c r="AE588" s="21" t="str">
        <f aca="false">'Player Data'!Z588</f>
        <v>2026-07-17</v>
      </c>
      <c r="AF588" s="28" t="str">
        <f aca="false">IFERROR(INDEX(Assumptions!$B$30:$B$61,MATCH(C588,Assumptions!$A$30:$A$61,0)),"--")</f>
        <v>Belgium, Saudi Arabia</v>
      </c>
      <c r="AG588" s="30" t="str">
        <f aca="false">IF(R588&gt;=0.7,"Step-Up Candidate",IF(R588&gt;=0.4,"Lateral Move","Stay &amp; Develop"))</f>
        <v>Step-Up Candidate</v>
      </c>
    </row>
    <row r="589" customFormat="false" ht="23.85" hidden="false" customHeight="false" outlineLevel="0" collapsed="false">
      <c r="A589" s="21" t="str">
        <f aca="false">'Player Data'!A589</f>
        <v>Michael Barrios</v>
      </c>
      <c r="B589" s="21" t="str">
        <f aca="false">'Player Data'!F589</f>
        <v>DF</v>
      </c>
      <c r="C589" s="21" t="str">
        <f aca="false">'Player Data'!B589</f>
        <v>Panama</v>
      </c>
      <c r="D589" s="21" t="str">
        <f aca="false">'Player Data'!C589</f>
        <v>Panama Third Tier - South</v>
      </c>
      <c r="E589" s="21" t="n">
        <f aca="false">'Player Data'!D589</f>
        <v>3</v>
      </c>
      <c r="F589" s="21" t="n">
        <f aca="false">'Player Data'!G589</f>
        <v>26</v>
      </c>
      <c r="G589" s="21" t="n">
        <f aca="false">'Player Data'!H589</f>
        <v>1627</v>
      </c>
      <c r="H589" s="22" t="n">
        <f aca="false">IF(B589="GK",IFERROR(('Player Data'!N589-1.5*'Player Data'!O589)/'Player Data'!H589*90,0),IFERROR(('Player Data'!I589+'Player Data'!J589)/'Player Data'!H589*90,0))</f>
        <v>0.331899200983405</v>
      </c>
      <c r="I589" s="22" t="n">
        <f aca="false">IF(B589="GK",'Player Data'!P589,IFERROR(('Player Data'!K589+'Player Data'!L589)/'Player Data'!H589*90,0))</f>
        <v>4.5359557467732</v>
      </c>
      <c r="J589" s="22" t="n">
        <f aca="false">IF(B589="GK",IFERROR('Player Data'!Q589/'Player Data'!H589*90,0),IFERROR('Player Data'!M589/'Player Data'!H589*90,0))</f>
        <v>5.36570374923172</v>
      </c>
      <c r="K589" s="23" t="n">
        <f aca="false">'Player Data'!S589</f>
        <v>0</v>
      </c>
      <c r="L589" s="22" t="n">
        <f aca="false">INDEX(Assumptions!$B$13:$B$15,MATCH(E589,Assumptions!$A$13:$A$15,0))</f>
        <v>0.85</v>
      </c>
      <c r="M589" s="24" t="n">
        <f aca="false">IFERROR(SUMPRODUCT(($B$2:$B$1001=B589)*($H$2:$H$1001&lt;=H589))/SUMPRODUCT(($B$2:$B$1001=B589)*1),0)</f>
        <v>0.826530612244898</v>
      </c>
      <c r="N589" s="24" t="n">
        <f aca="false">IFERROR(SUMPRODUCT(($B$2:$B$1001=B589)*($I$2:$I$1001&lt;=I589))/SUMPRODUCT(($B$2:$B$1001=B589)*1),0)</f>
        <v>0.503401360544218</v>
      </c>
      <c r="O589" s="24" t="n">
        <f aca="false">IFERROR(SUMPRODUCT(($B$2:$B$1001=B589)*($J$2:$J$1001&lt;=J589))/SUMPRODUCT(($B$2:$B$1001=B589)*1),0)</f>
        <v>0.506802721088435</v>
      </c>
      <c r="P589" s="24" t="n">
        <f aca="false">IFERROR(SUMPRODUCT(($B$2:$B$1001=B589)*((0-$F$2:$F$1001)&lt;=(0-F589)))/SUMPRODUCT(($B$2:$B$1001=B589)*1),0)</f>
        <v>0.0748299319727891</v>
      </c>
      <c r="Q589" s="25" t="n">
        <f aca="false">(M589*Assumptions!$B$5+N589*Assumptions!$B$6+O589*Assumptions!$B$7+P589*Assumptions!$B$8)*L589</f>
        <v>0.424277210884354</v>
      </c>
      <c r="R589" s="24" t="n">
        <f aca="false">IFERROR(SUMPRODUCT(($B$2:$B$1001=B589)*($Q$2:$Q$1001&lt;=Q589))/SUMPRODUCT(($B$2:$B$1001=B589)*1),0)</f>
        <v>0.520408163265306</v>
      </c>
      <c r="S589" s="24" t="n">
        <f aca="false">IFERROR(SUMPRODUCT(($B$2:$B$1001=B589)*($K$2:$K$1001&lt;=K589))/SUMPRODUCT(($B$2:$B$1001=B589)*1),0)</f>
        <v>0.248299319727891</v>
      </c>
      <c r="T589" s="26" t="n">
        <f aca="false">(R589-S589)*100</f>
        <v>27.2108843537415</v>
      </c>
      <c r="U589" s="21" t="str">
        <f aca="false">'Player Data'!T589</f>
        <v>Unknown</v>
      </c>
      <c r="V589" s="27" t="n">
        <f aca="false">'Player Data'!U589</f>
        <v>2026</v>
      </c>
      <c r="W589" s="21" t="str">
        <f aca="false">IF(AND(T589&gt;=Assumptions!$B$19,U589="No"),"High Priority - Unrepresented",IF(T589&gt;=Assumptions!$B$19,"High Priority",IF(AND(T589&gt;=Assumptions!$B$20,U589="No"),"Watchlist - Unrepresented",IF(T589&gt;=Assumptions!$B$20,"Watchlist",""))))</f>
        <v>Watchlist</v>
      </c>
      <c r="X589" s="21" t="str">
        <f aca="false">'Player Data'!V589</f>
        <v>info@panamacityathletic.pa</v>
      </c>
      <c r="Y589" s="28" t="str">
        <f aca="false">'Player Data'!W589</f>
        <v>Club sporting director / first-team office</v>
      </c>
      <c r="Z589" s="28" t="str">
        <f aca="false">'Player Data'!X589</f>
        <v>FEPAFUT (Panamanian Football Federation) player registry</v>
      </c>
      <c r="AA589" s="19" t="str">
        <f aca="false">HYPERLINK("https://www.transfermarkt.com/schnellsuche/ergebnis/schnellsuche?query="&amp;SUBSTITUTE(A589," ","+"),"Search Transfermarkt")</f>
        <v>Search Transfermarkt</v>
      </c>
      <c r="AB589" s="29" t="n">
        <f aca="false">IFERROR('Player Data'!K589/('Player Data'!K589+'Player Data'!L589),0)</f>
        <v>0.621951219512195</v>
      </c>
      <c r="AC589" s="21" t="str">
        <f aca="false">IF(B589="GK",IF(AND(O589&gt;=Assumptions!$B$23,N589&gt;=Assumptions!$B$23),"Sweeper-Keeper / Build-from-the-Back",IF(O589&gt;=Assumptions!$B$23,"Sweeper-Keeper / High Line",IF(M589&gt;=Assumptions!$B$23,"Shot-Stopper / Traditional","Flexible / Multi-System"))),IF(AND(O589&gt;=Assumptions!$B$23,P589&gt;=Assumptions!$B$24),"High Press / Gegenpressing",IF(AND(N589&gt;=Assumptions!$B$23,AB589&gt;=Assumptions!$B$25),"Possession / Build-from-the-Back",IF(N589&gt;=Assumptions!$B$23,"Counter-Attack / Transition",IF(AND(O589&gt;=Assumptions!$B$23,N589&lt;Assumptions!$B$26),"Low Block / Park the Bus",IF(AND(B589="FW",M589&gt;=Assumptions!$B$23,N589&lt;Assumptions!$B$26),"Direct / Target Approach","Flexible / Multi-System"))))))</f>
        <v>Flexible / Multi-System</v>
      </c>
      <c r="AD589" s="21" t="str">
        <f aca="false">'Player Data'!Y589</f>
        <v>2026-07-17</v>
      </c>
      <c r="AE589" s="21" t="str">
        <f aca="false">'Player Data'!Z589</f>
        <v>2026-07-17</v>
      </c>
      <c r="AF589" s="28" t="str">
        <f aca="false">IFERROR(INDEX(Assumptions!$B$30:$B$61,MATCH(C589,Assumptions!$A$30:$A$61,0)),"--")</f>
        <v>Mexico, United States</v>
      </c>
      <c r="AG589" s="30" t="str">
        <f aca="false">IF(R589&gt;=0.7,"Step-Up Candidate",IF(R589&gt;=0.4,"Lateral Move","Stay &amp; Develop"))</f>
        <v>Lateral Move</v>
      </c>
    </row>
    <row r="590" customFormat="false" ht="23.85" hidden="false" customHeight="false" outlineLevel="0" collapsed="false">
      <c r="A590" s="21" t="str">
        <f aca="false">'Player Data'!A590</f>
        <v>Kevin Zambrano</v>
      </c>
      <c r="B590" s="21" t="str">
        <f aca="false">'Player Data'!F590</f>
        <v>FW</v>
      </c>
      <c r="C590" s="21" t="str">
        <f aca="false">'Player Data'!B590</f>
        <v>Ecuador</v>
      </c>
      <c r="D590" s="21" t="str">
        <f aca="false">'Player Data'!C590</f>
        <v>Ecuador Amateur League</v>
      </c>
      <c r="E590" s="21" t="n">
        <f aca="false">'Player Data'!D590</f>
        <v>3</v>
      </c>
      <c r="F590" s="21" t="n">
        <f aca="false">'Player Data'!G590</f>
        <v>23</v>
      </c>
      <c r="G590" s="21" t="n">
        <f aca="false">'Player Data'!H590</f>
        <v>1192</v>
      </c>
      <c r="H590" s="22" t="n">
        <f aca="false">IF(B590="GK",IFERROR(('Player Data'!N590-1.5*'Player Data'!O590)/'Player Data'!H590*90,0),IFERROR(('Player Data'!I590+'Player Data'!J590)/'Player Data'!H590*90,0))</f>
        <v>1.05704697986577</v>
      </c>
      <c r="I590" s="22" t="n">
        <f aca="false">IF(B590="GK",'Player Data'!P590,IFERROR(('Player Data'!K590+'Player Data'!L590)/'Player Data'!H590*90,0))</f>
        <v>7.09731543624161</v>
      </c>
      <c r="J590" s="22" t="n">
        <f aca="false">IF(B590="GK",IFERROR('Player Data'!Q590/'Player Data'!H590*90,0),IFERROR('Player Data'!M590/'Player Data'!H590*90,0))</f>
        <v>0.906040268456376</v>
      </c>
      <c r="K590" s="23" t="n">
        <f aca="false">'Player Data'!S590</f>
        <v>127962</v>
      </c>
      <c r="L590" s="22" t="n">
        <f aca="false">INDEX(Assumptions!$B$13:$B$15,MATCH(E590,Assumptions!$A$13:$A$15,0))</f>
        <v>0.85</v>
      </c>
      <c r="M590" s="24" t="n">
        <f aca="false">IFERROR(SUMPRODUCT(($B$2:$B$1001=B590)*($H$2:$H$1001&lt;=H590))/SUMPRODUCT(($B$2:$B$1001=B590)*1),0)</f>
        <v>0.575221238938053</v>
      </c>
      <c r="N590" s="24" t="n">
        <f aca="false">IFERROR(SUMPRODUCT(($B$2:$B$1001=B590)*($I$2:$I$1001&lt;=I590))/SUMPRODUCT(($B$2:$B$1001=B590)*1),0)</f>
        <v>0.601769911504425</v>
      </c>
      <c r="O590" s="24" t="n">
        <f aca="false">IFERROR(SUMPRODUCT(($B$2:$B$1001=B590)*($J$2:$J$1001&lt;=J590))/SUMPRODUCT(($B$2:$B$1001=B590)*1),0)</f>
        <v>0.858407079646018</v>
      </c>
      <c r="P590" s="24" t="n">
        <f aca="false">IFERROR(SUMPRODUCT(($B$2:$B$1001=B590)*((0-$F$2:$F$1001)&lt;=(0-F590)))/SUMPRODUCT(($B$2:$B$1001=B590)*1),0)</f>
        <v>0.389380530973451</v>
      </c>
      <c r="Q590" s="25" t="n">
        <f aca="false">(M590*Assumptions!$B$5+N590*Assumptions!$B$6+O590*Assumptions!$B$7+P590*Assumptions!$B$8)*L590</f>
        <v>0.513384955752212</v>
      </c>
      <c r="R590" s="24" t="n">
        <f aca="false">IFERROR(SUMPRODUCT(($B$2:$B$1001=B590)*($Q$2:$Q$1001&lt;=Q590))/SUMPRODUCT(($B$2:$B$1001=B590)*1),0)</f>
        <v>0.628318584070796</v>
      </c>
      <c r="S590" s="24" t="n">
        <f aca="false">IFERROR(SUMPRODUCT(($B$2:$B$1001=B590)*($K$2:$K$1001&lt;=K590))/SUMPRODUCT(($B$2:$B$1001=B590)*1),0)</f>
        <v>0.893805309734513</v>
      </c>
      <c r="T590" s="26" t="n">
        <f aca="false">(R590-S590)*100</f>
        <v>-26.5486725663717</v>
      </c>
      <c r="U590" s="21" t="str">
        <f aca="false">'Player Data'!T590</f>
        <v>Unknown</v>
      </c>
      <c r="V590" s="27" t="n">
        <f aca="false">'Player Data'!U590</f>
        <v>2028</v>
      </c>
      <c r="W590" s="21" t="str">
        <f aca="false">IF(AND(T590&gt;=Assumptions!$B$19,U590="No"),"High Priority - Unrepresented",IF(T590&gt;=Assumptions!$B$19,"High Priority",IF(AND(T590&gt;=Assumptions!$B$20,U590="No"),"Watchlist - Unrepresented",IF(T590&gt;=Assumptions!$B$20,"Watchlist",""))))</f>
        <v/>
      </c>
      <c r="X590" s="21" t="str">
        <f aca="false">'Player Data'!V590</f>
        <v>info@quitounited.ec</v>
      </c>
      <c r="Y590" s="28" t="str">
        <f aca="false">'Player Data'!W590</f>
        <v>Club sporting director / first-team office</v>
      </c>
      <c r="Z590" s="28" t="str">
        <f aca="false">'Player Data'!X590</f>
        <v>FEF (Ecuadorian Football Federation) player registry</v>
      </c>
      <c r="AA590" s="19" t="str">
        <f aca="false">HYPERLINK("https://www.transfermarkt.com/schnellsuche/ergebnis/schnellsuche?query="&amp;SUBSTITUTE(A590," ","+"),"Search Transfermarkt")</f>
        <v>Search Transfermarkt</v>
      </c>
      <c r="AB590" s="29" t="n">
        <f aca="false">IFERROR('Player Data'!K590/('Player Data'!K590+'Player Data'!L590),0)</f>
        <v>0.308510638297872</v>
      </c>
      <c r="AC590" s="21" t="str">
        <f aca="false">IF(B590="GK",IF(AND(O590&gt;=Assumptions!$B$23,N590&gt;=Assumptions!$B$23),"Sweeper-Keeper / Build-from-the-Back",IF(O590&gt;=Assumptions!$B$23,"Sweeper-Keeper / High Line",IF(M590&gt;=Assumptions!$B$23,"Shot-Stopper / Traditional","Flexible / Multi-System"))),IF(AND(O590&gt;=Assumptions!$B$23,P590&gt;=Assumptions!$B$24),"High Press / Gegenpressing",IF(AND(N590&gt;=Assumptions!$B$23,AB590&gt;=Assumptions!$B$25),"Possession / Build-from-the-Back",IF(N590&gt;=Assumptions!$B$23,"Counter-Attack / Transition",IF(AND(O590&gt;=Assumptions!$B$23,N590&lt;Assumptions!$B$26),"Low Block / Park the Bus",IF(AND(B590="FW",M590&gt;=Assumptions!$B$23,N590&lt;Assumptions!$B$26),"Direct / Target Approach","Flexible / Multi-System"))))))</f>
        <v>Flexible / Multi-System</v>
      </c>
      <c r="AD590" s="21" t="str">
        <f aca="false">'Player Data'!Y590</f>
        <v>2026-07-17</v>
      </c>
      <c r="AE590" s="21" t="str">
        <f aca="false">'Player Data'!Z590</f>
        <v>2026-07-17</v>
      </c>
      <c r="AF590" s="28" t="str">
        <f aca="false">IFERROR(INDEX(Assumptions!$B$30:$B$61,MATCH(C590,Assumptions!$A$30:$A$61,0)),"--")</f>
        <v>Argentina, Portugal</v>
      </c>
      <c r="AG590" s="30" t="str">
        <f aca="false">IF(R590&gt;=0.7,"Step-Up Candidate",IF(R590&gt;=0.4,"Lateral Move","Stay &amp; Develop"))</f>
        <v>Lateral Move</v>
      </c>
    </row>
    <row r="591" customFormat="false" ht="23.85" hidden="false" customHeight="false" outlineLevel="0" collapsed="false">
      <c r="A591" s="21" t="str">
        <f aca="false">'Player Data'!A591</f>
        <v>Marlon Chirinos</v>
      </c>
      <c r="B591" s="21" t="str">
        <f aca="false">'Player Data'!F591</f>
        <v>DF</v>
      </c>
      <c r="C591" s="21" t="str">
        <f aca="false">'Player Data'!B591</f>
        <v>Honduras</v>
      </c>
      <c r="D591" s="21" t="str">
        <f aca="false">'Player Data'!C591</f>
        <v>Honduras Amateur League</v>
      </c>
      <c r="E591" s="21" t="n">
        <f aca="false">'Player Data'!D591</f>
        <v>3</v>
      </c>
      <c r="F591" s="21" t="n">
        <f aca="false">'Player Data'!G591</f>
        <v>23</v>
      </c>
      <c r="G591" s="21" t="n">
        <f aca="false">'Player Data'!H591</f>
        <v>2362</v>
      </c>
      <c r="H591" s="22" t="n">
        <f aca="false">IF(B591="GK",IFERROR(('Player Data'!N591-1.5*'Player Data'!O591)/'Player Data'!H591*90,0),IFERROR(('Player Data'!I591+'Player Data'!J591)/'Player Data'!H591*90,0))</f>
        <v>0.114309906858594</v>
      </c>
      <c r="I591" s="22" t="n">
        <f aca="false">IF(B591="GK",'Player Data'!P591,IFERROR(('Player Data'!K591+'Player Data'!L591)/'Player Data'!H591*90,0))</f>
        <v>3.20067739204064</v>
      </c>
      <c r="J591" s="22" t="n">
        <f aca="false">IF(B591="GK",IFERROR('Player Data'!Q591/'Player Data'!H591*90,0),IFERROR('Player Data'!M591/'Player Data'!H591*90,0))</f>
        <v>3.65791701947502</v>
      </c>
      <c r="K591" s="23" t="n">
        <f aca="false">'Player Data'!S591</f>
        <v>0</v>
      </c>
      <c r="L591" s="22" t="n">
        <f aca="false">INDEX(Assumptions!$B$13:$B$15,MATCH(E591,Assumptions!$A$13:$A$15,0))</f>
        <v>0.85</v>
      </c>
      <c r="M591" s="24" t="n">
        <f aca="false">IFERROR(SUMPRODUCT(($B$2:$B$1001=B591)*($H$2:$H$1001&lt;=H591))/SUMPRODUCT(($B$2:$B$1001=B591)*1),0)</f>
        <v>0.258503401360544</v>
      </c>
      <c r="N591" s="24" t="n">
        <f aca="false">IFERROR(SUMPRODUCT(($B$2:$B$1001=B591)*($I$2:$I$1001&lt;=I591))/SUMPRODUCT(($B$2:$B$1001=B591)*1),0)</f>
        <v>0.13265306122449</v>
      </c>
      <c r="O591" s="24" t="n">
        <f aca="false">IFERROR(SUMPRODUCT(($B$2:$B$1001=B591)*($J$2:$J$1001&lt;=J591))/SUMPRODUCT(($B$2:$B$1001=B591)*1),0)</f>
        <v>0.149659863945578</v>
      </c>
      <c r="P591" s="24" t="n">
        <f aca="false">IFERROR(SUMPRODUCT(($B$2:$B$1001=B591)*((0-$F$2:$F$1001)&lt;=(0-F591)))/SUMPRODUCT(($B$2:$B$1001=B591)*1),0)</f>
        <v>0.374149659863946</v>
      </c>
      <c r="Q591" s="25" t="n">
        <f aca="false">(M591*Assumptions!$B$5+N591*Assumptions!$B$6+O591*Assumptions!$B$7+P591*Assumptions!$B$8)*L591</f>
        <v>0.18344387755102</v>
      </c>
      <c r="R591" s="24" t="n">
        <f aca="false">IFERROR(SUMPRODUCT(($B$2:$B$1001=B591)*($Q$2:$Q$1001&lt;=Q591))/SUMPRODUCT(($B$2:$B$1001=B591)*1),0)</f>
        <v>0.0612244897959184</v>
      </c>
      <c r="S591" s="24" t="n">
        <f aca="false">IFERROR(SUMPRODUCT(($B$2:$B$1001=B591)*($K$2:$K$1001&lt;=K591))/SUMPRODUCT(($B$2:$B$1001=B591)*1),0)</f>
        <v>0.248299319727891</v>
      </c>
      <c r="T591" s="26" t="n">
        <f aca="false">(R591-S591)*100</f>
        <v>-18.7074829931973</v>
      </c>
      <c r="U591" s="21" t="str">
        <f aca="false">'Player Data'!T591</f>
        <v>Unknown</v>
      </c>
      <c r="V591" s="27" t="n">
        <f aca="false">'Player Data'!U591</f>
        <v>2028</v>
      </c>
      <c r="W591" s="21" t="str">
        <f aca="false">IF(AND(T591&gt;=Assumptions!$B$19,U591="No"),"High Priority - Unrepresented",IF(T591&gt;=Assumptions!$B$19,"High Priority",IF(AND(T591&gt;=Assumptions!$B$20,U591="No"),"Watchlist - Unrepresented",IF(T591&gt;=Assumptions!$B$20,"Watchlist",""))))</f>
        <v/>
      </c>
      <c r="X591" s="21" t="str">
        <f aca="false">'Player Data'!V591</f>
        <v>info@cholutecarovers.hn</v>
      </c>
      <c r="Y591" s="28" t="str">
        <f aca="false">'Player Data'!W591</f>
        <v>Club sporting director / first-team office</v>
      </c>
      <c r="Z591" s="28" t="str">
        <f aca="false">'Player Data'!X591</f>
        <v>FENAFUTH (Honduran Football Federation) player registry</v>
      </c>
      <c r="AA591" s="19" t="str">
        <f aca="false">HYPERLINK("https://www.transfermarkt.com/schnellsuche/ergebnis/schnellsuche?query="&amp;SUBSTITUTE(A591," ","+"),"Search Transfermarkt")</f>
        <v>Search Transfermarkt</v>
      </c>
      <c r="AB591" s="29" t="n">
        <f aca="false">IFERROR('Player Data'!K591/('Player Data'!K591+'Player Data'!L591),0)</f>
        <v>0.583333333333333</v>
      </c>
      <c r="AC591" s="21" t="str">
        <f aca="false">IF(B591="GK",IF(AND(O591&gt;=Assumptions!$B$23,N591&gt;=Assumptions!$B$23),"Sweeper-Keeper / Build-from-the-Back",IF(O591&gt;=Assumptions!$B$23,"Sweeper-Keeper / High Line",IF(M591&gt;=Assumptions!$B$23,"Shot-Stopper / Traditional","Flexible / Multi-System"))),IF(AND(O591&gt;=Assumptions!$B$23,P591&gt;=Assumptions!$B$24),"High Press / Gegenpressing",IF(AND(N591&gt;=Assumptions!$B$23,AB591&gt;=Assumptions!$B$25),"Possession / Build-from-the-Back",IF(N591&gt;=Assumptions!$B$23,"Counter-Attack / Transition",IF(AND(O591&gt;=Assumptions!$B$23,N591&lt;Assumptions!$B$26),"Low Block / Park the Bus",IF(AND(B591="FW",M591&gt;=Assumptions!$B$23,N591&lt;Assumptions!$B$26),"Direct / Target Approach","Flexible / Multi-System"))))))</f>
        <v>Flexible / Multi-System</v>
      </c>
      <c r="AD591" s="21" t="str">
        <f aca="false">'Player Data'!Y591</f>
        <v>2026-07-17</v>
      </c>
      <c r="AE591" s="21" t="str">
        <f aca="false">'Player Data'!Z591</f>
        <v>2026-07-17</v>
      </c>
      <c r="AF591" s="28" t="str">
        <f aca="false">IFERROR(INDEX(Assumptions!$B$30:$B$61,MATCH(C591,Assumptions!$A$30:$A$61,0)),"--")</f>
        <v>Mexico, United States</v>
      </c>
      <c r="AG591" s="30" t="str">
        <f aca="false">IF(R591&gt;=0.7,"Step-Up Candidate",IF(R591&gt;=0.4,"Lateral Move","Stay &amp; Develop"))</f>
        <v>Stay &amp; Develop</v>
      </c>
    </row>
    <row r="592" customFormat="false" ht="23.85" hidden="false" customHeight="false" outlineLevel="0" collapsed="false">
      <c r="A592" s="21" t="str">
        <f aca="false">'Player Data'!A592</f>
        <v>Kwame Boateng</v>
      </c>
      <c r="B592" s="21" t="str">
        <f aca="false">'Player Data'!F592</f>
        <v>GK</v>
      </c>
      <c r="C592" s="21" t="str">
        <f aca="false">'Player Data'!B592</f>
        <v>Ghana</v>
      </c>
      <c r="D592" s="21" t="str">
        <f aca="false">'Player Data'!C592</f>
        <v>Ghana Second Division - West</v>
      </c>
      <c r="E592" s="21" t="n">
        <f aca="false">'Player Data'!D592</f>
        <v>2</v>
      </c>
      <c r="F592" s="21" t="n">
        <f aca="false">'Player Data'!G592</f>
        <v>24</v>
      </c>
      <c r="G592" s="21" t="n">
        <f aca="false">'Player Data'!H592</f>
        <v>2407</v>
      </c>
      <c r="H592" s="22" t="n">
        <f aca="false">IF(B592="GK",IFERROR(('Player Data'!N592-1.5*'Player Data'!O592)/'Player Data'!H592*90,0),IFERROR(('Player Data'!I592+'Player Data'!J592)/'Player Data'!H592*90,0))</f>
        <v>1.75737432488575</v>
      </c>
      <c r="I592" s="22" t="n">
        <f aca="false">IF(B592="GK",'Player Data'!P592,IFERROR(('Player Data'!K592+'Player Data'!L592)/'Player Data'!H592*90,0))</f>
        <v>83.7</v>
      </c>
      <c r="J592" s="22" t="n">
        <f aca="false">IF(B592="GK",IFERROR('Player Data'!Q592/'Player Data'!H592*90,0),IFERROR('Player Data'!M592/'Player Data'!H592*90,0))</f>
        <v>1.01703365184877</v>
      </c>
      <c r="K592" s="23" t="n">
        <f aca="false">'Player Data'!S592</f>
        <v>122941</v>
      </c>
      <c r="L592" s="22" t="n">
        <f aca="false">INDEX(Assumptions!$B$13:$B$15,MATCH(E592,Assumptions!$A$13:$A$15,0))</f>
        <v>1</v>
      </c>
      <c r="M592" s="24" t="n">
        <f aca="false">IFERROR(SUMPRODUCT(($B$2:$B$1001=B592)*($H$2:$H$1001&lt;=H592))/SUMPRODUCT(($B$2:$B$1001=B592)*1),0)</f>
        <v>0.797814207650273</v>
      </c>
      <c r="N592" s="24" t="n">
        <f aca="false">IFERROR(SUMPRODUCT(($B$2:$B$1001=B592)*($I$2:$I$1001&lt;=I592))/SUMPRODUCT(($B$2:$B$1001=B592)*1),0)</f>
        <v>0.814207650273224</v>
      </c>
      <c r="O592" s="24" t="n">
        <f aca="false">IFERROR(SUMPRODUCT(($B$2:$B$1001=B592)*($J$2:$J$1001&lt;=J592))/SUMPRODUCT(($B$2:$B$1001=B592)*1),0)</f>
        <v>0.617486338797814</v>
      </c>
      <c r="P592" s="24" t="n">
        <f aca="false">IFERROR(SUMPRODUCT(($B$2:$B$1001=B592)*((0-$F$2:$F$1001)&lt;=(0-F592)))/SUMPRODUCT(($B$2:$B$1001=B592)*1),0)</f>
        <v>0.300546448087432</v>
      </c>
      <c r="Q592" s="25" t="n">
        <f aca="false">(M592*Assumptions!$B$5+N592*Assumptions!$B$6+O592*Assumptions!$B$7+P592*Assumptions!$B$8)*L592</f>
        <v>0.668032786885246</v>
      </c>
      <c r="R592" s="24" t="n">
        <f aca="false">IFERROR(SUMPRODUCT(($B$2:$B$1001=B592)*($Q$2:$Q$1001&lt;=Q592))/SUMPRODUCT(($B$2:$B$1001=B592)*1),0)</f>
        <v>0.945355191256831</v>
      </c>
      <c r="S592" s="24" t="n">
        <f aca="false">IFERROR(SUMPRODUCT(($B$2:$B$1001=B592)*($K$2:$K$1001&lt;=K592))/SUMPRODUCT(($B$2:$B$1001=B592)*1),0)</f>
        <v>0.830601092896175</v>
      </c>
      <c r="T592" s="26" t="n">
        <f aca="false">(R592-S592)*100</f>
        <v>11.4754098360656</v>
      </c>
      <c r="U592" s="21" t="str">
        <f aca="false">'Player Data'!T592</f>
        <v>No</v>
      </c>
      <c r="V592" s="27" t="n">
        <f aca="false">'Player Data'!U592</f>
        <v>2026</v>
      </c>
      <c r="W592" s="21" t="str">
        <f aca="false">IF(AND(T592&gt;=Assumptions!$B$19,U592="No"),"High Priority - Unrepresented",IF(T592&gt;=Assumptions!$B$19,"High Priority",IF(AND(T592&gt;=Assumptions!$B$20,U592="No"),"Watchlist - Unrepresented",IF(T592&gt;=Assumptions!$B$20,"Watchlist",""))))</f>
        <v/>
      </c>
      <c r="X592" s="21" t="str">
        <f aca="false">'Player Data'!V592</f>
        <v>info@kumasiunited.gh</v>
      </c>
      <c r="Y592" s="28" t="str">
        <f aca="false">'Player Data'!W592</f>
        <v>Club sporting director / first-team office</v>
      </c>
      <c r="Z592" s="28" t="str">
        <f aca="false">'Player Data'!X592</f>
        <v>GFA (Ghana Football Association) player registry</v>
      </c>
      <c r="AA592" s="19" t="str">
        <f aca="false">HYPERLINK("https://www.transfermarkt.com/schnellsuche/ergebnis/schnellsuche?query="&amp;SUBSTITUTE(A592," ","+"),"Search Transfermarkt")</f>
        <v>Search Transfermarkt</v>
      </c>
      <c r="AB592" s="29" t="n">
        <f aca="false">IFERROR('Player Data'!K592/('Player Data'!K592+'Player Data'!L592),0)</f>
        <v>0.9</v>
      </c>
      <c r="AC592" s="21" t="str">
        <f aca="false">IF(B592="GK",IF(AND(O592&gt;=Assumptions!$B$23,N592&gt;=Assumptions!$B$23),"Sweeper-Keeper / Build-from-the-Back",IF(O592&gt;=Assumptions!$B$23,"Sweeper-Keeper / High Line",IF(M592&gt;=Assumptions!$B$23,"Shot-Stopper / Traditional","Flexible / Multi-System"))),IF(AND(O592&gt;=Assumptions!$B$23,P592&gt;=Assumptions!$B$24),"High Press / Gegenpressing",IF(AND(N592&gt;=Assumptions!$B$23,AB592&gt;=Assumptions!$B$25),"Possession / Build-from-the-Back",IF(N592&gt;=Assumptions!$B$23,"Counter-Attack / Transition",IF(AND(O592&gt;=Assumptions!$B$23,N592&lt;Assumptions!$B$26),"Low Block / Park the Bus",IF(AND(B592="FW",M592&gt;=Assumptions!$B$23,N592&lt;Assumptions!$B$26),"Direct / Target Approach","Flexible / Multi-System"))))))</f>
        <v>Shot-Stopper / Traditional</v>
      </c>
      <c r="AD592" s="21" t="str">
        <f aca="false">'Player Data'!Y592</f>
        <v>2026-07-17</v>
      </c>
      <c r="AE592" s="21" t="str">
        <f aca="false">'Player Data'!Z592</f>
        <v>2026-07-17</v>
      </c>
      <c r="AF592" s="28" t="str">
        <f aca="false">IFERROR(INDEX(Assumptions!$B$30:$B$61,MATCH(C592,Assumptions!$A$30:$A$61,0)),"--")</f>
        <v>Belgium, Portugal</v>
      </c>
      <c r="AG592" s="30" t="str">
        <f aca="false">IF(R592&gt;=0.7,"Step-Up Candidate",IF(R592&gt;=0.4,"Lateral Move","Stay &amp; Develop"))</f>
        <v>Step-Up Candidate</v>
      </c>
    </row>
    <row r="593" customFormat="false" ht="23.85" hidden="false" customHeight="false" outlineLevel="0" collapsed="false">
      <c r="A593" s="21" t="str">
        <f aca="false">'Player Data'!A593</f>
        <v>Edgars Kalns</v>
      </c>
      <c r="B593" s="21" t="str">
        <f aca="false">'Player Data'!F593</f>
        <v>MF</v>
      </c>
      <c r="C593" s="21" t="str">
        <f aca="false">'Player Data'!B593</f>
        <v>Latvia</v>
      </c>
      <c r="D593" s="21" t="str">
        <f aca="false">'Player Data'!C593</f>
        <v>Latvia Amateur League</v>
      </c>
      <c r="E593" s="21" t="n">
        <f aca="false">'Player Data'!D593</f>
        <v>2</v>
      </c>
      <c r="F593" s="21" t="n">
        <f aca="false">'Player Data'!G593</f>
        <v>20</v>
      </c>
      <c r="G593" s="21" t="n">
        <f aca="false">'Player Data'!H593</f>
        <v>2386</v>
      </c>
      <c r="H593" s="22" t="n">
        <f aca="false">IF(B593="GK",IFERROR(('Player Data'!N593-1.5*'Player Data'!O593)/'Player Data'!H593*90,0),IFERROR(('Player Data'!I593+'Player Data'!J593)/'Player Data'!H593*90,0))</f>
        <v>0.603520536462699</v>
      </c>
      <c r="I593" s="22" t="n">
        <f aca="false">IF(B593="GK",'Player Data'!P593,IFERROR(('Player Data'!K593+'Player Data'!L593)/'Player Data'!H593*90,0))</f>
        <v>7.88348700754401</v>
      </c>
      <c r="J593" s="22" t="n">
        <f aca="false">IF(B593="GK",IFERROR('Player Data'!Q593/'Player Data'!H593*90,0),IFERROR('Player Data'!M593/'Player Data'!H593*90,0))</f>
        <v>2.18776194467728</v>
      </c>
      <c r="K593" s="23" t="n">
        <f aca="false">'Player Data'!S593</f>
        <v>0</v>
      </c>
      <c r="L593" s="22" t="n">
        <f aca="false">INDEX(Assumptions!$B$13:$B$15,MATCH(E593,Assumptions!$A$13:$A$15,0))</f>
        <v>1</v>
      </c>
      <c r="M593" s="24" t="n">
        <f aca="false">IFERROR(SUMPRODUCT(($B$2:$B$1001=B593)*($H$2:$H$1001&lt;=H593))/SUMPRODUCT(($B$2:$B$1001=B593)*1),0)</f>
        <v>0.323232323232323</v>
      </c>
      <c r="N593" s="24" t="n">
        <f aca="false">IFERROR(SUMPRODUCT(($B$2:$B$1001=B593)*($I$2:$I$1001&lt;=I593))/SUMPRODUCT(($B$2:$B$1001=B593)*1),0)</f>
        <v>0.148148148148148</v>
      </c>
      <c r="O593" s="24" t="n">
        <f aca="false">IFERROR(SUMPRODUCT(($B$2:$B$1001=B593)*($J$2:$J$1001&lt;=J593))/SUMPRODUCT(($B$2:$B$1001=B593)*1),0)</f>
        <v>0.498316498316498</v>
      </c>
      <c r="P593" s="24" t="n">
        <f aca="false">IFERROR(SUMPRODUCT(($B$2:$B$1001=B593)*((0-$F$2:$F$1001)&lt;=(0-F593)))/SUMPRODUCT(($B$2:$B$1001=B593)*1),0)</f>
        <v>0.734006734006734</v>
      </c>
      <c r="Q593" s="25" t="n">
        <f aca="false">(M593*Assumptions!$B$5+N593*Assumptions!$B$6+O593*Assumptions!$B$7+P593*Assumptions!$B$8)*L593</f>
        <v>0.379124579124579</v>
      </c>
      <c r="R593" s="24" t="n">
        <f aca="false">IFERROR(SUMPRODUCT(($B$2:$B$1001=B593)*($Q$2:$Q$1001&lt;=Q593))/SUMPRODUCT(($B$2:$B$1001=B593)*1),0)</f>
        <v>0.387205387205387</v>
      </c>
      <c r="S593" s="24" t="n">
        <f aca="false">IFERROR(SUMPRODUCT(($B$2:$B$1001=B593)*($K$2:$K$1001&lt;=K593))/SUMPRODUCT(($B$2:$B$1001=B593)*1),0)</f>
        <v>0.228956228956229</v>
      </c>
      <c r="T593" s="26" t="n">
        <f aca="false">(R593-S593)*100</f>
        <v>15.8249158249158</v>
      </c>
      <c r="U593" s="21" t="str">
        <f aca="false">'Player Data'!T593</f>
        <v>No</v>
      </c>
      <c r="V593" s="27" t="n">
        <f aca="false">'Player Data'!U593</f>
        <v>2029</v>
      </c>
      <c r="W593" s="21" t="str">
        <f aca="false">IF(AND(T593&gt;=Assumptions!$B$19,U593="No"),"High Priority - Unrepresented",IF(T593&gt;=Assumptions!$B$19,"High Priority",IF(AND(T593&gt;=Assumptions!$B$20,U593="No"),"Watchlist - Unrepresented",IF(T593&gt;=Assumptions!$B$20,"Watchlist",""))))</f>
        <v/>
      </c>
      <c r="X593" s="21" t="str">
        <f aca="false">'Player Data'!V593</f>
        <v>info@rigawanderers.lv</v>
      </c>
      <c r="Y593" s="28" t="str">
        <f aca="false">'Player Data'!W593</f>
        <v>Club sporting director / first-team office</v>
      </c>
      <c r="Z593" s="28" t="str">
        <f aca="false">'Player Data'!X593</f>
        <v>LFF (Latvian Football Federation) player registry</v>
      </c>
      <c r="AA593" s="19" t="str">
        <f aca="false">HYPERLINK("https://www.transfermarkt.com/schnellsuche/ergebnis/schnellsuche?query="&amp;SUBSTITUTE(A593," ","+"),"Search Transfermarkt")</f>
        <v>Search Transfermarkt</v>
      </c>
      <c r="AB593" s="29" t="n">
        <f aca="false">IFERROR('Player Data'!K593/('Player Data'!K593+'Player Data'!L593),0)</f>
        <v>0.555023923444976</v>
      </c>
      <c r="AC593" s="21" t="str">
        <f aca="false">IF(B593="GK",IF(AND(O593&gt;=Assumptions!$B$23,N593&gt;=Assumptions!$B$23),"Sweeper-Keeper / Build-from-the-Back",IF(O593&gt;=Assumptions!$B$23,"Sweeper-Keeper / High Line",IF(M593&gt;=Assumptions!$B$23,"Shot-Stopper / Traditional","Flexible / Multi-System"))),IF(AND(O593&gt;=Assumptions!$B$23,P593&gt;=Assumptions!$B$24),"High Press / Gegenpressing",IF(AND(N593&gt;=Assumptions!$B$23,AB593&gt;=Assumptions!$B$25),"Possession / Build-from-the-Back",IF(N593&gt;=Assumptions!$B$23,"Counter-Attack / Transition",IF(AND(O593&gt;=Assumptions!$B$23,N593&lt;Assumptions!$B$26),"Low Block / Park the Bus",IF(AND(B593="FW",M593&gt;=Assumptions!$B$23,N593&lt;Assumptions!$B$26),"Direct / Target Approach","Flexible / Multi-System"))))))</f>
        <v>Flexible / Multi-System</v>
      </c>
      <c r="AD593" s="21" t="str">
        <f aca="false">'Player Data'!Y593</f>
        <v>2026-07-17</v>
      </c>
      <c r="AE593" s="21" t="str">
        <f aca="false">'Player Data'!Z593</f>
        <v>2026-07-17</v>
      </c>
      <c r="AF593" s="28" t="str">
        <f aca="false">IFERROR(INDEX(Assumptions!$B$30:$B$61,MATCH(C593,Assumptions!$A$30:$A$61,0)),"--")</f>
        <v>Poland, Norway</v>
      </c>
      <c r="AG593" s="30" t="str">
        <f aca="false">IF(R593&gt;=0.7,"Step-Up Candidate",IF(R593&gt;=0.4,"Lateral Move","Stay &amp; Develop"))</f>
        <v>Stay &amp; Develop</v>
      </c>
    </row>
    <row r="594" customFormat="false" ht="23.85" hidden="false" customHeight="false" outlineLevel="0" collapsed="false">
      <c r="A594" s="21" t="str">
        <f aca="false">'Player Data'!A594</f>
        <v>Jesus Hernandez</v>
      </c>
      <c r="B594" s="21" t="str">
        <f aca="false">'Player Data'!F594</f>
        <v>GK</v>
      </c>
      <c r="C594" s="21" t="str">
        <f aca="false">'Player Data'!B594</f>
        <v>Venezuela</v>
      </c>
      <c r="D594" s="21" t="str">
        <f aca="false">'Player Data'!C594</f>
        <v>Venezuela Third Tier - South</v>
      </c>
      <c r="E594" s="21" t="n">
        <f aca="false">'Player Data'!D594</f>
        <v>3</v>
      </c>
      <c r="F594" s="21" t="n">
        <f aca="false">'Player Data'!G594</f>
        <v>21</v>
      </c>
      <c r="G594" s="21" t="n">
        <f aca="false">'Player Data'!H594</f>
        <v>1117</v>
      </c>
      <c r="H594" s="22" t="n">
        <f aca="false">IF(B594="GK",IFERROR(('Player Data'!N594-1.5*'Player Data'!O594)/'Player Data'!H594*90,0),IFERROR(('Player Data'!I594+'Player Data'!J594)/'Player Data'!H594*90,0))</f>
        <v>-0.926589077887198</v>
      </c>
      <c r="I594" s="22" t="n">
        <f aca="false">IF(B594="GK",'Player Data'!P594,IFERROR(('Player Data'!K594+'Player Data'!L594)/'Player Data'!H594*90,0))</f>
        <v>89.2</v>
      </c>
      <c r="J594" s="22" t="n">
        <f aca="false">IF(B594="GK",IFERROR('Player Data'!Q594/'Player Data'!H594*90,0),IFERROR('Player Data'!M594/'Player Data'!H594*90,0))</f>
        <v>1.3455684870188</v>
      </c>
      <c r="K594" s="23" t="n">
        <f aca="false">'Player Data'!S594</f>
        <v>140832</v>
      </c>
      <c r="L594" s="22" t="n">
        <f aca="false">INDEX(Assumptions!$B$13:$B$15,MATCH(E594,Assumptions!$A$13:$A$15,0))</f>
        <v>0.85</v>
      </c>
      <c r="M594" s="24" t="n">
        <f aca="false">IFERROR(SUMPRODUCT(($B$2:$B$1001=B594)*($H$2:$H$1001&lt;=H594))/SUMPRODUCT(($B$2:$B$1001=B594)*1),0)</f>
        <v>0.0218579234972678</v>
      </c>
      <c r="N594" s="24" t="n">
        <f aca="false">IFERROR(SUMPRODUCT(($B$2:$B$1001=B594)*($I$2:$I$1001&lt;=I594))/SUMPRODUCT(($B$2:$B$1001=B594)*1),0)</f>
        <v>0.934426229508197</v>
      </c>
      <c r="O594" s="24" t="n">
        <f aca="false">IFERROR(SUMPRODUCT(($B$2:$B$1001=B594)*($J$2:$J$1001&lt;=J594))/SUMPRODUCT(($B$2:$B$1001=B594)*1),0)</f>
        <v>0.85792349726776</v>
      </c>
      <c r="P594" s="24" t="n">
        <f aca="false">IFERROR(SUMPRODUCT(($B$2:$B$1001=B594)*((0-$F$2:$F$1001)&lt;=(0-F594)))/SUMPRODUCT(($B$2:$B$1001=B594)*1),0)</f>
        <v>0.60655737704918</v>
      </c>
      <c r="Q594" s="25" t="n">
        <f aca="false">(M594*Assumptions!$B$5+N594*Assumptions!$B$6+O594*Assumptions!$B$7+P594*Assumptions!$B$8)*L594</f>
        <v>0.531598360655738</v>
      </c>
      <c r="R594" s="24" t="n">
        <f aca="false">IFERROR(SUMPRODUCT(($B$2:$B$1001=B594)*($Q$2:$Q$1001&lt;=Q594))/SUMPRODUCT(($B$2:$B$1001=B594)*1),0)</f>
        <v>0.693989071038251</v>
      </c>
      <c r="S594" s="24" t="n">
        <f aca="false">IFERROR(SUMPRODUCT(($B$2:$B$1001=B594)*($K$2:$K$1001&lt;=K594))/SUMPRODUCT(($B$2:$B$1001=B594)*1),0)</f>
        <v>0.950819672131148</v>
      </c>
      <c r="T594" s="26" t="n">
        <f aca="false">(R594-S594)*100</f>
        <v>-25.6830601092896</v>
      </c>
      <c r="U594" s="21" t="str">
        <f aca="false">'Player Data'!T594</f>
        <v>Unknown</v>
      </c>
      <c r="V594" s="27" t="n">
        <f aca="false">'Player Data'!U594</f>
        <v>2026</v>
      </c>
      <c r="W594" s="21" t="str">
        <f aca="false">IF(AND(T594&gt;=Assumptions!$B$19,U594="No"),"High Priority - Unrepresented",IF(T594&gt;=Assumptions!$B$19,"High Priority",IF(AND(T594&gt;=Assumptions!$B$20,U594="No"),"Watchlist - Unrepresented",IF(T594&gt;=Assumptions!$B$20,"Watchlist",""))))</f>
        <v/>
      </c>
      <c r="X594" s="21" t="str">
        <f aca="false">'Player Data'!V594</f>
        <v>info@barquisimetounited.ve</v>
      </c>
      <c r="Y594" s="28" t="str">
        <f aca="false">'Player Data'!W594</f>
        <v>Club sporting director / first-team office</v>
      </c>
      <c r="Z594" s="28" t="str">
        <f aca="false">'Player Data'!X594</f>
        <v>FVF (Venezuelan Football Federation) player registry</v>
      </c>
      <c r="AA594" s="19" t="str">
        <f aca="false">HYPERLINK("https://www.transfermarkt.com/schnellsuche/ergebnis/schnellsuche?query="&amp;SUBSTITUTE(A594," ","+"),"Search Transfermarkt")</f>
        <v>Search Transfermarkt</v>
      </c>
      <c r="AB594" s="29" t="n">
        <f aca="false">IFERROR('Player Data'!K594/('Player Data'!K594+'Player Data'!L594),0)</f>
        <v>0.85</v>
      </c>
      <c r="AC594" s="21" t="str">
        <f aca="false">IF(B594="GK",IF(AND(O594&gt;=Assumptions!$B$23,N594&gt;=Assumptions!$B$23),"Sweeper-Keeper / Build-from-the-Back",IF(O594&gt;=Assumptions!$B$23,"Sweeper-Keeper / High Line",IF(M594&gt;=Assumptions!$B$23,"Shot-Stopper / Traditional","Flexible / Multi-System"))),IF(AND(O594&gt;=Assumptions!$B$23,P594&gt;=Assumptions!$B$24),"High Press / Gegenpressing",IF(AND(N594&gt;=Assumptions!$B$23,AB594&gt;=Assumptions!$B$25),"Possession / Build-from-the-Back",IF(N594&gt;=Assumptions!$B$23,"Counter-Attack / Transition",IF(AND(O594&gt;=Assumptions!$B$23,N594&lt;Assumptions!$B$26),"Low Block / Park the Bus",IF(AND(B594="FW",M594&gt;=Assumptions!$B$23,N594&lt;Assumptions!$B$26),"Direct / Target Approach","Flexible / Multi-System"))))))</f>
        <v>Sweeper-Keeper / Build-from-the-Back</v>
      </c>
      <c r="AD594" s="21" t="str">
        <f aca="false">'Player Data'!Y594</f>
        <v>2026-07-17</v>
      </c>
      <c r="AE594" s="21" t="str">
        <f aca="false">'Player Data'!Z594</f>
        <v>2026-07-17</v>
      </c>
      <c r="AF594" s="28" t="str">
        <f aca="false">IFERROR(INDEX(Assumptions!$B$30:$B$61,MATCH(C594,Assumptions!$A$30:$A$61,0)),"--")</f>
        <v>Argentina, Portugal</v>
      </c>
      <c r="AG594" s="30" t="str">
        <f aca="false">IF(R594&gt;=0.7,"Step-Up Candidate",IF(R594&gt;=0.4,"Lateral Move","Stay &amp; Develop"))</f>
        <v>Lateral Move</v>
      </c>
    </row>
    <row r="595" customFormat="false" ht="23.85" hidden="false" customHeight="false" outlineLevel="0" collapsed="false">
      <c r="A595" s="21" t="str">
        <f aca="false">'Player Data'!A595</f>
        <v>Ali Jabbar</v>
      </c>
      <c r="B595" s="21" t="str">
        <f aca="false">'Player Data'!F595</f>
        <v>FW</v>
      </c>
      <c r="C595" s="21" t="str">
        <f aca="false">'Player Data'!B595</f>
        <v>Iraq</v>
      </c>
      <c r="D595" s="21" t="str">
        <f aca="false">'Player Data'!C595</f>
        <v>Iraq Third Tier - South</v>
      </c>
      <c r="E595" s="21" t="n">
        <f aca="false">'Player Data'!D595</f>
        <v>2</v>
      </c>
      <c r="F595" s="21" t="n">
        <f aca="false">'Player Data'!G595</f>
        <v>23</v>
      </c>
      <c r="G595" s="21" t="n">
        <f aca="false">'Player Data'!H595</f>
        <v>1639</v>
      </c>
      <c r="H595" s="22" t="n">
        <f aca="false">IF(B595="GK",IFERROR(('Player Data'!N595-1.5*'Player Data'!O595)/'Player Data'!H595*90,0),IFERROR(('Player Data'!I595+'Player Data'!J595)/'Player Data'!H595*90,0))</f>
        <v>1.04331909701037</v>
      </c>
      <c r="I595" s="22" t="n">
        <f aca="false">IF(B595="GK",'Player Data'!P595,IFERROR(('Player Data'!K595+'Player Data'!L595)/'Player Data'!H595*90,0))</f>
        <v>7.5777913361806</v>
      </c>
      <c r="J595" s="22" t="n">
        <f aca="false">IF(B595="GK",IFERROR('Player Data'!Q595/'Player Data'!H595*90,0),IFERROR('Player Data'!M595/'Player Data'!H595*90,0))</f>
        <v>0.274557657107993</v>
      </c>
      <c r="K595" s="23" t="n">
        <f aca="false">'Player Data'!S595</f>
        <v>137937</v>
      </c>
      <c r="L595" s="22" t="n">
        <f aca="false">INDEX(Assumptions!$B$13:$B$15,MATCH(E595,Assumptions!$A$13:$A$15,0))</f>
        <v>1</v>
      </c>
      <c r="M595" s="24" t="n">
        <f aca="false">IFERROR(SUMPRODUCT(($B$2:$B$1001=B595)*($H$2:$H$1001&lt;=H595))/SUMPRODUCT(($B$2:$B$1001=B595)*1),0)</f>
        <v>0.557522123893805</v>
      </c>
      <c r="N595" s="24" t="n">
        <f aca="false">IFERROR(SUMPRODUCT(($B$2:$B$1001=B595)*($I$2:$I$1001&lt;=I595))/SUMPRODUCT(($B$2:$B$1001=B595)*1),0)</f>
        <v>0.632743362831858</v>
      </c>
      <c r="O595" s="24" t="n">
        <f aca="false">IFERROR(SUMPRODUCT(($B$2:$B$1001=B595)*($J$2:$J$1001&lt;=J595))/SUMPRODUCT(($B$2:$B$1001=B595)*1),0)</f>
        <v>0.141592920353982</v>
      </c>
      <c r="P595" s="24" t="n">
        <f aca="false">IFERROR(SUMPRODUCT(($B$2:$B$1001=B595)*((0-$F$2:$F$1001)&lt;=(0-F595)))/SUMPRODUCT(($B$2:$B$1001=B595)*1),0)</f>
        <v>0.389380530973451</v>
      </c>
      <c r="Q595" s="25" t="n">
        <f aca="false">(M595*Assumptions!$B$5+N595*Assumptions!$B$6+O595*Assumptions!$B$7+P595*Assumptions!$B$8)*L595</f>
        <v>0.467035398230089</v>
      </c>
      <c r="R595" s="24" t="n">
        <f aca="false">IFERROR(SUMPRODUCT(($B$2:$B$1001=B595)*($Q$2:$Q$1001&lt;=Q595))/SUMPRODUCT(($B$2:$B$1001=B595)*1),0)</f>
        <v>0.557522123893805</v>
      </c>
      <c r="S595" s="24" t="n">
        <f aca="false">IFERROR(SUMPRODUCT(($B$2:$B$1001=B595)*($K$2:$K$1001&lt;=K595))/SUMPRODUCT(($B$2:$B$1001=B595)*1),0)</f>
        <v>0.946902654867257</v>
      </c>
      <c r="T595" s="26" t="n">
        <f aca="false">(R595-S595)*100</f>
        <v>-38.9380530973451</v>
      </c>
      <c r="U595" s="21" t="str">
        <f aca="false">'Player Data'!T595</f>
        <v>No</v>
      </c>
      <c r="V595" s="27" t="n">
        <f aca="false">'Player Data'!U595</f>
        <v>2026</v>
      </c>
      <c r="W595" s="21" t="str">
        <f aca="false">IF(AND(T595&gt;=Assumptions!$B$19,U595="No"),"High Priority - Unrepresented",IF(T595&gt;=Assumptions!$B$19,"High Priority",IF(AND(T595&gt;=Assumptions!$B$20,U595="No"),"Watchlist - Unrepresented",IF(T595&gt;=Assumptions!$B$20,"Watchlist",""))))</f>
        <v/>
      </c>
      <c r="X595" s="21" t="str">
        <f aca="false">'Player Data'!V595</f>
        <v>info@erbilwanderers.iq</v>
      </c>
      <c r="Y595" s="28" t="str">
        <f aca="false">'Player Data'!W595</f>
        <v>Club sporting director / first-team office</v>
      </c>
      <c r="Z595" s="28" t="str">
        <f aca="false">'Player Data'!X595</f>
        <v>IFA (Iraq Football Association) player registry</v>
      </c>
      <c r="AA595" s="19" t="str">
        <f aca="false">HYPERLINK("https://www.transfermarkt.com/schnellsuche/ergebnis/schnellsuche?query="&amp;SUBSTITUTE(A595," ","+"),"Search Transfermarkt")</f>
        <v>Search Transfermarkt</v>
      </c>
      <c r="AB595" s="29" t="n">
        <f aca="false">IFERROR('Player Data'!K595/('Player Data'!K595+'Player Data'!L595),0)</f>
        <v>0.369565217391304</v>
      </c>
      <c r="AC595" s="21" t="str">
        <f aca="false">IF(B595="GK",IF(AND(O595&gt;=Assumptions!$B$23,N595&gt;=Assumptions!$B$23),"Sweeper-Keeper / Build-from-the-Back",IF(O595&gt;=Assumptions!$B$23,"Sweeper-Keeper / High Line",IF(M595&gt;=Assumptions!$B$23,"Shot-Stopper / Traditional","Flexible / Multi-System"))),IF(AND(O595&gt;=Assumptions!$B$23,P595&gt;=Assumptions!$B$24),"High Press / Gegenpressing",IF(AND(N595&gt;=Assumptions!$B$23,AB595&gt;=Assumptions!$B$25),"Possession / Build-from-the-Back",IF(N595&gt;=Assumptions!$B$23,"Counter-Attack / Transition",IF(AND(O595&gt;=Assumptions!$B$23,N595&lt;Assumptions!$B$26),"Low Block / Park the Bus",IF(AND(B595="FW",M595&gt;=Assumptions!$B$23,N595&lt;Assumptions!$B$26),"Direct / Target Approach","Flexible / Multi-System"))))))</f>
        <v>Flexible / Multi-System</v>
      </c>
      <c r="AD595" s="21" t="str">
        <f aca="false">'Player Data'!Y595</f>
        <v>2026-07-17</v>
      </c>
      <c r="AE595" s="21" t="str">
        <f aca="false">'Player Data'!Z595</f>
        <v>2026-07-17</v>
      </c>
      <c r="AF595" s="28" t="str">
        <f aca="false">IFERROR(INDEX(Assumptions!$B$30:$B$61,MATCH(C595,Assumptions!$A$30:$A$61,0)),"--")</f>
        <v>Turkey, Saudi Arabia</v>
      </c>
      <c r="AG595" s="30" t="str">
        <f aca="false">IF(R595&gt;=0.7,"Step-Up Candidate",IF(R595&gt;=0.4,"Lateral Move","Stay &amp; Develop"))</f>
        <v>Lateral Move</v>
      </c>
    </row>
    <row r="596" customFormat="false" ht="23.85" hidden="false" customHeight="false" outlineLevel="0" collapsed="false">
      <c r="A596" s="21" t="str">
        <f aca="false">'Player Data'!A596</f>
        <v>Miguel Vargas</v>
      </c>
      <c r="B596" s="21" t="str">
        <f aca="false">'Player Data'!F596</f>
        <v>MF</v>
      </c>
      <c r="C596" s="21" t="str">
        <f aca="false">'Player Data'!B596</f>
        <v>Costa Rica</v>
      </c>
      <c r="D596" s="21" t="str">
        <f aca="false">'Player Data'!C596</f>
        <v>Costa Rica Third Tier - North</v>
      </c>
      <c r="E596" s="21" t="n">
        <f aca="false">'Player Data'!D596</f>
        <v>4</v>
      </c>
      <c r="F596" s="21" t="n">
        <f aca="false">'Player Data'!G596</f>
        <v>25</v>
      </c>
      <c r="G596" s="21" t="n">
        <f aca="false">'Player Data'!H596</f>
        <v>1556</v>
      </c>
      <c r="H596" s="22" t="n">
        <f aca="false">IF(B596="GK",IFERROR(('Player Data'!N596-1.5*'Player Data'!O596)/'Player Data'!H596*90,0),IFERROR(('Player Data'!I596+'Player Data'!J596)/'Player Data'!H596*90,0))</f>
        <v>0.694087403598972</v>
      </c>
      <c r="I596" s="22" t="n">
        <f aca="false">IF(B596="GK",'Player Data'!P596,IFERROR(('Player Data'!K596+'Player Data'!L596)/'Player Data'!H596*90,0))</f>
        <v>13.245501285347</v>
      </c>
      <c r="J596" s="22" t="n">
        <f aca="false">IF(B596="GK",IFERROR('Player Data'!Q596/'Player Data'!H596*90,0),IFERROR('Player Data'!M596/'Player Data'!H596*90,0))</f>
        <v>2.37146529562982</v>
      </c>
      <c r="K596" s="23" t="n">
        <f aca="false">'Player Data'!S596</f>
        <v>63880</v>
      </c>
      <c r="L596" s="22" t="n">
        <f aca="false">INDEX(Assumptions!$B$13:$B$15,MATCH(E596,Assumptions!$A$13:$A$15,0))</f>
        <v>0.7</v>
      </c>
      <c r="M596" s="24" t="n">
        <f aca="false">IFERROR(SUMPRODUCT(($B$2:$B$1001=B596)*($H$2:$H$1001&lt;=H596))/SUMPRODUCT(($B$2:$B$1001=B596)*1),0)</f>
        <v>0.451178451178451</v>
      </c>
      <c r="N596" s="24" t="n">
        <f aca="false">IFERROR(SUMPRODUCT(($B$2:$B$1001=B596)*($I$2:$I$1001&lt;=I596))/SUMPRODUCT(($B$2:$B$1001=B596)*1),0)</f>
        <v>0.673400673400673</v>
      </c>
      <c r="O596" s="24" t="n">
        <f aca="false">IFERROR(SUMPRODUCT(($B$2:$B$1001=B596)*($J$2:$J$1001&lt;=J596))/SUMPRODUCT(($B$2:$B$1001=B596)*1),0)</f>
        <v>0.589225589225589</v>
      </c>
      <c r="P596" s="24" t="n">
        <f aca="false">IFERROR(SUMPRODUCT(($B$2:$B$1001=B596)*((0-$F$2:$F$1001)&lt;=(0-F596)))/SUMPRODUCT(($B$2:$B$1001=B596)*1),0)</f>
        <v>0.202020202020202</v>
      </c>
      <c r="Q596" s="25" t="n">
        <f aca="false">(M596*Assumptions!$B$5+N596*Assumptions!$B$6+O596*Assumptions!$B$7+P596*Assumptions!$B$8)*L596</f>
        <v>0.354713804713805</v>
      </c>
      <c r="R596" s="24" t="n">
        <f aca="false">IFERROR(SUMPRODUCT(($B$2:$B$1001=B596)*($Q$2:$Q$1001&lt;=Q596))/SUMPRODUCT(($B$2:$B$1001=B596)*1),0)</f>
        <v>0.336700336700337</v>
      </c>
      <c r="S596" s="24" t="n">
        <f aca="false">IFERROR(SUMPRODUCT(($B$2:$B$1001=B596)*($K$2:$K$1001&lt;=K596))/SUMPRODUCT(($B$2:$B$1001=B596)*1),0)</f>
        <v>0.531986531986532</v>
      </c>
      <c r="T596" s="26" t="n">
        <f aca="false">(R596-S596)*100</f>
        <v>-19.5286195286195</v>
      </c>
      <c r="U596" s="21" t="str">
        <f aca="false">'Player Data'!T596</f>
        <v>No</v>
      </c>
      <c r="V596" s="27" t="n">
        <f aca="false">'Player Data'!U596</f>
        <v>2029</v>
      </c>
      <c r="W596" s="21" t="str">
        <f aca="false">IF(AND(T596&gt;=Assumptions!$B$19,U596="No"),"High Priority - Unrepresented",IF(T596&gt;=Assumptions!$B$19,"High Priority",IF(AND(T596&gt;=Assumptions!$B$20,U596="No"),"Watchlist - Unrepresented",IF(T596&gt;=Assumptions!$B$20,"Watchlist",""))))</f>
        <v/>
      </c>
      <c r="X596" s="21" t="str">
        <f aca="false">'Player Data'!V596</f>
        <v>info@herediasc.cr</v>
      </c>
      <c r="Y596" s="28" t="str">
        <f aca="false">'Player Data'!W596</f>
        <v>Club sporting director / first-team office</v>
      </c>
      <c r="Z596" s="28" t="str">
        <f aca="false">'Player Data'!X596</f>
        <v>FEDEFUTBOL (Costa Rican Football Federation) player registry</v>
      </c>
      <c r="AA596" s="19" t="str">
        <f aca="false">HYPERLINK("https://www.transfermarkt.com/schnellsuche/ergebnis/schnellsuche?query="&amp;SUBSTITUTE(A596," ","+"),"Search Transfermarkt")</f>
        <v>Search Transfermarkt</v>
      </c>
      <c r="AB596" s="29" t="n">
        <f aca="false">IFERROR('Player Data'!K596/('Player Data'!K596+'Player Data'!L596),0)</f>
        <v>0.698689956331878</v>
      </c>
      <c r="AC596" s="21" t="str">
        <f aca="false">IF(B596="GK",IF(AND(O596&gt;=Assumptions!$B$23,N596&gt;=Assumptions!$B$23),"Sweeper-Keeper / Build-from-the-Back",IF(O596&gt;=Assumptions!$B$23,"Sweeper-Keeper / High Line",IF(M596&gt;=Assumptions!$B$23,"Shot-Stopper / Traditional","Flexible / Multi-System"))),IF(AND(O596&gt;=Assumptions!$B$23,P596&gt;=Assumptions!$B$24),"High Press / Gegenpressing",IF(AND(N596&gt;=Assumptions!$B$23,AB596&gt;=Assumptions!$B$25),"Possession / Build-from-the-Back",IF(N596&gt;=Assumptions!$B$23,"Counter-Attack / Transition",IF(AND(O596&gt;=Assumptions!$B$23,N596&lt;Assumptions!$B$26),"Low Block / Park the Bus",IF(AND(B596="FW",M596&gt;=Assumptions!$B$23,N596&lt;Assumptions!$B$26),"Direct / Target Approach","Flexible / Multi-System"))))))</f>
        <v>Possession / Build-from-the-Back</v>
      </c>
      <c r="AD596" s="21" t="str">
        <f aca="false">'Player Data'!Y596</f>
        <v>2026-07-17</v>
      </c>
      <c r="AE596" s="21" t="str">
        <f aca="false">'Player Data'!Z596</f>
        <v>2026-07-17</v>
      </c>
      <c r="AF596" s="28" t="str">
        <f aca="false">IFERROR(INDEX(Assumptions!$B$30:$B$61,MATCH(C596,Assumptions!$A$30:$A$61,0)),"--")</f>
        <v>Mexico, United States</v>
      </c>
      <c r="AG596" s="30" t="str">
        <f aca="false">IF(R596&gt;=0.7,"Step-Up Candidate",IF(R596&gt;=0.4,"Lateral Move","Stay &amp; Develop"))</f>
        <v>Stay &amp; Develop</v>
      </c>
    </row>
    <row r="597" customFormat="false" ht="23.85" hidden="false" customHeight="false" outlineLevel="0" collapsed="false">
      <c r="A597" s="21" t="str">
        <f aca="false">'Player Data'!A597</f>
        <v>Einar Gudmundsson</v>
      </c>
      <c r="B597" s="21" t="str">
        <f aca="false">'Player Data'!F597</f>
        <v>FW</v>
      </c>
      <c r="C597" s="21" t="str">
        <f aca="false">'Player Data'!B597</f>
        <v>Iceland</v>
      </c>
      <c r="D597" s="21" t="str">
        <f aca="false">'Player Data'!C597</f>
        <v>Iceland Second Division - West</v>
      </c>
      <c r="E597" s="21" t="n">
        <f aca="false">'Player Data'!D597</f>
        <v>3</v>
      </c>
      <c r="F597" s="21" t="n">
        <f aca="false">'Player Data'!G597</f>
        <v>25</v>
      </c>
      <c r="G597" s="21" t="n">
        <f aca="false">'Player Data'!H597</f>
        <v>1107</v>
      </c>
      <c r="H597" s="22" t="n">
        <f aca="false">IF(B597="GK",IFERROR(('Player Data'!N597-1.5*'Player Data'!O597)/'Player Data'!H597*90,0),IFERROR(('Player Data'!I597+'Player Data'!J597)/'Player Data'!H597*90,0))</f>
        <v>1.70731707317073</v>
      </c>
      <c r="I597" s="22" t="n">
        <f aca="false">IF(B597="GK",'Player Data'!P597,IFERROR(('Player Data'!K597+'Player Data'!L597)/'Player Data'!H597*90,0))</f>
        <v>9.83739837398374</v>
      </c>
      <c r="J597" s="22" t="n">
        <f aca="false">IF(B597="GK",IFERROR('Player Data'!Q597/'Player Data'!H597*90,0),IFERROR('Player Data'!M597/'Player Data'!H597*90,0))</f>
        <v>0.487804878048781</v>
      </c>
      <c r="K597" s="23" t="n">
        <f aca="false">'Player Data'!S597</f>
        <v>0</v>
      </c>
      <c r="L597" s="22" t="n">
        <f aca="false">INDEX(Assumptions!$B$13:$B$15,MATCH(E597,Assumptions!$A$13:$A$15,0))</f>
        <v>0.85</v>
      </c>
      <c r="M597" s="24" t="n">
        <f aca="false">IFERROR(SUMPRODUCT(($B$2:$B$1001=B597)*($H$2:$H$1001&lt;=H597))/SUMPRODUCT(($B$2:$B$1001=B597)*1),0)</f>
        <v>0.889380530973451</v>
      </c>
      <c r="N597" s="24" t="n">
        <f aca="false">IFERROR(SUMPRODUCT(($B$2:$B$1001=B597)*($I$2:$I$1001&lt;=I597))/SUMPRODUCT(($B$2:$B$1001=B597)*1),0)</f>
        <v>0.827433628318584</v>
      </c>
      <c r="O597" s="24" t="n">
        <f aca="false">IFERROR(SUMPRODUCT(($B$2:$B$1001=B597)*($J$2:$J$1001&lt;=J597))/SUMPRODUCT(($B$2:$B$1001=B597)*1),0)</f>
        <v>0.491150442477876</v>
      </c>
      <c r="P597" s="24" t="n">
        <f aca="false">IFERROR(SUMPRODUCT(($B$2:$B$1001=B597)*((0-$F$2:$F$1001)&lt;=(0-F597)))/SUMPRODUCT(($B$2:$B$1001=B597)*1),0)</f>
        <v>0.194690265486726</v>
      </c>
      <c r="Q597" s="25" t="n">
        <f aca="false">(M597*Assumptions!$B$5+N597*Assumptions!$B$6+O597*Assumptions!$B$7+P597*Assumptions!$B$8)*L597</f>
        <v>0.551747787610619</v>
      </c>
      <c r="R597" s="24" t="n">
        <f aca="false">IFERROR(SUMPRODUCT(($B$2:$B$1001=B597)*($Q$2:$Q$1001&lt;=Q597))/SUMPRODUCT(($B$2:$B$1001=B597)*1),0)</f>
        <v>0.685840707964602</v>
      </c>
      <c r="S597" s="24" t="n">
        <f aca="false">IFERROR(SUMPRODUCT(($B$2:$B$1001=B597)*($K$2:$K$1001&lt;=K597))/SUMPRODUCT(($B$2:$B$1001=B597)*1),0)</f>
        <v>0.261061946902655</v>
      </c>
      <c r="T597" s="26" t="n">
        <f aca="false">(R597-S597)*100</f>
        <v>42.4778761061947</v>
      </c>
      <c r="U597" s="21" t="str">
        <f aca="false">'Player Data'!T597</f>
        <v>No</v>
      </c>
      <c r="V597" s="27" t="n">
        <f aca="false">'Player Data'!U597</f>
        <v>2027</v>
      </c>
      <c r="W597" s="21" t="str">
        <f aca="false">IF(AND(T597&gt;=Assumptions!$B$19,U597="No"),"High Priority - Unrepresented",IF(T597&gt;=Assumptions!$B$19,"High Priority",IF(AND(T597&gt;=Assumptions!$B$20,U597="No"),"Watchlist - Unrepresented",IF(T597&gt;=Assumptions!$B$20,"Watchlist",""))))</f>
        <v>High Priority - Unrepresented</v>
      </c>
      <c r="X597" s="21" t="str">
        <f aca="false">'Player Data'!V597</f>
        <v>info@akureyriunited.is</v>
      </c>
      <c r="Y597" s="28" t="str">
        <f aca="false">'Player Data'!W597</f>
        <v>Club sporting director / first-team office</v>
      </c>
      <c r="Z597" s="28" t="str">
        <f aca="false">'Player Data'!X597</f>
        <v>KSI (Icelandic Football Association) player registry</v>
      </c>
      <c r="AA597" s="19" t="str">
        <f aca="false">HYPERLINK("https://www.transfermarkt.com/schnellsuche/ergebnis/schnellsuche?query="&amp;SUBSTITUTE(A597," ","+"),"Search Transfermarkt")</f>
        <v>Search Transfermarkt</v>
      </c>
      <c r="AB597" s="29" t="n">
        <f aca="false">IFERROR('Player Data'!K597/('Player Data'!K597+'Player Data'!L597),0)</f>
        <v>0.380165289256198</v>
      </c>
      <c r="AC597" s="21" t="str">
        <f aca="false">IF(B597="GK",IF(AND(O597&gt;=Assumptions!$B$23,N597&gt;=Assumptions!$B$23),"Sweeper-Keeper / Build-from-the-Back",IF(O597&gt;=Assumptions!$B$23,"Sweeper-Keeper / High Line",IF(M597&gt;=Assumptions!$B$23,"Shot-Stopper / Traditional","Flexible / Multi-System"))),IF(AND(O597&gt;=Assumptions!$B$23,P597&gt;=Assumptions!$B$24),"High Press / Gegenpressing",IF(AND(N597&gt;=Assumptions!$B$23,AB597&gt;=Assumptions!$B$25),"Possession / Build-from-the-Back",IF(N597&gt;=Assumptions!$B$23,"Counter-Attack / Transition",IF(AND(O597&gt;=Assumptions!$B$23,N597&lt;Assumptions!$B$26),"Low Block / Park the Bus",IF(AND(B597="FW",M597&gt;=Assumptions!$B$23,N597&lt;Assumptions!$B$26),"Direct / Target Approach","Flexible / Multi-System"))))))</f>
        <v>Counter-Attack / Transition</v>
      </c>
      <c r="AD597" s="21" t="str">
        <f aca="false">'Player Data'!Y597</f>
        <v>2026-07-17</v>
      </c>
      <c r="AE597" s="21" t="str">
        <f aca="false">'Player Data'!Z597</f>
        <v>2026-07-17</v>
      </c>
      <c r="AF597" s="28" t="str">
        <f aca="false">IFERROR(INDEX(Assumptions!$B$30:$B$61,MATCH(C597,Assumptions!$A$30:$A$61,0)),"--")</f>
        <v>Norway, Belgium</v>
      </c>
      <c r="AG597" s="30" t="str">
        <f aca="false">IF(R597&gt;=0.7,"Step-Up Candidate",IF(R597&gt;=0.4,"Lateral Move","Stay &amp; Develop"))</f>
        <v>Lateral Move</v>
      </c>
    </row>
    <row r="598" customFormat="false" ht="23.85" hidden="false" customHeight="false" outlineLevel="0" collapsed="false">
      <c r="A598" s="21" t="str">
        <f aca="false">'Player Data'!A598</f>
        <v>Patrick Mbia</v>
      </c>
      <c r="B598" s="21" t="str">
        <f aca="false">'Player Data'!F598</f>
        <v>FW</v>
      </c>
      <c r="C598" s="21" t="str">
        <f aca="false">'Player Data'!B598</f>
        <v>Cameroon</v>
      </c>
      <c r="D598" s="21" t="str">
        <f aca="false">'Player Data'!C598</f>
        <v>Cameroon Second Division</v>
      </c>
      <c r="E598" s="21" t="n">
        <f aca="false">'Player Data'!D598</f>
        <v>2</v>
      </c>
      <c r="F598" s="21" t="n">
        <f aca="false">'Player Data'!G598</f>
        <v>20</v>
      </c>
      <c r="G598" s="21" t="n">
        <f aca="false">'Player Data'!H598</f>
        <v>2592</v>
      </c>
      <c r="H598" s="22" t="n">
        <f aca="false">IF(B598="GK",IFERROR(('Player Data'!N598-1.5*'Player Data'!O598)/'Player Data'!H598*90,0),IFERROR(('Player Data'!I598+'Player Data'!J598)/'Player Data'!H598*90,0))</f>
        <v>0.520833333333333</v>
      </c>
      <c r="I598" s="22" t="n">
        <f aca="false">IF(B598="GK",'Player Data'!P598,IFERROR(('Player Data'!K598+'Player Data'!L598)/'Player Data'!H598*90,0))</f>
        <v>4.0625</v>
      </c>
      <c r="J598" s="22" t="n">
        <f aca="false">IF(B598="GK",IFERROR('Player Data'!Q598/'Player Data'!H598*90,0),IFERROR('Player Data'!M598/'Player Data'!H598*90,0))</f>
        <v>0.381944444444444</v>
      </c>
      <c r="K598" s="23" t="n">
        <f aca="false">'Player Data'!S598</f>
        <v>9892</v>
      </c>
      <c r="L598" s="22" t="n">
        <f aca="false">INDEX(Assumptions!$B$13:$B$15,MATCH(E598,Assumptions!$A$13:$A$15,0))</f>
        <v>1</v>
      </c>
      <c r="M598" s="24" t="n">
        <f aca="false">IFERROR(SUMPRODUCT(($B$2:$B$1001=B598)*($H$2:$H$1001&lt;=H598))/SUMPRODUCT(($B$2:$B$1001=B598)*1),0)</f>
        <v>0.101769911504425</v>
      </c>
      <c r="N598" s="24" t="n">
        <f aca="false">IFERROR(SUMPRODUCT(($B$2:$B$1001=B598)*($I$2:$I$1001&lt;=I598))/SUMPRODUCT(($B$2:$B$1001=B598)*1),0)</f>
        <v>0.0530973451327434</v>
      </c>
      <c r="O598" s="24" t="n">
        <f aca="false">IFERROR(SUMPRODUCT(($B$2:$B$1001=B598)*($J$2:$J$1001&lt;=J598))/SUMPRODUCT(($B$2:$B$1001=B598)*1),0)</f>
        <v>0.31858407079646</v>
      </c>
      <c r="P598" s="24" t="n">
        <f aca="false">IFERROR(SUMPRODUCT(($B$2:$B$1001=B598)*((0-$F$2:$F$1001)&lt;=(0-F598)))/SUMPRODUCT(($B$2:$B$1001=B598)*1),0)</f>
        <v>0.712389380530973</v>
      </c>
      <c r="Q598" s="25" t="n">
        <f aca="false">(M598*Assumptions!$B$5+N598*Assumptions!$B$6+O598*Assumptions!$B$7+P598*Assumptions!$B$8)*L598</f>
        <v>0.250221238938053</v>
      </c>
      <c r="R598" s="24" t="n">
        <f aca="false">IFERROR(SUMPRODUCT(($B$2:$B$1001=B598)*($Q$2:$Q$1001&lt;=Q598))/SUMPRODUCT(($B$2:$B$1001=B598)*1),0)</f>
        <v>0.194690265486726</v>
      </c>
      <c r="S598" s="24" t="n">
        <f aca="false">IFERROR(SUMPRODUCT(($B$2:$B$1001=B598)*($K$2:$K$1001&lt;=K598))/SUMPRODUCT(($B$2:$B$1001=B598)*1),0)</f>
        <v>0.274336283185841</v>
      </c>
      <c r="T598" s="26" t="n">
        <f aca="false">(R598-S598)*100</f>
        <v>-7.9646017699115</v>
      </c>
      <c r="U598" s="21" t="str">
        <f aca="false">'Player Data'!T598</f>
        <v>No</v>
      </c>
      <c r="V598" s="27" t="n">
        <f aca="false">'Player Data'!U598</f>
        <v>2026</v>
      </c>
      <c r="W598" s="21" t="str">
        <f aca="false">IF(AND(T598&gt;=Assumptions!$B$19,U598="No"),"High Priority - Unrepresented",IF(T598&gt;=Assumptions!$B$19,"High Priority",IF(AND(T598&gt;=Assumptions!$B$20,U598="No"),"Watchlist - Unrepresented",IF(T598&gt;=Assumptions!$B$20,"Watchlist",""))))</f>
        <v/>
      </c>
      <c r="X598" s="21" t="str">
        <f aca="false">'Player Data'!V598</f>
        <v>info@yaoundefc.cm</v>
      </c>
      <c r="Y598" s="28" t="str">
        <f aca="false">'Player Data'!W598</f>
        <v>Club sporting director / first-team office</v>
      </c>
      <c r="Z598" s="28" t="str">
        <f aca="false">'Player Data'!X598</f>
        <v>FECAFOOT (Cameroonian Football Federation) player registry</v>
      </c>
      <c r="AA598" s="19" t="str">
        <f aca="false">HYPERLINK("https://www.transfermarkt.com/schnellsuche/ergebnis/schnellsuche?query="&amp;SUBSTITUTE(A598," ","+"),"Search Transfermarkt")</f>
        <v>Search Transfermarkt</v>
      </c>
      <c r="AB598" s="29" t="n">
        <f aca="false">IFERROR('Player Data'!K598/('Player Data'!K598+'Player Data'!L598),0)</f>
        <v>0.341880341880342</v>
      </c>
      <c r="AC598" s="21" t="str">
        <f aca="false">IF(B598="GK",IF(AND(O598&gt;=Assumptions!$B$23,N598&gt;=Assumptions!$B$23),"Sweeper-Keeper / Build-from-the-Back",IF(O598&gt;=Assumptions!$B$23,"Sweeper-Keeper / High Line",IF(M598&gt;=Assumptions!$B$23,"Shot-Stopper / Traditional","Flexible / Multi-System"))),IF(AND(O598&gt;=Assumptions!$B$23,P598&gt;=Assumptions!$B$24),"High Press / Gegenpressing",IF(AND(N598&gt;=Assumptions!$B$23,AB598&gt;=Assumptions!$B$25),"Possession / Build-from-the-Back",IF(N598&gt;=Assumptions!$B$23,"Counter-Attack / Transition",IF(AND(O598&gt;=Assumptions!$B$23,N598&lt;Assumptions!$B$26),"Low Block / Park the Bus",IF(AND(B598="FW",M598&gt;=Assumptions!$B$23,N598&lt;Assumptions!$B$26),"Direct / Target Approach","Flexible / Multi-System"))))))</f>
        <v>Flexible / Multi-System</v>
      </c>
      <c r="AD598" s="21" t="str">
        <f aca="false">'Player Data'!Y598</f>
        <v>2026-07-17</v>
      </c>
      <c r="AE598" s="21" t="str">
        <f aca="false">'Player Data'!Z598</f>
        <v>2026-07-17</v>
      </c>
      <c r="AF598" s="28" t="str">
        <f aca="false">IFERROR(INDEX(Assumptions!$B$30:$B$61,MATCH(C598,Assumptions!$A$30:$A$61,0)),"--")</f>
        <v>Belgium, Portugal</v>
      </c>
      <c r="AG598" s="30" t="str">
        <f aca="false">IF(R598&gt;=0.7,"Step-Up Candidate",IF(R598&gt;=0.4,"Lateral Move","Stay &amp; Develop"))</f>
        <v>Stay &amp; Develop</v>
      </c>
    </row>
    <row r="599" customFormat="false" ht="23.85" hidden="false" customHeight="false" outlineLevel="0" collapsed="false">
      <c r="A599" s="21" t="str">
        <f aca="false">'Player Data'!A599</f>
        <v>Bekzod Karimov</v>
      </c>
      <c r="B599" s="21" t="str">
        <f aca="false">'Player Data'!F599</f>
        <v>FW</v>
      </c>
      <c r="C599" s="21" t="str">
        <f aca="false">'Player Data'!B599</f>
        <v>Uzbekistan</v>
      </c>
      <c r="D599" s="21" t="str">
        <f aca="false">'Player Data'!C599</f>
        <v>Uzbekistan Second Division - West</v>
      </c>
      <c r="E599" s="21" t="n">
        <f aca="false">'Player Data'!D599</f>
        <v>2</v>
      </c>
      <c r="F599" s="21" t="n">
        <f aca="false">'Player Data'!G599</f>
        <v>24</v>
      </c>
      <c r="G599" s="21" t="n">
        <f aca="false">'Player Data'!H599</f>
        <v>2446</v>
      </c>
      <c r="H599" s="22" t="n">
        <f aca="false">IF(B599="GK",IFERROR(('Player Data'!N599-1.5*'Player Data'!O599)/'Player Data'!H599*90,0),IFERROR(('Player Data'!I599+'Player Data'!J599)/'Player Data'!H599*90,0))</f>
        <v>0.919869174161897</v>
      </c>
      <c r="I599" s="22" t="n">
        <f aca="false">IF(B599="GK",'Player Data'!P599,IFERROR(('Player Data'!K599+'Player Data'!L599)/'Player Data'!H599*90,0))</f>
        <v>4.63614063777596</v>
      </c>
      <c r="J599" s="22" t="n">
        <f aca="false">IF(B599="GK",IFERROR('Player Data'!Q599/'Player Data'!H599*90,0),IFERROR('Player Data'!M599/'Player Data'!H599*90,0))</f>
        <v>0.220768601798855</v>
      </c>
      <c r="K599" s="23" t="n">
        <f aca="false">'Player Data'!S599</f>
        <v>100301</v>
      </c>
      <c r="L599" s="22" t="n">
        <f aca="false">INDEX(Assumptions!$B$13:$B$15,MATCH(E599,Assumptions!$A$13:$A$15,0))</f>
        <v>1</v>
      </c>
      <c r="M599" s="24" t="n">
        <f aca="false">IFERROR(SUMPRODUCT(($B$2:$B$1001=B599)*($H$2:$H$1001&lt;=H599))/SUMPRODUCT(($B$2:$B$1001=B599)*1),0)</f>
        <v>0.424778761061947</v>
      </c>
      <c r="N599" s="24" t="n">
        <f aca="false">IFERROR(SUMPRODUCT(($B$2:$B$1001=B599)*($I$2:$I$1001&lt;=I599))/SUMPRODUCT(($B$2:$B$1001=B599)*1),0)</f>
        <v>0.132743362831858</v>
      </c>
      <c r="O599" s="24" t="n">
        <f aca="false">IFERROR(SUMPRODUCT(($B$2:$B$1001=B599)*($J$2:$J$1001&lt;=J599))/SUMPRODUCT(($B$2:$B$1001=B599)*1),0)</f>
        <v>0.0575221238938053</v>
      </c>
      <c r="P599" s="24" t="n">
        <f aca="false">IFERROR(SUMPRODUCT(($B$2:$B$1001=B599)*((0-$F$2:$F$1001)&lt;=(0-F599)))/SUMPRODUCT(($B$2:$B$1001=B599)*1),0)</f>
        <v>0.305309734513274</v>
      </c>
      <c r="Q599" s="25" t="n">
        <f aca="false">(M599*Assumptions!$B$5+N599*Assumptions!$B$6+O599*Assumptions!$B$7+P599*Assumptions!$B$8)*L599</f>
        <v>0.225221238938053</v>
      </c>
      <c r="R599" s="24" t="n">
        <f aca="false">IFERROR(SUMPRODUCT(($B$2:$B$1001=B599)*($Q$2:$Q$1001&lt;=Q599))/SUMPRODUCT(($B$2:$B$1001=B599)*1),0)</f>
        <v>0.141592920353982</v>
      </c>
      <c r="S599" s="24" t="n">
        <f aca="false">IFERROR(SUMPRODUCT(($B$2:$B$1001=B599)*($K$2:$K$1001&lt;=K599))/SUMPRODUCT(($B$2:$B$1001=B599)*1),0)</f>
        <v>0.694690265486726</v>
      </c>
      <c r="T599" s="26" t="n">
        <f aca="false">(R599-S599)*100</f>
        <v>-55.3097345132743</v>
      </c>
      <c r="U599" s="21" t="str">
        <f aca="false">'Player Data'!T599</f>
        <v>Unknown</v>
      </c>
      <c r="V599" s="27" t="n">
        <f aca="false">'Player Data'!U599</f>
        <v>2029</v>
      </c>
      <c r="W599" s="21" t="str">
        <f aca="false">IF(AND(T599&gt;=Assumptions!$B$19,U599="No"),"High Priority - Unrepresented",IF(T599&gt;=Assumptions!$B$19,"High Priority",IF(AND(T599&gt;=Assumptions!$B$20,U599="No"),"Watchlist - Unrepresented",IF(T599&gt;=Assumptions!$B$20,"Watchlist",""))))</f>
        <v/>
      </c>
      <c r="X599" s="21" t="str">
        <f aca="false">'Player Data'!V599</f>
        <v>info@tashkentwanderers.uz</v>
      </c>
      <c r="Y599" s="28" t="str">
        <f aca="false">'Player Data'!W599</f>
        <v>Club sporting director / first-team office</v>
      </c>
      <c r="Z599" s="28" t="str">
        <f aca="false">'Player Data'!X599</f>
        <v>UFF (Uzbekistan Football Federation) player registry</v>
      </c>
      <c r="AA599" s="19" t="str">
        <f aca="false">HYPERLINK("https://www.transfermarkt.com/schnellsuche/ergebnis/schnellsuche?query="&amp;SUBSTITUTE(A599," ","+"),"Search Transfermarkt")</f>
        <v>Search Transfermarkt</v>
      </c>
      <c r="AB599" s="29" t="n">
        <f aca="false">IFERROR('Player Data'!K599/('Player Data'!K599+'Player Data'!L599),0)</f>
        <v>0.222222222222222</v>
      </c>
      <c r="AC599" s="21" t="str">
        <f aca="false">IF(B599="GK",IF(AND(O599&gt;=Assumptions!$B$23,N599&gt;=Assumptions!$B$23),"Sweeper-Keeper / Build-from-the-Back",IF(O599&gt;=Assumptions!$B$23,"Sweeper-Keeper / High Line",IF(M599&gt;=Assumptions!$B$23,"Shot-Stopper / Traditional","Flexible / Multi-System"))),IF(AND(O599&gt;=Assumptions!$B$23,P599&gt;=Assumptions!$B$24),"High Press / Gegenpressing",IF(AND(N599&gt;=Assumptions!$B$23,AB599&gt;=Assumptions!$B$25),"Possession / Build-from-the-Back",IF(N599&gt;=Assumptions!$B$23,"Counter-Attack / Transition",IF(AND(O599&gt;=Assumptions!$B$23,N599&lt;Assumptions!$B$26),"Low Block / Park the Bus",IF(AND(B599="FW",M599&gt;=Assumptions!$B$23,N599&lt;Assumptions!$B$26),"Direct / Target Approach","Flexible / Multi-System"))))))</f>
        <v>Flexible / Multi-System</v>
      </c>
      <c r="AD599" s="21" t="str">
        <f aca="false">'Player Data'!Y599</f>
        <v>2026-07-17</v>
      </c>
      <c r="AE599" s="21" t="str">
        <f aca="false">'Player Data'!Z599</f>
        <v>2026-07-17</v>
      </c>
      <c r="AF599" s="28" t="str">
        <f aca="false">IFERROR(INDEX(Assumptions!$B$30:$B$61,MATCH(C599,Assumptions!$A$30:$A$61,0)),"--")</f>
        <v>Turkey, Saudi Arabia</v>
      </c>
      <c r="AG599" s="30" t="str">
        <f aca="false">IF(R599&gt;=0.7,"Step-Up Candidate",IF(R599&gt;=0.4,"Lateral Move","Stay &amp; Develop"))</f>
        <v>Stay &amp; Develop</v>
      </c>
    </row>
    <row r="600" customFormat="false" ht="23.85" hidden="false" customHeight="false" outlineLevel="0" collapsed="false">
      <c r="A600" s="21" t="str">
        <f aca="false">'Player Data'!A600</f>
        <v>Christian Onana</v>
      </c>
      <c r="B600" s="21" t="str">
        <f aca="false">'Player Data'!F600</f>
        <v>FW</v>
      </c>
      <c r="C600" s="21" t="str">
        <f aca="false">'Player Data'!B600</f>
        <v>Cameroon</v>
      </c>
      <c r="D600" s="21" t="str">
        <f aca="false">'Player Data'!C600</f>
        <v>Cameroon Third Tier - South</v>
      </c>
      <c r="E600" s="21" t="n">
        <f aca="false">'Player Data'!D600</f>
        <v>3</v>
      </c>
      <c r="F600" s="21" t="n">
        <f aca="false">'Player Data'!G600</f>
        <v>23</v>
      </c>
      <c r="G600" s="21" t="n">
        <f aca="false">'Player Data'!H600</f>
        <v>2191</v>
      </c>
      <c r="H600" s="22" t="n">
        <f aca="false">IF(B600="GK",IFERROR(('Player Data'!N600-1.5*'Player Data'!O600)/'Player Data'!H600*90,0),IFERROR(('Player Data'!I600+'Player Data'!J600)/'Player Data'!H600*90,0))</f>
        <v>0.534002738475582</v>
      </c>
      <c r="I600" s="22" t="n">
        <f aca="false">IF(B600="GK",'Player Data'!P600,IFERROR(('Player Data'!K600+'Player Data'!L600)/'Player Data'!H600*90,0))</f>
        <v>5.4221816522136</v>
      </c>
      <c r="J600" s="22" t="n">
        <f aca="false">IF(B600="GK",IFERROR('Player Data'!Q600/'Player Data'!H600*90,0),IFERROR('Player Data'!M600/'Player Data'!H600*90,0))</f>
        <v>0.616157005933364</v>
      </c>
      <c r="K600" s="23" t="n">
        <f aca="false">'Player Data'!S600</f>
        <v>57157</v>
      </c>
      <c r="L600" s="22" t="n">
        <f aca="false">INDEX(Assumptions!$B$13:$B$15,MATCH(E600,Assumptions!$A$13:$A$15,0))</f>
        <v>0.85</v>
      </c>
      <c r="M600" s="24" t="n">
        <f aca="false">IFERROR(SUMPRODUCT(($B$2:$B$1001=B600)*($H$2:$H$1001&lt;=H600))/SUMPRODUCT(($B$2:$B$1001=B600)*1),0)</f>
        <v>0.119469026548673</v>
      </c>
      <c r="N600" s="24" t="n">
        <f aca="false">IFERROR(SUMPRODUCT(($B$2:$B$1001=B600)*($I$2:$I$1001&lt;=I600))/SUMPRODUCT(($B$2:$B$1001=B600)*1),0)</f>
        <v>0.300884955752212</v>
      </c>
      <c r="O600" s="24" t="n">
        <f aca="false">IFERROR(SUMPRODUCT(($B$2:$B$1001=B600)*($J$2:$J$1001&lt;=J600))/SUMPRODUCT(($B$2:$B$1001=B600)*1),0)</f>
        <v>0.650442477876106</v>
      </c>
      <c r="P600" s="24" t="n">
        <f aca="false">IFERROR(SUMPRODUCT(($B$2:$B$1001=B600)*((0-$F$2:$F$1001)&lt;=(0-F600)))/SUMPRODUCT(($B$2:$B$1001=B600)*1),0)</f>
        <v>0.389380530973451</v>
      </c>
      <c r="Q600" s="25" t="n">
        <f aca="false">(M600*Assumptions!$B$5+N600*Assumptions!$B$6+O600*Assumptions!$B$7+P600*Assumptions!$B$8)*L600</f>
        <v>0.291670353982301</v>
      </c>
      <c r="R600" s="24" t="n">
        <f aca="false">IFERROR(SUMPRODUCT(($B$2:$B$1001=B600)*($Q$2:$Q$1001&lt;=Q600))/SUMPRODUCT(($B$2:$B$1001=B600)*1),0)</f>
        <v>0.274336283185841</v>
      </c>
      <c r="S600" s="24" t="n">
        <f aca="false">IFERROR(SUMPRODUCT(($B$2:$B$1001=B600)*($K$2:$K$1001&lt;=K600))/SUMPRODUCT(($B$2:$B$1001=B600)*1),0)</f>
        <v>0.491150442477876</v>
      </c>
      <c r="T600" s="26" t="n">
        <f aca="false">(R600-S600)*100</f>
        <v>-21.6814159292035</v>
      </c>
      <c r="U600" s="21" t="str">
        <f aca="false">'Player Data'!T600</f>
        <v>No</v>
      </c>
      <c r="V600" s="27" t="n">
        <f aca="false">'Player Data'!U600</f>
        <v>2029</v>
      </c>
      <c r="W600" s="21" t="str">
        <f aca="false">IF(AND(T600&gt;=Assumptions!$B$19,U600="No"),"High Priority - Unrepresented",IF(T600&gt;=Assumptions!$B$19,"High Priority",IF(AND(T600&gt;=Assumptions!$B$20,U600="No"),"Watchlist - Unrepresented",IF(T600&gt;=Assumptions!$B$20,"Watchlist",""))))</f>
        <v/>
      </c>
      <c r="X600" s="21" t="str">
        <f aca="false">'Player Data'!V600</f>
        <v>info@doualatown.cm</v>
      </c>
      <c r="Y600" s="28" t="str">
        <f aca="false">'Player Data'!W600</f>
        <v>Club sporting director / first-team office</v>
      </c>
      <c r="Z600" s="28" t="str">
        <f aca="false">'Player Data'!X600</f>
        <v>FECAFOOT (Cameroonian Football Federation) player registry</v>
      </c>
      <c r="AA600" s="19" t="str">
        <f aca="false">HYPERLINK("https://www.transfermarkt.com/schnellsuche/ergebnis/schnellsuche?query="&amp;SUBSTITUTE(A600," ","+"),"Search Transfermarkt")</f>
        <v>Search Transfermarkt</v>
      </c>
      <c r="AB600" s="29" t="n">
        <f aca="false">IFERROR('Player Data'!K600/('Player Data'!K600+'Player Data'!L600),0)</f>
        <v>0.446969696969697</v>
      </c>
      <c r="AC600" s="21" t="str">
        <f aca="false">IF(B600="GK",IF(AND(O600&gt;=Assumptions!$B$23,N600&gt;=Assumptions!$B$23),"Sweeper-Keeper / Build-from-the-Back",IF(O600&gt;=Assumptions!$B$23,"Sweeper-Keeper / High Line",IF(M600&gt;=Assumptions!$B$23,"Shot-Stopper / Traditional","Flexible / Multi-System"))),IF(AND(O600&gt;=Assumptions!$B$23,P600&gt;=Assumptions!$B$24),"High Press / Gegenpressing",IF(AND(N600&gt;=Assumptions!$B$23,AB600&gt;=Assumptions!$B$25),"Possession / Build-from-the-Back",IF(N600&gt;=Assumptions!$B$23,"Counter-Attack / Transition",IF(AND(O600&gt;=Assumptions!$B$23,N600&lt;Assumptions!$B$26),"Low Block / Park the Bus",IF(AND(B600="FW",M600&gt;=Assumptions!$B$23,N600&lt;Assumptions!$B$26),"Direct / Target Approach","Flexible / Multi-System"))))))</f>
        <v>Low Block / Park the Bus</v>
      </c>
      <c r="AD600" s="21" t="str">
        <f aca="false">'Player Data'!Y600</f>
        <v>2026-07-17</v>
      </c>
      <c r="AE600" s="21" t="str">
        <f aca="false">'Player Data'!Z600</f>
        <v>2026-07-17</v>
      </c>
      <c r="AF600" s="28" t="str">
        <f aca="false">IFERROR(INDEX(Assumptions!$B$30:$B$61,MATCH(C600,Assumptions!$A$30:$A$61,0)),"--")</f>
        <v>Belgium, Portugal</v>
      </c>
      <c r="AG600" s="30" t="str">
        <f aca="false">IF(R600&gt;=0.7,"Step-Up Candidate",IF(R600&gt;=0.4,"Lateral Move","Stay &amp; Develop"))</f>
        <v>Stay &amp; Develop</v>
      </c>
    </row>
    <row r="601" customFormat="false" ht="23.85" hidden="false" customHeight="false" outlineLevel="0" collapsed="false">
      <c r="A601" s="21" t="str">
        <f aca="false">'Player Data'!A601</f>
        <v>Anderson Gonzalez</v>
      </c>
      <c r="B601" s="21" t="str">
        <f aca="false">'Player Data'!F601</f>
        <v>MF</v>
      </c>
      <c r="C601" s="21" t="str">
        <f aca="false">'Player Data'!B601</f>
        <v>Venezuela</v>
      </c>
      <c r="D601" s="21" t="str">
        <f aca="false">'Player Data'!C601</f>
        <v>Venezuela Third Tier - North</v>
      </c>
      <c r="E601" s="21" t="n">
        <f aca="false">'Player Data'!D601</f>
        <v>3</v>
      </c>
      <c r="F601" s="21" t="n">
        <f aca="false">'Player Data'!G601</f>
        <v>17</v>
      </c>
      <c r="G601" s="21" t="n">
        <f aca="false">'Player Data'!H601</f>
        <v>843</v>
      </c>
      <c r="H601" s="22" t="n">
        <f aca="false">IF(B601="GK",IFERROR(('Player Data'!N601-1.5*'Player Data'!O601)/'Player Data'!H601*90,0),IFERROR(('Player Data'!I601+'Player Data'!J601)/'Player Data'!H601*90,0))</f>
        <v>1.60142348754448</v>
      </c>
      <c r="I601" s="22" t="n">
        <f aca="false">IF(B601="GK",'Player Data'!P601,IFERROR(('Player Data'!K601+'Player Data'!L601)/'Player Data'!H601*90,0))</f>
        <v>26.6903914590747</v>
      </c>
      <c r="J601" s="22" t="n">
        <f aca="false">IF(B601="GK",IFERROR('Player Data'!Q601/'Player Data'!H601*90,0),IFERROR('Player Data'!M601/'Player Data'!H601*90,0))</f>
        <v>4.27046263345196</v>
      </c>
      <c r="K601" s="23" t="n">
        <f aca="false">'Player Data'!S601</f>
        <v>46858</v>
      </c>
      <c r="L601" s="22" t="n">
        <f aca="false">INDEX(Assumptions!$B$13:$B$15,MATCH(E601,Assumptions!$A$13:$A$15,0))</f>
        <v>0.85</v>
      </c>
      <c r="M601" s="24" t="n">
        <f aca="false">IFERROR(SUMPRODUCT(($B$2:$B$1001=B601)*($H$2:$H$1001&lt;=H601))/SUMPRODUCT(($B$2:$B$1001=B601)*1),0)</f>
        <v>0.962962962962963</v>
      </c>
      <c r="N601" s="24" t="n">
        <f aca="false">IFERROR(SUMPRODUCT(($B$2:$B$1001=B601)*($I$2:$I$1001&lt;=I601))/SUMPRODUCT(($B$2:$B$1001=B601)*1),0)</f>
        <v>0.996632996632997</v>
      </c>
      <c r="O601" s="24" t="n">
        <f aca="false">IFERROR(SUMPRODUCT(($B$2:$B$1001=B601)*($J$2:$J$1001&lt;=J601))/SUMPRODUCT(($B$2:$B$1001=B601)*1),0)</f>
        <v>0.94949494949495</v>
      </c>
      <c r="P601" s="24" t="n">
        <f aca="false">IFERROR(SUMPRODUCT(($B$2:$B$1001=B601)*((0-$F$2:$F$1001)&lt;=(0-F601)))/SUMPRODUCT(($B$2:$B$1001=B601)*1),0)</f>
        <v>1</v>
      </c>
      <c r="Q601" s="25" t="n">
        <f aca="false">(M601*Assumptions!$B$5+N601*Assumptions!$B$6+O601*Assumptions!$B$7+P601*Assumptions!$B$8)*L601</f>
        <v>0.832542087542088</v>
      </c>
      <c r="R601" s="24" t="n">
        <f aca="false">IFERROR(SUMPRODUCT(($B$2:$B$1001=B601)*($Q$2:$Q$1001&lt;=Q601))/SUMPRODUCT(($B$2:$B$1001=B601)*1),0)</f>
        <v>0.962962962962963</v>
      </c>
      <c r="S601" s="24" t="n">
        <f aca="false">IFERROR(SUMPRODUCT(($B$2:$B$1001=B601)*($K$2:$K$1001&lt;=K601))/SUMPRODUCT(($B$2:$B$1001=B601)*1),0)</f>
        <v>0.424242424242424</v>
      </c>
      <c r="T601" s="26" t="n">
        <f aca="false">(R601-S601)*100</f>
        <v>53.8720538720539</v>
      </c>
      <c r="U601" s="21" t="str">
        <f aca="false">'Player Data'!T601</f>
        <v>Yes</v>
      </c>
      <c r="V601" s="27" t="n">
        <f aca="false">'Player Data'!U601</f>
        <v>2028</v>
      </c>
      <c r="W601" s="21" t="str">
        <f aca="false">IF(AND(T601&gt;=Assumptions!$B$19,U601="No"),"High Priority - Unrepresented",IF(T601&gt;=Assumptions!$B$19,"High Priority",IF(AND(T601&gt;=Assumptions!$B$20,U601="No"),"Watchlist - Unrepresented",IF(T601&gt;=Assumptions!$B$20,"Watchlist",""))))</f>
        <v>High Priority</v>
      </c>
      <c r="X601" s="21" t="str">
        <f aca="false">'Player Data'!V601</f>
        <v>info@valenciaathletic.ve</v>
      </c>
      <c r="Y601" s="28" t="str">
        <f aca="false">'Player Data'!W601</f>
        <v>Club youth/academy office ONLY - player is a minor, do not contact directly</v>
      </c>
      <c r="Z601" s="28" t="str">
        <f aca="false">'Player Data'!X601</f>
        <v>FVF (Venezuelan Football Federation) player registry</v>
      </c>
      <c r="AA601" s="19" t="str">
        <f aca="false">HYPERLINK("https://www.transfermarkt.com/schnellsuche/ergebnis/schnellsuche?query="&amp;SUBSTITUTE(A601," ","+"),"Search Transfermarkt")</f>
        <v>Search Transfermarkt</v>
      </c>
      <c r="AB601" s="29" t="n">
        <f aca="false">IFERROR('Player Data'!K601/('Player Data'!K601+'Player Data'!L601),0)</f>
        <v>0.688</v>
      </c>
      <c r="AC601" s="21" t="str">
        <f aca="false">IF(B601="GK",IF(AND(O601&gt;=Assumptions!$B$23,N601&gt;=Assumptions!$B$23),"Sweeper-Keeper / Build-from-the-Back",IF(O601&gt;=Assumptions!$B$23,"Sweeper-Keeper / High Line",IF(M601&gt;=Assumptions!$B$23,"Shot-Stopper / Traditional","Flexible / Multi-System"))),IF(AND(O601&gt;=Assumptions!$B$23,P601&gt;=Assumptions!$B$24),"High Press / Gegenpressing",IF(AND(N601&gt;=Assumptions!$B$23,AB601&gt;=Assumptions!$B$25),"Possession / Build-from-the-Back",IF(N601&gt;=Assumptions!$B$23,"Counter-Attack / Transition",IF(AND(O601&gt;=Assumptions!$B$23,N601&lt;Assumptions!$B$26),"Low Block / Park the Bus",IF(AND(B601="FW",M601&gt;=Assumptions!$B$23,N601&lt;Assumptions!$B$26),"Direct / Target Approach","Flexible / Multi-System"))))))</f>
        <v>High Press / Gegenpressing</v>
      </c>
      <c r="AD601" s="21" t="str">
        <f aca="false">'Player Data'!Y601</f>
        <v>2026-07-17</v>
      </c>
      <c r="AE601" s="21" t="str">
        <f aca="false">'Player Data'!Z601</f>
        <v>2026-07-17</v>
      </c>
      <c r="AF601" s="28" t="str">
        <f aca="false">IFERROR(INDEX(Assumptions!$B$30:$B$61,MATCH(C601,Assumptions!$A$30:$A$61,0)),"--")</f>
        <v>Argentina, Portugal</v>
      </c>
      <c r="AG601" s="30" t="str">
        <f aca="false">IF(R601&gt;=0.7,"Step-Up Candidate",IF(R601&gt;=0.4,"Lateral Move","Stay &amp; Develop"))</f>
        <v>Step-Up Candidate</v>
      </c>
    </row>
    <row r="602" customFormat="false" ht="23.85" hidden="false" customHeight="false" outlineLevel="0" collapsed="false">
      <c r="A602" s="21" t="str">
        <f aca="false">'Player Data'!A602</f>
        <v>Santiago Fernandez</v>
      </c>
      <c r="B602" s="21" t="str">
        <f aca="false">'Player Data'!F602</f>
        <v>MF</v>
      </c>
      <c r="C602" s="21" t="str">
        <f aca="false">'Player Data'!B602</f>
        <v>Bolivia</v>
      </c>
      <c r="D602" s="21" t="str">
        <f aca="false">'Player Data'!C602</f>
        <v>Bolivia Provincial League</v>
      </c>
      <c r="E602" s="21" t="n">
        <f aca="false">'Player Data'!D602</f>
        <v>2</v>
      </c>
      <c r="F602" s="21" t="n">
        <f aca="false">'Player Data'!G602</f>
        <v>26</v>
      </c>
      <c r="G602" s="21" t="n">
        <f aca="false">'Player Data'!H602</f>
        <v>2017</v>
      </c>
      <c r="H602" s="22" t="n">
        <f aca="false">IF(B602="GK",IFERROR(('Player Data'!N602-1.5*'Player Data'!O602)/'Player Data'!H602*90,0),IFERROR(('Player Data'!I602+'Player Data'!J602)/'Player Data'!H602*90,0))</f>
        <v>1.02627664848785</v>
      </c>
      <c r="I602" s="22" t="n">
        <f aca="false">IF(B602="GK",'Player Data'!P602,IFERROR(('Player Data'!K602+'Player Data'!L602)/'Player Data'!H602*90,0))</f>
        <v>9.14724838869608</v>
      </c>
      <c r="J602" s="22" t="n">
        <f aca="false">IF(B602="GK",IFERROR('Player Data'!Q602/'Player Data'!H602*90,0),IFERROR('Player Data'!M602/'Player Data'!H602*90,0))</f>
        <v>2.49876053544869</v>
      </c>
      <c r="K602" s="23" t="n">
        <f aca="false">'Player Data'!S602</f>
        <v>137538</v>
      </c>
      <c r="L602" s="22" t="n">
        <f aca="false">INDEX(Assumptions!$B$13:$B$15,MATCH(E602,Assumptions!$A$13:$A$15,0))</f>
        <v>1</v>
      </c>
      <c r="M602" s="24" t="n">
        <f aca="false">IFERROR(SUMPRODUCT(($B$2:$B$1001=B602)*($H$2:$H$1001&lt;=H602))/SUMPRODUCT(($B$2:$B$1001=B602)*1),0)</f>
        <v>0.791245791245791</v>
      </c>
      <c r="N602" s="24" t="n">
        <f aca="false">IFERROR(SUMPRODUCT(($B$2:$B$1001=B602)*($I$2:$I$1001&lt;=I602))/SUMPRODUCT(($B$2:$B$1001=B602)*1),0)</f>
        <v>0.313131313131313</v>
      </c>
      <c r="O602" s="24" t="n">
        <f aca="false">IFERROR(SUMPRODUCT(($B$2:$B$1001=B602)*($J$2:$J$1001&lt;=J602))/SUMPRODUCT(($B$2:$B$1001=B602)*1),0)</f>
        <v>0.643097643097643</v>
      </c>
      <c r="P602" s="24" t="n">
        <f aca="false">IFERROR(SUMPRODUCT(($B$2:$B$1001=B602)*((0-$F$2:$F$1001)&lt;=(0-F602)))/SUMPRODUCT(($B$2:$B$1001=B602)*1),0)</f>
        <v>0.0909090909090909</v>
      </c>
      <c r="Q602" s="25" t="n">
        <f aca="false">(M602*Assumptions!$B$5+N602*Assumptions!$B$6+O602*Assumptions!$B$7+P602*Assumptions!$B$8)*L602</f>
        <v>0.454208754208754</v>
      </c>
      <c r="R602" s="24" t="n">
        <f aca="false">IFERROR(SUMPRODUCT(($B$2:$B$1001=B602)*($Q$2:$Q$1001&lt;=Q602))/SUMPRODUCT(($B$2:$B$1001=B602)*1),0)</f>
        <v>0.538720538720539</v>
      </c>
      <c r="S602" s="24" t="n">
        <f aca="false">IFERROR(SUMPRODUCT(($B$2:$B$1001=B602)*($K$2:$K$1001&lt;=K602))/SUMPRODUCT(($B$2:$B$1001=B602)*1),0)</f>
        <v>0.956228956228956</v>
      </c>
      <c r="T602" s="26" t="n">
        <f aca="false">(R602-S602)*100</f>
        <v>-41.7508417508418</v>
      </c>
      <c r="U602" s="21" t="str">
        <f aca="false">'Player Data'!T602</f>
        <v>No</v>
      </c>
      <c r="V602" s="27" t="n">
        <f aca="false">'Player Data'!U602</f>
        <v>2028</v>
      </c>
      <c r="W602" s="21" t="str">
        <f aca="false">IF(AND(T602&gt;=Assumptions!$B$19,U602="No"),"High Priority - Unrepresented",IF(T602&gt;=Assumptions!$B$19,"High Priority",IF(AND(T602&gt;=Assumptions!$B$20,U602="No"),"Watchlist - Unrepresented",IF(T602&gt;=Assumptions!$B$20,"Watchlist",""))))</f>
        <v/>
      </c>
      <c r="X602" s="21" t="str">
        <f aca="false">'Player Data'!V602</f>
        <v>info@sucrefc.bo</v>
      </c>
      <c r="Y602" s="28" t="str">
        <f aca="false">'Player Data'!W602</f>
        <v>Club sporting director / first-team office</v>
      </c>
      <c r="Z602" s="28" t="str">
        <f aca="false">'Player Data'!X602</f>
        <v>FBF (Bolivian Football Federation) player registry</v>
      </c>
      <c r="AA602" s="19" t="str">
        <f aca="false">HYPERLINK("https://www.transfermarkt.com/schnellsuche/ergebnis/schnellsuche?query="&amp;SUBSTITUTE(A602," ","+"),"Search Transfermarkt")</f>
        <v>Search Transfermarkt</v>
      </c>
      <c r="AB602" s="29" t="n">
        <f aca="false">IFERROR('Player Data'!K602/('Player Data'!K602+'Player Data'!L602),0)</f>
        <v>0.726829268292683</v>
      </c>
      <c r="AC602" s="21" t="str">
        <f aca="false">IF(B602="GK",IF(AND(O602&gt;=Assumptions!$B$23,N602&gt;=Assumptions!$B$23),"Sweeper-Keeper / Build-from-the-Back",IF(O602&gt;=Assumptions!$B$23,"Sweeper-Keeper / High Line",IF(M602&gt;=Assumptions!$B$23,"Shot-Stopper / Traditional","Flexible / Multi-System"))),IF(AND(O602&gt;=Assumptions!$B$23,P602&gt;=Assumptions!$B$24),"High Press / Gegenpressing",IF(AND(N602&gt;=Assumptions!$B$23,AB602&gt;=Assumptions!$B$25),"Possession / Build-from-the-Back",IF(N602&gt;=Assumptions!$B$23,"Counter-Attack / Transition",IF(AND(O602&gt;=Assumptions!$B$23,N602&lt;Assumptions!$B$26),"Low Block / Park the Bus",IF(AND(B602="FW",M602&gt;=Assumptions!$B$23,N602&lt;Assumptions!$B$26),"Direct / Target Approach","Flexible / Multi-System"))))))</f>
        <v>Flexible / Multi-System</v>
      </c>
      <c r="AD602" s="21" t="str">
        <f aca="false">'Player Data'!Y602</f>
        <v>2026-07-17</v>
      </c>
      <c r="AE602" s="21" t="str">
        <f aca="false">'Player Data'!Z602</f>
        <v>2026-07-17</v>
      </c>
      <c r="AF602" s="28" t="str">
        <f aca="false">IFERROR(INDEX(Assumptions!$B$30:$B$61,MATCH(C602,Assumptions!$A$30:$A$61,0)),"--")</f>
        <v>Argentina, Portugal</v>
      </c>
      <c r="AG602" s="30" t="str">
        <f aca="false">IF(R602&gt;=0.7,"Step-Up Candidate",IF(R602&gt;=0.4,"Lateral Move","Stay &amp; Develop"))</f>
        <v>Lateral Move</v>
      </c>
    </row>
    <row r="603" customFormat="false" ht="23.85" hidden="false" customHeight="false" outlineLevel="0" collapsed="false">
      <c r="A603" s="21" t="str">
        <f aca="false">'Player Data'!A603</f>
        <v>Christian Ngoy</v>
      </c>
      <c r="B603" s="21" t="str">
        <f aca="false">'Player Data'!F603</f>
        <v>GK</v>
      </c>
      <c r="C603" s="21" t="str">
        <f aca="false">'Player Data'!B603</f>
        <v>Cameroon</v>
      </c>
      <c r="D603" s="21" t="str">
        <f aca="false">'Player Data'!C603</f>
        <v>Cameroon Reserve League</v>
      </c>
      <c r="E603" s="21" t="n">
        <f aca="false">'Player Data'!D603</f>
        <v>3</v>
      </c>
      <c r="F603" s="21" t="n">
        <f aca="false">'Player Data'!G603</f>
        <v>18</v>
      </c>
      <c r="G603" s="21" t="n">
        <f aca="false">'Player Data'!H603</f>
        <v>2651</v>
      </c>
      <c r="H603" s="22" t="n">
        <f aca="false">IF(B603="GK",IFERROR(('Player Data'!N603-1.5*'Player Data'!O603)/'Player Data'!H603*90,0),IFERROR(('Player Data'!I603+'Player Data'!J603)/'Player Data'!H603*90,0))</f>
        <v>-0.152772538664655</v>
      </c>
      <c r="I603" s="22" t="n">
        <f aca="false">IF(B603="GK",'Player Data'!P603,IFERROR(('Player Data'!K603+'Player Data'!L603)/'Player Data'!H603*90,0))</f>
        <v>82.9</v>
      </c>
      <c r="J603" s="22" t="n">
        <f aca="false">IF(B603="GK",IFERROR('Player Data'!Q603/'Player Data'!H603*90,0),IFERROR('Player Data'!M603/'Player Data'!H603*90,0))</f>
        <v>0.692568841946435</v>
      </c>
      <c r="K603" s="23" t="n">
        <f aca="false">'Player Data'!S603</f>
        <v>100854</v>
      </c>
      <c r="L603" s="22" t="n">
        <f aca="false">INDEX(Assumptions!$B$13:$B$15,MATCH(E603,Assumptions!$A$13:$A$15,0))</f>
        <v>0.85</v>
      </c>
      <c r="M603" s="24" t="n">
        <f aca="false">IFERROR(SUMPRODUCT(($B$2:$B$1001=B603)*($H$2:$H$1001&lt;=H603))/SUMPRODUCT(($B$2:$B$1001=B603)*1),0)</f>
        <v>0.14207650273224</v>
      </c>
      <c r="N603" s="24" t="n">
        <f aca="false">IFERROR(SUMPRODUCT(($B$2:$B$1001=B603)*($I$2:$I$1001&lt;=I603))/SUMPRODUCT(($B$2:$B$1001=B603)*1),0)</f>
        <v>0.765027322404372</v>
      </c>
      <c r="O603" s="24" t="n">
        <f aca="false">IFERROR(SUMPRODUCT(($B$2:$B$1001=B603)*($J$2:$J$1001&lt;=J603))/SUMPRODUCT(($B$2:$B$1001=B603)*1),0)</f>
        <v>0.371584699453552</v>
      </c>
      <c r="P603" s="24" t="n">
        <f aca="false">IFERROR(SUMPRODUCT(($B$2:$B$1001=B603)*((0-$F$2:$F$1001)&lt;=(0-F603)))/SUMPRODUCT(($B$2:$B$1001=B603)*1),0)</f>
        <v>0.907103825136612</v>
      </c>
      <c r="Q603" s="25" t="n">
        <f aca="false">(M603*Assumptions!$B$5+N603*Assumptions!$B$6+O603*Assumptions!$B$7+P603*Assumptions!$B$8)*L603</f>
        <v>0.475163934426229</v>
      </c>
      <c r="R603" s="24" t="n">
        <f aca="false">IFERROR(SUMPRODUCT(($B$2:$B$1001=B603)*($Q$2:$Q$1001&lt;=Q603))/SUMPRODUCT(($B$2:$B$1001=B603)*1),0)</f>
        <v>0.53551912568306</v>
      </c>
      <c r="S603" s="24" t="n">
        <f aca="false">IFERROR(SUMPRODUCT(($B$2:$B$1001=B603)*($K$2:$K$1001&lt;=K603))/SUMPRODUCT(($B$2:$B$1001=B603)*1),0)</f>
        <v>0.715846994535519</v>
      </c>
      <c r="T603" s="26" t="n">
        <f aca="false">(R603-S603)*100</f>
        <v>-18.0327868852459</v>
      </c>
      <c r="U603" s="21" t="str">
        <f aca="false">'Player Data'!T603</f>
        <v>Unknown</v>
      </c>
      <c r="V603" s="27" t="n">
        <f aca="false">'Player Data'!U603</f>
        <v>2026</v>
      </c>
      <c r="W603" s="21" t="str">
        <f aca="false">IF(AND(T603&gt;=Assumptions!$B$19,U603="No"),"High Priority - Unrepresented",IF(T603&gt;=Assumptions!$B$19,"High Priority",IF(AND(T603&gt;=Assumptions!$B$20,U603="No"),"Watchlist - Unrepresented",IF(T603&gt;=Assumptions!$B$20,"Watchlist",""))))</f>
        <v/>
      </c>
      <c r="X603" s="21" t="str">
        <f aca="false">'Player Data'!V603</f>
        <v>info@doualafc.cm</v>
      </c>
      <c r="Y603" s="28" t="str">
        <f aca="false">'Player Data'!W603</f>
        <v>Club sporting director / first-team office</v>
      </c>
      <c r="Z603" s="28" t="str">
        <f aca="false">'Player Data'!X603</f>
        <v>FECAFOOT (Cameroonian Football Federation) player registry</v>
      </c>
      <c r="AA603" s="19" t="str">
        <f aca="false">HYPERLINK("https://www.transfermarkt.com/schnellsuche/ergebnis/schnellsuche?query="&amp;SUBSTITUTE(A603," ","+"),"Search Transfermarkt")</f>
        <v>Search Transfermarkt</v>
      </c>
      <c r="AB603" s="29" t="n">
        <f aca="false">IFERROR('Player Data'!K603/('Player Data'!K603+'Player Data'!L603),0)</f>
        <v>1</v>
      </c>
      <c r="AC603" s="21" t="str">
        <f aca="false">IF(B603="GK",IF(AND(O603&gt;=Assumptions!$B$23,N603&gt;=Assumptions!$B$23),"Sweeper-Keeper / Build-from-the-Back",IF(O603&gt;=Assumptions!$B$23,"Sweeper-Keeper / High Line",IF(M603&gt;=Assumptions!$B$23,"Shot-Stopper / Traditional","Flexible / Multi-System"))),IF(AND(O603&gt;=Assumptions!$B$23,P603&gt;=Assumptions!$B$24),"High Press / Gegenpressing",IF(AND(N603&gt;=Assumptions!$B$23,AB603&gt;=Assumptions!$B$25),"Possession / Build-from-the-Back",IF(N603&gt;=Assumptions!$B$23,"Counter-Attack / Transition",IF(AND(O603&gt;=Assumptions!$B$23,N603&lt;Assumptions!$B$26),"Low Block / Park the Bus",IF(AND(B603="FW",M603&gt;=Assumptions!$B$23,N603&lt;Assumptions!$B$26),"Direct / Target Approach","Flexible / Multi-System"))))))</f>
        <v>Flexible / Multi-System</v>
      </c>
      <c r="AD603" s="21" t="str">
        <f aca="false">'Player Data'!Y603</f>
        <v>2026-07-17</v>
      </c>
      <c r="AE603" s="21" t="str">
        <f aca="false">'Player Data'!Z603</f>
        <v>2026-07-17</v>
      </c>
      <c r="AF603" s="28" t="str">
        <f aca="false">IFERROR(INDEX(Assumptions!$B$30:$B$61,MATCH(C603,Assumptions!$A$30:$A$61,0)),"--")</f>
        <v>Belgium, Portugal</v>
      </c>
      <c r="AG603" s="30" t="str">
        <f aca="false">IF(R603&gt;=0.7,"Step-Up Candidate",IF(R603&gt;=0.4,"Lateral Move","Stay &amp; Develop"))</f>
        <v>Lateral Move</v>
      </c>
    </row>
    <row r="604" customFormat="false" ht="23.85" hidden="false" customHeight="false" outlineLevel="0" collapsed="false">
      <c r="A604" s="21" t="str">
        <f aca="false">'Player Data'!A604</f>
        <v>Do-yun Lee</v>
      </c>
      <c r="B604" s="21" t="str">
        <f aca="false">'Player Data'!F604</f>
        <v>FW</v>
      </c>
      <c r="C604" s="21" t="str">
        <f aca="false">'Player Data'!B604</f>
        <v>South Korea</v>
      </c>
      <c r="D604" s="21" t="str">
        <f aca="false">'Player Data'!C604</f>
        <v>South Korea Second Division</v>
      </c>
      <c r="E604" s="21" t="n">
        <f aca="false">'Player Data'!D604</f>
        <v>2</v>
      </c>
      <c r="F604" s="21" t="n">
        <f aca="false">'Player Data'!G604</f>
        <v>24</v>
      </c>
      <c r="G604" s="21" t="n">
        <f aca="false">'Player Data'!H604</f>
        <v>1449</v>
      </c>
      <c r="H604" s="22" t="n">
        <f aca="false">IF(B604="GK",IFERROR(('Player Data'!N604-1.5*'Player Data'!O604)/'Player Data'!H604*90,0),IFERROR(('Player Data'!I604+'Player Data'!J604)/'Player Data'!H604*90,0))</f>
        <v>0.745341614906832</v>
      </c>
      <c r="I604" s="22" t="n">
        <f aca="false">IF(B604="GK",'Player Data'!P604,IFERROR(('Player Data'!K604+'Player Data'!L604)/'Player Data'!H604*90,0))</f>
        <v>7.95031055900621</v>
      </c>
      <c r="J604" s="22" t="n">
        <f aca="false">IF(B604="GK",IFERROR('Player Data'!Q604/'Player Data'!H604*90,0),IFERROR('Player Data'!M604/'Player Data'!H604*90,0))</f>
        <v>0.807453416149068</v>
      </c>
      <c r="K604" s="23" t="n">
        <f aca="false">'Player Data'!S604</f>
        <v>94225</v>
      </c>
      <c r="L604" s="22" t="n">
        <f aca="false">INDEX(Assumptions!$B$13:$B$15,MATCH(E604,Assumptions!$A$13:$A$15,0))</f>
        <v>1</v>
      </c>
      <c r="M604" s="24" t="n">
        <f aca="false">IFERROR(SUMPRODUCT(($B$2:$B$1001=B604)*($H$2:$H$1001&lt;=H604))/SUMPRODUCT(($B$2:$B$1001=B604)*1),0)</f>
        <v>0.261061946902655</v>
      </c>
      <c r="N604" s="24" t="n">
        <f aca="false">IFERROR(SUMPRODUCT(($B$2:$B$1001=B604)*($I$2:$I$1001&lt;=I604))/SUMPRODUCT(($B$2:$B$1001=B604)*1),0)</f>
        <v>0.654867256637168</v>
      </c>
      <c r="O604" s="24" t="n">
        <f aca="false">IFERROR(SUMPRODUCT(($B$2:$B$1001=B604)*($J$2:$J$1001&lt;=J604))/SUMPRODUCT(($B$2:$B$1001=B604)*1),0)</f>
        <v>0.792035398230089</v>
      </c>
      <c r="P604" s="24" t="n">
        <f aca="false">IFERROR(SUMPRODUCT(($B$2:$B$1001=B604)*((0-$F$2:$F$1001)&lt;=(0-F604)))/SUMPRODUCT(($B$2:$B$1001=B604)*1),0)</f>
        <v>0.305309734513274</v>
      </c>
      <c r="Q604" s="25" t="n">
        <f aca="false">(M604*Assumptions!$B$5+N604*Assumptions!$B$6+O604*Assumptions!$B$7+P604*Assumptions!$B$8)*L604</f>
        <v>0.513938053097345</v>
      </c>
      <c r="R604" s="24" t="n">
        <f aca="false">IFERROR(SUMPRODUCT(($B$2:$B$1001=B604)*($Q$2:$Q$1001&lt;=Q604))/SUMPRODUCT(($B$2:$B$1001=B604)*1),0)</f>
        <v>0.632743362831858</v>
      </c>
      <c r="S604" s="24" t="n">
        <f aca="false">IFERROR(SUMPRODUCT(($B$2:$B$1001=B604)*($K$2:$K$1001&lt;=K604))/SUMPRODUCT(($B$2:$B$1001=B604)*1),0)</f>
        <v>0.672566371681416</v>
      </c>
      <c r="T604" s="26" t="n">
        <f aca="false">(R604-S604)*100</f>
        <v>-3.98230088495576</v>
      </c>
      <c r="U604" s="21" t="str">
        <f aca="false">'Player Data'!T604</f>
        <v>No</v>
      </c>
      <c r="V604" s="27" t="n">
        <f aca="false">'Player Data'!U604</f>
        <v>2029</v>
      </c>
      <c r="W604" s="21" t="str">
        <f aca="false">IF(AND(T604&gt;=Assumptions!$B$19,U604="No"),"High Priority - Unrepresented",IF(T604&gt;=Assumptions!$B$19,"High Priority",IF(AND(T604&gt;=Assumptions!$B$20,U604="No"),"Watchlist - Unrepresented",IF(T604&gt;=Assumptions!$B$20,"Watchlist",""))))</f>
        <v/>
      </c>
      <c r="X604" s="21" t="str">
        <f aca="false">'Player Data'!V604</f>
        <v>info@busanunited.kr</v>
      </c>
      <c r="Y604" s="28" t="str">
        <f aca="false">'Player Data'!W604</f>
        <v>Club sporting director / first-team office</v>
      </c>
      <c r="Z604" s="28" t="str">
        <f aca="false">'Player Data'!X604</f>
        <v>KFA (Korea Football Association) player registry</v>
      </c>
      <c r="AA604" s="19" t="str">
        <f aca="false">HYPERLINK("https://www.transfermarkt.com/schnellsuche/ergebnis/schnellsuche?query="&amp;SUBSTITUTE(A604," ","+"),"Search Transfermarkt")</f>
        <v>Search Transfermarkt</v>
      </c>
      <c r="AB604" s="29" t="n">
        <f aca="false">IFERROR('Player Data'!K604/('Player Data'!K604+'Player Data'!L604),0)</f>
        <v>0.5234375</v>
      </c>
      <c r="AC604" s="21" t="str">
        <f aca="false">IF(B604="GK",IF(AND(O604&gt;=Assumptions!$B$23,N604&gt;=Assumptions!$B$23),"Sweeper-Keeper / Build-from-the-Back",IF(O604&gt;=Assumptions!$B$23,"Sweeper-Keeper / High Line",IF(M604&gt;=Assumptions!$B$23,"Shot-Stopper / Traditional","Flexible / Multi-System"))),IF(AND(O604&gt;=Assumptions!$B$23,P604&gt;=Assumptions!$B$24),"High Press / Gegenpressing",IF(AND(N604&gt;=Assumptions!$B$23,AB604&gt;=Assumptions!$B$25),"Possession / Build-from-the-Back",IF(N604&gt;=Assumptions!$B$23,"Counter-Attack / Transition",IF(AND(O604&gt;=Assumptions!$B$23,N604&lt;Assumptions!$B$26),"Low Block / Park the Bus",IF(AND(B604="FW",M604&gt;=Assumptions!$B$23,N604&lt;Assumptions!$B$26),"Direct / Target Approach","Flexible / Multi-System"))))))</f>
        <v>Counter-Attack / Transition</v>
      </c>
      <c r="AD604" s="21" t="str">
        <f aca="false">'Player Data'!Y604</f>
        <v>2026-07-17</v>
      </c>
      <c r="AE604" s="21" t="str">
        <f aca="false">'Player Data'!Z604</f>
        <v>2026-07-17</v>
      </c>
      <c r="AF604" s="28" t="str">
        <f aca="false">IFERROR(INDEX(Assumptions!$B$30:$B$61,MATCH(C604,Assumptions!$A$30:$A$61,0)),"--")</f>
        <v>Belgium, Saudi Arabia</v>
      </c>
      <c r="AG604" s="30" t="str">
        <f aca="false">IF(R604&gt;=0.7,"Step-Up Candidate",IF(R604&gt;=0.4,"Lateral Move","Stay &amp; Develop"))</f>
        <v>Lateral Move</v>
      </c>
    </row>
    <row r="605" customFormat="false" ht="23.85" hidden="false" customHeight="false" outlineLevel="0" collapsed="false">
      <c r="A605" s="21" t="str">
        <f aca="false">'Player Data'!A605</f>
        <v>Modibo Keita</v>
      </c>
      <c r="B605" s="21" t="str">
        <f aca="false">'Player Data'!F605</f>
        <v>MF</v>
      </c>
      <c r="C605" s="21" t="str">
        <f aca="false">'Player Data'!B605</f>
        <v>Mali</v>
      </c>
      <c r="D605" s="21" t="str">
        <f aca="false">'Player Data'!C605</f>
        <v>Mali Regional League</v>
      </c>
      <c r="E605" s="21" t="n">
        <f aca="false">'Player Data'!D605</f>
        <v>2</v>
      </c>
      <c r="F605" s="21" t="n">
        <f aca="false">'Player Data'!G605</f>
        <v>24</v>
      </c>
      <c r="G605" s="21" t="n">
        <f aca="false">'Player Data'!H605</f>
        <v>981</v>
      </c>
      <c r="H605" s="22" t="n">
        <f aca="false">IF(B605="GK",IFERROR(('Player Data'!N605-1.5*'Player Data'!O605)/'Player Data'!H605*90,0),IFERROR(('Player Data'!I605+'Player Data'!J605)/'Player Data'!H605*90,0))</f>
        <v>1.46788990825688</v>
      </c>
      <c r="I605" s="22" t="n">
        <f aca="false">IF(B605="GK",'Player Data'!P605,IFERROR(('Player Data'!K605+'Player Data'!L605)/'Player Data'!H605*90,0))</f>
        <v>15.9633027522936</v>
      </c>
      <c r="J605" s="22" t="n">
        <f aca="false">IF(B605="GK",IFERROR('Player Data'!Q605/'Player Data'!H605*90,0),IFERROR('Player Data'!M605/'Player Data'!H605*90,0))</f>
        <v>5.22935779816514</v>
      </c>
      <c r="K605" s="23" t="n">
        <f aca="false">'Player Data'!S605</f>
        <v>74187</v>
      </c>
      <c r="L605" s="22" t="n">
        <f aca="false">INDEX(Assumptions!$B$13:$B$15,MATCH(E605,Assumptions!$A$13:$A$15,0))</f>
        <v>1</v>
      </c>
      <c r="M605" s="24" t="n">
        <f aca="false">IFERROR(SUMPRODUCT(($B$2:$B$1001=B605)*($H$2:$H$1001&lt;=H605))/SUMPRODUCT(($B$2:$B$1001=B605)*1),0)</f>
        <v>0.925925925925926</v>
      </c>
      <c r="N605" s="24" t="n">
        <f aca="false">IFERROR(SUMPRODUCT(($B$2:$B$1001=B605)*($I$2:$I$1001&lt;=I605))/SUMPRODUCT(($B$2:$B$1001=B605)*1),0)</f>
        <v>0.791245791245791</v>
      </c>
      <c r="O605" s="24" t="n">
        <f aca="false">IFERROR(SUMPRODUCT(($B$2:$B$1001=B605)*($J$2:$J$1001&lt;=J605))/SUMPRODUCT(($B$2:$B$1001=B605)*1),0)</f>
        <v>0.993265993265993</v>
      </c>
      <c r="P605" s="24" t="n">
        <f aca="false">IFERROR(SUMPRODUCT(($B$2:$B$1001=B605)*((0-$F$2:$F$1001)&lt;=(0-F605)))/SUMPRODUCT(($B$2:$B$1001=B605)*1),0)</f>
        <v>0.326599326599327</v>
      </c>
      <c r="Q605" s="25" t="n">
        <f aca="false">(M605*Assumptions!$B$5+N605*Assumptions!$B$6+O605*Assumptions!$B$7+P605*Assumptions!$B$8)*L605</f>
        <v>0.772390572390572</v>
      </c>
      <c r="R605" s="24" t="n">
        <f aca="false">IFERROR(SUMPRODUCT(($B$2:$B$1001=B605)*($Q$2:$Q$1001&lt;=Q605))/SUMPRODUCT(($B$2:$B$1001=B605)*1),0)</f>
        <v>0.915824915824916</v>
      </c>
      <c r="S605" s="24" t="n">
        <f aca="false">IFERROR(SUMPRODUCT(($B$2:$B$1001=B605)*($K$2:$K$1001&lt;=K605))/SUMPRODUCT(($B$2:$B$1001=B605)*1),0)</f>
        <v>0.595959595959596</v>
      </c>
      <c r="T605" s="26" t="n">
        <f aca="false">(R605-S605)*100</f>
        <v>31.986531986532</v>
      </c>
      <c r="U605" s="21" t="str">
        <f aca="false">'Player Data'!T605</f>
        <v>No</v>
      </c>
      <c r="V605" s="27" t="n">
        <f aca="false">'Player Data'!U605</f>
        <v>2029</v>
      </c>
      <c r="W605" s="21" t="str">
        <f aca="false">IF(AND(T605&gt;=Assumptions!$B$19,U605="No"),"High Priority - Unrepresented",IF(T605&gt;=Assumptions!$B$19,"High Priority",IF(AND(T605&gt;=Assumptions!$B$20,U605="No"),"Watchlist - Unrepresented",IF(T605&gt;=Assumptions!$B$20,"Watchlist",""))))</f>
        <v>Watchlist - Unrepresented</v>
      </c>
      <c r="X605" s="21" t="str">
        <f aca="false">'Player Data'!V605</f>
        <v>info@kayessc.ml</v>
      </c>
      <c r="Y605" s="28" t="str">
        <f aca="false">'Player Data'!W605</f>
        <v>Club sporting director / first-team office</v>
      </c>
      <c r="Z605" s="28" t="str">
        <f aca="false">'Player Data'!X605</f>
        <v>FEMAFOOT (Malian Football Federation) player registry</v>
      </c>
      <c r="AA605" s="19" t="str">
        <f aca="false">HYPERLINK("https://www.transfermarkt.com/schnellsuche/ergebnis/schnellsuche?query="&amp;SUBSTITUTE(A605," ","+"),"Search Transfermarkt")</f>
        <v>Search Transfermarkt</v>
      </c>
      <c r="AB605" s="29" t="n">
        <f aca="false">IFERROR('Player Data'!K605/('Player Data'!K605+'Player Data'!L605),0)</f>
        <v>0.689655172413793</v>
      </c>
      <c r="AC605" s="21" t="str">
        <f aca="false">IF(B605="GK",IF(AND(O605&gt;=Assumptions!$B$23,N605&gt;=Assumptions!$B$23),"Sweeper-Keeper / Build-from-the-Back",IF(O605&gt;=Assumptions!$B$23,"Sweeper-Keeper / High Line",IF(M605&gt;=Assumptions!$B$23,"Shot-Stopper / Traditional","Flexible / Multi-System"))),IF(AND(O605&gt;=Assumptions!$B$23,P605&gt;=Assumptions!$B$24),"High Press / Gegenpressing",IF(AND(N605&gt;=Assumptions!$B$23,AB605&gt;=Assumptions!$B$25),"Possession / Build-from-the-Back",IF(N605&gt;=Assumptions!$B$23,"Counter-Attack / Transition",IF(AND(O605&gt;=Assumptions!$B$23,N605&lt;Assumptions!$B$26),"Low Block / Park the Bus",IF(AND(B605="FW",M605&gt;=Assumptions!$B$23,N605&lt;Assumptions!$B$26),"Direct / Target Approach","Flexible / Multi-System"))))))</f>
        <v>Possession / Build-from-the-Back</v>
      </c>
      <c r="AD605" s="21" t="str">
        <f aca="false">'Player Data'!Y605</f>
        <v>2026-07-17</v>
      </c>
      <c r="AE605" s="21" t="str">
        <f aca="false">'Player Data'!Z605</f>
        <v>2026-07-17</v>
      </c>
      <c r="AF605" s="28" t="str">
        <f aca="false">IFERROR(INDEX(Assumptions!$B$30:$B$61,MATCH(C605,Assumptions!$A$30:$A$61,0)),"--")</f>
        <v>Belgium, Portugal</v>
      </c>
      <c r="AG605" s="30" t="str">
        <f aca="false">IF(R605&gt;=0.7,"Step-Up Candidate",IF(R605&gt;=0.4,"Lateral Move","Stay &amp; Develop"))</f>
        <v>Step-Up Candidate</v>
      </c>
    </row>
    <row r="606" customFormat="false" ht="23.85" hidden="false" customHeight="false" outlineLevel="0" collapsed="false">
      <c r="A606" s="21" t="str">
        <f aca="false">'Player Data'!A606</f>
        <v>Given Zulu</v>
      </c>
      <c r="B606" s="21" t="str">
        <f aca="false">'Player Data'!F606</f>
        <v>FW</v>
      </c>
      <c r="C606" s="21" t="str">
        <f aca="false">'Player Data'!B606</f>
        <v>Zambia</v>
      </c>
      <c r="D606" s="21" t="str">
        <f aca="false">'Player Data'!C606</f>
        <v>Zambia Reserve League</v>
      </c>
      <c r="E606" s="21" t="n">
        <f aca="false">'Player Data'!D606</f>
        <v>4</v>
      </c>
      <c r="F606" s="21" t="n">
        <f aca="false">'Player Data'!G606</f>
        <v>22</v>
      </c>
      <c r="G606" s="21" t="n">
        <f aca="false">'Player Data'!H606</f>
        <v>1796</v>
      </c>
      <c r="H606" s="22" t="n">
        <f aca="false">IF(B606="GK",IFERROR(('Player Data'!N606-1.5*'Player Data'!O606)/'Player Data'!H606*90,0),IFERROR(('Player Data'!I606+'Player Data'!J606)/'Player Data'!H606*90,0))</f>
        <v>0.601336302895323</v>
      </c>
      <c r="I606" s="22" t="n">
        <f aca="false">IF(B606="GK",'Player Data'!P606,IFERROR(('Player Data'!K606+'Player Data'!L606)/'Player Data'!H606*90,0))</f>
        <v>5.21158129175947</v>
      </c>
      <c r="J606" s="22" t="n">
        <f aca="false">IF(B606="GK",IFERROR('Player Data'!Q606/'Player Data'!H606*90,0),IFERROR('Player Data'!M606/'Player Data'!H606*90,0))</f>
        <v>0.651447661469933</v>
      </c>
      <c r="K606" s="23" t="n">
        <f aca="false">'Player Data'!S606</f>
        <v>137016</v>
      </c>
      <c r="L606" s="22" t="n">
        <f aca="false">INDEX(Assumptions!$B$13:$B$15,MATCH(E606,Assumptions!$A$13:$A$15,0))</f>
        <v>0.7</v>
      </c>
      <c r="M606" s="24" t="n">
        <f aca="false">IFERROR(SUMPRODUCT(($B$2:$B$1001=B606)*($H$2:$H$1001&lt;=H606))/SUMPRODUCT(($B$2:$B$1001=B606)*1),0)</f>
        <v>0.150442477876106</v>
      </c>
      <c r="N606" s="24" t="n">
        <f aca="false">IFERROR(SUMPRODUCT(($B$2:$B$1001=B606)*($I$2:$I$1001&lt;=I606))/SUMPRODUCT(($B$2:$B$1001=B606)*1),0)</f>
        <v>0.252212389380531</v>
      </c>
      <c r="O606" s="24" t="n">
        <f aca="false">IFERROR(SUMPRODUCT(($B$2:$B$1001=B606)*($J$2:$J$1001&lt;=J606))/SUMPRODUCT(($B$2:$B$1001=B606)*1),0)</f>
        <v>0.699115044247788</v>
      </c>
      <c r="P606" s="24" t="n">
        <f aca="false">IFERROR(SUMPRODUCT(($B$2:$B$1001=B606)*((0-$F$2:$F$1001)&lt;=(0-F606)))/SUMPRODUCT(($B$2:$B$1001=B606)*1),0)</f>
        <v>0.504424778761062</v>
      </c>
      <c r="Q606" s="25" t="n">
        <f aca="false">(M606*Assumptions!$B$5+N606*Assumptions!$B$6+O606*Assumptions!$B$7+P606*Assumptions!$B$8)*L606</f>
        <v>0.256615044247788</v>
      </c>
      <c r="R606" s="24" t="n">
        <f aca="false">IFERROR(SUMPRODUCT(($B$2:$B$1001=B606)*($Q$2:$Q$1001&lt;=Q606))/SUMPRODUCT(($B$2:$B$1001=B606)*1),0)</f>
        <v>0.216814159292035</v>
      </c>
      <c r="S606" s="24" t="n">
        <f aca="false">IFERROR(SUMPRODUCT(($B$2:$B$1001=B606)*($K$2:$K$1001&lt;=K606))/SUMPRODUCT(($B$2:$B$1001=B606)*1),0)</f>
        <v>0.938053097345133</v>
      </c>
      <c r="T606" s="26" t="n">
        <f aca="false">(R606-S606)*100</f>
        <v>-72.1238938053097</v>
      </c>
      <c r="U606" s="21" t="str">
        <f aca="false">'Player Data'!T606</f>
        <v>No</v>
      </c>
      <c r="V606" s="27" t="n">
        <f aca="false">'Player Data'!U606</f>
        <v>2026</v>
      </c>
      <c r="W606" s="21" t="str">
        <f aca="false">IF(AND(T606&gt;=Assumptions!$B$19,U606="No"),"High Priority - Unrepresented",IF(T606&gt;=Assumptions!$B$19,"High Priority",IF(AND(T606&gt;=Assumptions!$B$20,U606="No"),"Watchlist - Unrepresented",IF(T606&gt;=Assumptions!$B$20,"Watchlist",""))))</f>
        <v/>
      </c>
      <c r="X606" s="21" t="str">
        <f aca="false">'Player Data'!V606</f>
        <v>info@livingstonewanderers.zm</v>
      </c>
      <c r="Y606" s="28" t="str">
        <f aca="false">'Player Data'!W606</f>
        <v>Club sporting director / first-team office</v>
      </c>
      <c r="Z606" s="28" t="str">
        <f aca="false">'Player Data'!X606</f>
        <v>FAZ (Football Association of Zambia) player registry</v>
      </c>
      <c r="AA606" s="19" t="str">
        <f aca="false">HYPERLINK("https://www.transfermarkt.com/schnellsuche/ergebnis/schnellsuche?query="&amp;SUBSTITUTE(A606," ","+"),"Search Transfermarkt")</f>
        <v>Search Transfermarkt</v>
      </c>
      <c r="AB606" s="29" t="n">
        <f aca="false">IFERROR('Player Data'!K606/('Player Data'!K606+'Player Data'!L606),0)</f>
        <v>0.423076923076923</v>
      </c>
      <c r="AC606" s="21" t="str">
        <f aca="false">IF(B606="GK",IF(AND(O606&gt;=Assumptions!$B$23,N606&gt;=Assumptions!$B$23),"Sweeper-Keeper / Build-from-the-Back",IF(O606&gt;=Assumptions!$B$23,"Sweeper-Keeper / High Line",IF(M606&gt;=Assumptions!$B$23,"Shot-Stopper / Traditional","Flexible / Multi-System"))),IF(AND(O606&gt;=Assumptions!$B$23,P606&gt;=Assumptions!$B$24),"High Press / Gegenpressing",IF(AND(N606&gt;=Assumptions!$B$23,AB606&gt;=Assumptions!$B$25),"Possession / Build-from-the-Back",IF(N606&gt;=Assumptions!$B$23,"Counter-Attack / Transition",IF(AND(O606&gt;=Assumptions!$B$23,N606&lt;Assumptions!$B$26),"Low Block / Park the Bus",IF(AND(B606="FW",M606&gt;=Assumptions!$B$23,N606&lt;Assumptions!$B$26),"Direct / Target Approach","Flexible / Multi-System"))))))</f>
        <v>Low Block / Park the Bus</v>
      </c>
      <c r="AD606" s="21" t="str">
        <f aca="false">'Player Data'!Y606</f>
        <v>2026-07-17</v>
      </c>
      <c r="AE606" s="21" t="str">
        <f aca="false">'Player Data'!Z606</f>
        <v>2026-07-17</v>
      </c>
      <c r="AF606" s="28" t="str">
        <f aca="false">IFERROR(INDEX(Assumptions!$B$30:$B$61,MATCH(C606,Assumptions!$A$30:$A$61,0)),"--")</f>
        <v>Belgium, Portugal</v>
      </c>
      <c r="AG606" s="30" t="str">
        <f aca="false">IF(R606&gt;=0.7,"Step-Up Candidate",IF(R606&gt;=0.4,"Lateral Move","Stay &amp; Develop"))</f>
        <v>Stay &amp; Develop</v>
      </c>
    </row>
    <row r="607" customFormat="false" ht="23.85" hidden="false" customHeight="false" outlineLevel="0" collapsed="false">
      <c r="A607" s="21" t="str">
        <f aca="false">'Player Data'!A607</f>
        <v>Enock Tembo</v>
      </c>
      <c r="B607" s="21" t="str">
        <f aca="false">'Player Data'!F607</f>
        <v>MF</v>
      </c>
      <c r="C607" s="21" t="str">
        <f aca="false">'Player Data'!B607</f>
        <v>Zambia</v>
      </c>
      <c r="D607" s="21" t="str">
        <f aca="false">'Player Data'!C607</f>
        <v>Zambia Third Tier - South</v>
      </c>
      <c r="E607" s="21" t="n">
        <f aca="false">'Player Data'!D607</f>
        <v>2</v>
      </c>
      <c r="F607" s="21" t="n">
        <f aca="false">'Player Data'!G607</f>
        <v>22</v>
      </c>
      <c r="G607" s="21" t="n">
        <f aca="false">'Player Data'!H607</f>
        <v>2157</v>
      </c>
      <c r="H607" s="22" t="n">
        <f aca="false">IF(B607="GK",IFERROR(('Player Data'!N607-1.5*'Player Data'!O607)/'Player Data'!H607*90,0),IFERROR(('Player Data'!I607+'Player Data'!J607)/'Player Data'!H607*90,0))</f>
        <v>0.751043115438109</v>
      </c>
      <c r="I607" s="22" t="n">
        <f aca="false">IF(B607="GK",'Player Data'!P607,IFERROR(('Player Data'!K607+'Player Data'!L607)/'Player Data'!H607*90,0))</f>
        <v>10.2642559109875</v>
      </c>
      <c r="J607" s="22" t="n">
        <f aca="false">IF(B607="GK",IFERROR('Player Data'!Q607/'Player Data'!H607*90,0),IFERROR('Player Data'!M607/'Player Data'!H607*90,0))</f>
        <v>2.42002781641168</v>
      </c>
      <c r="K607" s="23" t="n">
        <f aca="false">'Player Data'!S607</f>
        <v>0</v>
      </c>
      <c r="L607" s="22" t="n">
        <f aca="false">INDEX(Assumptions!$B$13:$B$15,MATCH(E607,Assumptions!$A$13:$A$15,0))</f>
        <v>1</v>
      </c>
      <c r="M607" s="24" t="n">
        <f aca="false">IFERROR(SUMPRODUCT(($B$2:$B$1001=B607)*($H$2:$H$1001&lt;=H607))/SUMPRODUCT(($B$2:$B$1001=B607)*1),0)</f>
        <v>0.511784511784512</v>
      </c>
      <c r="N607" s="24" t="n">
        <f aca="false">IFERROR(SUMPRODUCT(($B$2:$B$1001=B607)*($I$2:$I$1001&lt;=I607))/SUMPRODUCT(($B$2:$B$1001=B607)*1),0)</f>
        <v>0.444444444444444</v>
      </c>
      <c r="O607" s="24" t="n">
        <f aca="false">IFERROR(SUMPRODUCT(($B$2:$B$1001=B607)*($J$2:$J$1001&lt;=J607))/SUMPRODUCT(($B$2:$B$1001=B607)*1),0)</f>
        <v>0.616161616161616</v>
      </c>
      <c r="P607" s="24" t="n">
        <f aca="false">IFERROR(SUMPRODUCT(($B$2:$B$1001=B607)*((0-$F$2:$F$1001)&lt;=(0-F607)))/SUMPRODUCT(($B$2:$B$1001=B607)*1),0)</f>
        <v>0.515151515151515</v>
      </c>
      <c r="Q607" s="25" t="n">
        <f aca="false">(M607*Assumptions!$B$5+N607*Assumptions!$B$6+O607*Assumptions!$B$7+P607*Assumptions!$B$8)*L607</f>
        <v>0.50976430976431</v>
      </c>
      <c r="R607" s="24" t="n">
        <f aca="false">IFERROR(SUMPRODUCT(($B$2:$B$1001=B607)*($Q$2:$Q$1001&lt;=Q607))/SUMPRODUCT(($B$2:$B$1001=B607)*1),0)</f>
        <v>0.632996632996633</v>
      </c>
      <c r="S607" s="24" t="n">
        <f aca="false">IFERROR(SUMPRODUCT(($B$2:$B$1001=B607)*($K$2:$K$1001&lt;=K607))/SUMPRODUCT(($B$2:$B$1001=B607)*1),0)</f>
        <v>0.228956228956229</v>
      </c>
      <c r="T607" s="26" t="n">
        <f aca="false">(R607-S607)*100</f>
        <v>40.4040404040404</v>
      </c>
      <c r="U607" s="21" t="str">
        <f aca="false">'Player Data'!T607</f>
        <v>Yes</v>
      </c>
      <c r="V607" s="27" t="n">
        <f aca="false">'Player Data'!U607</f>
        <v>2028</v>
      </c>
      <c r="W607" s="21" t="str">
        <f aca="false">IF(AND(T607&gt;=Assumptions!$B$19,U607="No"),"High Priority - Unrepresented",IF(T607&gt;=Assumptions!$B$19,"High Priority",IF(AND(T607&gt;=Assumptions!$B$20,U607="No"),"Watchlist - Unrepresented",IF(T607&gt;=Assumptions!$B$20,"Watchlist",""))))</f>
        <v>High Priority</v>
      </c>
      <c r="X607" s="21" t="str">
        <f aca="false">'Player Data'!V607</f>
        <v>info@ndolacity.zm</v>
      </c>
      <c r="Y607" s="28" t="str">
        <f aca="false">'Player Data'!W607</f>
        <v>Go through the player's agent - ask the club to confirm representation first</v>
      </c>
      <c r="Z607" s="28" t="str">
        <f aca="false">'Player Data'!X607</f>
        <v>FAZ (Football Association of Zambia) player registry</v>
      </c>
      <c r="AA607" s="19" t="str">
        <f aca="false">HYPERLINK("https://www.transfermarkt.com/schnellsuche/ergebnis/schnellsuche?query="&amp;SUBSTITUTE(A607," ","+"),"Search Transfermarkt")</f>
        <v>Search Transfermarkt</v>
      </c>
      <c r="AB607" s="29" t="n">
        <f aca="false">IFERROR('Player Data'!K607/('Player Data'!K607+'Player Data'!L607),0)</f>
        <v>0.695121951219512</v>
      </c>
      <c r="AC607" s="21" t="str">
        <f aca="false">IF(B607="GK",IF(AND(O607&gt;=Assumptions!$B$23,N607&gt;=Assumptions!$B$23),"Sweeper-Keeper / Build-from-the-Back",IF(O607&gt;=Assumptions!$B$23,"Sweeper-Keeper / High Line",IF(M607&gt;=Assumptions!$B$23,"Shot-Stopper / Traditional","Flexible / Multi-System"))),IF(AND(O607&gt;=Assumptions!$B$23,P607&gt;=Assumptions!$B$24),"High Press / Gegenpressing",IF(AND(N607&gt;=Assumptions!$B$23,AB607&gt;=Assumptions!$B$25),"Possession / Build-from-the-Back",IF(N607&gt;=Assumptions!$B$23,"Counter-Attack / Transition",IF(AND(O607&gt;=Assumptions!$B$23,N607&lt;Assumptions!$B$26),"Low Block / Park the Bus",IF(AND(B607="FW",M607&gt;=Assumptions!$B$23,N607&lt;Assumptions!$B$26),"Direct / Target Approach","Flexible / Multi-System"))))))</f>
        <v>Flexible / Multi-System</v>
      </c>
      <c r="AD607" s="21" t="str">
        <f aca="false">'Player Data'!Y607</f>
        <v>2026-07-17</v>
      </c>
      <c r="AE607" s="21" t="str">
        <f aca="false">'Player Data'!Z607</f>
        <v>2026-07-17</v>
      </c>
      <c r="AF607" s="28" t="str">
        <f aca="false">IFERROR(INDEX(Assumptions!$B$30:$B$61,MATCH(C607,Assumptions!$A$30:$A$61,0)),"--")</f>
        <v>Belgium, Portugal</v>
      </c>
      <c r="AG607" s="30" t="str">
        <f aca="false">IF(R607&gt;=0.7,"Step-Up Candidate",IF(R607&gt;=0.4,"Lateral Move","Stay &amp; Develop"))</f>
        <v>Lateral Move</v>
      </c>
    </row>
    <row r="608" customFormat="false" ht="23.85" hidden="false" customHeight="false" outlineLevel="0" collapsed="false">
      <c r="A608" s="21" t="str">
        <f aca="false">'Player Data'!A608</f>
        <v>Nikola Perovic</v>
      </c>
      <c r="B608" s="21" t="str">
        <f aca="false">'Player Data'!F608</f>
        <v>FW</v>
      </c>
      <c r="C608" s="21" t="str">
        <f aca="false">'Player Data'!B608</f>
        <v>Montenegro</v>
      </c>
      <c r="D608" s="21" t="str">
        <f aca="false">'Player Data'!C608</f>
        <v>Montenegro Third Tier - North</v>
      </c>
      <c r="E608" s="21" t="n">
        <f aca="false">'Player Data'!D608</f>
        <v>3</v>
      </c>
      <c r="F608" s="21" t="n">
        <f aca="false">'Player Data'!G608</f>
        <v>26</v>
      </c>
      <c r="G608" s="21" t="n">
        <f aca="false">'Player Data'!H608</f>
        <v>2010</v>
      </c>
      <c r="H608" s="22" t="n">
        <f aca="false">IF(B608="GK",IFERROR(('Player Data'!N608-1.5*'Player Data'!O608)/'Player Data'!H608*90,0),IFERROR(('Player Data'!I608+'Player Data'!J608)/'Player Data'!H608*90,0))</f>
        <v>0.850746268656716</v>
      </c>
      <c r="I608" s="22" t="n">
        <f aca="false">IF(B608="GK",'Player Data'!P608,IFERROR(('Player Data'!K608+'Player Data'!L608)/'Player Data'!H608*90,0))</f>
        <v>5.46268656716418</v>
      </c>
      <c r="J608" s="22" t="n">
        <f aca="false">IF(B608="GK",IFERROR('Player Data'!Q608/'Player Data'!H608*90,0),IFERROR('Player Data'!M608/'Player Data'!H608*90,0))</f>
        <v>0.313432835820896</v>
      </c>
      <c r="K608" s="23" t="n">
        <f aca="false">'Player Data'!S608</f>
        <v>56304</v>
      </c>
      <c r="L608" s="22" t="n">
        <f aca="false">INDEX(Assumptions!$B$13:$B$15,MATCH(E608,Assumptions!$A$13:$A$15,0))</f>
        <v>0.85</v>
      </c>
      <c r="M608" s="24" t="n">
        <f aca="false">IFERROR(SUMPRODUCT(($B$2:$B$1001=B608)*($H$2:$H$1001&lt;=H608))/SUMPRODUCT(($B$2:$B$1001=B608)*1),0)</f>
        <v>0.367256637168142</v>
      </c>
      <c r="N608" s="24" t="n">
        <f aca="false">IFERROR(SUMPRODUCT(($B$2:$B$1001=B608)*($I$2:$I$1001&lt;=I608))/SUMPRODUCT(($B$2:$B$1001=B608)*1),0)</f>
        <v>0.309734513274336</v>
      </c>
      <c r="O608" s="24" t="n">
        <f aca="false">IFERROR(SUMPRODUCT(($B$2:$B$1001=B608)*($J$2:$J$1001&lt;=J608))/SUMPRODUCT(($B$2:$B$1001=B608)*1),0)</f>
        <v>0.190265486725664</v>
      </c>
      <c r="P608" s="24" t="n">
        <f aca="false">IFERROR(SUMPRODUCT(($B$2:$B$1001=B608)*((0-$F$2:$F$1001)&lt;=(0-F608)))/SUMPRODUCT(($B$2:$B$1001=B608)*1),0)</f>
        <v>0.0929203539823009</v>
      </c>
      <c r="Q608" s="25" t="n">
        <f aca="false">(M608*Assumptions!$B$5+N608*Assumptions!$B$6+O608*Assumptions!$B$7+P608*Assumptions!$B$8)*L608</f>
        <v>0.218329646017699</v>
      </c>
      <c r="R608" s="24" t="n">
        <f aca="false">IFERROR(SUMPRODUCT(($B$2:$B$1001=B608)*($Q$2:$Q$1001&lt;=Q608))/SUMPRODUCT(($B$2:$B$1001=B608)*1),0)</f>
        <v>0.132743362831858</v>
      </c>
      <c r="S608" s="24" t="n">
        <f aca="false">IFERROR(SUMPRODUCT(($B$2:$B$1001=B608)*($K$2:$K$1001&lt;=K608))/SUMPRODUCT(($B$2:$B$1001=B608)*1),0)</f>
        <v>0.473451327433628</v>
      </c>
      <c r="T608" s="26" t="n">
        <f aca="false">(R608-S608)*100</f>
        <v>-34.070796460177</v>
      </c>
      <c r="U608" s="21" t="str">
        <f aca="false">'Player Data'!T608</f>
        <v>No</v>
      </c>
      <c r="V608" s="27" t="n">
        <f aca="false">'Player Data'!U608</f>
        <v>2029</v>
      </c>
      <c r="W608" s="21" t="str">
        <f aca="false">IF(AND(T608&gt;=Assumptions!$B$19,U608="No"),"High Priority - Unrepresented",IF(T608&gt;=Assumptions!$B$19,"High Priority",IF(AND(T608&gt;=Assumptions!$B$20,U608="No"),"Watchlist - Unrepresented",IF(T608&gt;=Assumptions!$B$20,"Watchlist",""))))</f>
        <v/>
      </c>
      <c r="X608" s="21" t="str">
        <f aca="false">'Player Data'!V608</f>
        <v>info@barfc.me</v>
      </c>
      <c r="Y608" s="28" t="str">
        <f aca="false">'Player Data'!W608</f>
        <v>Club sporting director / first-team office</v>
      </c>
      <c r="Z608" s="28" t="str">
        <f aca="false">'Player Data'!X608</f>
        <v>FSCG (Football Association of Montenegro) player registry</v>
      </c>
      <c r="AA608" s="19" t="str">
        <f aca="false">HYPERLINK("https://www.transfermarkt.com/schnellsuche/ergebnis/schnellsuche?query="&amp;SUBSTITUTE(A608," ","+"),"Search Transfermarkt")</f>
        <v>Search Transfermarkt</v>
      </c>
      <c r="AB608" s="29" t="n">
        <f aca="false">IFERROR('Player Data'!K608/('Player Data'!K608+'Player Data'!L608),0)</f>
        <v>0.237704918032787</v>
      </c>
      <c r="AC608" s="21" t="str">
        <f aca="false">IF(B608="GK",IF(AND(O608&gt;=Assumptions!$B$23,N608&gt;=Assumptions!$B$23),"Sweeper-Keeper / Build-from-the-Back",IF(O608&gt;=Assumptions!$B$23,"Sweeper-Keeper / High Line",IF(M608&gt;=Assumptions!$B$23,"Shot-Stopper / Traditional","Flexible / Multi-System"))),IF(AND(O608&gt;=Assumptions!$B$23,P608&gt;=Assumptions!$B$24),"High Press / Gegenpressing",IF(AND(N608&gt;=Assumptions!$B$23,AB608&gt;=Assumptions!$B$25),"Possession / Build-from-the-Back",IF(N608&gt;=Assumptions!$B$23,"Counter-Attack / Transition",IF(AND(O608&gt;=Assumptions!$B$23,N608&lt;Assumptions!$B$26),"Low Block / Park the Bus",IF(AND(B608="FW",M608&gt;=Assumptions!$B$23,N608&lt;Assumptions!$B$26),"Direct / Target Approach","Flexible / Multi-System"))))))</f>
        <v>Flexible / Multi-System</v>
      </c>
      <c r="AD608" s="21" t="str">
        <f aca="false">'Player Data'!Y608</f>
        <v>2026-07-17</v>
      </c>
      <c r="AE608" s="21" t="str">
        <f aca="false">'Player Data'!Z608</f>
        <v>2026-07-17</v>
      </c>
      <c r="AF608" s="28" t="str">
        <f aca="false">IFERROR(INDEX(Assumptions!$B$30:$B$61,MATCH(C608,Assumptions!$A$30:$A$61,0)),"--")</f>
        <v>Austria, Turkey</v>
      </c>
      <c r="AG608" s="30" t="str">
        <f aca="false">IF(R608&gt;=0.7,"Step-Up Candidate",IF(R608&gt;=0.4,"Lateral Move","Stay &amp; Develop"))</f>
        <v>Stay &amp; Develop</v>
      </c>
    </row>
    <row r="609" customFormat="false" ht="23.85" hidden="false" customHeight="false" outlineLevel="0" collapsed="false">
      <c r="A609" s="21" t="str">
        <f aca="false">'Player Data'!A609</f>
        <v>Cheikh Diop</v>
      </c>
      <c r="B609" s="21" t="str">
        <f aca="false">'Player Data'!F609</f>
        <v>DF</v>
      </c>
      <c r="C609" s="21" t="str">
        <f aca="false">'Player Data'!B609</f>
        <v>Senegal</v>
      </c>
      <c r="D609" s="21" t="str">
        <f aca="false">'Player Data'!C609</f>
        <v>Senegal Provincial League</v>
      </c>
      <c r="E609" s="21" t="n">
        <f aca="false">'Player Data'!D609</f>
        <v>2</v>
      </c>
      <c r="F609" s="21" t="n">
        <f aca="false">'Player Data'!G609</f>
        <v>21</v>
      </c>
      <c r="G609" s="21" t="n">
        <f aca="false">'Player Data'!H609</f>
        <v>2221</v>
      </c>
      <c r="H609" s="22" t="n">
        <f aca="false">IF(B609="GK",IFERROR(('Player Data'!N609-1.5*'Player Data'!O609)/'Player Data'!H609*90,0),IFERROR(('Player Data'!I609+'Player Data'!J609)/'Player Data'!H609*90,0))</f>
        <v>0</v>
      </c>
      <c r="I609" s="22" t="n">
        <f aca="false">IF(B609="GK",'Player Data'!P609,IFERROR(('Player Data'!K609+'Player Data'!L609)/'Player Data'!H609*90,0))</f>
        <v>4.25484016208915</v>
      </c>
      <c r="J609" s="22" t="n">
        <f aca="false">IF(B609="GK",IFERROR('Player Data'!Q609/'Player Data'!H609*90,0),IFERROR('Player Data'!M609/'Player Data'!H609*90,0))</f>
        <v>4.74110760918505</v>
      </c>
      <c r="K609" s="23" t="n">
        <f aca="false">'Player Data'!S609</f>
        <v>10877</v>
      </c>
      <c r="L609" s="22" t="n">
        <f aca="false">INDEX(Assumptions!$B$13:$B$15,MATCH(E609,Assumptions!$A$13:$A$15,0))</f>
        <v>1</v>
      </c>
      <c r="M609" s="24" t="n">
        <f aca="false">IFERROR(SUMPRODUCT(($B$2:$B$1001=B609)*($H$2:$H$1001&lt;=H609))/SUMPRODUCT(($B$2:$B$1001=B609)*1),0)</f>
        <v>0.0408163265306122</v>
      </c>
      <c r="N609" s="24" t="n">
        <f aca="false">IFERROR(SUMPRODUCT(($B$2:$B$1001=B609)*($I$2:$I$1001&lt;=I609))/SUMPRODUCT(($B$2:$B$1001=B609)*1),0)</f>
        <v>0.442176870748299</v>
      </c>
      <c r="O609" s="24" t="n">
        <f aca="false">IFERROR(SUMPRODUCT(($B$2:$B$1001=B609)*($J$2:$J$1001&lt;=J609))/SUMPRODUCT(($B$2:$B$1001=B609)*1),0)</f>
        <v>0.397959183673469</v>
      </c>
      <c r="P609" s="24" t="n">
        <f aca="false">IFERROR(SUMPRODUCT(($B$2:$B$1001=B609)*((0-$F$2:$F$1001)&lt;=(0-F609)))/SUMPRODUCT(($B$2:$B$1001=B609)*1),0)</f>
        <v>0.568027210884354</v>
      </c>
      <c r="Q609" s="25" t="n">
        <f aca="false">(M609*Assumptions!$B$5+N609*Assumptions!$B$6+O609*Assumptions!$B$7+P609*Assumptions!$B$8)*L609</f>
        <v>0.358163265306122</v>
      </c>
      <c r="R609" s="24" t="n">
        <f aca="false">IFERROR(SUMPRODUCT(($B$2:$B$1001=B609)*($Q$2:$Q$1001&lt;=Q609))/SUMPRODUCT(($B$2:$B$1001=B609)*1),0)</f>
        <v>0.370748299319728</v>
      </c>
      <c r="S609" s="24" t="n">
        <f aca="false">IFERROR(SUMPRODUCT(($B$2:$B$1001=B609)*($K$2:$K$1001&lt;=K609))/SUMPRODUCT(($B$2:$B$1001=B609)*1),0)</f>
        <v>0.26530612244898</v>
      </c>
      <c r="T609" s="26" t="n">
        <f aca="false">(R609-S609)*100</f>
        <v>10.5442176870748</v>
      </c>
      <c r="U609" s="21" t="str">
        <f aca="false">'Player Data'!T609</f>
        <v>No</v>
      </c>
      <c r="V609" s="27" t="n">
        <f aca="false">'Player Data'!U609</f>
        <v>2027</v>
      </c>
      <c r="W609" s="21" t="str">
        <f aca="false">IF(AND(T609&gt;=Assumptions!$B$19,U609="No"),"High Priority - Unrepresented",IF(T609&gt;=Assumptions!$B$19,"High Priority",IF(AND(T609&gt;=Assumptions!$B$20,U609="No"),"Watchlist - Unrepresented",IF(T609&gt;=Assumptions!$B$20,"Watchlist",""))))</f>
        <v/>
      </c>
      <c r="X609" s="21" t="str">
        <f aca="false">'Player Data'!V609</f>
        <v>info@saintlouisrangers.sn</v>
      </c>
      <c r="Y609" s="28" t="str">
        <f aca="false">'Player Data'!W609</f>
        <v>Club sporting director / first-team office</v>
      </c>
      <c r="Z609" s="28" t="str">
        <f aca="false">'Player Data'!X609</f>
        <v>FSF (Senegalese Football Federation) player registry</v>
      </c>
      <c r="AA609" s="19" t="str">
        <f aca="false">HYPERLINK("https://www.transfermarkt.com/schnellsuche/ergebnis/schnellsuche?query="&amp;SUBSTITUTE(A609," ","+"),"Search Transfermarkt")</f>
        <v>Search Transfermarkt</v>
      </c>
      <c r="AB609" s="29" t="n">
        <f aca="false">IFERROR('Player Data'!K609/('Player Data'!K609+'Player Data'!L609),0)</f>
        <v>0.657142857142857</v>
      </c>
      <c r="AC609" s="21" t="str">
        <f aca="false">IF(B609="GK",IF(AND(O609&gt;=Assumptions!$B$23,N609&gt;=Assumptions!$B$23),"Sweeper-Keeper / Build-from-the-Back",IF(O609&gt;=Assumptions!$B$23,"Sweeper-Keeper / High Line",IF(M609&gt;=Assumptions!$B$23,"Shot-Stopper / Traditional","Flexible / Multi-System"))),IF(AND(O609&gt;=Assumptions!$B$23,P609&gt;=Assumptions!$B$24),"High Press / Gegenpressing",IF(AND(N609&gt;=Assumptions!$B$23,AB609&gt;=Assumptions!$B$25),"Possession / Build-from-the-Back",IF(N609&gt;=Assumptions!$B$23,"Counter-Attack / Transition",IF(AND(O609&gt;=Assumptions!$B$23,N609&lt;Assumptions!$B$26),"Low Block / Park the Bus",IF(AND(B609="FW",M609&gt;=Assumptions!$B$23,N609&lt;Assumptions!$B$26),"Direct / Target Approach","Flexible / Multi-System"))))))</f>
        <v>Flexible / Multi-System</v>
      </c>
      <c r="AD609" s="21" t="str">
        <f aca="false">'Player Data'!Y609</f>
        <v>2026-07-17</v>
      </c>
      <c r="AE609" s="21" t="str">
        <f aca="false">'Player Data'!Z609</f>
        <v>2026-07-17</v>
      </c>
      <c r="AF609" s="28" t="str">
        <f aca="false">IFERROR(INDEX(Assumptions!$B$30:$B$61,MATCH(C609,Assumptions!$A$30:$A$61,0)),"--")</f>
        <v>Belgium, Portugal</v>
      </c>
      <c r="AG609" s="30" t="str">
        <f aca="false">IF(R609&gt;=0.7,"Step-Up Candidate",IF(R609&gt;=0.4,"Lateral Move","Stay &amp; Develop"))</f>
        <v>Stay &amp; Develop</v>
      </c>
    </row>
    <row r="610" customFormat="false" ht="23.85" hidden="false" customHeight="false" outlineLevel="0" collapsed="false">
      <c r="A610" s="21" t="str">
        <f aca="false">'Player Data'!A610</f>
        <v>Giorgi Kiknadze</v>
      </c>
      <c r="B610" s="21" t="str">
        <f aca="false">'Player Data'!F610</f>
        <v>FW</v>
      </c>
      <c r="C610" s="21" t="str">
        <f aca="false">'Player Data'!B610</f>
        <v>Georgia</v>
      </c>
      <c r="D610" s="21" t="str">
        <f aca="false">'Player Data'!C610</f>
        <v>Georgia Provincial League</v>
      </c>
      <c r="E610" s="21" t="n">
        <f aca="false">'Player Data'!D610</f>
        <v>2</v>
      </c>
      <c r="F610" s="21" t="n">
        <f aca="false">'Player Data'!G610</f>
        <v>21</v>
      </c>
      <c r="G610" s="21" t="n">
        <f aca="false">'Player Data'!H610</f>
        <v>901</v>
      </c>
      <c r="H610" s="22" t="n">
        <f aca="false">IF(B610="GK",IFERROR(('Player Data'!N610-1.5*'Player Data'!O610)/'Player Data'!H610*90,0),IFERROR(('Player Data'!I610+'Player Data'!J610)/'Player Data'!H610*90,0))</f>
        <v>2.19755826859046</v>
      </c>
      <c r="I610" s="22" t="n">
        <f aca="false">IF(B610="GK",'Player Data'!P610,IFERROR(('Player Data'!K610+'Player Data'!L610)/'Player Data'!H610*90,0))</f>
        <v>14.3840177580466</v>
      </c>
      <c r="J610" s="22" t="n">
        <f aca="false">IF(B610="GK",IFERROR('Player Data'!Q610/'Player Data'!H610*90,0),IFERROR('Player Data'!M610/'Player Data'!H610*90,0))</f>
        <v>1.3984461709212</v>
      </c>
      <c r="K610" s="23" t="n">
        <f aca="false">'Player Data'!S610</f>
        <v>82412</v>
      </c>
      <c r="L610" s="22" t="n">
        <f aca="false">INDEX(Assumptions!$B$13:$B$15,MATCH(E610,Assumptions!$A$13:$A$15,0))</f>
        <v>1</v>
      </c>
      <c r="M610" s="24" t="n">
        <f aca="false">IFERROR(SUMPRODUCT(($B$2:$B$1001=B610)*($H$2:$H$1001&lt;=H610))/SUMPRODUCT(($B$2:$B$1001=B610)*1),0)</f>
        <v>0.973451327433628</v>
      </c>
      <c r="N610" s="24" t="n">
        <f aca="false">IFERROR(SUMPRODUCT(($B$2:$B$1001=B610)*($I$2:$I$1001&lt;=I610))/SUMPRODUCT(($B$2:$B$1001=B610)*1),0)</f>
        <v>0.973451327433628</v>
      </c>
      <c r="O610" s="24" t="n">
        <f aca="false">IFERROR(SUMPRODUCT(($B$2:$B$1001=B610)*($J$2:$J$1001&lt;=J610))/SUMPRODUCT(($B$2:$B$1001=B610)*1),0)</f>
        <v>0.97787610619469</v>
      </c>
      <c r="P610" s="24" t="n">
        <f aca="false">IFERROR(SUMPRODUCT(($B$2:$B$1001=B610)*((0-$F$2:$F$1001)&lt;=(0-F610)))/SUMPRODUCT(($B$2:$B$1001=B610)*1),0)</f>
        <v>0.579646017699115</v>
      </c>
      <c r="Q610" s="25" t="n">
        <f aca="false">(M610*Assumptions!$B$5+N610*Assumptions!$B$6+O610*Assumptions!$B$7+P610*Assumptions!$B$8)*L610</f>
        <v>0.895575221238938</v>
      </c>
      <c r="R610" s="24" t="n">
        <f aca="false">IFERROR(SUMPRODUCT(($B$2:$B$1001=B610)*($Q$2:$Q$1001&lt;=Q610))/SUMPRODUCT(($B$2:$B$1001=B610)*1),0)</f>
        <v>0.97787610619469</v>
      </c>
      <c r="S610" s="24" t="n">
        <f aca="false">IFERROR(SUMPRODUCT(($B$2:$B$1001=B610)*($K$2:$K$1001&lt;=K610))/SUMPRODUCT(($B$2:$B$1001=B610)*1),0)</f>
        <v>0.606194690265487</v>
      </c>
      <c r="T610" s="26" t="n">
        <f aca="false">(R610-S610)*100</f>
        <v>37.1681415929203</v>
      </c>
      <c r="U610" s="21" t="str">
        <f aca="false">'Player Data'!T610</f>
        <v>No</v>
      </c>
      <c r="V610" s="27" t="n">
        <f aca="false">'Player Data'!U610</f>
        <v>2027</v>
      </c>
      <c r="W610" s="21" t="str">
        <f aca="false">IF(AND(T610&gt;=Assumptions!$B$19,U610="No"),"High Priority - Unrepresented",IF(T610&gt;=Assumptions!$B$19,"High Priority",IF(AND(T610&gt;=Assumptions!$B$20,U610="No"),"Watchlist - Unrepresented",IF(T610&gt;=Assumptions!$B$20,"Watchlist",""))))</f>
        <v>Watchlist - Unrepresented</v>
      </c>
      <c r="X610" s="21" t="str">
        <f aca="false">'Player Data'!V610</f>
        <v>info@tbilisisc.ge</v>
      </c>
      <c r="Y610" s="28" t="str">
        <f aca="false">'Player Data'!W610</f>
        <v>Club sporting director / first-team office</v>
      </c>
      <c r="Z610" s="28" t="str">
        <f aca="false">'Player Data'!X610</f>
        <v>GFF (Georgian Football Federation) player registry</v>
      </c>
      <c r="AA610" s="19" t="str">
        <f aca="false">HYPERLINK("https://www.transfermarkt.com/schnellsuche/ergebnis/schnellsuche?query="&amp;SUBSTITUTE(A610," ","+"),"Search Transfermarkt")</f>
        <v>Search Transfermarkt</v>
      </c>
      <c r="AB610" s="29" t="n">
        <f aca="false">IFERROR('Player Data'!K610/('Player Data'!K610+'Player Data'!L610),0)</f>
        <v>0.326388888888889</v>
      </c>
      <c r="AC610" s="21" t="str">
        <f aca="false">IF(B610="GK",IF(AND(O610&gt;=Assumptions!$B$23,N610&gt;=Assumptions!$B$23),"Sweeper-Keeper / Build-from-the-Back",IF(O610&gt;=Assumptions!$B$23,"Sweeper-Keeper / High Line",IF(M610&gt;=Assumptions!$B$23,"Shot-Stopper / Traditional","Flexible / Multi-System"))),IF(AND(O610&gt;=Assumptions!$B$23,P610&gt;=Assumptions!$B$24),"High Press / Gegenpressing",IF(AND(N610&gt;=Assumptions!$B$23,AB610&gt;=Assumptions!$B$25),"Possession / Build-from-the-Back",IF(N610&gt;=Assumptions!$B$23,"Counter-Attack / Transition",IF(AND(O610&gt;=Assumptions!$B$23,N610&lt;Assumptions!$B$26),"Low Block / Park the Bus",IF(AND(B610="FW",M610&gt;=Assumptions!$B$23,N610&lt;Assumptions!$B$26),"Direct / Target Approach","Flexible / Multi-System"))))))</f>
        <v>High Press / Gegenpressing</v>
      </c>
      <c r="AD610" s="21" t="str">
        <f aca="false">'Player Data'!Y610</f>
        <v>2026-07-17</v>
      </c>
      <c r="AE610" s="21" t="str">
        <f aca="false">'Player Data'!Z610</f>
        <v>2026-07-17</v>
      </c>
      <c r="AF610" s="28" t="str">
        <f aca="false">IFERROR(INDEX(Assumptions!$B$30:$B$61,MATCH(C610,Assumptions!$A$30:$A$61,0)),"--")</f>
        <v>Turkey, Poland</v>
      </c>
      <c r="AG610" s="30" t="str">
        <f aca="false">IF(R610&gt;=0.7,"Step-Up Candidate",IF(R610&gt;=0.4,"Lateral Move","Stay &amp; Develop"))</f>
        <v>Step-Up Candidate</v>
      </c>
    </row>
    <row r="611" customFormat="false" ht="23.85" hidden="false" customHeight="false" outlineLevel="0" collapsed="false">
      <c r="A611" s="21" t="str">
        <f aca="false">'Player Data'!A611</f>
        <v>Jasur Rustamov</v>
      </c>
      <c r="B611" s="21" t="str">
        <f aca="false">'Player Data'!F611</f>
        <v>MF</v>
      </c>
      <c r="C611" s="21" t="str">
        <f aca="false">'Player Data'!B611</f>
        <v>Uzbekistan</v>
      </c>
      <c r="D611" s="21" t="str">
        <f aca="false">'Player Data'!C611</f>
        <v>Uzbekistan Second Division - East</v>
      </c>
      <c r="E611" s="21" t="n">
        <f aca="false">'Player Data'!D611</f>
        <v>2</v>
      </c>
      <c r="F611" s="21" t="n">
        <f aca="false">'Player Data'!G611</f>
        <v>25</v>
      </c>
      <c r="G611" s="21" t="n">
        <f aca="false">'Player Data'!H611</f>
        <v>2542</v>
      </c>
      <c r="H611" s="22" t="n">
        <f aca="false">IF(B611="GK",IFERROR(('Player Data'!N611-1.5*'Player Data'!O611)/'Player Data'!H611*90,0),IFERROR(('Player Data'!I611+'Player Data'!J611)/'Player Data'!H611*90,0))</f>
        <v>0.637293469708891</v>
      </c>
      <c r="I611" s="22" t="n">
        <f aca="false">IF(B611="GK",'Player Data'!P611,IFERROR(('Player Data'!K611+'Player Data'!L611)/'Player Data'!H611*90,0))</f>
        <v>7.7183320220299</v>
      </c>
      <c r="J611" s="22" t="n">
        <f aca="false">IF(B611="GK",IFERROR('Player Data'!Q611/'Player Data'!H611*90,0),IFERROR('Player Data'!M611/'Player Data'!H611*90,0))</f>
        <v>1.16837136113297</v>
      </c>
      <c r="K611" s="23" t="n">
        <f aca="false">'Player Data'!S611</f>
        <v>66359</v>
      </c>
      <c r="L611" s="22" t="n">
        <f aca="false">INDEX(Assumptions!$B$13:$B$15,MATCH(E611,Assumptions!$A$13:$A$15,0))</f>
        <v>1</v>
      </c>
      <c r="M611" s="24" t="n">
        <f aca="false">IFERROR(SUMPRODUCT(($B$2:$B$1001=B611)*($H$2:$H$1001&lt;=H611))/SUMPRODUCT(($B$2:$B$1001=B611)*1),0)</f>
        <v>0.367003367003367</v>
      </c>
      <c r="N611" s="24" t="n">
        <f aca="false">IFERROR(SUMPRODUCT(($B$2:$B$1001=B611)*($I$2:$I$1001&lt;=I611))/SUMPRODUCT(($B$2:$B$1001=B611)*1),0)</f>
        <v>0.117845117845118</v>
      </c>
      <c r="O611" s="24" t="n">
        <f aca="false">IFERROR(SUMPRODUCT(($B$2:$B$1001=B611)*($J$2:$J$1001&lt;=J611))/SUMPRODUCT(($B$2:$B$1001=B611)*1),0)</f>
        <v>0.0471380471380471</v>
      </c>
      <c r="P611" s="24" t="n">
        <f aca="false">IFERROR(SUMPRODUCT(($B$2:$B$1001=B611)*((0-$F$2:$F$1001)&lt;=(0-F611)))/SUMPRODUCT(($B$2:$B$1001=B611)*1),0)</f>
        <v>0.202020202020202</v>
      </c>
      <c r="Q611" s="25" t="n">
        <f aca="false">(M611*Assumptions!$B$5+N611*Assumptions!$B$6+O611*Assumptions!$B$7+P611*Assumptions!$B$8)*L611</f>
        <v>0.182828282828283</v>
      </c>
      <c r="R611" s="24" t="n">
        <f aca="false">IFERROR(SUMPRODUCT(($B$2:$B$1001=B611)*($Q$2:$Q$1001&lt;=Q611))/SUMPRODUCT(($B$2:$B$1001=B611)*1),0)</f>
        <v>0.0606060606060606</v>
      </c>
      <c r="S611" s="24" t="n">
        <f aca="false">IFERROR(SUMPRODUCT(($B$2:$B$1001=B611)*($K$2:$K$1001&lt;=K611))/SUMPRODUCT(($B$2:$B$1001=B611)*1),0)</f>
        <v>0.552188552188552</v>
      </c>
      <c r="T611" s="26" t="n">
        <f aca="false">(R611-S611)*100</f>
        <v>-49.1582491582492</v>
      </c>
      <c r="U611" s="21" t="str">
        <f aca="false">'Player Data'!T611</f>
        <v>Yes</v>
      </c>
      <c r="V611" s="27" t="n">
        <f aca="false">'Player Data'!U611</f>
        <v>2026</v>
      </c>
      <c r="W611" s="21" t="str">
        <f aca="false">IF(AND(T611&gt;=Assumptions!$B$19,U611="No"),"High Priority - Unrepresented",IF(T611&gt;=Assumptions!$B$19,"High Priority",IF(AND(T611&gt;=Assumptions!$B$20,U611="No"),"Watchlist - Unrepresented",IF(T611&gt;=Assumptions!$B$20,"Watchlist",""))))</f>
        <v/>
      </c>
      <c r="X611" s="21" t="str">
        <f aca="false">'Player Data'!V611</f>
        <v>info@andijansc.uz</v>
      </c>
      <c r="Y611" s="28" t="str">
        <f aca="false">'Player Data'!W611</f>
        <v>Go through the player's agent - ask the club to confirm representation first</v>
      </c>
      <c r="Z611" s="28" t="str">
        <f aca="false">'Player Data'!X611</f>
        <v>UFF (Uzbekistan Football Federation) player registry</v>
      </c>
      <c r="AA611" s="19" t="str">
        <f aca="false">HYPERLINK("https://www.transfermarkt.com/schnellsuche/ergebnis/schnellsuche?query="&amp;SUBSTITUTE(A611," ","+"),"Search Transfermarkt")</f>
        <v>Search Transfermarkt</v>
      </c>
      <c r="AB611" s="29" t="n">
        <f aca="false">IFERROR('Player Data'!K611/('Player Data'!K611+'Player Data'!L611),0)</f>
        <v>0.596330275229358</v>
      </c>
      <c r="AC611" s="21" t="str">
        <f aca="false">IF(B611="GK",IF(AND(O611&gt;=Assumptions!$B$23,N611&gt;=Assumptions!$B$23),"Sweeper-Keeper / Build-from-the-Back",IF(O611&gt;=Assumptions!$B$23,"Sweeper-Keeper / High Line",IF(M611&gt;=Assumptions!$B$23,"Shot-Stopper / Traditional","Flexible / Multi-System"))),IF(AND(O611&gt;=Assumptions!$B$23,P611&gt;=Assumptions!$B$24),"High Press / Gegenpressing",IF(AND(N611&gt;=Assumptions!$B$23,AB611&gt;=Assumptions!$B$25),"Possession / Build-from-the-Back",IF(N611&gt;=Assumptions!$B$23,"Counter-Attack / Transition",IF(AND(O611&gt;=Assumptions!$B$23,N611&lt;Assumptions!$B$26),"Low Block / Park the Bus",IF(AND(B611="FW",M611&gt;=Assumptions!$B$23,N611&lt;Assumptions!$B$26),"Direct / Target Approach","Flexible / Multi-System"))))))</f>
        <v>Flexible / Multi-System</v>
      </c>
      <c r="AD611" s="21" t="str">
        <f aca="false">'Player Data'!Y611</f>
        <v>2026-07-17</v>
      </c>
      <c r="AE611" s="21" t="str">
        <f aca="false">'Player Data'!Z611</f>
        <v>2026-07-17</v>
      </c>
      <c r="AF611" s="28" t="str">
        <f aca="false">IFERROR(INDEX(Assumptions!$B$30:$B$61,MATCH(C611,Assumptions!$A$30:$A$61,0)),"--")</f>
        <v>Turkey, Saudi Arabia</v>
      </c>
      <c r="AG611" s="30" t="str">
        <f aca="false">IF(R611&gt;=0.7,"Step-Up Candidate",IF(R611&gt;=0.4,"Lateral Move","Stay &amp; Develop"))</f>
        <v>Stay &amp; Develop</v>
      </c>
    </row>
    <row r="612" customFormat="false" ht="23.85" hidden="false" customHeight="false" outlineLevel="0" collapsed="false">
      <c r="A612" s="21" t="str">
        <f aca="false">'Player Data'!A612</f>
        <v>Facundo Gonzalez</v>
      </c>
      <c r="B612" s="21" t="str">
        <f aca="false">'Player Data'!F612</f>
        <v>DF</v>
      </c>
      <c r="C612" s="21" t="str">
        <f aca="false">'Player Data'!B612</f>
        <v>Uruguay</v>
      </c>
      <c r="D612" s="21" t="str">
        <f aca="false">'Player Data'!C612</f>
        <v>Uruguay Provincial League</v>
      </c>
      <c r="E612" s="21" t="n">
        <f aca="false">'Player Data'!D612</f>
        <v>2</v>
      </c>
      <c r="F612" s="21" t="n">
        <f aca="false">'Player Data'!G612</f>
        <v>22</v>
      </c>
      <c r="G612" s="21" t="n">
        <f aca="false">'Player Data'!H612</f>
        <v>962</v>
      </c>
      <c r="H612" s="22" t="n">
        <f aca="false">IF(B612="GK",IFERROR(('Player Data'!N612-1.5*'Player Data'!O612)/'Player Data'!H612*90,0),IFERROR(('Player Data'!I612+'Player Data'!J612)/'Player Data'!H612*90,0))</f>
        <v>0.654885654885655</v>
      </c>
      <c r="I612" s="22" t="n">
        <f aca="false">IF(B612="GK",'Player Data'!P612,IFERROR(('Player Data'!K612+'Player Data'!L612)/'Player Data'!H612*90,0))</f>
        <v>7.57796257796258</v>
      </c>
      <c r="J612" s="22" t="n">
        <f aca="false">IF(B612="GK",IFERROR('Player Data'!Q612/'Player Data'!H612*90,0),IFERROR('Player Data'!M612/'Player Data'!H612*90,0))</f>
        <v>10.9459459459459</v>
      </c>
      <c r="K612" s="23" t="n">
        <f aca="false">'Player Data'!S612</f>
        <v>0</v>
      </c>
      <c r="L612" s="22" t="n">
        <f aca="false">INDEX(Assumptions!$B$13:$B$15,MATCH(E612,Assumptions!$A$13:$A$15,0))</f>
        <v>1</v>
      </c>
      <c r="M612" s="24" t="n">
        <f aca="false">IFERROR(SUMPRODUCT(($B$2:$B$1001=B612)*($H$2:$H$1001&lt;=H612))/SUMPRODUCT(($B$2:$B$1001=B612)*1),0)</f>
        <v>0.996598639455782</v>
      </c>
      <c r="N612" s="24" t="n">
        <f aca="false">IFERROR(SUMPRODUCT(($B$2:$B$1001=B612)*($I$2:$I$1001&lt;=I612))/SUMPRODUCT(($B$2:$B$1001=B612)*1),0)</f>
        <v>0.870748299319728</v>
      </c>
      <c r="O612" s="24" t="n">
        <f aca="false">IFERROR(SUMPRODUCT(($B$2:$B$1001=B612)*($J$2:$J$1001&lt;=J612))/SUMPRODUCT(($B$2:$B$1001=B612)*1),0)</f>
        <v>0.948979591836735</v>
      </c>
      <c r="P612" s="24" t="n">
        <f aca="false">IFERROR(SUMPRODUCT(($B$2:$B$1001=B612)*((0-$F$2:$F$1001)&lt;=(0-F612)))/SUMPRODUCT(($B$2:$B$1001=B612)*1),0)</f>
        <v>0.493197278911565</v>
      </c>
      <c r="Q612" s="25" t="n">
        <f aca="false">(M612*Assumptions!$B$5+N612*Assumptions!$B$6+O612*Assumptions!$B$7+P612*Assumptions!$B$8)*L612</f>
        <v>0.84234693877551</v>
      </c>
      <c r="R612" s="24" t="n">
        <f aca="false">IFERROR(SUMPRODUCT(($B$2:$B$1001=B612)*($Q$2:$Q$1001&lt;=Q612))/SUMPRODUCT(($B$2:$B$1001=B612)*1),0)</f>
        <v>0.979591836734694</v>
      </c>
      <c r="S612" s="24" t="n">
        <f aca="false">IFERROR(SUMPRODUCT(($B$2:$B$1001=B612)*($K$2:$K$1001&lt;=K612))/SUMPRODUCT(($B$2:$B$1001=B612)*1),0)</f>
        <v>0.248299319727891</v>
      </c>
      <c r="T612" s="26" t="n">
        <f aca="false">(R612-S612)*100</f>
        <v>73.1292517006803</v>
      </c>
      <c r="U612" s="21" t="str">
        <f aca="false">'Player Data'!T612</f>
        <v>Yes</v>
      </c>
      <c r="V612" s="27" t="n">
        <f aca="false">'Player Data'!U612</f>
        <v>2028</v>
      </c>
      <c r="W612" s="21" t="str">
        <f aca="false">IF(AND(T612&gt;=Assumptions!$B$19,U612="No"),"High Priority - Unrepresented",IF(T612&gt;=Assumptions!$B$19,"High Priority",IF(AND(T612&gt;=Assumptions!$B$20,U612="No"),"Watchlist - Unrepresented",IF(T612&gt;=Assumptions!$B$20,"Watchlist",""))))</f>
        <v>High Priority</v>
      </c>
      <c r="X612" s="21" t="str">
        <f aca="false">'Player Data'!V612</f>
        <v>info@saltocity.uy</v>
      </c>
      <c r="Y612" s="28" t="str">
        <f aca="false">'Player Data'!W612</f>
        <v>Go through the player's agent - ask the club to confirm representation first</v>
      </c>
      <c r="Z612" s="28" t="str">
        <f aca="false">'Player Data'!X612</f>
        <v>AUF (Uruguayan Football Association) player registry</v>
      </c>
      <c r="AA612" s="19" t="str">
        <f aca="false">HYPERLINK("https://www.transfermarkt.com/schnellsuche/ergebnis/schnellsuche?query="&amp;SUBSTITUTE(A612," ","+"),"Search Transfermarkt")</f>
        <v>Search Transfermarkt</v>
      </c>
      <c r="AB612" s="29" t="n">
        <f aca="false">IFERROR('Player Data'!K612/('Player Data'!K612+'Player Data'!L612),0)</f>
        <v>0.716049382716049</v>
      </c>
      <c r="AC612" s="21" t="str">
        <f aca="false">IF(B612="GK",IF(AND(O612&gt;=Assumptions!$B$23,N612&gt;=Assumptions!$B$23),"Sweeper-Keeper / Build-from-the-Back",IF(O612&gt;=Assumptions!$B$23,"Sweeper-Keeper / High Line",IF(M612&gt;=Assumptions!$B$23,"Shot-Stopper / Traditional","Flexible / Multi-System"))),IF(AND(O612&gt;=Assumptions!$B$23,P612&gt;=Assumptions!$B$24),"High Press / Gegenpressing",IF(AND(N612&gt;=Assumptions!$B$23,AB612&gt;=Assumptions!$B$25),"Possession / Build-from-the-Back",IF(N612&gt;=Assumptions!$B$23,"Counter-Attack / Transition",IF(AND(O612&gt;=Assumptions!$B$23,N612&lt;Assumptions!$B$26),"Low Block / Park the Bus",IF(AND(B612="FW",M612&gt;=Assumptions!$B$23,N612&lt;Assumptions!$B$26),"Direct / Target Approach","Flexible / Multi-System"))))))</f>
        <v>Possession / Build-from-the-Back</v>
      </c>
      <c r="AD612" s="21" t="str">
        <f aca="false">'Player Data'!Y612</f>
        <v>2026-07-17</v>
      </c>
      <c r="AE612" s="21" t="str">
        <f aca="false">'Player Data'!Z612</f>
        <v>2026-07-17</v>
      </c>
      <c r="AF612" s="28" t="str">
        <f aca="false">IFERROR(INDEX(Assumptions!$B$30:$B$61,MATCH(C612,Assumptions!$A$30:$A$61,0)),"--")</f>
        <v>Argentina, Portugal</v>
      </c>
      <c r="AG612" s="30" t="str">
        <f aca="false">IF(R612&gt;=0.7,"Step-Up Candidate",IF(R612&gt;=0.4,"Lateral Move","Stay &amp; Develop"))</f>
        <v>Step-Up Candidate</v>
      </c>
    </row>
    <row r="613" customFormat="false" ht="23.85" hidden="false" customHeight="false" outlineLevel="0" collapsed="false">
      <c r="A613" s="21" t="str">
        <f aca="false">'Player Data'!A613</f>
        <v>Emiliano Gonzalez</v>
      </c>
      <c r="B613" s="21" t="str">
        <f aca="false">'Player Data'!F613</f>
        <v>DF</v>
      </c>
      <c r="C613" s="21" t="str">
        <f aca="false">'Player Data'!B613</f>
        <v>Paraguay</v>
      </c>
      <c r="D613" s="21" t="str">
        <f aca="false">'Player Data'!C613</f>
        <v>Paraguay Second Division - East</v>
      </c>
      <c r="E613" s="21" t="n">
        <f aca="false">'Player Data'!D613</f>
        <v>3</v>
      </c>
      <c r="F613" s="21" t="n">
        <f aca="false">'Player Data'!G613</f>
        <v>25</v>
      </c>
      <c r="G613" s="21" t="n">
        <f aca="false">'Player Data'!H613</f>
        <v>1823</v>
      </c>
      <c r="H613" s="22" t="n">
        <f aca="false">IF(B613="GK",IFERROR(('Player Data'!N613-1.5*'Player Data'!O613)/'Player Data'!H613*90,0),IFERROR(('Player Data'!I613+'Player Data'!J613)/'Player Data'!H613*90,0))</f>
        <v>0.246845858475041</v>
      </c>
      <c r="I613" s="22" t="n">
        <f aca="false">IF(B613="GK",'Player Data'!P613,IFERROR(('Player Data'!K613+'Player Data'!L613)/'Player Data'!H613*90,0))</f>
        <v>4.09764125068568</v>
      </c>
      <c r="J613" s="22" t="n">
        <f aca="false">IF(B613="GK",IFERROR('Player Data'!Q613/'Player Data'!H613*90,0),IFERROR('Player Data'!M613/'Player Data'!H613*90,0))</f>
        <v>5.3812397147559</v>
      </c>
      <c r="K613" s="23" t="n">
        <f aca="false">'Player Data'!S613</f>
        <v>0</v>
      </c>
      <c r="L613" s="22" t="n">
        <f aca="false">INDEX(Assumptions!$B$13:$B$15,MATCH(E613,Assumptions!$A$13:$A$15,0))</f>
        <v>0.85</v>
      </c>
      <c r="M613" s="24" t="n">
        <f aca="false">IFERROR(SUMPRODUCT(($B$2:$B$1001=B613)*($H$2:$H$1001&lt;=H613))/SUMPRODUCT(($B$2:$B$1001=B613)*1),0)</f>
        <v>0.653061224489796</v>
      </c>
      <c r="N613" s="24" t="n">
        <f aca="false">IFERROR(SUMPRODUCT(($B$2:$B$1001=B613)*($I$2:$I$1001&lt;=I613))/SUMPRODUCT(($B$2:$B$1001=B613)*1),0)</f>
        <v>0.421768707482993</v>
      </c>
      <c r="O613" s="24" t="n">
        <f aca="false">IFERROR(SUMPRODUCT(($B$2:$B$1001=B613)*($J$2:$J$1001&lt;=J613))/SUMPRODUCT(($B$2:$B$1001=B613)*1),0)</f>
        <v>0.510204081632653</v>
      </c>
      <c r="P613" s="24" t="n">
        <f aca="false">IFERROR(SUMPRODUCT(($B$2:$B$1001=B613)*((0-$F$2:$F$1001)&lt;=(0-F613)))/SUMPRODUCT(($B$2:$B$1001=B613)*1),0)</f>
        <v>0.146258503401361</v>
      </c>
      <c r="Q613" s="25" t="n">
        <f aca="false">(M613*Assumptions!$B$5+N613*Assumptions!$B$6+O613*Assumptions!$B$7+P613*Assumptions!$B$8)*L613</f>
        <v>0.375850340136054</v>
      </c>
      <c r="R613" s="24" t="n">
        <f aca="false">IFERROR(SUMPRODUCT(($B$2:$B$1001=B613)*($Q$2:$Q$1001&lt;=Q613))/SUMPRODUCT(($B$2:$B$1001=B613)*1),0)</f>
        <v>0.387755102040816</v>
      </c>
      <c r="S613" s="24" t="n">
        <f aca="false">IFERROR(SUMPRODUCT(($B$2:$B$1001=B613)*($K$2:$K$1001&lt;=K613))/SUMPRODUCT(($B$2:$B$1001=B613)*1),0)</f>
        <v>0.248299319727891</v>
      </c>
      <c r="T613" s="26" t="n">
        <f aca="false">(R613-S613)*100</f>
        <v>13.9455782312925</v>
      </c>
      <c r="U613" s="21" t="str">
        <f aca="false">'Player Data'!T613</f>
        <v>Unknown</v>
      </c>
      <c r="V613" s="27" t="n">
        <f aca="false">'Player Data'!U613</f>
        <v>2026</v>
      </c>
      <c r="W613" s="21" t="str">
        <f aca="false">IF(AND(T613&gt;=Assumptions!$B$19,U613="No"),"High Priority - Unrepresented",IF(T613&gt;=Assumptions!$B$19,"High Priority",IF(AND(T613&gt;=Assumptions!$B$20,U613="No"),"Watchlist - Unrepresented",IF(T613&gt;=Assumptions!$B$20,"Watchlist",""))))</f>
        <v/>
      </c>
      <c r="X613" s="21" t="str">
        <f aca="false">'Player Data'!V613</f>
        <v>info@luquerangers.py</v>
      </c>
      <c r="Y613" s="28" t="str">
        <f aca="false">'Player Data'!W613</f>
        <v>Club sporting director / first-team office</v>
      </c>
      <c r="Z613" s="28" t="str">
        <f aca="false">'Player Data'!X613</f>
        <v>APF (Paraguayan Football Association) player registry</v>
      </c>
      <c r="AA613" s="19" t="str">
        <f aca="false">HYPERLINK("https://www.transfermarkt.com/schnellsuche/ergebnis/schnellsuche?query="&amp;SUBSTITUTE(A613," ","+"),"Search Transfermarkt")</f>
        <v>Search Transfermarkt</v>
      </c>
      <c r="AB613" s="29" t="n">
        <f aca="false">IFERROR('Player Data'!K613/('Player Data'!K613+'Player Data'!L613),0)</f>
        <v>0.614457831325301</v>
      </c>
      <c r="AC613" s="21" t="str">
        <f aca="false">IF(B613="GK",IF(AND(O613&gt;=Assumptions!$B$23,N613&gt;=Assumptions!$B$23),"Sweeper-Keeper / Build-from-the-Back",IF(O613&gt;=Assumptions!$B$23,"Sweeper-Keeper / High Line",IF(M613&gt;=Assumptions!$B$23,"Shot-Stopper / Traditional","Flexible / Multi-System"))),IF(AND(O613&gt;=Assumptions!$B$23,P613&gt;=Assumptions!$B$24),"High Press / Gegenpressing",IF(AND(N613&gt;=Assumptions!$B$23,AB613&gt;=Assumptions!$B$25),"Possession / Build-from-the-Back",IF(N613&gt;=Assumptions!$B$23,"Counter-Attack / Transition",IF(AND(O613&gt;=Assumptions!$B$23,N613&lt;Assumptions!$B$26),"Low Block / Park the Bus",IF(AND(B613="FW",M613&gt;=Assumptions!$B$23,N613&lt;Assumptions!$B$26),"Direct / Target Approach","Flexible / Multi-System"))))))</f>
        <v>Flexible / Multi-System</v>
      </c>
      <c r="AD613" s="21" t="str">
        <f aca="false">'Player Data'!Y613</f>
        <v>2026-07-17</v>
      </c>
      <c r="AE613" s="21" t="str">
        <f aca="false">'Player Data'!Z613</f>
        <v>2026-07-17</v>
      </c>
      <c r="AF613" s="28" t="str">
        <f aca="false">IFERROR(INDEX(Assumptions!$B$30:$B$61,MATCH(C613,Assumptions!$A$30:$A$61,0)),"--")</f>
        <v>Argentina, Portugal</v>
      </c>
      <c r="AG613" s="30" t="str">
        <f aca="false">IF(R613&gt;=0.7,"Step-Up Candidate",IF(R613&gt;=0.4,"Lateral Move","Stay &amp; Develop"))</f>
        <v>Stay &amp; Develop</v>
      </c>
    </row>
    <row r="614" customFormat="false" ht="23.85" hidden="false" customHeight="false" outlineLevel="0" collapsed="false">
      <c r="A614" s="21" t="str">
        <f aca="false">'Player Data'!A614</f>
        <v>Oumar Diarra</v>
      </c>
      <c r="B614" s="21" t="str">
        <f aca="false">'Player Data'!F614</f>
        <v>MF</v>
      </c>
      <c r="C614" s="21" t="str">
        <f aca="false">'Player Data'!B614</f>
        <v>Mali</v>
      </c>
      <c r="D614" s="21" t="str">
        <f aca="false">'Player Data'!C614</f>
        <v>Mali Provincial League</v>
      </c>
      <c r="E614" s="21" t="n">
        <f aca="false">'Player Data'!D614</f>
        <v>2</v>
      </c>
      <c r="F614" s="21" t="n">
        <f aca="false">'Player Data'!G614</f>
        <v>20</v>
      </c>
      <c r="G614" s="21" t="n">
        <f aca="false">'Player Data'!H614</f>
        <v>2507</v>
      </c>
      <c r="H614" s="22" t="n">
        <f aca="false">IF(B614="GK",IFERROR(('Player Data'!N614-1.5*'Player Data'!O614)/'Player Data'!H614*90,0),IFERROR(('Player Data'!I614+'Player Data'!J614)/'Player Data'!H614*90,0))</f>
        <v>0.287195851615477</v>
      </c>
      <c r="I614" s="22" t="n">
        <f aca="false">IF(B614="GK",'Player Data'!P614,IFERROR(('Player Data'!K614+'Player Data'!L614)/'Player Data'!H614*90,0))</f>
        <v>9.15436777024332</v>
      </c>
      <c r="J614" s="22" t="n">
        <f aca="false">IF(B614="GK",IFERROR('Player Data'!Q614/'Player Data'!H614*90,0),IFERROR('Player Data'!M614/'Player Data'!H614*90,0))</f>
        <v>1.61547666533706</v>
      </c>
      <c r="K614" s="23" t="n">
        <f aca="false">'Player Data'!S614</f>
        <v>39711</v>
      </c>
      <c r="L614" s="22" t="n">
        <f aca="false">INDEX(Assumptions!$B$13:$B$15,MATCH(E614,Assumptions!$A$13:$A$15,0))</f>
        <v>1</v>
      </c>
      <c r="M614" s="24" t="n">
        <f aca="false">IFERROR(SUMPRODUCT(($B$2:$B$1001=B614)*($H$2:$H$1001&lt;=H614))/SUMPRODUCT(($B$2:$B$1001=B614)*1),0)</f>
        <v>0.0336700336700337</v>
      </c>
      <c r="N614" s="24" t="n">
        <f aca="false">IFERROR(SUMPRODUCT(($B$2:$B$1001=B614)*($I$2:$I$1001&lt;=I614))/SUMPRODUCT(($B$2:$B$1001=B614)*1),0)</f>
        <v>0.31986531986532</v>
      </c>
      <c r="O614" s="24" t="n">
        <f aca="false">IFERROR(SUMPRODUCT(($B$2:$B$1001=B614)*($J$2:$J$1001&lt;=J614))/SUMPRODUCT(($B$2:$B$1001=B614)*1),0)</f>
        <v>0.235690235690236</v>
      </c>
      <c r="P614" s="24" t="n">
        <f aca="false">IFERROR(SUMPRODUCT(($B$2:$B$1001=B614)*((0-$F$2:$F$1001)&lt;=(0-F614)))/SUMPRODUCT(($B$2:$B$1001=B614)*1),0)</f>
        <v>0.734006734006734</v>
      </c>
      <c r="Q614" s="25" t="n">
        <f aca="false">(M614*Assumptions!$B$5+N614*Assumptions!$B$6+O614*Assumptions!$B$7+P614*Assumptions!$B$8)*L614</f>
        <v>0.314309764309764</v>
      </c>
      <c r="R614" s="24" t="n">
        <f aca="false">IFERROR(SUMPRODUCT(($B$2:$B$1001=B614)*($Q$2:$Q$1001&lt;=Q614))/SUMPRODUCT(($B$2:$B$1001=B614)*1),0)</f>
        <v>0.265993265993266</v>
      </c>
      <c r="S614" s="24" t="n">
        <f aca="false">IFERROR(SUMPRODUCT(($B$2:$B$1001=B614)*($K$2:$K$1001&lt;=K614))/SUMPRODUCT(($B$2:$B$1001=B614)*1),0)</f>
        <v>0.377104377104377</v>
      </c>
      <c r="T614" s="26" t="n">
        <f aca="false">(R614-S614)*100</f>
        <v>-11.1111111111111</v>
      </c>
      <c r="U614" s="21" t="str">
        <f aca="false">'Player Data'!T614</f>
        <v>No</v>
      </c>
      <c r="V614" s="27" t="n">
        <f aca="false">'Player Data'!U614</f>
        <v>2027</v>
      </c>
      <c r="W614" s="21" t="str">
        <f aca="false">IF(AND(T614&gt;=Assumptions!$B$19,U614="No"),"High Priority - Unrepresented",IF(T614&gt;=Assumptions!$B$19,"High Priority",IF(AND(T614&gt;=Assumptions!$B$20,U614="No"),"Watchlist - Unrepresented",IF(T614&gt;=Assumptions!$B$20,"Watchlist",""))))</f>
        <v/>
      </c>
      <c r="X614" s="21" t="str">
        <f aca="false">'Player Data'!V614</f>
        <v>info@kayescity.ml</v>
      </c>
      <c r="Y614" s="28" t="str">
        <f aca="false">'Player Data'!W614</f>
        <v>Club sporting director / first-team office</v>
      </c>
      <c r="Z614" s="28" t="str">
        <f aca="false">'Player Data'!X614</f>
        <v>FEMAFOOT (Malian Football Federation) player registry</v>
      </c>
      <c r="AA614" s="19" t="str">
        <f aca="false">HYPERLINK("https://www.transfermarkt.com/schnellsuche/ergebnis/schnellsuche?query="&amp;SUBSTITUTE(A614," ","+"),"Search Transfermarkt")</f>
        <v>Search Transfermarkt</v>
      </c>
      <c r="AB614" s="29" t="n">
        <f aca="false">IFERROR('Player Data'!K614/('Player Data'!K614+'Player Data'!L614),0)</f>
        <v>0.647058823529412</v>
      </c>
      <c r="AC614" s="21" t="str">
        <f aca="false">IF(B614="GK",IF(AND(O614&gt;=Assumptions!$B$23,N614&gt;=Assumptions!$B$23),"Sweeper-Keeper / Build-from-the-Back",IF(O614&gt;=Assumptions!$B$23,"Sweeper-Keeper / High Line",IF(M614&gt;=Assumptions!$B$23,"Shot-Stopper / Traditional","Flexible / Multi-System"))),IF(AND(O614&gt;=Assumptions!$B$23,P614&gt;=Assumptions!$B$24),"High Press / Gegenpressing",IF(AND(N614&gt;=Assumptions!$B$23,AB614&gt;=Assumptions!$B$25),"Possession / Build-from-the-Back",IF(N614&gt;=Assumptions!$B$23,"Counter-Attack / Transition",IF(AND(O614&gt;=Assumptions!$B$23,N614&lt;Assumptions!$B$26),"Low Block / Park the Bus",IF(AND(B614="FW",M614&gt;=Assumptions!$B$23,N614&lt;Assumptions!$B$26),"Direct / Target Approach","Flexible / Multi-System"))))))</f>
        <v>Flexible / Multi-System</v>
      </c>
      <c r="AD614" s="21" t="str">
        <f aca="false">'Player Data'!Y614</f>
        <v>2026-07-17</v>
      </c>
      <c r="AE614" s="21" t="str">
        <f aca="false">'Player Data'!Z614</f>
        <v>2026-07-17</v>
      </c>
      <c r="AF614" s="28" t="str">
        <f aca="false">IFERROR(INDEX(Assumptions!$B$30:$B$61,MATCH(C614,Assumptions!$A$30:$A$61,0)),"--")</f>
        <v>Belgium, Portugal</v>
      </c>
      <c r="AG614" s="30" t="str">
        <f aca="false">IF(R614&gt;=0.7,"Step-Up Candidate",IF(R614&gt;=0.4,"Lateral Move","Stay &amp; Develop"))</f>
        <v>Stay &amp; Develop</v>
      </c>
    </row>
    <row r="615" customFormat="false" ht="23.85" hidden="false" customHeight="false" outlineLevel="0" collapsed="false">
      <c r="A615" s="21" t="str">
        <f aca="false">'Player Data'!A615</f>
        <v>Hussein Salim</v>
      </c>
      <c r="B615" s="21" t="str">
        <f aca="false">'Player Data'!F615</f>
        <v>FW</v>
      </c>
      <c r="C615" s="21" t="str">
        <f aca="false">'Player Data'!B615</f>
        <v>Iraq</v>
      </c>
      <c r="D615" s="21" t="str">
        <f aca="false">'Player Data'!C615</f>
        <v>Iraq Second Division - East</v>
      </c>
      <c r="E615" s="21" t="n">
        <f aca="false">'Player Data'!D615</f>
        <v>2</v>
      </c>
      <c r="F615" s="21" t="n">
        <f aca="false">'Player Data'!G615</f>
        <v>19</v>
      </c>
      <c r="G615" s="21" t="n">
        <f aca="false">'Player Data'!H615</f>
        <v>924</v>
      </c>
      <c r="H615" s="22" t="n">
        <f aca="false">IF(B615="GK",IFERROR(('Player Data'!N615-1.5*'Player Data'!O615)/'Player Data'!H615*90,0),IFERROR(('Player Data'!I615+'Player Data'!J615)/'Player Data'!H615*90,0))</f>
        <v>2.14285714285714</v>
      </c>
      <c r="I615" s="22" t="n">
        <f aca="false">IF(B615="GK",'Player Data'!P615,IFERROR(('Player Data'!K615+'Player Data'!L615)/'Player Data'!H615*90,0))</f>
        <v>12.8571428571429</v>
      </c>
      <c r="J615" s="22" t="n">
        <f aca="false">IF(B615="GK",IFERROR('Player Data'!Q615/'Player Data'!H615*90,0),IFERROR('Player Data'!M615/'Player Data'!H615*90,0))</f>
        <v>1.46103896103896</v>
      </c>
      <c r="K615" s="23" t="n">
        <f aca="false">'Player Data'!S615</f>
        <v>0</v>
      </c>
      <c r="L615" s="22" t="n">
        <f aca="false">INDEX(Assumptions!$B$13:$B$15,MATCH(E615,Assumptions!$A$13:$A$15,0))</f>
        <v>1</v>
      </c>
      <c r="M615" s="24" t="n">
        <f aca="false">IFERROR(SUMPRODUCT(($B$2:$B$1001=B615)*($H$2:$H$1001&lt;=H615))/SUMPRODUCT(($B$2:$B$1001=B615)*1),0)</f>
        <v>0.964601769911504</v>
      </c>
      <c r="N615" s="24" t="n">
        <f aca="false">IFERROR(SUMPRODUCT(($B$2:$B$1001=B615)*($I$2:$I$1001&lt;=I615))/SUMPRODUCT(($B$2:$B$1001=B615)*1),0)</f>
        <v>0.933628318584071</v>
      </c>
      <c r="O615" s="24" t="n">
        <f aca="false">IFERROR(SUMPRODUCT(($B$2:$B$1001=B615)*($J$2:$J$1001&lt;=J615))/SUMPRODUCT(($B$2:$B$1001=B615)*1),0)</f>
        <v>0.986725663716814</v>
      </c>
      <c r="P615" s="24" t="n">
        <f aca="false">IFERROR(SUMPRODUCT(($B$2:$B$1001=B615)*((0-$F$2:$F$1001)&lt;=(0-F615)))/SUMPRODUCT(($B$2:$B$1001=B615)*1),0)</f>
        <v>0.831858407079646</v>
      </c>
      <c r="Q615" s="25" t="n">
        <f aca="false">(M615*Assumptions!$B$5+N615*Assumptions!$B$6+O615*Assumptions!$B$7+P615*Assumptions!$B$8)*L615</f>
        <v>0.931637168141593</v>
      </c>
      <c r="R615" s="24" t="n">
        <f aca="false">IFERROR(SUMPRODUCT(($B$2:$B$1001=B615)*($Q$2:$Q$1001&lt;=Q615))/SUMPRODUCT(($B$2:$B$1001=B615)*1),0)</f>
        <v>0.995575221238938</v>
      </c>
      <c r="S615" s="24" t="n">
        <f aca="false">IFERROR(SUMPRODUCT(($B$2:$B$1001=B615)*($K$2:$K$1001&lt;=K615))/SUMPRODUCT(($B$2:$B$1001=B615)*1),0)</f>
        <v>0.261061946902655</v>
      </c>
      <c r="T615" s="26" t="n">
        <f aca="false">(R615-S615)*100</f>
        <v>73.4513274336283</v>
      </c>
      <c r="U615" s="21" t="str">
        <f aca="false">'Player Data'!T615</f>
        <v>No</v>
      </c>
      <c r="V615" s="27" t="n">
        <f aca="false">'Player Data'!U615</f>
        <v>2026</v>
      </c>
      <c r="W615" s="21" t="str">
        <f aca="false">IF(AND(T615&gt;=Assumptions!$B$19,U615="No"),"High Priority - Unrepresented",IF(T615&gt;=Assumptions!$B$19,"High Priority",IF(AND(T615&gt;=Assumptions!$B$20,U615="No"),"Watchlist - Unrepresented",IF(T615&gt;=Assumptions!$B$20,"Watchlist",""))))</f>
        <v>High Priority - Unrepresented</v>
      </c>
      <c r="X615" s="21" t="str">
        <f aca="false">'Player Data'!V615</f>
        <v>info@erbilwanderers.iq</v>
      </c>
      <c r="Y615" s="28" t="str">
        <f aca="false">'Player Data'!W615</f>
        <v>Club sporting director / first-team office</v>
      </c>
      <c r="Z615" s="28" t="str">
        <f aca="false">'Player Data'!X615</f>
        <v>IFA (Iraq Football Association) player registry</v>
      </c>
      <c r="AA615" s="19" t="str">
        <f aca="false">HYPERLINK("https://www.transfermarkt.com/schnellsuche/ergebnis/schnellsuche?query="&amp;SUBSTITUTE(A615," ","+"),"Search Transfermarkt")</f>
        <v>Search Transfermarkt</v>
      </c>
      <c r="AB615" s="29" t="n">
        <f aca="false">IFERROR('Player Data'!K615/('Player Data'!K615+'Player Data'!L615),0)</f>
        <v>0.462121212121212</v>
      </c>
      <c r="AC615" s="21" t="str">
        <f aca="false">IF(B615="GK",IF(AND(O615&gt;=Assumptions!$B$23,N615&gt;=Assumptions!$B$23),"Sweeper-Keeper / Build-from-the-Back",IF(O615&gt;=Assumptions!$B$23,"Sweeper-Keeper / High Line",IF(M615&gt;=Assumptions!$B$23,"Shot-Stopper / Traditional","Flexible / Multi-System"))),IF(AND(O615&gt;=Assumptions!$B$23,P615&gt;=Assumptions!$B$24),"High Press / Gegenpressing",IF(AND(N615&gt;=Assumptions!$B$23,AB615&gt;=Assumptions!$B$25),"Possession / Build-from-the-Back",IF(N615&gt;=Assumptions!$B$23,"Counter-Attack / Transition",IF(AND(O615&gt;=Assumptions!$B$23,N615&lt;Assumptions!$B$26),"Low Block / Park the Bus",IF(AND(B615="FW",M615&gt;=Assumptions!$B$23,N615&lt;Assumptions!$B$26),"Direct / Target Approach","Flexible / Multi-System"))))))</f>
        <v>High Press / Gegenpressing</v>
      </c>
      <c r="AD615" s="21" t="str">
        <f aca="false">'Player Data'!Y615</f>
        <v>2026-07-17</v>
      </c>
      <c r="AE615" s="21" t="str">
        <f aca="false">'Player Data'!Z615</f>
        <v>2026-07-17</v>
      </c>
      <c r="AF615" s="28" t="str">
        <f aca="false">IFERROR(INDEX(Assumptions!$B$30:$B$61,MATCH(C615,Assumptions!$A$30:$A$61,0)),"--")</f>
        <v>Turkey, Saudi Arabia</v>
      </c>
      <c r="AG615" s="30" t="str">
        <f aca="false">IF(R615&gt;=0.7,"Step-Up Candidate",IF(R615&gt;=0.4,"Lateral Move","Stay &amp; Develop"))</f>
        <v>Step-Up Candidate</v>
      </c>
    </row>
    <row r="616" customFormat="false" ht="23.85" hidden="false" customHeight="false" outlineLevel="0" collapsed="false">
      <c r="A616" s="21" t="str">
        <f aca="false">'Player Data'!A616</f>
        <v>Sander Kask</v>
      </c>
      <c r="B616" s="21" t="str">
        <f aca="false">'Player Data'!F616</f>
        <v>DF</v>
      </c>
      <c r="C616" s="21" t="str">
        <f aca="false">'Player Data'!B616</f>
        <v>Estonia</v>
      </c>
      <c r="D616" s="21" t="str">
        <f aca="false">'Player Data'!C616</f>
        <v>Estonia Second Division - East</v>
      </c>
      <c r="E616" s="21" t="n">
        <f aca="false">'Player Data'!D616</f>
        <v>2</v>
      </c>
      <c r="F616" s="21" t="n">
        <f aca="false">'Player Data'!G616</f>
        <v>25</v>
      </c>
      <c r="G616" s="21" t="n">
        <f aca="false">'Player Data'!H616</f>
        <v>2678</v>
      </c>
      <c r="H616" s="22" t="n">
        <f aca="false">IF(B616="GK",IFERROR(('Player Data'!N616-1.5*'Player Data'!O616)/'Player Data'!H616*90,0),IFERROR(('Player Data'!I616+'Player Data'!J616)/'Player Data'!H616*90,0))</f>
        <v>0.134428678117999</v>
      </c>
      <c r="I616" s="22" t="n">
        <f aca="false">IF(B616="GK",'Player Data'!P616,IFERROR(('Player Data'!K616+'Player Data'!L616)/'Player Data'!H616*90,0))</f>
        <v>3.05825242718447</v>
      </c>
      <c r="J616" s="22" t="n">
        <f aca="false">IF(B616="GK",IFERROR('Player Data'!Q616/'Player Data'!H616*90,0),IFERROR('Player Data'!M616/'Player Data'!H616*90,0))</f>
        <v>2.55414488424197</v>
      </c>
      <c r="K616" s="23" t="n">
        <f aca="false">'Player Data'!S616</f>
        <v>102649</v>
      </c>
      <c r="L616" s="22" t="n">
        <f aca="false">INDEX(Assumptions!$B$13:$B$15,MATCH(E616,Assumptions!$A$13:$A$15,0))</f>
        <v>1</v>
      </c>
      <c r="M616" s="24" t="n">
        <f aca="false">IFERROR(SUMPRODUCT(($B$2:$B$1001=B616)*($H$2:$H$1001&lt;=H616))/SUMPRODUCT(($B$2:$B$1001=B616)*1),0)</f>
        <v>0.312925170068027</v>
      </c>
      <c r="N616" s="24" t="n">
        <f aca="false">IFERROR(SUMPRODUCT(($B$2:$B$1001=B616)*($I$2:$I$1001&lt;=I616))/SUMPRODUCT(($B$2:$B$1001=B616)*1),0)</f>
        <v>0.0850340136054422</v>
      </c>
      <c r="O616" s="24" t="n">
        <f aca="false">IFERROR(SUMPRODUCT(($B$2:$B$1001=B616)*($J$2:$J$1001&lt;=J616))/SUMPRODUCT(($B$2:$B$1001=B616)*1),0)</f>
        <v>0.00340136054421769</v>
      </c>
      <c r="P616" s="24" t="n">
        <f aca="false">IFERROR(SUMPRODUCT(($B$2:$B$1001=B616)*((0-$F$2:$F$1001)&lt;=(0-F616)))/SUMPRODUCT(($B$2:$B$1001=B616)*1),0)</f>
        <v>0.146258503401361</v>
      </c>
      <c r="Q616" s="25" t="n">
        <f aca="false">(M616*Assumptions!$B$5+N616*Assumptions!$B$6+O616*Assumptions!$B$7+P616*Assumptions!$B$8)*L616</f>
        <v>0.137925170068027</v>
      </c>
      <c r="R616" s="24" t="n">
        <f aca="false">IFERROR(SUMPRODUCT(($B$2:$B$1001=B616)*($Q$2:$Q$1001&lt;=Q616))/SUMPRODUCT(($B$2:$B$1001=B616)*1),0)</f>
        <v>0.0272108843537415</v>
      </c>
      <c r="S616" s="24" t="n">
        <f aca="false">IFERROR(SUMPRODUCT(($B$2:$B$1001=B616)*($K$2:$K$1001&lt;=K616))/SUMPRODUCT(($B$2:$B$1001=B616)*1),0)</f>
        <v>0.751700680272109</v>
      </c>
      <c r="T616" s="26" t="n">
        <f aca="false">(R616-S616)*100</f>
        <v>-72.4489795918367</v>
      </c>
      <c r="U616" s="21" t="str">
        <f aca="false">'Player Data'!T616</f>
        <v>No</v>
      </c>
      <c r="V616" s="27" t="n">
        <f aca="false">'Player Data'!U616</f>
        <v>2026</v>
      </c>
      <c r="W616" s="21" t="str">
        <f aca="false">IF(AND(T616&gt;=Assumptions!$B$19,U616="No"),"High Priority - Unrepresented",IF(T616&gt;=Assumptions!$B$19,"High Priority",IF(AND(T616&gt;=Assumptions!$B$20,U616="No"),"Watchlist - Unrepresented",IF(T616&gt;=Assumptions!$B$20,"Watchlist",""))))</f>
        <v/>
      </c>
      <c r="X616" s="21" t="str">
        <f aca="false">'Player Data'!V616</f>
        <v>info@tartucity.ee</v>
      </c>
      <c r="Y616" s="28" t="str">
        <f aca="false">'Player Data'!W616</f>
        <v>Club sporting director / first-team office</v>
      </c>
      <c r="Z616" s="28" t="str">
        <f aca="false">'Player Data'!X616</f>
        <v>EJL (Estonian Football Association) player registry</v>
      </c>
      <c r="AA616" s="19" t="str">
        <f aca="false">HYPERLINK("https://www.transfermarkt.com/schnellsuche/ergebnis/schnellsuche?query="&amp;SUBSTITUTE(A616," ","+"),"Search Transfermarkt")</f>
        <v>Search Transfermarkt</v>
      </c>
      <c r="AB616" s="29" t="n">
        <f aca="false">IFERROR('Player Data'!K616/('Player Data'!K616+'Player Data'!L616),0)</f>
        <v>0.648351648351648</v>
      </c>
      <c r="AC616" s="21" t="str">
        <f aca="false">IF(B616="GK",IF(AND(O616&gt;=Assumptions!$B$23,N616&gt;=Assumptions!$B$23),"Sweeper-Keeper / Build-from-the-Back",IF(O616&gt;=Assumptions!$B$23,"Sweeper-Keeper / High Line",IF(M616&gt;=Assumptions!$B$23,"Shot-Stopper / Traditional","Flexible / Multi-System"))),IF(AND(O616&gt;=Assumptions!$B$23,P616&gt;=Assumptions!$B$24),"High Press / Gegenpressing",IF(AND(N616&gt;=Assumptions!$B$23,AB616&gt;=Assumptions!$B$25),"Possession / Build-from-the-Back",IF(N616&gt;=Assumptions!$B$23,"Counter-Attack / Transition",IF(AND(O616&gt;=Assumptions!$B$23,N616&lt;Assumptions!$B$26),"Low Block / Park the Bus",IF(AND(B616="FW",M616&gt;=Assumptions!$B$23,N616&lt;Assumptions!$B$26),"Direct / Target Approach","Flexible / Multi-System"))))))</f>
        <v>Flexible / Multi-System</v>
      </c>
      <c r="AD616" s="21" t="str">
        <f aca="false">'Player Data'!Y616</f>
        <v>2026-07-17</v>
      </c>
      <c r="AE616" s="21" t="str">
        <f aca="false">'Player Data'!Z616</f>
        <v>2026-07-17</v>
      </c>
      <c r="AF616" s="28" t="str">
        <f aca="false">IFERROR(INDEX(Assumptions!$B$30:$B$61,MATCH(C616,Assumptions!$A$30:$A$61,0)),"--")</f>
        <v>Poland, Norway</v>
      </c>
      <c r="AG616" s="30" t="str">
        <f aca="false">IF(R616&gt;=0.7,"Step-Up Candidate",IF(R616&gt;=0.4,"Lateral Move","Stay &amp; Develop"))</f>
        <v>Stay &amp; Develop</v>
      </c>
    </row>
    <row r="617" customFormat="false" ht="23.85" hidden="false" customHeight="false" outlineLevel="0" collapsed="false">
      <c r="A617" s="21" t="str">
        <f aca="false">'Player Data'!A617</f>
        <v>Ivan Barisic</v>
      </c>
      <c r="B617" s="21" t="str">
        <f aca="false">'Player Data'!F617</f>
        <v>DF</v>
      </c>
      <c r="C617" s="21" t="str">
        <f aca="false">'Player Data'!B617</f>
        <v>Croatia</v>
      </c>
      <c r="D617" s="21" t="str">
        <f aca="false">'Player Data'!C617</f>
        <v>Croatia Third Tier - North</v>
      </c>
      <c r="E617" s="21" t="n">
        <f aca="false">'Player Data'!D617</f>
        <v>3</v>
      </c>
      <c r="F617" s="21" t="n">
        <f aca="false">'Player Data'!G617</f>
        <v>23</v>
      </c>
      <c r="G617" s="21" t="n">
        <f aca="false">'Player Data'!H617</f>
        <v>1690</v>
      </c>
      <c r="H617" s="22" t="n">
        <f aca="false">IF(B617="GK",IFERROR(('Player Data'!N617-1.5*'Player Data'!O617)/'Player Data'!H617*90,0),IFERROR(('Player Data'!I617+'Player Data'!J617)/'Player Data'!H617*90,0))</f>
        <v>0.266272189349112</v>
      </c>
      <c r="I617" s="22" t="n">
        <f aca="false">IF(B617="GK",'Player Data'!P617,IFERROR(('Player Data'!K617+'Player Data'!L617)/'Player Data'!H617*90,0))</f>
        <v>4.57988165680473</v>
      </c>
      <c r="J617" s="22" t="n">
        <f aca="false">IF(B617="GK",IFERROR('Player Data'!Q617/'Player Data'!H617*90,0),IFERROR('Player Data'!M617/'Player Data'!H617*90,0))</f>
        <v>5.9112426035503</v>
      </c>
      <c r="K617" s="23" t="n">
        <f aca="false">'Player Data'!S617</f>
        <v>61423</v>
      </c>
      <c r="L617" s="22" t="n">
        <f aca="false">INDEX(Assumptions!$B$13:$B$15,MATCH(E617,Assumptions!$A$13:$A$15,0))</f>
        <v>0.85</v>
      </c>
      <c r="M617" s="24" t="n">
        <f aca="false">IFERROR(SUMPRODUCT(($B$2:$B$1001=B617)*($H$2:$H$1001&lt;=H617))/SUMPRODUCT(($B$2:$B$1001=B617)*1),0)</f>
        <v>0.697278911564626</v>
      </c>
      <c r="N617" s="24" t="n">
        <f aca="false">IFERROR(SUMPRODUCT(($B$2:$B$1001=B617)*($I$2:$I$1001&lt;=I617))/SUMPRODUCT(($B$2:$B$1001=B617)*1),0)</f>
        <v>0.517006802721089</v>
      </c>
      <c r="O617" s="24" t="n">
        <f aca="false">IFERROR(SUMPRODUCT(($B$2:$B$1001=B617)*($J$2:$J$1001&lt;=J617))/SUMPRODUCT(($B$2:$B$1001=B617)*1),0)</f>
        <v>0.605442176870748</v>
      </c>
      <c r="P617" s="24" t="n">
        <f aca="false">IFERROR(SUMPRODUCT(($B$2:$B$1001=B617)*((0-$F$2:$F$1001)&lt;=(0-F617)))/SUMPRODUCT(($B$2:$B$1001=B617)*1),0)</f>
        <v>0.374149659863946</v>
      </c>
      <c r="Q617" s="25" t="n">
        <f aca="false">(M617*Assumptions!$B$5+N617*Assumptions!$B$6+O617*Assumptions!$B$7+P617*Assumptions!$B$8)*L617</f>
        <v>0.468511904761905</v>
      </c>
      <c r="R617" s="24" t="n">
        <f aca="false">IFERROR(SUMPRODUCT(($B$2:$B$1001=B617)*($Q$2:$Q$1001&lt;=Q617))/SUMPRODUCT(($B$2:$B$1001=B617)*1),0)</f>
        <v>0.602040816326531</v>
      </c>
      <c r="S617" s="24" t="n">
        <f aca="false">IFERROR(SUMPRODUCT(($B$2:$B$1001=B617)*($K$2:$K$1001&lt;=K617))/SUMPRODUCT(($B$2:$B$1001=B617)*1),0)</f>
        <v>0.493197278911565</v>
      </c>
      <c r="T617" s="26" t="n">
        <f aca="false">(R617-S617)*100</f>
        <v>10.8843537414966</v>
      </c>
      <c r="U617" s="21" t="str">
        <f aca="false">'Player Data'!T617</f>
        <v>Yes</v>
      </c>
      <c r="V617" s="27" t="n">
        <f aca="false">'Player Data'!U617</f>
        <v>2028</v>
      </c>
      <c r="W617" s="21" t="str">
        <f aca="false">IF(AND(T617&gt;=Assumptions!$B$19,U617="No"),"High Priority - Unrepresented",IF(T617&gt;=Assumptions!$B$19,"High Priority",IF(AND(T617&gt;=Assumptions!$B$20,U617="No"),"Watchlist - Unrepresented",IF(T617&gt;=Assumptions!$B$20,"Watchlist",""))))</f>
        <v/>
      </c>
      <c r="X617" s="21" t="str">
        <f aca="false">'Player Data'!V617</f>
        <v>info@bijelobrdotown.hr</v>
      </c>
      <c r="Y617" s="28" t="str">
        <f aca="false">'Player Data'!W617</f>
        <v>Go through the player's agent - ask the club to confirm representation first</v>
      </c>
      <c r="Z617" s="28" t="str">
        <f aca="false">'Player Data'!X617</f>
        <v>HNS (Croatian Football Federation) player registry</v>
      </c>
      <c r="AA617" s="19" t="str">
        <f aca="false">HYPERLINK("https://www.transfermarkt.com/schnellsuche/ergebnis/schnellsuche?query="&amp;SUBSTITUTE(A617," ","+"),"Search Transfermarkt")</f>
        <v>Search Transfermarkt</v>
      </c>
      <c r="AB617" s="29" t="n">
        <f aca="false">IFERROR('Player Data'!K617/('Player Data'!K617+'Player Data'!L617),0)</f>
        <v>0.72093023255814</v>
      </c>
      <c r="AC617" s="21" t="str">
        <f aca="false">IF(B617="GK",IF(AND(O617&gt;=Assumptions!$B$23,N617&gt;=Assumptions!$B$23),"Sweeper-Keeper / Build-from-the-Back",IF(O617&gt;=Assumptions!$B$23,"Sweeper-Keeper / High Line",IF(M617&gt;=Assumptions!$B$23,"Shot-Stopper / Traditional","Flexible / Multi-System"))),IF(AND(O617&gt;=Assumptions!$B$23,P617&gt;=Assumptions!$B$24),"High Press / Gegenpressing",IF(AND(N617&gt;=Assumptions!$B$23,AB617&gt;=Assumptions!$B$25),"Possession / Build-from-the-Back",IF(N617&gt;=Assumptions!$B$23,"Counter-Attack / Transition",IF(AND(O617&gt;=Assumptions!$B$23,N617&lt;Assumptions!$B$26),"Low Block / Park the Bus",IF(AND(B617="FW",M617&gt;=Assumptions!$B$23,N617&lt;Assumptions!$B$26),"Direct / Target Approach","Flexible / Multi-System"))))))</f>
        <v>Flexible / Multi-System</v>
      </c>
      <c r="AD617" s="21" t="str">
        <f aca="false">'Player Data'!Y617</f>
        <v>2026-07-17</v>
      </c>
      <c r="AE617" s="21" t="str">
        <f aca="false">'Player Data'!Z617</f>
        <v>2026-07-17</v>
      </c>
      <c r="AF617" s="28" t="str">
        <f aca="false">IFERROR(INDEX(Assumptions!$B$30:$B$61,MATCH(C617,Assumptions!$A$30:$A$61,0)),"--")</f>
        <v>Austria, Turkey</v>
      </c>
      <c r="AG617" s="30" t="str">
        <f aca="false">IF(R617&gt;=0.7,"Step-Up Candidate",IF(R617&gt;=0.4,"Lateral Move","Stay &amp; Develop"))</f>
        <v>Lateral Move</v>
      </c>
    </row>
    <row r="618" customFormat="false" ht="23.85" hidden="false" customHeight="false" outlineLevel="0" collapsed="false">
      <c r="A618" s="21" t="str">
        <f aca="false">'Player Data'!A618</f>
        <v>Kittipong Wongsa</v>
      </c>
      <c r="B618" s="21" t="str">
        <f aca="false">'Player Data'!F618</f>
        <v>MF</v>
      </c>
      <c r="C618" s="21" t="str">
        <f aca="false">'Player Data'!B618</f>
        <v>Thailand</v>
      </c>
      <c r="D618" s="21" t="str">
        <f aca="false">'Player Data'!C618</f>
        <v>Thailand Amateur League</v>
      </c>
      <c r="E618" s="21" t="n">
        <f aca="false">'Player Data'!D618</f>
        <v>4</v>
      </c>
      <c r="F618" s="21" t="n">
        <f aca="false">'Player Data'!G618</f>
        <v>25</v>
      </c>
      <c r="G618" s="21" t="n">
        <f aca="false">'Player Data'!H618</f>
        <v>2135</v>
      </c>
      <c r="H618" s="22" t="n">
        <f aca="false">IF(B618="GK",IFERROR(('Player Data'!N618-1.5*'Player Data'!O618)/'Player Data'!H618*90,0),IFERROR(('Player Data'!I618+'Player Data'!J618)/'Player Data'!H618*90,0))</f>
        <v>0.505854800936768</v>
      </c>
      <c r="I618" s="22" t="n">
        <f aca="false">IF(B618="GK",'Player Data'!P618,IFERROR(('Player Data'!K618+'Player Data'!L618)/'Player Data'!H618*90,0))</f>
        <v>8.43091334894614</v>
      </c>
      <c r="J618" s="22" t="n">
        <f aca="false">IF(B618="GK",IFERROR('Player Data'!Q618/'Player Data'!H618*90,0),IFERROR('Player Data'!M618/'Player Data'!H618*90,0))</f>
        <v>2.14988290398127</v>
      </c>
      <c r="K618" s="23" t="n">
        <f aca="false">'Player Data'!S618</f>
        <v>63257</v>
      </c>
      <c r="L618" s="22" t="n">
        <f aca="false">INDEX(Assumptions!$B$13:$B$15,MATCH(E618,Assumptions!$A$13:$A$15,0))</f>
        <v>0.7</v>
      </c>
      <c r="M618" s="24" t="n">
        <f aca="false">IFERROR(SUMPRODUCT(($B$2:$B$1001=B618)*($H$2:$H$1001&lt;=H618))/SUMPRODUCT(($B$2:$B$1001=B618)*1),0)</f>
        <v>0.225589225589226</v>
      </c>
      <c r="N618" s="24" t="n">
        <f aca="false">IFERROR(SUMPRODUCT(($B$2:$B$1001=B618)*($I$2:$I$1001&lt;=I618))/SUMPRODUCT(($B$2:$B$1001=B618)*1),0)</f>
        <v>0.202020202020202</v>
      </c>
      <c r="O618" s="24" t="n">
        <f aca="false">IFERROR(SUMPRODUCT(($B$2:$B$1001=B618)*($J$2:$J$1001&lt;=J618))/SUMPRODUCT(($B$2:$B$1001=B618)*1),0)</f>
        <v>0.478114478114478</v>
      </c>
      <c r="P618" s="24" t="n">
        <f aca="false">IFERROR(SUMPRODUCT(($B$2:$B$1001=B618)*((0-$F$2:$F$1001)&lt;=(0-F618)))/SUMPRODUCT(($B$2:$B$1001=B618)*1),0)</f>
        <v>0.202020202020202</v>
      </c>
      <c r="Q618" s="25" t="n">
        <f aca="false">(M618*Assumptions!$B$5+N618*Assumptions!$B$6+O618*Assumptions!$B$7+P618*Assumptions!$B$8)*L618</f>
        <v>0.184191919191919</v>
      </c>
      <c r="R618" s="24" t="n">
        <f aca="false">IFERROR(SUMPRODUCT(($B$2:$B$1001=B618)*($Q$2:$Q$1001&lt;=Q618))/SUMPRODUCT(($B$2:$B$1001=B618)*1),0)</f>
        <v>0.0673400673400673</v>
      </c>
      <c r="S618" s="24" t="n">
        <f aca="false">IFERROR(SUMPRODUCT(($B$2:$B$1001=B618)*($K$2:$K$1001&lt;=K618))/SUMPRODUCT(($B$2:$B$1001=B618)*1),0)</f>
        <v>0.528619528619529</v>
      </c>
      <c r="T618" s="26" t="n">
        <f aca="false">(R618-S618)*100</f>
        <v>-46.1279461279461</v>
      </c>
      <c r="U618" s="21" t="str">
        <f aca="false">'Player Data'!T618</f>
        <v>Unknown</v>
      </c>
      <c r="V618" s="27" t="n">
        <f aca="false">'Player Data'!U618</f>
        <v>2028</v>
      </c>
      <c r="W618" s="21" t="str">
        <f aca="false">IF(AND(T618&gt;=Assumptions!$B$19,U618="No"),"High Priority - Unrepresented",IF(T618&gt;=Assumptions!$B$19,"High Priority",IF(AND(T618&gt;=Assumptions!$B$20,U618="No"),"Watchlist - Unrepresented",IF(T618&gt;=Assumptions!$B$20,"Watchlist",""))))</f>
        <v/>
      </c>
      <c r="X618" s="21" t="str">
        <f aca="false">'Player Data'!V618</f>
        <v>info@khonkaenrovers.th</v>
      </c>
      <c r="Y618" s="28" t="str">
        <f aca="false">'Player Data'!W618</f>
        <v>Club sporting director / first-team office</v>
      </c>
      <c r="Z618" s="28" t="str">
        <f aca="false">'Player Data'!X618</f>
        <v>FAT (Football Association of Thailand) player registry</v>
      </c>
      <c r="AA618" s="19" t="str">
        <f aca="false">HYPERLINK("https://www.transfermarkt.com/schnellsuche/ergebnis/schnellsuche?query="&amp;SUBSTITUTE(A618," ","+"),"Search Transfermarkt")</f>
        <v>Search Transfermarkt</v>
      </c>
      <c r="AB618" s="29" t="n">
        <f aca="false">IFERROR('Player Data'!K618/('Player Data'!K618+'Player Data'!L618),0)</f>
        <v>0.535</v>
      </c>
      <c r="AC618" s="21" t="str">
        <f aca="false">IF(B618="GK",IF(AND(O618&gt;=Assumptions!$B$23,N618&gt;=Assumptions!$B$23),"Sweeper-Keeper / Build-from-the-Back",IF(O618&gt;=Assumptions!$B$23,"Sweeper-Keeper / High Line",IF(M618&gt;=Assumptions!$B$23,"Shot-Stopper / Traditional","Flexible / Multi-System"))),IF(AND(O618&gt;=Assumptions!$B$23,P618&gt;=Assumptions!$B$24),"High Press / Gegenpressing",IF(AND(N618&gt;=Assumptions!$B$23,AB618&gt;=Assumptions!$B$25),"Possession / Build-from-the-Back",IF(N618&gt;=Assumptions!$B$23,"Counter-Attack / Transition",IF(AND(O618&gt;=Assumptions!$B$23,N618&lt;Assumptions!$B$26),"Low Block / Park the Bus",IF(AND(B618="FW",M618&gt;=Assumptions!$B$23,N618&lt;Assumptions!$B$26),"Direct / Target Approach","Flexible / Multi-System"))))))</f>
        <v>Flexible / Multi-System</v>
      </c>
      <c r="AD618" s="21" t="str">
        <f aca="false">'Player Data'!Y618</f>
        <v>2026-07-17</v>
      </c>
      <c r="AE618" s="21" t="str">
        <f aca="false">'Player Data'!Z618</f>
        <v>2026-07-17</v>
      </c>
      <c r="AF618" s="28" t="str">
        <f aca="false">IFERROR(INDEX(Assumptions!$B$30:$B$61,MATCH(C618,Assumptions!$A$30:$A$61,0)),"--")</f>
        <v>Australia, Saudi Arabia</v>
      </c>
      <c r="AG618" s="30" t="str">
        <f aca="false">IF(R618&gt;=0.7,"Step-Up Candidate",IF(R618&gt;=0.4,"Lateral Move","Stay &amp; Develop"))</f>
        <v>Stay &amp; Develop</v>
      </c>
    </row>
    <row r="619" customFormat="false" ht="23.85" hidden="false" customHeight="false" outlineLevel="0" collapsed="false">
      <c r="A619" s="21" t="str">
        <f aca="false">'Player Data'!A619</f>
        <v>Wesly Chirinos</v>
      </c>
      <c r="B619" s="21" t="str">
        <f aca="false">'Player Data'!F619</f>
        <v>MF</v>
      </c>
      <c r="C619" s="21" t="str">
        <f aca="false">'Player Data'!B619</f>
        <v>Honduras</v>
      </c>
      <c r="D619" s="21" t="str">
        <f aca="false">'Player Data'!C619</f>
        <v>Honduras Amateur League</v>
      </c>
      <c r="E619" s="21" t="n">
        <f aca="false">'Player Data'!D619</f>
        <v>2</v>
      </c>
      <c r="F619" s="21" t="n">
        <f aca="false">'Player Data'!G619</f>
        <v>21</v>
      </c>
      <c r="G619" s="21" t="n">
        <f aca="false">'Player Data'!H619</f>
        <v>2629</v>
      </c>
      <c r="H619" s="22" t="n">
        <f aca="false">IF(B619="GK",IFERROR(('Player Data'!N619-1.5*'Player Data'!O619)/'Player Data'!H619*90,0),IFERROR(('Player Data'!I619+'Player Data'!J619)/'Player Data'!H619*90,0))</f>
        <v>0.616203879802206</v>
      </c>
      <c r="I619" s="22" t="n">
        <f aca="false">IF(B619="GK",'Player Data'!P619,IFERROR(('Player Data'!K619+'Player Data'!L619)/'Player Data'!H619*90,0))</f>
        <v>6.43590718904526</v>
      </c>
      <c r="J619" s="22" t="n">
        <f aca="false">IF(B619="GK",IFERROR('Player Data'!Q619/'Player Data'!H619*90,0),IFERROR('Player Data'!M619/'Player Data'!H619*90,0))</f>
        <v>0.99277291745911</v>
      </c>
      <c r="K619" s="23" t="n">
        <f aca="false">'Player Data'!S619</f>
        <v>120202</v>
      </c>
      <c r="L619" s="22" t="n">
        <f aca="false">INDEX(Assumptions!$B$13:$B$15,MATCH(E619,Assumptions!$A$13:$A$15,0))</f>
        <v>1</v>
      </c>
      <c r="M619" s="24" t="n">
        <f aca="false">IFERROR(SUMPRODUCT(($B$2:$B$1001=B619)*($H$2:$H$1001&lt;=H619))/SUMPRODUCT(($B$2:$B$1001=B619)*1),0)</f>
        <v>0.35016835016835</v>
      </c>
      <c r="N619" s="24" t="n">
        <f aca="false">IFERROR(SUMPRODUCT(($B$2:$B$1001=B619)*($I$2:$I$1001&lt;=I619))/SUMPRODUCT(($B$2:$B$1001=B619)*1),0)</f>
        <v>0.0134680134680135</v>
      </c>
      <c r="O619" s="24" t="n">
        <f aca="false">IFERROR(SUMPRODUCT(($B$2:$B$1001=B619)*($J$2:$J$1001&lt;=J619))/SUMPRODUCT(($B$2:$B$1001=B619)*1),0)</f>
        <v>0.0168350168350168</v>
      </c>
      <c r="P619" s="24" t="n">
        <f aca="false">IFERROR(SUMPRODUCT(($B$2:$B$1001=B619)*((0-$F$2:$F$1001)&lt;=(0-F619)))/SUMPRODUCT(($B$2:$B$1001=B619)*1),0)</f>
        <v>0.61952861952862</v>
      </c>
      <c r="Q619" s="25" t="n">
        <f aca="false">(M619*Assumptions!$B$5+N619*Assumptions!$B$6+O619*Assumptions!$B$7+P619*Assumptions!$B$8)*L619</f>
        <v>0.21952861952862</v>
      </c>
      <c r="R619" s="24" t="n">
        <f aca="false">IFERROR(SUMPRODUCT(($B$2:$B$1001=B619)*($Q$2:$Q$1001&lt;=Q619))/SUMPRODUCT(($B$2:$B$1001=B619)*1),0)</f>
        <v>0.121212121212121</v>
      </c>
      <c r="S619" s="24" t="n">
        <f aca="false">IFERROR(SUMPRODUCT(($B$2:$B$1001=B619)*($K$2:$K$1001&lt;=K619))/SUMPRODUCT(($B$2:$B$1001=B619)*1),0)</f>
        <v>0.851851851851852</v>
      </c>
      <c r="T619" s="26" t="n">
        <f aca="false">(R619-S619)*100</f>
        <v>-73.0639730639731</v>
      </c>
      <c r="U619" s="21" t="str">
        <f aca="false">'Player Data'!T619</f>
        <v>No</v>
      </c>
      <c r="V619" s="27" t="n">
        <f aca="false">'Player Data'!U619</f>
        <v>2026</v>
      </c>
      <c r="W619" s="21" t="str">
        <f aca="false">IF(AND(T619&gt;=Assumptions!$B$19,U619="No"),"High Priority - Unrepresented",IF(T619&gt;=Assumptions!$B$19,"High Priority",IF(AND(T619&gt;=Assumptions!$B$20,U619="No"),"Watchlist - Unrepresented",IF(T619&gt;=Assumptions!$B$20,"Watchlist",""))))</f>
        <v/>
      </c>
      <c r="X619" s="21" t="str">
        <f aca="false">'Player Data'!V619</f>
        <v>info@laceibarovers.hn</v>
      </c>
      <c r="Y619" s="28" t="str">
        <f aca="false">'Player Data'!W619</f>
        <v>Club sporting director / first-team office</v>
      </c>
      <c r="Z619" s="28" t="str">
        <f aca="false">'Player Data'!X619</f>
        <v>FENAFUTH (Honduran Football Federation) player registry</v>
      </c>
      <c r="AA619" s="19" t="str">
        <f aca="false">HYPERLINK("https://www.transfermarkt.com/schnellsuche/ergebnis/schnellsuche?query="&amp;SUBSTITUTE(A619," ","+"),"Search Transfermarkt")</f>
        <v>Search Transfermarkt</v>
      </c>
      <c r="AB619" s="29" t="n">
        <f aca="false">IFERROR('Player Data'!K619/('Player Data'!K619+'Player Data'!L619),0)</f>
        <v>0.563829787234043</v>
      </c>
      <c r="AC619" s="21" t="str">
        <f aca="false">IF(B619="GK",IF(AND(O619&gt;=Assumptions!$B$23,N619&gt;=Assumptions!$B$23),"Sweeper-Keeper / Build-from-the-Back",IF(O619&gt;=Assumptions!$B$23,"Sweeper-Keeper / High Line",IF(M619&gt;=Assumptions!$B$23,"Shot-Stopper / Traditional","Flexible / Multi-System"))),IF(AND(O619&gt;=Assumptions!$B$23,P619&gt;=Assumptions!$B$24),"High Press / Gegenpressing",IF(AND(N619&gt;=Assumptions!$B$23,AB619&gt;=Assumptions!$B$25),"Possession / Build-from-the-Back",IF(N619&gt;=Assumptions!$B$23,"Counter-Attack / Transition",IF(AND(O619&gt;=Assumptions!$B$23,N619&lt;Assumptions!$B$26),"Low Block / Park the Bus",IF(AND(B619="FW",M619&gt;=Assumptions!$B$23,N619&lt;Assumptions!$B$26),"Direct / Target Approach","Flexible / Multi-System"))))))</f>
        <v>Flexible / Multi-System</v>
      </c>
      <c r="AD619" s="21" t="str">
        <f aca="false">'Player Data'!Y619</f>
        <v>2026-07-17</v>
      </c>
      <c r="AE619" s="21" t="str">
        <f aca="false">'Player Data'!Z619</f>
        <v>2026-07-17</v>
      </c>
      <c r="AF619" s="28" t="str">
        <f aca="false">IFERROR(INDEX(Assumptions!$B$30:$B$61,MATCH(C619,Assumptions!$A$30:$A$61,0)),"--")</f>
        <v>Mexico, United States</v>
      </c>
      <c r="AG619" s="30" t="str">
        <f aca="false">IF(R619&gt;=0.7,"Step-Up Candidate",IF(R619&gt;=0.4,"Lateral Move","Stay &amp; Develop"))</f>
        <v>Stay &amp; Develop</v>
      </c>
    </row>
    <row r="620" customFormat="false" ht="23.85" hidden="false" customHeight="false" outlineLevel="0" collapsed="false">
      <c r="A620" s="21" t="str">
        <f aca="false">'Player Data'!A620</f>
        <v>Hoang Hoang</v>
      </c>
      <c r="B620" s="21" t="str">
        <f aca="false">'Player Data'!F620</f>
        <v>FW</v>
      </c>
      <c r="C620" s="21" t="str">
        <f aca="false">'Player Data'!B620</f>
        <v>Vietnam</v>
      </c>
      <c r="D620" s="21" t="str">
        <f aca="false">'Player Data'!C620</f>
        <v>Vietnam Third Tier - South</v>
      </c>
      <c r="E620" s="21" t="n">
        <f aca="false">'Player Data'!D620</f>
        <v>4</v>
      </c>
      <c r="F620" s="21" t="n">
        <f aca="false">'Player Data'!G620</f>
        <v>21</v>
      </c>
      <c r="G620" s="21" t="n">
        <f aca="false">'Player Data'!H620</f>
        <v>957</v>
      </c>
      <c r="H620" s="22" t="n">
        <f aca="false">IF(B620="GK",IFERROR(('Player Data'!N620-1.5*'Player Data'!O620)/'Player Data'!H620*90,0),IFERROR(('Player Data'!I620+'Player Data'!J620)/'Player Data'!H620*90,0))</f>
        <v>2.06896551724138</v>
      </c>
      <c r="I620" s="22" t="n">
        <f aca="false">IF(B620="GK",'Player Data'!P620,IFERROR(('Player Data'!K620+'Player Data'!L620)/'Player Data'!H620*90,0))</f>
        <v>13.5423197492163</v>
      </c>
      <c r="J620" s="22" t="n">
        <f aca="false">IF(B620="GK",IFERROR('Player Data'!Q620/'Player Data'!H620*90,0),IFERROR('Player Data'!M620/'Player Data'!H620*90,0))</f>
        <v>1.41065830721003</v>
      </c>
      <c r="K620" s="23" t="n">
        <f aca="false">'Player Data'!S620</f>
        <v>0</v>
      </c>
      <c r="L620" s="22" t="n">
        <f aca="false">INDEX(Assumptions!$B$13:$B$15,MATCH(E620,Assumptions!$A$13:$A$15,0))</f>
        <v>0.7</v>
      </c>
      <c r="M620" s="24" t="n">
        <f aca="false">IFERROR(SUMPRODUCT(($B$2:$B$1001=B620)*($H$2:$H$1001&lt;=H620))/SUMPRODUCT(($B$2:$B$1001=B620)*1),0)</f>
        <v>0.946902654867257</v>
      </c>
      <c r="N620" s="24" t="n">
        <f aca="false">IFERROR(SUMPRODUCT(($B$2:$B$1001=B620)*($I$2:$I$1001&lt;=I620))/SUMPRODUCT(($B$2:$B$1001=B620)*1),0)</f>
        <v>0.951327433628319</v>
      </c>
      <c r="O620" s="24" t="n">
        <f aca="false">IFERROR(SUMPRODUCT(($B$2:$B$1001=B620)*($J$2:$J$1001&lt;=J620))/SUMPRODUCT(($B$2:$B$1001=B620)*1),0)</f>
        <v>0.982300884955752</v>
      </c>
      <c r="P620" s="24" t="n">
        <f aca="false">IFERROR(SUMPRODUCT(($B$2:$B$1001=B620)*((0-$F$2:$F$1001)&lt;=(0-F620)))/SUMPRODUCT(($B$2:$B$1001=B620)*1),0)</f>
        <v>0.579646017699115</v>
      </c>
      <c r="Q620" s="25" t="n">
        <f aca="false">(M620*Assumptions!$B$5+N620*Assumptions!$B$6+O620*Assumptions!$B$7+P620*Assumptions!$B$8)*L620</f>
        <v>0.617455752212389</v>
      </c>
      <c r="R620" s="24" t="n">
        <f aca="false">IFERROR(SUMPRODUCT(($B$2:$B$1001=B620)*($Q$2:$Q$1001&lt;=Q620))/SUMPRODUCT(($B$2:$B$1001=B620)*1),0)</f>
        <v>0.774336283185841</v>
      </c>
      <c r="S620" s="24" t="n">
        <f aca="false">IFERROR(SUMPRODUCT(($B$2:$B$1001=B620)*($K$2:$K$1001&lt;=K620))/SUMPRODUCT(($B$2:$B$1001=B620)*1),0)</f>
        <v>0.261061946902655</v>
      </c>
      <c r="T620" s="26" t="n">
        <f aca="false">(R620-S620)*100</f>
        <v>51.3274336283186</v>
      </c>
      <c r="U620" s="21" t="str">
        <f aca="false">'Player Data'!T620</f>
        <v>No</v>
      </c>
      <c r="V620" s="27" t="n">
        <f aca="false">'Player Data'!U620</f>
        <v>2029</v>
      </c>
      <c r="W620" s="21" t="str">
        <f aca="false">IF(AND(T620&gt;=Assumptions!$B$19,U620="No"),"High Priority - Unrepresented",IF(T620&gt;=Assumptions!$B$19,"High Priority",IF(AND(T620&gt;=Assumptions!$B$20,U620="No"),"Watchlist - Unrepresented",IF(T620&gt;=Assumptions!$B$20,"Watchlist",""))))</f>
        <v>High Priority - Unrepresented</v>
      </c>
      <c r="X620" s="21" t="str">
        <f aca="false">'Player Data'!V620</f>
        <v>info@danangrovers.vn</v>
      </c>
      <c r="Y620" s="28" t="str">
        <f aca="false">'Player Data'!W620</f>
        <v>Club sporting director / first-team office</v>
      </c>
      <c r="Z620" s="28" t="str">
        <f aca="false">'Player Data'!X620</f>
        <v>VFF (Vietnam Football Federation) player registry</v>
      </c>
      <c r="AA620" s="19" t="str">
        <f aca="false">HYPERLINK("https://www.transfermarkt.com/schnellsuche/ergebnis/schnellsuche?query="&amp;SUBSTITUTE(A620," ","+"),"Search Transfermarkt")</f>
        <v>Search Transfermarkt</v>
      </c>
      <c r="AB620" s="29" t="n">
        <f aca="false">IFERROR('Player Data'!K620/('Player Data'!K620+'Player Data'!L620),0)</f>
        <v>0.402777777777778</v>
      </c>
      <c r="AC620" s="21" t="str">
        <f aca="false">IF(B620="GK",IF(AND(O620&gt;=Assumptions!$B$23,N620&gt;=Assumptions!$B$23),"Sweeper-Keeper / Build-from-the-Back",IF(O620&gt;=Assumptions!$B$23,"Sweeper-Keeper / High Line",IF(M620&gt;=Assumptions!$B$23,"Shot-Stopper / Traditional","Flexible / Multi-System"))),IF(AND(O620&gt;=Assumptions!$B$23,P620&gt;=Assumptions!$B$24),"High Press / Gegenpressing",IF(AND(N620&gt;=Assumptions!$B$23,AB620&gt;=Assumptions!$B$25),"Possession / Build-from-the-Back",IF(N620&gt;=Assumptions!$B$23,"Counter-Attack / Transition",IF(AND(O620&gt;=Assumptions!$B$23,N620&lt;Assumptions!$B$26),"Low Block / Park the Bus",IF(AND(B620="FW",M620&gt;=Assumptions!$B$23,N620&lt;Assumptions!$B$26),"Direct / Target Approach","Flexible / Multi-System"))))))</f>
        <v>High Press / Gegenpressing</v>
      </c>
      <c r="AD620" s="21" t="str">
        <f aca="false">'Player Data'!Y620</f>
        <v>2026-07-17</v>
      </c>
      <c r="AE620" s="21" t="str">
        <f aca="false">'Player Data'!Z620</f>
        <v>2026-07-17</v>
      </c>
      <c r="AF620" s="28" t="str">
        <f aca="false">IFERROR(INDEX(Assumptions!$B$30:$B$61,MATCH(C620,Assumptions!$A$30:$A$61,0)),"--")</f>
        <v>Australia, Saudi Arabia</v>
      </c>
      <c r="AG620" s="30" t="str">
        <f aca="false">IF(R620&gt;=0.7,"Step-Up Candidate",IF(R620&gt;=0.4,"Lateral Move","Stay &amp; Develop"))</f>
        <v>Step-Up Candidate</v>
      </c>
    </row>
    <row r="621" customFormat="false" ht="23.85" hidden="false" customHeight="false" outlineLevel="0" collapsed="false">
      <c r="A621" s="21" t="str">
        <f aca="false">'Player Data'!A621</f>
        <v>Sota Takahashi</v>
      </c>
      <c r="B621" s="21" t="str">
        <f aca="false">'Player Data'!F621</f>
        <v>GK</v>
      </c>
      <c r="C621" s="21" t="str">
        <f aca="false">'Player Data'!B621</f>
        <v>Japan</v>
      </c>
      <c r="D621" s="21" t="str">
        <f aca="false">'Player Data'!C621</f>
        <v>Japan Amateur League</v>
      </c>
      <c r="E621" s="21" t="n">
        <f aca="false">'Player Data'!D621</f>
        <v>4</v>
      </c>
      <c r="F621" s="21" t="n">
        <f aca="false">'Player Data'!G621</f>
        <v>26</v>
      </c>
      <c r="G621" s="21" t="n">
        <f aca="false">'Player Data'!H621</f>
        <v>1722</v>
      </c>
      <c r="H621" s="22" t="n">
        <f aca="false">IF(B621="GK",IFERROR(('Player Data'!N621-1.5*'Player Data'!O621)/'Player Data'!H621*90,0),IFERROR(('Player Data'!I621+'Player Data'!J621)/'Player Data'!H621*90,0))</f>
        <v>2.53484320557491</v>
      </c>
      <c r="I621" s="22" t="n">
        <f aca="false">IF(B621="GK",'Player Data'!P621,IFERROR(('Player Data'!K621+'Player Data'!L621)/'Player Data'!H621*90,0))</f>
        <v>87.2</v>
      </c>
      <c r="J621" s="22" t="n">
        <f aca="false">IF(B621="GK",IFERROR('Player Data'!Q621/'Player Data'!H621*90,0),IFERROR('Player Data'!M621/'Player Data'!H621*90,0))</f>
        <v>0.961672473867596</v>
      </c>
      <c r="K621" s="23" t="n">
        <f aca="false">'Player Data'!S621</f>
        <v>84924</v>
      </c>
      <c r="L621" s="22" t="n">
        <f aca="false">INDEX(Assumptions!$B$13:$B$15,MATCH(E621,Assumptions!$A$13:$A$15,0))</f>
        <v>0.7</v>
      </c>
      <c r="M621" s="24" t="n">
        <f aca="false">IFERROR(SUMPRODUCT(($B$2:$B$1001=B621)*($H$2:$H$1001&lt;=H621))/SUMPRODUCT(($B$2:$B$1001=B621)*1),0)</f>
        <v>0.978142076502732</v>
      </c>
      <c r="N621" s="24" t="n">
        <f aca="false">IFERROR(SUMPRODUCT(($B$2:$B$1001=B621)*($I$2:$I$1001&lt;=I621))/SUMPRODUCT(($B$2:$B$1001=B621)*1),0)</f>
        <v>0.896174863387978</v>
      </c>
      <c r="O621" s="24" t="n">
        <f aca="false">IFERROR(SUMPRODUCT(($B$2:$B$1001=B621)*($J$2:$J$1001&lt;=J621))/SUMPRODUCT(($B$2:$B$1001=B621)*1),0)</f>
        <v>0.59016393442623</v>
      </c>
      <c r="P621" s="24" t="n">
        <f aca="false">IFERROR(SUMPRODUCT(($B$2:$B$1001=B621)*((0-$F$2:$F$1001)&lt;=(0-F621)))/SUMPRODUCT(($B$2:$B$1001=B621)*1),0)</f>
        <v>0.131147540983607</v>
      </c>
      <c r="Q621" s="25" t="n">
        <f aca="false">(M621*Assumptions!$B$5+N621*Assumptions!$B$6+O621*Assumptions!$B$7+P621*Assumptions!$B$8)*L621</f>
        <v>0.49172131147541</v>
      </c>
      <c r="R621" s="24" t="n">
        <f aca="false">IFERROR(SUMPRODUCT(($B$2:$B$1001=B621)*($Q$2:$Q$1001&lt;=Q621))/SUMPRODUCT(($B$2:$B$1001=B621)*1),0)</f>
        <v>0.595628415300546</v>
      </c>
      <c r="S621" s="24" t="n">
        <f aca="false">IFERROR(SUMPRODUCT(($B$2:$B$1001=B621)*($K$2:$K$1001&lt;=K621))/SUMPRODUCT(($B$2:$B$1001=B621)*1),0)</f>
        <v>0.601092896174863</v>
      </c>
      <c r="T621" s="26" t="n">
        <f aca="false">(R621-S621)*100</f>
        <v>-0.546448087431695</v>
      </c>
      <c r="U621" s="21" t="str">
        <f aca="false">'Player Data'!T621</f>
        <v>Yes</v>
      </c>
      <c r="V621" s="27" t="n">
        <f aca="false">'Player Data'!U621</f>
        <v>2027</v>
      </c>
      <c r="W621" s="21" t="str">
        <f aca="false">IF(AND(T621&gt;=Assumptions!$B$19,U621="No"),"High Priority - Unrepresented",IF(T621&gt;=Assumptions!$B$19,"High Priority",IF(AND(T621&gt;=Assumptions!$B$20,U621="No"),"Watchlist - Unrepresented",IF(T621&gt;=Assumptions!$B$20,"Watchlist",""))))</f>
        <v/>
      </c>
      <c r="X621" s="21" t="str">
        <f aca="false">'Player Data'!V621</f>
        <v>info@fukuokasc.jp</v>
      </c>
      <c r="Y621" s="28" t="str">
        <f aca="false">'Player Data'!W621</f>
        <v>Go through the player's agent - ask the club to confirm representation first</v>
      </c>
      <c r="Z621" s="28" t="str">
        <f aca="false">'Player Data'!X621</f>
        <v>JFA (Japan Football Association) player registry</v>
      </c>
      <c r="AA621" s="19" t="str">
        <f aca="false">HYPERLINK("https://www.transfermarkt.com/schnellsuche/ergebnis/schnellsuche?query="&amp;SUBSTITUTE(A621," ","+"),"Search Transfermarkt")</f>
        <v>Search Transfermarkt</v>
      </c>
      <c r="AB621" s="29" t="n">
        <f aca="false">IFERROR('Player Data'!K621/('Player Data'!K621+'Player Data'!L621),0)</f>
        <v>1</v>
      </c>
      <c r="AC621" s="21" t="str">
        <f aca="false">IF(B621="GK",IF(AND(O621&gt;=Assumptions!$B$23,N621&gt;=Assumptions!$B$23),"Sweeper-Keeper / Build-from-the-Back",IF(O621&gt;=Assumptions!$B$23,"Sweeper-Keeper / High Line",IF(M621&gt;=Assumptions!$B$23,"Shot-Stopper / Traditional","Flexible / Multi-System"))),IF(AND(O621&gt;=Assumptions!$B$23,P621&gt;=Assumptions!$B$24),"High Press / Gegenpressing",IF(AND(N621&gt;=Assumptions!$B$23,AB621&gt;=Assumptions!$B$25),"Possession / Build-from-the-Back",IF(N621&gt;=Assumptions!$B$23,"Counter-Attack / Transition",IF(AND(O621&gt;=Assumptions!$B$23,N621&lt;Assumptions!$B$26),"Low Block / Park the Bus",IF(AND(B621="FW",M621&gt;=Assumptions!$B$23,N621&lt;Assumptions!$B$26),"Direct / Target Approach","Flexible / Multi-System"))))))</f>
        <v>Shot-Stopper / Traditional</v>
      </c>
      <c r="AD621" s="21" t="str">
        <f aca="false">'Player Data'!Y621</f>
        <v>2026-07-17</v>
      </c>
      <c r="AE621" s="21" t="str">
        <f aca="false">'Player Data'!Z621</f>
        <v>2026-07-17</v>
      </c>
      <c r="AF621" s="28" t="str">
        <f aca="false">IFERROR(INDEX(Assumptions!$B$30:$B$61,MATCH(C621,Assumptions!$A$30:$A$61,0)),"--")</f>
        <v>Belgium, Australia</v>
      </c>
      <c r="AG621" s="30" t="str">
        <f aca="false">IF(R621&gt;=0.7,"Step-Up Candidate",IF(R621&gt;=0.4,"Lateral Move","Stay &amp; Develop"))</f>
        <v>Lateral Move</v>
      </c>
    </row>
    <row r="622" customFormat="false" ht="23.85" hidden="false" customHeight="false" outlineLevel="0" collapsed="false">
      <c r="A622" s="21" t="str">
        <f aca="false">'Player Data'!A622</f>
        <v>Josip Barisic</v>
      </c>
      <c r="B622" s="21" t="str">
        <f aca="false">'Player Data'!F622</f>
        <v>MF</v>
      </c>
      <c r="C622" s="21" t="str">
        <f aca="false">'Player Data'!B622</f>
        <v>Croatia</v>
      </c>
      <c r="D622" s="21" t="str">
        <f aca="false">'Player Data'!C622</f>
        <v>Croatia Second Division - West</v>
      </c>
      <c r="E622" s="21" t="n">
        <f aca="false">'Player Data'!D622</f>
        <v>3</v>
      </c>
      <c r="F622" s="21" t="n">
        <f aca="false">'Player Data'!G622</f>
        <v>26</v>
      </c>
      <c r="G622" s="21" t="n">
        <f aca="false">'Player Data'!H622</f>
        <v>936</v>
      </c>
      <c r="H622" s="22" t="n">
        <f aca="false">IF(B622="GK",IFERROR(('Player Data'!N622-1.5*'Player Data'!O622)/'Player Data'!H622*90,0),IFERROR(('Player Data'!I622+'Player Data'!J622)/'Player Data'!H622*90,0))</f>
        <v>2.11538461538462</v>
      </c>
      <c r="I622" s="22" t="n">
        <f aca="false">IF(B622="GK",'Player Data'!P622,IFERROR(('Player Data'!K622+'Player Data'!L622)/'Player Data'!H622*90,0))</f>
        <v>18.4615384615385</v>
      </c>
      <c r="J622" s="22" t="n">
        <f aca="false">IF(B622="GK",IFERROR('Player Data'!Q622/'Player Data'!H622*90,0),IFERROR('Player Data'!M622/'Player Data'!H622*90,0))</f>
        <v>3.46153846153846</v>
      </c>
      <c r="K622" s="23" t="n">
        <f aca="false">'Player Data'!S622</f>
        <v>112533</v>
      </c>
      <c r="L622" s="22" t="n">
        <f aca="false">INDEX(Assumptions!$B$13:$B$15,MATCH(E622,Assumptions!$A$13:$A$15,0))</f>
        <v>0.85</v>
      </c>
      <c r="M622" s="24" t="n">
        <f aca="false">IFERROR(SUMPRODUCT(($B$2:$B$1001=B622)*($H$2:$H$1001&lt;=H622))/SUMPRODUCT(($B$2:$B$1001=B622)*1),0)</f>
        <v>1</v>
      </c>
      <c r="N622" s="24" t="n">
        <f aca="false">IFERROR(SUMPRODUCT(($B$2:$B$1001=B622)*($I$2:$I$1001&lt;=I622))/SUMPRODUCT(($B$2:$B$1001=B622)*1),0)</f>
        <v>0.872053872053872</v>
      </c>
      <c r="O622" s="24" t="n">
        <f aca="false">IFERROR(SUMPRODUCT(($B$2:$B$1001=B622)*($J$2:$J$1001&lt;=J622))/SUMPRODUCT(($B$2:$B$1001=B622)*1),0)</f>
        <v>0.855218855218855</v>
      </c>
      <c r="P622" s="24" t="n">
        <f aca="false">IFERROR(SUMPRODUCT(($B$2:$B$1001=B622)*((0-$F$2:$F$1001)&lt;=(0-F622)))/SUMPRODUCT(($B$2:$B$1001=B622)*1),0)</f>
        <v>0.0909090909090909</v>
      </c>
      <c r="Q622" s="25" t="n">
        <f aca="false">(M622*Assumptions!$B$5+N622*Assumptions!$B$6+O622*Assumptions!$B$7+P622*Assumptions!$B$8)*L622</f>
        <v>0.632777777777778</v>
      </c>
      <c r="R622" s="24" t="n">
        <f aca="false">IFERROR(SUMPRODUCT(($B$2:$B$1001=B622)*($Q$2:$Q$1001&lt;=Q622))/SUMPRODUCT(($B$2:$B$1001=B622)*1),0)</f>
        <v>0.811447811447811</v>
      </c>
      <c r="S622" s="24" t="n">
        <f aca="false">IFERROR(SUMPRODUCT(($B$2:$B$1001=B622)*($K$2:$K$1001&lt;=K622))/SUMPRODUCT(($B$2:$B$1001=B622)*1),0)</f>
        <v>0.811447811447811</v>
      </c>
      <c r="T622" s="26" t="n">
        <f aca="false">(R622-S622)*100</f>
        <v>0</v>
      </c>
      <c r="U622" s="21" t="str">
        <f aca="false">'Player Data'!T622</f>
        <v>No</v>
      </c>
      <c r="V622" s="27" t="n">
        <f aca="false">'Player Data'!U622</f>
        <v>2028</v>
      </c>
      <c r="W622" s="21" t="str">
        <f aca="false">IF(AND(T622&gt;=Assumptions!$B$19,U622="No"),"High Priority - Unrepresented",IF(T622&gt;=Assumptions!$B$19,"High Priority",IF(AND(T622&gt;=Assumptions!$B$20,U622="No"),"Watchlist - Unrepresented",IF(T622&gt;=Assumptions!$B$20,"Watchlist",""))))</f>
        <v/>
      </c>
      <c r="X622" s="21" t="str">
        <f aca="false">'Player Data'!V622</f>
        <v>info@bijelobrdoathletic.hr</v>
      </c>
      <c r="Y622" s="28" t="str">
        <f aca="false">'Player Data'!W622</f>
        <v>Club sporting director / first-team office</v>
      </c>
      <c r="Z622" s="28" t="str">
        <f aca="false">'Player Data'!X622</f>
        <v>HNS (Croatian Football Federation) player registry</v>
      </c>
      <c r="AA622" s="19" t="str">
        <f aca="false">HYPERLINK("https://www.transfermarkt.com/schnellsuche/ergebnis/schnellsuche?query="&amp;SUBSTITUTE(A622," ","+"),"Search Transfermarkt")</f>
        <v>Search Transfermarkt</v>
      </c>
      <c r="AB622" s="29" t="n">
        <f aca="false">IFERROR('Player Data'!K622/('Player Data'!K622+'Player Data'!L622),0)</f>
        <v>0.578125</v>
      </c>
      <c r="AC622" s="21" t="str">
        <f aca="false">IF(B622="GK",IF(AND(O622&gt;=Assumptions!$B$23,N622&gt;=Assumptions!$B$23),"Sweeper-Keeper / Build-from-the-Back",IF(O622&gt;=Assumptions!$B$23,"Sweeper-Keeper / High Line",IF(M622&gt;=Assumptions!$B$23,"Shot-Stopper / Traditional","Flexible / Multi-System"))),IF(AND(O622&gt;=Assumptions!$B$23,P622&gt;=Assumptions!$B$24),"High Press / Gegenpressing",IF(AND(N622&gt;=Assumptions!$B$23,AB622&gt;=Assumptions!$B$25),"Possession / Build-from-the-Back",IF(N622&gt;=Assumptions!$B$23,"Counter-Attack / Transition",IF(AND(O622&gt;=Assumptions!$B$23,N622&lt;Assumptions!$B$26),"Low Block / Park the Bus",IF(AND(B622="FW",M622&gt;=Assumptions!$B$23,N622&lt;Assumptions!$B$26),"Direct / Target Approach","Flexible / Multi-System"))))))</f>
        <v>Counter-Attack / Transition</v>
      </c>
      <c r="AD622" s="21" t="str">
        <f aca="false">'Player Data'!Y622</f>
        <v>2026-07-17</v>
      </c>
      <c r="AE622" s="21" t="str">
        <f aca="false">'Player Data'!Z622</f>
        <v>2026-07-17</v>
      </c>
      <c r="AF622" s="28" t="str">
        <f aca="false">IFERROR(INDEX(Assumptions!$B$30:$B$61,MATCH(C622,Assumptions!$A$30:$A$61,0)),"--")</f>
        <v>Austria, Turkey</v>
      </c>
      <c r="AG622" s="30" t="str">
        <f aca="false">IF(R622&gt;=0.7,"Step-Up Candidate",IF(R622&gt;=0.4,"Lateral Move","Stay &amp; Develop"))</f>
        <v>Step-Up Candidate</v>
      </c>
    </row>
    <row r="623" customFormat="false" ht="23.85" hidden="false" customHeight="false" outlineLevel="0" collapsed="false">
      <c r="A623" s="21" t="str">
        <f aca="false">'Player Data'!A623</f>
        <v>Yoon-seo Lee</v>
      </c>
      <c r="B623" s="21" t="str">
        <f aca="false">'Player Data'!F623</f>
        <v>DF</v>
      </c>
      <c r="C623" s="21" t="str">
        <f aca="false">'Player Data'!B623</f>
        <v>South Korea</v>
      </c>
      <c r="D623" s="21" t="str">
        <f aca="false">'Player Data'!C623</f>
        <v>South Korea Second Division - East</v>
      </c>
      <c r="E623" s="21" t="n">
        <f aca="false">'Player Data'!D623</f>
        <v>4</v>
      </c>
      <c r="F623" s="21" t="n">
        <f aca="false">'Player Data'!G623</f>
        <v>21</v>
      </c>
      <c r="G623" s="21" t="n">
        <f aca="false">'Player Data'!H623</f>
        <v>1268</v>
      </c>
      <c r="H623" s="22" t="n">
        <f aca="false">IF(B623="GK",IFERROR(('Player Data'!N623-1.5*'Player Data'!O623)/'Player Data'!H623*90,0),IFERROR(('Player Data'!I623+'Player Data'!J623)/'Player Data'!H623*90,0))</f>
        <v>0.28391167192429</v>
      </c>
      <c r="I623" s="22" t="n">
        <f aca="false">IF(B623="GK",'Player Data'!P623,IFERROR(('Player Data'!K623+'Player Data'!L623)/'Player Data'!H623*90,0))</f>
        <v>6.67192429022082</v>
      </c>
      <c r="J623" s="22" t="n">
        <f aca="false">IF(B623="GK",IFERROR('Player Data'!Q623/'Player Data'!H623*90,0),IFERROR('Player Data'!M623/'Player Data'!H623*90,0))</f>
        <v>6.31703470031546</v>
      </c>
      <c r="K623" s="23" t="n">
        <f aca="false">'Player Data'!S623</f>
        <v>25455</v>
      </c>
      <c r="L623" s="22" t="n">
        <f aca="false">INDEX(Assumptions!$B$13:$B$15,MATCH(E623,Assumptions!$A$13:$A$15,0))</f>
        <v>0.7</v>
      </c>
      <c r="M623" s="24" t="n">
        <f aca="false">IFERROR(SUMPRODUCT(($B$2:$B$1001=B623)*($H$2:$H$1001&lt;=H623))/SUMPRODUCT(($B$2:$B$1001=B623)*1),0)</f>
        <v>0.73469387755102</v>
      </c>
      <c r="N623" s="24" t="n">
        <f aca="false">IFERROR(SUMPRODUCT(($B$2:$B$1001=B623)*($I$2:$I$1001&lt;=I623))/SUMPRODUCT(($B$2:$B$1001=B623)*1),0)</f>
        <v>0.812925170068027</v>
      </c>
      <c r="O623" s="24" t="n">
        <f aca="false">IFERROR(SUMPRODUCT(($B$2:$B$1001=B623)*($J$2:$J$1001&lt;=J623))/SUMPRODUCT(($B$2:$B$1001=B623)*1),0)</f>
        <v>0.666666666666667</v>
      </c>
      <c r="P623" s="24" t="n">
        <f aca="false">IFERROR(SUMPRODUCT(($B$2:$B$1001=B623)*((0-$F$2:$F$1001)&lt;=(0-F623)))/SUMPRODUCT(($B$2:$B$1001=B623)*1),0)</f>
        <v>0.568027210884354</v>
      </c>
      <c r="Q623" s="25" t="n">
        <f aca="false">(M623*Assumptions!$B$5+N623*Assumptions!$B$6+O623*Assumptions!$B$7+P623*Assumptions!$B$8)*L623</f>
        <v>0.500595238095238</v>
      </c>
      <c r="R623" s="24" t="n">
        <f aca="false">IFERROR(SUMPRODUCT(($B$2:$B$1001=B623)*($Q$2:$Q$1001&lt;=Q623))/SUMPRODUCT(($B$2:$B$1001=B623)*1),0)</f>
        <v>0.63265306122449</v>
      </c>
      <c r="S623" s="24" t="n">
        <f aca="false">IFERROR(SUMPRODUCT(($B$2:$B$1001=B623)*($K$2:$K$1001&lt;=K623))/SUMPRODUCT(($B$2:$B$1001=B623)*1),0)</f>
        <v>0.340136054421769</v>
      </c>
      <c r="T623" s="26" t="n">
        <f aca="false">(R623-S623)*100</f>
        <v>29.2517006802721</v>
      </c>
      <c r="U623" s="21" t="str">
        <f aca="false">'Player Data'!T623</f>
        <v>No</v>
      </c>
      <c r="V623" s="27" t="n">
        <f aca="false">'Player Data'!U623</f>
        <v>2027</v>
      </c>
      <c r="W623" s="21" t="str">
        <f aca="false">IF(AND(T623&gt;=Assumptions!$B$19,U623="No"),"High Priority - Unrepresented",IF(T623&gt;=Assumptions!$B$19,"High Priority",IF(AND(T623&gt;=Assumptions!$B$20,U623="No"),"Watchlist - Unrepresented",IF(T623&gt;=Assumptions!$B$20,"Watchlist",""))))</f>
        <v>Watchlist - Unrepresented</v>
      </c>
      <c r="X623" s="21" t="str">
        <f aca="false">'Player Data'!V623</f>
        <v>info@incheonrangers.kr</v>
      </c>
      <c r="Y623" s="28" t="str">
        <f aca="false">'Player Data'!W623</f>
        <v>Club sporting director / first-team office</v>
      </c>
      <c r="Z623" s="28" t="str">
        <f aca="false">'Player Data'!X623</f>
        <v>KFA (Korea Football Association) player registry</v>
      </c>
      <c r="AA623" s="19" t="str">
        <f aca="false">HYPERLINK("https://www.transfermarkt.com/schnellsuche/ergebnis/schnellsuche?query="&amp;SUBSTITUTE(A623," ","+"),"Search Transfermarkt")</f>
        <v>Search Transfermarkt</v>
      </c>
      <c r="AB623" s="29" t="n">
        <f aca="false">IFERROR('Player Data'!K623/('Player Data'!K623+'Player Data'!L623),0)</f>
        <v>0.531914893617021</v>
      </c>
      <c r="AC623" s="21" t="str">
        <f aca="false">IF(B623="GK",IF(AND(O623&gt;=Assumptions!$B$23,N623&gt;=Assumptions!$B$23),"Sweeper-Keeper / Build-from-the-Back",IF(O623&gt;=Assumptions!$B$23,"Sweeper-Keeper / High Line",IF(M623&gt;=Assumptions!$B$23,"Shot-Stopper / Traditional","Flexible / Multi-System"))),IF(AND(O623&gt;=Assumptions!$B$23,P623&gt;=Assumptions!$B$24),"High Press / Gegenpressing",IF(AND(N623&gt;=Assumptions!$B$23,AB623&gt;=Assumptions!$B$25),"Possession / Build-from-the-Back",IF(N623&gt;=Assumptions!$B$23,"Counter-Attack / Transition",IF(AND(O623&gt;=Assumptions!$B$23,N623&lt;Assumptions!$B$26),"Low Block / Park the Bus",IF(AND(B623="FW",M623&gt;=Assumptions!$B$23,N623&lt;Assumptions!$B$26),"Direct / Target Approach","Flexible / Multi-System"))))))</f>
        <v>High Press / Gegenpressing</v>
      </c>
      <c r="AD623" s="21" t="str">
        <f aca="false">'Player Data'!Y623</f>
        <v>2026-07-17</v>
      </c>
      <c r="AE623" s="21" t="str">
        <f aca="false">'Player Data'!Z623</f>
        <v>2026-07-17</v>
      </c>
      <c r="AF623" s="28" t="str">
        <f aca="false">IFERROR(INDEX(Assumptions!$B$30:$B$61,MATCH(C623,Assumptions!$A$30:$A$61,0)),"--")</f>
        <v>Belgium, Saudi Arabia</v>
      </c>
      <c r="AG623" s="30" t="str">
        <f aca="false">IF(R623&gt;=0.7,"Step-Up Candidate",IF(R623&gt;=0.4,"Lateral Move","Stay &amp; Develop"))</f>
        <v>Lateral Move</v>
      </c>
    </row>
    <row r="624" customFormat="false" ht="23.85" hidden="false" customHeight="false" outlineLevel="0" collapsed="false">
      <c r="A624" s="21" t="str">
        <f aca="false">'Player Data'!A624</f>
        <v>Aleksandar Krstic</v>
      </c>
      <c r="B624" s="21" t="str">
        <f aca="false">'Player Data'!F624</f>
        <v>FW</v>
      </c>
      <c r="C624" s="21" t="str">
        <f aca="false">'Player Data'!B624</f>
        <v>Serbia</v>
      </c>
      <c r="D624" s="21" t="str">
        <f aca="false">'Player Data'!C624</f>
        <v>Serbia Second Division</v>
      </c>
      <c r="E624" s="21" t="n">
        <f aca="false">'Player Data'!D624</f>
        <v>2</v>
      </c>
      <c r="F624" s="21" t="n">
        <f aca="false">'Player Data'!G624</f>
        <v>20</v>
      </c>
      <c r="G624" s="21" t="n">
        <f aca="false">'Player Data'!H624</f>
        <v>1320</v>
      </c>
      <c r="H624" s="22" t="n">
        <f aca="false">IF(B624="GK",IFERROR(('Player Data'!N624-1.5*'Player Data'!O624)/'Player Data'!H624*90,0),IFERROR(('Player Data'!I624+'Player Data'!J624)/'Player Data'!H624*90,0))</f>
        <v>1.63636363636364</v>
      </c>
      <c r="I624" s="22" t="n">
        <f aca="false">IF(B624="GK",'Player Data'!P624,IFERROR(('Player Data'!K624+'Player Data'!L624)/'Player Data'!H624*90,0))</f>
        <v>9.68181818181818</v>
      </c>
      <c r="J624" s="22" t="n">
        <f aca="false">IF(B624="GK",IFERROR('Player Data'!Q624/'Player Data'!H624*90,0),IFERROR('Player Data'!M624/'Player Data'!H624*90,0))</f>
        <v>0.954545454545455</v>
      </c>
      <c r="K624" s="23" t="n">
        <f aca="false">'Player Data'!S624</f>
        <v>56322</v>
      </c>
      <c r="L624" s="22" t="n">
        <f aca="false">INDEX(Assumptions!$B$13:$B$15,MATCH(E624,Assumptions!$A$13:$A$15,0))</f>
        <v>1</v>
      </c>
      <c r="M624" s="24" t="n">
        <f aca="false">IFERROR(SUMPRODUCT(($B$2:$B$1001=B624)*($H$2:$H$1001&lt;=H624))/SUMPRODUCT(($B$2:$B$1001=B624)*1),0)</f>
        <v>0.884955752212389</v>
      </c>
      <c r="N624" s="24" t="n">
        <f aca="false">IFERROR(SUMPRODUCT(($B$2:$B$1001=B624)*($I$2:$I$1001&lt;=I624))/SUMPRODUCT(($B$2:$B$1001=B624)*1),0)</f>
        <v>0.81858407079646</v>
      </c>
      <c r="O624" s="24" t="n">
        <f aca="false">IFERROR(SUMPRODUCT(($B$2:$B$1001=B624)*($J$2:$J$1001&lt;=J624))/SUMPRODUCT(($B$2:$B$1001=B624)*1),0)</f>
        <v>0.880530973451328</v>
      </c>
      <c r="P624" s="24" t="n">
        <f aca="false">IFERROR(SUMPRODUCT(($B$2:$B$1001=B624)*((0-$F$2:$F$1001)&lt;=(0-F624)))/SUMPRODUCT(($B$2:$B$1001=B624)*1),0)</f>
        <v>0.712389380530973</v>
      </c>
      <c r="Q624" s="25" t="n">
        <f aca="false">(M624*Assumptions!$B$5+N624*Assumptions!$B$6+O624*Assumptions!$B$7+P624*Assumptions!$B$8)*L624</f>
        <v>0.826327433628319</v>
      </c>
      <c r="R624" s="24" t="n">
        <f aca="false">IFERROR(SUMPRODUCT(($B$2:$B$1001=B624)*($Q$2:$Q$1001&lt;=Q624))/SUMPRODUCT(($B$2:$B$1001=B624)*1),0)</f>
        <v>0.951327433628319</v>
      </c>
      <c r="S624" s="24" t="n">
        <f aca="false">IFERROR(SUMPRODUCT(($B$2:$B$1001=B624)*($K$2:$K$1001&lt;=K624))/SUMPRODUCT(($B$2:$B$1001=B624)*1),0)</f>
        <v>0.47787610619469</v>
      </c>
      <c r="T624" s="26" t="n">
        <f aca="false">(R624-S624)*100</f>
        <v>47.3451327433628</v>
      </c>
      <c r="U624" s="21" t="str">
        <f aca="false">'Player Data'!T624</f>
        <v>Unknown</v>
      </c>
      <c r="V624" s="27" t="n">
        <f aca="false">'Player Data'!U624</f>
        <v>2028</v>
      </c>
      <c r="W624" s="21" t="str">
        <f aca="false">IF(AND(T624&gt;=Assumptions!$B$19,U624="No"),"High Priority - Unrepresented",IF(T624&gt;=Assumptions!$B$19,"High Priority",IF(AND(T624&gt;=Assumptions!$B$20,U624="No"),"Watchlist - Unrepresented",IF(T624&gt;=Assumptions!$B$20,"Watchlist",""))))</f>
        <v>High Priority</v>
      </c>
      <c r="X624" s="21" t="str">
        <f aca="false">'Player Data'!V624</f>
        <v>info@backatopolatown.rs</v>
      </c>
      <c r="Y624" s="28" t="str">
        <f aca="false">'Player Data'!W624</f>
        <v>Club sporting director / first-team office</v>
      </c>
      <c r="Z624" s="28" t="str">
        <f aca="false">'Player Data'!X624</f>
        <v>FSS (Football Association of Serbia) player registry</v>
      </c>
      <c r="AA624" s="19" t="str">
        <f aca="false">HYPERLINK("https://www.transfermarkt.com/schnellsuche/ergebnis/schnellsuche?query="&amp;SUBSTITUTE(A624," ","+"),"Search Transfermarkt")</f>
        <v>Search Transfermarkt</v>
      </c>
      <c r="AB624" s="29" t="n">
        <f aca="false">IFERROR('Player Data'!K624/('Player Data'!K624+'Player Data'!L624),0)</f>
        <v>0.359154929577465</v>
      </c>
      <c r="AC624" s="21" t="str">
        <f aca="false">IF(B624="GK",IF(AND(O624&gt;=Assumptions!$B$23,N624&gt;=Assumptions!$B$23),"Sweeper-Keeper / Build-from-the-Back",IF(O624&gt;=Assumptions!$B$23,"Sweeper-Keeper / High Line",IF(M624&gt;=Assumptions!$B$23,"Shot-Stopper / Traditional","Flexible / Multi-System"))),IF(AND(O624&gt;=Assumptions!$B$23,P624&gt;=Assumptions!$B$24),"High Press / Gegenpressing",IF(AND(N624&gt;=Assumptions!$B$23,AB624&gt;=Assumptions!$B$25),"Possession / Build-from-the-Back",IF(N624&gt;=Assumptions!$B$23,"Counter-Attack / Transition",IF(AND(O624&gt;=Assumptions!$B$23,N624&lt;Assumptions!$B$26),"Low Block / Park the Bus",IF(AND(B624="FW",M624&gt;=Assumptions!$B$23,N624&lt;Assumptions!$B$26),"Direct / Target Approach","Flexible / Multi-System"))))))</f>
        <v>High Press / Gegenpressing</v>
      </c>
      <c r="AD624" s="21" t="str">
        <f aca="false">'Player Data'!Y624</f>
        <v>2026-07-17</v>
      </c>
      <c r="AE624" s="21" t="str">
        <f aca="false">'Player Data'!Z624</f>
        <v>2026-07-17</v>
      </c>
      <c r="AF624" s="28" t="str">
        <f aca="false">IFERROR(INDEX(Assumptions!$B$30:$B$61,MATCH(C624,Assumptions!$A$30:$A$61,0)),"--")</f>
        <v>Austria, Turkey</v>
      </c>
      <c r="AG624" s="30" t="str">
        <f aca="false">IF(R624&gt;=0.7,"Step-Up Candidate",IF(R624&gt;=0.4,"Lateral Move","Stay &amp; Develop"))</f>
        <v>Step-Up Candidate</v>
      </c>
    </row>
    <row r="625" customFormat="false" ht="23.85" hidden="false" customHeight="false" outlineLevel="0" collapsed="false">
      <c r="A625" s="21" t="str">
        <f aca="false">'Player Data'!A625</f>
        <v>Randall Castillo</v>
      </c>
      <c r="B625" s="21" t="str">
        <f aca="false">'Player Data'!F625</f>
        <v>MF</v>
      </c>
      <c r="C625" s="21" t="str">
        <f aca="false">'Player Data'!B625</f>
        <v>Costa Rica</v>
      </c>
      <c r="D625" s="21" t="str">
        <f aca="false">'Player Data'!C625</f>
        <v>Costa Rica Second Division - East</v>
      </c>
      <c r="E625" s="21" t="n">
        <f aca="false">'Player Data'!D625</f>
        <v>4</v>
      </c>
      <c r="F625" s="21" t="n">
        <f aca="false">'Player Data'!G625</f>
        <v>23</v>
      </c>
      <c r="G625" s="21" t="n">
        <f aca="false">'Player Data'!H625</f>
        <v>1129</v>
      </c>
      <c r="H625" s="22" t="n">
        <f aca="false">IF(B625="GK",IFERROR(('Player Data'!N625-1.5*'Player Data'!O625)/'Player Data'!H625*90,0),IFERROR(('Player Data'!I625+'Player Data'!J625)/'Player Data'!H625*90,0))</f>
        <v>0.797165633303809</v>
      </c>
      <c r="I625" s="22" t="n">
        <f aca="false">IF(B625="GK",'Player Data'!P625,IFERROR(('Player Data'!K625+'Player Data'!L625)/'Player Data'!H625*90,0))</f>
        <v>17.6173604960142</v>
      </c>
      <c r="J625" s="22" t="n">
        <f aca="false">IF(B625="GK",IFERROR('Player Data'!Q625/'Player Data'!H625*90,0),IFERROR('Player Data'!M625/'Player Data'!H625*90,0))</f>
        <v>2.94951284322409</v>
      </c>
      <c r="K625" s="23" t="n">
        <f aca="false">'Player Data'!S625</f>
        <v>69670</v>
      </c>
      <c r="L625" s="22" t="n">
        <f aca="false">INDEX(Assumptions!$B$13:$B$15,MATCH(E625,Assumptions!$A$13:$A$15,0))</f>
        <v>0.7</v>
      </c>
      <c r="M625" s="24" t="n">
        <f aca="false">IFERROR(SUMPRODUCT(($B$2:$B$1001=B625)*($H$2:$H$1001&lt;=H625))/SUMPRODUCT(($B$2:$B$1001=B625)*1),0)</f>
        <v>0.589225589225589</v>
      </c>
      <c r="N625" s="24" t="n">
        <f aca="false">IFERROR(SUMPRODUCT(($B$2:$B$1001=B625)*($I$2:$I$1001&lt;=I625))/SUMPRODUCT(($B$2:$B$1001=B625)*1),0)</f>
        <v>0.845117845117845</v>
      </c>
      <c r="O625" s="24" t="n">
        <f aca="false">IFERROR(SUMPRODUCT(($B$2:$B$1001=B625)*($J$2:$J$1001&lt;=J625))/SUMPRODUCT(($B$2:$B$1001=B625)*1),0)</f>
        <v>0.771043771043771</v>
      </c>
      <c r="P625" s="24" t="n">
        <f aca="false">IFERROR(SUMPRODUCT(($B$2:$B$1001=B625)*((0-$F$2:$F$1001)&lt;=(0-F625)))/SUMPRODUCT(($B$2:$B$1001=B625)*1),0)</f>
        <v>0.390572390572391</v>
      </c>
      <c r="Q625" s="25" t="n">
        <f aca="false">(M625*Assumptions!$B$5+N625*Assumptions!$B$6+O625*Assumptions!$B$7+P625*Assumptions!$B$8)*L625</f>
        <v>0.472794612794613</v>
      </c>
      <c r="R625" s="24" t="n">
        <f aca="false">IFERROR(SUMPRODUCT(($B$2:$B$1001=B625)*($Q$2:$Q$1001&lt;=Q625))/SUMPRODUCT(($B$2:$B$1001=B625)*1),0)</f>
        <v>0.579124579124579</v>
      </c>
      <c r="S625" s="24" t="n">
        <f aca="false">IFERROR(SUMPRODUCT(($B$2:$B$1001=B625)*($K$2:$K$1001&lt;=K625))/SUMPRODUCT(($B$2:$B$1001=B625)*1),0)</f>
        <v>0.572390572390572</v>
      </c>
      <c r="T625" s="26" t="n">
        <f aca="false">(R625-S625)*100</f>
        <v>0.673400673400681</v>
      </c>
      <c r="U625" s="21" t="str">
        <f aca="false">'Player Data'!T625</f>
        <v>Unknown</v>
      </c>
      <c r="V625" s="27" t="n">
        <f aca="false">'Player Data'!U625</f>
        <v>2026</v>
      </c>
      <c r="W625" s="21" t="str">
        <f aca="false">IF(AND(T625&gt;=Assumptions!$B$19,U625="No"),"High Priority - Unrepresented",IF(T625&gt;=Assumptions!$B$19,"High Priority",IF(AND(T625&gt;=Assumptions!$B$20,U625="No"),"Watchlist - Unrepresented",IF(T625&gt;=Assumptions!$B$20,"Watchlist",""))))</f>
        <v/>
      </c>
      <c r="X625" s="21" t="str">
        <f aca="false">'Player Data'!V625</f>
        <v>info@alajuelaathletic.cr</v>
      </c>
      <c r="Y625" s="28" t="str">
        <f aca="false">'Player Data'!W625</f>
        <v>Club sporting director / first-team office</v>
      </c>
      <c r="Z625" s="28" t="str">
        <f aca="false">'Player Data'!X625</f>
        <v>FEDEFUTBOL (Costa Rican Football Federation) player registry</v>
      </c>
      <c r="AA625" s="19" t="str">
        <f aca="false">HYPERLINK("https://www.transfermarkt.com/schnellsuche/ergebnis/schnellsuche?query="&amp;SUBSTITUTE(A625," ","+"),"Search Transfermarkt")</f>
        <v>Search Transfermarkt</v>
      </c>
      <c r="AB625" s="29" t="n">
        <f aca="false">IFERROR('Player Data'!K625/('Player Data'!K625+'Player Data'!L625),0)</f>
        <v>0.597285067873303</v>
      </c>
      <c r="AC625" s="21" t="str">
        <f aca="false">IF(B625="GK",IF(AND(O625&gt;=Assumptions!$B$23,N625&gt;=Assumptions!$B$23),"Sweeper-Keeper / Build-from-the-Back",IF(O625&gt;=Assumptions!$B$23,"Sweeper-Keeper / High Line",IF(M625&gt;=Assumptions!$B$23,"Shot-Stopper / Traditional","Flexible / Multi-System"))),IF(AND(O625&gt;=Assumptions!$B$23,P625&gt;=Assumptions!$B$24),"High Press / Gegenpressing",IF(AND(N625&gt;=Assumptions!$B$23,AB625&gt;=Assumptions!$B$25),"Possession / Build-from-the-Back",IF(N625&gt;=Assumptions!$B$23,"Counter-Attack / Transition",IF(AND(O625&gt;=Assumptions!$B$23,N625&lt;Assumptions!$B$26),"Low Block / Park the Bus",IF(AND(B625="FW",M625&gt;=Assumptions!$B$23,N625&lt;Assumptions!$B$26),"Direct / Target Approach","Flexible / Multi-System"))))))</f>
        <v>Counter-Attack / Transition</v>
      </c>
      <c r="AD625" s="21" t="str">
        <f aca="false">'Player Data'!Y625</f>
        <v>2026-07-17</v>
      </c>
      <c r="AE625" s="21" t="str">
        <f aca="false">'Player Data'!Z625</f>
        <v>2026-07-17</v>
      </c>
      <c r="AF625" s="28" t="str">
        <f aca="false">IFERROR(INDEX(Assumptions!$B$30:$B$61,MATCH(C625,Assumptions!$A$30:$A$61,0)),"--")</f>
        <v>Mexico, United States</v>
      </c>
      <c r="AG625" s="30" t="str">
        <f aca="false">IF(R625&gt;=0.7,"Step-Up Candidate",IF(R625&gt;=0.4,"Lateral Move","Stay &amp; Develop"))</f>
        <v>Lateral Move</v>
      </c>
    </row>
    <row r="626" customFormat="false" ht="23.85" hidden="false" customHeight="false" outlineLevel="0" collapsed="false">
      <c r="A626" s="21" t="str">
        <f aca="false">'Player Data'!A626</f>
        <v>Amadou Keita</v>
      </c>
      <c r="B626" s="21" t="str">
        <f aca="false">'Player Data'!F626</f>
        <v>GK</v>
      </c>
      <c r="C626" s="21" t="str">
        <f aca="false">'Player Data'!B626</f>
        <v>Mali</v>
      </c>
      <c r="D626" s="21" t="str">
        <f aca="false">'Player Data'!C626</f>
        <v>Mali Third Tier - South</v>
      </c>
      <c r="E626" s="21" t="n">
        <f aca="false">'Player Data'!D626</f>
        <v>2</v>
      </c>
      <c r="F626" s="21" t="n">
        <f aca="false">'Player Data'!G626</f>
        <v>26</v>
      </c>
      <c r="G626" s="21" t="n">
        <f aca="false">'Player Data'!H626</f>
        <v>1437</v>
      </c>
      <c r="H626" s="22" t="n">
        <f aca="false">IF(B626="GK",IFERROR(('Player Data'!N626-1.5*'Player Data'!O626)/'Player Data'!H626*90,0),IFERROR(('Player Data'!I626+'Player Data'!J626)/'Player Data'!H626*90,0))</f>
        <v>1.37787056367432</v>
      </c>
      <c r="I626" s="22" t="n">
        <f aca="false">IF(B626="GK",'Player Data'!P626,IFERROR(('Player Data'!K626+'Player Data'!L626)/'Player Data'!H626*90,0))</f>
        <v>57</v>
      </c>
      <c r="J626" s="22" t="n">
        <f aca="false">IF(B626="GK",IFERROR('Player Data'!Q626/'Player Data'!H626*90,0),IFERROR('Player Data'!M626/'Player Data'!H626*90,0))</f>
        <v>1.07724425887265</v>
      </c>
      <c r="K626" s="23" t="n">
        <f aca="false">'Player Data'!S626</f>
        <v>69701</v>
      </c>
      <c r="L626" s="22" t="n">
        <f aca="false">INDEX(Assumptions!$B$13:$B$15,MATCH(E626,Assumptions!$A$13:$A$15,0))</f>
        <v>1</v>
      </c>
      <c r="M626" s="24" t="n">
        <f aca="false">IFERROR(SUMPRODUCT(($B$2:$B$1001=B626)*($H$2:$H$1001&lt;=H626))/SUMPRODUCT(($B$2:$B$1001=B626)*1),0)</f>
        <v>0.601092896174863</v>
      </c>
      <c r="N626" s="24" t="n">
        <f aca="false">IFERROR(SUMPRODUCT(($B$2:$B$1001=B626)*($I$2:$I$1001&lt;=I626))/SUMPRODUCT(($B$2:$B$1001=B626)*1),0)</f>
        <v>0.0437158469945355</v>
      </c>
      <c r="O626" s="24" t="n">
        <f aca="false">IFERROR(SUMPRODUCT(($B$2:$B$1001=B626)*($J$2:$J$1001&lt;=J626))/SUMPRODUCT(($B$2:$B$1001=B626)*1),0)</f>
        <v>0.650273224043716</v>
      </c>
      <c r="P626" s="24" t="n">
        <f aca="false">IFERROR(SUMPRODUCT(($B$2:$B$1001=B626)*((0-$F$2:$F$1001)&lt;=(0-F626)))/SUMPRODUCT(($B$2:$B$1001=B626)*1),0)</f>
        <v>0.131147540983607</v>
      </c>
      <c r="Q626" s="25" t="n">
        <f aca="false">(M626*Assumptions!$B$5+N626*Assumptions!$B$6+O626*Assumptions!$B$7+P626*Assumptions!$B$8)*L626</f>
        <v>0.321857923497268</v>
      </c>
      <c r="R626" s="24" t="n">
        <f aca="false">IFERROR(SUMPRODUCT(($B$2:$B$1001=B626)*($Q$2:$Q$1001&lt;=Q626))/SUMPRODUCT(($B$2:$B$1001=B626)*1),0)</f>
        <v>0.153005464480874</v>
      </c>
      <c r="S626" s="24" t="n">
        <f aca="false">IFERROR(SUMPRODUCT(($B$2:$B$1001=B626)*($K$2:$K$1001&lt;=K626))/SUMPRODUCT(($B$2:$B$1001=B626)*1),0)</f>
        <v>0.519125683060109</v>
      </c>
      <c r="T626" s="26" t="n">
        <f aca="false">(R626-S626)*100</f>
        <v>-36.6120218579235</v>
      </c>
      <c r="U626" s="21" t="str">
        <f aca="false">'Player Data'!T626</f>
        <v>Unknown</v>
      </c>
      <c r="V626" s="27" t="n">
        <f aca="false">'Player Data'!U626</f>
        <v>2029</v>
      </c>
      <c r="W626" s="21" t="str">
        <f aca="false">IF(AND(T626&gt;=Assumptions!$B$19,U626="No"),"High Priority - Unrepresented",IF(T626&gt;=Assumptions!$B$19,"High Priority",IF(AND(T626&gt;=Assumptions!$B$20,U626="No"),"Watchlist - Unrepresented",IF(T626&gt;=Assumptions!$B$20,"Watchlist",""))))</f>
        <v/>
      </c>
      <c r="X626" s="21" t="str">
        <f aca="false">'Player Data'!V626</f>
        <v>info@kayestown.ml</v>
      </c>
      <c r="Y626" s="28" t="str">
        <f aca="false">'Player Data'!W626</f>
        <v>Club sporting director / first-team office</v>
      </c>
      <c r="Z626" s="28" t="str">
        <f aca="false">'Player Data'!X626</f>
        <v>FEMAFOOT (Malian Football Federation) player registry</v>
      </c>
      <c r="AA626" s="19" t="str">
        <f aca="false">HYPERLINK("https://www.transfermarkt.com/schnellsuche/ergebnis/schnellsuche?query="&amp;SUBSTITUTE(A626," ","+"),"Search Transfermarkt")</f>
        <v>Search Transfermarkt</v>
      </c>
      <c r="AB626" s="29" t="n">
        <f aca="false">IFERROR('Player Data'!K626/('Player Data'!K626+'Player Data'!L626),0)</f>
        <v>0.5</v>
      </c>
      <c r="AC626" s="21" t="str">
        <f aca="false">IF(B626="GK",IF(AND(O626&gt;=Assumptions!$B$23,N626&gt;=Assumptions!$B$23),"Sweeper-Keeper / Build-from-the-Back",IF(O626&gt;=Assumptions!$B$23,"Sweeper-Keeper / High Line",IF(M626&gt;=Assumptions!$B$23,"Shot-Stopper / Traditional","Flexible / Multi-System"))),IF(AND(O626&gt;=Assumptions!$B$23,P626&gt;=Assumptions!$B$24),"High Press / Gegenpressing",IF(AND(N626&gt;=Assumptions!$B$23,AB626&gt;=Assumptions!$B$25),"Possession / Build-from-the-Back",IF(N626&gt;=Assumptions!$B$23,"Counter-Attack / Transition",IF(AND(O626&gt;=Assumptions!$B$23,N626&lt;Assumptions!$B$26),"Low Block / Park the Bus",IF(AND(B626="FW",M626&gt;=Assumptions!$B$23,N626&lt;Assumptions!$B$26),"Direct / Target Approach","Flexible / Multi-System"))))))</f>
        <v>Sweeper-Keeper / High Line</v>
      </c>
      <c r="AD626" s="21" t="str">
        <f aca="false">'Player Data'!Y626</f>
        <v>2026-07-17</v>
      </c>
      <c r="AE626" s="21" t="str">
        <f aca="false">'Player Data'!Z626</f>
        <v>2026-07-17</v>
      </c>
      <c r="AF626" s="28" t="str">
        <f aca="false">IFERROR(INDEX(Assumptions!$B$30:$B$61,MATCH(C626,Assumptions!$A$30:$A$61,0)),"--")</f>
        <v>Belgium, Portugal</v>
      </c>
      <c r="AG626" s="30" t="str">
        <f aca="false">IF(R626&gt;=0.7,"Step-Up Candidate",IF(R626&gt;=0.4,"Lateral Move","Stay &amp; Develop"))</f>
        <v>Stay &amp; Develop</v>
      </c>
    </row>
    <row r="627" customFormat="false" ht="23.85" hidden="false" customHeight="false" outlineLevel="0" collapsed="false">
      <c r="A627" s="21" t="str">
        <f aca="false">'Player Data'!A627</f>
        <v>Yeferson Perez</v>
      </c>
      <c r="B627" s="21" t="str">
        <f aca="false">'Player Data'!F627</f>
        <v>MF</v>
      </c>
      <c r="C627" s="21" t="str">
        <f aca="false">'Player Data'!B627</f>
        <v>Venezuela</v>
      </c>
      <c r="D627" s="21" t="str">
        <f aca="false">'Player Data'!C627</f>
        <v>Venezuela Reserve League</v>
      </c>
      <c r="E627" s="21" t="n">
        <f aca="false">'Player Data'!D627</f>
        <v>4</v>
      </c>
      <c r="F627" s="21" t="n">
        <f aca="false">'Player Data'!G627</f>
        <v>20</v>
      </c>
      <c r="G627" s="21" t="n">
        <f aca="false">'Player Data'!H627</f>
        <v>1540</v>
      </c>
      <c r="H627" s="22" t="n">
        <f aca="false">IF(B627="GK",IFERROR(('Player Data'!N627-1.5*'Player Data'!O627)/'Player Data'!H627*90,0),IFERROR(('Player Data'!I627+'Player Data'!J627)/'Player Data'!H627*90,0))</f>
        <v>0.701298701298701</v>
      </c>
      <c r="I627" s="22" t="n">
        <f aca="false">IF(B627="GK",'Player Data'!P627,IFERROR(('Player Data'!K627+'Player Data'!L627)/'Player Data'!H627*90,0))</f>
        <v>15.8961038961039</v>
      </c>
      <c r="J627" s="22" t="n">
        <f aca="false">IF(B627="GK",IFERROR('Player Data'!Q627/'Player Data'!H627*90,0),IFERROR('Player Data'!M627/'Player Data'!H627*90,0))</f>
        <v>1.98701298701299</v>
      </c>
      <c r="K627" s="23" t="n">
        <f aca="false">'Player Data'!S627</f>
        <v>129885</v>
      </c>
      <c r="L627" s="22" t="n">
        <f aca="false">INDEX(Assumptions!$B$13:$B$15,MATCH(E627,Assumptions!$A$13:$A$15,0))</f>
        <v>0.7</v>
      </c>
      <c r="M627" s="24" t="n">
        <f aca="false">IFERROR(SUMPRODUCT(($B$2:$B$1001=B627)*($H$2:$H$1001&lt;=H627))/SUMPRODUCT(($B$2:$B$1001=B627)*1),0)</f>
        <v>0.461279461279461</v>
      </c>
      <c r="N627" s="24" t="n">
        <f aca="false">IFERROR(SUMPRODUCT(($B$2:$B$1001=B627)*($I$2:$I$1001&lt;=I627))/SUMPRODUCT(($B$2:$B$1001=B627)*1),0)</f>
        <v>0.784511784511785</v>
      </c>
      <c r="O627" s="24" t="n">
        <f aca="false">IFERROR(SUMPRODUCT(($B$2:$B$1001=B627)*($J$2:$J$1001&lt;=J627))/SUMPRODUCT(($B$2:$B$1001=B627)*1),0)</f>
        <v>0.407407407407407</v>
      </c>
      <c r="P627" s="24" t="n">
        <f aca="false">IFERROR(SUMPRODUCT(($B$2:$B$1001=B627)*((0-$F$2:$F$1001)&lt;=(0-F627)))/SUMPRODUCT(($B$2:$B$1001=B627)*1),0)</f>
        <v>0.734006734006734</v>
      </c>
      <c r="Q627" s="25" t="n">
        <f aca="false">(M627*Assumptions!$B$5+N627*Assumptions!$B$6+O627*Assumptions!$B$7+P627*Assumptions!$B$8)*L627</f>
        <v>0.432727272727273</v>
      </c>
      <c r="R627" s="24" t="n">
        <f aca="false">IFERROR(SUMPRODUCT(($B$2:$B$1001=B627)*($Q$2:$Q$1001&lt;=Q627))/SUMPRODUCT(($B$2:$B$1001=B627)*1),0)</f>
        <v>0.484848484848485</v>
      </c>
      <c r="S627" s="24" t="n">
        <f aca="false">IFERROR(SUMPRODUCT(($B$2:$B$1001=B627)*($K$2:$K$1001&lt;=K627))/SUMPRODUCT(($B$2:$B$1001=B627)*1),0)</f>
        <v>0.922558922558923</v>
      </c>
      <c r="T627" s="26" t="n">
        <f aca="false">(R627-S627)*100</f>
        <v>-43.7710437710438</v>
      </c>
      <c r="U627" s="21" t="str">
        <f aca="false">'Player Data'!T627</f>
        <v>No</v>
      </c>
      <c r="V627" s="27" t="n">
        <f aca="false">'Player Data'!U627</f>
        <v>2028</v>
      </c>
      <c r="W627" s="21" t="str">
        <f aca="false">IF(AND(T627&gt;=Assumptions!$B$19,U627="No"),"High Priority - Unrepresented",IF(T627&gt;=Assumptions!$B$19,"High Priority",IF(AND(T627&gt;=Assumptions!$B$20,U627="No"),"Watchlist - Unrepresented",IF(T627&gt;=Assumptions!$B$20,"Watchlist",""))))</f>
        <v/>
      </c>
      <c r="X627" s="21" t="str">
        <f aca="false">'Player Data'!V627</f>
        <v>info@barquisimetotown.ve</v>
      </c>
      <c r="Y627" s="28" t="str">
        <f aca="false">'Player Data'!W627</f>
        <v>Club sporting director / first-team office</v>
      </c>
      <c r="Z627" s="28" t="str">
        <f aca="false">'Player Data'!X627</f>
        <v>FVF (Venezuelan Football Federation) player registry</v>
      </c>
      <c r="AA627" s="19" t="str">
        <f aca="false">HYPERLINK("https://www.transfermarkt.com/schnellsuche/ergebnis/schnellsuche?query="&amp;SUBSTITUTE(A627," ","+"),"Search Transfermarkt")</f>
        <v>Search Transfermarkt</v>
      </c>
      <c r="AB627" s="29" t="n">
        <f aca="false">IFERROR('Player Data'!K627/('Player Data'!K627+'Player Data'!L627),0)</f>
        <v>0.654411764705882</v>
      </c>
      <c r="AC627" s="21" t="str">
        <f aca="false">IF(B627="GK",IF(AND(O627&gt;=Assumptions!$B$23,N627&gt;=Assumptions!$B$23),"Sweeper-Keeper / Build-from-the-Back",IF(O627&gt;=Assumptions!$B$23,"Sweeper-Keeper / High Line",IF(M627&gt;=Assumptions!$B$23,"Shot-Stopper / Traditional","Flexible / Multi-System"))),IF(AND(O627&gt;=Assumptions!$B$23,P627&gt;=Assumptions!$B$24),"High Press / Gegenpressing",IF(AND(N627&gt;=Assumptions!$B$23,AB627&gt;=Assumptions!$B$25),"Possession / Build-from-the-Back",IF(N627&gt;=Assumptions!$B$23,"Counter-Attack / Transition",IF(AND(O627&gt;=Assumptions!$B$23,N627&lt;Assumptions!$B$26),"Low Block / Park the Bus",IF(AND(B627="FW",M627&gt;=Assumptions!$B$23,N627&lt;Assumptions!$B$26),"Direct / Target Approach","Flexible / Multi-System"))))))</f>
        <v>Possession / Build-from-the-Back</v>
      </c>
      <c r="AD627" s="21" t="str">
        <f aca="false">'Player Data'!Y627</f>
        <v>2026-07-17</v>
      </c>
      <c r="AE627" s="21" t="str">
        <f aca="false">'Player Data'!Z627</f>
        <v>2026-07-17</v>
      </c>
      <c r="AF627" s="28" t="str">
        <f aca="false">IFERROR(INDEX(Assumptions!$B$30:$B$61,MATCH(C627,Assumptions!$A$30:$A$61,0)),"--")</f>
        <v>Argentina, Portugal</v>
      </c>
      <c r="AG627" s="30" t="str">
        <f aca="false">IF(R627&gt;=0.7,"Step-Up Candidate",IF(R627&gt;=0.4,"Lateral Move","Stay &amp; Develop"))</f>
        <v>Lateral Move</v>
      </c>
    </row>
    <row r="628" customFormat="false" ht="23.85" hidden="false" customHeight="false" outlineLevel="0" collapsed="false">
      <c r="A628" s="21" t="str">
        <f aca="false">'Player Data'!A628</f>
        <v>Yuto Takahashi</v>
      </c>
      <c r="B628" s="21" t="str">
        <f aca="false">'Player Data'!F628</f>
        <v>MF</v>
      </c>
      <c r="C628" s="21" t="str">
        <f aca="false">'Player Data'!B628</f>
        <v>Japan</v>
      </c>
      <c r="D628" s="21" t="str">
        <f aca="false">'Player Data'!C628</f>
        <v>Japan Provincial League</v>
      </c>
      <c r="E628" s="21" t="n">
        <f aca="false">'Player Data'!D628</f>
        <v>3</v>
      </c>
      <c r="F628" s="21" t="n">
        <f aca="false">'Player Data'!G628</f>
        <v>23</v>
      </c>
      <c r="G628" s="21" t="n">
        <f aca="false">'Player Data'!H628</f>
        <v>1693</v>
      </c>
      <c r="H628" s="22" t="n">
        <f aca="false">IF(B628="GK",IFERROR(('Player Data'!N628-1.5*'Player Data'!O628)/'Player Data'!H628*90,0),IFERROR(('Player Data'!I628+'Player Data'!J628)/'Player Data'!H628*90,0))</f>
        <v>0.850561134081512</v>
      </c>
      <c r="I628" s="22" t="n">
        <f aca="false">IF(B628="GK",'Player Data'!P628,IFERROR(('Player Data'!K628+'Player Data'!L628)/'Player Data'!H628*90,0))</f>
        <v>11.1104548139398</v>
      </c>
      <c r="J628" s="22" t="n">
        <f aca="false">IF(B628="GK",IFERROR('Player Data'!Q628/'Player Data'!H628*90,0),IFERROR('Player Data'!M628/'Player Data'!H628*90,0))</f>
        <v>1.9669226225635</v>
      </c>
      <c r="K628" s="23" t="n">
        <f aca="false">'Player Data'!S628</f>
        <v>0</v>
      </c>
      <c r="L628" s="22" t="n">
        <f aca="false">INDEX(Assumptions!$B$13:$B$15,MATCH(E628,Assumptions!$A$13:$A$15,0))</f>
        <v>0.85</v>
      </c>
      <c r="M628" s="24" t="n">
        <f aca="false">IFERROR(SUMPRODUCT(($B$2:$B$1001=B628)*($H$2:$H$1001&lt;=H628))/SUMPRODUCT(($B$2:$B$1001=B628)*1),0)</f>
        <v>0.653198653198653</v>
      </c>
      <c r="N628" s="24" t="n">
        <f aca="false">IFERROR(SUMPRODUCT(($B$2:$B$1001=B628)*($I$2:$I$1001&lt;=I628))/SUMPRODUCT(($B$2:$B$1001=B628)*1),0)</f>
        <v>0.511784511784512</v>
      </c>
      <c r="O628" s="24" t="n">
        <f aca="false">IFERROR(SUMPRODUCT(($B$2:$B$1001=B628)*($J$2:$J$1001&lt;=J628))/SUMPRODUCT(($B$2:$B$1001=B628)*1),0)</f>
        <v>0.397306397306397</v>
      </c>
      <c r="P628" s="24" t="n">
        <f aca="false">IFERROR(SUMPRODUCT(($B$2:$B$1001=B628)*((0-$F$2:$F$1001)&lt;=(0-F628)))/SUMPRODUCT(($B$2:$B$1001=B628)*1),0)</f>
        <v>0.390572390572391</v>
      </c>
      <c r="Q628" s="25" t="n">
        <f aca="false">(M628*Assumptions!$B$5+N628*Assumptions!$B$6+O628*Assumptions!$B$7+P628*Assumptions!$B$8)*L628</f>
        <v>0.425</v>
      </c>
      <c r="R628" s="24" t="n">
        <f aca="false">IFERROR(SUMPRODUCT(($B$2:$B$1001=B628)*($Q$2:$Q$1001&lt;=Q628))/SUMPRODUCT(($B$2:$B$1001=B628)*1),0)</f>
        <v>0.474747474747475</v>
      </c>
      <c r="S628" s="24" t="n">
        <f aca="false">IFERROR(SUMPRODUCT(($B$2:$B$1001=B628)*($K$2:$K$1001&lt;=K628))/SUMPRODUCT(($B$2:$B$1001=B628)*1),0)</f>
        <v>0.228956228956229</v>
      </c>
      <c r="T628" s="26" t="n">
        <f aca="false">(R628-S628)*100</f>
        <v>24.5791245791246</v>
      </c>
      <c r="U628" s="21" t="str">
        <f aca="false">'Player Data'!T628</f>
        <v>Unknown</v>
      </c>
      <c r="V628" s="27" t="n">
        <f aca="false">'Player Data'!U628</f>
        <v>2026</v>
      </c>
      <c r="W628" s="21" t="str">
        <f aca="false">IF(AND(T628&gt;=Assumptions!$B$19,U628="No"),"High Priority - Unrepresented",IF(T628&gt;=Assumptions!$B$19,"High Priority",IF(AND(T628&gt;=Assumptions!$B$20,U628="No"),"Watchlist - Unrepresented",IF(T628&gt;=Assumptions!$B$20,"Watchlist",""))))</f>
        <v>Watchlist</v>
      </c>
      <c r="X628" s="21" t="str">
        <f aca="false">'Player Data'!V628</f>
        <v>info@sendaiathletic.jp</v>
      </c>
      <c r="Y628" s="28" t="str">
        <f aca="false">'Player Data'!W628</f>
        <v>Club sporting director / first-team office</v>
      </c>
      <c r="Z628" s="28" t="str">
        <f aca="false">'Player Data'!X628</f>
        <v>JFA (Japan Football Association) player registry</v>
      </c>
      <c r="AA628" s="19" t="str">
        <f aca="false">HYPERLINK("https://www.transfermarkt.com/schnellsuche/ergebnis/schnellsuche?query="&amp;SUBSTITUTE(A628," ","+"),"Search Transfermarkt")</f>
        <v>Search Transfermarkt</v>
      </c>
      <c r="AB628" s="29" t="n">
        <f aca="false">IFERROR('Player Data'!K628/('Player Data'!K628+'Player Data'!L628),0)</f>
        <v>0.665071770334928</v>
      </c>
      <c r="AC628" s="21" t="str">
        <f aca="false">IF(B628="GK",IF(AND(O628&gt;=Assumptions!$B$23,N628&gt;=Assumptions!$B$23),"Sweeper-Keeper / Build-from-the-Back",IF(O628&gt;=Assumptions!$B$23,"Sweeper-Keeper / High Line",IF(M628&gt;=Assumptions!$B$23,"Shot-Stopper / Traditional","Flexible / Multi-System"))),IF(AND(O628&gt;=Assumptions!$B$23,P628&gt;=Assumptions!$B$24),"High Press / Gegenpressing",IF(AND(N628&gt;=Assumptions!$B$23,AB628&gt;=Assumptions!$B$25),"Possession / Build-from-the-Back",IF(N628&gt;=Assumptions!$B$23,"Counter-Attack / Transition",IF(AND(O628&gt;=Assumptions!$B$23,N628&lt;Assumptions!$B$26),"Low Block / Park the Bus",IF(AND(B628="FW",M628&gt;=Assumptions!$B$23,N628&lt;Assumptions!$B$26),"Direct / Target Approach","Flexible / Multi-System"))))))</f>
        <v>Flexible / Multi-System</v>
      </c>
      <c r="AD628" s="21" t="str">
        <f aca="false">'Player Data'!Y628</f>
        <v>2026-07-17</v>
      </c>
      <c r="AE628" s="21" t="str">
        <f aca="false">'Player Data'!Z628</f>
        <v>2026-07-17</v>
      </c>
      <c r="AF628" s="28" t="str">
        <f aca="false">IFERROR(INDEX(Assumptions!$B$30:$B$61,MATCH(C628,Assumptions!$A$30:$A$61,0)),"--")</f>
        <v>Belgium, Australia</v>
      </c>
      <c r="AG628" s="30" t="str">
        <f aca="false">IF(R628&gt;=0.7,"Step-Up Candidate",IF(R628&gt;=0.4,"Lateral Move","Stay &amp; Develop"))</f>
        <v>Lateral Move</v>
      </c>
    </row>
    <row r="629" customFormat="false" ht="23.85" hidden="false" customHeight="false" outlineLevel="0" collapsed="false">
      <c r="A629" s="21" t="str">
        <f aca="false">'Player Data'!A629</f>
        <v>Janis Kalns</v>
      </c>
      <c r="B629" s="21" t="str">
        <f aca="false">'Player Data'!F629</f>
        <v>DF</v>
      </c>
      <c r="C629" s="21" t="str">
        <f aca="false">'Player Data'!B629</f>
        <v>Latvia</v>
      </c>
      <c r="D629" s="21" t="str">
        <f aca="false">'Player Data'!C629</f>
        <v>Latvia Regional League</v>
      </c>
      <c r="E629" s="21" t="n">
        <f aca="false">'Player Data'!D629</f>
        <v>4</v>
      </c>
      <c r="F629" s="21" t="n">
        <f aca="false">'Player Data'!G629</f>
        <v>25</v>
      </c>
      <c r="G629" s="21" t="n">
        <f aca="false">'Player Data'!H629</f>
        <v>1344</v>
      </c>
      <c r="H629" s="22" t="n">
        <f aca="false">IF(B629="GK",IFERROR(('Player Data'!N629-1.5*'Player Data'!O629)/'Player Data'!H629*90,0),IFERROR(('Player Data'!I629+'Player Data'!J629)/'Player Data'!H629*90,0))</f>
        <v>0.0669642857142857</v>
      </c>
      <c r="I629" s="22" t="n">
        <f aca="false">IF(B629="GK",'Player Data'!P629,IFERROR(('Player Data'!K629+'Player Data'!L629)/'Player Data'!H629*90,0))</f>
        <v>4.55357142857143</v>
      </c>
      <c r="J629" s="22" t="n">
        <f aca="false">IF(B629="GK",IFERROR('Player Data'!Q629/'Player Data'!H629*90,0),IFERROR('Player Data'!M629/'Player Data'!H629*90,0))</f>
        <v>6.96428571428571</v>
      </c>
      <c r="K629" s="23" t="n">
        <f aca="false">'Player Data'!S629</f>
        <v>0</v>
      </c>
      <c r="L629" s="22" t="n">
        <f aca="false">INDEX(Assumptions!$B$13:$B$15,MATCH(E629,Assumptions!$A$13:$A$15,0))</f>
        <v>0.7</v>
      </c>
      <c r="M629" s="24" t="n">
        <f aca="false">IFERROR(SUMPRODUCT(($B$2:$B$1001=B629)*($H$2:$H$1001&lt;=H629))/SUMPRODUCT(($B$2:$B$1001=B629)*1),0)</f>
        <v>0.0952380952380952</v>
      </c>
      <c r="N629" s="24" t="n">
        <f aca="false">IFERROR(SUMPRODUCT(($B$2:$B$1001=B629)*($I$2:$I$1001&lt;=I629))/SUMPRODUCT(($B$2:$B$1001=B629)*1),0)</f>
        <v>0.510204081632653</v>
      </c>
      <c r="O629" s="24" t="n">
        <f aca="false">IFERROR(SUMPRODUCT(($B$2:$B$1001=B629)*($J$2:$J$1001&lt;=J629))/SUMPRODUCT(($B$2:$B$1001=B629)*1),0)</f>
        <v>0.73469387755102</v>
      </c>
      <c r="P629" s="24" t="n">
        <f aca="false">IFERROR(SUMPRODUCT(($B$2:$B$1001=B629)*((0-$F$2:$F$1001)&lt;=(0-F629)))/SUMPRODUCT(($B$2:$B$1001=B629)*1),0)</f>
        <v>0.146258503401361</v>
      </c>
      <c r="Q629" s="25" t="n">
        <f aca="false">(M629*Assumptions!$B$5+N629*Assumptions!$B$6+O629*Assumptions!$B$7+P629*Assumptions!$B$8)*L629</f>
        <v>0.265</v>
      </c>
      <c r="R629" s="24" t="n">
        <f aca="false">IFERROR(SUMPRODUCT(($B$2:$B$1001=B629)*($Q$2:$Q$1001&lt;=Q629))/SUMPRODUCT(($B$2:$B$1001=B629)*1),0)</f>
        <v>0.19047619047619</v>
      </c>
      <c r="S629" s="24" t="n">
        <f aca="false">IFERROR(SUMPRODUCT(($B$2:$B$1001=B629)*($K$2:$K$1001&lt;=K629))/SUMPRODUCT(($B$2:$B$1001=B629)*1),0)</f>
        <v>0.248299319727891</v>
      </c>
      <c r="T629" s="26" t="n">
        <f aca="false">(R629-S629)*100</f>
        <v>-5.78231292517007</v>
      </c>
      <c r="U629" s="21" t="str">
        <f aca="false">'Player Data'!T629</f>
        <v>Unknown</v>
      </c>
      <c r="V629" s="27" t="n">
        <f aca="false">'Player Data'!U629</f>
        <v>2027</v>
      </c>
      <c r="W629" s="21" t="str">
        <f aca="false">IF(AND(T629&gt;=Assumptions!$B$19,U629="No"),"High Priority - Unrepresented",IF(T629&gt;=Assumptions!$B$19,"High Priority",IF(AND(T629&gt;=Assumptions!$B$20,U629="No"),"Watchlist - Unrepresented",IF(T629&gt;=Assumptions!$B$20,"Watchlist",""))))</f>
        <v/>
      </c>
      <c r="X629" s="21" t="str">
        <f aca="false">'Player Data'!V629</f>
        <v>info@liepajatown.lv</v>
      </c>
      <c r="Y629" s="28" t="str">
        <f aca="false">'Player Data'!W629</f>
        <v>Club sporting director / first-team office</v>
      </c>
      <c r="Z629" s="28" t="str">
        <f aca="false">'Player Data'!X629</f>
        <v>LFF (Latvian Football Federation) player registry</v>
      </c>
      <c r="AA629" s="19" t="str">
        <f aca="false">HYPERLINK("https://www.transfermarkt.com/schnellsuche/ergebnis/schnellsuche?query="&amp;SUBSTITUTE(A629," ","+"),"Search Transfermarkt")</f>
        <v>Search Transfermarkt</v>
      </c>
      <c r="AB629" s="29" t="n">
        <f aca="false">IFERROR('Player Data'!K629/('Player Data'!K629+'Player Data'!L629),0)</f>
        <v>0.691176470588235</v>
      </c>
      <c r="AC629" s="21" t="str">
        <f aca="false">IF(B629="GK",IF(AND(O629&gt;=Assumptions!$B$23,N629&gt;=Assumptions!$B$23),"Sweeper-Keeper / Build-from-the-Back",IF(O629&gt;=Assumptions!$B$23,"Sweeper-Keeper / High Line",IF(M629&gt;=Assumptions!$B$23,"Shot-Stopper / Traditional","Flexible / Multi-System"))),IF(AND(O629&gt;=Assumptions!$B$23,P629&gt;=Assumptions!$B$24),"High Press / Gegenpressing",IF(AND(N629&gt;=Assumptions!$B$23,AB629&gt;=Assumptions!$B$25),"Possession / Build-from-the-Back",IF(N629&gt;=Assumptions!$B$23,"Counter-Attack / Transition",IF(AND(O629&gt;=Assumptions!$B$23,N629&lt;Assumptions!$B$26),"Low Block / Park the Bus",IF(AND(B629="FW",M629&gt;=Assumptions!$B$23,N629&lt;Assumptions!$B$26),"Direct / Target Approach","Flexible / Multi-System"))))))</f>
        <v>Flexible / Multi-System</v>
      </c>
      <c r="AD629" s="21" t="str">
        <f aca="false">'Player Data'!Y629</f>
        <v>2026-07-17</v>
      </c>
      <c r="AE629" s="21" t="str">
        <f aca="false">'Player Data'!Z629</f>
        <v>2026-07-17</v>
      </c>
      <c r="AF629" s="28" t="str">
        <f aca="false">IFERROR(INDEX(Assumptions!$B$30:$B$61,MATCH(C629,Assumptions!$A$30:$A$61,0)),"--")</f>
        <v>Poland, Norway</v>
      </c>
      <c r="AG629" s="30" t="str">
        <f aca="false">IF(R629&gt;=0.7,"Step-Up Candidate",IF(R629&gt;=0.4,"Lateral Move","Stay &amp; Develop"))</f>
        <v>Stay &amp; Develop</v>
      </c>
    </row>
    <row r="630" customFormat="false" ht="23.85" hidden="false" customHeight="false" outlineLevel="0" collapsed="false">
      <c r="A630" s="21" t="str">
        <f aca="false">'Player Data'!A630</f>
        <v>Saba Kapanadze</v>
      </c>
      <c r="B630" s="21" t="str">
        <f aca="false">'Player Data'!F630</f>
        <v>GK</v>
      </c>
      <c r="C630" s="21" t="str">
        <f aca="false">'Player Data'!B630</f>
        <v>Georgia</v>
      </c>
      <c r="D630" s="21" t="str">
        <f aca="false">'Player Data'!C630</f>
        <v>Georgia Second Division</v>
      </c>
      <c r="E630" s="21" t="n">
        <f aca="false">'Player Data'!D630</f>
        <v>2</v>
      </c>
      <c r="F630" s="21" t="n">
        <f aca="false">'Player Data'!G630</f>
        <v>22</v>
      </c>
      <c r="G630" s="21" t="n">
        <f aca="false">'Player Data'!H630</f>
        <v>1124</v>
      </c>
      <c r="H630" s="22" t="n">
        <f aca="false">IF(B630="GK",IFERROR(('Player Data'!N630-1.5*'Player Data'!O630)/'Player Data'!H630*90,0),IFERROR(('Player Data'!I630+'Player Data'!J630)/'Player Data'!H630*90,0))</f>
        <v>-0.600533807829182</v>
      </c>
      <c r="I630" s="22" t="n">
        <f aca="false">IF(B630="GK",'Player Data'!P630,IFERROR(('Player Data'!K630+'Player Data'!L630)/'Player Data'!H630*90,0))</f>
        <v>81.6</v>
      </c>
      <c r="J630" s="22" t="n">
        <f aca="false">IF(B630="GK",IFERROR('Player Data'!Q630/'Player Data'!H630*90,0),IFERROR('Player Data'!M630/'Player Data'!H630*90,0))</f>
        <v>1.22508896797153</v>
      </c>
      <c r="K630" s="23" t="n">
        <f aca="false">'Player Data'!S630</f>
        <v>111954</v>
      </c>
      <c r="L630" s="22" t="n">
        <f aca="false">INDEX(Assumptions!$B$13:$B$15,MATCH(E630,Assumptions!$A$13:$A$15,0))</f>
        <v>1</v>
      </c>
      <c r="M630" s="24" t="n">
        <f aca="false">IFERROR(SUMPRODUCT(($B$2:$B$1001=B630)*($H$2:$H$1001&lt;=H630))/SUMPRODUCT(($B$2:$B$1001=B630)*1),0)</f>
        <v>0.0655737704918033</v>
      </c>
      <c r="N630" s="24" t="n">
        <f aca="false">IFERROR(SUMPRODUCT(($B$2:$B$1001=B630)*($I$2:$I$1001&lt;=I630))/SUMPRODUCT(($B$2:$B$1001=B630)*1),0)</f>
        <v>0.710382513661202</v>
      </c>
      <c r="O630" s="24" t="n">
        <f aca="false">IFERROR(SUMPRODUCT(($B$2:$B$1001=B630)*($J$2:$J$1001&lt;=J630))/SUMPRODUCT(($B$2:$B$1001=B630)*1),0)</f>
        <v>0.73224043715847</v>
      </c>
      <c r="P630" s="24" t="n">
        <f aca="false">IFERROR(SUMPRODUCT(($B$2:$B$1001=B630)*((0-$F$2:$F$1001)&lt;=(0-F630)))/SUMPRODUCT(($B$2:$B$1001=B630)*1),0)</f>
        <v>0.530054644808743</v>
      </c>
      <c r="Q630" s="25" t="n">
        <f aca="false">(M630*Assumptions!$B$5+N630*Assumptions!$B$6+O630*Assumptions!$B$7+P630*Assumptions!$B$8)*L630</f>
        <v>0.517486338797814</v>
      </c>
      <c r="R630" s="24" t="n">
        <f aca="false">IFERROR(SUMPRODUCT(($B$2:$B$1001=B630)*($Q$2:$Q$1001&lt;=Q630))/SUMPRODUCT(($B$2:$B$1001=B630)*1),0)</f>
        <v>0.66120218579235</v>
      </c>
      <c r="S630" s="24" t="n">
        <f aca="false">IFERROR(SUMPRODUCT(($B$2:$B$1001=B630)*($K$2:$K$1001&lt;=K630))/SUMPRODUCT(($B$2:$B$1001=B630)*1),0)</f>
        <v>0.770491803278689</v>
      </c>
      <c r="T630" s="26" t="n">
        <f aca="false">(R630-S630)*100</f>
        <v>-10.9289617486339</v>
      </c>
      <c r="U630" s="21" t="str">
        <f aca="false">'Player Data'!T630</f>
        <v>Yes</v>
      </c>
      <c r="V630" s="27" t="n">
        <f aca="false">'Player Data'!U630</f>
        <v>2026</v>
      </c>
      <c r="W630" s="21" t="str">
        <f aca="false">IF(AND(T630&gt;=Assumptions!$B$19,U630="No"),"High Priority - Unrepresented",IF(T630&gt;=Assumptions!$B$19,"High Priority",IF(AND(T630&gt;=Assumptions!$B$20,U630="No"),"Watchlist - Unrepresented",IF(T630&gt;=Assumptions!$B$20,"Watchlist",""))))</f>
        <v/>
      </c>
      <c r="X630" s="21" t="str">
        <f aca="false">'Player Data'!V630</f>
        <v>info@tbilisiunited.ge</v>
      </c>
      <c r="Y630" s="28" t="str">
        <f aca="false">'Player Data'!W630</f>
        <v>Go through the player's agent - ask the club to confirm representation first</v>
      </c>
      <c r="Z630" s="28" t="str">
        <f aca="false">'Player Data'!X630</f>
        <v>GFF (Georgian Football Federation) player registry</v>
      </c>
      <c r="AA630" s="19" t="str">
        <f aca="false">HYPERLINK("https://www.transfermarkt.com/schnellsuche/ergebnis/schnellsuche?query="&amp;SUBSTITUTE(A630," ","+"),"Search Transfermarkt")</f>
        <v>Search Transfermarkt</v>
      </c>
      <c r="AB630" s="29" t="n">
        <f aca="false">IFERROR('Player Data'!K630/('Player Data'!K630+'Player Data'!L630),0)</f>
        <v>0.75</v>
      </c>
      <c r="AC630" s="21" t="str">
        <f aca="false">IF(B630="GK",IF(AND(O630&gt;=Assumptions!$B$23,N630&gt;=Assumptions!$B$23),"Sweeper-Keeper / Build-from-the-Back",IF(O630&gt;=Assumptions!$B$23,"Sweeper-Keeper / High Line",IF(M630&gt;=Assumptions!$B$23,"Shot-Stopper / Traditional","Flexible / Multi-System"))),IF(AND(O630&gt;=Assumptions!$B$23,P630&gt;=Assumptions!$B$24),"High Press / Gegenpressing",IF(AND(N630&gt;=Assumptions!$B$23,AB630&gt;=Assumptions!$B$25),"Possession / Build-from-the-Back",IF(N630&gt;=Assumptions!$B$23,"Counter-Attack / Transition",IF(AND(O630&gt;=Assumptions!$B$23,N630&lt;Assumptions!$B$26),"Low Block / Park the Bus",IF(AND(B630="FW",M630&gt;=Assumptions!$B$23,N630&lt;Assumptions!$B$26),"Direct / Target Approach","Flexible / Multi-System"))))))</f>
        <v>Sweeper-Keeper / Build-from-the-Back</v>
      </c>
      <c r="AD630" s="21" t="str">
        <f aca="false">'Player Data'!Y630</f>
        <v>2026-07-17</v>
      </c>
      <c r="AE630" s="21" t="str">
        <f aca="false">'Player Data'!Z630</f>
        <v>2026-07-17</v>
      </c>
      <c r="AF630" s="28" t="str">
        <f aca="false">IFERROR(INDEX(Assumptions!$B$30:$B$61,MATCH(C630,Assumptions!$A$30:$A$61,0)),"--")</f>
        <v>Turkey, Poland</v>
      </c>
      <c r="AG630" s="30" t="str">
        <f aca="false">IF(R630&gt;=0.7,"Step-Up Candidate",IF(R630&gt;=0.4,"Lateral Move","Stay &amp; Develop"))</f>
        <v>Lateral Move</v>
      </c>
    </row>
    <row r="631" customFormat="false" ht="23.85" hidden="false" customHeight="false" outlineLevel="0" collapsed="false">
      <c r="A631" s="21" t="str">
        <f aca="false">'Player Data'!A631</f>
        <v>Yaw Appiah</v>
      </c>
      <c r="B631" s="21" t="str">
        <f aca="false">'Player Data'!F631</f>
        <v>FW</v>
      </c>
      <c r="C631" s="21" t="str">
        <f aca="false">'Player Data'!B631</f>
        <v>Ghana</v>
      </c>
      <c r="D631" s="21" t="str">
        <f aca="false">'Player Data'!C631</f>
        <v>Ghana Amateur League</v>
      </c>
      <c r="E631" s="21" t="n">
        <f aca="false">'Player Data'!D631</f>
        <v>4</v>
      </c>
      <c r="F631" s="21" t="n">
        <f aca="false">'Player Data'!G631</f>
        <v>20</v>
      </c>
      <c r="G631" s="21" t="n">
        <f aca="false">'Player Data'!H631</f>
        <v>2397</v>
      </c>
      <c r="H631" s="22" t="n">
        <f aca="false">IF(B631="GK",IFERROR(('Player Data'!N631-1.5*'Player Data'!O631)/'Player Data'!H631*90,0),IFERROR(('Player Data'!I631+'Player Data'!J631)/'Player Data'!H631*90,0))</f>
        <v>0.525657071339174</v>
      </c>
      <c r="I631" s="22" t="n">
        <f aca="false">IF(B631="GK",'Player Data'!P631,IFERROR(('Player Data'!K631+'Player Data'!L631)/'Player Data'!H631*90,0))</f>
        <v>6.34543178973717</v>
      </c>
      <c r="J631" s="22" t="n">
        <f aca="false">IF(B631="GK",IFERROR('Player Data'!Q631/'Player Data'!H631*90,0),IFERROR('Player Data'!M631/'Player Data'!H631*90,0))</f>
        <v>0.225281602002503</v>
      </c>
      <c r="K631" s="23" t="n">
        <f aca="false">'Player Data'!S631</f>
        <v>25596</v>
      </c>
      <c r="L631" s="22" t="n">
        <f aca="false">INDEX(Assumptions!$B$13:$B$15,MATCH(E631,Assumptions!$A$13:$A$15,0))</f>
        <v>0.7</v>
      </c>
      <c r="M631" s="24" t="n">
        <f aca="false">IFERROR(SUMPRODUCT(($B$2:$B$1001=B631)*($H$2:$H$1001&lt;=H631))/SUMPRODUCT(($B$2:$B$1001=B631)*1),0)</f>
        <v>0.110619469026549</v>
      </c>
      <c r="N631" s="24" t="n">
        <f aca="false">IFERROR(SUMPRODUCT(($B$2:$B$1001=B631)*($I$2:$I$1001&lt;=I631))/SUMPRODUCT(($B$2:$B$1001=B631)*1),0)</f>
        <v>0.473451327433628</v>
      </c>
      <c r="O631" s="24" t="n">
        <f aca="false">IFERROR(SUMPRODUCT(($B$2:$B$1001=B631)*($J$2:$J$1001&lt;=J631))/SUMPRODUCT(($B$2:$B$1001=B631)*1),0)</f>
        <v>0.0663716814159292</v>
      </c>
      <c r="P631" s="24" t="n">
        <f aca="false">IFERROR(SUMPRODUCT(($B$2:$B$1001=B631)*((0-$F$2:$F$1001)&lt;=(0-F631)))/SUMPRODUCT(($B$2:$B$1001=B631)*1),0)</f>
        <v>0.712389380530973</v>
      </c>
      <c r="Q631" s="25" t="n">
        <f aca="false">(M631*Assumptions!$B$5+N631*Assumptions!$B$6+O631*Assumptions!$B$7+P631*Assumptions!$B$8)*L631</f>
        <v>0.244380530973451</v>
      </c>
      <c r="R631" s="24" t="n">
        <f aca="false">IFERROR(SUMPRODUCT(($B$2:$B$1001=B631)*($Q$2:$Q$1001&lt;=Q631))/SUMPRODUCT(($B$2:$B$1001=B631)*1),0)</f>
        <v>0.176991150442478</v>
      </c>
      <c r="S631" s="24" t="n">
        <f aca="false">IFERROR(SUMPRODUCT(($B$2:$B$1001=B631)*($K$2:$K$1001&lt;=K631))/SUMPRODUCT(($B$2:$B$1001=B631)*1),0)</f>
        <v>0.345132743362832</v>
      </c>
      <c r="T631" s="26" t="n">
        <f aca="false">(R631-S631)*100</f>
        <v>-16.8141592920354</v>
      </c>
      <c r="U631" s="21" t="str">
        <f aca="false">'Player Data'!T631</f>
        <v>No</v>
      </c>
      <c r="V631" s="27" t="n">
        <f aca="false">'Player Data'!U631</f>
        <v>2029</v>
      </c>
      <c r="W631" s="21" t="str">
        <f aca="false">IF(AND(T631&gt;=Assumptions!$B$19,U631="No"),"High Priority - Unrepresented",IF(T631&gt;=Assumptions!$B$19,"High Priority",IF(AND(T631&gt;=Assumptions!$B$20,U631="No"),"Watchlist - Unrepresented",IF(T631&gt;=Assumptions!$B$20,"Watchlist",""))))</f>
        <v/>
      </c>
      <c r="X631" s="21" t="str">
        <f aca="false">'Player Data'!V631</f>
        <v>info@sekondisc.gh</v>
      </c>
      <c r="Y631" s="28" t="str">
        <f aca="false">'Player Data'!W631</f>
        <v>Club sporting director / first-team office</v>
      </c>
      <c r="Z631" s="28" t="str">
        <f aca="false">'Player Data'!X631</f>
        <v>GFA (Ghana Football Association) player registry</v>
      </c>
      <c r="AA631" s="19" t="str">
        <f aca="false">HYPERLINK("https://www.transfermarkt.com/schnellsuche/ergebnis/schnellsuche?query="&amp;SUBSTITUTE(A631," ","+"),"Search Transfermarkt")</f>
        <v>Search Transfermarkt</v>
      </c>
      <c r="AB631" s="29" t="n">
        <f aca="false">IFERROR('Player Data'!K631/('Player Data'!K631+'Player Data'!L631),0)</f>
        <v>0.402366863905325</v>
      </c>
      <c r="AC631" s="21" t="str">
        <f aca="false">IF(B631="GK",IF(AND(O631&gt;=Assumptions!$B$23,N631&gt;=Assumptions!$B$23),"Sweeper-Keeper / Build-from-the-Back",IF(O631&gt;=Assumptions!$B$23,"Sweeper-Keeper / High Line",IF(M631&gt;=Assumptions!$B$23,"Shot-Stopper / Traditional","Flexible / Multi-System"))),IF(AND(O631&gt;=Assumptions!$B$23,P631&gt;=Assumptions!$B$24),"High Press / Gegenpressing",IF(AND(N631&gt;=Assumptions!$B$23,AB631&gt;=Assumptions!$B$25),"Possession / Build-from-the-Back",IF(N631&gt;=Assumptions!$B$23,"Counter-Attack / Transition",IF(AND(O631&gt;=Assumptions!$B$23,N631&lt;Assumptions!$B$26),"Low Block / Park the Bus",IF(AND(B631="FW",M631&gt;=Assumptions!$B$23,N631&lt;Assumptions!$B$26),"Direct / Target Approach","Flexible / Multi-System"))))))</f>
        <v>Flexible / Multi-System</v>
      </c>
      <c r="AD631" s="21" t="str">
        <f aca="false">'Player Data'!Y631</f>
        <v>2026-07-17</v>
      </c>
      <c r="AE631" s="21" t="str">
        <f aca="false">'Player Data'!Z631</f>
        <v>2026-07-17</v>
      </c>
      <c r="AF631" s="28" t="str">
        <f aca="false">IFERROR(INDEX(Assumptions!$B$30:$B$61,MATCH(C631,Assumptions!$A$30:$A$61,0)),"--")</f>
        <v>Belgium, Portugal</v>
      </c>
      <c r="AG631" s="30" t="str">
        <f aca="false">IF(R631&gt;=0.7,"Step-Up Candidate",IF(R631&gt;=0.4,"Lateral Move","Stay &amp; Develop"))</f>
        <v>Stay &amp; Develop</v>
      </c>
    </row>
    <row r="632" customFormat="false" ht="23.85" hidden="false" customHeight="false" outlineLevel="0" collapsed="false">
      <c r="A632" s="21" t="str">
        <f aca="false">'Player Data'!A632</f>
        <v>Karl Kask</v>
      </c>
      <c r="B632" s="21" t="str">
        <f aca="false">'Player Data'!F632</f>
        <v>GK</v>
      </c>
      <c r="C632" s="21" t="str">
        <f aca="false">'Player Data'!B632</f>
        <v>Estonia</v>
      </c>
      <c r="D632" s="21" t="str">
        <f aca="false">'Player Data'!C632</f>
        <v>Estonia Reserve League</v>
      </c>
      <c r="E632" s="21" t="n">
        <f aca="false">'Player Data'!D632</f>
        <v>3</v>
      </c>
      <c r="F632" s="21" t="n">
        <f aca="false">'Player Data'!G632</f>
        <v>25</v>
      </c>
      <c r="G632" s="21" t="n">
        <f aca="false">'Player Data'!H632</f>
        <v>1482</v>
      </c>
      <c r="H632" s="22" t="n">
        <f aca="false">IF(B632="GK",IFERROR(('Player Data'!N632-1.5*'Player Data'!O632)/'Player Data'!H632*90,0),IFERROR(('Player Data'!I632+'Player Data'!J632)/'Player Data'!H632*90,0))</f>
        <v>1.42712550607287</v>
      </c>
      <c r="I632" s="22" t="n">
        <f aca="false">IF(B632="GK",'Player Data'!P632,IFERROR(('Player Data'!K632+'Player Data'!L632)/'Player Data'!H632*90,0))</f>
        <v>84.3</v>
      </c>
      <c r="J632" s="22" t="n">
        <f aca="false">IF(B632="GK",IFERROR('Player Data'!Q632/'Player Data'!H632*90,0),IFERROR('Player Data'!M632/'Player Data'!H632*90,0))</f>
        <v>1.24493927125506</v>
      </c>
      <c r="K632" s="23" t="n">
        <f aca="false">'Player Data'!S632</f>
        <v>0</v>
      </c>
      <c r="L632" s="22" t="n">
        <f aca="false">INDEX(Assumptions!$B$13:$B$15,MATCH(E632,Assumptions!$A$13:$A$15,0))</f>
        <v>0.85</v>
      </c>
      <c r="M632" s="24" t="n">
        <f aca="false">IFERROR(SUMPRODUCT(($B$2:$B$1001=B632)*($H$2:$H$1001&lt;=H632))/SUMPRODUCT(($B$2:$B$1001=B632)*1),0)</f>
        <v>0.650273224043716</v>
      </c>
      <c r="N632" s="24" t="n">
        <f aca="false">IFERROR(SUMPRODUCT(($B$2:$B$1001=B632)*($I$2:$I$1001&lt;=I632))/SUMPRODUCT(($B$2:$B$1001=B632)*1),0)</f>
        <v>0.836065573770492</v>
      </c>
      <c r="O632" s="24" t="n">
        <f aca="false">IFERROR(SUMPRODUCT(($B$2:$B$1001=B632)*($J$2:$J$1001&lt;=J632))/SUMPRODUCT(($B$2:$B$1001=B632)*1),0)</f>
        <v>0.765027322404372</v>
      </c>
      <c r="P632" s="24" t="n">
        <f aca="false">IFERROR(SUMPRODUCT(($B$2:$B$1001=B632)*((0-$F$2:$F$1001)&lt;=(0-F632)))/SUMPRODUCT(($B$2:$B$1001=B632)*1),0)</f>
        <v>0.240437158469945</v>
      </c>
      <c r="Q632" s="25" t="n">
        <f aca="false">(M632*Assumptions!$B$5+N632*Assumptions!$B$6+O632*Assumptions!$B$7+P632*Assumptions!$B$8)*L632</f>
        <v>0.557841530054645</v>
      </c>
      <c r="R632" s="24" t="n">
        <f aca="false">IFERROR(SUMPRODUCT(($B$2:$B$1001=B632)*($Q$2:$Q$1001&lt;=Q632))/SUMPRODUCT(($B$2:$B$1001=B632)*1),0)</f>
        <v>0.765027322404372</v>
      </c>
      <c r="S632" s="24" t="n">
        <f aca="false">IFERROR(SUMPRODUCT(($B$2:$B$1001=B632)*($K$2:$K$1001&lt;=K632))/SUMPRODUCT(($B$2:$B$1001=B632)*1),0)</f>
        <v>0.218579234972678</v>
      </c>
      <c r="T632" s="26" t="n">
        <f aca="false">(R632-S632)*100</f>
        <v>54.6448087431694</v>
      </c>
      <c r="U632" s="21" t="str">
        <f aca="false">'Player Data'!T632</f>
        <v>Unknown</v>
      </c>
      <c r="V632" s="27" t="n">
        <f aca="false">'Player Data'!U632</f>
        <v>2026</v>
      </c>
      <c r="W632" s="21" t="str">
        <f aca="false">IF(AND(T632&gt;=Assumptions!$B$19,U632="No"),"High Priority - Unrepresented",IF(T632&gt;=Assumptions!$B$19,"High Priority",IF(AND(T632&gt;=Assumptions!$B$20,U632="No"),"Watchlist - Unrepresented",IF(T632&gt;=Assumptions!$B$20,"Watchlist",""))))</f>
        <v>High Priority</v>
      </c>
      <c r="X632" s="21" t="str">
        <f aca="false">'Player Data'!V632</f>
        <v>info@tallinnwanderers.ee</v>
      </c>
      <c r="Y632" s="28" t="str">
        <f aca="false">'Player Data'!W632</f>
        <v>Club sporting director / first-team office</v>
      </c>
      <c r="Z632" s="28" t="str">
        <f aca="false">'Player Data'!X632</f>
        <v>EJL (Estonian Football Association) player registry</v>
      </c>
      <c r="AA632" s="19" t="str">
        <f aca="false">HYPERLINK("https://www.transfermarkt.com/schnellsuche/ergebnis/schnellsuche?query="&amp;SUBSTITUTE(A632," ","+"),"Search Transfermarkt")</f>
        <v>Search Transfermarkt</v>
      </c>
      <c r="AB632" s="29" t="n">
        <f aca="false">IFERROR('Player Data'!K632/('Player Data'!K632+'Player Data'!L632),0)</f>
        <v>0.857142857142857</v>
      </c>
      <c r="AC632" s="21" t="str">
        <f aca="false">IF(B632="GK",IF(AND(O632&gt;=Assumptions!$B$23,N632&gt;=Assumptions!$B$23),"Sweeper-Keeper / Build-from-the-Back",IF(O632&gt;=Assumptions!$B$23,"Sweeper-Keeper / High Line",IF(M632&gt;=Assumptions!$B$23,"Shot-Stopper / Traditional","Flexible / Multi-System"))),IF(AND(O632&gt;=Assumptions!$B$23,P632&gt;=Assumptions!$B$24),"High Press / Gegenpressing",IF(AND(N632&gt;=Assumptions!$B$23,AB632&gt;=Assumptions!$B$25),"Possession / Build-from-the-Back",IF(N632&gt;=Assumptions!$B$23,"Counter-Attack / Transition",IF(AND(O632&gt;=Assumptions!$B$23,N632&lt;Assumptions!$B$26),"Low Block / Park the Bus",IF(AND(B632="FW",M632&gt;=Assumptions!$B$23,N632&lt;Assumptions!$B$26),"Direct / Target Approach","Flexible / Multi-System"))))))</f>
        <v>Sweeper-Keeper / Build-from-the-Back</v>
      </c>
      <c r="AD632" s="21" t="str">
        <f aca="false">'Player Data'!Y632</f>
        <v>2026-07-17</v>
      </c>
      <c r="AE632" s="21" t="str">
        <f aca="false">'Player Data'!Z632</f>
        <v>2026-07-17</v>
      </c>
      <c r="AF632" s="28" t="str">
        <f aca="false">IFERROR(INDEX(Assumptions!$B$30:$B$61,MATCH(C632,Assumptions!$A$30:$A$61,0)),"--")</f>
        <v>Poland, Norway</v>
      </c>
      <c r="AG632" s="30" t="str">
        <f aca="false">IF(R632&gt;=0.7,"Step-Up Candidate",IF(R632&gt;=0.4,"Lateral Move","Stay &amp; Develop"))</f>
        <v>Step-Up Candidate</v>
      </c>
    </row>
    <row r="633" customFormat="false" ht="23.85" hidden="false" customHeight="false" outlineLevel="0" collapsed="false">
      <c r="A633" s="21" t="str">
        <f aca="false">'Player Data'!A633</f>
        <v>Yaw Boateng</v>
      </c>
      <c r="B633" s="21" t="str">
        <f aca="false">'Player Data'!F633</f>
        <v>GK</v>
      </c>
      <c r="C633" s="21" t="str">
        <f aca="false">'Player Data'!B633</f>
        <v>Ghana</v>
      </c>
      <c r="D633" s="21" t="str">
        <f aca="false">'Player Data'!C633</f>
        <v>Ghana Third Tier - North</v>
      </c>
      <c r="E633" s="21" t="n">
        <f aca="false">'Player Data'!D633</f>
        <v>2</v>
      </c>
      <c r="F633" s="21" t="n">
        <f aca="false">'Player Data'!G633</f>
        <v>22</v>
      </c>
      <c r="G633" s="21" t="n">
        <f aca="false">'Player Data'!H633</f>
        <v>1497</v>
      </c>
      <c r="H633" s="22" t="n">
        <f aca="false">IF(B633="GK",IFERROR(('Player Data'!N633-1.5*'Player Data'!O633)/'Player Data'!H633*90,0),IFERROR(('Player Data'!I633+'Player Data'!J633)/'Player Data'!H633*90,0))</f>
        <v>0.991983967935872</v>
      </c>
      <c r="I633" s="22" t="n">
        <f aca="false">IF(B633="GK",'Player Data'!P633,IFERROR(('Player Data'!K633+'Player Data'!L633)/'Player Data'!H633*90,0))</f>
        <v>80.8</v>
      </c>
      <c r="J633" s="22" t="n">
        <f aca="false">IF(B633="GK",IFERROR('Player Data'!Q633/'Player Data'!H633*90,0),IFERROR('Player Data'!M633/'Player Data'!H633*90,0))</f>
        <v>1.1122244488978</v>
      </c>
      <c r="K633" s="23" t="n">
        <f aca="false">'Player Data'!S633</f>
        <v>132061</v>
      </c>
      <c r="L633" s="22" t="n">
        <f aca="false">INDEX(Assumptions!$B$13:$B$15,MATCH(E633,Assumptions!$A$13:$A$15,0))</f>
        <v>1</v>
      </c>
      <c r="M633" s="24" t="n">
        <f aca="false">IFERROR(SUMPRODUCT(($B$2:$B$1001=B633)*($H$2:$H$1001&lt;=H633))/SUMPRODUCT(($B$2:$B$1001=B633)*1),0)</f>
        <v>0.426229508196721</v>
      </c>
      <c r="N633" s="24" t="n">
        <f aca="false">IFERROR(SUMPRODUCT(($B$2:$B$1001=B633)*($I$2:$I$1001&lt;=I633))/SUMPRODUCT(($B$2:$B$1001=B633)*1),0)</f>
        <v>0.683060109289618</v>
      </c>
      <c r="O633" s="24" t="n">
        <f aca="false">IFERROR(SUMPRODUCT(($B$2:$B$1001=B633)*($J$2:$J$1001&lt;=J633))/SUMPRODUCT(($B$2:$B$1001=B633)*1),0)</f>
        <v>0.693989071038251</v>
      </c>
      <c r="P633" s="24" t="n">
        <f aca="false">IFERROR(SUMPRODUCT(($B$2:$B$1001=B633)*((0-$F$2:$F$1001)&lt;=(0-F633)))/SUMPRODUCT(($B$2:$B$1001=B633)*1),0)</f>
        <v>0.530054644808743</v>
      </c>
      <c r="Q633" s="25" t="n">
        <f aca="false">(M633*Assumptions!$B$5+N633*Assumptions!$B$6+O633*Assumptions!$B$7+P633*Assumptions!$B$8)*L633</f>
        <v>0.590437158469945</v>
      </c>
      <c r="R633" s="24" t="n">
        <f aca="false">IFERROR(SUMPRODUCT(($B$2:$B$1001=B633)*($Q$2:$Q$1001&lt;=Q633))/SUMPRODUCT(($B$2:$B$1001=B633)*1),0)</f>
        <v>0.846994535519126</v>
      </c>
      <c r="S633" s="24" t="n">
        <f aca="false">IFERROR(SUMPRODUCT(($B$2:$B$1001=B633)*($K$2:$K$1001&lt;=K633))/SUMPRODUCT(($B$2:$B$1001=B633)*1),0)</f>
        <v>0.901639344262295</v>
      </c>
      <c r="T633" s="26" t="n">
        <f aca="false">(R633-S633)*100</f>
        <v>-5.46448087431694</v>
      </c>
      <c r="U633" s="21" t="str">
        <f aca="false">'Player Data'!T633</f>
        <v>No</v>
      </c>
      <c r="V633" s="27" t="n">
        <f aca="false">'Player Data'!U633</f>
        <v>2027</v>
      </c>
      <c r="W633" s="21" t="str">
        <f aca="false">IF(AND(T633&gt;=Assumptions!$B$19,U633="No"),"High Priority - Unrepresented",IF(T633&gt;=Assumptions!$B$19,"High Priority",IF(AND(T633&gt;=Assumptions!$B$20,U633="No"),"Watchlist - Unrepresented",IF(T633&gt;=Assumptions!$B$20,"Watchlist",""))))</f>
        <v/>
      </c>
      <c r="X633" s="21" t="str">
        <f aca="false">'Player Data'!V633</f>
        <v>info@tamalesc.gh</v>
      </c>
      <c r="Y633" s="28" t="str">
        <f aca="false">'Player Data'!W633</f>
        <v>Club sporting director / first-team office</v>
      </c>
      <c r="Z633" s="28" t="str">
        <f aca="false">'Player Data'!X633</f>
        <v>GFA (Ghana Football Association) player registry</v>
      </c>
      <c r="AA633" s="19" t="str">
        <f aca="false">HYPERLINK("https://www.transfermarkt.com/schnellsuche/ergebnis/schnellsuche?query="&amp;SUBSTITUTE(A633," ","+"),"Search Transfermarkt")</f>
        <v>Search Transfermarkt</v>
      </c>
      <c r="AB633" s="29" t="n">
        <f aca="false">IFERROR('Player Data'!K633/('Player Data'!K633+'Player Data'!L633),0)</f>
        <v>0.857142857142857</v>
      </c>
      <c r="AC633" s="21" t="str">
        <f aca="false">IF(B633="GK",IF(AND(O633&gt;=Assumptions!$B$23,N633&gt;=Assumptions!$B$23),"Sweeper-Keeper / Build-from-the-Back",IF(O633&gt;=Assumptions!$B$23,"Sweeper-Keeper / High Line",IF(M633&gt;=Assumptions!$B$23,"Shot-Stopper / Traditional","Flexible / Multi-System"))),IF(AND(O633&gt;=Assumptions!$B$23,P633&gt;=Assumptions!$B$24),"High Press / Gegenpressing",IF(AND(N633&gt;=Assumptions!$B$23,AB633&gt;=Assumptions!$B$25),"Possession / Build-from-the-Back",IF(N633&gt;=Assumptions!$B$23,"Counter-Attack / Transition",IF(AND(O633&gt;=Assumptions!$B$23,N633&lt;Assumptions!$B$26),"Low Block / Park the Bus",IF(AND(B633="FW",M633&gt;=Assumptions!$B$23,N633&lt;Assumptions!$B$26),"Direct / Target Approach","Flexible / Multi-System"))))))</f>
        <v>Sweeper-Keeper / Build-from-the-Back</v>
      </c>
      <c r="AD633" s="21" t="str">
        <f aca="false">'Player Data'!Y633</f>
        <v>2026-07-17</v>
      </c>
      <c r="AE633" s="21" t="str">
        <f aca="false">'Player Data'!Z633</f>
        <v>2026-07-17</v>
      </c>
      <c r="AF633" s="28" t="str">
        <f aca="false">IFERROR(INDEX(Assumptions!$B$30:$B$61,MATCH(C633,Assumptions!$A$30:$A$61,0)),"--")</f>
        <v>Belgium, Portugal</v>
      </c>
      <c r="AG633" s="30" t="str">
        <f aca="false">IF(R633&gt;=0.7,"Step-Up Candidate",IF(R633&gt;=0.4,"Lateral Move","Stay &amp; Develop"))</f>
        <v>Step-Up Candidate</v>
      </c>
    </row>
    <row r="634" customFormat="false" ht="23.85" hidden="false" customHeight="false" outlineLevel="0" collapsed="false">
      <c r="A634" s="21" t="str">
        <f aca="false">'Player Data'!A634</f>
        <v>Karl Tamm</v>
      </c>
      <c r="B634" s="21" t="str">
        <f aca="false">'Player Data'!F634</f>
        <v>FW</v>
      </c>
      <c r="C634" s="21" t="str">
        <f aca="false">'Player Data'!B634</f>
        <v>Estonia</v>
      </c>
      <c r="D634" s="21" t="str">
        <f aca="false">'Player Data'!C634</f>
        <v>Estonia Third Tier - South</v>
      </c>
      <c r="E634" s="21" t="n">
        <f aca="false">'Player Data'!D634</f>
        <v>4</v>
      </c>
      <c r="F634" s="21" t="n">
        <f aca="false">'Player Data'!G634</f>
        <v>19</v>
      </c>
      <c r="G634" s="21" t="n">
        <f aca="false">'Player Data'!H634</f>
        <v>1220</v>
      </c>
      <c r="H634" s="22" t="n">
        <f aca="false">IF(B634="GK",IFERROR(('Player Data'!N634-1.5*'Player Data'!O634)/'Player Data'!H634*90,0),IFERROR(('Player Data'!I634+'Player Data'!J634)/'Player Data'!H634*90,0))</f>
        <v>1.18032786885246</v>
      </c>
      <c r="I634" s="22" t="n">
        <f aca="false">IF(B634="GK",'Player Data'!P634,IFERROR(('Player Data'!K634+'Player Data'!L634)/'Player Data'!H634*90,0))</f>
        <v>9.22131147540984</v>
      </c>
      <c r="J634" s="22" t="n">
        <f aca="false">IF(B634="GK",IFERROR('Player Data'!Q634/'Player Data'!H634*90,0),IFERROR('Player Data'!M634/'Player Data'!H634*90,0))</f>
        <v>0.295081967213115</v>
      </c>
      <c r="K634" s="23" t="n">
        <f aca="false">'Player Data'!S634</f>
        <v>118237</v>
      </c>
      <c r="L634" s="22" t="n">
        <f aca="false">INDEX(Assumptions!$B$13:$B$15,MATCH(E634,Assumptions!$A$13:$A$15,0))</f>
        <v>0.7</v>
      </c>
      <c r="M634" s="24" t="n">
        <f aca="false">IFERROR(SUMPRODUCT(($B$2:$B$1001=B634)*($H$2:$H$1001&lt;=H634))/SUMPRODUCT(($B$2:$B$1001=B634)*1),0)</f>
        <v>0.68141592920354</v>
      </c>
      <c r="N634" s="24" t="n">
        <f aca="false">IFERROR(SUMPRODUCT(($B$2:$B$1001=B634)*($I$2:$I$1001&lt;=I634))/SUMPRODUCT(($B$2:$B$1001=B634)*1),0)</f>
        <v>0.787610619469027</v>
      </c>
      <c r="O634" s="24" t="n">
        <f aca="false">IFERROR(SUMPRODUCT(($B$2:$B$1001=B634)*($J$2:$J$1001&lt;=J634))/SUMPRODUCT(($B$2:$B$1001=B634)*1),0)</f>
        <v>0.168141592920354</v>
      </c>
      <c r="P634" s="24" t="n">
        <f aca="false">IFERROR(SUMPRODUCT(($B$2:$B$1001=B634)*((0-$F$2:$F$1001)&lt;=(0-F634)))/SUMPRODUCT(($B$2:$B$1001=B634)*1),0)</f>
        <v>0.831858407079646</v>
      </c>
      <c r="Q634" s="25" t="n">
        <f aca="false">(M634*Assumptions!$B$5+N634*Assumptions!$B$6+O634*Assumptions!$B$7+P634*Assumptions!$B$8)*L634</f>
        <v>0.452212389380531</v>
      </c>
      <c r="R634" s="24" t="n">
        <f aca="false">IFERROR(SUMPRODUCT(($B$2:$B$1001=B634)*($Q$2:$Q$1001&lt;=Q634))/SUMPRODUCT(($B$2:$B$1001=B634)*1),0)</f>
        <v>0.513274336283186</v>
      </c>
      <c r="S634" s="24" t="n">
        <f aca="false">IFERROR(SUMPRODUCT(($B$2:$B$1001=B634)*($K$2:$K$1001&lt;=K634))/SUMPRODUCT(($B$2:$B$1001=B634)*1),0)</f>
        <v>0.823008849557522</v>
      </c>
      <c r="T634" s="26" t="n">
        <f aca="false">(R634-S634)*100</f>
        <v>-30.9734513274336</v>
      </c>
      <c r="U634" s="21" t="str">
        <f aca="false">'Player Data'!T634</f>
        <v>Yes</v>
      </c>
      <c r="V634" s="27" t="n">
        <f aca="false">'Player Data'!U634</f>
        <v>2026</v>
      </c>
      <c r="W634" s="21" t="str">
        <f aca="false">IF(AND(T634&gt;=Assumptions!$B$19,U634="No"),"High Priority - Unrepresented",IF(T634&gt;=Assumptions!$B$19,"High Priority",IF(AND(T634&gt;=Assumptions!$B$20,U634="No"),"Watchlist - Unrepresented",IF(T634&gt;=Assumptions!$B$20,"Watchlist",""))))</f>
        <v/>
      </c>
      <c r="X634" s="21" t="str">
        <f aca="false">'Player Data'!V634</f>
        <v>info@tartusc.ee</v>
      </c>
      <c r="Y634" s="28" t="str">
        <f aca="false">'Player Data'!W634</f>
        <v>Go through the player's agent - ask the club to confirm representation first</v>
      </c>
      <c r="Z634" s="28" t="str">
        <f aca="false">'Player Data'!X634</f>
        <v>EJL (Estonian Football Association) player registry</v>
      </c>
      <c r="AA634" s="19" t="str">
        <f aca="false">HYPERLINK("https://www.transfermarkt.com/schnellsuche/ergebnis/schnellsuche?query="&amp;SUBSTITUTE(A634," ","+"),"Search Transfermarkt")</f>
        <v>Search Transfermarkt</v>
      </c>
      <c r="AB634" s="29" t="n">
        <f aca="false">IFERROR('Player Data'!K634/('Player Data'!K634+'Player Data'!L634),0)</f>
        <v>0.352</v>
      </c>
      <c r="AC634" s="21" t="str">
        <f aca="false">IF(B634="GK",IF(AND(O634&gt;=Assumptions!$B$23,N634&gt;=Assumptions!$B$23),"Sweeper-Keeper / Build-from-the-Back",IF(O634&gt;=Assumptions!$B$23,"Sweeper-Keeper / High Line",IF(M634&gt;=Assumptions!$B$23,"Shot-Stopper / Traditional","Flexible / Multi-System"))),IF(AND(O634&gt;=Assumptions!$B$23,P634&gt;=Assumptions!$B$24),"High Press / Gegenpressing",IF(AND(N634&gt;=Assumptions!$B$23,AB634&gt;=Assumptions!$B$25),"Possession / Build-from-the-Back",IF(N634&gt;=Assumptions!$B$23,"Counter-Attack / Transition",IF(AND(O634&gt;=Assumptions!$B$23,N634&lt;Assumptions!$B$26),"Low Block / Park the Bus",IF(AND(B634="FW",M634&gt;=Assumptions!$B$23,N634&lt;Assumptions!$B$26),"Direct / Target Approach","Flexible / Multi-System"))))))</f>
        <v>Counter-Attack / Transition</v>
      </c>
      <c r="AD634" s="21" t="str">
        <f aca="false">'Player Data'!Y634</f>
        <v>2026-07-17</v>
      </c>
      <c r="AE634" s="21" t="str">
        <f aca="false">'Player Data'!Z634</f>
        <v>2026-07-17</v>
      </c>
      <c r="AF634" s="28" t="str">
        <f aca="false">IFERROR(INDEX(Assumptions!$B$30:$B$61,MATCH(C634,Assumptions!$A$30:$A$61,0)),"--")</f>
        <v>Poland, Norway</v>
      </c>
      <c r="AG634" s="30" t="str">
        <f aca="false">IF(R634&gt;=0.7,"Step-Up Candidate",IF(R634&gt;=0.4,"Lateral Move","Stay &amp; Develop"))</f>
        <v>Lateral Move</v>
      </c>
    </row>
    <row r="635" customFormat="false" ht="23.85" hidden="false" customHeight="false" outlineLevel="0" collapsed="false">
      <c r="A635" s="21" t="str">
        <f aca="false">'Player Data'!A635</f>
        <v>Yuto Sato</v>
      </c>
      <c r="B635" s="21" t="str">
        <f aca="false">'Player Data'!F635</f>
        <v>FW</v>
      </c>
      <c r="C635" s="21" t="str">
        <f aca="false">'Player Data'!B635</f>
        <v>Japan</v>
      </c>
      <c r="D635" s="21" t="str">
        <f aca="false">'Player Data'!C635</f>
        <v>Japan Second Division - West</v>
      </c>
      <c r="E635" s="21" t="n">
        <f aca="false">'Player Data'!D635</f>
        <v>2</v>
      </c>
      <c r="F635" s="21" t="n">
        <f aca="false">'Player Data'!G635</f>
        <v>17</v>
      </c>
      <c r="G635" s="21" t="n">
        <f aca="false">'Player Data'!H635</f>
        <v>1178</v>
      </c>
      <c r="H635" s="22" t="n">
        <f aca="false">IF(B635="GK",IFERROR(('Player Data'!N635-1.5*'Player Data'!O635)/'Player Data'!H635*90,0),IFERROR(('Player Data'!I635+'Player Data'!J635)/'Player Data'!H635*90,0))</f>
        <v>1.45161290322581</v>
      </c>
      <c r="I635" s="22" t="n">
        <f aca="false">IF(B635="GK",'Player Data'!P635,IFERROR(('Player Data'!K635+'Player Data'!L635)/'Player Data'!H635*90,0))</f>
        <v>10.3904923599321</v>
      </c>
      <c r="J635" s="22" t="n">
        <f aca="false">IF(B635="GK",IFERROR('Player Data'!Q635/'Player Data'!H635*90,0),IFERROR('Player Data'!M635/'Player Data'!H635*90,0))</f>
        <v>0.382003395585739</v>
      </c>
      <c r="K635" s="23" t="n">
        <f aca="false">'Player Data'!S635</f>
        <v>0</v>
      </c>
      <c r="L635" s="22" t="n">
        <f aca="false">INDEX(Assumptions!$B$13:$B$15,MATCH(E635,Assumptions!$A$13:$A$15,0))</f>
        <v>1</v>
      </c>
      <c r="M635" s="24" t="n">
        <f aca="false">IFERROR(SUMPRODUCT(($B$2:$B$1001=B635)*($H$2:$H$1001&lt;=H635))/SUMPRODUCT(($B$2:$B$1001=B635)*1),0)</f>
        <v>0.814159292035398</v>
      </c>
      <c r="N635" s="24" t="n">
        <f aca="false">IFERROR(SUMPRODUCT(($B$2:$B$1001=B635)*($I$2:$I$1001&lt;=I635))/SUMPRODUCT(($B$2:$B$1001=B635)*1),0)</f>
        <v>0.849557522123894</v>
      </c>
      <c r="O635" s="24" t="n">
        <f aca="false">IFERROR(SUMPRODUCT(($B$2:$B$1001=B635)*($J$2:$J$1001&lt;=J635))/SUMPRODUCT(($B$2:$B$1001=B635)*1),0)</f>
        <v>0.323008849557522</v>
      </c>
      <c r="P635" s="24" t="n">
        <f aca="false">IFERROR(SUMPRODUCT(($B$2:$B$1001=B635)*((0-$F$2:$F$1001)&lt;=(0-F635)))/SUMPRODUCT(($B$2:$B$1001=B635)*1),0)</f>
        <v>1</v>
      </c>
      <c r="Q635" s="25" t="n">
        <f aca="false">(M635*Assumptions!$B$5+N635*Assumptions!$B$6+O635*Assumptions!$B$7+P635*Assumptions!$B$8)*L635</f>
        <v>0.765486725663717</v>
      </c>
      <c r="R635" s="24" t="n">
        <f aca="false">IFERROR(SUMPRODUCT(($B$2:$B$1001=B635)*($Q$2:$Q$1001&lt;=Q635))/SUMPRODUCT(($B$2:$B$1001=B635)*1),0)</f>
        <v>0.915929203539823</v>
      </c>
      <c r="S635" s="24" t="n">
        <f aca="false">IFERROR(SUMPRODUCT(($B$2:$B$1001=B635)*($K$2:$K$1001&lt;=K635))/SUMPRODUCT(($B$2:$B$1001=B635)*1),0)</f>
        <v>0.261061946902655</v>
      </c>
      <c r="T635" s="26" t="n">
        <f aca="false">(R635-S635)*100</f>
        <v>65.4867256637168</v>
      </c>
      <c r="U635" s="21" t="str">
        <f aca="false">'Player Data'!T635</f>
        <v>Unknown</v>
      </c>
      <c r="V635" s="27" t="n">
        <f aca="false">'Player Data'!U635</f>
        <v>2027</v>
      </c>
      <c r="W635" s="21" t="str">
        <f aca="false">IF(AND(T635&gt;=Assumptions!$B$19,U635="No"),"High Priority - Unrepresented",IF(T635&gt;=Assumptions!$B$19,"High Priority",IF(AND(T635&gt;=Assumptions!$B$20,U635="No"),"Watchlist - Unrepresented",IF(T635&gt;=Assumptions!$B$20,"Watchlist",""))))</f>
        <v>High Priority</v>
      </c>
      <c r="X635" s="21" t="str">
        <f aca="false">'Player Data'!V635</f>
        <v>info@fukuokarangers.jp</v>
      </c>
      <c r="Y635" s="28" t="str">
        <f aca="false">'Player Data'!W635</f>
        <v>Club youth/academy office ONLY - player is a minor, do not contact directly</v>
      </c>
      <c r="Z635" s="28" t="str">
        <f aca="false">'Player Data'!X635</f>
        <v>JFA (Japan Football Association) player registry</v>
      </c>
      <c r="AA635" s="19" t="str">
        <f aca="false">HYPERLINK("https://www.transfermarkt.com/schnellsuche/ergebnis/schnellsuche?query="&amp;SUBSTITUTE(A635," ","+"),"Search Transfermarkt")</f>
        <v>Search Transfermarkt</v>
      </c>
      <c r="AB635" s="29" t="n">
        <f aca="false">IFERROR('Player Data'!K635/('Player Data'!K635+'Player Data'!L635),0)</f>
        <v>0.389705882352941</v>
      </c>
      <c r="AC635" s="21" t="str">
        <f aca="false">IF(B635="GK",IF(AND(O635&gt;=Assumptions!$B$23,N635&gt;=Assumptions!$B$23),"Sweeper-Keeper / Build-from-the-Back",IF(O635&gt;=Assumptions!$B$23,"Sweeper-Keeper / High Line",IF(M635&gt;=Assumptions!$B$23,"Shot-Stopper / Traditional","Flexible / Multi-System"))),IF(AND(O635&gt;=Assumptions!$B$23,P635&gt;=Assumptions!$B$24),"High Press / Gegenpressing",IF(AND(N635&gt;=Assumptions!$B$23,AB635&gt;=Assumptions!$B$25),"Possession / Build-from-the-Back",IF(N635&gt;=Assumptions!$B$23,"Counter-Attack / Transition",IF(AND(O635&gt;=Assumptions!$B$23,N635&lt;Assumptions!$B$26),"Low Block / Park the Bus",IF(AND(B635="FW",M635&gt;=Assumptions!$B$23,N635&lt;Assumptions!$B$26),"Direct / Target Approach","Flexible / Multi-System"))))))</f>
        <v>Counter-Attack / Transition</v>
      </c>
      <c r="AD635" s="21" t="str">
        <f aca="false">'Player Data'!Y635</f>
        <v>2026-07-17</v>
      </c>
      <c r="AE635" s="21" t="str">
        <f aca="false">'Player Data'!Z635</f>
        <v>2026-07-17</v>
      </c>
      <c r="AF635" s="28" t="str">
        <f aca="false">IFERROR(INDEX(Assumptions!$B$30:$B$61,MATCH(C635,Assumptions!$A$30:$A$61,0)),"--")</f>
        <v>Belgium, Australia</v>
      </c>
      <c r="AG635" s="30" t="str">
        <f aca="false">IF(R635&gt;=0.7,"Step-Up Candidate",IF(R635&gt;=0.4,"Lateral Move","Stay &amp; Develop"))</f>
        <v>Step-Up Candidate</v>
      </c>
    </row>
    <row r="636" customFormat="false" ht="23.85" hidden="false" customHeight="false" outlineLevel="0" collapsed="false">
      <c r="A636" s="21" t="str">
        <f aca="false">'Player Data'!A636</f>
        <v>Kaito Tanaka</v>
      </c>
      <c r="B636" s="21" t="str">
        <f aca="false">'Player Data'!F636</f>
        <v>MF</v>
      </c>
      <c r="C636" s="21" t="str">
        <f aca="false">'Player Data'!B636</f>
        <v>Japan</v>
      </c>
      <c r="D636" s="21" t="str">
        <f aca="false">'Player Data'!C636</f>
        <v>Japan Second Division - East</v>
      </c>
      <c r="E636" s="21" t="n">
        <f aca="false">'Player Data'!D636</f>
        <v>2</v>
      </c>
      <c r="F636" s="21" t="n">
        <f aca="false">'Player Data'!G636</f>
        <v>21</v>
      </c>
      <c r="G636" s="21" t="n">
        <f aca="false">'Player Data'!H636</f>
        <v>1269</v>
      </c>
      <c r="H636" s="22" t="n">
        <f aca="false">IF(B636="GK",IFERROR(('Player Data'!N636-1.5*'Player Data'!O636)/'Player Data'!H636*90,0),IFERROR(('Player Data'!I636+'Player Data'!J636)/'Player Data'!H636*90,0))</f>
        <v>1.70212765957447</v>
      </c>
      <c r="I636" s="22" t="n">
        <f aca="false">IF(B636="GK",'Player Data'!P636,IFERROR(('Player Data'!K636+'Player Data'!L636)/'Player Data'!H636*90,0))</f>
        <v>14.113475177305</v>
      </c>
      <c r="J636" s="22" t="n">
        <f aca="false">IF(B636="GK",IFERROR('Player Data'!Q636/'Player Data'!H636*90,0),IFERROR('Player Data'!M636/'Player Data'!H636*90,0))</f>
        <v>3.40425531914894</v>
      </c>
      <c r="K636" s="23" t="n">
        <f aca="false">'Player Data'!S636</f>
        <v>48854</v>
      </c>
      <c r="L636" s="22" t="n">
        <f aca="false">INDEX(Assumptions!$B$13:$B$15,MATCH(E636,Assumptions!$A$13:$A$15,0))</f>
        <v>1</v>
      </c>
      <c r="M636" s="24" t="n">
        <f aca="false">IFERROR(SUMPRODUCT(($B$2:$B$1001=B636)*($H$2:$H$1001&lt;=H636))/SUMPRODUCT(($B$2:$B$1001=B636)*1),0)</f>
        <v>0.973063973063973</v>
      </c>
      <c r="N636" s="24" t="n">
        <f aca="false">IFERROR(SUMPRODUCT(($B$2:$B$1001=B636)*($I$2:$I$1001&lt;=I636))/SUMPRODUCT(($B$2:$B$1001=B636)*1),0)</f>
        <v>0.717171717171717</v>
      </c>
      <c r="O636" s="24" t="n">
        <f aca="false">IFERROR(SUMPRODUCT(($B$2:$B$1001=B636)*($J$2:$J$1001&lt;=J636))/SUMPRODUCT(($B$2:$B$1001=B636)*1),0)</f>
        <v>0.835016835016835</v>
      </c>
      <c r="P636" s="24" t="n">
        <f aca="false">IFERROR(SUMPRODUCT(($B$2:$B$1001=B636)*((0-$F$2:$F$1001)&lt;=(0-F636)))/SUMPRODUCT(($B$2:$B$1001=B636)*1),0)</f>
        <v>0.61952861952862</v>
      </c>
      <c r="Q636" s="25" t="n">
        <f aca="false">(M636*Assumptions!$B$5+N636*Assumptions!$B$6+O636*Assumptions!$B$7+P636*Assumptions!$B$8)*L636</f>
        <v>0.785185185185185</v>
      </c>
      <c r="R636" s="24" t="n">
        <f aca="false">IFERROR(SUMPRODUCT(($B$2:$B$1001=B636)*($Q$2:$Q$1001&lt;=Q636))/SUMPRODUCT(($B$2:$B$1001=B636)*1),0)</f>
        <v>0.942760942760943</v>
      </c>
      <c r="S636" s="24" t="n">
        <f aca="false">IFERROR(SUMPRODUCT(($B$2:$B$1001=B636)*($K$2:$K$1001&lt;=K636))/SUMPRODUCT(($B$2:$B$1001=B636)*1),0)</f>
        <v>0.444444444444444</v>
      </c>
      <c r="T636" s="26" t="n">
        <f aca="false">(R636-S636)*100</f>
        <v>49.8316498316498</v>
      </c>
      <c r="U636" s="21" t="str">
        <f aca="false">'Player Data'!T636</f>
        <v>Yes</v>
      </c>
      <c r="V636" s="27" t="n">
        <f aca="false">'Player Data'!U636</f>
        <v>2028</v>
      </c>
      <c r="W636" s="21" t="str">
        <f aca="false">IF(AND(T636&gt;=Assumptions!$B$19,U636="No"),"High Priority - Unrepresented",IF(T636&gt;=Assumptions!$B$19,"High Priority",IF(AND(T636&gt;=Assumptions!$B$20,U636="No"),"Watchlist - Unrepresented",IF(T636&gt;=Assumptions!$B$20,"Watchlist",""))))</f>
        <v>High Priority</v>
      </c>
      <c r="X636" s="21" t="str">
        <f aca="false">'Player Data'!V636</f>
        <v>info@nagoyacity.jp</v>
      </c>
      <c r="Y636" s="28" t="str">
        <f aca="false">'Player Data'!W636</f>
        <v>Go through the player's agent - ask the club to confirm representation first</v>
      </c>
      <c r="Z636" s="28" t="str">
        <f aca="false">'Player Data'!X636</f>
        <v>JFA (Japan Football Association) player registry</v>
      </c>
      <c r="AA636" s="19" t="str">
        <f aca="false">HYPERLINK("https://www.transfermarkt.com/schnellsuche/ergebnis/schnellsuche?query="&amp;SUBSTITUTE(A636," ","+"),"Search Transfermarkt")</f>
        <v>Search Transfermarkt</v>
      </c>
      <c r="AB636" s="29" t="n">
        <f aca="false">IFERROR('Player Data'!K636/('Player Data'!K636+'Player Data'!L636),0)</f>
        <v>0.663316582914573</v>
      </c>
      <c r="AC636" s="21" t="str">
        <f aca="false">IF(B636="GK",IF(AND(O636&gt;=Assumptions!$B$23,N636&gt;=Assumptions!$B$23),"Sweeper-Keeper / Build-from-the-Back",IF(O636&gt;=Assumptions!$B$23,"Sweeper-Keeper / High Line",IF(M636&gt;=Assumptions!$B$23,"Shot-Stopper / Traditional","Flexible / Multi-System"))),IF(AND(O636&gt;=Assumptions!$B$23,P636&gt;=Assumptions!$B$24),"High Press / Gegenpressing",IF(AND(N636&gt;=Assumptions!$B$23,AB636&gt;=Assumptions!$B$25),"Possession / Build-from-the-Back",IF(N636&gt;=Assumptions!$B$23,"Counter-Attack / Transition",IF(AND(O636&gt;=Assumptions!$B$23,N636&lt;Assumptions!$B$26),"Low Block / Park the Bus",IF(AND(B636="FW",M636&gt;=Assumptions!$B$23,N636&lt;Assumptions!$B$26),"Direct / Target Approach","Flexible / Multi-System"))))))</f>
        <v>High Press / Gegenpressing</v>
      </c>
      <c r="AD636" s="21" t="str">
        <f aca="false">'Player Data'!Y636</f>
        <v>2026-07-17</v>
      </c>
      <c r="AE636" s="21" t="str">
        <f aca="false">'Player Data'!Z636</f>
        <v>2026-07-17</v>
      </c>
      <c r="AF636" s="28" t="str">
        <f aca="false">IFERROR(INDEX(Assumptions!$B$30:$B$61,MATCH(C636,Assumptions!$A$30:$A$61,0)),"--")</f>
        <v>Belgium, Australia</v>
      </c>
      <c r="AG636" s="30" t="str">
        <f aca="false">IF(R636&gt;=0.7,"Step-Up Candidate",IF(R636&gt;=0.4,"Lateral Move","Stay &amp; Develop"))</f>
        <v>Step-Up Candidate</v>
      </c>
    </row>
    <row r="637" customFormat="false" ht="23.85" hidden="false" customHeight="false" outlineLevel="0" collapsed="false">
      <c r="A637" s="21" t="str">
        <f aca="false">'Player Data'!A637</f>
        <v>Milos Nikolic</v>
      </c>
      <c r="B637" s="21" t="str">
        <f aca="false">'Player Data'!F637</f>
        <v>MF</v>
      </c>
      <c r="C637" s="21" t="str">
        <f aca="false">'Player Data'!B637</f>
        <v>Serbia</v>
      </c>
      <c r="D637" s="21" t="str">
        <f aca="false">'Player Data'!C637</f>
        <v>Serbia Third Tier - South</v>
      </c>
      <c r="E637" s="21" t="n">
        <f aca="false">'Player Data'!D637</f>
        <v>4</v>
      </c>
      <c r="F637" s="21" t="n">
        <f aca="false">'Player Data'!G637</f>
        <v>22</v>
      </c>
      <c r="G637" s="21" t="n">
        <f aca="false">'Player Data'!H637</f>
        <v>1070</v>
      </c>
      <c r="H637" s="22" t="n">
        <f aca="false">IF(B637="GK",IFERROR(('Player Data'!N637-1.5*'Player Data'!O637)/'Player Data'!H637*90,0),IFERROR(('Player Data'!I637+'Player Data'!J637)/'Player Data'!H637*90,0))</f>
        <v>0.925233644859813</v>
      </c>
      <c r="I637" s="22" t="n">
        <f aca="false">IF(B637="GK",'Player Data'!P637,IFERROR(('Player Data'!K637+'Player Data'!L637)/'Player Data'!H637*90,0))</f>
        <v>18.3364485981308</v>
      </c>
      <c r="J637" s="22" t="n">
        <f aca="false">IF(B637="GK",IFERROR('Player Data'!Q637/'Player Data'!H637*90,0),IFERROR('Player Data'!M637/'Player Data'!H637*90,0))</f>
        <v>2.85981308411215</v>
      </c>
      <c r="K637" s="23" t="n">
        <f aca="false">'Player Data'!S637</f>
        <v>78787</v>
      </c>
      <c r="L637" s="22" t="n">
        <f aca="false">INDEX(Assumptions!$B$13:$B$15,MATCH(E637,Assumptions!$A$13:$A$15,0))</f>
        <v>0.7</v>
      </c>
      <c r="M637" s="24" t="n">
        <f aca="false">IFERROR(SUMPRODUCT(($B$2:$B$1001=B637)*($H$2:$H$1001&lt;=H637))/SUMPRODUCT(($B$2:$B$1001=B637)*1),0)</f>
        <v>0.707070707070707</v>
      </c>
      <c r="N637" s="24" t="n">
        <f aca="false">IFERROR(SUMPRODUCT(($B$2:$B$1001=B637)*($I$2:$I$1001&lt;=I637))/SUMPRODUCT(($B$2:$B$1001=B637)*1),0)</f>
        <v>0.865319865319865</v>
      </c>
      <c r="O637" s="24" t="n">
        <f aca="false">IFERROR(SUMPRODUCT(($B$2:$B$1001=B637)*($J$2:$J$1001&lt;=J637))/SUMPRODUCT(($B$2:$B$1001=B637)*1),0)</f>
        <v>0.757575757575758</v>
      </c>
      <c r="P637" s="24" t="n">
        <f aca="false">IFERROR(SUMPRODUCT(($B$2:$B$1001=B637)*((0-$F$2:$F$1001)&lt;=(0-F637)))/SUMPRODUCT(($B$2:$B$1001=B637)*1),0)</f>
        <v>0.515151515151515</v>
      </c>
      <c r="Q637" s="25" t="n">
        <f aca="false">(M637*Assumptions!$B$5+N637*Assumptions!$B$6+O637*Assumptions!$B$7+P637*Assumptions!$B$8)*L637</f>
        <v>0.513922558922559</v>
      </c>
      <c r="R637" s="24" t="n">
        <f aca="false">IFERROR(SUMPRODUCT(($B$2:$B$1001=B637)*($Q$2:$Q$1001&lt;=Q637))/SUMPRODUCT(($B$2:$B$1001=B637)*1),0)</f>
        <v>0.63973063973064</v>
      </c>
      <c r="S637" s="24" t="n">
        <f aca="false">IFERROR(SUMPRODUCT(($B$2:$B$1001=B637)*($K$2:$K$1001&lt;=K637))/SUMPRODUCT(($B$2:$B$1001=B637)*1),0)</f>
        <v>0.626262626262626</v>
      </c>
      <c r="T637" s="26" t="n">
        <f aca="false">(R637-S637)*100</f>
        <v>1.34680134680134</v>
      </c>
      <c r="U637" s="21" t="str">
        <f aca="false">'Player Data'!T637</f>
        <v>Unknown</v>
      </c>
      <c r="V637" s="27" t="n">
        <f aca="false">'Player Data'!U637</f>
        <v>2029</v>
      </c>
      <c r="W637" s="21" t="str">
        <f aca="false">IF(AND(T637&gt;=Assumptions!$B$19,U637="No"),"High Priority - Unrepresented",IF(T637&gt;=Assumptions!$B$19,"High Priority",IF(AND(T637&gt;=Assumptions!$B$20,U637="No"),"Watchlist - Unrepresented",IF(T637&gt;=Assumptions!$B$20,"Watchlist",""))))</f>
        <v/>
      </c>
      <c r="X637" s="21" t="str">
        <f aca="false">'Player Data'!V637</f>
        <v>info@nistown.rs</v>
      </c>
      <c r="Y637" s="28" t="str">
        <f aca="false">'Player Data'!W637</f>
        <v>Club sporting director / first-team office</v>
      </c>
      <c r="Z637" s="28" t="str">
        <f aca="false">'Player Data'!X637</f>
        <v>FSS (Football Association of Serbia) player registry</v>
      </c>
      <c r="AA637" s="19" t="str">
        <f aca="false">HYPERLINK("https://www.transfermarkt.com/schnellsuche/ergebnis/schnellsuche?query="&amp;SUBSTITUTE(A637," ","+"),"Search Transfermarkt")</f>
        <v>Search Transfermarkt</v>
      </c>
      <c r="AB637" s="29" t="n">
        <f aca="false">IFERROR('Player Data'!K637/('Player Data'!K637+'Player Data'!L637),0)</f>
        <v>0.724770642201835</v>
      </c>
      <c r="AC637" s="21" t="str">
        <f aca="false">IF(B637="GK",IF(AND(O637&gt;=Assumptions!$B$23,N637&gt;=Assumptions!$B$23),"Sweeper-Keeper / Build-from-the-Back",IF(O637&gt;=Assumptions!$B$23,"Sweeper-Keeper / High Line",IF(M637&gt;=Assumptions!$B$23,"Shot-Stopper / Traditional","Flexible / Multi-System"))),IF(AND(O637&gt;=Assumptions!$B$23,P637&gt;=Assumptions!$B$24),"High Press / Gegenpressing",IF(AND(N637&gt;=Assumptions!$B$23,AB637&gt;=Assumptions!$B$25),"Possession / Build-from-the-Back",IF(N637&gt;=Assumptions!$B$23,"Counter-Attack / Transition",IF(AND(O637&gt;=Assumptions!$B$23,N637&lt;Assumptions!$B$26),"Low Block / Park the Bus",IF(AND(B637="FW",M637&gt;=Assumptions!$B$23,N637&lt;Assumptions!$B$26),"Direct / Target Approach","Flexible / Multi-System"))))))</f>
        <v>Possession / Build-from-the-Back</v>
      </c>
      <c r="AD637" s="21" t="str">
        <f aca="false">'Player Data'!Y637</f>
        <v>2026-07-17</v>
      </c>
      <c r="AE637" s="21" t="str">
        <f aca="false">'Player Data'!Z637</f>
        <v>2026-07-17</v>
      </c>
      <c r="AF637" s="28" t="str">
        <f aca="false">IFERROR(INDEX(Assumptions!$B$30:$B$61,MATCH(C637,Assumptions!$A$30:$A$61,0)),"--")</f>
        <v>Austria, Turkey</v>
      </c>
      <c r="AG637" s="30" t="str">
        <f aca="false">IF(R637&gt;=0.7,"Step-Up Candidate",IF(R637&gt;=0.4,"Lateral Move","Stay &amp; Develop"))</f>
        <v>Lateral Move</v>
      </c>
    </row>
    <row r="638" customFormat="false" ht="23.85" hidden="false" customHeight="false" outlineLevel="0" collapsed="false">
      <c r="A638" s="21" t="str">
        <f aca="false">'Player Data'!A638</f>
        <v>Facundo Silva</v>
      </c>
      <c r="B638" s="21" t="str">
        <f aca="false">'Player Data'!F638</f>
        <v>DF</v>
      </c>
      <c r="C638" s="21" t="str">
        <f aca="false">'Player Data'!B638</f>
        <v>Uruguay</v>
      </c>
      <c r="D638" s="21" t="str">
        <f aca="false">'Player Data'!C638</f>
        <v>Uruguay Amateur League</v>
      </c>
      <c r="E638" s="21" t="n">
        <f aca="false">'Player Data'!D638</f>
        <v>3</v>
      </c>
      <c r="F638" s="21" t="n">
        <f aca="false">'Player Data'!G638</f>
        <v>18</v>
      </c>
      <c r="G638" s="21" t="n">
        <f aca="false">'Player Data'!H638</f>
        <v>1447</v>
      </c>
      <c r="H638" s="22" t="n">
        <f aca="false">IF(B638="GK",IFERROR(('Player Data'!N638-1.5*'Player Data'!O638)/'Player Data'!H638*90,0),IFERROR(('Player Data'!I638+'Player Data'!J638)/'Player Data'!H638*90,0))</f>
        <v>0.310988251554941</v>
      </c>
      <c r="I638" s="22" t="n">
        <f aca="false">IF(B638="GK",'Player Data'!P638,IFERROR(('Player Data'!K638+'Player Data'!L638)/'Player Data'!H638*90,0))</f>
        <v>4.66482377332412</v>
      </c>
      <c r="J638" s="22" t="n">
        <f aca="false">IF(B638="GK",IFERROR('Player Data'!Q638/'Player Data'!H638*90,0),IFERROR('Player Data'!M638/'Player Data'!H638*90,0))</f>
        <v>5.8465791292329</v>
      </c>
      <c r="K638" s="23" t="n">
        <f aca="false">'Player Data'!S638</f>
        <v>0</v>
      </c>
      <c r="L638" s="22" t="n">
        <f aca="false">INDEX(Assumptions!$B$13:$B$15,MATCH(E638,Assumptions!$A$13:$A$15,0))</f>
        <v>0.85</v>
      </c>
      <c r="M638" s="24" t="n">
        <f aca="false">IFERROR(SUMPRODUCT(($B$2:$B$1001=B638)*($H$2:$H$1001&lt;=H638))/SUMPRODUCT(($B$2:$B$1001=B638)*1),0)</f>
        <v>0.795918367346939</v>
      </c>
      <c r="N638" s="24" t="n">
        <f aca="false">IFERROR(SUMPRODUCT(($B$2:$B$1001=B638)*($I$2:$I$1001&lt;=I638))/SUMPRODUCT(($B$2:$B$1001=B638)*1),0)</f>
        <v>0.547619047619048</v>
      </c>
      <c r="O638" s="24" t="n">
        <f aca="false">IFERROR(SUMPRODUCT(($B$2:$B$1001=B638)*($J$2:$J$1001&lt;=J638))/SUMPRODUCT(($B$2:$B$1001=B638)*1),0)</f>
        <v>0.58843537414966</v>
      </c>
      <c r="P638" s="24" t="n">
        <f aca="false">IFERROR(SUMPRODUCT(($B$2:$B$1001=B638)*((0-$F$2:$F$1001)&lt;=(0-F638)))/SUMPRODUCT(($B$2:$B$1001=B638)*1),0)</f>
        <v>0.863945578231293</v>
      </c>
      <c r="Q638" s="25" t="n">
        <f aca="false">(M638*Assumptions!$B$5+N638*Assumptions!$B$6+O638*Assumptions!$B$7+P638*Assumptions!$B$8)*L638</f>
        <v>0.578954081632653</v>
      </c>
      <c r="R638" s="24" t="n">
        <f aca="false">IFERROR(SUMPRODUCT(($B$2:$B$1001=B638)*($Q$2:$Q$1001&lt;=Q638))/SUMPRODUCT(($B$2:$B$1001=B638)*1),0)</f>
        <v>0.717687074829932</v>
      </c>
      <c r="S638" s="24" t="n">
        <f aca="false">IFERROR(SUMPRODUCT(($B$2:$B$1001=B638)*($K$2:$K$1001&lt;=K638))/SUMPRODUCT(($B$2:$B$1001=B638)*1),0)</f>
        <v>0.248299319727891</v>
      </c>
      <c r="T638" s="26" t="n">
        <f aca="false">(R638-S638)*100</f>
        <v>46.9387755102041</v>
      </c>
      <c r="U638" s="21" t="str">
        <f aca="false">'Player Data'!T638</f>
        <v>No</v>
      </c>
      <c r="V638" s="27" t="n">
        <f aca="false">'Player Data'!U638</f>
        <v>2028</v>
      </c>
      <c r="W638" s="21" t="str">
        <f aca="false">IF(AND(T638&gt;=Assumptions!$B$19,U638="No"),"High Priority - Unrepresented",IF(T638&gt;=Assumptions!$B$19,"High Priority",IF(AND(T638&gt;=Assumptions!$B$20,U638="No"),"Watchlist - Unrepresented",IF(T638&gt;=Assumptions!$B$20,"Watchlist",""))))</f>
        <v>High Priority - Unrepresented</v>
      </c>
      <c r="X638" s="21" t="str">
        <f aca="false">'Player Data'!V638</f>
        <v>info@paysanduunited.uy</v>
      </c>
      <c r="Y638" s="28" t="str">
        <f aca="false">'Player Data'!W638</f>
        <v>Club sporting director / first-team office</v>
      </c>
      <c r="Z638" s="28" t="str">
        <f aca="false">'Player Data'!X638</f>
        <v>AUF (Uruguayan Football Association) player registry</v>
      </c>
      <c r="AA638" s="19" t="str">
        <f aca="false">HYPERLINK("https://www.transfermarkt.com/schnellsuche/ergebnis/schnellsuche?query="&amp;SUBSTITUTE(A638," ","+"),"Search Transfermarkt")</f>
        <v>Search Transfermarkt</v>
      </c>
      <c r="AB638" s="29" t="n">
        <f aca="false">IFERROR('Player Data'!K638/('Player Data'!K638+'Player Data'!L638),0)</f>
        <v>0.72</v>
      </c>
      <c r="AC638" s="21" t="str">
        <f aca="false">IF(B638="GK",IF(AND(O638&gt;=Assumptions!$B$23,N638&gt;=Assumptions!$B$23),"Sweeper-Keeper / Build-from-the-Back",IF(O638&gt;=Assumptions!$B$23,"Sweeper-Keeper / High Line",IF(M638&gt;=Assumptions!$B$23,"Shot-Stopper / Traditional","Flexible / Multi-System"))),IF(AND(O638&gt;=Assumptions!$B$23,P638&gt;=Assumptions!$B$24),"High Press / Gegenpressing",IF(AND(N638&gt;=Assumptions!$B$23,AB638&gt;=Assumptions!$B$25),"Possession / Build-from-the-Back",IF(N638&gt;=Assumptions!$B$23,"Counter-Attack / Transition",IF(AND(O638&gt;=Assumptions!$B$23,N638&lt;Assumptions!$B$26),"Low Block / Park the Bus",IF(AND(B638="FW",M638&gt;=Assumptions!$B$23,N638&lt;Assumptions!$B$26),"Direct / Target Approach","Flexible / Multi-System"))))))</f>
        <v>Flexible / Multi-System</v>
      </c>
      <c r="AD638" s="21" t="str">
        <f aca="false">'Player Data'!Y638</f>
        <v>2026-07-17</v>
      </c>
      <c r="AE638" s="21" t="str">
        <f aca="false">'Player Data'!Z638</f>
        <v>2026-07-17</v>
      </c>
      <c r="AF638" s="28" t="str">
        <f aca="false">IFERROR(INDEX(Assumptions!$B$30:$B$61,MATCH(C638,Assumptions!$A$30:$A$61,0)),"--")</f>
        <v>Argentina, Portugal</v>
      </c>
      <c r="AG638" s="30" t="str">
        <f aca="false">IF(R638&gt;=0.7,"Step-Up Candidate",IF(R638&gt;=0.4,"Lateral Move","Stay &amp; Develop"))</f>
        <v>Step-Up Candidate</v>
      </c>
    </row>
    <row r="639" customFormat="false" ht="23.85" hidden="false" customHeight="false" outlineLevel="0" collapsed="false">
      <c r="A639" s="21" t="str">
        <f aca="false">'Player Data'!A639</f>
        <v>Aleksandar Petrovic</v>
      </c>
      <c r="B639" s="21" t="str">
        <f aca="false">'Player Data'!F639</f>
        <v>DF</v>
      </c>
      <c r="C639" s="21" t="str">
        <f aca="false">'Player Data'!B639</f>
        <v>Serbia</v>
      </c>
      <c r="D639" s="21" t="str">
        <f aca="false">'Player Data'!C639</f>
        <v>Serbia Amateur League</v>
      </c>
      <c r="E639" s="21" t="n">
        <f aca="false">'Player Data'!D639</f>
        <v>4</v>
      </c>
      <c r="F639" s="21" t="n">
        <f aca="false">'Player Data'!G639</f>
        <v>24</v>
      </c>
      <c r="G639" s="21" t="n">
        <f aca="false">'Player Data'!H639</f>
        <v>1009</v>
      </c>
      <c r="H639" s="22" t="n">
        <f aca="false">IF(B639="GK",IFERROR(('Player Data'!N639-1.5*'Player Data'!O639)/'Player Data'!H639*90,0),IFERROR(('Player Data'!I639+'Player Data'!J639)/'Player Data'!H639*90,0))</f>
        <v>0.178394449950446</v>
      </c>
      <c r="I639" s="22" t="n">
        <f aca="false">IF(B639="GK",'Player Data'!P639,IFERROR(('Player Data'!K639+'Player Data'!L639)/'Player Data'!H639*90,0))</f>
        <v>8.74132804757185</v>
      </c>
      <c r="J639" s="22" t="n">
        <f aca="false">IF(B639="GK",IFERROR('Player Data'!Q639/'Player Data'!H639*90,0),IFERROR('Player Data'!M639/'Player Data'!H639*90,0))</f>
        <v>9.54410307234886</v>
      </c>
      <c r="K639" s="23" t="n">
        <f aca="false">'Player Data'!S639</f>
        <v>135074</v>
      </c>
      <c r="L639" s="22" t="n">
        <f aca="false">INDEX(Assumptions!$B$13:$B$15,MATCH(E639,Assumptions!$A$13:$A$15,0))</f>
        <v>0.7</v>
      </c>
      <c r="M639" s="24" t="n">
        <f aca="false">IFERROR(SUMPRODUCT(($B$2:$B$1001=B639)*($H$2:$H$1001&lt;=H639))/SUMPRODUCT(($B$2:$B$1001=B639)*1),0)</f>
        <v>0.476190476190476</v>
      </c>
      <c r="N639" s="24" t="n">
        <f aca="false">IFERROR(SUMPRODUCT(($B$2:$B$1001=B639)*($I$2:$I$1001&lt;=I639))/SUMPRODUCT(($B$2:$B$1001=B639)*1),0)</f>
        <v>0.921768707482993</v>
      </c>
      <c r="O639" s="24" t="n">
        <f aca="false">IFERROR(SUMPRODUCT(($B$2:$B$1001=B639)*($J$2:$J$1001&lt;=J639))/SUMPRODUCT(($B$2:$B$1001=B639)*1),0)</f>
        <v>0.918367346938776</v>
      </c>
      <c r="P639" s="24" t="n">
        <f aca="false">IFERROR(SUMPRODUCT(($B$2:$B$1001=B639)*((0-$F$2:$F$1001)&lt;=(0-F639)))/SUMPRODUCT(($B$2:$B$1001=B639)*1),0)</f>
        <v>0.275510204081633</v>
      </c>
      <c r="Q639" s="25" t="n">
        <f aca="false">(M639*Assumptions!$B$5+N639*Assumptions!$B$6+O639*Assumptions!$B$7+P639*Assumptions!$B$8)*L639</f>
        <v>0.476309523809524</v>
      </c>
      <c r="R639" s="24" t="n">
        <f aca="false">IFERROR(SUMPRODUCT(($B$2:$B$1001=B639)*($Q$2:$Q$1001&lt;=Q639))/SUMPRODUCT(($B$2:$B$1001=B639)*1),0)</f>
        <v>0.605442176870748</v>
      </c>
      <c r="S639" s="24" t="n">
        <f aca="false">IFERROR(SUMPRODUCT(($B$2:$B$1001=B639)*($K$2:$K$1001&lt;=K639))/SUMPRODUCT(($B$2:$B$1001=B639)*1),0)</f>
        <v>0.928571428571429</v>
      </c>
      <c r="T639" s="26" t="n">
        <f aca="false">(R639-S639)*100</f>
        <v>-32.312925170068</v>
      </c>
      <c r="U639" s="21" t="str">
        <f aca="false">'Player Data'!T639</f>
        <v>Unknown</v>
      </c>
      <c r="V639" s="27" t="n">
        <f aca="false">'Player Data'!U639</f>
        <v>2029</v>
      </c>
      <c r="W639" s="21" t="str">
        <f aca="false">IF(AND(T639&gt;=Assumptions!$B$19,U639="No"),"High Priority - Unrepresented",IF(T639&gt;=Assumptions!$B$19,"High Priority",IF(AND(T639&gt;=Assumptions!$B$20,U639="No"),"Watchlist - Unrepresented",IF(T639&gt;=Assumptions!$B$20,"Watchlist",""))))</f>
        <v/>
      </c>
      <c r="X639" s="21" t="str">
        <f aca="false">'Player Data'!V639</f>
        <v>info@cacaktown.rs</v>
      </c>
      <c r="Y639" s="28" t="str">
        <f aca="false">'Player Data'!W639</f>
        <v>Club sporting director / first-team office</v>
      </c>
      <c r="Z639" s="28" t="str">
        <f aca="false">'Player Data'!X639</f>
        <v>FSS (Football Association of Serbia) player registry</v>
      </c>
      <c r="AA639" s="19" t="str">
        <f aca="false">HYPERLINK("https://www.transfermarkt.com/schnellsuche/ergebnis/schnellsuche?query="&amp;SUBSTITUTE(A639," ","+"),"Search Transfermarkt")</f>
        <v>Search Transfermarkt</v>
      </c>
      <c r="AB639" s="29" t="n">
        <f aca="false">IFERROR('Player Data'!K639/('Player Data'!K639+'Player Data'!L639),0)</f>
        <v>0.561224489795918</v>
      </c>
      <c r="AC639" s="21" t="str">
        <f aca="false">IF(B639="GK",IF(AND(O639&gt;=Assumptions!$B$23,N639&gt;=Assumptions!$B$23),"Sweeper-Keeper / Build-from-the-Back",IF(O639&gt;=Assumptions!$B$23,"Sweeper-Keeper / High Line",IF(M639&gt;=Assumptions!$B$23,"Shot-Stopper / Traditional","Flexible / Multi-System"))),IF(AND(O639&gt;=Assumptions!$B$23,P639&gt;=Assumptions!$B$24),"High Press / Gegenpressing",IF(AND(N639&gt;=Assumptions!$B$23,AB639&gt;=Assumptions!$B$25),"Possession / Build-from-the-Back",IF(N639&gt;=Assumptions!$B$23,"Counter-Attack / Transition",IF(AND(O639&gt;=Assumptions!$B$23,N639&lt;Assumptions!$B$26),"Low Block / Park the Bus",IF(AND(B639="FW",M639&gt;=Assumptions!$B$23,N639&lt;Assumptions!$B$26),"Direct / Target Approach","Flexible / Multi-System"))))))</f>
        <v>Counter-Attack / Transition</v>
      </c>
      <c r="AD639" s="21" t="str">
        <f aca="false">'Player Data'!Y639</f>
        <v>2026-07-17</v>
      </c>
      <c r="AE639" s="21" t="str">
        <f aca="false">'Player Data'!Z639</f>
        <v>2026-07-17</v>
      </c>
      <c r="AF639" s="28" t="str">
        <f aca="false">IFERROR(INDEX(Assumptions!$B$30:$B$61,MATCH(C639,Assumptions!$A$30:$A$61,0)),"--")</f>
        <v>Austria, Turkey</v>
      </c>
      <c r="AG639" s="30" t="str">
        <f aca="false">IF(R639&gt;=0.7,"Step-Up Candidate",IF(R639&gt;=0.4,"Lateral Move","Stay &amp; Develop"))</f>
        <v>Lateral Move</v>
      </c>
    </row>
    <row r="640" customFormat="false" ht="23.85" hidden="false" customHeight="false" outlineLevel="0" collapsed="false">
      <c r="A640" s="21" t="str">
        <f aca="false">'Player Data'!A640</f>
        <v>Callum Mitchell</v>
      </c>
      <c r="B640" s="21" t="str">
        <f aca="false">'Player Data'!F640</f>
        <v>DF</v>
      </c>
      <c r="C640" s="21" t="str">
        <f aca="false">'Player Data'!B640</f>
        <v>New Zealand</v>
      </c>
      <c r="D640" s="21" t="str">
        <f aca="false">'Player Data'!C640</f>
        <v>New Zealand Regional League</v>
      </c>
      <c r="E640" s="21" t="n">
        <f aca="false">'Player Data'!D640</f>
        <v>4</v>
      </c>
      <c r="F640" s="21" t="n">
        <f aca="false">'Player Data'!G640</f>
        <v>22</v>
      </c>
      <c r="G640" s="21" t="n">
        <f aca="false">'Player Data'!H640</f>
        <v>2274</v>
      </c>
      <c r="H640" s="22" t="n">
        <f aca="false">IF(B640="GK",IFERROR(('Player Data'!N640-1.5*'Player Data'!O640)/'Player Data'!H640*90,0),IFERROR(('Player Data'!I640+'Player Data'!J640)/'Player Data'!H640*90,0))</f>
        <v>0.197889182058048</v>
      </c>
      <c r="I640" s="22" t="n">
        <f aca="false">IF(B640="GK",'Player Data'!P640,IFERROR(('Player Data'!K640+'Player Data'!L640)/'Player Data'!H640*90,0))</f>
        <v>3.79947229551451</v>
      </c>
      <c r="J640" s="22" t="n">
        <f aca="false">IF(B640="GK",IFERROR('Player Data'!Q640/'Player Data'!H640*90,0),IFERROR('Player Data'!M640/'Player Data'!H640*90,0))</f>
        <v>4.78891820580475</v>
      </c>
      <c r="K640" s="23" t="n">
        <f aca="false">'Player Data'!S640</f>
        <v>59460</v>
      </c>
      <c r="L640" s="22" t="n">
        <f aca="false">INDEX(Assumptions!$B$13:$B$15,MATCH(E640,Assumptions!$A$13:$A$15,0))</f>
        <v>0.7</v>
      </c>
      <c r="M640" s="24" t="n">
        <f aca="false">IFERROR(SUMPRODUCT(($B$2:$B$1001=B640)*($H$2:$H$1001&lt;=H640))/SUMPRODUCT(($B$2:$B$1001=B640)*1),0)</f>
        <v>0.530612244897959</v>
      </c>
      <c r="N640" s="24" t="n">
        <f aca="false">IFERROR(SUMPRODUCT(($B$2:$B$1001=B640)*($I$2:$I$1001&lt;=I640))/SUMPRODUCT(($B$2:$B$1001=B640)*1),0)</f>
        <v>0.350340136054422</v>
      </c>
      <c r="O640" s="24" t="n">
        <f aca="false">IFERROR(SUMPRODUCT(($B$2:$B$1001=B640)*($J$2:$J$1001&lt;=J640))/SUMPRODUCT(($B$2:$B$1001=B640)*1),0)</f>
        <v>0.418367346938776</v>
      </c>
      <c r="P640" s="24" t="n">
        <f aca="false">IFERROR(SUMPRODUCT(($B$2:$B$1001=B640)*((0-$F$2:$F$1001)&lt;=(0-F640)))/SUMPRODUCT(($B$2:$B$1001=B640)*1),0)</f>
        <v>0.493197278911565</v>
      </c>
      <c r="Q640" s="25" t="n">
        <f aca="false">(M640*Assumptions!$B$5+N640*Assumptions!$B$6+O640*Assumptions!$B$7+P640*Assumptions!$B$8)*L640</f>
        <v>0.306309523809524</v>
      </c>
      <c r="R640" s="24" t="n">
        <f aca="false">IFERROR(SUMPRODUCT(($B$2:$B$1001=B640)*($Q$2:$Q$1001&lt;=Q640))/SUMPRODUCT(($B$2:$B$1001=B640)*1),0)</f>
        <v>0.26530612244898</v>
      </c>
      <c r="S640" s="24" t="n">
        <f aca="false">IFERROR(SUMPRODUCT(($B$2:$B$1001=B640)*($K$2:$K$1001&lt;=K640))/SUMPRODUCT(($B$2:$B$1001=B640)*1),0)</f>
        <v>0.482993197278912</v>
      </c>
      <c r="T640" s="26" t="n">
        <f aca="false">(R640-S640)*100</f>
        <v>-21.7687074829932</v>
      </c>
      <c r="U640" s="21" t="str">
        <f aca="false">'Player Data'!T640</f>
        <v>No</v>
      </c>
      <c r="V640" s="27" t="n">
        <f aca="false">'Player Data'!U640</f>
        <v>2028</v>
      </c>
      <c r="W640" s="21" t="str">
        <f aca="false">IF(AND(T640&gt;=Assumptions!$B$19,U640="No"),"High Priority - Unrepresented",IF(T640&gt;=Assumptions!$B$19,"High Priority",IF(AND(T640&gt;=Assumptions!$B$20,U640="No"),"Watchlist - Unrepresented",IF(T640&gt;=Assumptions!$B$20,"Watchlist",""))))</f>
        <v/>
      </c>
      <c r="X640" s="21" t="str">
        <f aca="false">'Player Data'!V640</f>
        <v>info@aucklandrovers.nz</v>
      </c>
      <c r="Y640" s="28" t="str">
        <f aca="false">'Player Data'!W640</f>
        <v>Club sporting director / first-team office</v>
      </c>
      <c r="Z640" s="28" t="str">
        <f aca="false">'Player Data'!X640</f>
        <v>NZF (New Zealand Football) player registry</v>
      </c>
      <c r="AA640" s="19" t="str">
        <f aca="false">HYPERLINK("https://www.transfermarkt.com/schnellsuche/ergebnis/schnellsuche?query="&amp;SUBSTITUTE(A640," ","+"),"Search Transfermarkt")</f>
        <v>Search Transfermarkt</v>
      </c>
      <c r="AB640" s="29" t="n">
        <f aca="false">IFERROR('Player Data'!K640/('Player Data'!K640+'Player Data'!L640),0)</f>
        <v>0.625</v>
      </c>
      <c r="AC640" s="21" t="str">
        <f aca="false">IF(B640="GK",IF(AND(O640&gt;=Assumptions!$B$23,N640&gt;=Assumptions!$B$23),"Sweeper-Keeper / Build-from-the-Back",IF(O640&gt;=Assumptions!$B$23,"Sweeper-Keeper / High Line",IF(M640&gt;=Assumptions!$B$23,"Shot-Stopper / Traditional","Flexible / Multi-System"))),IF(AND(O640&gt;=Assumptions!$B$23,P640&gt;=Assumptions!$B$24),"High Press / Gegenpressing",IF(AND(N640&gt;=Assumptions!$B$23,AB640&gt;=Assumptions!$B$25),"Possession / Build-from-the-Back",IF(N640&gt;=Assumptions!$B$23,"Counter-Attack / Transition",IF(AND(O640&gt;=Assumptions!$B$23,N640&lt;Assumptions!$B$26),"Low Block / Park the Bus",IF(AND(B640="FW",M640&gt;=Assumptions!$B$23,N640&lt;Assumptions!$B$26),"Direct / Target Approach","Flexible / Multi-System"))))))</f>
        <v>Flexible / Multi-System</v>
      </c>
      <c r="AD640" s="21" t="str">
        <f aca="false">'Player Data'!Y640</f>
        <v>2026-07-17</v>
      </c>
      <c r="AE640" s="21" t="str">
        <f aca="false">'Player Data'!Z640</f>
        <v>2026-07-17</v>
      </c>
      <c r="AF640" s="28" t="str">
        <f aca="false">IFERROR(INDEX(Assumptions!$B$30:$B$61,MATCH(C640,Assumptions!$A$30:$A$61,0)),"--")</f>
        <v>Australia, United States</v>
      </c>
      <c r="AG640" s="30" t="str">
        <f aca="false">IF(R640&gt;=0.7,"Step-Up Candidate",IF(R640&gt;=0.4,"Lateral Move","Stay &amp; Develop"))</f>
        <v>Stay &amp; Develop</v>
      </c>
    </row>
    <row r="641" customFormat="false" ht="23.85" hidden="false" customHeight="false" outlineLevel="0" collapsed="false">
      <c r="A641" s="21" t="str">
        <f aca="false">'Player Data'!A641</f>
        <v>Nam Vu</v>
      </c>
      <c r="B641" s="21" t="str">
        <f aca="false">'Player Data'!F641</f>
        <v>DF</v>
      </c>
      <c r="C641" s="21" t="str">
        <f aca="false">'Player Data'!B641</f>
        <v>Vietnam</v>
      </c>
      <c r="D641" s="21" t="str">
        <f aca="false">'Player Data'!C641</f>
        <v>Vietnam Second Division - West</v>
      </c>
      <c r="E641" s="21" t="n">
        <f aca="false">'Player Data'!D641</f>
        <v>2</v>
      </c>
      <c r="F641" s="21" t="n">
        <f aca="false">'Player Data'!G641</f>
        <v>19</v>
      </c>
      <c r="G641" s="21" t="n">
        <f aca="false">'Player Data'!H641</f>
        <v>1764</v>
      </c>
      <c r="H641" s="22" t="n">
        <f aca="false">IF(B641="GK",IFERROR(('Player Data'!N641-1.5*'Player Data'!O641)/'Player Data'!H641*90,0),IFERROR(('Player Data'!I641+'Player Data'!J641)/'Player Data'!H641*90,0))</f>
        <v>0.102040816326531</v>
      </c>
      <c r="I641" s="22" t="n">
        <f aca="false">IF(B641="GK",'Player Data'!P641,IFERROR(('Player Data'!K641+'Player Data'!L641)/'Player Data'!H641*90,0))</f>
        <v>4.08163265306123</v>
      </c>
      <c r="J641" s="22" t="n">
        <f aca="false">IF(B641="GK",IFERROR('Player Data'!Q641/'Player Data'!H641*90,0),IFERROR('Player Data'!M641/'Player Data'!H641*90,0))</f>
        <v>5.66326530612245</v>
      </c>
      <c r="K641" s="23" t="n">
        <f aca="false">'Player Data'!S641</f>
        <v>136371</v>
      </c>
      <c r="L641" s="22" t="n">
        <f aca="false">INDEX(Assumptions!$B$13:$B$15,MATCH(E641,Assumptions!$A$13:$A$15,0))</f>
        <v>1</v>
      </c>
      <c r="M641" s="24" t="n">
        <f aca="false">IFERROR(SUMPRODUCT(($B$2:$B$1001=B641)*($H$2:$H$1001&lt;=H641))/SUMPRODUCT(($B$2:$B$1001=B641)*1),0)</f>
        <v>0.193877551020408</v>
      </c>
      <c r="N641" s="24" t="n">
        <f aca="false">IFERROR(SUMPRODUCT(($B$2:$B$1001=B641)*($I$2:$I$1001&lt;=I641))/SUMPRODUCT(($B$2:$B$1001=B641)*1),0)</f>
        <v>0.414965986394558</v>
      </c>
      <c r="O641" s="24" t="n">
        <f aca="false">IFERROR(SUMPRODUCT(($B$2:$B$1001=B641)*($J$2:$J$1001&lt;=J641))/SUMPRODUCT(($B$2:$B$1001=B641)*1),0)</f>
        <v>0.547619047619048</v>
      </c>
      <c r="P641" s="24" t="n">
        <f aca="false">IFERROR(SUMPRODUCT(($B$2:$B$1001=B641)*((0-$F$2:$F$1001)&lt;=(0-F641)))/SUMPRODUCT(($B$2:$B$1001=B641)*1),0)</f>
        <v>0.738095238095238</v>
      </c>
      <c r="Q641" s="25" t="n">
        <f aca="false">(M641*Assumptions!$B$5+N641*Assumptions!$B$6+O641*Assumptions!$B$7+P641*Assumptions!$B$8)*L641</f>
        <v>0.450850340136054</v>
      </c>
      <c r="R641" s="24" t="n">
        <f aca="false">IFERROR(SUMPRODUCT(($B$2:$B$1001=B641)*($Q$2:$Q$1001&lt;=Q641))/SUMPRODUCT(($B$2:$B$1001=B641)*1),0)</f>
        <v>0.571428571428571</v>
      </c>
      <c r="S641" s="24" t="n">
        <f aca="false">IFERROR(SUMPRODUCT(($B$2:$B$1001=B641)*($K$2:$K$1001&lt;=K641))/SUMPRODUCT(($B$2:$B$1001=B641)*1),0)</f>
        <v>0.942176870748299</v>
      </c>
      <c r="T641" s="26" t="n">
        <f aca="false">(R641-S641)*100</f>
        <v>-37.0748299319728</v>
      </c>
      <c r="U641" s="21" t="str">
        <f aca="false">'Player Data'!T641</f>
        <v>No</v>
      </c>
      <c r="V641" s="27" t="n">
        <f aca="false">'Player Data'!U641</f>
        <v>2026</v>
      </c>
      <c r="W641" s="21" t="str">
        <f aca="false">IF(AND(T641&gt;=Assumptions!$B$19,U641="No"),"High Priority - Unrepresented",IF(T641&gt;=Assumptions!$B$19,"High Priority",IF(AND(T641&gt;=Assumptions!$B$20,U641="No"),"Watchlist - Unrepresented",IF(T641&gt;=Assumptions!$B$20,"Watchlist",""))))</f>
        <v/>
      </c>
      <c r="X641" s="21" t="str">
        <f aca="false">'Player Data'!V641</f>
        <v>info@hanoisc.vn</v>
      </c>
      <c r="Y641" s="28" t="str">
        <f aca="false">'Player Data'!W641</f>
        <v>Club sporting director / first-team office</v>
      </c>
      <c r="Z641" s="28" t="str">
        <f aca="false">'Player Data'!X641</f>
        <v>VFF (Vietnam Football Federation) player registry</v>
      </c>
      <c r="AA641" s="19" t="str">
        <f aca="false">HYPERLINK("https://www.transfermarkt.com/schnellsuche/ergebnis/schnellsuche?query="&amp;SUBSTITUTE(A641," ","+"),"Search Transfermarkt")</f>
        <v>Search Transfermarkt</v>
      </c>
      <c r="AB641" s="29" t="n">
        <f aca="false">IFERROR('Player Data'!K641/('Player Data'!K641+'Player Data'!L641),0)</f>
        <v>0.55</v>
      </c>
      <c r="AC641" s="21" t="str">
        <f aca="false">IF(B641="GK",IF(AND(O641&gt;=Assumptions!$B$23,N641&gt;=Assumptions!$B$23),"Sweeper-Keeper / Build-from-the-Back",IF(O641&gt;=Assumptions!$B$23,"Sweeper-Keeper / High Line",IF(M641&gt;=Assumptions!$B$23,"Shot-Stopper / Traditional","Flexible / Multi-System"))),IF(AND(O641&gt;=Assumptions!$B$23,P641&gt;=Assumptions!$B$24),"High Press / Gegenpressing",IF(AND(N641&gt;=Assumptions!$B$23,AB641&gt;=Assumptions!$B$25),"Possession / Build-from-the-Back",IF(N641&gt;=Assumptions!$B$23,"Counter-Attack / Transition",IF(AND(O641&gt;=Assumptions!$B$23,N641&lt;Assumptions!$B$26),"Low Block / Park the Bus",IF(AND(B641="FW",M641&gt;=Assumptions!$B$23,N641&lt;Assumptions!$B$26),"Direct / Target Approach","Flexible / Multi-System"))))))</f>
        <v>Flexible / Multi-System</v>
      </c>
      <c r="AD641" s="21" t="str">
        <f aca="false">'Player Data'!Y641</f>
        <v>2026-07-17</v>
      </c>
      <c r="AE641" s="21" t="str">
        <f aca="false">'Player Data'!Z641</f>
        <v>2026-07-17</v>
      </c>
      <c r="AF641" s="28" t="str">
        <f aca="false">IFERROR(INDEX(Assumptions!$B$30:$B$61,MATCH(C641,Assumptions!$A$30:$A$61,0)),"--")</f>
        <v>Australia, Saudi Arabia</v>
      </c>
      <c r="AG641" s="30" t="str">
        <f aca="false">IF(R641&gt;=0.7,"Step-Up Candidate",IF(R641&gt;=0.4,"Lateral Move","Stay &amp; Develop"))</f>
        <v>Lateral Move</v>
      </c>
    </row>
    <row r="642" customFormat="false" ht="23.85" hidden="false" customHeight="false" outlineLevel="0" collapsed="false">
      <c r="A642" s="21" t="str">
        <f aca="false">'Player Data'!A642</f>
        <v>Sota Suzuki</v>
      </c>
      <c r="B642" s="21" t="str">
        <f aca="false">'Player Data'!F642</f>
        <v>DF</v>
      </c>
      <c r="C642" s="21" t="str">
        <f aca="false">'Player Data'!B642</f>
        <v>Japan</v>
      </c>
      <c r="D642" s="21" t="str">
        <f aca="false">'Player Data'!C642</f>
        <v>Japan Reserve League</v>
      </c>
      <c r="E642" s="21" t="n">
        <f aca="false">'Player Data'!D642</f>
        <v>2</v>
      </c>
      <c r="F642" s="21" t="n">
        <f aca="false">'Player Data'!G642</f>
        <v>23</v>
      </c>
      <c r="G642" s="21" t="n">
        <f aca="false">'Player Data'!H642</f>
        <v>1762</v>
      </c>
      <c r="H642" s="22" t="n">
        <f aca="false">IF(B642="GK",IFERROR(('Player Data'!N642-1.5*'Player Data'!O642)/'Player Data'!H642*90,0),IFERROR(('Player Data'!I642+'Player Data'!J642)/'Player Data'!H642*90,0))</f>
        <v>0.102156640181612</v>
      </c>
      <c r="I642" s="22" t="n">
        <f aca="false">IF(B642="GK",'Player Data'!P642,IFERROR(('Player Data'!K642+'Player Data'!L642)/'Player Data'!H642*90,0))</f>
        <v>5.41430192962543</v>
      </c>
      <c r="J642" s="22" t="n">
        <f aca="false">IF(B642="GK",IFERROR('Player Data'!Q642/'Player Data'!H642*90,0),IFERROR('Player Data'!M642/'Player Data'!H642*90,0))</f>
        <v>4.59704880817253</v>
      </c>
      <c r="K642" s="23" t="n">
        <f aca="false">'Player Data'!S642</f>
        <v>0</v>
      </c>
      <c r="L642" s="22" t="n">
        <f aca="false">INDEX(Assumptions!$B$13:$B$15,MATCH(E642,Assumptions!$A$13:$A$15,0))</f>
        <v>1</v>
      </c>
      <c r="M642" s="24" t="n">
        <f aca="false">IFERROR(SUMPRODUCT(($B$2:$B$1001=B642)*($H$2:$H$1001&lt;=H642))/SUMPRODUCT(($B$2:$B$1001=B642)*1),0)</f>
        <v>0.197278911564626</v>
      </c>
      <c r="N642" s="24" t="n">
        <f aca="false">IFERROR(SUMPRODUCT(($B$2:$B$1001=B642)*($I$2:$I$1001&lt;=I642))/SUMPRODUCT(($B$2:$B$1001=B642)*1),0)</f>
        <v>0.663265306122449</v>
      </c>
      <c r="O642" s="24" t="n">
        <f aca="false">IFERROR(SUMPRODUCT(($B$2:$B$1001=B642)*($J$2:$J$1001&lt;=J642))/SUMPRODUCT(($B$2:$B$1001=B642)*1),0)</f>
        <v>0.377551020408163</v>
      </c>
      <c r="P642" s="24" t="n">
        <f aca="false">IFERROR(SUMPRODUCT(($B$2:$B$1001=B642)*((0-$F$2:$F$1001)&lt;=(0-F642)))/SUMPRODUCT(($B$2:$B$1001=B642)*1),0)</f>
        <v>0.374149659863946</v>
      </c>
      <c r="Q642" s="25" t="n">
        <f aca="false">(M642*Assumptions!$B$5+N642*Assumptions!$B$6+O642*Assumptions!$B$7+P642*Assumptions!$B$8)*L642</f>
        <v>0.431802721088435</v>
      </c>
      <c r="R642" s="24" t="n">
        <f aca="false">IFERROR(SUMPRODUCT(($B$2:$B$1001=B642)*($Q$2:$Q$1001&lt;=Q642))/SUMPRODUCT(($B$2:$B$1001=B642)*1),0)</f>
        <v>0.540816326530612</v>
      </c>
      <c r="S642" s="24" t="n">
        <f aca="false">IFERROR(SUMPRODUCT(($B$2:$B$1001=B642)*($K$2:$K$1001&lt;=K642))/SUMPRODUCT(($B$2:$B$1001=B642)*1),0)</f>
        <v>0.248299319727891</v>
      </c>
      <c r="T642" s="26" t="n">
        <f aca="false">(R642-S642)*100</f>
        <v>29.2517006802721</v>
      </c>
      <c r="U642" s="21" t="str">
        <f aca="false">'Player Data'!T642</f>
        <v>Unknown</v>
      </c>
      <c r="V642" s="27" t="n">
        <f aca="false">'Player Data'!U642</f>
        <v>2028</v>
      </c>
      <c r="W642" s="21" t="str">
        <f aca="false">IF(AND(T642&gt;=Assumptions!$B$19,U642="No"),"High Priority - Unrepresented",IF(T642&gt;=Assumptions!$B$19,"High Priority",IF(AND(T642&gt;=Assumptions!$B$20,U642="No"),"Watchlist - Unrepresented",IF(T642&gt;=Assumptions!$B$20,"Watchlist",""))))</f>
        <v>Watchlist</v>
      </c>
      <c r="X642" s="21" t="str">
        <f aca="false">'Player Data'!V642</f>
        <v>info@nagoyarangers.jp</v>
      </c>
      <c r="Y642" s="28" t="str">
        <f aca="false">'Player Data'!W642</f>
        <v>Club sporting director / first-team office</v>
      </c>
      <c r="Z642" s="28" t="str">
        <f aca="false">'Player Data'!X642</f>
        <v>JFA (Japan Football Association) player registry</v>
      </c>
      <c r="AA642" s="19" t="str">
        <f aca="false">HYPERLINK("https://www.transfermarkt.com/schnellsuche/ergebnis/schnellsuche?query="&amp;SUBSTITUTE(A642," ","+"),"Search Transfermarkt")</f>
        <v>Search Transfermarkt</v>
      </c>
      <c r="AB642" s="29" t="n">
        <f aca="false">IFERROR('Player Data'!K642/('Player Data'!K642+'Player Data'!L642),0)</f>
        <v>0.641509433962264</v>
      </c>
      <c r="AC642" s="21" t="str">
        <f aca="false">IF(B642="GK",IF(AND(O642&gt;=Assumptions!$B$23,N642&gt;=Assumptions!$B$23),"Sweeper-Keeper / Build-from-the-Back",IF(O642&gt;=Assumptions!$B$23,"Sweeper-Keeper / High Line",IF(M642&gt;=Assumptions!$B$23,"Shot-Stopper / Traditional","Flexible / Multi-System"))),IF(AND(O642&gt;=Assumptions!$B$23,P642&gt;=Assumptions!$B$24),"High Press / Gegenpressing",IF(AND(N642&gt;=Assumptions!$B$23,AB642&gt;=Assumptions!$B$25),"Possession / Build-from-the-Back",IF(N642&gt;=Assumptions!$B$23,"Counter-Attack / Transition",IF(AND(O642&gt;=Assumptions!$B$23,N642&lt;Assumptions!$B$26),"Low Block / Park the Bus",IF(AND(B642="FW",M642&gt;=Assumptions!$B$23,N642&lt;Assumptions!$B$26),"Direct / Target Approach","Flexible / Multi-System"))))))</f>
        <v>Possession / Build-from-the-Back</v>
      </c>
      <c r="AD642" s="21" t="str">
        <f aca="false">'Player Data'!Y642</f>
        <v>2026-07-17</v>
      </c>
      <c r="AE642" s="21" t="str">
        <f aca="false">'Player Data'!Z642</f>
        <v>2026-07-17</v>
      </c>
      <c r="AF642" s="28" t="str">
        <f aca="false">IFERROR(INDEX(Assumptions!$B$30:$B$61,MATCH(C642,Assumptions!$A$30:$A$61,0)),"--")</f>
        <v>Belgium, Australia</v>
      </c>
      <c r="AG642" s="30" t="str">
        <f aca="false">IF(R642&gt;=0.7,"Step-Up Candidate",IF(R642&gt;=0.4,"Lateral Move","Stay &amp; Develop"))</f>
        <v>Lateral Move</v>
      </c>
    </row>
    <row r="643" customFormat="false" ht="23.85" hidden="false" customHeight="false" outlineLevel="0" collapsed="false">
      <c r="A643" s="21" t="str">
        <f aca="false">'Player Data'!A643</f>
        <v>Luka Krajnc</v>
      </c>
      <c r="B643" s="21" t="str">
        <f aca="false">'Player Data'!F643</f>
        <v>MF</v>
      </c>
      <c r="C643" s="21" t="str">
        <f aca="false">'Player Data'!B643</f>
        <v>Slovenia</v>
      </c>
      <c r="D643" s="21" t="str">
        <f aca="false">'Player Data'!C643</f>
        <v>Slovenia Second Division - West</v>
      </c>
      <c r="E643" s="21" t="n">
        <f aca="false">'Player Data'!D643</f>
        <v>2</v>
      </c>
      <c r="F643" s="21" t="n">
        <f aca="false">'Player Data'!G643</f>
        <v>23</v>
      </c>
      <c r="G643" s="21" t="n">
        <f aca="false">'Player Data'!H643</f>
        <v>2612</v>
      </c>
      <c r="H643" s="22" t="n">
        <f aca="false">IF(B643="GK",IFERROR(('Player Data'!N643-1.5*'Player Data'!O643)/'Player Data'!H643*90,0),IFERROR(('Player Data'!I643+'Player Data'!J643)/'Player Data'!H643*90,0))</f>
        <v>0.482388973966309</v>
      </c>
      <c r="I643" s="22" t="n">
        <f aca="false">IF(B643="GK",'Player Data'!P643,IFERROR(('Player Data'!K643+'Player Data'!L643)/'Player Data'!H643*90,0))</f>
        <v>7.85604900459418</v>
      </c>
      <c r="J643" s="22" t="n">
        <f aca="false">IF(B643="GK",IFERROR('Player Data'!Q643/'Player Data'!H643*90,0),IFERROR('Player Data'!M643/'Player Data'!H643*90,0))</f>
        <v>0.999234303215927</v>
      </c>
      <c r="K643" s="23" t="n">
        <f aca="false">'Player Data'!S643</f>
        <v>127308</v>
      </c>
      <c r="L643" s="22" t="n">
        <f aca="false">INDEX(Assumptions!$B$13:$B$15,MATCH(E643,Assumptions!$A$13:$A$15,0))</f>
        <v>1</v>
      </c>
      <c r="M643" s="24" t="n">
        <f aca="false">IFERROR(SUMPRODUCT(($B$2:$B$1001=B643)*($H$2:$H$1001&lt;=H643))/SUMPRODUCT(($B$2:$B$1001=B643)*1),0)</f>
        <v>0.202020202020202</v>
      </c>
      <c r="N643" s="24" t="n">
        <f aca="false">IFERROR(SUMPRODUCT(($B$2:$B$1001=B643)*($I$2:$I$1001&lt;=I643))/SUMPRODUCT(($B$2:$B$1001=B643)*1),0)</f>
        <v>0.144781144781145</v>
      </c>
      <c r="O643" s="24" t="n">
        <f aca="false">IFERROR(SUMPRODUCT(($B$2:$B$1001=B643)*($J$2:$J$1001&lt;=J643))/SUMPRODUCT(($B$2:$B$1001=B643)*1),0)</f>
        <v>0.0235690235690236</v>
      </c>
      <c r="P643" s="24" t="n">
        <f aca="false">IFERROR(SUMPRODUCT(($B$2:$B$1001=B643)*((0-$F$2:$F$1001)&lt;=(0-F643)))/SUMPRODUCT(($B$2:$B$1001=B643)*1),0)</f>
        <v>0.390572390572391</v>
      </c>
      <c r="Q643" s="25" t="n">
        <f aca="false">(M643*Assumptions!$B$5+N643*Assumptions!$B$6+O643*Assumptions!$B$7+P643*Assumptions!$B$8)*L643</f>
        <v>0.184006734006734</v>
      </c>
      <c r="R643" s="24" t="n">
        <f aca="false">IFERROR(SUMPRODUCT(($B$2:$B$1001=B643)*($Q$2:$Q$1001&lt;=Q643))/SUMPRODUCT(($B$2:$B$1001=B643)*1),0)</f>
        <v>0.063973063973064</v>
      </c>
      <c r="S643" s="24" t="n">
        <f aca="false">IFERROR(SUMPRODUCT(($B$2:$B$1001=B643)*($K$2:$K$1001&lt;=K643))/SUMPRODUCT(($B$2:$B$1001=B643)*1),0)</f>
        <v>0.895622895622896</v>
      </c>
      <c r="T643" s="26" t="n">
        <f aca="false">(R643-S643)*100</f>
        <v>-83.1649831649832</v>
      </c>
      <c r="U643" s="21" t="str">
        <f aca="false">'Player Data'!T643</f>
        <v>Yes</v>
      </c>
      <c r="V643" s="27" t="n">
        <f aca="false">'Player Data'!U643</f>
        <v>2028</v>
      </c>
      <c r="W643" s="21" t="str">
        <f aca="false">IF(AND(T643&gt;=Assumptions!$B$19,U643="No"),"High Priority - Unrepresented",IF(T643&gt;=Assumptions!$B$19,"High Priority",IF(AND(T643&gt;=Assumptions!$B$20,U643="No"),"Watchlist - Unrepresented",IF(T643&gt;=Assumptions!$B$20,"Watchlist",""))))</f>
        <v/>
      </c>
      <c r="X643" s="21" t="str">
        <f aca="false">'Player Data'!V643</f>
        <v>info@ljubljanarangers.si</v>
      </c>
      <c r="Y643" s="28" t="str">
        <f aca="false">'Player Data'!W643</f>
        <v>Go through the player's agent - ask the club to confirm representation first</v>
      </c>
      <c r="Z643" s="28" t="str">
        <f aca="false">'Player Data'!X643</f>
        <v>NZS (Football Association of Slovenia) player registry</v>
      </c>
      <c r="AA643" s="19" t="str">
        <f aca="false">HYPERLINK("https://www.transfermarkt.com/schnellsuche/ergebnis/schnellsuche?query="&amp;SUBSTITUTE(A643," ","+"),"Search Transfermarkt")</f>
        <v>Search Transfermarkt</v>
      </c>
      <c r="AB643" s="29" t="n">
        <f aca="false">IFERROR('Player Data'!K643/('Player Data'!K643+'Player Data'!L643),0)</f>
        <v>0.732456140350877</v>
      </c>
      <c r="AC643" s="21" t="str">
        <f aca="false">IF(B643="GK",IF(AND(O643&gt;=Assumptions!$B$23,N643&gt;=Assumptions!$B$23),"Sweeper-Keeper / Build-from-the-Back",IF(O643&gt;=Assumptions!$B$23,"Sweeper-Keeper / High Line",IF(M643&gt;=Assumptions!$B$23,"Shot-Stopper / Traditional","Flexible / Multi-System"))),IF(AND(O643&gt;=Assumptions!$B$23,P643&gt;=Assumptions!$B$24),"High Press / Gegenpressing",IF(AND(N643&gt;=Assumptions!$B$23,AB643&gt;=Assumptions!$B$25),"Possession / Build-from-the-Back",IF(N643&gt;=Assumptions!$B$23,"Counter-Attack / Transition",IF(AND(O643&gt;=Assumptions!$B$23,N643&lt;Assumptions!$B$26),"Low Block / Park the Bus",IF(AND(B643="FW",M643&gt;=Assumptions!$B$23,N643&lt;Assumptions!$B$26),"Direct / Target Approach","Flexible / Multi-System"))))))</f>
        <v>Flexible / Multi-System</v>
      </c>
      <c r="AD643" s="21" t="str">
        <f aca="false">'Player Data'!Y643</f>
        <v>2026-07-17</v>
      </c>
      <c r="AE643" s="21" t="str">
        <f aca="false">'Player Data'!Z643</f>
        <v>2026-07-17</v>
      </c>
      <c r="AF643" s="28" t="str">
        <f aca="false">IFERROR(INDEX(Assumptions!$B$30:$B$61,MATCH(C643,Assumptions!$A$30:$A$61,0)),"--")</f>
        <v>Austria, Poland</v>
      </c>
      <c r="AG643" s="30" t="str">
        <f aca="false">IF(R643&gt;=0.7,"Step-Up Candidate",IF(R643&gt;=0.4,"Lateral Move","Stay &amp; Develop"))</f>
        <v>Stay &amp; Develop</v>
      </c>
    </row>
    <row r="644" customFormat="false" ht="23.85" hidden="false" customHeight="false" outlineLevel="0" collapsed="false">
      <c r="A644" s="21" t="str">
        <f aca="false">'Player Data'!A644</f>
        <v>Andri Sigurdsson</v>
      </c>
      <c r="B644" s="21" t="str">
        <f aca="false">'Player Data'!F644</f>
        <v>GK</v>
      </c>
      <c r="C644" s="21" t="str">
        <f aca="false">'Player Data'!B644</f>
        <v>Iceland</v>
      </c>
      <c r="D644" s="21" t="str">
        <f aca="false">'Player Data'!C644</f>
        <v>Iceland Second Division</v>
      </c>
      <c r="E644" s="21" t="n">
        <f aca="false">'Player Data'!D644</f>
        <v>2</v>
      </c>
      <c r="F644" s="21" t="n">
        <f aca="false">'Player Data'!G644</f>
        <v>20</v>
      </c>
      <c r="G644" s="21" t="n">
        <f aca="false">'Player Data'!H644</f>
        <v>1412</v>
      </c>
      <c r="H644" s="22" t="n">
        <f aca="false">IF(B644="GK",IFERROR(('Player Data'!N644-1.5*'Player Data'!O644)/'Player Data'!H644*90,0),IFERROR(('Player Data'!I644+'Player Data'!J644)/'Player Data'!H644*90,0))</f>
        <v>-0.38243626062323</v>
      </c>
      <c r="I644" s="22" t="n">
        <f aca="false">IF(B644="GK",'Player Data'!P644,IFERROR(('Player Data'!K644+'Player Data'!L644)/'Player Data'!H644*90,0))</f>
        <v>62.4</v>
      </c>
      <c r="J644" s="22" t="n">
        <f aca="false">IF(B644="GK",IFERROR('Player Data'!Q644/'Player Data'!H644*90,0),IFERROR('Player Data'!M644/'Player Data'!H644*90,0))</f>
        <v>0.114730878186969</v>
      </c>
      <c r="K644" s="23" t="n">
        <f aca="false">'Player Data'!S644</f>
        <v>0</v>
      </c>
      <c r="L644" s="22" t="n">
        <f aca="false">INDEX(Assumptions!$B$13:$B$15,MATCH(E644,Assumptions!$A$13:$A$15,0))</f>
        <v>1</v>
      </c>
      <c r="M644" s="24" t="n">
        <f aca="false">IFERROR(SUMPRODUCT(($B$2:$B$1001=B644)*($H$2:$H$1001&lt;=H644))/SUMPRODUCT(($B$2:$B$1001=B644)*1),0)</f>
        <v>0.092896174863388</v>
      </c>
      <c r="N644" s="24" t="n">
        <f aca="false">IFERROR(SUMPRODUCT(($B$2:$B$1001=B644)*($I$2:$I$1001&lt;=I644))/SUMPRODUCT(($B$2:$B$1001=B644)*1),0)</f>
        <v>0.224043715846995</v>
      </c>
      <c r="O644" s="24" t="n">
        <f aca="false">IFERROR(SUMPRODUCT(($B$2:$B$1001=B644)*($J$2:$J$1001&lt;=J644))/SUMPRODUCT(($B$2:$B$1001=B644)*1),0)</f>
        <v>0.0109289617486339</v>
      </c>
      <c r="P644" s="24" t="n">
        <f aca="false">IFERROR(SUMPRODUCT(($B$2:$B$1001=B644)*((0-$F$2:$F$1001)&lt;=(0-F644)))/SUMPRODUCT(($B$2:$B$1001=B644)*1),0)</f>
        <v>0.677595628415301</v>
      </c>
      <c r="Q644" s="25" t="n">
        <f aca="false">(M644*Assumptions!$B$5+N644*Assumptions!$B$6+O644*Assumptions!$B$7+P644*Assumptions!$B$8)*L644</f>
        <v>0.239344262295082</v>
      </c>
      <c r="R644" s="24" t="n">
        <f aca="false">IFERROR(SUMPRODUCT(($B$2:$B$1001=B644)*($Q$2:$Q$1001&lt;=Q644))/SUMPRODUCT(($B$2:$B$1001=B644)*1),0)</f>
        <v>0.0546448087431694</v>
      </c>
      <c r="S644" s="24" t="n">
        <f aca="false">IFERROR(SUMPRODUCT(($B$2:$B$1001=B644)*($K$2:$K$1001&lt;=K644))/SUMPRODUCT(($B$2:$B$1001=B644)*1),0)</f>
        <v>0.218579234972678</v>
      </c>
      <c r="T644" s="26" t="n">
        <f aca="false">(R644-S644)*100</f>
        <v>-16.3934426229508</v>
      </c>
      <c r="U644" s="21" t="str">
        <f aca="false">'Player Data'!T644</f>
        <v>Yes</v>
      </c>
      <c r="V644" s="27" t="n">
        <f aca="false">'Player Data'!U644</f>
        <v>2026</v>
      </c>
      <c r="W644" s="21" t="str">
        <f aca="false">IF(AND(T644&gt;=Assumptions!$B$19,U644="No"),"High Priority - Unrepresented",IF(T644&gt;=Assumptions!$B$19,"High Priority",IF(AND(T644&gt;=Assumptions!$B$20,U644="No"),"Watchlist - Unrepresented",IF(T644&gt;=Assumptions!$B$20,"Watchlist",""))))</f>
        <v/>
      </c>
      <c r="X644" s="21" t="str">
        <f aca="false">'Player Data'!V644</f>
        <v>info@selfossfc.is</v>
      </c>
      <c r="Y644" s="28" t="str">
        <f aca="false">'Player Data'!W644</f>
        <v>Go through the player's agent - ask the club to confirm representation first</v>
      </c>
      <c r="Z644" s="28" t="str">
        <f aca="false">'Player Data'!X644</f>
        <v>KSI (Icelandic Football Association) player registry</v>
      </c>
      <c r="AA644" s="19" t="str">
        <f aca="false">HYPERLINK("https://www.transfermarkt.com/schnellsuche/ergebnis/schnellsuche?query="&amp;SUBSTITUTE(A644," ","+"),"Search Transfermarkt")</f>
        <v>Search Transfermarkt</v>
      </c>
      <c r="AB644" s="29" t="n">
        <f aca="false">IFERROR('Player Data'!K644/('Player Data'!K644+'Player Data'!L644),0)</f>
        <v>0.9</v>
      </c>
      <c r="AC644" s="21" t="str">
        <f aca="false">IF(B644="GK",IF(AND(O644&gt;=Assumptions!$B$23,N644&gt;=Assumptions!$B$23),"Sweeper-Keeper / Build-from-the-Back",IF(O644&gt;=Assumptions!$B$23,"Sweeper-Keeper / High Line",IF(M644&gt;=Assumptions!$B$23,"Shot-Stopper / Traditional","Flexible / Multi-System"))),IF(AND(O644&gt;=Assumptions!$B$23,P644&gt;=Assumptions!$B$24),"High Press / Gegenpressing",IF(AND(N644&gt;=Assumptions!$B$23,AB644&gt;=Assumptions!$B$25),"Possession / Build-from-the-Back",IF(N644&gt;=Assumptions!$B$23,"Counter-Attack / Transition",IF(AND(O644&gt;=Assumptions!$B$23,N644&lt;Assumptions!$B$26),"Low Block / Park the Bus",IF(AND(B644="FW",M644&gt;=Assumptions!$B$23,N644&lt;Assumptions!$B$26),"Direct / Target Approach","Flexible / Multi-System"))))))</f>
        <v>Flexible / Multi-System</v>
      </c>
      <c r="AD644" s="21" t="str">
        <f aca="false">'Player Data'!Y644</f>
        <v>2026-07-17</v>
      </c>
      <c r="AE644" s="21" t="str">
        <f aca="false">'Player Data'!Z644</f>
        <v>2026-07-17</v>
      </c>
      <c r="AF644" s="28" t="str">
        <f aca="false">IFERROR(INDEX(Assumptions!$B$30:$B$61,MATCH(C644,Assumptions!$A$30:$A$61,0)),"--")</f>
        <v>Norway, Belgium</v>
      </c>
      <c r="AG644" s="30" t="str">
        <f aca="false">IF(R644&gt;=0.7,"Step-Up Candidate",IF(R644&gt;=0.4,"Lateral Move","Stay &amp; Develop"))</f>
        <v>Stay &amp; Develop</v>
      </c>
    </row>
    <row r="645" customFormat="false" ht="23.85" hidden="false" customHeight="false" outlineLevel="0" collapsed="false">
      <c r="A645" s="21" t="str">
        <f aca="false">'Player Data'!A645</f>
        <v>Janis Ozols 83</v>
      </c>
      <c r="B645" s="21" t="str">
        <f aca="false">'Player Data'!F645</f>
        <v>DF</v>
      </c>
      <c r="C645" s="21" t="str">
        <f aca="false">'Player Data'!B645</f>
        <v>Latvia</v>
      </c>
      <c r="D645" s="21" t="str">
        <f aca="false">'Player Data'!C645</f>
        <v>Latvia Amateur League</v>
      </c>
      <c r="E645" s="21" t="n">
        <f aca="false">'Player Data'!D645</f>
        <v>4</v>
      </c>
      <c r="F645" s="21" t="n">
        <f aca="false">'Player Data'!G645</f>
        <v>22</v>
      </c>
      <c r="G645" s="21" t="n">
        <f aca="false">'Player Data'!H645</f>
        <v>2429</v>
      </c>
      <c r="H645" s="22" t="n">
        <f aca="false">IF(B645="GK",IFERROR(('Player Data'!N645-1.5*'Player Data'!O645)/'Player Data'!H645*90,0),IFERROR(('Player Data'!I645+'Player Data'!J645)/'Player Data'!H645*90,0))</f>
        <v>0.185261424454508</v>
      </c>
      <c r="I645" s="22" t="n">
        <f aca="false">IF(B645="GK",'Player Data'!P645,IFERROR(('Player Data'!K645+'Player Data'!L645)/'Player Data'!H645*90,0))</f>
        <v>3.81638534376287</v>
      </c>
      <c r="J645" s="22" t="n">
        <f aca="false">IF(B645="GK",IFERROR('Player Data'!Q645/'Player Data'!H645*90,0),IFERROR('Player Data'!M645/'Player Data'!H645*90,0))</f>
        <v>3.81638534376287</v>
      </c>
      <c r="K645" s="23" t="n">
        <f aca="false">'Player Data'!S645</f>
        <v>140837</v>
      </c>
      <c r="L645" s="22" t="n">
        <f aca="false">INDEX(Assumptions!$B$13:$B$15,MATCH(E645,Assumptions!$A$13:$A$15,0))</f>
        <v>0.7</v>
      </c>
      <c r="M645" s="24" t="n">
        <f aca="false">IFERROR(SUMPRODUCT(($B$2:$B$1001=B645)*($H$2:$H$1001&lt;=H645))/SUMPRODUCT(($B$2:$B$1001=B645)*1),0)</f>
        <v>0.5</v>
      </c>
      <c r="N645" s="24" t="n">
        <f aca="false">IFERROR(SUMPRODUCT(($B$2:$B$1001=B645)*($I$2:$I$1001&lt;=I645))/SUMPRODUCT(($B$2:$B$1001=B645)*1),0)</f>
        <v>0.357142857142857</v>
      </c>
      <c r="O645" s="24" t="n">
        <f aca="false">IFERROR(SUMPRODUCT(($B$2:$B$1001=B645)*($J$2:$J$1001&lt;=J645))/SUMPRODUCT(($B$2:$B$1001=B645)*1),0)</f>
        <v>0.19047619047619</v>
      </c>
      <c r="P645" s="24" t="n">
        <f aca="false">IFERROR(SUMPRODUCT(($B$2:$B$1001=B645)*((0-$F$2:$F$1001)&lt;=(0-F645)))/SUMPRODUCT(($B$2:$B$1001=B645)*1),0)</f>
        <v>0.493197278911565</v>
      </c>
      <c r="Q645" s="25" t="n">
        <f aca="false">(M645*Assumptions!$B$5+N645*Assumptions!$B$6+O645*Assumptions!$B$7+P645*Assumptions!$B$8)*L645</f>
        <v>0.270714285714286</v>
      </c>
      <c r="R645" s="24" t="n">
        <f aca="false">IFERROR(SUMPRODUCT(($B$2:$B$1001=B645)*($Q$2:$Q$1001&lt;=Q645))/SUMPRODUCT(($B$2:$B$1001=B645)*1),0)</f>
        <v>0.200680272108844</v>
      </c>
      <c r="S645" s="24" t="n">
        <f aca="false">IFERROR(SUMPRODUCT(($B$2:$B$1001=B645)*($K$2:$K$1001&lt;=K645))/SUMPRODUCT(($B$2:$B$1001=B645)*1),0)</f>
        <v>0.95578231292517</v>
      </c>
      <c r="T645" s="26" t="n">
        <f aca="false">(R645-S645)*100</f>
        <v>-75.5102040816327</v>
      </c>
      <c r="U645" s="21" t="str">
        <f aca="false">'Player Data'!T645</f>
        <v>Unknown</v>
      </c>
      <c r="V645" s="27" t="n">
        <f aca="false">'Player Data'!U645</f>
        <v>2029</v>
      </c>
      <c r="W645" s="21" t="str">
        <f aca="false">IF(AND(T645&gt;=Assumptions!$B$19,U645="No"),"High Priority - Unrepresented",IF(T645&gt;=Assumptions!$B$19,"High Priority",IF(AND(T645&gt;=Assumptions!$B$20,U645="No"),"Watchlist - Unrepresented",IF(T645&gt;=Assumptions!$B$20,"Watchlist",""))))</f>
        <v/>
      </c>
      <c r="X645" s="21" t="str">
        <f aca="false">'Player Data'!V645</f>
        <v>info@daugavpilsrangers.lv</v>
      </c>
      <c r="Y645" s="28" t="str">
        <f aca="false">'Player Data'!W645</f>
        <v>Club sporting director / first-team office</v>
      </c>
      <c r="Z645" s="28" t="str">
        <f aca="false">'Player Data'!X645</f>
        <v>LFF (Latvian Football Federation) player registry</v>
      </c>
      <c r="AA645" s="19" t="str">
        <f aca="false">HYPERLINK("https://www.transfermarkt.com/schnellsuche/ergebnis/schnellsuche?query="&amp;SUBSTITUTE(A645," ","+"),"Search Transfermarkt")</f>
        <v>Search Transfermarkt</v>
      </c>
      <c r="AB645" s="29" t="n">
        <f aca="false">IFERROR('Player Data'!K645/('Player Data'!K645+'Player Data'!L645),0)</f>
        <v>0.54368932038835</v>
      </c>
      <c r="AC645" s="21" t="str">
        <f aca="false">IF(B645="GK",IF(AND(O645&gt;=Assumptions!$B$23,N645&gt;=Assumptions!$B$23),"Sweeper-Keeper / Build-from-the-Back",IF(O645&gt;=Assumptions!$B$23,"Sweeper-Keeper / High Line",IF(M645&gt;=Assumptions!$B$23,"Shot-Stopper / Traditional","Flexible / Multi-System"))),IF(AND(O645&gt;=Assumptions!$B$23,P645&gt;=Assumptions!$B$24),"High Press / Gegenpressing",IF(AND(N645&gt;=Assumptions!$B$23,AB645&gt;=Assumptions!$B$25),"Possession / Build-from-the-Back",IF(N645&gt;=Assumptions!$B$23,"Counter-Attack / Transition",IF(AND(O645&gt;=Assumptions!$B$23,N645&lt;Assumptions!$B$26),"Low Block / Park the Bus",IF(AND(B645="FW",M645&gt;=Assumptions!$B$23,N645&lt;Assumptions!$B$26),"Direct / Target Approach","Flexible / Multi-System"))))))</f>
        <v>Flexible / Multi-System</v>
      </c>
      <c r="AD645" s="21" t="str">
        <f aca="false">'Player Data'!Y645</f>
        <v>2026-07-17</v>
      </c>
      <c r="AE645" s="21" t="str">
        <f aca="false">'Player Data'!Z645</f>
        <v>2026-07-17</v>
      </c>
      <c r="AF645" s="28" t="str">
        <f aca="false">IFERROR(INDEX(Assumptions!$B$30:$B$61,MATCH(C645,Assumptions!$A$30:$A$61,0)),"--")</f>
        <v>Poland, Norway</v>
      </c>
      <c r="AG645" s="30" t="str">
        <f aca="false">IF(R645&gt;=0.7,"Step-Up Candidate",IF(R645&gt;=0.4,"Lateral Move","Stay &amp; Develop"))</f>
        <v>Stay &amp; Develop</v>
      </c>
    </row>
    <row r="646" customFormat="false" ht="23.85" hidden="false" customHeight="false" outlineLevel="0" collapsed="false">
      <c r="A646" s="21" t="str">
        <f aca="false">'Player Data'!A646</f>
        <v>Ened Duro</v>
      </c>
      <c r="B646" s="21" t="str">
        <f aca="false">'Player Data'!F646</f>
        <v>FW</v>
      </c>
      <c r="C646" s="21" t="str">
        <f aca="false">'Player Data'!B646</f>
        <v>Albania</v>
      </c>
      <c r="D646" s="21" t="str">
        <f aca="false">'Player Data'!C646</f>
        <v>Albania Second Division - West</v>
      </c>
      <c r="E646" s="21" t="n">
        <f aca="false">'Player Data'!D646</f>
        <v>4</v>
      </c>
      <c r="F646" s="21" t="n">
        <f aca="false">'Player Data'!G646</f>
        <v>18</v>
      </c>
      <c r="G646" s="21" t="n">
        <f aca="false">'Player Data'!H646</f>
        <v>2532</v>
      </c>
      <c r="H646" s="22" t="n">
        <f aca="false">IF(B646="GK",IFERROR(('Player Data'!N646-1.5*'Player Data'!O646)/'Player Data'!H646*90,0),IFERROR(('Player Data'!I646+'Player Data'!J646)/'Player Data'!H646*90,0))</f>
        <v>0.568720379146919</v>
      </c>
      <c r="I646" s="22" t="n">
        <f aca="false">IF(B646="GK",'Player Data'!P646,IFERROR(('Player Data'!K646+'Player Data'!L646)/'Player Data'!H646*90,0))</f>
        <v>4.12322274881517</v>
      </c>
      <c r="J646" s="22" t="n">
        <f aca="false">IF(B646="GK",IFERROR('Player Data'!Q646/'Player Data'!H646*90,0),IFERROR('Player Data'!M646/'Player Data'!H646*90,0))</f>
        <v>0.14218009478673</v>
      </c>
      <c r="K646" s="23" t="n">
        <f aca="false">'Player Data'!S646</f>
        <v>91915</v>
      </c>
      <c r="L646" s="22" t="n">
        <f aca="false">INDEX(Assumptions!$B$13:$B$15,MATCH(E646,Assumptions!$A$13:$A$15,0))</f>
        <v>0.7</v>
      </c>
      <c r="M646" s="24" t="n">
        <f aca="false">IFERROR(SUMPRODUCT(($B$2:$B$1001=B646)*($H$2:$H$1001&lt;=H646))/SUMPRODUCT(($B$2:$B$1001=B646)*1),0)</f>
        <v>0.132743362831858</v>
      </c>
      <c r="N646" s="24" t="n">
        <f aca="false">IFERROR(SUMPRODUCT(($B$2:$B$1001=B646)*($I$2:$I$1001&lt;=I646))/SUMPRODUCT(($B$2:$B$1001=B646)*1),0)</f>
        <v>0.0575221238938053</v>
      </c>
      <c r="O646" s="24" t="n">
        <f aca="false">IFERROR(SUMPRODUCT(($B$2:$B$1001=B646)*($J$2:$J$1001&lt;=J646))/SUMPRODUCT(($B$2:$B$1001=B646)*1),0)</f>
        <v>0.00442477876106195</v>
      </c>
      <c r="P646" s="24" t="n">
        <f aca="false">IFERROR(SUMPRODUCT(($B$2:$B$1001=B646)*((0-$F$2:$F$1001)&lt;=(0-F646)))/SUMPRODUCT(($B$2:$B$1001=B646)*1),0)</f>
        <v>0.915929203539823</v>
      </c>
      <c r="Q646" s="25" t="n">
        <f aca="false">(M646*Assumptions!$B$5+N646*Assumptions!$B$6+O646*Assumptions!$B$7+P646*Assumptions!$B$8)*L646</f>
        <v>0.166172566371681</v>
      </c>
      <c r="R646" s="24" t="n">
        <f aca="false">IFERROR(SUMPRODUCT(($B$2:$B$1001=B646)*($Q$2:$Q$1001&lt;=Q646))/SUMPRODUCT(($B$2:$B$1001=B646)*1),0)</f>
        <v>0.0530973451327434</v>
      </c>
      <c r="S646" s="24" t="n">
        <f aca="false">IFERROR(SUMPRODUCT(($B$2:$B$1001=B646)*($K$2:$K$1001&lt;=K646))/SUMPRODUCT(($B$2:$B$1001=B646)*1),0)</f>
        <v>0.663716814159292</v>
      </c>
      <c r="T646" s="26" t="n">
        <f aca="false">(R646-S646)*100</f>
        <v>-61.0619469026549</v>
      </c>
      <c r="U646" s="21" t="str">
        <f aca="false">'Player Data'!T646</f>
        <v>No</v>
      </c>
      <c r="V646" s="27" t="n">
        <f aca="false">'Player Data'!U646</f>
        <v>2028</v>
      </c>
      <c r="W646" s="21" t="str">
        <f aca="false">IF(AND(T646&gt;=Assumptions!$B$19,U646="No"),"High Priority - Unrepresented",IF(T646&gt;=Assumptions!$B$19,"High Priority",IF(AND(T646&gt;=Assumptions!$B$20,U646="No"),"Watchlist - Unrepresented",IF(T646&gt;=Assumptions!$B$20,"Watchlist",""))))</f>
        <v/>
      </c>
      <c r="X646" s="21" t="str">
        <f aca="false">'Player Data'!V646</f>
        <v>info@durresrangers.al</v>
      </c>
      <c r="Y646" s="28" t="str">
        <f aca="false">'Player Data'!W646</f>
        <v>Club sporting director / first-team office</v>
      </c>
      <c r="Z646" s="28" t="str">
        <f aca="false">'Player Data'!X646</f>
        <v>FSHF (Albanian Football Association) player registry</v>
      </c>
      <c r="AA646" s="19" t="str">
        <f aca="false">HYPERLINK("https://www.transfermarkt.com/schnellsuche/ergebnis/schnellsuche?query="&amp;SUBSTITUTE(A646," ","+"),"Search Transfermarkt")</f>
        <v>Search Transfermarkt</v>
      </c>
      <c r="AB646" s="29" t="n">
        <f aca="false">IFERROR('Player Data'!K646/('Player Data'!K646+'Player Data'!L646),0)</f>
        <v>0.318965517241379</v>
      </c>
      <c r="AC646" s="21" t="str">
        <f aca="false">IF(B646="GK",IF(AND(O646&gt;=Assumptions!$B$23,N646&gt;=Assumptions!$B$23),"Sweeper-Keeper / Build-from-the-Back",IF(O646&gt;=Assumptions!$B$23,"Sweeper-Keeper / High Line",IF(M646&gt;=Assumptions!$B$23,"Shot-Stopper / Traditional","Flexible / Multi-System"))),IF(AND(O646&gt;=Assumptions!$B$23,P646&gt;=Assumptions!$B$24),"High Press / Gegenpressing",IF(AND(N646&gt;=Assumptions!$B$23,AB646&gt;=Assumptions!$B$25),"Possession / Build-from-the-Back",IF(N646&gt;=Assumptions!$B$23,"Counter-Attack / Transition",IF(AND(O646&gt;=Assumptions!$B$23,N646&lt;Assumptions!$B$26),"Low Block / Park the Bus",IF(AND(B646="FW",M646&gt;=Assumptions!$B$23,N646&lt;Assumptions!$B$26),"Direct / Target Approach","Flexible / Multi-System"))))))</f>
        <v>Flexible / Multi-System</v>
      </c>
      <c r="AD646" s="21" t="str">
        <f aca="false">'Player Data'!Y646</f>
        <v>2026-07-17</v>
      </c>
      <c r="AE646" s="21" t="str">
        <f aca="false">'Player Data'!Z646</f>
        <v>2026-07-17</v>
      </c>
      <c r="AF646" s="28" t="str">
        <f aca="false">IFERROR(INDEX(Assumptions!$B$30:$B$61,MATCH(C646,Assumptions!$A$30:$A$61,0)),"--")</f>
        <v>Turkey, Poland</v>
      </c>
      <c r="AG646" s="30" t="str">
        <f aca="false">IF(R646&gt;=0.7,"Step-Up Candidate",IF(R646&gt;=0.4,"Lateral Move","Stay &amp; Develop"))</f>
        <v>Stay &amp; Develop</v>
      </c>
    </row>
    <row r="647" customFormat="false" ht="23.85" hidden="false" customHeight="false" outlineLevel="0" collapsed="false">
      <c r="A647" s="21" t="str">
        <f aca="false">'Player Data'!A647</f>
        <v>Nejc Kranjc</v>
      </c>
      <c r="B647" s="21" t="str">
        <f aca="false">'Player Data'!F647</f>
        <v>DF</v>
      </c>
      <c r="C647" s="21" t="str">
        <f aca="false">'Player Data'!B647</f>
        <v>Slovenia</v>
      </c>
      <c r="D647" s="21" t="str">
        <f aca="false">'Player Data'!C647</f>
        <v>Slovenia Provincial League</v>
      </c>
      <c r="E647" s="21" t="n">
        <f aca="false">'Player Data'!D647</f>
        <v>3</v>
      </c>
      <c r="F647" s="21" t="n">
        <f aca="false">'Player Data'!G647</f>
        <v>20</v>
      </c>
      <c r="G647" s="21" t="n">
        <f aca="false">'Player Data'!H647</f>
        <v>1745</v>
      </c>
      <c r="H647" s="22" t="n">
        <f aca="false">IF(B647="GK",IFERROR(('Player Data'!N647-1.5*'Player Data'!O647)/'Player Data'!H647*90,0),IFERROR(('Player Data'!I647+'Player Data'!J647)/'Player Data'!H647*90,0))</f>
        <v>0.154727793696275</v>
      </c>
      <c r="I647" s="22" t="n">
        <f aca="false">IF(B647="GK",'Player Data'!P647,IFERROR(('Player Data'!K647+'Player Data'!L647)/'Player Data'!H647*90,0))</f>
        <v>4.79656160458453</v>
      </c>
      <c r="J647" s="22" t="n">
        <f aca="false">IF(B647="GK",IFERROR('Player Data'!Q647/'Player Data'!H647*90,0),IFERROR('Player Data'!M647/'Player Data'!H647*90,0))</f>
        <v>4.48710601719198</v>
      </c>
      <c r="K647" s="23" t="n">
        <f aca="false">'Player Data'!S647</f>
        <v>72202</v>
      </c>
      <c r="L647" s="22" t="n">
        <f aca="false">INDEX(Assumptions!$B$13:$B$15,MATCH(E647,Assumptions!$A$13:$A$15,0))</f>
        <v>0.85</v>
      </c>
      <c r="M647" s="24" t="n">
        <f aca="false">IFERROR(SUMPRODUCT(($B$2:$B$1001=B647)*($H$2:$H$1001&lt;=H647))/SUMPRODUCT(($B$2:$B$1001=B647)*1),0)</f>
        <v>0.370748299319728</v>
      </c>
      <c r="N647" s="24" t="n">
        <f aca="false">IFERROR(SUMPRODUCT(($B$2:$B$1001=B647)*($I$2:$I$1001&lt;=I647))/SUMPRODUCT(($B$2:$B$1001=B647)*1),0)</f>
        <v>0.571428571428571</v>
      </c>
      <c r="O647" s="24" t="n">
        <f aca="false">IFERROR(SUMPRODUCT(($B$2:$B$1001=B647)*($J$2:$J$1001&lt;=J647))/SUMPRODUCT(($B$2:$B$1001=B647)*1),0)</f>
        <v>0.357142857142857</v>
      </c>
      <c r="P647" s="24" t="n">
        <f aca="false">IFERROR(SUMPRODUCT(($B$2:$B$1001=B647)*((0-$F$2:$F$1001)&lt;=(0-F647)))/SUMPRODUCT(($B$2:$B$1001=B647)*1),0)</f>
        <v>0.656462585034014</v>
      </c>
      <c r="Q647" s="25" t="n">
        <f aca="false">(M647*Assumptions!$B$5+N647*Assumptions!$B$6+O647*Assumptions!$B$7+P647*Assumptions!$B$8)*L647</f>
        <v>0.42109693877551</v>
      </c>
      <c r="R647" s="24" t="n">
        <f aca="false">IFERROR(SUMPRODUCT(($B$2:$B$1001=B647)*($Q$2:$Q$1001&lt;=Q647))/SUMPRODUCT(($B$2:$B$1001=B647)*1),0)</f>
        <v>0.510204081632653</v>
      </c>
      <c r="S647" s="24" t="n">
        <f aca="false">IFERROR(SUMPRODUCT(($B$2:$B$1001=B647)*($K$2:$K$1001&lt;=K647))/SUMPRODUCT(($B$2:$B$1001=B647)*1),0)</f>
        <v>0.564625850340136</v>
      </c>
      <c r="T647" s="26" t="n">
        <f aca="false">(R647-S647)*100</f>
        <v>-5.4421768707483</v>
      </c>
      <c r="U647" s="21" t="str">
        <f aca="false">'Player Data'!T647</f>
        <v>Yes</v>
      </c>
      <c r="V647" s="27" t="n">
        <f aca="false">'Player Data'!U647</f>
        <v>2028</v>
      </c>
      <c r="W647" s="21" t="str">
        <f aca="false">IF(AND(T647&gt;=Assumptions!$B$19,U647="No"),"High Priority - Unrepresented",IF(T647&gt;=Assumptions!$B$19,"High Priority",IF(AND(T647&gt;=Assumptions!$B$20,U647="No"),"Watchlist - Unrepresented",IF(T647&gt;=Assumptions!$B$20,"Watchlist",""))))</f>
        <v/>
      </c>
      <c r="X647" s="21" t="str">
        <f aca="false">'Player Data'!V647</f>
        <v>info@mariborrangers.si</v>
      </c>
      <c r="Y647" s="28" t="str">
        <f aca="false">'Player Data'!W647</f>
        <v>Go through the player's agent - ask the club to confirm representation first</v>
      </c>
      <c r="Z647" s="28" t="str">
        <f aca="false">'Player Data'!X647</f>
        <v>NZS (Football Association of Slovenia) player registry</v>
      </c>
      <c r="AA647" s="19" t="str">
        <f aca="false">HYPERLINK("https://www.transfermarkt.com/schnellsuche/ergebnis/schnellsuche?query="&amp;SUBSTITUTE(A647," ","+"),"Search Transfermarkt")</f>
        <v>Search Transfermarkt</v>
      </c>
      <c r="AB647" s="29" t="n">
        <f aca="false">IFERROR('Player Data'!K647/('Player Data'!K647+'Player Data'!L647),0)</f>
        <v>0.688172043010753</v>
      </c>
      <c r="AC647" s="21" t="str">
        <f aca="false">IF(B647="GK",IF(AND(O647&gt;=Assumptions!$B$23,N647&gt;=Assumptions!$B$23),"Sweeper-Keeper / Build-from-the-Back",IF(O647&gt;=Assumptions!$B$23,"Sweeper-Keeper / High Line",IF(M647&gt;=Assumptions!$B$23,"Shot-Stopper / Traditional","Flexible / Multi-System"))),IF(AND(O647&gt;=Assumptions!$B$23,P647&gt;=Assumptions!$B$24),"High Press / Gegenpressing",IF(AND(N647&gt;=Assumptions!$B$23,AB647&gt;=Assumptions!$B$25),"Possession / Build-from-the-Back",IF(N647&gt;=Assumptions!$B$23,"Counter-Attack / Transition",IF(AND(O647&gt;=Assumptions!$B$23,N647&lt;Assumptions!$B$26),"Low Block / Park the Bus",IF(AND(B647="FW",M647&gt;=Assumptions!$B$23,N647&lt;Assumptions!$B$26),"Direct / Target Approach","Flexible / Multi-System"))))))</f>
        <v>Flexible / Multi-System</v>
      </c>
      <c r="AD647" s="21" t="str">
        <f aca="false">'Player Data'!Y647</f>
        <v>2026-07-17</v>
      </c>
      <c r="AE647" s="21" t="str">
        <f aca="false">'Player Data'!Z647</f>
        <v>2026-07-17</v>
      </c>
      <c r="AF647" s="28" t="str">
        <f aca="false">IFERROR(INDEX(Assumptions!$B$30:$B$61,MATCH(C647,Assumptions!$A$30:$A$61,0)),"--")</f>
        <v>Austria, Poland</v>
      </c>
      <c r="AG647" s="30" t="str">
        <f aca="false">IF(R647&gt;=0.7,"Step-Up Candidate",IF(R647&gt;=0.4,"Lateral Move","Stay &amp; Develop"))</f>
        <v>Lateral Move</v>
      </c>
    </row>
    <row r="648" customFormat="false" ht="23.85" hidden="false" customHeight="false" outlineLevel="0" collapsed="false">
      <c r="A648" s="21" t="str">
        <f aca="false">'Player Data'!A648</f>
        <v>Mamadou Faye</v>
      </c>
      <c r="B648" s="21" t="str">
        <f aca="false">'Player Data'!F648</f>
        <v>DF</v>
      </c>
      <c r="C648" s="21" t="str">
        <f aca="false">'Player Data'!B648</f>
        <v>Senegal</v>
      </c>
      <c r="D648" s="21" t="str">
        <f aca="false">'Player Data'!C648</f>
        <v>Senegal Third Tier - North</v>
      </c>
      <c r="E648" s="21" t="n">
        <f aca="false">'Player Data'!D648</f>
        <v>2</v>
      </c>
      <c r="F648" s="21" t="n">
        <f aca="false">'Player Data'!G648</f>
        <v>26</v>
      </c>
      <c r="G648" s="21" t="n">
        <f aca="false">'Player Data'!H648</f>
        <v>1898</v>
      </c>
      <c r="H648" s="22" t="n">
        <f aca="false">IF(B648="GK",IFERROR(('Player Data'!N648-1.5*'Player Data'!O648)/'Player Data'!H648*90,0),IFERROR(('Player Data'!I648+'Player Data'!J648)/'Player Data'!H648*90,0))</f>
        <v>0.284510010537408</v>
      </c>
      <c r="I648" s="22" t="n">
        <f aca="false">IF(B648="GK",'Player Data'!P648,IFERROR(('Player Data'!K648+'Player Data'!L648)/'Player Data'!H648*90,0))</f>
        <v>3.6986301369863</v>
      </c>
      <c r="J648" s="22" t="n">
        <f aca="false">IF(B648="GK",IFERROR('Player Data'!Q648/'Player Data'!H648*90,0),IFERROR('Player Data'!M648/'Player Data'!H648*90,0))</f>
        <v>4.8840885142255</v>
      </c>
      <c r="K648" s="23" t="n">
        <f aca="false">'Player Data'!S648</f>
        <v>21390</v>
      </c>
      <c r="L648" s="22" t="n">
        <f aca="false">INDEX(Assumptions!$B$13:$B$15,MATCH(E648,Assumptions!$A$13:$A$15,0))</f>
        <v>1</v>
      </c>
      <c r="M648" s="24" t="n">
        <f aca="false">IFERROR(SUMPRODUCT(($B$2:$B$1001=B648)*($H$2:$H$1001&lt;=H648))/SUMPRODUCT(($B$2:$B$1001=B648)*1),0)</f>
        <v>0.738095238095238</v>
      </c>
      <c r="N648" s="24" t="n">
        <f aca="false">IFERROR(SUMPRODUCT(($B$2:$B$1001=B648)*($I$2:$I$1001&lt;=I648))/SUMPRODUCT(($B$2:$B$1001=B648)*1),0)</f>
        <v>0.316326530612245</v>
      </c>
      <c r="O648" s="24" t="n">
        <f aca="false">IFERROR(SUMPRODUCT(($B$2:$B$1001=B648)*($J$2:$J$1001&lt;=J648))/SUMPRODUCT(($B$2:$B$1001=B648)*1),0)</f>
        <v>0.431972789115646</v>
      </c>
      <c r="P648" s="24" t="n">
        <f aca="false">IFERROR(SUMPRODUCT(($B$2:$B$1001=B648)*((0-$F$2:$F$1001)&lt;=(0-F648)))/SUMPRODUCT(($B$2:$B$1001=B648)*1),0)</f>
        <v>0.0748299319727891</v>
      </c>
      <c r="Q648" s="25" t="n">
        <f aca="false">(M648*Assumptions!$B$5+N648*Assumptions!$B$6+O648*Assumptions!$B$7+P648*Assumptions!$B$8)*L648</f>
        <v>0.396598639455782</v>
      </c>
      <c r="R648" s="24" t="n">
        <f aca="false">IFERROR(SUMPRODUCT(($B$2:$B$1001=B648)*($Q$2:$Q$1001&lt;=Q648))/SUMPRODUCT(($B$2:$B$1001=B648)*1),0)</f>
        <v>0.45578231292517</v>
      </c>
      <c r="S648" s="24" t="n">
        <f aca="false">IFERROR(SUMPRODUCT(($B$2:$B$1001=B648)*($K$2:$K$1001&lt;=K648))/SUMPRODUCT(($B$2:$B$1001=B648)*1),0)</f>
        <v>0.30952380952381</v>
      </c>
      <c r="T648" s="26" t="n">
        <f aca="false">(R648-S648)*100</f>
        <v>14.6258503401361</v>
      </c>
      <c r="U648" s="21" t="str">
        <f aca="false">'Player Data'!T648</f>
        <v>Unknown</v>
      </c>
      <c r="V648" s="27" t="n">
        <f aca="false">'Player Data'!U648</f>
        <v>2027</v>
      </c>
      <c r="W648" s="21" t="str">
        <f aca="false">IF(AND(T648&gt;=Assumptions!$B$19,U648="No"),"High Priority - Unrepresented",IF(T648&gt;=Assumptions!$B$19,"High Priority",IF(AND(T648&gt;=Assumptions!$B$20,U648="No"),"Watchlist - Unrepresented",IF(T648&gt;=Assumptions!$B$20,"Watchlist",""))))</f>
        <v/>
      </c>
      <c r="X648" s="21" t="str">
        <f aca="false">'Player Data'!V648</f>
        <v>info@thiesrangers.sn</v>
      </c>
      <c r="Y648" s="28" t="str">
        <f aca="false">'Player Data'!W648</f>
        <v>Club sporting director / first-team office</v>
      </c>
      <c r="Z648" s="28" t="str">
        <f aca="false">'Player Data'!X648</f>
        <v>FSF (Senegalese Football Federation) player registry</v>
      </c>
      <c r="AA648" s="19" t="str">
        <f aca="false">HYPERLINK("https://www.transfermarkt.com/schnellsuche/ergebnis/schnellsuche?query="&amp;SUBSTITUTE(A648," ","+"),"Search Transfermarkt")</f>
        <v>Search Transfermarkt</v>
      </c>
      <c r="AB648" s="29" t="n">
        <f aca="false">IFERROR('Player Data'!K648/('Player Data'!K648+'Player Data'!L648),0)</f>
        <v>0.666666666666667</v>
      </c>
      <c r="AC648" s="21" t="str">
        <f aca="false">IF(B648="GK",IF(AND(O648&gt;=Assumptions!$B$23,N648&gt;=Assumptions!$B$23),"Sweeper-Keeper / Build-from-the-Back",IF(O648&gt;=Assumptions!$B$23,"Sweeper-Keeper / High Line",IF(M648&gt;=Assumptions!$B$23,"Shot-Stopper / Traditional","Flexible / Multi-System"))),IF(AND(O648&gt;=Assumptions!$B$23,P648&gt;=Assumptions!$B$24),"High Press / Gegenpressing",IF(AND(N648&gt;=Assumptions!$B$23,AB648&gt;=Assumptions!$B$25),"Possession / Build-from-the-Back",IF(N648&gt;=Assumptions!$B$23,"Counter-Attack / Transition",IF(AND(O648&gt;=Assumptions!$B$23,N648&lt;Assumptions!$B$26),"Low Block / Park the Bus",IF(AND(B648="FW",M648&gt;=Assumptions!$B$23,N648&lt;Assumptions!$B$26),"Direct / Target Approach","Flexible / Multi-System"))))))</f>
        <v>Flexible / Multi-System</v>
      </c>
      <c r="AD648" s="21" t="str">
        <f aca="false">'Player Data'!Y648</f>
        <v>2026-07-17</v>
      </c>
      <c r="AE648" s="21" t="str">
        <f aca="false">'Player Data'!Z648</f>
        <v>2026-07-17</v>
      </c>
      <c r="AF648" s="28" t="str">
        <f aca="false">IFERROR(INDEX(Assumptions!$B$30:$B$61,MATCH(C648,Assumptions!$A$30:$A$61,0)),"--")</f>
        <v>Belgium, Portugal</v>
      </c>
      <c r="AG648" s="30" t="str">
        <f aca="false">IF(R648&gt;=0.7,"Step-Up Candidate",IF(R648&gt;=0.4,"Lateral Move","Stay &amp; Develop"))</f>
        <v>Lateral Move</v>
      </c>
    </row>
    <row r="649" customFormat="false" ht="23.85" hidden="false" customHeight="false" outlineLevel="0" collapsed="false">
      <c r="A649" s="21" t="str">
        <f aca="false">'Player Data'!A649</f>
        <v>Nam Hoang</v>
      </c>
      <c r="B649" s="21" t="str">
        <f aca="false">'Player Data'!F649</f>
        <v>DF</v>
      </c>
      <c r="C649" s="21" t="str">
        <f aca="false">'Player Data'!B649</f>
        <v>Vietnam</v>
      </c>
      <c r="D649" s="21" t="str">
        <f aca="false">'Player Data'!C649</f>
        <v>Vietnam Amateur League</v>
      </c>
      <c r="E649" s="21" t="n">
        <f aca="false">'Player Data'!D649</f>
        <v>2</v>
      </c>
      <c r="F649" s="21" t="n">
        <f aca="false">'Player Data'!G649</f>
        <v>17</v>
      </c>
      <c r="G649" s="21" t="n">
        <f aca="false">'Player Data'!H649</f>
        <v>1160</v>
      </c>
      <c r="H649" s="22" t="n">
        <f aca="false">IF(B649="GK",IFERROR(('Player Data'!N649-1.5*'Player Data'!O649)/'Player Data'!H649*90,0),IFERROR(('Player Data'!I649+'Player Data'!J649)/'Player Data'!H649*90,0))</f>
        <v>0.543103448275862</v>
      </c>
      <c r="I649" s="22" t="n">
        <f aca="false">IF(B649="GK",'Player Data'!P649,IFERROR(('Player Data'!K649+'Player Data'!L649)/'Player Data'!H649*90,0))</f>
        <v>7.21551724137931</v>
      </c>
      <c r="J649" s="22" t="n">
        <f aca="false">IF(B649="GK",IFERROR('Player Data'!Q649/'Player Data'!H649*90,0),IFERROR('Player Data'!M649/'Player Data'!H649*90,0))</f>
        <v>6.98275862068966</v>
      </c>
      <c r="K649" s="23" t="n">
        <f aca="false">'Player Data'!S649</f>
        <v>0</v>
      </c>
      <c r="L649" s="22" t="n">
        <f aca="false">INDEX(Assumptions!$B$13:$B$15,MATCH(E649,Assumptions!$A$13:$A$15,0))</f>
        <v>1</v>
      </c>
      <c r="M649" s="24" t="n">
        <f aca="false">IFERROR(SUMPRODUCT(($B$2:$B$1001=B649)*($H$2:$H$1001&lt;=H649))/SUMPRODUCT(($B$2:$B$1001=B649)*1),0)</f>
        <v>0.965986394557823</v>
      </c>
      <c r="N649" s="24" t="n">
        <f aca="false">IFERROR(SUMPRODUCT(($B$2:$B$1001=B649)*($I$2:$I$1001&lt;=I649))/SUMPRODUCT(($B$2:$B$1001=B649)*1),0)</f>
        <v>0.840136054421769</v>
      </c>
      <c r="O649" s="24" t="n">
        <f aca="false">IFERROR(SUMPRODUCT(($B$2:$B$1001=B649)*($J$2:$J$1001&lt;=J649))/SUMPRODUCT(($B$2:$B$1001=B649)*1),0)</f>
        <v>0.738095238095238</v>
      </c>
      <c r="P649" s="24" t="n">
        <f aca="false">IFERROR(SUMPRODUCT(($B$2:$B$1001=B649)*((0-$F$2:$F$1001)&lt;=(0-F649)))/SUMPRODUCT(($B$2:$B$1001=B649)*1),0)</f>
        <v>1</v>
      </c>
      <c r="Q649" s="25" t="n">
        <f aca="false">(M649*Assumptions!$B$5+N649*Assumptions!$B$6+O649*Assumptions!$B$7+P649*Assumptions!$B$8)*L649</f>
        <v>0.883163265306123</v>
      </c>
      <c r="R649" s="24" t="n">
        <f aca="false">IFERROR(SUMPRODUCT(($B$2:$B$1001=B649)*($Q$2:$Q$1001&lt;=Q649))/SUMPRODUCT(($B$2:$B$1001=B649)*1),0)</f>
        <v>0.989795918367347</v>
      </c>
      <c r="S649" s="24" t="n">
        <f aca="false">IFERROR(SUMPRODUCT(($B$2:$B$1001=B649)*($K$2:$K$1001&lt;=K649))/SUMPRODUCT(($B$2:$B$1001=B649)*1),0)</f>
        <v>0.248299319727891</v>
      </c>
      <c r="T649" s="26" t="n">
        <f aca="false">(R649-S649)*100</f>
        <v>74.1496598639456</v>
      </c>
      <c r="U649" s="21" t="str">
        <f aca="false">'Player Data'!T649</f>
        <v>Unknown</v>
      </c>
      <c r="V649" s="27" t="n">
        <f aca="false">'Player Data'!U649</f>
        <v>2028</v>
      </c>
      <c r="W649" s="21" t="str">
        <f aca="false">IF(AND(T649&gt;=Assumptions!$B$19,U649="No"),"High Priority - Unrepresented",IF(T649&gt;=Assumptions!$B$19,"High Priority",IF(AND(T649&gt;=Assumptions!$B$20,U649="No"),"Watchlist - Unrepresented",IF(T649&gt;=Assumptions!$B$20,"Watchlist",""))))</f>
        <v>High Priority</v>
      </c>
      <c r="X649" s="21" t="str">
        <f aca="false">'Player Data'!V649</f>
        <v>info@canthotown.vn</v>
      </c>
      <c r="Y649" s="28" t="str">
        <f aca="false">'Player Data'!W649</f>
        <v>Club youth/academy office ONLY - player is a minor, do not contact directly</v>
      </c>
      <c r="Z649" s="28" t="str">
        <f aca="false">'Player Data'!X649</f>
        <v>VFF (Vietnam Football Federation) player registry</v>
      </c>
      <c r="AA649" s="19" t="str">
        <f aca="false">HYPERLINK("https://www.transfermarkt.com/schnellsuche/ergebnis/schnellsuche?query="&amp;SUBSTITUTE(A649," ","+"),"Search Transfermarkt")</f>
        <v>Search Transfermarkt</v>
      </c>
      <c r="AB649" s="29" t="n">
        <f aca="false">IFERROR('Player Data'!K649/('Player Data'!K649+'Player Data'!L649),0)</f>
        <v>0.720430107526882</v>
      </c>
      <c r="AC649" s="21" t="str">
        <f aca="false">IF(B649="GK",IF(AND(O649&gt;=Assumptions!$B$23,N649&gt;=Assumptions!$B$23),"Sweeper-Keeper / Build-from-the-Back",IF(O649&gt;=Assumptions!$B$23,"Sweeper-Keeper / High Line",IF(M649&gt;=Assumptions!$B$23,"Shot-Stopper / Traditional","Flexible / Multi-System"))),IF(AND(O649&gt;=Assumptions!$B$23,P649&gt;=Assumptions!$B$24),"High Press / Gegenpressing",IF(AND(N649&gt;=Assumptions!$B$23,AB649&gt;=Assumptions!$B$25),"Possession / Build-from-the-Back",IF(N649&gt;=Assumptions!$B$23,"Counter-Attack / Transition",IF(AND(O649&gt;=Assumptions!$B$23,N649&lt;Assumptions!$B$26),"Low Block / Park the Bus",IF(AND(B649="FW",M649&gt;=Assumptions!$B$23,N649&lt;Assumptions!$B$26),"Direct / Target Approach","Flexible / Multi-System"))))))</f>
        <v>High Press / Gegenpressing</v>
      </c>
      <c r="AD649" s="21" t="str">
        <f aca="false">'Player Data'!Y649</f>
        <v>2026-07-17</v>
      </c>
      <c r="AE649" s="21" t="str">
        <f aca="false">'Player Data'!Z649</f>
        <v>2026-07-17</v>
      </c>
      <c r="AF649" s="28" t="str">
        <f aca="false">IFERROR(INDEX(Assumptions!$B$30:$B$61,MATCH(C649,Assumptions!$A$30:$A$61,0)),"--")</f>
        <v>Australia, Saudi Arabia</v>
      </c>
      <c r="AG649" s="30" t="str">
        <f aca="false">IF(R649&gt;=0.7,"Step-Up Candidate",IF(R649&gt;=0.4,"Lateral Move","Stay &amp; Develop"))</f>
        <v>Step-Up Candidate</v>
      </c>
    </row>
    <row r="650" customFormat="false" ht="23.85" hidden="false" customHeight="false" outlineLevel="0" collapsed="false">
      <c r="A650" s="21" t="str">
        <f aca="false">'Player Data'!A650</f>
        <v>Adalberto Perez</v>
      </c>
      <c r="B650" s="21" t="str">
        <f aca="false">'Player Data'!F650</f>
        <v>MF</v>
      </c>
      <c r="C650" s="21" t="str">
        <f aca="false">'Player Data'!B650</f>
        <v>Panama</v>
      </c>
      <c r="D650" s="21" t="str">
        <f aca="false">'Player Data'!C650</f>
        <v>Panama Second Division - East</v>
      </c>
      <c r="E650" s="21" t="n">
        <f aca="false">'Player Data'!D650</f>
        <v>2</v>
      </c>
      <c r="F650" s="21" t="n">
        <f aca="false">'Player Data'!G650</f>
        <v>24</v>
      </c>
      <c r="G650" s="21" t="n">
        <f aca="false">'Player Data'!H650</f>
        <v>1667</v>
      </c>
      <c r="H650" s="22" t="n">
        <f aca="false">IF(B650="GK",IFERROR(('Player Data'!N650-1.5*'Player Data'!O650)/'Player Data'!H650*90,0),IFERROR(('Player Data'!I650+'Player Data'!J650)/'Player Data'!H650*90,0))</f>
        <v>0.755848830233953</v>
      </c>
      <c r="I650" s="22" t="n">
        <f aca="false">IF(B650="GK",'Player Data'!P650,IFERROR(('Player Data'!K650+'Player Data'!L650)/'Player Data'!H650*90,0))</f>
        <v>13.6052789442112</v>
      </c>
      <c r="J650" s="22" t="n">
        <f aca="false">IF(B650="GK",IFERROR('Player Data'!Q650/'Player Data'!H650*90,0),IFERROR('Player Data'!M650/'Player Data'!H650*90,0))</f>
        <v>1.83563287342532</v>
      </c>
      <c r="K650" s="23" t="n">
        <f aca="false">'Player Data'!S650</f>
        <v>123064</v>
      </c>
      <c r="L650" s="22" t="n">
        <f aca="false">INDEX(Assumptions!$B$13:$B$15,MATCH(E650,Assumptions!$A$13:$A$15,0))</f>
        <v>1</v>
      </c>
      <c r="M650" s="24" t="n">
        <f aca="false">IFERROR(SUMPRODUCT(($B$2:$B$1001=B650)*($H$2:$H$1001&lt;=H650))/SUMPRODUCT(($B$2:$B$1001=B650)*1),0)</f>
        <v>0.518518518518519</v>
      </c>
      <c r="N650" s="24" t="n">
        <f aca="false">IFERROR(SUMPRODUCT(($B$2:$B$1001=B650)*($I$2:$I$1001&lt;=I650))/SUMPRODUCT(($B$2:$B$1001=B650)*1),0)</f>
        <v>0.686868686868687</v>
      </c>
      <c r="O650" s="24" t="n">
        <f aca="false">IFERROR(SUMPRODUCT(($B$2:$B$1001=B650)*($J$2:$J$1001&lt;=J650))/SUMPRODUCT(($B$2:$B$1001=B650)*1),0)</f>
        <v>0.343434343434343</v>
      </c>
      <c r="P650" s="24" t="n">
        <f aca="false">IFERROR(SUMPRODUCT(($B$2:$B$1001=B650)*((0-$F$2:$F$1001)&lt;=(0-F650)))/SUMPRODUCT(($B$2:$B$1001=B650)*1),0)</f>
        <v>0.326599326599327</v>
      </c>
      <c r="Q650" s="25" t="n">
        <f aca="false">(M650*Assumptions!$B$5+N650*Assumptions!$B$6+O650*Assumptions!$B$7+P650*Assumptions!$B$8)*L650</f>
        <v>0.504040404040404</v>
      </c>
      <c r="R650" s="24" t="n">
        <f aca="false">IFERROR(SUMPRODUCT(($B$2:$B$1001=B650)*($Q$2:$Q$1001&lt;=Q650))/SUMPRODUCT(($B$2:$B$1001=B650)*1),0)</f>
        <v>0.609427609427609</v>
      </c>
      <c r="S650" s="24" t="n">
        <f aca="false">IFERROR(SUMPRODUCT(($B$2:$B$1001=B650)*($K$2:$K$1001&lt;=K650))/SUMPRODUCT(($B$2:$B$1001=B650)*1),0)</f>
        <v>0.875420875420875</v>
      </c>
      <c r="T650" s="26" t="n">
        <f aca="false">(R650-S650)*100</f>
        <v>-26.5993265993266</v>
      </c>
      <c r="U650" s="21" t="str">
        <f aca="false">'Player Data'!T650</f>
        <v>Yes</v>
      </c>
      <c r="V650" s="27" t="n">
        <f aca="false">'Player Data'!U650</f>
        <v>2029</v>
      </c>
      <c r="W650" s="21" t="str">
        <f aca="false">IF(AND(T650&gt;=Assumptions!$B$19,U650="No"),"High Priority - Unrepresented",IF(T650&gt;=Assumptions!$B$19,"High Priority",IF(AND(T650&gt;=Assumptions!$B$20,U650="No"),"Watchlist - Unrepresented",IF(T650&gt;=Assumptions!$B$20,"Watchlist",""))))</f>
        <v/>
      </c>
      <c r="X650" s="21" t="str">
        <f aca="false">'Player Data'!V650</f>
        <v>info@panamacitytown.pa</v>
      </c>
      <c r="Y650" s="28" t="str">
        <f aca="false">'Player Data'!W650</f>
        <v>Go through the player's agent - ask the club to confirm representation first</v>
      </c>
      <c r="Z650" s="28" t="str">
        <f aca="false">'Player Data'!X650</f>
        <v>FEPAFUT (Panamanian Football Federation) player registry</v>
      </c>
      <c r="AA650" s="19" t="str">
        <f aca="false">HYPERLINK("https://www.transfermarkt.com/schnellsuche/ergebnis/schnellsuche?query="&amp;SUBSTITUTE(A650," ","+"),"Search Transfermarkt")</f>
        <v>Search Transfermarkt</v>
      </c>
      <c r="AB650" s="29" t="n">
        <f aca="false">IFERROR('Player Data'!K650/('Player Data'!K650+'Player Data'!L650),0)</f>
        <v>0.666666666666667</v>
      </c>
      <c r="AC650" s="21" t="str">
        <f aca="false">IF(B650="GK",IF(AND(O650&gt;=Assumptions!$B$23,N650&gt;=Assumptions!$B$23),"Sweeper-Keeper / Build-from-the-Back",IF(O650&gt;=Assumptions!$B$23,"Sweeper-Keeper / High Line",IF(M650&gt;=Assumptions!$B$23,"Shot-Stopper / Traditional","Flexible / Multi-System"))),IF(AND(O650&gt;=Assumptions!$B$23,P650&gt;=Assumptions!$B$24),"High Press / Gegenpressing",IF(AND(N650&gt;=Assumptions!$B$23,AB650&gt;=Assumptions!$B$25),"Possession / Build-from-the-Back",IF(N650&gt;=Assumptions!$B$23,"Counter-Attack / Transition",IF(AND(O650&gt;=Assumptions!$B$23,N650&lt;Assumptions!$B$26),"Low Block / Park the Bus",IF(AND(B650="FW",M650&gt;=Assumptions!$B$23,N650&lt;Assumptions!$B$26),"Direct / Target Approach","Flexible / Multi-System"))))))</f>
        <v>Possession / Build-from-the-Back</v>
      </c>
      <c r="AD650" s="21" t="str">
        <f aca="false">'Player Data'!Y650</f>
        <v>2026-07-17</v>
      </c>
      <c r="AE650" s="21" t="str">
        <f aca="false">'Player Data'!Z650</f>
        <v>2026-07-17</v>
      </c>
      <c r="AF650" s="28" t="str">
        <f aca="false">IFERROR(INDEX(Assumptions!$B$30:$B$61,MATCH(C650,Assumptions!$A$30:$A$61,0)),"--")</f>
        <v>Mexico, United States</v>
      </c>
      <c r="AG650" s="30" t="str">
        <f aca="false">IF(R650&gt;=0.7,"Step-Up Candidate",IF(R650&gt;=0.4,"Lateral Move","Stay &amp; Develop"))</f>
        <v>Lateral Move</v>
      </c>
    </row>
    <row r="651" customFormat="false" ht="23.85" hidden="false" customHeight="false" outlineLevel="0" collapsed="false">
      <c r="A651" s="21" t="str">
        <f aca="false">'Player Data'!A651</f>
        <v>Roman Escobar</v>
      </c>
      <c r="B651" s="21" t="str">
        <f aca="false">'Player Data'!F651</f>
        <v>GK</v>
      </c>
      <c r="C651" s="21" t="str">
        <f aca="false">'Player Data'!B651</f>
        <v>Panama</v>
      </c>
      <c r="D651" s="21" t="str">
        <f aca="false">'Player Data'!C651</f>
        <v>Panama Amateur League</v>
      </c>
      <c r="E651" s="21" t="n">
        <f aca="false">'Player Data'!D651</f>
        <v>2</v>
      </c>
      <c r="F651" s="21" t="n">
        <f aca="false">'Player Data'!G651</f>
        <v>19</v>
      </c>
      <c r="G651" s="21" t="n">
        <f aca="false">'Player Data'!H651</f>
        <v>1445</v>
      </c>
      <c r="H651" s="22" t="n">
        <f aca="false">IF(B651="GK",IFERROR(('Player Data'!N651-1.5*'Player Data'!O651)/'Player Data'!H651*90,0),IFERROR(('Player Data'!I651+'Player Data'!J651)/'Player Data'!H651*90,0))</f>
        <v>2.42906574394464</v>
      </c>
      <c r="I651" s="22" t="n">
        <f aca="false">IF(B651="GK",'Player Data'!P651,IFERROR(('Player Data'!K651+'Player Data'!L651)/'Player Data'!H651*90,0))</f>
        <v>66.2</v>
      </c>
      <c r="J651" s="22" t="n">
        <f aca="false">IF(B651="GK",IFERROR('Player Data'!Q651/'Player Data'!H651*90,0),IFERROR('Player Data'!M651/'Player Data'!H651*90,0))</f>
        <v>1.00899653979239</v>
      </c>
      <c r="K651" s="23" t="n">
        <f aca="false">'Player Data'!S651</f>
        <v>74944</v>
      </c>
      <c r="L651" s="22" t="n">
        <f aca="false">INDEX(Assumptions!$B$13:$B$15,MATCH(E651,Assumptions!$A$13:$A$15,0))</f>
        <v>1</v>
      </c>
      <c r="M651" s="24" t="n">
        <f aca="false">IFERROR(SUMPRODUCT(($B$2:$B$1001=B651)*($H$2:$H$1001&lt;=H651))/SUMPRODUCT(($B$2:$B$1001=B651)*1),0)</f>
        <v>0.961748633879781</v>
      </c>
      <c r="N651" s="24" t="n">
        <f aca="false">IFERROR(SUMPRODUCT(($B$2:$B$1001=B651)*($I$2:$I$1001&lt;=I651))/SUMPRODUCT(($B$2:$B$1001=B651)*1),0)</f>
        <v>0.3224043715847</v>
      </c>
      <c r="O651" s="24" t="n">
        <f aca="false">IFERROR(SUMPRODUCT(($B$2:$B$1001=B651)*($J$2:$J$1001&lt;=J651))/SUMPRODUCT(($B$2:$B$1001=B651)*1),0)</f>
        <v>0.612021857923497</v>
      </c>
      <c r="P651" s="24" t="n">
        <f aca="false">IFERROR(SUMPRODUCT(($B$2:$B$1001=B651)*((0-$F$2:$F$1001)&lt;=(0-F651)))/SUMPRODUCT(($B$2:$B$1001=B651)*1),0)</f>
        <v>0.770491803278689</v>
      </c>
      <c r="Q651" s="25" t="n">
        <f aca="false">(M651*Assumptions!$B$5+N651*Assumptions!$B$6+O651*Assumptions!$B$7+P651*Assumptions!$B$8)*L651</f>
        <v>0.629781420765027</v>
      </c>
      <c r="R651" s="24" t="n">
        <f aca="false">IFERROR(SUMPRODUCT(($B$2:$B$1001=B651)*($Q$2:$Q$1001&lt;=Q651))/SUMPRODUCT(($B$2:$B$1001=B651)*1),0)</f>
        <v>0.923497267759563</v>
      </c>
      <c r="S651" s="24" t="n">
        <f aca="false">IFERROR(SUMPRODUCT(($B$2:$B$1001=B651)*($K$2:$K$1001&lt;=K651))/SUMPRODUCT(($B$2:$B$1001=B651)*1),0)</f>
        <v>0.551912568306011</v>
      </c>
      <c r="T651" s="26" t="n">
        <f aca="false">(R651-S651)*100</f>
        <v>37.1584699453552</v>
      </c>
      <c r="U651" s="21" t="str">
        <f aca="false">'Player Data'!T651</f>
        <v>Unknown</v>
      </c>
      <c r="V651" s="27" t="n">
        <f aca="false">'Player Data'!U651</f>
        <v>2028</v>
      </c>
      <c r="W651" s="21" t="str">
        <f aca="false">IF(AND(T651&gt;=Assumptions!$B$19,U651="No"),"High Priority - Unrepresented",IF(T651&gt;=Assumptions!$B$19,"High Priority",IF(AND(T651&gt;=Assumptions!$B$20,U651="No"),"Watchlist - Unrepresented",IF(T651&gt;=Assumptions!$B$20,"Watchlist",""))))</f>
        <v>Watchlist</v>
      </c>
      <c r="X651" s="21" t="str">
        <f aca="false">'Player Data'!V651</f>
        <v>info@colonfc.pa</v>
      </c>
      <c r="Y651" s="28" t="str">
        <f aca="false">'Player Data'!W651</f>
        <v>Club sporting director / first-team office</v>
      </c>
      <c r="Z651" s="28" t="str">
        <f aca="false">'Player Data'!X651</f>
        <v>FEPAFUT (Panamanian Football Federation) player registry</v>
      </c>
      <c r="AA651" s="19" t="str">
        <f aca="false">HYPERLINK("https://www.transfermarkt.com/schnellsuche/ergebnis/schnellsuche?query="&amp;SUBSTITUTE(A651," ","+"),"Search Transfermarkt")</f>
        <v>Search Transfermarkt</v>
      </c>
      <c r="AB651" s="29" t="n">
        <f aca="false">IFERROR('Player Data'!K651/('Player Data'!K651+'Player Data'!L651),0)</f>
        <v>0.8125</v>
      </c>
      <c r="AC651" s="21" t="str">
        <f aca="false">IF(B651="GK",IF(AND(O651&gt;=Assumptions!$B$23,N651&gt;=Assumptions!$B$23),"Sweeper-Keeper / Build-from-the-Back",IF(O651&gt;=Assumptions!$B$23,"Sweeper-Keeper / High Line",IF(M651&gt;=Assumptions!$B$23,"Shot-Stopper / Traditional","Flexible / Multi-System"))),IF(AND(O651&gt;=Assumptions!$B$23,P651&gt;=Assumptions!$B$24),"High Press / Gegenpressing",IF(AND(N651&gt;=Assumptions!$B$23,AB651&gt;=Assumptions!$B$25),"Possession / Build-from-the-Back",IF(N651&gt;=Assumptions!$B$23,"Counter-Attack / Transition",IF(AND(O651&gt;=Assumptions!$B$23,N651&lt;Assumptions!$B$26),"Low Block / Park the Bus",IF(AND(B651="FW",M651&gt;=Assumptions!$B$23,N651&lt;Assumptions!$B$26),"Direct / Target Approach","Flexible / Multi-System"))))))</f>
        <v>Shot-Stopper / Traditional</v>
      </c>
      <c r="AD651" s="21" t="str">
        <f aca="false">'Player Data'!Y651</f>
        <v>2026-07-17</v>
      </c>
      <c r="AE651" s="21" t="str">
        <f aca="false">'Player Data'!Z651</f>
        <v>2026-07-17</v>
      </c>
      <c r="AF651" s="28" t="str">
        <f aca="false">IFERROR(INDEX(Assumptions!$B$30:$B$61,MATCH(C651,Assumptions!$A$30:$A$61,0)),"--")</f>
        <v>Mexico, United States</v>
      </c>
      <c r="AG651" s="30" t="str">
        <f aca="false">IF(R651&gt;=0.7,"Step-Up Candidate",IF(R651&gt;=0.4,"Lateral Move","Stay &amp; Develop"))</f>
        <v>Step-Up Candidate</v>
      </c>
    </row>
    <row r="652" customFormat="false" ht="23.85" hidden="false" customHeight="false" outlineLevel="0" collapsed="false">
      <c r="A652" s="21" t="str">
        <f aca="false">'Player Data'!A652</f>
        <v>Callum Clarke</v>
      </c>
      <c r="B652" s="21" t="str">
        <f aca="false">'Player Data'!F652</f>
        <v>FW</v>
      </c>
      <c r="C652" s="21" t="str">
        <f aca="false">'Player Data'!B652</f>
        <v>New Zealand</v>
      </c>
      <c r="D652" s="21" t="str">
        <f aca="false">'Player Data'!C652</f>
        <v>New Zealand Third Tier - North</v>
      </c>
      <c r="E652" s="21" t="n">
        <f aca="false">'Player Data'!D652</f>
        <v>4</v>
      </c>
      <c r="F652" s="21" t="n">
        <f aca="false">'Player Data'!G652</f>
        <v>24</v>
      </c>
      <c r="G652" s="21" t="n">
        <f aca="false">'Player Data'!H652</f>
        <v>1058</v>
      </c>
      <c r="H652" s="22" t="n">
        <f aca="false">IF(B652="GK",IFERROR(('Player Data'!N652-1.5*'Player Data'!O652)/'Player Data'!H652*90,0),IFERROR(('Player Data'!I652+'Player Data'!J652)/'Player Data'!H652*90,0))</f>
        <v>1.78638941398866</v>
      </c>
      <c r="I652" s="22" t="n">
        <f aca="false">IF(B652="GK",'Player Data'!P652,IFERROR(('Player Data'!K652+'Player Data'!L652)/'Player Data'!H652*90,0))</f>
        <v>13.0151228733459</v>
      </c>
      <c r="J652" s="22" t="n">
        <f aca="false">IF(B652="GK",IFERROR('Player Data'!Q652/'Player Data'!H652*90,0),IFERROR('Player Data'!M652/'Player Data'!H652*90,0))</f>
        <v>1.27599243856333</v>
      </c>
      <c r="K652" s="23" t="n">
        <f aca="false">'Player Data'!S652</f>
        <v>12897</v>
      </c>
      <c r="L652" s="22" t="n">
        <f aca="false">INDEX(Assumptions!$B$13:$B$15,MATCH(E652,Assumptions!$A$13:$A$15,0))</f>
        <v>0.7</v>
      </c>
      <c r="M652" s="24" t="n">
        <f aca="false">IFERROR(SUMPRODUCT(($B$2:$B$1001=B652)*($H$2:$H$1001&lt;=H652))/SUMPRODUCT(($B$2:$B$1001=B652)*1),0)</f>
        <v>0.924778761061947</v>
      </c>
      <c r="N652" s="24" t="n">
        <f aca="false">IFERROR(SUMPRODUCT(($B$2:$B$1001=B652)*($I$2:$I$1001&lt;=I652))/SUMPRODUCT(($B$2:$B$1001=B652)*1),0)</f>
        <v>0.942477876106195</v>
      </c>
      <c r="O652" s="24" t="n">
        <f aca="false">IFERROR(SUMPRODUCT(($B$2:$B$1001=B652)*($J$2:$J$1001&lt;=J652))/SUMPRODUCT(($B$2:$B$1001=B652)*1),0)</f>
        <v>0.951327433628319</v>
      </c>
      <c r="P652" s="24" t="n">
        <f aca="false">IFERROR(SUMPRODUCT(($B$2:$B$1001=B652)*((0-$F$2:$F$1001)&lt;=(0-F652)))/SUMPRODUCT(($B$2:$B$1001=B652)*1),0)</f>
        <v>0.305309734513274</v>
      </c>
      <c r="Q652" s="25" t="n">
        <f aca="false">(M652*Assumptions!$B$5+N652*Assumptions!$B$6+O652*Assumptions!$B$7+P652*Assumptions!$B$8)*L652</f>
        <v>0.568672566371681</v>
      </c>
      <c r="R652" s="24" t="n">
        <f aca="false">IFERROR(SUMPRODUCT(($B$2:$B$1001=B652)*($Q$2:$Q$1001&lt;=Q652))/SUMPRODUCT(($B$2:$B$1001=B652)*1),0)</f>
        <v>0.707964601769912</v>
      </c>
      <c r="S652" s="24" t="n">
        <f aca="false">IFERROR(SUMPRODUCT(($B$2:$B$1001=B652)*($K$2:$K$1001&lt;=K652))/SUMPRODUCT(($B$2:$B$1001=B652)*1),0)</f>
        <v>0.29646017699115</v>
      </c>
      <c r="T652" s="26" t="n">
        <f aca="false">(R652-S652)*100</f>
        <v>41.1504424778761</v>
      </c>
      <c r="U652" s="21" t="str">
        <f aca="false">'Player Data'!T652</f>
        <v>Unknown</v>
      </c>
      <c r="V652" s="27" t="n">
        <f aca="false">'Player Data'!U652</f>
        <v>2029</v>
      </c>
      <c r="W652" s="21" t="str">
        <f aca="false">IF(AND(T652&gt;=Assumptions!$B$19,U652="No"),"High Priority - Unrepresented",IF(T652&gt;=Assumptions!$B$19,"High Priority",IF(AND(T652&gt;=Assumptions!$B$20,U652="No"),"Watchlist - Unrepresented",IF(T652&gt;=Assumptions!$B$20,"Watchlist",""))))</f>
        <v>High Priority</v>
      </c>
      <c r="X652" s="21" t="str">
        <f aca="false">'Player Data'!V652</f>
        <v>info@aucklandsc.nz</v>
      </c>
      <c r="Y652" s="28" t="str">
        <f aca="false">'Player Data'!W652</f>
        <v>Club sporting director / first-team office</v>
      </c>
      <c r="Z652" s="28" t="str">
        <f aca="false">'Player Data'!X652</f>
        <v>NZF (New Zealand Football) player registry</v>
      </c>
      <c r="AA652" s="19" t="str">
        <f aca="false">HYPERLINK("https://www.transfermarkt.com/schnellsuche/ergebnis/schnellsuche?query="&amp;SUBSTITUTE(A652," ","+"),"Search Transfermarkt")</f>
        <v>Search Transfermarkt</v>
      </c>
      <c r="AB652" s="29" t="n">
        <f aca="false">IFERROR('Player Data'!K652/('Player Data'!K652+'Player Data'!L652),0)</f>
        <v>0.339869281045752</v>
      </c>
      <c r="AC652" s="21" t="str">
        <f aca="false">IF(B652="GK",IF(AND(O652&gt;=Assumptions!$B$23,N652&gt;=Assumptions!$B$23),"Sweeper-Keeper / Build-from-the-Back",IF(O652&gt;=Assumptions!$B$23,"Sweeper-Keeper / High Line",IF(M652&gt;=Assumptions!$B$23,"Shot-Stopper / Traditional","Flexible / Multi-System"))),IF(AND(O652&gt;=Assumptions!$B$23,P652&gt;=Assumptions!$B$24),"High Press / Gegenpressing",IF(AND(N652&gt;=Assumptions!$B$23,AB652&gt;=Assumptions!$B$25),"Possession / Build-from-the-Back",IF(N652&gt;=Assumptions!$B$23,"Counter-Attack / Transition",IF(AND(O652&gt;=Assumptions!$B$23,N652&lt;Assumptions!$B$26),"Low Block / Park the Bus",IF(AND(B652="FW",M652&gt;=Assumptions!$B$23,N652&lt;Assumptions!$B$26),"Direct / Target Approach","Flexible / Multi-System"))))))</f>
        <v>Counter-Attack / Transition</v>
      </c>
      <c r="AD652" s="21" t="str">
        <f aca="false">'Player Data'!Y652</f>
        <v>2026-07-17</v>
      </c>
      <c r="AE652" s="21" t="str">
        <f aca="false">'Player Data'!Z652</f>
        <v>2026-07-17</v>
      </c>
      <c r="AF652" s="28" t="str">
        <f aca="false">IFERROR(INDEX(Assumptions!$B$30:$B$61,MATCH(C652,Assumptions!$A$30:$A$61,0)),"--")</f>
        <v>Australia, United States</v>
      </c>
      <c r="AG652" s="30" t="str">
        <f aca="false">IF(R652&gt;=0.7,"Step-Up Candidate",IF(R652&gt;=0.4,"Lateral Move","Stay &amp; Develop"))</f>
        <v>Step-Up Candidate</v>
      </c>
    </row>
    <row r="653" customFormat="false" ht="23.85" hidden="false" customHeight="false" outlineLevel="0" collapsed="false">
      <c r="A653" s="21" t="str">
        <f aca="false">'Player Data'!A653</f>
        <v>Blaze Naumovski</v>
      </c>
      <c r="B653" s="21" t="str">
        <f aca="false">'Player Data'!F653</f>
        <v>GK</v>
      </c>
      <c r="C653" s="21" t="str">
        <f aca="false">'Player Data'!B653</f>
        <v>North Macedonia</v>
      </c>
      <c r="D653" s="21" t="str">
        <f aca="false">'Player Data'!C653</f>
        <v>North Macedonia Reserve League</v>
      </c>
      <c r="E653" s="21" t="n">
        <f aca="false">'Player Data'!D653</f>
        <v>2</v>
      </c>
      <c r="F653" s="21" t="n">
        <f aca="false">'Player Data'!G653</f>
        <v>18</v>
      </c>
      <c r="G653" s="21" t="n">
        <f aca="false">'Player Data'!H653</f>
        <v>2472</v>
      </c>
      <c r="H653" s="22" t="n">
        <f aca="false">IF(B653="GK",IFERROR(('Player Data'!N653-1.5*'Player Data'!O653)/'Player Data'!H653*90,0),IFERROR(('Player Data'!I653+'Player Data'!J653)/'Player Data'!H653*90,0))</f>
        <v>1.875</v>
      </c>
      <c r="I653" s="22" t="n">
        <f aca="false">IF(B653="GK",'Player Data'!P653,IFERROR(('Player Data'!K653+'Player Data'!L653)/'Player Data'!H653*90,0))</f>
        <v>62.2</v>
      </c>
      <c r="J653" s="22" t="n">
        <f aca="false">IF(B653="GK",IFERROR('Player Data'!Q653/'Player Data'!H653*90,0),IFERROR('Player Data'!M653/'Player Data'!H653*90,0))</f>
        <v>1.24150485436893</v>
      </c>
      <c r="K653" s="23" t="n">
        <f aca="false">'Player Data'!S653</f>
        <v>120026</v>
      </c>
      <c r="L653" s="22" t="n">
        <f aca="false">INDEX(Assumptions!$B$13:$B$15,MATCH(E653,Assumptions!$A$13:$A$15,0))</f>
        <v>1</v>
      </c>
      <c r="M653" s="24" t="n">
        <f aca="false">IFERROR(SUMPRODUCT(($B$2:$B$1001=B653)*($H$2:$H$1001&lt;=H653))/SUMPRODUCT(($B$2:$B$1001=B653)*1),0)</f>
        <v>0.841530054644809</v>
      </c>
      <c r="N653" s="24" t="n">
        <f aca="false">IFERROR(SUMPRODUCT(($B$2:$B$1001=B653)*($I$2:$I$1001&lt;=I653))/SUMPRODUCT(($B$2:$B$1001=B653)*1),0)</f>
        <v>0.218579234972678</v>
      </c>
      <c r="O653" s="24" t="n">
        <f aca="false">IFERROR(SUMPRODUCT(($B$2:$B$1001=B653)*($J$2:$J$1001&lt;=J653))/SUMPRODUCT(($B$2:$B$1001=B653)*1),0)</f>
        <v>0.759562841530055</v>
      </c>
      <c r="P653" s="24" t="n">
        <f aca="false">IFERROR(SUMPRODUCT(($B$2:$B$1001=B653)*((0-$F$2:$F$1001)&lt;=(0-F653)))/SUMPRODUCT(($B$2:$B$1001=B653)*1),0)</f>
        <v>0.907103825136612</v>
      </c>
      <c r="Q653" s="25" t="n">
        <f aca="false">(M653*Assumptions!$B$5+N653*Assumptions!$B$6+O653*Assumptions!$B$7+P653*Assumptions!$B$8)*L653</f>
        <v>0.620218579234973</v>
      </c>
      <c r="R653" s="24" t="n">
        <f aca="false">IFERROR(SUMPRODUCT(($B$2:$B$1001=B653)*($Q$2:$Q$1001&lt;=Q653))/SUMPRODUCT(($B$2:$B$1001=B653)*1),0)</f>
        <v>0.901639344262295</v>
      </c>
      <c r="S653" s="24" t="n">
        <f aca="false">IFERROR(SUMPRODUCT(($B$2:$B$1001=B653)*($K$2:$K$1001&lt;=K653))/SUMPRODUCT(($B$2:$B$1001=B653)*1),0)</f>
        <v>0.808743169398907</v>
      </c>
      <c r="T653" s="26" t="n">
        <f aca="false">(R653-S653)*100</f>
        <v>9.2896174863388</v>
      </c>
      <c r="U653" s="21" t="str">
        <f aca="false">'Player Data'!T653</f>
        <v>No</v>
      </c>
      <c r="V653" s="27" t="n">
        <f aca="false">'Player Data'!U653</f>
        <v>2029</v>
      </c>
      <c r="W653" s="21" t="str">
        <f aca="false">IF(AND(T653&gt;=Assumptions!$B$19,U653="No"),"High Priority - Unrepresented",IF(T653&gt;=Assumptions!$B$19,"High Priority",IF(AND(T653&gt;=Assumptions!$B$20,U653="No"),"Watchlist - Unrepresented",IF(T653&gt;=Assumptions!$B$20,"Watchlist",""))))</f>
        <v/>
      </c>
      <c r="X653" s="21" t="str">
        <f aca="false">'Player Data'!V653</f>
        <v>info@negotinotown.mk</v>
      </c>
      <c r="Y653" s="28" t="str">
        <f aca="false">'Player Data'!W653</f>
        <v>Club sporting director / first-team office</v>
      </c>
      <c r="Z653" s="28" t="str">
        <f aca="false">'Player Data'!X653</f>
        <v>FFM (Football Federation of North Macedonia) player registry</v>
      </c>
      <c r="AA653" s="19" t="str">
        <f aca="false">HYPERLINK("https://www.transfermarkt.com/schnellsuche/ergebnis/schnellsuche?query="&amp;SUBSTITUTE(A653," ","+"),"Search Transfermarkt")</f>
        <v>Search Transfermarkt</v>
      </c>
      <c r="AB653" s="29" t="n">
        <f aca="false">IFERROR('Player Data'!K653/('Player Data'!K653+'Player Data'!L653),0)</f>
        <v>0.823529411764706</v>
      </c>
      <c r="AC653" s="21" t="str">
        <f aca="false">IF(B653="GK",IF(AND(O653&gt;=Assumptions!$B$23,N653&gt;=Assumptions!$B$23),"Sweeper-Keeper / Build-from-the-Back",IF(O653&gt;=Assumptions!$B$23,"Sweeper-Keeper / High Line",IF(M653&gt;=Assumptions!$B$23,"Shot-Stopper / Traditional","Flexible / Multi-System"))),IF(AND(O653&gt;=Assumptions!$B$23,P653&gt;=Assumptions!$B$24),"High Press / Gegenpressing",IF(AND(N653&gt;=Assumptions!$B$23,AB653&gt;=Assumptions!$B$25),"Possession / Build-from-the-Back",IF(N653&gt;=Assumptions!$B$23,"Counter-Attack / Transition",IF(AND(O653&gt;=Assumptions!$B$23,N653&lt;Assumptions!$B$26),"Low Block / Park the Bus",IF(AND(B653="FW",M653&gt;=Assumptions!$B$23,N653&lt;Assumptions!$B$26),"Direct / Target Approach","Flexible / Multi-System"))))))</f>
        <v>Sweeper-Keeper / High Line</v>
      </c>
      <c r="AD653" s="21" t="str">
        <f aca="false">'Player Data'!Y653</f>
        <v>2026-07-17</v>
      </c>
      <c r="AE653" s="21" t="str">
        <f aca="false">'Player Data'!Z653</f>
        <v>2026-07-17</v>
      </c>
      <c r="AF653" s="28" t="str">
        <f aca="false">IFERROR(INDEX(Assumptions!$B$30:$B$61,MATCH(C653,Assumptions!$A$30:$A$61,0)),"--")</f>
        <v>Austria, Turkey</v>
      </c>
      <c r="AG653" s="30" t="str">
        <f aca="false">IF(R653&gt;=0.7,"Step-Up Candidate",IF(R653&gt;=0.4,"Lateral Move","Stay &amp; Develop"))</f>
        <v>Step-Up Candidate</v>
      </c>
    </row>
    <row r="654" customFormat="false" ht="23.85" hidden="false" customHeight="false" outlineLevel="0" collapsed="false">
      <c r="A654" s="21" t="str">
        <f aca="false">'Player Data'!A654</f>
        <v>Anthony Quinonez</v>
      </c>
      <c r="B654" s="21" t="str">
        <f aca="false">'Player Data'!F654</f>
        <v>FW</v>
      </c>
      <c r="C654" s="21" t="str">
        <f aca="false">'Player Data'!B654</f>
        <v>Ecuador</v>
      </c>
      <c r="D654" s="21" t="str">
        <f aca="false">'Player Data'!C654</f>
        <v>Ecuador Second Division</v>
      </c>
      <c r="E654" s="21" t="n">
        <f aca="false">'Player Data'!D654</f>
        <v>2</v>
      </c>
      <c r="F654" s="21" t="n">
        <f aca="false">'Player Data'!G654</f>
        <v>25</v>
      </c>
      <c r="G654" s="21" t="n">
        <f aca="false">'Player Data'!H654</f>
        <v>2235</v>
      </c>
      <c r="H654" s="22" t="n">
        <f aca="false">IF(B654="GK",IFERROR(('Player Data'!N654-1.5*'Player Data'!O654)/'Player Data'!H654*90,0),IFERROR(('Player Data'!I654+'Player Data'!J654)/'Player Data'!H654*90,0))</f>
        <v>0.724832214765101</v>
      </c>
      <c r="I654" s="22" t="n">
        <f aca="false">IF(B654="GK",'Player Data'!P654,IFERROR(('Player Data'!K654+'Player Data'!L654)/'Player Data'!H654*90,0))</f>
        <v>3.86577181208054</v>
      </c>
      <c r="J654" s="22" t="n">
        <f aca="false">IF(B654="GK",IFERROR('Player Data'!Q654/'Player Data'!H654*90,0),IFERROR('Player Data'!M654/'Player Data'!H654*90,0))</f>
        <v>0.241610738255034</v>
      </c>
      <c r="K654" s="23" t="n">
        <f aca="false">'Player Data'!S654</f>
        <v>0</v>
      </c>
      <c r="L654" s="22" t="n">
        <f aca="false">INDEX(Assumptions!$B$13:$B$15,MATCH(E654,Assumptions!$A$13:$A$15,0))</f>
        <v>1</v>
      </c>
      <c r="M654" s="24" t="n">
        <f aca="false">IFERROR(SUMPRODUCT(($B$2:$B$1001=B654)*($H$2:$H$1001&lt;=H654))/SUMPRODUCT(($B$2:$B$1001=B654)*1),0)</f>
        <v>0.243362831858407</v>
      </c>
      <c r="N654" s="24" t="n">
        <f aca="false">IFERROR(SUMPRODUCT(($B$2:$B$1001=B654)*($I$2:$I$1001&lt;=I654))/SUMPRODUCT(($B$2:$B$1001=B654)*1),0)</f>
        <v>0.0221238938053097</v>
      </c>
      <c r="O654" s="24" t="n">
        <f aca="false">IFERROR(SUMPRODUCT(($B$2:$B$1001=B654)*($J$2:$J$1001&lt;=J654))/SUMPRODUCT(($B$2:$B$1001=B654)*1),0)</f>
        <v>0.0929203539823009</v>
      </c>
      <c r="P654" s="24" t="n">
        <f aca="false">IFERROR(SUMPRODUCT(($B$2:$B$1001=B654)*((0-$F$2:$F$1001)&lt;=(0-F654)))/SUMPRODUCT(($B$2:$B$1001=B654)*1),0)</f>
        <v>0.194690265486726</v>
      </c>
      <c r="Q654" s="25" t="n">
        <f aca="false">(M654*Assumptions!$B$5+N654*Assumptions!$B$6+O654*Assumptions!$B$7+P654*Assumptions!$B$8)*L654</f>
        <v>0.126106194690266</v>
      </c>
      <c r="R654" s="24" t="n">
        <f aca="false">IFERROR(SUMPRODUCT(($B$2:$B$1001=B654)*($Q$2:$Q$1001&lt;=Q654))/SUMPRODUCT(($B$2:$B$1001=B654)*1),0)</f>
        <v>0.0221238938053097</v>
      </c>
      <c r="S654" s="24" t="n">
        <f aca="false">IFERROR(SUMPRODUCT(($B$2:$B$1001=B654)*($K$2:$K$1001&lt;=K654))/SUMPRODUCT(($B$2:$B$1001=B654)*1),0)</f>
        <v>0.261061946902655</v>
      </c>
      <c r="T654" s="26" t="n">
        <f aca="false">(R654-S654)*100</f>
        <v>-23.8938053097345</v>
      </c>
      <c r="U654" s="21" t="str">
        <f aca="false">'Player Data'!T654</f>
        <v>Yes</v>
      </c>
      <c r="V654" s="27" t="n">
        <f aca="false">'Player Data'!U654</f>
        <v>2029</v>
      </c>
      <c r="W654" s="21" t="str">
        <f aca="false">IF(AND(T654&gt;=Assumptions!$B$19,U654="No"),"High Priority - Unrepresented",IF(T654&gt;=Assumptions!$B$19,"High Priority",IF(AND(T654&gt;=Assumptions!$B$20,U654="No"),"Watchlist - Unrepresented",IF(T654&gt;=Assumptions!$B$20,"Watchlist",""))))</f>
        <v/>
      </c>
      <c r="X654" s="21" t="str">
        <f aca="false">'Player Data'!V654</f>
        <v>info@quitorangers.ec</v>
      </c>
      <c r="Y654" s="28" t="str">
        <f aca="false">'Player Data'!W654</f>
        <v>Go through the player's agent - ask the club to confirm representation first</v>
      </c>
      <c r="Z654" s="28" t="str">
        <f aca="false">'Player Data'!X654</f>
        <v>FEF (Ecuadorian Football Federation) player registry</v>
      </c>
      <c r="AA654" s="19" t="str">
        <f aca="false">HYPERLINK("https://www.transfermarkt.com/schnellsuche/ergebnis/schnellsuche?query="&amp;SUBSTITUTE(A654," ","+"),"Search Transfermarkt")</f>
        <v>Search Transfermarkt</v>
      </c>
      <c r="AB654" s="29" t="n">
        <f aca="false">IFERROR('Player Data'!K654/('Player Data'!K654+'Player Data'!L654),0)</f>
        <v>0.333333333333333</v>
      </c>
      <c r="AC654" s="21" t="str">
        <f aca="false">IF(B654="GK",IF(AND(O654&gt;=Assumptions!$B$23,N654&gt;=Assumptions!$B$23),"Sweeper-Keeper / Build-from-the-Back",IF(O654&gt;=Assumptions!$B$23,"Sweeper-Keeper / High Line",IF(M654&gt;=Assumptions!$B$23,"Shot-Stopper / Traditional","Flexible / Multi-System"))),IF(AND(O654&gt;=Assumptions!$B$23,P654&gt;=Assumptions!$B$24),"High Press / Gegenpressing",IF(AND(N654&gt;=Assumptions!$B$23,AB654&gt;=Assumptions!$B$25),"Possession / Build-from-the-Back",IF(N654&gt;=Assumptions!$B$23,"Counter-Attack / Transition",IF(AND(O654&gt;=Assumptions!$B$23,N654&lt;Assumptions!$B$26),"Low Block / Park the Bus",IF(AND(B654="FW",M654&gt;=Assumptions!$B$23,N654&lt;Assumptions!$B$26),"Direct / Target Approach","Flexible / Multi-System"))))))</f>
        <v>Flexible / Multi-System</v>
      </c>
      <c r="AD654" s="21" t="str">
        <f aca="false">'Player Data'!Y654</f>
        <v>2026-07-17</v>
      </c>
      <c r="AE654" s="21" t="str">
        <f aca="false">'Player Data'!Z654</f>
        <v>2026-07-17</v>
      </c>
      <c r="AF654" s="28" t="str">
        <f aca="false">IFERROR(INDEX(Assumptions!$B$30:$B$61,MATCH(C654,Assumptions!$A$30:$A$61,0)),"--")</f>
        <v>Argentina, Portugal</v>
      </c>
      <c r="AG654" s="30" t="str">
        <f aca="false">IF(R654&gt;=0.7,"Step-Up Candidate",IF(R654&gt;=0.4,"Lateral Move","Stay &amp; Develop"))</f>
        <v>Stay &amp; Develop</v>
      </c>
    </row>
    <row r="655" customFormat="false" ht="23.85" hidden="false" customHeight="false" outlineLevel="0" collapsed="false">
      <c r="A655" s="21" t="str">
        <f aca="false">'Player Data'!A655</f>
        <v>Marko Kovacevic</v>
      </c>
      <c r="B655" s="21" t="str">
        <f aca="false">'Player Data'!F655</f>
        <v>DF</v>
      </c>
      <c r="C655" s="21" t="str">
        <f aca="false">'Player Data'!B655</f>
        <v>Montenegro</v>
      </c>
      <c r="D655" s="21" t="str">
        <f aca="false">'Player Data'!C655</f>
        <v>Montenegro Third Tier - North</v>
      </c>
      <c r="E655" s="21" t="n">
        <f aca="false">'Player Data'!D655</f>
        <v>4</v>
      </c>
      <c r="F655" s="21" t="n">
        <f aca="false">'Player Data'!G655</f>
        <v>19</v>
      </c>
      <c r="G655" s="21" t="n">
        <f aca="false">'Player Data'!H655</f>
        <v>1907</v>
      </c>
      <c r="H655" s="22" t="n">
        <f aca="false">IF(B655="GK",IFERROR(('Player Data'!N655-1.5*'Player Data'!O655)/'Player Data'!H655*90,0),IFERROR(('Player Data'!I655+'Player Data'!J655)/'Player Data'!H655*90,0))</f>
        <v>0.0943890928159413</v>
      </c>
      <c r="I655" s="22" t="n">
        <f aca="false">IF(B655="GK",'Player Data'!P655,IFERROR(('Player Data'!K655+'Player Data'!L655)/'Player Data'!H655*90,0))</f>
        <v>4.05873099108548</v>
      </c>
      <c r="J655" s="22" t="n">
        <f aca="false">IF(B655="GK",IFERROR('Player Data'!Q655/'Player Data'!H655*90,0),IFERROR('Player Data'!M655/'Player Data'!H655*90,0))</f>
        <v>4.20031463030939</v>
      </c>
      <c r="K655" s="23" t="n">
        <f aca="false">'Player Data'!S655</f>
        <v>117390</v>
      </c>
      <c r="L655" s="22" t="n">
        <f aca="false">INDEX(Assumptions!$B$13:$B$15,MATCH(E655,Assumptions!$A$13:$A$15,0))</f>
        <v>0.7</v>
      </c>
      <c r="M655" s="24" t="n">
        <f aca="false">IFERROR(SUMPRODUCT(($B$2:$B$1001=B655)*($H$2:$H$1001&lt;=H655))/SUMPRODUCT(($B$2:$B$1001=B655)*1),0)</f>
        <v>0.173469387755102</v>
      </c>
      <c r="N655" s="24" t="n">
        <f aca="false">IFERROR(SUMPRODUCT(($B$2:$B$1001=B655)*($I$2:$I$1001&lt;=I655))/SUMPRODUCT(($B$2:$B$1001=B655)*1),0)</f>
        <v>0.41156462585034</v>
      </c>
      <c r="O655" s="24" t="n">
        <f aca="false">IFERROR(SUMPRODUCT(($B$2:$B$1001=B655)*($J$2:$J$1001&lt;=J655))/SUMPRODUCT(($B$2:$B$1001=B655)*1),0)</f>
        <v>0.289115646258503</v>
      </c>
      <c r="P655" s="24" t="n">
        <f aca="false">IFERROR(SUMPRODUCT(($B$2:$B$1001=B655)*((0-$F$2:$F$1001)&lt;=(0-F655)))/SUMPRODUCT(($B$2:$B$1001=B655)*1),0)</f>
        <v>0.738095238095238</v>
      </c>
      <c r="Q655" s="25" t="n">
        <f aca="false">(M655*Assumptions!$B$5+N655*Assumptions!$B$6+O655*Assumptions!$B$7+P655*Assumptions!$B$8)*L655</f>
        <v>0.275</v>
      </c>
      <c r="R655" s="24" t="n">
        <f aca="false">IFERROR(SUMPRODUCT(($B$2:$B$1001=B655)*($Q$2:$Q$1001&lt;=Q655))/SUMPRODUCT(($B$2:$B$1001=B655)*1),0)</f>
        <v>0.214285714285714</v>
      </c>
      <c r="S655" s="24" t="n">
        <f aca="false">IFERROR(SUMPRODUCT(($B$2:$B$1001=B655)*($K$2:$K$1001&lt;=K655))/SUMPRODUCT(($B$2:$B$1001=B655)*1),0)</f>
        <v>0.833333333333333</v>
      </c>
      <c r="T655" s="26" t="n">
        <f aca="false">(R655-S655)*100</f>
        <v>-61.9047619047619</v>
      </c>
      <c r="U655" s="21" t="str">
        <f aca="false">'Player Data'!T655</f>
        <v>No</v>
      </c>
      <c r="V655" s="27" t="n">
        <f aca="false">'Player Data'!U655</f>
        <v>2029</v>
      </c>
      <c r="W655" s="21" t="str">
        <f aca="false">IF(AND(T655&gt;=Assumptions!$B$19,U655="No"),"High Priority - Unrepresented",IF(T655&gt;=Assumptions!$B$19,"High Priority",IF(AND(T655&gt;=Assumptions!$B$20,U655="No"),"Watchlist - Unrepresented",IF(T655&gt;=Assumptions!$B$20,"Watchlist",""))))</f>
        <v/>
      </c>
      <c r="X655" s="21" t="str">
        <f aca="false">'Player Data'!V655</f>
        <v>info@niksicwanderers.me</v>
      </c>
      <c r="Y655" s="28" t="str">
        <f aca="false">'Player Data'!W655</f>
        <v>Club sporting director / first-team office</v>
      </c>
      <c r="Z655" s="28" t="str">
        <f aca="false">'Player Data'!X655</f>
        <v>FSCG (Football Association of Montenegro) player registry</v>
      </c>
      <c r="AA655" s="19" t="str">
        <f aca="false">HYPERLINK("https://www.transfermarkt.com/schnellsuche/ergebnis/schnellsuche?query="&amp;SUBSTITUTE(A655," ","+"),"Search Transfermarkt")</f>
        <v>Search Transfermarkt</v>
      </c>
      <c r="AB655" s="29" t="n">
        <f aca="false">IFERROR('Player Data'!K655/('Player Data'!K655+'Player Data'!L655),0)</f>
        <v>0.581395348837209</v>
      </c>
      <c r="AC655" s="21" t="str">
        <f aca="false">IF(B655="GK",IF(AND(O655&gt;=Assumptions!$B$23,N655&gt;=Assumptions!$B$23),"Sweeper-Keeper / Build-from-the-Back",IF(O655&gt;=Assumptions!$B$23,"Sweeper-Keeper / High Line",IF(M655&gt;=Assumptions!$B$23,"Shot-Stopper / Traditional","Flexible / Multi-System"))),IF(AND(O655&gt;=Assumptions!$B$23,P655&gt;=Assumptions!$B$24),"High Press / Gegenpressing",IF(AND(N655&gt;=Assumptions!$B$23,AB655&gt;=Assumptions!$B$25),"Possession / Build-from-the-Back",IF(N655&gt;=Assumptions!$B$23,"Counter-Attack / Transition",IF(AND(O655&gt;=Assumptions!$B$23,N655&lt;Assumptions!$B$26),"Low Block / Park the Bus",IF(AND(B655="FW",M655&gt;=Assumptions!$B$23,N655&lt;Assumptions!$B$26),"Direct / Target Approach","Flexible / Multi-System"))))))</f>
        <v>Flexible / Multi-System</v>
      </c>
      <c r="AD655" s="21" t="str">
        <f aca="false">'Player Data'!Y655</f>
        <v>2026-07-17</v>
      </c>
      <c r="AE655" s="21" t="str">
        <f aca="false">'Player Data'!Z655</f>
        <v>2026-07-17</v>
      </c>
      <c r="AF655" s="28" t="str">
        <f aca="false">IFERROR(INDEX(Assumptions!$B$30:$B$61,MATCH(C655,Assumptions!$A$30:$A$61,0)),"--")</f>
        <v>Austria, Turkey</v>
      </c>
      <c r="AG655" s="30" t="str">
        <f aca="false">IF(R655&gt;=0.7,"Step-Up Candidate",IF(R655&gt;=0.4,"Lateral Move","Stay &amp; Develop"))</f>
        <v>Stay &amp; Develop</v>
      </c>
    </row>
    <row r="656" customFormat="false" ht="23.85" hidden="false" customHeight="false" outlineLevel="0" collapsed="false">
      <c r="A656" s="21" t="str">
        <f aca="false">'Player Data'!A656</f>
        <v>Kemar Brown</v>
      </c>
      <c r="B656" s="21" t="str">
        <f aca="false">'Player Data'!F656</f>
        <v>GK</v>
      </c>
      <c r="C656" s="21" t="str">
        <f aca="false">'Player Data'!B656</f>
        <v>Jamaica</v>
      </c>
      <c r="D656" s="21" t="str">
        <f aca="false">'Player Data'!C656</f>
        <v>Jamaica Reserve League</v>
      </c>
      <c r="E656" s="21" t="n">
        <f aca="false">'Player Data'!D656</f>
        <v>3</v>
      </c>
      <c r="F656" s="21" t="n">
        <f aca="false">'Player Data'!G656</f>
        <v>21</v>
      </c>
      <c r="G656" s="21" t="n">
        <f aca="false">'Player Data'!H656</f>
        <v>2009</v>
      </c>
      <c r="H656" s="22" t="n">
        <f aca="false">IF(B656="GK",IFERROR(('Player Data'!N656-1.5*'Player Data'!O656)/'Player Data'!H656*90,0),IFERROR(('Player Data'!I656+'Player Data'!J656)/'Player Data'!H656*90,0))</f>
        <v>-0.716774514683922</v>
      </c>
      <c r="I656" s="22" t="n">
        <f aca="false">IF(B656="GK",'Player Data'!P656,IFERROR(('Player Data'!K656+'Player Data'!L656)/'Player Data'!H656*90,0))</f>
        <v>69.8</v>
      </c>
      <c r="J656" s="22" t="n">
        <f aca="false">IF(B656="GK",IFERROR('Player Data'!Q656/'Player Data'!H656*90,0),IFERROR('Player Data'!M656/'Player Data'!H656*90,0))</f>
        <v>0.676455948232952</v>
      </c>
      <c r="K656" s="23" t="n">
        <f aca="false">'Player Data'!S656</f>
        <v>109281</v>
      </c>
      <c r="L656" s="22" t="n">
        <f aca="false">INDEX(Assumptions!$B$13:$B$15,MATCH(E656,Assumptions!$A$13:$A$15,0))</f>
        <v>0.85</v>
      </c>
      <c r="M656" s="24" t="n">
        <f aca="false">IFERROR(SUMPRODUCT(($B$2:$B$1001=B656)*($H$2:$H$1001&lt;=H656))/SUMPRODUCT(($B$2:$B$1001=B656)*1),0)</f>
        <v>0.0273224043715847</v>
      </c>
      <c r="N656" s="24" t="n">
        <f aca="false">IFERROR(SUMPRODUCT(($B$2:$B$1001=B656)*($I$2:$I$1001&lt;=I656))/SUMPRODUCT(($B$2:$B$1001=B656)*1),0)</f>
        <v>0.398907103825137</v>
      </c>
      <c r="O656" s="24" t="n">
        <f aca="false">IFERROR(SUMPRODUCT(($B$2:$B$1001=B656)*($J$2:$J$1001&lt;=J656))/SUMPRODUCT(($B$2:$B$1001=B656)*1),0)</f>
        <v>0.344262295081967</v>
      </c>
      <c r="P656" s="24" t="n">
        <f aca="false">IFERROR(SUMPRODUCT(($B$2:$B$1001=B656)*((0-$F$2:$F$1001)&lt;=(0-F656)))/SUMPRODUCT(($B$2:$B$1001=B656)*1),0)</f>
        <v>0.60655737704918</v>
      </c>
      <c r="Q656" s="25" t="n">
        <f aca="false">(M656*Assumptions!$B$5+N656*Assumptions!$B$6+O656*Assumptions!$B$7+P656*Assumptions!$B$8)*L656</f>
        <v>0.286120218579235</v>
      </c>
      <c r="R656" s="24" t="n">
        <f aca="false">IFERROR(SUMPRODUCT(($B$2:$B$1001=B656)*($Q$2:$Q$1001&lt;=Q656))/SUMPRODUCT(($B$2:$B$1001=B656)*1),0)</f>
        <v>0.109289617486339</v>
      </c>
      <c r="S656" s="24" t="n">
        <f aca="false">IFERROR(SUMPRODUCT(($B$2:$B$1001=B656)*($K$2:$K$1001&lt;=K656))/SUMPRODUCT(($B$2:$B$1001=B656)*1),0)</f>
        <v>0.765027322404372</v>
      </c>
      <c r="T656" s="26" t="n">
        <f aca="false">(R656-S656)*100</f>
        <v>-65.5737704918033</v>
      </c>
      <c r="U656" s="21" t="str">
        <f aca="false">'Player Data'!T656</f>
        <v>Unknown</v>
      </c>
      <c r="V656" s="27" t="n">
        <f aca="false">'Player Data'!U656</f>
        <v>2029</v>
      </c>
      <c r="W656" s="21" t="str">
        <f aca="false">IF(AND(T656&gt;=Assumptions!$B$19,U656="No"),"High Priority - Unrepresented",IF(T656&gt;=Assumptions!$B$19,"High Priority",IF(AND(T656&gt;=Assumptions!$B$20,U656="No"),"Watchlist - Unrepresented",IF(T656&gt;=Assumptions!$B$20,"Watchlist",""))))</f>
        <v/>
      </c>
      <c r="X656" s="21" t="str">
        <f aca="false">'Player Data'!V656</f>
        <v>info@maypensc.jm</v>
      </c>
      <c r="Y656" s="28" t="str">
        <f aca="false">'Player Data'!W656</f>
        <v>Club sporting director / first-team office</v>
      </c>
      <c r="Z656" s="28" t="str">
        <f aca="false">'Player Data'!X656</f>
        <v>JFF (Jamaica Football Federation) player registry</v>
      </c>
      <c r="AA656" s="19" t="str">
        <f aca="false">HYPERLINK("https://www.transfermarkt.com/schnellsuche/ergebnis/schnellsuche?query="&amp;SUBSTITUTE(A656," ","+"),"Search Transfermarkt")</f>
        <v>Search Transfermarkt</v>
      </c>
      <c r="AB656" s="29" t="n">
        <f aca="false">IFERROR('Player Data'!K656/('Player Data'!K656+'Player Data'!L656),0)</f>
        <v>0.875</v>
      </c>
      <c r="AC656" s="21" t="str">
        <f aca="false">IF(B656="GK",IF(AND(O656&gt;=Assumptions!$B$23,N656&gt;=Assumptions!$B$23),"Sweeper-Keeper / Build-from-the-Back",IF(O656&gt;=Assumptions!$B$23,"Sweeper-Keeper / High Line",IF(M656&gt;=Assumptions!$B$23,"Shot-Stopper / Traditional","Flexible / Multi-System"))),IF(AND(O656&gt;=Assumptions!$B$23,P656&gt;=Assumptions!$B$24),"High Press / Gegenpressing",IF(AND(N656&gt;=Assumptions!$B$23,AB656&gt;=Assumptions!$B$25),"Possession / Build-from-the-Back",IF(N656&gt;=Assumptions!$B$23,"Counter-Attack / Transition",IF(AND(O656&gt;=Assumptions!$B$23,N656&lt;Assumptions!$B$26),"Low Block / Park the Bus",IF(AND(B656="FW",M656&gt;=Assumptions!$B$23,N656&lt;Assumptions!$B$26),"Direct / Target Approach","Flexible / Multi-System"))))))</f>
        <v>Flexible / Multi-System</v>
      </c>
      <c r="AD656" s="21" t="str">
        <f aca="false">'Player Data'!Y656</f>
        <v>2026-07-17</v>
      </c>
      <c r="AE656" s="21" t="str">
        <f aca="false">'Player Data'!Z656</f>
        <v>2026-07-17</v>
      </c>
      <c r="AF656" s="28" t="str">
        <f aca="false">IFERROR(INDEX(Assumptions!$B$30:$B$61,MATCH(C656,Assumptions!$A$30:$A$61,0)),"--")</f>
        <v>United States, Mexico</v>
      </c>
      <c r="AG656" s="30" t="str">
        <f aca="false">IF(R656&gt;=0.7,"Step-Up Candidate",IF(R656&gt;=0.4,"Lateral Move","Stay &amp; Develop"))</f>
        <v>Stay &amp; Develop</v>
      </c>
    </row>
    <row r="657" customFormat="false" ht="23.85" hidden="false" customHeight="false" outlineLevel="0" collapsed="false">
      <c r="A657" s="21" t="str">
        <f aca="false">'Player Data'!A657</f>
        <v>Romell Chirinos</v>
      </c>
      <c r="B657" s="21" t="str">
        <f aca="false">'Player Data'!F657</f>
        <v>DF</v>
      </c>
      <c r="C657" s="21" t="str">
        <f aca="false">'Player Data'!B657</f>
        <v>Honduras</v>
      </c>
      <c r="D657" s="21" t="str">
        <f aca="false">'Player Data'!C657</f>
        <v>Honduras Third Tier - South</v>
      </c>
      <c r="E657" s="21" t="n">
        <f aca="false">'Player Data'!D657</f>
        <v>2</v>
      </c>
      <c r="F657" s="21" t="n">
        <f aca="false">'Player Data'!G657</f>
        <v>24</v>
      </c>
      <c r="G657" s="21" t="n">
        <f aca="false">'Player Data'!H657</f>
        <v>1944</v>
      </c>
      <c r="H657" s="22" t="n">
        <f aca="false">IF(B657="GK",IFERROR(('Player Data'!N657-1.5*'Player Data'!O657)/'Player Data'!H657*90,0),IFERROR(('Player Data'!I657+'Player Data'!J657)/'Player Data'!H657*90,0))</f>
        <v>0.231481481481481</v>
      </c>
      <c r="I657" s="22" t="n">
        <f aca="false">IF(B657="GK",'Player Data'!P657,IFERROR(('Player Data'!K657+'Player Data'!L657)/'Player Data'!H657*90,0))</f>
        <v>4.53703703703704</v>
      </c>
      <c r="J657" s="22" t="n">
        <f aca="false">IF(B657="GK",IFERROR('Player Data'!Q657/'Player Data'!H657*90,0),IFERROR('Player Data'!M657/'Player Data'!H657*90,0))</f>
        <v>4.21296296296296</v>
      </c>
      <c r="K657" s="23" t="n">
        <f aca="false">'Player Data'!S657</f>
        <v>97517</v>
      </c>
      <c r="L657" s="22" t="n">
        <f aca="false">INDEX(Assumptions!$B$13:$B$15,MATCH(E657,Assumptions!$A$13:$A$15,0))</f>
        <v>1</v>
      </c>
      <c r="M657" s="24" t="n">
        <f aca="false">IFERROR(SUMPRODUCT(($B$2:$B$1001=B657)*($H$2:$H$1001&lt;=H657))/SUMPRODUCT(($B$2:$B$1001=B657)*1),0)</f>
        <v>0.605442176870748</v>
      </c>
      <c r="N657" s="24" t="n">
        <f aca="false">IFERROR(SUMPRODUCT(($B$2:$B$1001=B657)*($I$2:$I$1001&lt;=I657))/SUMPRODUCT(($B$2:$B$1001=B657)*1),0)</f>
        <v>0.506802721088435</v>
      </c>
      <c r="O657" s="24" t="n">
        <f aca="false">IFERROR(SUMPRODUCT(($B$2:$B$1001=B657)*($J$2:$J$1001&lt;=J657))/SUMPRODUCT(($B$2:$B$1001=B657)*1),0)</f>
        <v>0.306122448979592</v>
      </c>
      <c r="P657" s="24" t="n">
        <f aca="false">IFERROR(SUMPRODUCT(($B$2:$B$1001=B657)*((0-$F$2:$F$1001)&lt;=(0-F657)))/SUMPRODUCT(($B$2:$B$1001=B657)*1),0)</f>
        <v>0.275510204081633</v>
      </c>
      <c r="Q657" s="25" t="n">
        <f aca="false">(M657*Assumptions!$B$5+N657*Assumptions!$B$6+O657*Assumptions!$B$7+P657*Assumptions!$B$8)*L657</f>
        <v>0.445068027210884</v>
      </c>
      <c r="R657" s="24" t="n">
        <f aca="false">IFERROR(SUMPRODUCT(($B$2:$B$1001=B657)*($Q$2:$Q$1001&lt;=Q657))/SUMPRODUCT(($B$2:$B$1001=B657)*1),0)</f>
        <v>0.561224489795918</v>
      </c>
      <c r="S657" s="24" t="n">
        <f aca="false">IFERROR(SUMPRODUCT(($B$2:$B$1001=B657)*($K$2:$K$1001&lt;=K657))/SUMPRODUCT(($B$2:$B$1001=B657)*1),0)</f>
        <v>0.727891156462585</v>
      </c>
      <c r="T657" s="26" t="n">
        <f aca="false">(R657-S657)*100</f>
        <v>-16.6666666666667</v>
      </c>
      <c r="U657" s="21" t="str">
        <f aca="false">'Player Data'!T657</f>
        <v>No</v>
      </c>
      <c r="V657" s="27" t="n">
        <f aca="false">'Player Data'!U657</f>
        <v>2026</v>
      </c>
      <c r="W657" s="21" t="str">
        <f aca="false">IF(AND(T657&gt;=Assumptions!$B$19,U657="No"),"High Priority - Unrepresented",IF(T657&gt;=Assumptions!$B$19,"High Priority",IF(AND(T657&gt;=Assumptions!$B$20,U657="No"),"Watchlist - Unrepresented",IF(T657&gt;=Assumptions!$B$20,"Watchlist",""))))</f>
        <v/>
      </c>
      <c r="X657" s="21" t="str">
        <f aca="false">'Player Data'!V657</f>
        <v>info@cholutecarovers.hn</v>
      </c>
      <c r="Y657" s="28" t="str">
        <f aca="false">'Player Data'!W657</f>
        <v>Club sporting director / first-team office</v>
      </c>
      <c r="Z657" s="28" t="str">
        <f aca="false">'Player Data'!X657</f>
        <v>FENAFUTH (Honduran Football Federation) player registry</v>
      </c>
      <c r="AA657" s="19" t="str">
        <f aca="false">HYPERLINK("https://www.transfermarkt.com/schnellsuche/ergebnis/schnellsuche?query="&amp;SUBSTITUTE(A657," ","+"),"Search Transfermarkt")</f>
        <v>Search Transfermarkt</v>
      </c>
      <c r="AB657" s="29" t="n">
        <f aca="false">IFERROR('Player Data'!K657/('Player Data'!K657+'Player Data'!L657),0)</f>
        <v>0.724489795918367</v>
      </c>
      <c r="AC657" s="21" t="str">
        <f aca="false">IF(B657="GK",IF(AND(O657&gt;=Assumptions!$B$23,N657&gt;=Assumptions!$B$23),"Sweeper-Keeper / Build-from-the-Back",IF(O657&gt;=Assumptions!$B$23,"Sweeper-Keeper / High Line",IF(M657&gt;=Assumptions!$B$23,"Shot-Stopper / Traditional","Flexible / Multi-System"))),IF(AND(O657&gt;=Assumptions!$B$23,P657&gt;=Assumptions!$B$24),"High Press / Gegenpressing",IF(AND(N657&gt;=Assumptions!$B$23,AB657&gt;=Assumptions!$B$25),"Possession / Build-from-the-Back",IF(N657&gt;=Assumptions!$B$23,"Counter-Attack / Transition",IF(AND(O657&gt;=Assumptions!$B$23,N657&lt;Assumptions!$B$26),"Low Block / Park the Bus",IF(AND(B657="FW",M657&gt;=Assumptions!$B$23,N657&lt;Assumptions!$B$26),"Direct / Target Approach","Flexible / Multi-System"))))))</f>
        <v>Flexible / Multi-System</v>
      </c>
      <c r="AD657" s="21" t="str">
        <f aca="false">'Player Data'!Y657</f>
        <v>2026-07-17</v>
      </c>
      <c r="AE657" s="21" t="str">
        <f aca="false">'Player Data'!Z657</f>
        <v>2026-07-17</v>
      </c>
      <c r="AF657" s="28" t="str">
        <f aca="false">IFERROR(INDEX(Assumptions!$B$30:$B$61,MATCH(C657,Assumptions!$A$30:$A$61,0)),"--")</f>
        <v>Mexico, United States</v>
      </c>
      <c r="AG657" s="30" t="str">
        <f aca="false">IF(R657&gt;=0.7,"Step-Up Candidate",IF(R657&gt;=0.4,"Lateral Move","Stay &amp; Develop"))</f>
        <v>Lateral Move</v>
      </c>
    </row>
    <row r="658" customFormat="false" ht="23.85" hidden="false" customHeight="false" outlineLevel="0" collapsed="false">
      <c r="A658" s="21" t="str">
        <f aca="false">'Player Data'!A658</f>
        <v>Yeferson Rondon</v>
      </c>
      <c r="B658" s="21" t="str">
        <f aca="false">'Player Data'!F658</f>
        <v>DF</v>
      </c>
      <c r="C658" s="21" t="str">
        <f aca="false">'Player Data'!B658</f>
        <v>Venezuela</v>
      </c>
      <c r="D658" s="21" t="str">
        <f aca="false">'Player Data'!C658</f>
        <v>Venezuela Second Division</v>
      </c>
      <c r="E658" s="21" t="n">
        <f aca="false">'Player Data'!D658</f>
        <v>2</v>
      </c>
      <c r="F658" s="21" t="n">
        <f aca="false">'Player Data'!G658</f>
        <v>21</v>
      </c>
      <c r="G658" s="21" t="n">
        <f aca="false">'Player Data'!H658</f>
        <v>1556</v>
      </c>
      <c r="H658" s="22" t="n">
        <f aca="false">IF(B658="GK",IFERROR(('Player Data'!N658-1.5*'Player Data'!O658)/'Player Data'!H658*90,0),IFERROR(('Player Data'!I658+'Player Data'!J658)/'Player Data'!H658*90,0))</f>
        <v>0.347043701799486</v>
      </c>
      <c r="I658" s="22" t="n">
        <f aca="false">IF(B658="GK",'Player Data'!P658,IFERROR(('Player Data'!K658+'Player Data'!L658)/'Player Data'!H658*90,0))</f>
        <v>4.68508997429306</v>
      </c>
      <c r="J658" s="22" t="n">
        <f aca="false">IF(B658="GK",IFERROR('Player Data'!Q658/'Player Data'!H658*90,0),IFERROR('Player Data'!M658/'Player Data'!H658*90,0))</f>
        <v>4.62724935732648</v>
      </c>
      <c r="K658" s="23" t="n">
        <f aca="false">'Player Data'!S658</f>
        <v>18617</v>
      </c>
      <c r="L658" s="22" t="n">
        <f aca="false">INDEX(Assumptions!$B$13:$B$15,MATCH(E658,Assumptions!$A$13:$A$15,0))</f>
        <v>1</v>
      </c>
      <c r="M658" s="24" t="n">
        <f aca="false">IFERROR(SUMPRODUCT(($B$2:$B$1001=B658)*($H$2:$H$1001&lt;=H658))/SUMPRODUCT(($B$2:$B$1001=B658)*1),0)</f>
        <v>0.850340136054422</v>
      </c>
      <c r="N658" s="24" t="n">
        <f aca="false">IFERROR(SUMPRODUCT(($B$2:$B$1001=B658)*($I$2:$I$1001&lt;=I658))/SUMPRODUCT(($B$2:$B$1001=B658)*1),0)</f>
        <v>0.551020408163265</v>
      </c>
      <c r="O658" s="24" t="n">
        <f aca="false">IFERROR(SUMPRODUCT(($B$2:$B$1001=B658)*($J$2:$J$1001&lt;=J658))/SUMPRODUCT(($B$2:$B$1001=B658)*1),0)</f>
        <v>0.380952380952381</v>
      </c>
      <c r="P658" s="24" t="n">
        <f aca="false">IFERROR(SUMPRODUCT(($B$2:$B$1001=B658)*((0-$F$2:$F$1001)&lt;=(0-F658)))/SUMPRODUCT(($B$2:$B$1001=B658)*1),0)</f>
        <v>0.568027210884354</v>
      </c>
      <c r="Q658" s="25" t="n">
        <f aca="false">(M658*Assumptions!$B$5+N658*Assumptions!$B$6+O658*Assumptions!$B$7+P658*Assumptions!$B$8)*L658</f>
        <v>0.595238095238095</v>
      </c>
      <c r="R658" s="24" t="n">
        <f aca="false">IFERROR(SUMPRODUCT(($B$2:$B$1001=B658)*($Q$2:$Q$1001&lt;=Q658))/SUMPRODUCT(($B$2:$B$1001=B658)*1),0)</f>
        <v>0.748299319727891</v>
      </c>
      <c r="S658" s="24" t="n">
        <f aca="false">IFERROR(SUMPRODUCT(($B$2:$B$1001=B658)*($K$2:$K$1001&lt;=K658))/SUMPRODUCT(($B$2:$B$1001=B658)*1),0)</f>
        <v>0.289115646258503</v>
      </c>
      <c r="T658" s="26" t="n">
        <f aca="false">(R658-S658)*100</f>
        <v>45.9183673469388</v>
      </c>
      <c r="U658" s="21" t="str">
        <f aca="false">'Player Data'!T658</f>
        <v>Unknown</v>
      </c>
      <c r="V658" s="27" t="n">
        <f aca="false">'Player Data'!U658</f>
        <v>2027</v>
      </c>
      <c r="W658" s="21" t="str">
        <f aca="false">IF(AND(T658&gt;=Assumptions!$B$19,U658="No"),"High Priority - Unrepresented",IF(T658&gt;=Assumptions!$B$19,"High Priority",IF(AND(T658&gt;=Assumptions!$B$20,U658="No"),"Watchlist - Unrepresented",IF(T658&gt;=Assumptions!$B$20,"Watchlist",""))))</f>
        <v>High Priority</v>
      </c>
      <c r="X658" s="21" t="str">
        <f aca="false">'Player Data'!V658</f>
        <v>info@valenciawanderers.ve</v>
      </c>
      <c r="Y658" s="28" t="str">
        <f aca="false">'Player Data'!W658</f>
        <v>Club sporting director / first-team office</v>
      </c>
      <c r="Z658" s="28" t="str">
        <f aca="false">'Player Data'!X658</f>
        <v>FVF (Venezuelan Football Federation) player registry</v>
      </c>
      <c r="AA658" s="19" t="str">
        <f aca="false">HYPERLINK("https://www.transfermarkt.com/schnellsuche/ergebnis/schnellsuche?query="&amp;SUBSTITUTE(A658," ","+"),"Search Transfermarkt")</f>
        <v>Search Transfermarkt</v>
      </c>
      <c r="AB658" s="29" t="n">
        <f aca="false">IFERROR('Player Data'!K658/('Player Data'!K658+'Player Data'!L658),0)</f>
        <v>0.530864197530864</v>
      </c>
      <c r="AC658" s="21" t="str">
        <f aca="false">IF(B658="GK",IF(AND(O658&gt;=Assumptions!$B$23,N658&gt;=Assumptions!$B$23),"Sweeper-Keeper / Build-from-the-Back",IF(O658&gt;=Assumptions!$B$23,"Sweeper-Keeper / High Line",IF(M658&gt;=Assumptions!$B$23,"Shot-Stopper / Traditional","Flexible / Multi-System"))),IF(AND(O658&gt;=Assumptions!$B$23,P658&gt;=Assumptions!$B$24),"High Press / Gegenpressing",IF(AND(N658&gt;=Assumptions!$B$23,AB658&gt;=Assumptions!$B$25),"Possession / Build-from-the-Back",IF(N658&gt;=Assumptions!$B$23,"Counter-Attack / Transition",IF(AND(O658&gt;=Assumptions!$B$23,N658&lt;Assumptions!$B$26),"Low Block / Park the Bus",IF(AND(B658="FW",M658&gt;=Assumptions!$B$23,N658&lt;Assumptions!$B$26),"Direct / Target Approach","Flexible / Multi-System"))))))</f>
        <v>Flexible / Multi-System</v>
      </c>
      <c r="AD658" s="21" t="str">
        <f aca="false">'Player Data'!Y658</f>
        <v>2026-07-17</v>
      </c>
      <c r="AE658" s="21" t="str">
        <f aca="false">'Player Data'!Z658</f>
        <v>2026-07-17</v>
      </c>
      <c r="AF658" s="28" t="str">
        <f aca="false">IFERROR(INDEX(Assumptions!$B$30:$B$61,MATCH(C658,Assumptions!$A$30:$A$61,0)),"--")</f>
        <v>Argentina, Portugal</v>
      </c>
      <c r="AG658" s="30" t="str">
        <f aca="false">IF(R658&gt;=0.7,"Step-Up Candidate",IF(R658&gt;=0.4,"Lateral Move","Stay &amp; Develop"))</f>
        <v>Step-Up Candidate</v>
      </c>
    </row>
    <row r="659" customFormat="false" ht="23.85" hidden="false" customHeight="false" outlineLevel="0" collapsed="false">
      <c r="A659" s="21" t="str">
        <f aca="false">'Player Data'!A659</f>
        <v>Devon Lowe</v>
      </c>
      <c r="B659" s="21" t="str">
        <f aca="false">'Player Data'!F659</f>
        <v>FW</v>
      </c>
      <c r="C659" s="21" t="str">
        <f aca="false">'Player Data'!B659</f>
        <v>Jamaica</v>
      </c>
      <c r="D659" s="21" t="str">
        <f aca="false">'Player Data'!C659</f>
        <v>Jamaica Second Division</v>
      </c>
      <c r="E659" s="21" t="n">
        <f aca="false">'Player Data'!D659</f>
        <v>2</v>
      </c>
      <c r="F659" s="21" t="n">
        <f aca="false">'Player Data'!G659</f>
        <v>17</v>
      </c>
      <c r="G659" s="21" t="n">
        <f aca="false">'Player Data'!H659</f>
        <v>1738</v>
      </c>
      <c r="H659" s="22" t="n">
        <f aca="false">IF(B659="GK",IFERROR(('Player Data'!N659-1.5*'Player Data'!O659)/'Player Data'!H659*90,0),IFERROR(('Player Data'!I659+'Player Data'!J659)/'Player Data'!H659*90,0))</f>
        <v>0.621403912543153</v>
      </c>
      <c r="I659" s="22" t="n">
        <f aca="false">IF(B659="GK",'Player Data'!P659,IFERROR(('Player Data'!K659+'Player Data'!L659)/'Player Data'!H659*90,0))</f>
        <v>8.38895281933257</v>
      </c>
      <c r="J659" s="22" t="n">
        <f aca="false">IF(B659="GK",IFERROR('Player Data'!Q659/'Player Data'!H659*90,0),IFERROR('Player Data'!M659/'Player Data'!H659*90,0))</f>
        <v>0.621403912543153</v>
      </c>
      <c r="K659" s="23" t="n">
        <f aca="false">'Player Data'!S659</f>
        <v>87069</v>
      </c>
      <c r="L659" s="22" t="n">
        <f aca="false">INDEX(Assumptions!$B$13:$B$15,MATCH(E659,Assumptions!$A$13:$A$15,0))</f>
        <v>1</v>
      </c>
      <c r="M659" s="24" t="n">
        <f aca="false">IFERROR(SUMPRODUCT(($B$2:$B$1001=B659)*($H$2:$H$1001&lt;=H659))/SUMPRODUCT(($B$2:$B$1001=B659)*1),0)</f>
        <v>0.163716814159292</v>
      </c>
      <c r="N659" s="24" t="n">
        <f aca="false">IFERROR(SUMPRODUCT(($B$2:$B$1001=B659)*($I$2:$I$1001&lt;=I659))/SUMPRODUCT(($B$2:$B$1001=B659)*1),0)</f>
        <v>0.699115044247788</v>
      </c>
      <c r="O659" s="24" t="n">
        <f aca="false">IFERROR(SUMPRODUCT(($B$2:$B$1001=B659)*($J$2:$J$1001&lt;=J659))/SUMPRODUCT(($B$2:$B$1001=B659)*1),0)</f>
        <v>0.65929203539823</v>
      </c>
      <c r="P659" s="24" t="n">
        <f aca="false">IFERROR(SUMPRODUCT(($B$2:$B$1001=B659)*((0-$F$2:$F$1001)&lt;=(0-F659)))/SUMPRODUCT(($B$2:$B$1001=B659)*1),0)</f>
        <v>1</v>
      </c>
      <c r="Q659" s="25" t="n">
        <f aca="false">(M659*Assumptions!$B$5+N659*Assumptions!$B$6+O659*Assumptions!$B$7+P659*Assumptions!$B$8)*L659</f>
        <v>0.617477876106195</v>
      </c>
      <c r="R659" s="24" t="n">
        <f aca="false">IFERROR(SUMPRODUCT(($B$2:$B$1001=B659)*($Q$2:$Q$1001&lt;=Q659))/SUMPRODUCT(($B$2:$B$1001=B659)*1),0)</f>
        <v>0.778761061946903</v>
      </c>
      <c r="S659" s="24" t="n">
        <f aca="false">IFERROR(SUMPRODUCT(($B$2:$B$1001=B659)*($K$2:$K$1001&lt;=K659))/SUMPRODUCT(($B$2:$B$1001=B659)*1),0)</f>
        <v>0.623893805309735</v>
      </c>
      <c r="T659" s="26" t="n">
        <f aca="false">(R659-S659)*100</f>
        <v>15.4867256637168</v>
      </c>
      <c r="U659" s="21" t="str">
        <f aca="false">'Player Data'!T659</f>
        <v>Unknown</v>
      </c>
      <c r="V659" s="27" t="n">
        <f aca="false">'Player Data'!U659</f>
        <v>2028</v>
      </c>
      <c r="W659" s="21" t="str">
        <f aca="false">IF(AND(T659&gt;=Assumptions!$B$19,U659="No"),"High Priority - Unrepresented",IF(T659&gt;=Assumptions!$B$19,"High Priority",IF(AND(T659&gt;=Assumptions!$B$20,U659="No"),"Watchlist - Unrepresented",IF(T659&gt;=Assumptions!$B$20,"Watchlist",""))))</f>
        <v/>
      </c>
      <c r="X659" s="21" t="str">
        <f aca="false">'Player Data'!V659</f>
        <v>info@kingstonathletic.jm</v>
      </c>
      <c r="Y659" s="28" t="str">
        <f aca="false">'Player Data'!W659</f>
        <v>Club youth/academy office ONLY - player is a minor, do not contact directly</v>
      </c>
      <c r="Z659" s="28" t="str">
        <f aca="false">'Player Data'!X659</f>
        <v>JFF (Jamaica Football Federation) player registry</v>
      </c>
      <c r="AA659" s="19" t="str">
        <f aca="false">HYPERLINK("https://www.transfermarkt.com/schnellsuche/ergebnis/schnellsuche?query="&amp;SUBSTITUTE(A659," ","+"),"Search Transfermarkt")</f>
        <v>Search Transfermarkt</v>
      </c>
      <c r="AB659" s="29" t="n">
        <f aca="false">IFERROR('Player Data'!K659/('Player Data'!K659+'Player Data'!L659),0)</f>
        <v>0.388888888888889</v>
      </c>
      <c r="AC659" s="21" t="str">
        <f aca="false">IF(B659="GK",IF(AND(O659&gt;=Assumptions!$B$23,N659&gt;=Assumptions!$B$23),"Sweeper-Keeper / Build-from-the-Back",IF(O659&gt;=Assumptions!$B$23,"Sweeper-Keeper / High Line",IF(M659&gt;=Assumptions!$B$23,"Shot-Stopper / Traditional","Flexible / Multi-System"))),IF(AND(O659&gt;=Assumptions!$B$23,P659&gt;=Assumptions!$B$24),"High Press / Gegenpressing",IF(AND(N659&gt;=Assumptions!$B$23,AB659&gt;=Assumptions!$B$25),"Possession / Build-from-the-Back",IF(N659&gt;=Assumptions!$B$23,"Counter-Attack / Transition",IF(AND(O659&gt;=Assumptions!$B$23,N659&lt;Assumptions!$B$26),"Low Block / Park the Bus",IF(AND(B659="FW",M659&gt;=Assumptions!$B$23,N659&lt;Assumptions!$B$26),"Direct / Target Approach","Flexible / Multi-System"))))))</f>
        <v>High Press / Gegenpressing</v>
      </c>
      <c r="AD659" s="21" t="str">
        <f aca="false">'Player Data'!Y659</f>
        <v>2026-07-17</v>
      </c>
      <c r="AE659" s="21" t="str">
        <f aca="false">'Player Data'!Z659</f>
        <v>2026-07-17</v>
      </c>
      <c r="AF659" s="28" t="str">
        <f aca="false">IFERROR(INDEX(Assumptions!$B$30:$B$61,MATCH(C659,Assumptions!$A$30:$A$61,0)),"--")</f>
        <v>United States, Mexico</v>
      </c>
      <c r="AG659" s="30" t="str">
        <f aca="false">IF(R659&gt;=0.7,"Step-Up Candidate",IF(R659&gt;=0.4,"Lateral Move","Stay &amp; Develop"))</f>
        <v>Step-Up Candidate</v>
      </c>
    </row>
    <row r="660" customFormat="false" ht="23.85" hidden="false" customHeight="false" outlineLevel="0" collapsed="false">
      <c r="A660" s="21" t="str">
        <f aca="false">'Player Data'!A660</f>
        <v>Ji-ho Park</v>
      </c>
      <c r="B660" s="21" t="str">
        <f aca="false">'Player Data'!F660</f>
        <v>GK</v>
      </c>
      <c r="C660" s="21" t="str">
        <f aca="false">'Player Data'!B660</f>
        <v>South Korea</v>
      </c>
      <c r="D660" s="21" t="str">
        <f aca="false">'Player Data'!C660</f>
        <v>South Korea Third Tier - South</v>
      </c>
      <c r="E660" s="21" t="n">
        <f aca="false">'Player Data'!D660</f>
        <v>3</v>
      </c>
      <c r="F660" s="21" t="n">
        <f aca="false">'Player Data'!G660</f>
        <v>19</v>
      </c>
      <c r="G660" s="21" t="n">
        <f aca="false">'Player Data'!H660</f>
        <v>1610</v>
      </c>
      <c r="H660" s="22" t="n">
        <f aca="false">IF(B660="GK",IFERROR(('Player Data'!N660-1.5*'Player Data'!O660)/'Player Data'!H660*90,0),IFERROR(('Player Data'!I660+'Player Data'!J660)/'Player Data'!H660*90,0))</f>
        <v>0.447204968944099</v>
      </c>
      <c r="I660" s="22" t="n">
        <f aca="false">IF(B660="GK",'Player Data'!P660,IFERROR(('Player Data'!K660+'Player Data'!L660)/'Player Data'!H660*90,0))</f>
        <v>71.2</v>
      </c>
      <c r="J660" s="22" t="n">
        <f aca="false">IF(B660="GK",IFERROR('Player Data'!Q660/'Player Data'!H660*90,0),IFERROR('Player Data'!M660/'Player Data'!H660*90,0))</f>
        <v>0.234782608695652</v>
      </c>
      <c r="K660" s="23" t="n">
        <f aca="false">'Player Data'!S660</f>
        <v>96461</v>
      </c>
      <c r="L660" s="22" t="n">
        <f aca="false">INDEX(Assumptions!$B$13:$B$15,MATCH(E660,Assumptions!$A$13:$A$15,0))</f>
        <v>0.85</v>
      </c>
      <c r="M660" s="24" t="n">
        <f aca="false">IFERROR(SUMPRODUCT(($B$2:$B$1001=B660)*($H$2:$H$1001&lt;=H660))/SUMPRODUCT(($B$2:$B$1001=B660)*1),0)</f>
        <v>0.262295081967213</v>
      </c>
      <c r="N660" s="24" t="n">
        <f aca="false">IFERROR(SUMPRODUCT(($B$2:$B$1001=B660)*($I$2:$I$1001&lt;=I660))/SUMPRODUCT(($B$2:$B$1001=B660)*1),0)</f>
        <v>0.448087431693989</v>
      </c>
      <c r="O660" s="24" t="n">
        <f aca="false">IFERROR(SUMPRODUCT(($B$2:$B$1001=B660)*($J$2:$J$1001&lt;=J660))/SUMPRODUCT(($B$2:$B$1001=B660)*1),0)</f>
        <v>0.087431693989071</v>
      </c>
      <c r="P660" s="24" t="n">
        <f aca="false">IFERROR(SUMPRODUCT(($B$2:$B$1001=B660)*((0-$F$2:$F$1001)&lt;=(0-F660)))/SUMPRODUCT(($B$2:$B$1001=B660)*1),0)</f>
        <v>0.770491803278689</v>
      </c>
      <c r="Q660" s="25" t="n">
        <f aca="false">(M660*Assumptions!$B$5+N660*Assumptions!$B$6+O660*Assumptions!$B$7+P660*Assumptions!$B$8)*L660</f>
        <v>0.334890710382514</v>
      </c>
      <c r="R660" s="24" t="n">
        <f aca="false">IFERROR(SUMPRODUCT(($B$2:$B$1001=B660)*($Q$2:$Q$1001&lt;=Q660))/SUMPRODUCT(($B$2:$B$1001=B660)*1),0)</f>
        <v>0.213114754098361</v>
      </c>
      <c r="S660" s="24" t="n">
        <f aca="false">IFERROR(SUMPRODUCT(($B$2:$B$1001=B660)*($K$2:$K$1001&lt;=K660))/SUMPRODUCT(($B$2:$B$1001=B660)*1),0)</f>
        <v>0.688524590163934</v>
      </c>
      <c r="T660" s="26" t="n">
        <f aca="false">(R660-S660)*100</f>
        <v>-47.5409836065574</v>
      </c>
      <c r="U660" s="21" t="str">
        <f aca="false">'Player Data'!T660</f>
        <v>Unknown</v>
      </c>
      <c r="V660" s="27" t="n">
        <f aca="false">'Player Data'!U660</f>
        <v>2026</v>
      </c>
      <c r="W660" s="21" t="str">
        <f aca="false">IF(AND(T660&gt;=Assumptions!$B$19,U660="No"),"High Priority - Unrepresented",IF(T660&gt;=Assumptions!$B$19,"High Priority",IF(AND(T660&gt;=Assumptions!$B$20,U660="No"),"Watchlist - Unrepresented",IF(T660&gt;=Assumptions!$B$20,"Watchlist",""))))</f>
        <v/>
      </c>
      <c r="X660" s="21" t="str">
        <f aca="false">'Player Data'!V660</f>
        <v>info@incheonfc.kr</v>
      </c>
      <c r="Y660" s="28" t="str">
        <f aca="false">'Player Data'!W660</f>
        <v>Club sporting director / first-team office</v>
      </c>
      <c r="Z660" s="28" t="str">
        <f aca="false">'Player Data'!X660</f>
        <v>KFA (Korea Football Association) player registry</v>
      </c>
      <c r="AA660" s="19" t="str">
        <f aca="false">HYPERLINK("https://www.transfermarkt.com/schnellsuche/ergebnis/schnellsuche?query="&amp;SUBSTITUTE(A660," ","+"),"Search Transfermarkt")</f>
        <v>Search Transfermarkt</v>
      </c>
      <c r="AB660" s="29" t="n">
        <f aca="false">IFERROR('Player Data'!K660/('Player Data'!K660+'Player Data'!L660),0)</f>
        <v>1</v>
      </c>
      <c r="AC660" s="21" t="str">
        <f aca="false">IF(B660="GK",IF(AND(O660&gt;=Assumptions!$B$23,N660&gt;=Assumptions!$B$23),"Sweeper-Keeper / Build-from-the-Back",IF(O660&gt;=Assumptions!$B$23,"Sweeper-Keeper / High Line",IF(M660&gt;=Assumptions!$B$23,"Shot-Stopper / Traditional","Flexible / Multi-System"))),IF(AND(O660&gt;=Assumptions!$B$23,P660&gt;=Assumptions!$B$24),"High Press / Gegenpressing",IF(AND(N660&gt;=Assumptions!$B$23,AB660&gt;=Assumptions!$B$25),"Possession / Build-from-the-Back",IF(N660&gt;=Assumptions!$B$23,"Counter-Attack / Transition",IF(AND(O660&gt;=Assumptions!$B$23,N660&lt;Assumptions!$B$26),"Low Block / Park the Bus",IF(AND(B660="FW",M660&gt;=Assumptions!$B$23,N660&lt;Assumptions!$B$26),"Direct / Target Approach","Flexible / Multi-System"))))))</f>
        <v>Flexible / Multi-System</v>
      </c>
      <c r="AD660" s="21" t="str">
        <f aca="false">'Player Data'!Y660</f>
        <v>2026-07-17</v>
      </c>
      <c r="AE660" s="21" t="str">
        <f aca="false">'Player Data'!Z660</f>
        <v>2026-07-17</v>
      </c>
      <c r="AF660" s="28" t="str">
        <f aca="false">IFERROR(INDEX(Assumptions!$B$30:$B$61,MATCH(C660,Assumptions!$A$30:$A$61,0)),"--")</f>
        <v>Belgium, Saudi Arabia</v>
      </c>
      <c r="AG660" s="30" t="str">
        <f aca="false">IF(R660&gt;=0.7,"Step-Up Candidate",IF(R660&gt;=0.4,"Lateral Move","Stay &amp; Develop"))</f>
        <v>Stay &amp; Develop</v>
      </c>
    </row>
    <row r="661" customFormat="false" ht="23.85" hidden="false" customHeight="false" outlineLevel="0" collapsed="false">
      <c r="A661" s="21" t="str">
        <f aca="false">'Player Data'!A661</f>
        <v>Irakli Beridze</v>
      </c>
      <c r="B661" s="21" t="str">
        <f aca="false">'Player Data'!F661</f>
        <v>DF</v>
      </c>
      <c r="C661" s="21" t="str">
        <f aca="false">'Player Data'!B661</f>
        <v>Georgia</v>
      </c>
      <c r="D661" s="21" t="str">
        <f aca="false">'Player Data'!C661</f>
        <v>Georgia Third Tier - South</v>
      </c>
      <c r="E661" s="21" t="n">
        <f aca="false">'Player Data'!D661</f>
        <v>3</v>
      </c>
      <c r="F661" s="21" t="n">
        <f aca="false">'Player Data'!G661</f>
        <v>25</v>
      </c>
      <c r="G661" s="21" t="n">
        <f aca="false">'Player Data'!H661</f>
        <v>1955</v>
      </c>
      <c r="H661" s="22" t="n">
        <f aca="false">IF(B661="GK",IFERROR(('Player Data'!N661-1.5*'Player Data'!O661)/'Player Data'!H661*90,0),IFERROR(('Player Data'!I661+'Player Data'!J661)/'Player Data'!H661*90,0))</f>
        <v>0.230179028132992</v>
      </c>
      <c r="I661" s="22" t="n">
        <f aca="false">IF(B661="GK",'Player Data'!P661,IFERROR(('Player Data'!K661+'Player Data'!L661)/'Player Data'!H661*90,0))</f>
        <v>3.59079283887468</v>
      </c>
      <c r="J661" s="22" t="n">
        <f aca="false">IF(B661="GK",IFERROR('Player Data'!Q661/'Player Data'!H661*90,0),IFERROR('Player Data'!M661/'Player Data'!H661*90,0))</f>
        <v>5.75447570332481</v>
      </c>
      <c r="K661" s="23" t="n">
        <f aca="false">'Player Data'!S661</f>
        <v>19861</v>
      </c>
      <c r="L661" s="22" t="n">
        <f aca="false">INDEX(Assumptions!$B$13:$B$15,MATCH(E661,Assumptions!$A$13:$A$15,0))</f>
        <v>0.85</v>
      </c>
      <c r="M661" s="24" t="n">
        <f aca="false">IFERROR(SUMPRODUCT(($B$2:$B$1001=B661)*($H$2:$H$1001&lt;=H661))/SUMPRODUCT(($B$2:$B$1001=B661)*1),0)</f>
        <v>0.598639455782313</v>
      </c>
      <c r="N661" s="24" t="n">
        <f aca="false">IFERROR(SUMPRODUCT(($B$2:$B$1001=B661)*($I$2:$I$1001&lt;=I661))/SUMPRODUCT(($B$2:$B$1001=B661)*1),0)</f>
        <v>0.268707482993197</v>
      </c>
      <c r="O661" s="24" t="n">
        <f aca="false">IFERROR(SUMPRODUCT(($B$2:$B$1001=B661)*($J$2:$J$1001&lt;=J661))/SUMPRODUCT(($B$2:$B$1001=B661)*1),0)</f>
        <v>0.571428571428571</v>
      </c>
      <c r="P661" s="24" t="n">
        <f aca="false">IFERROR(SUMPRODUCT(($B$2:$B$1001=B661)*((0-$F$2:$F$1001)&lt;=(0-F661)))/SUMPRODUCT(($B$2:$B$1001=B661)*1),0)</f>
        <v>0.146258503401361</v>
      </c>
      <c r="Q661" s="25" t="n">
        <f aca="false">(M661*Assumptions!$B$5+N661*Assumptions!$B$6+O661*Assumptions!$B$7+P661*Assumptions!$B$8)*L661</f>
        <v>0.329158163265306</v>
      </c>
      <c r="R661" s="24" t="n">
        <f aca="false">IFERROR(SUMPRODUCT(($B$2:$B$1001=B661)*($Q$2:$Q$1001&lt;=Q661))/SUMPRODUCT(($B$2:$B$1001=B661)*1),0)</f>
        <v>0.312925170068027</v>
      </c>
      <c r="S661" s="24" t="n">
        <f aca="false">IFERROR(SUMPRODUCT(($B$2:$B$1001=B661)*($K$2:$K$1001&lt;=K661))/SUMPRODUCT(($B$2:$B$1001=B661)*1),0)</f>
        <v>0.302721088435374</v>
      </c>
      <c r="T661" s="26" t="n">
        <f aca="false">(R661-S661)*100</f>
        <v>1.02040816326531</v>
      </c>
      <c r="U661" s="21" t="str">
        <f aca="false">'Player Data'!T661</f>
        <v>Yes</v>
      </c>
      <c r="V661" s="27" t="n">
        <f aca="false">'Player Data'!U661</f>
        <v>2029</v>
      </c>
      <c r="W661" s="21" t="str">
        <f aca="false">IF(AND(T661&gt;=Assumptions!$B$19,U661="No"),"High Priority - Unrepresented",IF(T661&gt;=Assumptions!$B$19,"High Priority",IF(AND(T661&gt;=Assumptions!$B$20,U661="No"),"Watchlist - Unrepresented",IF(T661&gt;=Assumptions!$B$20,"Watchlist",""))))</f>
        <v/>
      </c>
      <c r="X661" s="21" t="str">
        <f aca="false">'Player Data'!V661</f>
        <v>info@rustavitown.ge</v>
      </c>
      <c r="Y661" s="28" t="str">
        <f aca="false">'Player Data'!W661</f>
        <v>Go through the player's agent - ask the club to confirm representation first</v>
      </c>
      <c r="Z661" s="28" t="str">
        <f aca="false">'Player Data'!X661</f>
        <v>GFF (Georgian Football Federation) player registry</v>
      </c>
      <c r="AA661" s="19" t="str">
        <f aca="false">HYPERLINK("https://www.transfermarkt.com/schnellsuche/ergebnis/schnellsuche?query="&amp;SUBSTITUTE(A661," ","+"),"Search Transfermarkt")</f>
        <v>Search Transfermarkt</v>
      </c>
      <c r="AB661" s="29" t="n">
        <f aca="false">IFERROR('Player Data'!K661/('Player Data'!K661+'Player Data'!L661),0)</f>
        <v>0.653846153846154</v>
      </c>
      <c r="AC661" s="21" t="str">
        <f aca="false">IF(B661="GK",IF(AND(O661&gt;=Assumptions!$B$23,N661&gt;=Assumptions!$B$23),"Sweeper-Keeper / Build-from-the-Back",IF(O661&gt;=Assumptions!$B$23,"Sweeper-Keeper / High Line",IF(M661&gt;=Assumptions!$B$23,"Shot-Stopper / Traditional","Flexible / Multi-System"))),IF(AND(O661&gt;=Assumptions!$B$23,P661&gt;=Assumptions!$B$24),"High Press / Gegenpressing",IF(AND(N661&gt;=Assumptions!$B$23,AB661&gt;=Assumptions!$B$25),"Possession / Build-from-the-Back",IF(N661&gt;=Assumptions!$B$23,"Counter-Attack / Transition",IF(AND(O661&gt;=Assumptions!$B$23,N661&lt;Assumptions!$B$26),"Low Block / Park the Bus",IF(AND(B661="FW",M661&gt;=Assumptions!$B$23,N661&lt;Assumptions!$B$26),"Direct / Target Approach","Flexible / Multi-System"))))))</f>
        <v>Flexible / Multi-System</v>
      </c>
      <c r="AD661" s="21" t="str">
        <f aca="false">'Player Data'!Y661</f>
        <v>2026-07-17</v>
      </c>
      <c r="AE661" s="21" t="str">
        <f aca="false">'Player Data'!Z661</f>
        <v>2026-07-17</v>
      </c>
      <c r="AF661" s="28" t="str">
        <f aca="false">IFERROR(INDEX(Assumptions!$B$30:$B$61,MATCH(C661,Assumptions!$A$30:$A$61,0)),"--")</f>
        <v>Turkey, Poland</v>
      </c>
      <c r="AG661" s="30" t="str">
        <f aca="false">IF(R661&gt;=0.7,"Step-Up Candidate",IF(R661&gt;=0.4,"Lateral Move","Stay &amp; Develop"))</f>
        <v>Stay &amp; Develop</v>
      </c>
    </row>
    <row r="662" customFormat="false" ht="23.85" hidden="false" customHeight="false" outlineLevel="0" collapsed="false">
      <c r="A662" s="21" t="str">
        <f aca="false">'Player Data'!A662</f>
        <v>Jesus Rojas</v>
      </c>
      <c r="B662" s="21" t="str">
        <f aca="false">'Player Data'!F662</f>
        <v>FW</v>
      </c>
      <c r="C662" s="21" t="str">
        <f aca="false">'Player Data'!B662</f>
        <v>Venezuela</v>
      </c>
      <c r="D662" s="21" t="str">
        <f aca="false">'Player Data'!C662</f>
        <v>Venezuela Reserve League</v>
      </c>
      <c r="E662" s="21" t="n">
        <f aca="false">'Player Data'!D662</f>
        <v>3</v>
      </c>
      <c r="F662" s="21" t="n">
        <f aca="false">'Player Data'!G662</f>
        <v>17</v>
      </c>
      <c r="G662" s="21" t="n">
        <f aca="false">'Player Data'!H662</f>
        <v>2065</v>
      </c>
      <c r="H662" s="22" t="n">
        <f aca="false">IF(B662="GK",IFERROR(('Player Data'!N662-1.5*'Player Data'!O662)/'Player Data'!H662*90,0),IFERROR(('Player Data'!I662+'Player Data'!J662)/'Player Data'!H662*90,0))</f>
        <v>0.784503631961259</v>
      </c>
      <c r="I662" s="22" t="n">
        <f aca="false">IF(B662="GK",'Player Data'!P662,IFERROR(('Player Data'!K662+'Player Data'!L662)/'Player Data'!H662*90,0))</f>
        <v>5.31719128329298</v>
      </c>
      <c r="J662" s="22" t="n">
        <f aca="false">IF(B662="GK",IFERROR('Player Data'!Q662/'Player Data'!H662*90,0),IFERROR('Player Data'!M662/'Player Data'!H662*90,0))</f>
        <v>0.566585956416465</v>
      </c>
      <c r="K662" s="23" t="n">
        <f aca="false">'Player Data'!S662</f>
        <v>121241</v>
      </c>
      <c r="L662" s="22" t="n">
        <f aca="false">INDEX(Assumptions!$B$13:$B$15,MATCH(E662,Assumptions!$A$13:$A$15,0))</f>
        <v>0.85</v>
      </c>
      <c r="M662" s="24" t="n">
        <f aca="false">IFERROR(SUMPRODUCT(($B$2:$B$1001=B662)*($H$2:$H$1001&lt;=H662))/SUMPRODUCT(($B$2:$B$1001=B662)*1),0)</f>
        <v>0.292035398230089</v>
      </c>
      <c r="N662" s="24" t="n">
        <f aca="false">IFERROR(SUMPRODUCT(($B$2:$B$1001=B662)*($I$2:$I$1001&lt;=I662))/SUMPRODUCT(($B$2:$B$1001=B662)*1),0)</f>
        <v>0.274336283185841</v>
      </c>
      <c r="O662" s="24" t="n">
        <f aca="false">IFERROR(SUMPRODUCT(($B$2:$B$1001=B662)*($J$2:$J$1001&lt;=J662))/SUMPRODUCT(($B$2:$B$1001=B662)*1),0)</f>
        <v>0.597345132743363</v>
      </c>
      <c r="P662" s="24" t="n">
        <f aca="false">IFERROR(SUMPRODUCT(($B$2:$B$1001=B662)*((0-$F$2:$F$1001)&lt;=(0-F662)))/SUMPRODUCT(($B$2:$B$1001=B662)*1),0)</f>
        <v>1</v>
      </c>
      <c r="Q662" s="25" t="n">
        <f aca="false">(M662*Assumptions!$B$5+N662*Assumptions!$B$6+O662*Assumptions!$B$7+P662*Assumptions!$B$8)*L662</f>
        <v>0.415221238938053</v>
      </c>
      <c r="R662" s="24" t="n">
        <f aca="false">IFERROR(SUMPRODUCT(($B$2:$B$1001=B662)*($Q$2:$Q$1001&lt;=Q662))/SUMPRODUCT(($B$2:$B$1001=B662)*1),0)</f>
        <v>0.460176991150442</v>
      </c>
      <c r="S662" s="24" t="n">
        <f aca="false">IFERROR(SUMPRODUCT(($B$2:$B$1001=B662)*($K$2:$K$1001&lt;=K662))/SUMPRODUCT(($B$2:$B$1001=B662)*1),0)</f>
        <v>0.84070796460177</v>
      </c>
      <c r="T662" s="26" t="n">
        <f aca="false">(R662-S662)*100</f>
        <v>-38.0530973451327</v>
      </c>
      <c r="U662" s="21" t="str">
        <f aca="false">'Player Data'!T662</f>
        <v>Yes</v>
      </c>
      <c r="V662" s="27" t="n">
        <f aca="false">'Player Data'!U662</f>
        <v>2027</v>
      </c>
      <c r="W662" s="21" t="str">
        <f aca="false">IF(AND(T662&gt;=Assumptions!$B$19,U662="No"),"High Priority - Unrepresented",IF(T662&gt;=Assumptions!$B$19,"High Priority",IF(AND(T662&gt;=Assumptions!$B$20,U662="No"),"Watchlist - Unrepresented",IF(T662&gt;=Assumptions!$B$20,"Watchlist",""))))</f>
        <v/>
      </c>
      <c r="X662" s="21" t="str">
        <f aca="false">'Player Data'!V662</f>
        <v>info@caracasfc.ve</v>
      </c>
      <c r="Y662" s="28" t="str">
        <f aca="false">'Player Data'!W662</f>
        <v>Club youth/academy office ONLY - player is a minor, do not contact directly</v>
      </c>
      <c r="Z662" s="28" t="str">
        <f aca="false">'Player Data'!X662</f>
        <v>FVF (Venezuelan Football Federation) player registry</v>
      </c>
      <c r="AA662" s="19" t="str">
        <f aca="false">HYPERLINK("https://www.transfermarkt.com/schnellsuche/ergebnis/schnellsuche?query="&amp;SUBSTITUTE(A662," ","+"),"Search Transfermarkt")</f>
        <v>Search Transfermarkt</v>
      </c>
      <c r="AB662" s="29" t="n">
        <f aca="false">IFERROR('Player Data'!K662/('Player Data'!K662+'Player Data'!L662),0)</f>
        <v>0.524590163934426</v>
      </c>
      <c r="AC662" s="21" t="str">
        <f aca="false">IF(B662="GK",IF(AND(O662&gt;=Assumptions!$B$23,N662&gt;=Assumptions!$B$23),"Sweeper-Keeper / Build-from-the-Back",IF(O662&gt;=Assumptions!$B$23,"Sweeper-Keeper / High Line",IF(M662&gt;=Assumptions!$B$23,"Shot-Stopper / Traditional","Flexible / Multi-System"))),IF(AND(O662&gt;=Assumptions!$B$23,P662&gt;=Assumptions!$B$24),"High Press / Gegenpressing",IF(AND(N662&gt;=Assumptions!$B$23,AB662&gt;=Assumptions!$B$25),"Possession / Build-from-the-Back",IF(N662&gt;=Assumptions!$B$23,"Counter-Attack / Transition",IF(AND(O662&gt;=Assumptions!$B$23,N662&lt;Assumptions!$B$26),"Low Block / Park the Bus",IF(AND(B662="FW",M662&gt;=Assumptions!$B$23,N662&lt;Assumptions!$B$26),"Direct / Target Approach","Flexible / Multi-System"))))))</f>
        <v>Flexible / Multi-System</v>
      </c>
      <c r="AD662" s="21" t="str">
        <f aca="false">'Player Data'!Y662</f>
        <v>2026-07-17</v>
      </c>
      <c r="AE662" s="21" t="str">
        <f aca="false">'Player Data'!Z662</f>
        <v>2026-07-17</v>
      </c>
      <c r="AF662" s="28" t="str">
        <f aca="false">IFERROR(INDEX(Assumptions!$B$30:$B$61,MATCH(C662,Assumptions!$A$30:$A$61,0)),"--")</f>
        <v>Argentina, Portugal</v>
      </c>
      <c r="AG662" s="30" t="str">
        <f aca="false">IF(R662&gt;=0.7,"Step-Up Candidate",IF(R662&gt;=0.4,"Lateral Move","Stay &amp; Develop"))</f>
        <v>Lateral Move</v>
      </c>
    </row>
    <row r="663" customFormat="false" ht="23.85" hidden="false" customHeight="false" outlineLevel="0" collapsed="false">
      <c r="A663" s="21" t="str">
        <f aca="false">'Player Data'!A663</f>
        <v>Ante Kovac</v>
      </c>
      <c r="B663" s="21" t="str">
        <f aca="false">'Player Data'!F663</f>
        <v>DF</v>
      </c>
      <c r="C663" s="21" t="str">
        <f aca="false">'Player Data'!B663</f>
        <v>Croatia</v>
      </c>
      <c r="D663" s="21" t="str">
        <f aca="false">'Player Data'!C663</f>
        <v>Croatia Regional League</v>
      </c>
      <c r="E663" s="21" t="n">
        <f aca="false">'Player Data'!D663</f>
        <v>3</v>
      </c>
      <c r="F663" s="21" t="n">
        <f aca="false">'Player Data'!G663</f>
        <v>17</v>
      </c>
      <c r="G663" s="21" t="n">
        <f aca="false">'Player Data'!H663</f>
        <v>982</v>
      </c>
      <c r="H663" s="22" t="n">
        <f aca="false">IF(B663="GK",IFERROR(('Player Data'!N663-1.5*'Player Data'!O663)/'Player Data'!H663*90,0),IFERROR(('Player Data'!I663+'Player Data'!J663)/'Player Data'!H663*90,0))</f>
        <v>0.0916496945010183</v>
      </c>
      <c r="I663" s="22" t="n">
        <f aca="false">IF(B663="GK",'Player Data'!P663,IFERROR(('Player Data'!K663+'Player Data'!L663)/'Player Data'!H663*90,0))</f>
        <v>9.07331975560082</v>
      </c>
      <c r="J663" s="22" t="n">
        <f aca="false">IF(B663="GK",IFERROR('Player Data'!Q663/'Player Data'!H663*90,0),IFERROR('Player Data'!M663/'Player Data'!H663*90,0))</f>
        <v>9.25661914460285</v>
      </c>
      <c r="K663" s="23" t="n">
        <f aca="false">'Player Data'!S663</f>
        <v>74991</v>
      </c>
      <c r="L663" s="22" t="n">
        <f aca="false">INDEX(Assumptions!$B$13:$B$15,MATCH(E663,Assumptions!$A$13:$A$15,0))</f>
        <v>0.85</v>
      </c>
      <c r="M663" s="24" t="n">
        <f aca="false">IFERROR(SUMPRODUCT(($B$2:$B$1001=B663)*($H$2:$H$1001&lt;=H663))/SUMPRODUCT(($B$2:$B$1001=B663)*1),0)</f>
        <v>0.163265306122449</v>
      </c>
      <c r="N663" s="24" t="n">
        <f aca="false">IFERROR(SUMPRODUCT(($B$2:$B$1001=B663)*($I$2:$I$1001&lt;=I663))/SUMPRODUCT(($B$2:$B$1001=B663)*1),0)</f>
        <v>0.945578231292517</v>
      </c>
      <c r="O663" s="24" t="n">
        <f aca="false">IFERROR(SUMPRODUCT(($B$2:$B$1001=B663)*($J$2:$J$1001&lt;=J663))/SUMPRODUCT(($B$2:$B$1001=B663)*1),0)</f>
        <v>0.908163265306123</v>
      </c>
      <c r="P663" s="24" t="n">
        <f aca="false">IFERROR(SUMPRODUCT(($B$2:$B$1001=B663)*((0-$F$2:$F$1001)&lt;=(0-F663)))/SUMPRODUCT(($B$2:$B$1001=B663)*1),0)</f>
        <v>1</v>
      </c>
      <c r="Q663" s="25" t="n">
        <f aca="false">(M663*Assumptions!$B$5+N663*Assumptions!$B$6+O663*Assumptions!$B$7+P663*Assumptions!$B$8)*L663</f>
        <v>0.640391156462585</v>
      </c>
      <c r="R663" s="24" t="n">
        <f aca="false">IFERROR(SUMPRODUCT(($B$2:$B$1001=B663)*($Q$2:$Q$1001&lt;=Q663))/SUMPRODUCT(($B$2:$B$1001=B663)*1),0)</f>
        <v>0.816326530612245</v>
      </c>
      <c r="S663" s="24" t="n">
        <f aca="false">IFERROR(SUMPRODUCT(($B$2:$B$1001=B663)*($K$2:$K$1001&lt;=K663))/SUMPRODUCT(($B$2:$B$1001=B663)*1),0)</f>
        <v>0.595238095238095</v>
      </c>
      <c r="T663" s="26" t="n">
        <f aca="false">(R663-S663)*100</f>
        <v>22.108843537415</v>
      </c>
      <c r="U663" s="21" t="str">
        <f aca="false">'Player Data'!T663</f>
        <v>Unknown</v>
      </c>
      <c r="V663" s="27" t="n">
        <f aca="false">'Player Data'!U663</f>
        <v>2026</v>
      </c>
      <c r="W663" s="21" t="str">
        <f aca="false">IF(AND(T663&gt;=Assumptions!$B$19,U663="No"),"High Priority - Unrepresented",IF(T663&gt;=Assumptions!$B$19,"High Priority",IF(AND(T663&gt;=Assumptions!$B$20,U663="No"),"Watchlist - Unrepresented",IF(T663&gt;=Assumptions!$B$20,"Watchlist",""))))</f>
        <v>Watchlist</v>
      </c>
      <c r="X663" s="21" t="str">
        <f aca="false">'Player Data'!V663</f>
        <v>info@osijeksc.hr</v>
      </c>
      <c r="Y663" s="28" t="str">
        <f aca="false">'Player Data'!W663</f>
        <v>Club youth/academy office ONLY - player is a minor, do not contact directly</v>
      </c>
      <c r="Z663" s="28" t="str">
        <f aca="false">'Player Data'!X663</f>
        <v>HNS (Croatian Football Federation) player registry</v>
      </c>
      <c r="AA663" s="19" t="str">
        <f aca="false">HYPERLINK("https://www.transfermarkt.com/schnellsuche/ergebnis/schnellsuche?query="&amp;SUBSTITUTE(A663," ","+"),"Search Transfermarkt")</f>
        <v>Search Transfermarkt</v>
      </c>
      <c r="AB663" s="29" t="n">
        <f aca="false">IFERROR('Player Data'!K663/('Player Data'!K663+'Player Data'!L663),0)</f>
        <v>0.575757575757576</v>
      </c>
      <c r="AC663" s="21" t="str">
        <f aca="false">IF(B663="GK",IF(AND(O663&gt;=Assumptions!$B$23,N663&gt;=Assumptions!$B$23),"Sweeper-Keeper / Build-from-the-Back",IF(O663&gt;=Assumptions!$B$23,"Sweeper-Keeper / High Line",IF(M663&gt;=Assumptions!$B$23,"Shot-Stopper / Traditional","Flexible / Multi-System"))),IF(AND(O663&gt;=Assumptions!$B$23,P663&gt;=Assumptions!$B$24),"High Press / Gegenpressing",IF(AND(N663&gt;=Assumptions!$B$23,AB663&gt;=Assumptions!$B$25),"Possession / Build-from-the-Back",IF(N663&gt;=Assumptions!$B$23,"Counter-Attack / Transition",IF(AND(O663&gt;=Assumptions!$B$23,N663&lt;Assumptions!$B$26),"Low Block / Park the Bus",IF(AND(B663="FW",M663&gt;=Assumptions!$B$23,N663&lt;Assumptions!$B$26),"Direct / Target Approach","Flexible / Multi-System"))))))</f>
        <v>High Press / Gegenpressing</v>
      </c>
      <c r="AD663" s="21" t="str">
        <f aca="false">'Player Data'!Y663</f>
        <v>2026-07-17</v>
      </c>
      <c r="AE663" s="21" t="str">
        <f aca="false">'Player Data'!Z663</f>
        <v>2026-07-17</v>
      </c>
      <c r="AF663" s="28" t="str">
        <f aca="false">IFERROR(INDEX(Assumptions!$B$30:$B$61,MATCH(C663,Assumptions!$A$30:$A$61,0)),"--")</f>
        <v>Austria, Turkey</v>
      </c>
      <c r="AG663" s="30" t="str">
        <f aca="false">IF(R663&gt;=0.7,"Step-Up Candidate",IF(R663&gt;=0.4,"Lateral Move","Stay &amp; Develop"))</f>
        <v>Step-Up Candidate</v>
      </c>
    </row>
    <row r="664" customFormat="false" ht="23.85" hidden="false" customHeight="false" outlineLevel="0" collapsed="false">
      <c r="A664" s="21" t="str">
        <f aca="false">'Player Data'!A664</f>
        <v>Phong Vu</v>
      </c>
      <c r="B664" s="21" t="str">
        <f aca="false">'Player Data'!F664</f>
        <v>GK</v>
      </c>
      <c r="C664" s="21" t="str">
        <f aca="false">'Player Data'!B664</f>
        <v>Vietnam</v>
      </c>
      <c r="D664" s="21" t="str">
        <f aca="false">'Player Data'!C664</f>
        <v>Vietnam Second Division</v>
      </c>
      <c r="E664" s="21" t="n">
        <f aca="false">'Player Data'!D664</f>
        <v>3</v>
      </c>
      <c r="F664" s="21" t="n">
        <f aca="false">'Player Data'!G664</f>
        <v>22</v>
      </c>
      <c r="G664" s="21" t="n">
        <f aca="false">'Player Data'!H664</f>
        <v>2096</v>
      </c>
      <c r="H664" s="22" t="n">
        <f aca="false">IF(B664="GK",IFERROR(('Player Data'!N664-1.5*'Player Data'!O664)/'Player Data'!H664*90,0),IFERROR(('Player Data'!I664+'Player Data'!J664)/'Player Data'!H664*90,0))</f>
        <v>1.99666030534351</v>
      </c>
      <c r="I664" s="22" t="n">
        <f aca="false">IF(B664="GK",'Player Data'!P664,IFERROR(('Player Data'!K664+'Player Data'!L664)/'Player Data'!H664*90,0))</f>
        <v>71</v>
      </c>
      <c r="J664" s="22" t="n">
        <f aca="false">IF(B664="GK",IFERROR('Player Data'!Q664/'Player Data'!H664*90,0),IFERROR('Player Data'!M664/'Player Data'!H664*90,0))</f>
        <v>0.682729007633588</v>
      </c>
      <c r="K664" s="23" t="n">
        <f aca="false">'Player Data'!S664</f>
        <v>86027</v>
      </c>
      <c r="L664" s="22" t="n">
        <f aca="false">INDEX(Assumptions!$B$13:$B$15,MATCH(E664,Assumptions!$A$13:$A$15,0))</f>
        <v>0.85</v>
      </c>
      <c r="M664" s="24" t="n">
        <f aca="false">IFERROR(SUMPRODUCT(($B$2:$B$1001=B664)*($H$2:$H$1001&lt;=H664))/SUMPRODUCT(($B$2:$B$1001=B664)*1),0)</f>
        <v>0.901639344262295</v>
      </c>
      <c r="N664" s="24" t="n">
        <f aca="false">IFERROR(SUMPRODUCT(($B$2:$B$1001=B664)*($I$2:$I$1001&lt;=I664))/SUMPRODUCT(($B$2:$B$1001=B664)*1),0)</f>
        <v>0.431693989071038</v>
      </c>
      <c r="O664" s="24" t="n">
        <f aca="false">IFERROR(SUMPRODUCT(($B$2:$B$1001=B664)*($J$2:$J$1001&lt;=J664))/SUMPRODUCT(($B$2:$B$1001=B664)*1),0)</f>
        <v>0.355191256830601</v>
      </c>
      <c r="P664" s="24" t="n">
        <f aca="false">IFERROR(SUMPRODUCT(($B$2:$B$1001=B664)*((0-$F$2:$F$1001)&lt;=(0-F664)))/SUMPRODUCT(($B$2:$B$1001=B664)*1),0)</f>
        <v>0.530054644808743</v>
      </c>
      <c r="Q664" s="25" t="n">
        <f aca="false">(M664*Assumptions!$B$5+N664*Assumptions!$B$6+O664*Assumptions!$B$7+P664*Assumptions!$B$8)*L664</f>
        <v>0.47051912568306</v>
      </c>
      <c r="R664" s="24" t="n">
        <f aca="false">IFERROR(SUMPRODUCT(($B$2:$B$1001=B664)*($Q$2:$Q$1001&lt;=Q664))/SUMPRODUCT(($B$2:$B$1001=B664)*1),0)</f>
        <v>0.508196721311475</v>
      </c>
      <c r="S664" s="24" t="n">
        <f aca="false">IFERROR(SUMPRODUCT(($B$2:$B$1001=B664)*($K$2:$K$1001&lt;=K664))/SUMPRODUCT(($B$2:$B$1001=B664)*1),0)</f>
        <v>0.617486338797814</v>
      </c>
      <c r="T664" s="26" t="n">
        <f aca="false">(R664-S664)*100</f>
        <v>-10.9289617486339</v>
      </c>
      <c r="U664" s="21" t="str">
        <f aca="false">'Player Data'!T664</f>
        <v>No</v>
      </c>
      <c r="V664" s="27" t="n">
        <f aca="false">'Player Data'!U664</f>
        <v>2028</v>
      </c>
      <c r="W664" s="21" t="str">
        <f aca="false">IF(AND(T664&gt;=Assumptions!$B$19,U664="No"),"High Priority - Unrepresented",IF(T664&gt;=Assumptions!$B$19,"High Priority",IF(AND(T664&gt;=Assumptions!$B$20,U664="No"),"Watchlist - Unrepresented",IF(T664&gt;=Assumptions!$B$20,"Watchlist",""))))</f>
        <v/>
      </c>
      <c r="X664" s="21" t="str">
        <f aca="false">'Player Data'!V664</f>
        <v>info@canthoathletic.vn</v>
      </c>
      <c r="Y664" s="28" t="str">
        <f aca="false">'Player Data'!W664</f>
        <v>Club sporting director / first-team office</v>
      </c>
      <c r="Z664" s="28" t="str">
        <f aca="false">'Player Data'!X664</f>
        <v>VFF (Vietnam Football Federation) player registry</v>
      </c>
      <c r="AA664" s="19" t="str">
        <f aca="false">HYPERLINK("https://www.transfermarkt.com/schnellsuche/ergebnis/schnellsuche?query="&amp;SUBSTITUTE(A664," ","+"),"Search Transfermarkt")</f>
        <v>Search Transfermarkt</v>
      </c>
      <c r="AB664" s="29" t="n">
        <f aca="false">IFERROR('Player Data'!K664/('Player Data'!K664+'Player Data'!L664),0)</f>
        <v>0.833333333333333</v>
      </c>
      <c r="AC664" s="21" t="str">
        <f aca="false">IF(B664="GK",IF(AND(O664&gt;=Assumptions!$B$23,N664&gt;=Assumptions!$B$23),"Sweeper-Keeper / Build-from-the-Back",IF(O664&gt;=Assumptions!$B$23,"Sweeper-Keeper / High Line",IF(M664&gt;=Assumptions!$B$23,"Shot-Stopper / Traditional","Flexible / Multi-System"))),IF(AND(O664&gt;=Assumptions!$B$23,P664&gt;=Assumptions!$B$24),"High Press / Gegenpressing",IF(AND(N664&gt;=Assumptions!$B$23,AB664&gt;=Assumptions!$B$25),"Possession / Build-from-the-Back",IF(N664&gt;=Assumptions!$B$23,"Counter-Attack / Transition",IF(AND(O664&gt;=Assumptions!$B$23,N664&lt;Assumptions!$B$26),"Low Block / Park the Bus",IF(AND(B664="FW",M664&gt;=Assumptions!$B$23,N664&lt;Assumptions!$B$26),"Direct / Target Approach","Flexible / Multi-System"))))))</f>
        <v>Shot-Stopper / Traditional</v>
      </c>
      <c r="AD664" s="21" t="str">
        <f aca="false">'Player Data'!Y664</f>
        <v>2026-07-17</v>
      </c>
      <c r="AE664" s="21" t="str">
        <f aca="false">'Player Data'!Z664</f>
        <v>2026-07-17</v>
      </c>
      <c r="AF664" s="28" t="str">
        <f aca="false">IFERROR(INDEX(Assumptions!$B$30:$B$61,MATCH(C664,Assumptions!$A$30:$A$61,0)),"--")</f>
        <v>Australia, Saudi Arabia</v>
      </c>
      <c r="AG664" s="30" t="str">
        <f aca="false">IF(R664&gt;=0.7,"Step-Up Candidate",IF(R664&gt;=0.4,"Lateral Move","Stay &amp; Develop"))</f>
        <v>Lateral Move</v>
      </c>
    </row>
    <row r="665" customFormat="false" ht="23.85" hidden="false" customHeight="false" outlineLevel="0" collapsed="false">
      <c r="A665" s="21" t="str">
        <f aca="false">'Player Data'!A665</f>
        <v>Chanda Mwansa</v>
      </c>
      <c r="B665" s="21" t="str">
        <f aca="false">'Player Data'!F665</f>
        <v>MF</v>
      </c>
      <c r="C665" s="21" t="str">
        <f aca="false">'Player Data'!B665</f>
        <v>Zambia</v>
      </c>
      <c r="D665" s="21" t="str">
        <f aca="false">'Player Data'!C665</f>
        <v>Zambia Third Tier - North</v>
      </c>
      <c r="E665" s="21" t="n">
        <f aca="false">'Player Data'!D665</f>
        <v>4</v>
      </c>
      <c r="F665" s="21" t="n">
        <f aca="false">'Player Data'!G665</f>
        <v>24</v>
      </c>
      <c r="G665" s="21" t="n">
        <f aca="false">'Player Data'!H665</f>
        <v>1328</v>
      </c>
      <c r="H665" s="22" t="n">
        <f aca="false">IF(B665="GK",IFERROR(('Player Data'!N665-1.5*'Player Data'!O665)/'Player Data'!H665*90,0),IFERROR(('Player Data'!I665+'Player Data'!J665)/'Player Data'!H665*90,0))</f>
        <v>0.881024096385542</v>
      </c>
      <c r="I665" s="22" t="n">
        <f aca="false">IF(B665="GK",'Player Data'!P665,IFERROR(('Player Data'!K665+'Player Data'!L665)/'Player Data'!H665*90,0))</f>
        <v>14.7740963855422</v>
      </c>
      <c r="J665" s="22" t="n">
        <f aca="false">IF(B665="GK",IFERROR('Player Data'!Q665/'Player Data'!H665*90,0),IFERROR('Player Data'!M665/'Player Data'!H665*90,0))</f>
        <v>3.18524096385542</v>
      </c>
      <c r="K665" s="23" t="n">
        <f aca="false">'Player Data'!S665</f>
        <v>78679</v>
      </c>
      <c r="L665" s="22" t="n">
        <f aca="false">INDEX(Assumptions!$B$13:$B$15,MATCH(E665,Assumptions!$A$13:$A$15,0))</f>
        <v>0.7</v>
      </c>
      <c r="M665" s="24" t="n">
        <f aca="false">IFERROR(SUMPRODUCT(($B$2:$B$1001=B665)*($H$2:$H$1001&lt;=H665))/SUMPRODUCT(($B$2:$B$1001=B665)*1),0)</f>
        <v>0.67003367003367</v>
      </c>
      <c r="N665" s="24" t="n">
        <f aca="false">IFERROR(SUMPRODUCT(($B$2:$B$1001=B665)*($I$2:$I$1001&lt;=I665))/SUMPRODUCT(($B$2:$B$1001=B665)*1),0)</f>
        <v>0.737373737373737</v>
      </c>
      <c r="O665" s="24" t="n">
        <f aca="false">IFERROR(SUMPRODUCT(($B$2:$B$1001=B665)*($J$2:$J$1001&lt;=J665))/SUMPRODUCT(($B$2:$B$1001=B665)*1),0)</f>
        <v>0.794612794612795</v>
      </c>
      <c r="P665" s="24" t="n">
        <f aca="false">IFERROR(SUMPRODUCT(($B$2:$B$1001=B665)*((0-$F$2:$F$1001)&lt;=(0-F665)))/SUMPRODUCT(($B$2:$B$1001=B665)*1),0)</f>
        <v>0.326599326599327</v>
      </c>
      <c r="Q665" s="25" t="n">
        <f aca="false">(M665*Assumptions!$B$5+N665*Assumptions!$B$6+O665*Assumptions!$B$7+P665*Assumptions!$B$8)*L665</f>
        <v>0.454882154882155</v>
      </c>
      <c r="R665" s="24" t="n">
        <f aca="false">IFERROR(SUMPRODUCT(($B$2:$B$1001=B665)*($Q$2:$Q$1001&lt;=Q665))/SUMPRODUCT(($B$2:$B$1001=B665)*1),0)</f>
        <v>0.545454545454545</v>
      </c>
      <c r="S665" s="24" t="n">
        <f aca="false">IFERROR(SUMPRODUCT(($B$2:$B$1001=B665)*($K$2:$K$1001&lt;=K665))/SUMPRODUCT(($B$2:$B$1001=B665)*1),0)</f>
        <v>0.622895622895623</v>
      </c>
      <c r="T665" s="26" t="n">
        <f aca="false">(R665-S665)*100</f>
        <v>-7.74410774410775</v>
      </c>
      <c r="U665" s="21" t="str">
        <f aca="false">'Player Data'!T665</f>
        <v>Yes</v>
      </c>
      <c r="V665" s="27" t="n">
        <f aca="false">'Player Data'!U665</f>
        <v>2028</v>
      </c>
      <c r="W665" s="21" t="str">
        <f aca="false">IF(AND(T665&gt;=Assumptions!$B$19,U665="No"),"High Priority - Unrepresented",IF(T665&gt;=Assumptions!$B$19,"High Priority",IF(AND(T665&gt;=Assumptions!$B$20,U665="No"),"Watchlist - Unrepresented",IF(T665&gt;=Assumptions!$B$20,"Watchlist",""))))</f>
        <v/>
      </c>
      <c r="X665" s="21" t="str">
        <f aca="false">'Player Data'!V665</f>
        <v>info@ndolatown.zm</v>
      </c>
      <c r="Y665" s="28" t="str">
        <f aca="false">'Player Data'!W665</f>
        <v>Go through the player's agent - ask the club to confirm representation first</v>
      </c>
      <c r="Z665" s="28" t="str">
        <f aca="false">'Player Data'!X665</f>
        <v>FAZ (Football Association of Zambia) player registry</v>
      </c>
      <c r="AA665" s="19" t="str">
        <f aca="false">HYPERLINK("https://www.transfermarkt.com/schnellsuche/ergebnis/schnellsuche?query="&amp;SUBSTITUTE(A665," ","+"),"Search Transfermarkt")</f>
        <v>Search Transfermarkt</v>
      </c>
      <c r="AB665" s="29" t="n">
        <f aca="false">IFERROR('Player Data'!K665/('Player Data'!K665+'Player Data'!L665),0)</f>
        <v>0.587155963302752</v>
      </c>
      <c r="AC665" s="21" t="str">
        <f aca="false">IF(B665="GK",IF(AND(O665&gt;=Assumptions!$B$23,N665&gt;=Assumptions!$B$23),"Sweeper-Keeper / Build-from-the-Back",IF(O665&gt;=Assumptions!$B$23,"Sweeper-Keeper / High Line",IF(M665&gt;=Assumptions!$B$23,"Shot-Stopper / Traditional","Flexible / Multi-System"))),IF(AND(O665&gt;=Assumptions!$B$23,P665&gt;=Assumptions!$B$24),"High Press / Gegenpressing",IF(AND(N665&gt;=Assumptions!$B$23,AB665&gt;=Assumptions!$B$25),"Possession / Build-from-the-Back",IF(N665&gt;=Assumptions!$B$23,"Counter-Attack / Transition",IF(AND(O665&gt;=Assumptions!$B$23,N665&lt;Assumptions!$B$26),"Low Block / Park the Bus",IF(AND(B665="FW",M665&gt;=Assumptions!$B$23,N665&lt;Assumptions!$B$26),"Direct / Target Approach","Flexible / Multi-System"))))))</f>
        <v>Counter-Attack / Transition</v>
      </c>
      <c r="AD665" s="21" t="str">
        <f aca="false">'Player Data'!Y665</f>
        <v>2026-07-17</v>
      </c>
      <c r="AE665" s="21" t="str">
        <f aca="false">'Player Data'!Z665</f>
        <v>2026-07-17</v>
      </c>
      <c r="AF665" s="28" t="str">
        <f aca="false">IFERROR(INDEX(Assumptions!$B$30:$B$61,MATCH(C665,Assumptions!$A$30:$A$61,0)),"--")</f>
        <v>Belgium, Portugal</v>
      </c>
      <c r="AG665" s="30" t="str">
        <f aca="false">IF(R665&gt;=0.7,"Step-Up Candidate",IF(R665&gt;=0.4,"Lateral Move","Stay &amp; Develop"))</f>
        <v>Lateral Move</v>
      </c>
    </row>
    <row r="666" customFormat="false" ht="23.85" hidden="false" customHeight="false" outlineLevel="0" collapsed="false">
      <c r="A666" s="21" t="str">
        <f aca="false">'Player Data'!A666</f>
        <v>Samuel Ngoy</v>
      </c>
      <c r="B666" s="21" t="str">
        <f aca="false">'Player Data'!F666</f>
        <v>FW</v>
      </c>
      <c r="C666" s="21" t="str">
        <f aca="false">'Player Data'!B666</f>
        <v>Cameroon</v>
      </c>
      <c r="D666" s="21" t="str">
        <f aca="false">'Player Data'!C666</f>
        <v>Cameroon Third Tier - North</v>
      </c>
      <c r="E666" s="21" t="n">
        <f aca="false">'Player Data'!D666</f>
        <v>2</v>
      </c>
      <c r="F666" s="21" t="n">
        <f aca="false">'Player Data'!G666</f>
        <v>25</v>
      </c>
      <c r="G666" s="21" t="n">
        <f aca="false">'Player Data'!H666</f>
        <v>1041</v>
      </c>
      <c r="H666" s="22" t="n">
        <f aca="false">IF(B666="GK",IFERROR(('Player Data'!N666-1.5*'Player Data'!O666)/'Player Data'!H666*90,0),IFERROR(('Player Data'!I666+'Player Data'!J666)/'Player Data'!H666*90,0))</f>
        <v>2.2478386167147</v>
      </c>
      <c r="I666" s="22" t="n">
        <f aca="false">IF(B666="GK",'Player Data'!P666,IFERROR(('Player Data'!K666+'Player Data'!L666)/'Player Data'!H666*90,0))</f>
        <v>11.671469740634</v>
      </c>
      <c r="J666" s="22" t="n">
        <f aca="false">IF(B666="GK",IFERROR('Player Data'!Q666/'Player Data'!H666*90,0),IFERROR('Player Data'!M666/'Player Data'!H666*90,0))</f>
        <v>1.38328530259366</v>
      </c>
      <c r="K666" s="23" t="n">
        <f aca="false">'Player Data'!S666</f>
        <v>121847</v>
      </c>
      <c r="L666" s="22" t="n">
        <f aca="false">INDEX(Assumptions!$B$13:$B$15,MATCH(E666,Assumptions!$A$13:$A$15,0))</f>
        <v>1</v>
      </c>
      <c r="M666" s="24" t="n">
        <f aca="false">IFERROR(SUMPRODUCT(($B$2:$B$1001=B666)*($H$2:$H$1001&lt;=H666))/SUMPRODUCT(($B$2:$B$1001=B666)*1),0)</f>
        <v>0.982300884955752</v>
      </c>
      <c r="N666" s="24" t="n">
        <f aca="false">IFERROR(SUMPRODUCT(($B$2:$B$1001=B666)*($I$2:$I$1001&lt;=I666))/SUMPRODUCT(($B$2:$B$1001=B666)*1),0)</f>
        <v>0.911504424778761</v>
      </c>
      <c r="O666" s="24" t="n">
        <f aca="false">IFERROR(SUMPRODUCT(($B$2:$B$1001=B666)*($J$2:$J$1001&lt;=J666))/SUMPRODUCT(($B$2:$B$1001=B666)*1),0)</f>
        <v>0.964601769911504</v>
      </c>
      <c r="P666" s="24" t="n">
        <f aca="false">IFERROR(SUMPRODUCT(($B$2:$B$1001=B666)*((0-$F$2:$F$1001)&lt;=(0-F666)))/SUMPRODUCT(($B$2:$B$1001=B666)*1),0)</f>
        <v>0.194690265486726</v>
      </c>
      <c r="Q666" s="25" t="n">
        <f aca="false">(M666*Assumptions!$B$5+N666*Assumptions!$B$6+O666*Assumptions!$B$7+P666*Assumptions!$B$8)*L666</f>
        <v>0.796460176991151</v>
      </c>
      <c r="R666" s="24" t="n">
        <f aca="false">IFERROR(SUMPRODUCT(($B$2:$B$1001=B666)*($Q$2:$Q$1001&lt;=Q666))/SUMPRODUCT(($B$2:$B$1001=B666)*1),0)</f>
        <v>0.929203539823009</v>
      </c>
      <c r="S666" s="24" t="n">
        <f aca="false">IFERROR(SUMPRODUCT(($B$2:$B$1001=B666)*($K$2:$K$1001&lt;=K666))/SUMPRODUCT(($B$2:$B$1001=B666)*1),0)</f>
        <v>0.853982300884956</v>
      </c>
      <c r="T666" s="26" t="n">
        <f aca="false">(R666-S666)*100</f>
        <v>7.52212389380531</v>
      </c>
      <c r="U666" s="21" t="str">
        <f aca="false">'Player Data'!T666</f>
        <v>Yes</v>
      </c>
      <c r="V666" s="27" t="n">
        <f aca="false">'Player Data'!U666</f>
        <v>2027</v>
      </c>
      <c r="W666" s="21" t="str">
        <f aca="false">IF(AND(T666&gt;=Assumptions!$B$19,U666="No"),"High Priority - Unrepresented",IF(T666&gt;=Assumptions!$B$19,"High Priority",IF(AND(T666&gt;=Assumptions!$B$20,U666="No"),"Watchlist - Unrepresented",IF(T666&gt;=Assumptions!$B$20,"Watchlist",""))))</f>
        <v/>
      </c>
      <c r="X666" s="21" t="str">
        <f aca="false">'Player Data'!V666</f>
        <v>info@garouatown.cm</v>
      </c>
      <c r="Y666" s="28" t="str">
        <f aca="false">'Player Data'!W666</f>
        <v>Go through the player's agent - ask the club to confirm representation first</v>
      </c>
      <c r="Z666" s="28" t="str">
        <f aca="false">'Player Data'!X666</f>
        <v>FECAFOOT (Cameroonian Football Federation) player registry</v>
      </c>
      <c r="AA666" s="19" t="str">
        <f aca="false">HYPERLINK("https://www.transfermarkt.com/schnellsuche/ergebnis/schnellsuche?query="&amp;SUBSTITUTE(A666," ","+"),"Search Transfermarkt")</f>
        <v>Search Transfermarkt</v>
      </c>
      <c r="AB666" s="29" t="n">
        <f aca="false">IFERROR('Player Data'!K666/('Player Data'!K666+'Player Data'!L666),0)</f>
        <v>0.496296296296296</v>
      </c>
      <c r="AC666" s="21" t="str">
        <f aca="false">IF(B666="GK",IF(AND(O666&gt;=Assumptions!$B$23,N666&gt;=Assumptions!$B$23),"Sweeper-Keeper / Build-from-the-Back",IF(O666&gt;=Assumptions!$B$23,"Sweeper-Keeper / High Line",IF(M666&gt;=Assumptions!$B$23,"Shot-Stopper / Traditional","Flexible / Multi-System"))),IF(AND(O666&gt;=Assumptions!$B$23,P666&gt;=Assumptions!$B$24),"High Press / Gegenpressing",IF(AND(N666&gt;=Assumptions!$B$23,AB666&gt;=Assumptions!$B$25),"Possession / Build-from-the-Back",IF(N666&gt;=Assumptions!$B$23,"Counter-Attack / Transition",IF(AND(O666&gt;=Assumptions!$B$23,N666&lt;Assumptions!$B$26),"Low Block / Park the Bus",IF(AND(B666="FW",M666&gt;=Assumptions!$B$23,N666&lt;Assumptions!$B$26),"Direct / Target Approach","Flexible / Multi-System"))))))</f>
        <v>Counter-Attack / Transition</v>
      </c>
      <c r="AD666" s="21" t="str">
        <f aca="false">'Player Data'!Y666</f>
        <v>2026-07-17</v>
      </c>
      <c r="AE666" s="21" t="str">
        <f aca="false">'Player Data'!Z666</f>
        <v>2026-07-17</v>
      </c>
      <c r="AF666" s="28" t="str">
        <f aca="false">IFERROR(INDEX(Assumptions!$B$30:$B$61,MATCH(C666,Assumptions!$A$30:$A$61,0)),"--")</f>
        <v>Belgium, Portugal</v>
      </c>
      <c r="AG666" s="30" t="str">
        <f aca="false">IF(R666&gt;=0.7,"Step-Up Candidate",IF(R666&gt;=0.4,"Lateral Move","Stay &amp; Develop"))</f>
        <v>Step-Up Candidate</v>
      </c>
    </row>
    <row r="667" customFormat="false" ht="23.85" hidden="false" customHeight="false" outlineLevel="0" collapsed="false">
      <c r="A667" s="21" t="str">
        <f aca="false">'Player Data'!A667</f>
        <v>Bledi Hoxha</v>
      </c>
      <c r="B667" s="21" t="str">
        <f aca="false">'Player Data'!F667</f>
        <v>MF</v>
      </c>
      <c r="C667" s="21" t="str">
        <f aca="false">'Player Data'!B667</f>
        <v>Albania</v>
      </c>
      <c r="D667" s="21" t="str">
        <f aca="false">'Player Data'!C667</f>
        <v>Albania Second Division</v>
      </c>
      <c r="E667" s="21" t="n">
        <f aca="false">'Player Data'!D667</f>
        <v>2</v>
      </c>
      <c r="F667" s="21" t="n">
        <f aca="false">'Player Data'!G667</f>
        <v>20</v>
      </c>
      <c r="G667" s="21" t="n">
        <f aca="false">'Player Data'!H667</f>
        <v>1199</v>
      </c>
      <c r="H667" s="22" t="n">
        <f aca="false">IF(B667="GK",IFERROR(('Player Data'!N667-1.5*'Player Data'!O667)/'Player Data'!H667*90,0),IFERROR(('Player Data'!I667+'Player Data'!J667)/'Player Data'!H667*90,0))</f>
        <v>0.97581317764804</v>
      </c>
      <c r="I667" s="22" t="n">
        <f aca="false">IF(B667="GK",'Player Data'!P667,IFERROR(('Player Data'!K667+'Player Data'!L667)/'Player Data'!H667*90,0))</f>
        <v>17.9399499582986</v>
      </c>
      <c r="J667" s="22" t="n">
        <f aca="false">IF(B667="GK",IFERROR('Player Data'!Q667/'Player Data'!H667*90,0),IFERROR('Player Data'!M667/'Player Data'!H667*90,0))</f>
        <v>3.67806505421184</v>
      </c>
      <c r="K667" s="23" t="n">
        <f aca="false">'Player Data'!S667</f>
        <v>81851</v>
      </c>
      <c r="L667" s="22" t="n">
        <f aca="false">INDEX(Assumptions!$B$13:$B$15,MATCH(E667,Assumptions!$A$13:$A$15,0))</f>
        <v>1</v>
      </c>
      <c r="M667" s="24" t="n">
        <f aca="false">IFERROR(SUMPRODUCT(($B$2:$B$1001=B667)*($H$2:$H$1001&lt;=H667))/SUMPRODUCT(($B$2:$B$1001=B667)*1),0)</f>
        <v>0.764309764309764</v>
      </c>
      <c r="N667" s="24" t="n">
        <f aca="false">IFERROR(SUMPRODUCT(($B$2:$B$1001=B667)*($I$2:$I$1001&lt;=I667))/SUMPRODUCT(($B$2:$B$1001=B667)*1),0)</f>
        <v>0.851851851851852</v>
      </c>
      <c r="O667" s="24" t="n">
        <f aca="false">IFERROR(SUMPRODUCT(($B$2:$B$1001=B667)*($J$2:$J$1001&lt;=J667))/SUMPRODUCT(($B$2:$B$1001=B667)*1),0)</f>
        <v>0.888888888888889</v>
      </c>
      <c r="P667" s="24" t="n">
        <f aca="false">IFERROR(SUMPRODUCT(($B$2:$B$1001=B667)*((0-$F$2:$F$1001)&lt;=(0-F667)))/SUMPRODUCT(($B$2:$B$1001=B667)*1),0)</f>
        <v>0.734006734006734</v>
      </c>
      <c r="Q667" s="25" t="n">
        <f aca="false">(M667*Assumptions!$B$5+N667*Assumptions!$B$6+O667*Assumptions!$B$7+P667*Assumptions!$B$8)*L667</f>
        <v>0.813804713804714</v>
      </c>
      <c r="R667" s="24" t="n">
        <f aca="false">IFERROR(SUMPRODUCT(($B$2:$B$1001=B667)*($Q$2:$Q$1001&lt;=Q667))/SUMPRODUCT(($B$2:$B$1001=B667)*1),0)</f>
        <v>0.95959595959596</v>
      </c>
      <c r="S667" s="24" t="n">
        <f aca="false">IFERROR(SUMPRODUCT(($B$2:$B$1001=B667)*($K$2:$K$1001&lt;=K667))/SUMPRODUCT(($B$2:$B$1001=B667)*1),0)</f>
        <v>0.64983164983165</v>
      </c>
      <c r="T667" s="26" t="n">
        <f aca="false">(R667-S667)*100</f>
        <v>30.976430976431</v>
      </c>
      <c r="U667" s="21" t="str">
        <f aca="false">'Player Data'!T667</f>
        <v>No</v>
      </c>
      <c r="V667" s="27" t="n">
        <f aca="false">'Player Data'!U667</f>
        <v>2027</v>
      </c>
      <c r="W667" s="21" t="str">
        <f aca="false">IF(AND(T667&gt;=Assumptions!$B$19,U667="No"),"High Priority - Unrepresented",IF(T667&gt;=Assumptions!$B$19,"High Priority",IF(AND(T667&gt;=Assumptions!$B$20,U667="No"),"Watchlist - Unrepresented",IF(T667&gt;=Assumptions!$B$20,"Watchlist",""))))</f>
        <v>Watchlist - Unrepresented</v>
      </c>
      <c r="X667" s="21" t="str">
        <f aca="false">'Player Data'!V667</f>
        <v>info@vlorewanderers.al</v>
      </c>
      <c r="Y667" s="28" t="str">
        <f aca="false">'Player Data'!W667</f>
        <v>Club sporting director / first-team office</v>
      </c>
      <c r="Z667" s="28" t="str">
        <f aca="false">'Player Data'!X667</f>
        <v>FSHF (Albanian Football Association) player registry</v>
      </c>
      <c r="AA667" s="19" t="str">
        <f aca="false">HYPERLINK("https://www.transfermarkt.com/schnellsuche/ergebnis/schnellsuche?query="&amp;SUBSTITUTE(A667," ","+"),"Search Transfermarkt")</f>
        <v>Search Transfermarkt</v>
      </c>
      <c r="AB667" s="29" t="n">
        <f aca="false">IFERROR('Player Data'!K667/('Player Data'!K667+'Player Data'!L667),0)</f>
        <v>0.648535564853557</v>
      </c>
      <c r="AC667" s="21" t="str">
        <f aca="false">IF(B667="GK",IF(AND(O667&gt;=Assumptions!$B$23,N667&gt;=Assumptions!$B$23),"Sweeper-Keeper / Build-from-the-Back",IF(O667&gt;=Assumptions!$B$23,"Sweeper-Keeper / High Line",IF(M667&gt;=Assumptions!$B$23,"Shot-Stopper / Traditional","Flexible / Multi-System"))),IF(AND(O667&gt;=Assumptions!$B$23,P667&gt;=Assumptions!$B$24),"High Press / Gegenpressing",IF(AND(N667&gt;=Assumptions!$B$23,AB667&gt;=Assumptions!$B$25),"Possession / Build-from-the-Back",IF(N667&gt;=Assumptions!$B$23,"Counter-Attack / Transition",IF(AND(O667&gt;=Assumptions!$B$23,N667&lt;Assumptions!$B$26),"Low Block / Park the Bus",IF(AND(B667="FW",M667&gt;=Assumptions!$B$23,N667&lt;Assumptions!$B$26),"Direct / Target Approach","Flexible / Multi-System"))))))</f>
        <v>High Press / Gegenpressing</v>
      </c>
      <c r="AD667" s="21" t="str">
        <f aca="false">'Player Data'!Y667</f>
        <v>2026-07-17</v>
      </c>
      <c r="AE667" s="21" t="str">
        <f aca="false">'Player Data'!Z667</f>
        <v>2026-07-17</v>
      </c>
      <c r="AF667" s="28" t="str">
        <f aca="false">IFERROR(INDEX(Assumptions!$B$30:$B$61,MATCH(C667,Assumptions!$A$30:$A$61,0)),"--")</f>
        <v>Turkey, Poland</v>
      </c>
      <c r="AG667" s="30" t="str">
        <f aca="false">IF(R667&gt;=0.7,"Step-Up Candidate",IF(R667&gt;=0.4,"Lateral Move","Stay &amp; Develop"))</f>
        <v>Step-Up Candidate</v>
      </c>
    </row>
    <row r="668" customFormat="false" ht="23.85" hidden="false" customHeight="false" outlineLevel="0" collapsed="false">
      <c r="A668" s="21" t="str">
        <f aca="false">'Player Data'!A668</f>
        <v>Roman Perez</v>
      </c>
      <c r="B668" s="21" t="str">
        <f aca="false">'Player Data'!F668</f>
        <v>GK</v>
      </c>
      <c r="C668" s="21" t="str">
        <f aca="false">'Player Data'!B668</f>
        <v>Panama</v>
      </c>
      <c r="D668" s="21" t="str">
        <f aca="false">'Player Data'!C668</f>
        <v>Panama Amateur League</v>
      </c>
      <c r="E668" s="21" t="n">
        <f aca="false">'Player Data'!D668</f>
        <v>3</v>
      </c>
      <c r="F668" s="21" t="n">
        <f aca="false">'Player Data'!G668</f>
        <v>25</v>
      </c>
      <c r="G668" s="21" t="n">
        <f aca="false">'Player Data'!H668</f>
        <v>1068</v>
      </c>
      <c r="H668" s="22" t="n">
        <f aca="false">IF(B668="GK",IFERROR(('Player Data'!N668-1.5*'Player Data'!O668)/'Player Data'!H668*90,0),IFERROR(('Player Data'!I668+'Player Data'!J668)/'Player Data'!H668*90,0))</f>
        <v>1.05337078651685</v>
      </c>
      <c r="I668" s="22" t="n">
        <f aca="false">IF(B668="GK",'Player Data'!P668,IFERROR(('Player Data'!K668+'Player Data'!L668)/'Player Data'!H668*90,0))</f>
        <v>87.7</v>
      </c>
      <c r="J668" s="22" t="n">
        <f aca="false">IF(B668="GK",IFERROR('Player Data'!Q668/'Player Data'!H668*90,0),IFERROR('Player Data'!M668/'Player Data'!H668*90,0))</f>
        <v>1.09550561797753</v>
      </c>
      <c r="K668" s="23" t="n">
        <f aca="false">'Player Data'!S668</f>
        <v>0</v>
      </c>
      <c r="L668" s="22" t="n">
        <f aca="false">INDEX(Assumptions!$B$13:$B$15,MATCH(E668,Assumptions!$A$13:$A$15,0))</f>
        <v>0.85</v>
      </c>
      <c r="M668" s="24" t="n">
        <f aca="false">IFERROR(SUMPRODUCT(($B$2:$B$1001=B668)*($H$2:$H$1001&lt;=H668))/SUMPRODUCT(($B$2:$B$1001=B668)*1),0)</f>
        <v>0.448087431693989</v>
      </c>
      <c r="N668" s="24" t="n">
        <f aca="false">IFERROR(SUMPRODUCT(($B$2:$B$1001=B668)*($I$2:$I$1001&lt;=I668))/SUMPRODUCT(($B$2:$B$1001=B668)*1),0)</f>
        <v>0.901639344262295</v>
      </c>
      <c r="O668" s="24" t="n">
        <f aca="false">IFERROR(SUMPRODUCT(($B$2:$B$1001=B668)*($J$2:$J$1001&lt;=J668))/SUMPRODUCT(($B$2:$B$1001=B668)*1),0)</f>
        <v>0.666666666666667</v>
      </c>
      <c r="P668" s="24" t="n">
        <f aca="false">IFERROR(SUMPRODUCT(($B$2:$B$1001=B668)*((0-$F$2:$F$1001)&lt;=(0-F668)))/SUMPRODUCT(($B$2:$B$1001=B668)*1),0)</f>
        <v>0.240437158469945</v>
      </c>
      <c r="Q668" s="25" t="n">
        <f aca="false">(M668*Assumptions!$B$5+N668*Assumptions!$B$6+O668*Assumptions!$B$7+P668*Assumptions!$B$8)*L668</f>
        <v>0.51766393442623</v>
      </c>
      <c r="R668" s="24" t="n">
        <f aca="false">IFERROR(SUMPRODUCT(($B$2:$B$1001=B668)*($Q$2:$Q$1001&lt;=Q668))/SUMPRODUCT(($B$2:$B$1001=B668)*1),0)</f>
        <v>0.666666666666667</v>
      </c>
      <c r="S668" s="24" t="n">
        <f aca="false">IFERROR(SUMPRODUCT(($B$2:$B$1001=B668)*($K$2:$K$1001&lt;=K668))/SUMPRODUCT(($B$2:$B$1001=B668)*1),0)</f>
        <v>0.218579234972678</v>
      </c>
      <c r="T668" s="26" t="n">
        <f aca="false">(R668-S668)*100</f>
        <v>44.8087431693989</v>
      </c>
      <c r="U668" s="21" t="str">
        <f aca="false">'Player Data'!T668</f>
        <v>No</v>
      </c>
      <c r="V668" s="27" t="n">
        <f aca="false">'Player Data'!U668</f>
        <v>2027</v>
      </c>
      <c r="W668" s="21" t="str">
        <f aca="false">IF(AND(T668&gt;=Assumptions!$B$19,U668="No"),"High Priority - Unrepresented",IF(T668&gt;=Assumptions!$B$19,"High Priority",IF(AND(T668&gt;=Assumptions!$B$20,U668="No"),"Watchlist - Unrepresented",IF(T668&gt;=Assumptions!$B$20,"Watchlist",""))))</f>
        <v>High Priority - Unrepresented</v>
      </c>
      <c r="X668" s="21" t="str">
        <f aca="false">'Player Data'!V668</f>
        <v>info@panamacitysc.pa</v>
      </c>
      <c r="Y668" s="28" t="str">
        <f aca="false">'Player Data'!W668</f>
        <v>Club sporting director / first-team office</v>
      </c>
      <c r="Z668" s="28" t="str">
        <f aca="false">'Player Data'!X668</f>
        <v>FEPAFUT (Panamanian Football Federation) player registry</v>
      </c>
      <c r="AA668" s="19" t="str">
        <f aca="false">HYPERLINK("https://www.transfermarkt.com/schnellsuche/ergebnis/schnellsuche?query="&amp;SUBSTITUTE(A668," ","+"),"Search Transfermarkt")</f>
        <v>Search Transfermarkt</v>
      </c>
      <c r="AB668" s="29" t="n">
        <f aca="false">IFERROR('Player Data'!K668/('Player Data'!K668+'Player Data'!L668),0)</f>
        <v>0.761904761904762</v>
      </c>
      <c r="AC668" s="21" t="str">
        <f aca="false">IF(B668="GK",IF(AND(O668&gt;=Assumptions!$B$23,N668&gt;=Assumptions!$B$23),"Sweeper-Keeper / Build-from-the-Back",IF(O668&gt;=Assumptions!$B$23,"Sweeper-Keeper / High Line",IF(M668&gt;=Assumptions!$B$23,"Shot-Stopper / Traditional","Flexible / Multi-System"))),IF(AND(O668&gt;=Assumptions!$B$23,P668&gt;=Assumptions!$B$24),"High Press / Gegenpressing",IF(AND(N668&gt;=Assumptions!$B$23,AB668&gt;=Assumptions!$B$25),"Possession / Build-from-the-Back",IF(N668&gt;=Assumptions!$B$23,"Counter-Attack / Transition",IF(AND(O668&gt;=Assumptions!$B$23,N668&lt;Assumptions!$B$26),"Low Block / Park the Bus",IF(AND(B668="FW",M668&gt;=Assumptions!$B$23,N668&lt;Assumptions!$B$26),"Direct / Target Approach","Flexible / Multi-System"))))))</f>
        <v>Sweeper-Keeper / Build-from-the-Back</v>
      </c>
      <c r="AD668" s="21" t="str">
        <f aca="false">'Player Data'!Y668</f>
        <v>2026-07-17</v>
      </c>
      <c r="AE668" s="21" t="str">
        <f aca="false">'Player Data'!Z668</f>
        <v>2026-07-17</v>
      </c>
      <c r="AF668" s="28" t="str">
        <f aca="false">IFERROR(INDEX(Assumptions!$B$30:$B$61,MATCH(C668,Assumptions!$A$30:$A$61,0)),"--")</f>
        <v>Mexico, United States</v>
      </c>
      <c r="AG668" s="30" t="str">
        <f aca="false">IF(R668&gt;=0.7,"Step-Up Candidate",IF(R668&gt;=0.4,"Lateral Move","Stay &amp; Develop"))</f>
        <v>Lateral Move</v>
      </c>
    </row>
    <row r="669" customFormat="false" ht="23.85" hidden="false" customHeight="false" outlineLevel="0" collapsed="false">
      <c r="A669" s="21" t="str">
        <f aca="false">'Player Data'!A669</f>
        <v>Cheikh Sow</v>
      </c>
      <c r="B669" s="21" t="str">
        <f aca="false">'Player Data'!F669</f>
        <v>FW</v>
      </c>
      <c r="C669" s="21" t="str">
        <f aca="false">'Player Data'!B669</f>
        <v>Senegal</v>
      </c>
      <c r="D669" s="21" t="str">
        <f aca="false">'Player Data'!C669</f>
        <v>Senegal Second Division - West</v>
      </c>
      <c r="E669" s="21" t="n">
        <f aca="false">'Player Data'!D669</f>
        <v>2</v>
      </c>
      <c r="F669" s="21" t="n">
        <f aca="false">'Player Data'!G669</f>
        <v>18</v>
      </c>
      <c r="G669" s="21" t="n">
        <f aca="false">'Player Data'!H669</f>
        <v>2478</v>
      </c>
      <c r="H669" s="22" t="n">
        <f aca="false">IF(B669="GK",IFERROR(('Player Data'!N669-1.5*'Player Data'!O669)/'Player Data'!H669*90,0),IFERROR(('Player Data'!I669+'Player Data'!J669)/'Player Data'!H669*90,0))</f>
        <v>0.76271186440678</v>
      </c>
      <c r="I669" s="22" t="n">
        <f aca="false">IF(B669="GK",'Player Data'!P669,IFERROR(('Player Data'!K669+'Player Data'!L669)/'Player Data'!H669*90,0))</f>
        <v>4.64891041162228</v>
      </c>
      <c r="J669" s="22" t="n">
        <f aca="false">IF(B669="GK",IFERROR('Player Data'!Q669/'Player Data'!H669*90,0),IFERROR('Player Data'!M669/'Player Data'!H669*90,0))</f>
        <v>0.435835351089588</v>
      </c>
      <c r="K669" s="23" t="n">
        <f aca="false">'Player Data'!S669</f>
        <v>84685</v>
      </c>
      <c r="L669" s="22" t="n">
        <f aca="false">INDEX(Assumptions!$B$13:$B$15,MATCH(E669,Assumptions!$A$13:$A$15,0))</f>
        <v>1</v>
      </c>
      <c r="M669" s="24" t="n">
        <f aca="false">IFERROR(SUMPRODUCT(($B$2:$B$1001=B669)*($H$2:$H$1001&lt;=H669))/SUMPRODUCT(($B$2:$B$1001=B669)*1),0)</f>
        <v>0.278761061946903</v>
      </c>
      <c r="N669" s="24" t="n">
        <f aca="false">IFERROR(SUMPRODUCT(($B$2:$B$1001=B669)*($I$2:$I$1001&lt;=I669))/SUMPRODUCT(($B$2:$B$1001=B669)*1),0)</f>
        <v>0.13716814159292</v>
      </c>
      <c r="O669" s="24" t="n">
        <f aca="false">IFERROR(SUMPRODUCT(($B$2:$B$1001=B669)*($J$2:$J$1001&lt;=J669))/SUMPRODUCT(($B$2:$B$1001=B669)*1),0)</f>
        <v>0.384955752212389</v>
      </c>
      <c r="P669" s="24" t="n">
        <f aca="false">IFERROR(SUMPRODUCT(($B$2:$B$1001=B669)*((0-$F$2:$F$1001)&lt;=(0-F669)))/SUMPRODUCT(($B$2:$B$1001=B669)*1),0)</f>
        <v>0.915929203539823</v>
      </c>
      <c r="Q669" s="25" t="n">
        <f aca="false">(M669*Assumptions!$B$5+N669*Assumptions!$B$6+O669*Assumptions!$B$7+P669*Assumptions!$B$8)*L669</f>
        <v>0.37787610619469</v>
      </c>
      <c r="R669" s="24" t="n">
        <f aca="false">IFERROR(SUMPRODUCT(($B$2:$B$1001=B669)*($Q$2:$Q$1001&lt;=Q669))/SUMPRODUCT(($B$2:$B$1001=B669)*1),0)</f>
        <v>0.402654867256637</v>
      </c>
      <c r="S669" s="24" t="n">
        <f aca="false">IFERROR(SUMPRODUCT(($B$2:$B$1001=B669)*($K$2:$K$1001&lt;=K669))/SUMPRODUCT(($B$2:$B$1001=B669)*1),0)</f>
        <v>0.619469026548673</v>
      </c>
      <c r="T669" s="26" t="n">
        <f aca="false">(R669-S669)*100</f>
        <v>-21.6814159292035</v>
      </c>
      <c r="U669" s="21" t="str">
        <f aca="false">'Player Data'!T669</f>
        <v>Unknown</v>
      </c>
      <c r="V669" s="27" t="n">
        <f aca="false">'Player Data'!U669</f>
        <v>2027</v>
      </c>
      <c r="W669" s="21" t="str">
        <f aca="false">IF(AND(T669&gt;=Assumptions!$B$19,U669="No"),"High Priority - Unrepresented",IF(T669&gt;=Assumptions!$B$19,"High Priority",IF(AND(T669&gt;=Assumptions!$B$20,U669="No"),"Watchlist - Unrepresented",IF(T669&gt;=Assumptions!$B$20,"Watchlist",""))))</f>
        <v/>
      </c>
      <c r="X669" s="21" t="str">
        <f aca="false">'Player Data'!V669</f>
        <v>info@dakarrovers.sn</v>
      </c>
      <c r="Y669" s="28" t="str">
        <f aca="false">'Player Data'!W669</f>
        <v>Club sporting director / first-team office</v>
      </c>
      <c r="Z669" s="28" t="str">
        <f aca="false">'Player Data'!X669</f>
        <v>FSF (Senegalese Football Federation) player registry</v>
      </c>
      <c r="AA669" s="19" t="str">
        <f aca="false">HYPERLINK("https://www.transfermarkt.com/schnellsuche/ergebnis/schnellsuche?query="&amp;SUBSTITUTE(A669," ","+"),"Search Transfermarkt")</f>
        <v>Search Transfermarkt</v>
      </c>
      <c r="AB669" s="29" t="n">
        <f aca="false">IFERROR('Player Data'!K669/('Player Data'!K669+'Player Data'!L669),0)</f>
        <v>0.53125</v>
      </c>
      <c r="AC669" s="21" t="str">
        <f aca="false">IF(B669="GK",IF(AND(O669&gt;=Assumptions!$B$23,N669&gt;=Assumptions!$B$23),"Sweeper-Keeper / Build-from-the-Back",IF(O669&gt;=Assumptions!$B$23,"Sweeper-Keeper / High Line",IF(M669&gt;=Assumptions!$B$23,"Shot-Stopper / Traditional","Flexible / Multi-System"))),IF(AND(O669&gt;=Assumptions!$B$23,P669&gt;=Assumptions!$B$24),"High Press / Gegenpressing",IF(AND(N669&gt;=Assumptions!$B$23,AB669&gt;=Assumptions!$B$25),"Possession / Build-from-the-Back",IF(N669&gt;=Assumptions!$B$23,"Counter-Attack / Transition",IF(AND(O669&gt;=Assumptions!$B$23,N669&lt;Assumptions!$B$26),"Low Block / Park the Bus",IF(AND(B669="FW",M669&gt;=Assumptions!$B$23,N669&lt;Assumptions!$B$26),"Direct / Target Approach","Flexible / Multi-System"))))))</f>
        <v>Flexible / Multi-System</v>
      </c>
      <c r="AD669" s="21" t="str">
        <f aca="false">'Player Data'!Y669</f>
        <v>2026-07-17</v>
      </c>
      <c r="AE669" s="21" t="str">
        <f aca="false">'Player Data'!Z669</f>
        <v>2026-07-17</v>
      </c>
      <c r="AF669" s="28" t="str">
        <f aca="false">IFERROR(INDEX(Assumptions!$B$30:$B$61,MATCH(C669,Assumptions!$A$30:$A$61,0)),"--")</f>
        <v>Belgium, Portugal</v>
      </c>
      <c r="AG669" s="30" t="str">
        <f aca="false">IF(R669&gt;=0.7,"Step-Up Candidate",IF(R669&gt;=0.4,"Lateral Move","Stay &amp; Develop"))</f>
        <v>Lateral Move</v>
      </c>
    </row>
    <row r="670" customFormat="false" ht="23.85" hidden="false" customHeight="false" outlineLevel="0" collapsed="false">
      <c r="A670" s="21" t="str">
        <f aca="false">'Player Data'!A670</f>
        <v>Roberts Kalns 15</v>
      </c>
      <c r="B670" s="21" t="str">
        <f aca="false">'Player Data'!F670</f>
        <v>FW</v>
      </c>
      <c r="C670" s="21" t="str">
        <f aca="false">'Player Data'!B670</f>
        <v>Latvia</v>
      </c>
      <c r="D670" s="21" t="str">
        <f aca="false">'Player Data'!C670</f>
        <v>Latvia Second Division</v>
      </c>
      <c r="E670" s="21" t="n">
        <f aca="false">'Player Data'!D670</f>
        <v>4</v>
      </c>
      <c r="F670" s="21" t="n">
        <f aca="false">'Player Data'!G670</f>
        <v>20</v>
      </c>
      <c r="G670" s="21" t="n">
        <f aca="false">'Player Data'!H670</f>
        <v>1132</v>
      </c>
      <c r="H670" s="22" t="n">
        <f aca="false">IF(B670="GK",IFERROR(('Player Data'!N670-1.5*'Player Data'!O670)/'Player Data'!H670*90,0),IFERROR(('Player Data'!I670+'Player Data'!J670)/'Player Data'!H670*90,0))</f>
        <v>1.27208480565371</v>
      </c>
      <c r="I670" s="22" t="n">
        <f aca="false">IF(B670="GK",'Player Data'!P670,IFERROR(('Player Data'!K670+'Player Data'!L670)/'Player Data'!H670*90,0))</f>
        <v>9.54063604240283</v>
      </c>
      <c r="J670" s="22" t="n">
        <f aca="false">IF(B670="GK",IFERROR('Player Data'!Q670/'Player Data'!H670*90,0),IFERROR('Player Data'!M670/'Player Data'!H670*90,0))</f>
        <v>1.113074204947</v>
      </c>
      <c r="K670" s="23" t="n">
        <f aca="false">'Player Data'!S670</f>
        <v>0</v>
      </c>
      <c r="L670" s="22" t="n">
        <f aca="false">INDEX(Assumptions!$B$13:$B$15,MATCH(E670,Assumptions!$A$13:$A$15,0))</f>
        <v>0.7</v>
      </c>
      <c r="M670" s="24" t="n">
        <f aca="false">IFERROR(SUMPRODUCT(($B$2:$B$1001=B670)*($H$2:$H$1001&lt;=H670))/SUMPRODUCT(($B$2:$B$1001=B670)*1),0)</f>
        <v>0.730088495575221</v>
      </c>
      <c r="N670" s="24" t="n">
        <f aca="false">IFERROR(SUMPRODUCT(($B$2:$B$1001=B670)*($I$2:$I$1001&lt;=I670))/SUMPRODUCT(($B$2:$B$1001=B670)*1),0)</f>
        <v>0.809734513274336</v>
      </c>
      <c r="O670" s="24" t="n">
        <f aca="false">IFERROR(SUMPRODUCT(($B$2:$B$1001=B670)*($J$2:$J$1001&lt;=J670))/SUMPRODUCT(($B$2:$B$1001=B670)*1),0)</f>
        <v>0.929203539823009</v>
      </c>
      <c r="P670" s="24" t="n">
        <f aca="false">IFERROR(SUMPRODUCT(($B$2:$B$1001=B670)*((0-$F$2:$F$1001)&lt;=(0-F670)))/SUMPRODUCT(($B$2:$B$1001=B670)*1),0)</f>
        <v>0.712389380530973</v>
      </c>
      <c r="Q670" s="25" t="n">
        <f aca="false">(M670*Assumptions!$B$5+N670*Assumptions!$B$6+O670*Assumptions!$B$7+P670*Assumptions!$B$8)*L670</f>
        <v>0.555973451327434</v>
      </c>
      <c r="R670" s="24" t="n">
        <f aca="false">IFERROR(SUMPRODUCT(($B$2:$B$1001=B670)*($Q$2:$Q$1001&lt;=Q670))/SUMPRODUCT(($B$2:$B$1001=B670)*1),0)</f>
        <v>0.690265486725664</v>
      </c>
      <c r="S670" s="24" t="n">
        <f aca="false">IFERROR(SUMPRODUCT(($B$2:$B$1001=B670)*($K$2:$K$1001&lt;=K670))/SUMPRODUCT(($B$2:$B$1001=B670)*1),0)</f>
        <v>0.261061946902655</v>
      </c>
      <c r="T670" s="26" t="n">
        <f aca="false">(R670-S670)*100</f>
        <v>42.9203539823009</v>
      </c>
      <c r="U670" s="21" t="str">
        <f aca="false">'Player Data'!T670</f>
        <v>Unknown</v>
      </c>
      <c r="V670" s="27" t="n">
        <f aca="false">'Player Data'!U670</f>
        <v>2026</v>
      </c>
      <c r="W670" s="21" t="str">
        <f aca="false">IF(AND(T670&gt;=Assumptions!$B$19,U670="No"),"High Priority - Unrepresented",IF(T670&gt;=Assumptions!$B$19,"High Priority",IF(AND(T670&gt;=Assumptions!$B$20,U670="No"),"Watchlist - Unrepresented",IF(T670&gt;=Assumptions!$B$20,"Watchlist",""))))</f>
        <v>High Priority</v>
      </c>
      <c r="X670" s="21" t="str">
        <f aca="false">'Player Data'!V670</f>
        <v>info@jelgavarangers.lv</v>
      </c>
      <c r="Y670" s="28" t="str">
        <f aca="false">'Player Data'!W670</f>
        <v>Club sporting director / first-team office</v>
      </c>
      <c r="Z670" s="28" t="str">
        <f aca="false">'Player Data'!X670</f>
        <v>LFF (Latvian Football Federation) player registry</v>
      </c>
      <c r="AA670" s="19" t="str">
        <f aca="false">HYPERLINK("https://www.transfermarkt.com/schnellsuche/ergebnis/schnellsuche?query="&amp;SUBSTITUTE(A670," ","+"),"Search Transfermarkt")</f>
        <v>Search Transfermarkt</v>
      </c>
      <c r="AB670" s="29" t="n">
        <f aca="false">IFERROR('Player Data'!K670/('Player Data'!K670+'Player Data'!L670),0)</f>
        <v>0.391666666666667</v>
      </c>
      <c r="AC670" s="21" t="str">
        <f aca="false">IF(B670="GK",IF(AND(O670&gt;=Assumptions!$B$23,N670&gt;=Assumptions!$B$23),"Sweeper-Keeper / Build-from-the-Back",IF(O670&gt;=Assumptions!$B$23,"Sweeper-Keeper / High Line",IF(M670&gt;=Assumptions!$B$23,"Shot-Stopper / Traditional","Flexible / Multi-System"))),IF(AND(O670&gt;=Assumptions!$B$23,P670&gt;=Assumptions!$B$24),"High Press / Gegenpressing",IF(AND(N670&gt;=Assumptions!$B$23,AB670&gt;=Assumptions!$B$25),"Possession / Build-from-the-Back",IF(N670&gt;=Assumptions!$B$23,"Counter-Attack / Transition",IF(AND(O670&gt;=Assumptions!$B$23,N670&lt;Assumptions!$B$26),"Low Block / Park the Bus",IF(AND(B670="FW",M670&gt;=Assumptions!$B$23,N670&lt;Assumptions!$B$26),"Direct / Target Approach","Flexible / Multi-System"))))))</f>
        <v>High Press / Gegenpressing</v>
      </c>
      <c r="AD670" s="21" t="str">
        <f aca="false">'Player Data'!Y670</f>
        <v>2026-07-17</v>
      </c>
      <c r="AE670" s="21" t="str">
        <f aca="false">'Player Data'!Z670</f>
        <v>2026-07-17</v>
      </c>
      <c r="AF670" s="28" t="str">
        <f aca="false">IFERROR(INDEX(Assumptions!$B$30:$B$61,MATCH(C670,Assumptions!$A$30:$A$61,0)),"--")</f>
        <v>Poland, Norway</v>
      </c>
      <c r="AG670" s="30" t="str">
        <f aca="false">IF(R670&gt;=0.7,"Step-Up Candidate",IF(R670&gt;=0.4,"Lateral Move","Stay &amp; Develop"))</f>
        <v>Lateral Move</v>
      </c>
    </row>
    <row r="671" customFormat="false" ht="23.85" hidden="false" customHeight="false" outlineLevel="0" collapsed="false">
      <c r="A671" s="21" t="str">
        <f aca="false">'Player Data'!A671</f>
        <v>Andre Etoo</v>
      </c>
      <c r="B671" s="21" t="str">
        <f aca="false">'Player Data'!F671</f>
        <v>MF</v>
      </c>
      <c r="C671" s="21" t="str">
        <f aca="false">'Player Data'!B671</f>
        <v>Cameroon</v>
      </c>
      <c r="D671" s="21" t="str">
        <f aca="false">'Player Data'!C671</f>
        <v>Cameroon Reserve League</v>
      </c>
      <c r="E671" s="21" t="n">
        <f aca="false">'Player Data'!D671</f>
        <v>3</v>
      </c>
      <c r="F671" s="21" t="n">
        <f aca="false">'Player Data'!G671</f>
        <v>21</v>
      </c>
      <c r="G671" s="21" t="n">
        <f aca="false">'Player Data'!H671</f>
        <v>1921</v>
      </c>
      <c r="H671" s="22" t="n">
        <f aca="false">IF(B671="GK",IFERROR(('Player Data'!N671-1.5*'Player Data'!O671)/'Player Data'!H671*90,0),IFERROR(('Player Data'!I671+'Player Data'!J671)/'Player Data'!H671*90,0))</f>
        <v>0.562207183758459</v>
      </c>
      <c r="I671" s="22" t="n">
        <f aca="false">IF(B671="GK",'Player Data'!P671,IFERROR(('Player Data'!K671+'Player Data'!L671)/'Player Data'!H671*90,0))</f>
        <v>11.1504424778761</v>
      </c>
      <c r="J671" s="22" t="n">
        <f aca="false">IF(B671="GK",IFERROR('Player Data'!Q671/'Player Data'!H671*90,0),IFERROR('Player Data'!M671/'Player Data'!H671*90,0))</f>
        <v>2.38938053097345</v>
      </c>
      <c r="K671" s="23" t="n">
        <f aca="false">'Player Data'!S671</f>
        <v>27591</v>
      </c>
      <c r="L671" s="22" t="n">
        <f aca="false">INDEX(Assumptions!$B$13:$B$15,MATCH(E671,Assumptions!$A$13:$A$15,0))</f>
        <v>0.85</v>
      </c>
      <c r="M671" s="24" t="n">
        <f aca="false">IFERROR(SUMPRODUCT(($B$2:$B$1001=B671)*($H$2:$H$1001&lt;=H671))/SUMPRODUCT(($B$2:$B$1001=B671)*1),0)</f>
        <v>0.282828282828283</v>
      </c>
      <c r="N671" s="24" t="n">
        <f aca="false">IFERROR(SUMPRODUCT(($B$2:$B$1001=B671)*($I$2:$I$1001&lt;=I671))/SUMPRODUCT(($B$2:$B$1001=B671)*1),0)</f>
        <v>0.515151515151515</v>
      </c>
      <c r="O671" s="24" t="n">
        <f aca="false">IFERROR(SUMPRODUCT(($B$2:$B$1001=B671)*($J$2:$J$1001&lt;=J671))/SUMPRODUCT(($B$2:$B$1001=B671)*1),0)</f>
        <v>0.592592592592593</v>
      </c>
      <c r="P671" s="24" t="n">
        <f aca="false">IFERROR(SUMPRODUCT(($B$2:$B$1001=B671)*((0-$F$2:$F$1001)&lt;=(0-F671)))/SUMPRODUCT(($B$2:$B$1001=B671)*1),0)</f>
        <v>0.61952861952862</v>
      </c>
      <c r="Q671" s="25" t="n">
        <f aca="false">(M671*Assumptions!$B$5+N671*Assumptions!$B$6+O671*Assumptions!$B$7+P671*Assumptions!$B$8)*L671</f>
        <v>0.419419191919192</v>
      </c>
      <c r="R671" s="24" t="n">
        <f aca="false">IFERROR(SUMPRODUCT(($B$2:$B$1001=B671)*($Q$2:$Q$1001&lt;=Q671))/SUMPRODUCT(($B$2:$B$1001=B671)*1),0)</f>
        <v>0.464646464646465</v>
      </c>
      <c r="S671" s="24" t="n">
        <f aca="false">IFERROR(SUMPRODUCT(($B$2:$B$1001=B671)*($K$2:$K$1001&lt;=K671))/SUMPRODUCT(($B$2:$B$1001=B671)*1),0)</f>
        <v>0.306397306397306</v>
      </c>
      <c r="T671" s="26" t="n">
        <f aca="false">(R671-S671)*100</f>
        <v>15.8249158249158</v>
      </c>
      <c r="U671" s="21" t="str">
        <f aca="false">'Player Data'!T671</f>
        <v>No</v>
      </c>
      <c r="V671" s="27" t="n">
        <f aca="false">'Player Data'!U671</f>
        <v>2028</v>
      </c>
      <c r="W671" s="21" t="str">
        <f aca="false">IF(AND(T671&gt;=Assumptions!$B$19,U671="No"),"High Priority - Unrepresented",IF(T671&gt;=Assumptions!$B$19,"High Priority",IF(AND(T671&gt;=Assumptions!$B$20,U671="No"),"Watchlist - Unrepresented",IF(T671&gt;=Assumptions!$B$20,"Watchlist",""))))</f>
        <v/>
      </c>
      <c r="X671" s="21" t="str">
        <f aca="false">'Player Data'!V671</f>
        <v>info@bafoussamwanderers.cm</v>
      </c>
      <c r="Y671" s="28" t="str">
        <f aca="false">'Player Data'!W671</f>
        <v>Club sporting director / first-team office</v>
      </c>
      <c r="Z671" s="28" t="str">
        <f aca="false">'Player Data'!X671</f>
        <v>FECAFOOT (Cameroonian Football Federation) player registry</v>
      </c>
      <c r="AA671" s="19" t="str">
        <f aca="false">HYPERLINK("https://www.transfermarkt.com/schnellsuche/ergebnis/schnellsuche?query="&amp;SUBSTITUTE(A671," ","+"),"Search Transfermarkt")</f>
        <v>Search Transfermarkt</v>
      </c>
      <c r="AB671" s="29" t="n">
        <f aca="false">IFERROR('Player Data'!K671/('Player Data'!K671+'Player Data'!L671),0)</f>
        <v>0.609243697478992</v>
      </c>
      <c r="AC671" s="21" t="str">
        <f aca="false">IF(B671="GK",IF(AND(O671&gt;=Assumptions!$B$23,N671&gt;=Assumptions!$B$23),"Sweeper-Keeper / Build-from-the-Back",IF(O671&gt;=Assumptions!$B$23,"Sweeper-Keeper / High Line",IF(M671&gt;=Assumptions!$B$23,"Shot-Stopper / Traditional","Flexible / Multi-System"))),IF(AND(O671&gt;=Assumptions!$B$23,P671&gt;=Assumptions!$B$24),"High Press / Gegenpressing",IF(AND(N671&gt;=Assumptions!$B$23,AB671&gt;=Assumptions!$B$25),"Possession / Build-from-the-Back",IF(N671&gt;=Assumptions!$B$23,"Counter-Attack / Transition",IF(AND(O671&gt;=Assumptions!$B$23,N671&lt;Assumptions!$B$26),"Low Block / Park the Bus",IF(AND(B671="FW",M671&gt;=Assumptions!$B$23,N671&lt;Assumptions!$B$26),"Direct / Target Approach","Flexible / Multi-System"))))))</f>
        <v>Flexible / Multi-System</v>
      </c>
      <c r="AD671" s="21" t="str">
        <f aca="false">'Player Data'!Y671</f>
        <v>2026-07-17</v>
      </c>
      <c r="AE671" s="21" t="str">
        <f aca="false">'Player Data'!Z671</f>
        <v>2026-07-17</v>
      </c>
      <c r="AF671" s="28" t="str">
        <f aca="false">IFERROR(INDEX(Assumptions!$B$30:$B$61,MATCH(C671,Assumptions!$A$30:$A$61,0)),"--")</f>
        <v>Belgium, Portugal</v>
      </c>
      <c r="AG671" s="30" t="str">
        <f aca="false">IF(R671&gt;=0.7,"Step-Up Candidate",IF(R671&gt;=0.4,"Lateral Move","Stay &amp; Develop"))</f>
        <v>Lateral Move</v>
      </c>
    </row>
    <row r="672" customFormat="false" ht="23.85" hidden="false" customHeight="false" outlineLevel="0" collapsed="false">
      <c r="A672" s="21" t="str">
        <f aca="false">'Player Data'!A672</f>
        <v>Stefan Ilic</v>
      </c>
      <c r="B672" s="21" t="str">
        <f aca="false">'Player Data'!F672</f>
        <v>GK</v>
      </c>
      <c r="C672" s="21" t="str">
        <f aca="false">'Player Data'!B672</f>
        <v>Serbia</v>
      </c>
      <c r="D672" s="21" t="str">
        <f aca="false">'Player Data'!C672</f>
        <v>Serbia Third Tier - North</v>
      </c>
      <c r="E672" s="21" t="n">
        <f aca="false">'Player Data'!D672</f>
        <v>2</v>
      </c>
      <c r="F672" s="21" t="n">
        <f aca="false">'Player Data'!G672</f>
        <v>22</v>
      </c>
      <c r="G672" s="21" t="n">
        <f aca="false">'Player Data'!H672</f>
        <v>1589</v>
      </c>
      <c r="H672" s="22" t="n">
        <f aca="false">IF(B672="GK",IFERROR(('Player Data'!N672-1.5*'Player Data'!O672)/'Player Data'!H672*90,0),IFERROR(('Player Data'!I672+'Player Data'!J672)/'Player Data'!H672*90,0))</f>
        <v>-0.254877281308999</v>
      </c>
      <c r="I672" s="22" t="n">
        <f aca="false">IF(B672="GK",'Player Data'!P672,IFERROR(('Player Data'!K672+'Player Data'!L672)/'Player Data'!H672*90,0))</f>
        <v>66.2</v>
      </c>
      <c r="J672" s="22" t="n">
        <f aca="false">IF(B672="GK",IFERROR('Player Data'!Q672/'Player Data'!H672*90,0),IFERROR('Player Data'!M672/'Player Data'!H672*90,0))</f>
        <v>1.29704216488357</v>
      </c>
      <c r="K672" s="23" t="n">
        <f aca="false">'Player Data'!S672</f>
        <v>144810</v>
      </c>
      <c r="L672" s="22" t="n">
        <f aca="false">INDEX(Assumptions!$B$13:$B$15,MATCH(E672,Assumptions!$A$13:$A$15,0))</f>
        <v>1</v>
      </c>
      <c r="M672" s="24" t="n">
        <f aca="false">IFERROR(SUMPRODUCT(($B$2:$B$1001=B672)*($H$2:$H$1001&lt;=H672))/SUMPRODUCT(($B$2:$B$1001=B672)*1),0)</f>
        <v>0.120218579234973</v>
      </c>
      <c r="N672" s="24" t="n">
        <f aca="false">IFERROR(SUMPRODUCT(($B$2:$B$1001=B672)*($I$2:$I$1001&lt;=I672))/SUMPRODUCT(($B$2:$B$1001=B672)*1),0)</f>
        <v>0.3224043715847</v>
      </c>
      <c r="O672" s="24" t="n">
        <f aca="false">IFERROR(SUMPRODUCT(($B$2:$B$1001=B672)*($J$2:$J$1001&lt;=J672))/SUMPRODUCT(($B$2:$B$1001=B672)*1),0)</f>
        <v>0.825136612021858</v>
      </c>
      <c r="P672" s="24" t="n">
        <f aca="false">IFERROR(SUMPRODUCT(($B$2:$B$1001=B672)*((0-$F$2:$F$1001)&lt;=(0-F672)))/SUMPRODUCT(($B$2:$B$1001=B672)*1),0)</f>
        <v>0.530054644808743</v>
      </c>
      <c r="Q672" s="25" t="n">
        <f aca="false">(M672*Assumptions!$B$5+N672*Assumptions!$B$6+O672*Assumptions!$B$7+P672*Assumptions!$B$8)*L672</f>
        <v>0.413934426229508</v>
      </c>
      <c r="R672" s="24" t="n">
        <f aca="false">IFERROR(SUMPRODUCT(($B$2:$B$1001=B672)*($Q$2:$Q$1001&lt;=Q672))/SUMPRODUCT(($B$2:$B$1001=B672)*1),0)</f>
        <v>0.39344262295082</v>
      </c>
      <c r="S672" s="24" t="n">
        <f aca="false">IFERROR(SUMPRODUCT(($B$2:$B$1001=B672)*($K$2:$K$1001&lt;=K672))/SUMPRODUCT(($B$2:$B$1001=B672)*1),0)</f>
        <v>0.961748633879781</v>
      </c>
      <c r="T672" s="26" t="n">
        <f aca="false">(R672-S672)*100</f>
        <v>-56.8306010928962</v>
      </c>
      <c r="U672" s="21" t="str">
        <f aca="false">'Player Data'!T672</f>
        <v>No</v>
      </c>
      <c r="V672" s="27" t="n">
        <f aca="false">'Player Data'!U672</f>
        <v>2029</v>
      </c>
      <c r="W672" s="21" t="str">
        <f aca="false">IF(AND(T672&gt;=Assumptions!$B$19,U672="No"),"High Priority - Unrepresented",IF(T672&gt;=Assumptions!$B$19,"High Priority",IF(AND(T672&gt;=Assumptions!$B$20,U672="No"),"Watchlist - Unrepresented",IF(T672&gt;=Assumptions!$B$20,"Watchlist",""))))</f>
        <v/>
      </c>
      <c r="X672" s="21" t="str">
        <f aca="false">'Player Data'!V672</f>
        <v>info@niswanderers.rs</v>
      </c>
      <c r="Y672" s="28" t="str">
        <f aca="false">'Player Data'!W672</f>
        <v>Club sporting director / first-team office</v>
      </c>
      <c r="Z672" s="28" t="str">
        <f aca="false">'Player Data'!X672</f>
        <v>FSS (Football Association of Serbia) player registry</v>
      </c>
      <c r="AA672" s="19" t="str">
        <f aca="false">HYPERLINK("https://www.transfermarkt.com/schnellsuche/ergebnis/schnellsuche?query="&amp;SUBSTITUTE(A672," ","+"),"Search Transfermarkt")</f>
        <v>Search Transfermarkt</v>
      </c>
      <c r="AB672" s="29" t="n">
        <f aca="false">IFERROR('Player Data'!K672/('Player Data'!K672+'Player Data'!L672),0)</f>
        <v>0.764705882352941</v>
      </c>
      <c r="AC672" s="21" t="str">
        <f aca="false">IF(B672="GK",IF(AND(O672&gt;=Assumptions!$B$23,N672&gt;=Assumptions!$B$23),"Sweeper-Keeper / Build-from-the-Back",IF(O672&gt;=Assumptions!$B$23,"Sweeper-Keeper / High Line",IF(M672&gt;=Assumptions!$B$23,"Shot-Stopper / Traditional","Flexible / Multi-System"))),IF(AND(O672&gt;=Assumptions!$B$23,P672&gt;=Assumptions!$B$24),"High Press / Gegenpressing",IF(AND(N672&gt;=Assumptions!$B$23,AB672&gt;=Assumptions!$B$25),"Possession / Build-from-the-Back",IF(N672&gt;=Assumptions!$B$23,"Counter-Attack / Transition",IF(AND(O672&gt;=Assumptions!$B$23,N672&lt;Assumptions!$B$26),"Low Block / Park the Bus",IF(AND(B672="FW",M672&gt;=Assumptions!$B$23,N672&lt;Assumptions!$B$26),"Direct / Target Approach","Flexible / Multi-System"))))))</f>
        <v>Sweeper-Keeper / High Line</v>
      </c>
      <c r="AD672" s="21" t="str">
        <f aca="false">'Player Data'!Y672</f>
        <v>2026-07-17</v>
      </c>
      <c r="AE672" s="21" t="str">
        <f aca="false">'Player Data'!Z672</f>
        <v>2026-07-17</v>
      </c>
      <c r="AF672" s="28" t="str">
        <f aca="false">IFERROR(INDEX(Assumptions!$B$30:$B$61,MATCH(C672,Assumptions!$A$30:$A$61,0)),"--")</f>
        <v>Austria, Turkey</v>
      </c>
      <c r="AG672" s="30" t="str">
        <f aca="false">IF(R672&gt;=0.7,"Step-Up Candidate",IF(R672&gt;=0.4,"Lateral Move","Stay &amp; Develop"))</f>
        <v>Stay &amp; Develop</v>
      </c>
    </row>
    <row r="673" customFormat="false" ht="23.85" hidden="false" customHeight="false" outlineLevel="0" collapsed="false">
      <c r="A673" s="21" t="str">
        <f aca="false">'Player Data'!A673</f>
        <v>Nicolas Flores</v>
      </c>
      <c r="B673" s="21" t="str">
        <f aca="false">'Player Data'!F673</f>
        <v>MF</v>
      </c>
      <c r="C673" s="21" t="str">
        <f aca="false">'Player Data'!B673</f>
        <v>Bolivia</v>
      </c>
      <c r="D673" s="21" t="str">
        <f aca="false">'Player Data'!C673</f>
        <v>Bolivia Third Tier - North</v>
      </c>
      <c r="E673" s="21" t="n">
        <f aca="false">'Player Data'!D673</f>
        <v>3</v>
      </c>
      <c r="F673" s="21" t="n">
        <f aca="false">'Player Data'!G673</f>
        <v>24</v>
      </c>
      <c r="G673" s="21" t="n">
        <f aca="false">'Player Data'!H673</f>
        <v>1217</v>
      </c>
      <c r="H673" s="22" t="n">
        <f aca="false">IF(B673="GK",IFERROR(('Player Data'!N673-1.5*'Player Data'!O673)/'Player Data'!H673*90,0),IFERROR(('Player Data'!I673+'Player Data'!J673)/'Player Data'!H673*90,0))</f>
        <v>1.10928512736237</v>
      </c>
      <c r="I673" s="22" t="n">
        <f aca="false">IF(B673="GK",'Player Data'!P673,IFERROR(('Player Data'!K673+'Player Data'!L673)/'Player Data'!H673*90,0))</f>
        <v>17.0829909613804</v>
      </c>
      <c r="J673" s="22" t="n">
        <f aca="false">IF(B673="GK",IFERROR('Player Data'!Q673/'Player Data'!H673*90,0),IFERROR('Player Data'!M673/'Player Data'!H673*90,0))</f>
        <v>3.54971240755957</v>
      </c>
      <c r="K673" s="23" t="n">
        <f aca="false">'Player Data'!S673</f>
        <v>0</v>
      </c>
      <c r="L673" s="22" t="n">
        <f aca="false">INDEX(Assumptions!$B$13:$B$15,MATCH(E673,Assumptions!$A$13:$A$15,0))</f>
        <v>0.85</v>
      </c>
      <c r="M673" s="24" t="n">
        <f aca="false">IFERROR(SUMPRODUCT(($B$2:$B$1001=B673)*($H$2:$H$1001&lt;=H673))/SUMPRODUCT(($B$2:$B$1001=B673)*1),0)</f>
        <v>0.818181818181818</v>
      </c>
      <c r="N673" s="24" t="n">
        <f aca="false">IFERROR(SUMPRODUCT(($B$2:$B$1001=B673)*($I$2:$I$1001&lt;=I673))/SUMPRODUCT(($B$2:$B$1001=B673)*1),0)</f>
        <v>0.831649831649832</v>
      </c>
      <c r="O673" s="24" t="n">
        <f aca="false">IFERROR(SUMPRODUCT(($B$2:$B$1001=B673)*($J$2:$J$1001&lt;=J673))/SUMPRODUCT(($B$2:$B$1001=B673)*1),0)</f>
        <v>0.875420875420875</v>
      </c>
      <c r="P673" s="24" t="n">
        <f aca="false">IFERROR(SUMPRODUCT(($B$2:$B$1001=B673)*((0-$F$2:$F$1001)&lt;=(0-F673)))/SUMPRODUCT(($B$2:$B$1001=B673)*1),0)</f>
        <v>0.326599326599327</v>
      </c>
      <c r="Q673" s="25" t="n">
        <f aca="false">(M673*Assumptions!$B$5+N673*Assumptions!$B$6+O673*Assumptions!$B$7+P673*Assumptions!$B$8)*L673</f>
        <v>0.625622895622896</v>
      </c>
      <c r="R673" s="24" t="n">
        <f aca="false">IFERROR(SUMPRODUCT(($B$2:$B$1001=B673)*($Q$2:$Q$1001&lt;=Q673))/SUMPRODUCT(($B$2:$B$1001=B673)*1),0)</f>
        <v>0.791245791245791</v>
      </c>
      <c r="S673" s="24" t="n">
        <f aca="false">IFERROR(SUMPRODUCT(($B$2:$B$1001=B673)*($K$2:$K$1001&lt;=K673))/SUMPRODUCT(($B$2:$B$1001=B673)*1),0)</f>
        <v>0.228956228956229</v>
      </c>
      <c r="T673" s="26" t="n">
        <f aca="false">(R673-S673)*100</f>
        <v>56.2289562289562</v>
      </c>
      <c r="U673" s="21" t="str">
        <f aca="false">'Player Data'!T673</f>
        <v>Yes</v>
      </c>
      <c r="V673" s="27" t="n">
        <f aca="false">'Player Data'!U673</f>
        <v>2027</v>
      </c>
      <c r="W673" s="21" t="str">
        <f aca="false">IF(AND(T673&gt;=Assumptions!$B$19,U673="No"),"High Priority - Unrepresented",IF(T673&gt;=Assumptions!$B$19,"High Priority",IF(AND(T673&gt;=Assumptions!$B$20,U673="No"),"Watchlist - Unrepresented",IF(T673&gt;=Assumptions!$B$20,"Watchlist",""))))</f>
        <v>High Priority</v>
      </c>
      <c r="X673" s="21" t="str">
        <f aca="false">'Player Data'!V673</f>
        <v>info@orurofc.bo</v>
      </c>
      <c r="Y673" s="28" t="str">
        <f aca="false">'Player Data'!W673</f>
        <v>Go through the player's agent - ask the club to confirm representation first</v>
      </c>
      <c r="Z673" s="28" t="str">
        <f aca="false">'Player Data'!X673</f>
        <v>FBF (Bolivian Football Federation) player registry</v>
      </c>
      <c r="AA673" s="19" t="str">
        <f aca="false">HYPERLINK("https://www.transfermarkt.com/schnellsuche/ergebnis/schnellsuche?query="&amp;SUBSTITUTE(A673," ","+"),"Search Transfermarkt")</f>
        <v>Search Transfermarkt</v>
      </c>
      <c r="AB673" s="29" t="n">
        <f aca="false">IFERROR('Player Data'!K673/('Player Data'!K673+'Player Data'!L673),0)</f>
        <v>0.675324675324675</v>
      </c>
      <c r="AC673" s="21" t="str">
        <f aca="false">IF(B673="GK",IF(AND(O673&gt;=Assumptions!$B$23,N673&gt;=Assumptions!$B$23),"Sweeper-Keeper / Build-from-the-Back",IF(O673&gt;=Assumptions!$B$23,"Sweeper-Keeper / High Line",IF(M673&gt;=Assumptions!$B$23,"Shot-Stopper / Traditional","Flexible / Multi-System"))),IF(AND(O673&gt;=Assumptions!$B$23,P673&gt;=Assumptions!$B$24),"High Press / Gegenpressing",IF(AND(N673&gt;=Assumptions!$B$23,AB673&gt;=Assumptions!$B$25),"Possession / Build-from-the-Back",IF(N673&gt;=Assumptions!$B$23,"Counter-Attack / Transition",IF(AND(O673&gt;=Assumptions!$B$23,N673&lt;Assumptions!$B$26),"Low Block / Park the Bus",IF(AND(B673="FW",M673&gt;=Assumptions!$B$23,N673&lt;Assumptions!$B$26),"Direct / Target Approach","Flexible / Multi-System"))))))</f>
        <v>Possession / Build-from-the-Back</v>
      </c>
      <c r="AD673" s="21" t="str">
        <f aca="false">'Player Data'!Y673</f>
        <v>2026-07-17</v>
      </c>
      <c r="AE673" s="21" t="str">
        <f aca="false">'Player Data'!Z673</f>
        <v>2026-07-17</v>
      </c>
      <c r="AF673" s="28" t="str">
        <f aca="false">IFERROR(INDEX(Assumptions!$B$30:$B$61,MATCH(C673,Assumptions!$A$30:$A$61,0)),"--")</f>
        <v>Argentina, Portugal</v>
      </c>
      <c r="AG673" s="30" t="str">
        <f aca="false">IF(R673&gt;=0.7,"Step-Up Candidate",IF(R673&gt;=0.4,"Lateral Move","Stay &amp; Develop"))</f>
        <v>Step-Up Candidate</v>
      </c>
    </row>
    <row r="674" customFormat="false" ht="23.85" hidden="false" customHeight="false" outlineLevel="0" collapsed="false">
      <c r="A674" s="21" t="str">
        <f aca="false">'Player Data'!A674</f>
        <v>Sota Ito</v>
      </c>
      <c r="B674" s="21" t="str">
        <f aca="false">'Player Data'!F674</f>
        <v>DF</v>
      </c>
      <c r="C674" s="21" t="str">
        <f aca="false">'Player Data'!B674</f>
        <v>Japan</v>
      </c>
      <c r="D674" s="21" t="str">
        <f aca="false">'Player Data'!C674</f>
        <v>Japan Reserve League</v>
      </c>
      <c r="E674" s="21" t="n">
        <f aca="false">'Player Data'!D674</f>
        <v>4</v>
      </c>
      <c r="F674" s="21" t="n">
        <f aca="false">'Player Data'!G674</f>
        <v>17</v>
      </c>
      <c r="G674" s="21" t="n">
        <f aca="false">'Player Data'!H674</f>
        <v>1970</v>
      </c>
      <c r="H674" s="22" t="n">
        <f aca="false">IF(B674="GK",IFERROR(('Player Data'!N674-1.5*'Player Data'!O674)/'Player Data'!H674*90,0),IFERROR(('Player Data'!I674+'Player Data'!J674)/'Player Data'!H674*90,0))</f>
        <v>0.182741116751269</v>
      </c>
      <c r="I674" s="22" t="n">
        <f aca="false">IF(B674="GK",'Player Data'!P674,IFERROR(('Player Data'!K674+'Player Data'!L674)/'Player Data'!H674*90,0))</f>
        <v>3.92893401015228</v>
      </c>
      <c r="J674" s="22" t="n">
        <f aca="false">IF(B674="GK",IFERROR('Player Data'!Q674/'Player Data'!H674*90,0),IFERROR('Player Data'!M674/'Player Data'!H674*90,0))</f>
        <v>5.48223350253807</v>
      </c>
      <c r="K674" s="23" t="n">
        <f aca="false">'Player Data'!S674</f>
        <v>98854</v>
      </c>
      <c r="L674" s="22" t="n">
        <f aca="false">INDEX(Assumptions!$B$13:$B$15,MATCH(E674,Assumptions!$A$13:$A$15,0))</f>
        <v>0.7</v>
      </c>
      <c r="M674" s="24" t="n">
        <f aca="false">IFERROR(SUMPRODUCT(($B$2:$B$1001=B674)*($H$2:$H$1001&lt;=H674))/SUMPRODUCT(($B$2:$B$1001=B674)*1),0)</f>
        <v>0.496598639455782</v>
      </c>
      <c r="N674" s="24" t="n">
        <f aca="false">IFERROR(SUMPRODUCT(($B$2:$B$1001=B674)*($I$2:$I$1001&lt;=I674))/SUMPRODUCT(($B$2:$B$1001=B674)*1),0)</f>
        <v>0.380952380952381</v>
      </c>
      <c r="O674" s="24" t="n">
        <f aca="false">IFERROR(SUMPRODUCT(($B$2:$B$1001=B674)*($J$2:$J$1001&lt;=J674))/SUMPRODUCT(($B$2:$B$1001=B674)*1),0)</f>
        <v>0.520408163265306</v>
      </c>
      <c r="P674" s="24" t="n">
        <f aca="false">IFERROR(SUMPRODUCT(($B$2:$B$1001=B674)*((0-$F$2:$F$1001)&lt;=(0-F674)))/SUMPRODUCT(($B$2:$B$1001=B674)*1),0)</f>
        <v>1</v>
      </c>
      <c r="Q674" s="25" t="n">
        <f aca="false">(M674*Assumptions!$B$5+N674*Assumptions!$B$6+O674*Assumptions!$B$7+P674*Assumptions!$B$8)*L674</f>
        <v>0.393095238095238</v>
      </c>
      <c r="R674" s="24" t="n">
        <f aca="false">IFERROR(SUMPRODUCT(($B$2:$B$1001=B674)*($Q$2:$Q$1001&lt;=Q674))/SUMPRODUCT(($B$2:$B$1001=B674)*1),0)</f>
        <v>0.442176870748299</v>
      </c>
      <c r="S674" s="24" t="n">
        <f aca="false">IFERROR(SUMPRODUCT(($B$2:$B$1001=B674)*($K$2:$K$1001&lt;=K674))/SUMPRODUCT(($B$2:$B$1001=B674)*1),0)</f>
        <v>0.738095238095238</v>
      </c>
      <c r="T674" s="26" t="n">
        <f aca="false">(R674-S674)*100</f>
        <v>-29.5918367346939</v>
      </c>
      <c r="U674" s="21" t="str">
        <f aca="false">'Player Data'!T674</f>
        <v>Unknown</v>
      </c>
      <c r="V674" s="27" t="n">
        <f aca="false">'Player Data'!U674</f>
        <v>2028</v>
      </c>
      <c r="W674" s="21" t="str">
        <f aca="false">IF(AND(T674&gt;=Assumptions!$B$19,U674="No"),"High Priority - Unrepresented",IF(T674&gt;=Assumptions!$B$19,"High Priority",IF(AND(T674&gt;=Assumptions!$B$20,U674="No"),"Watchlist - Unrepresented",IF(T674&gt;=Assumptions!$B$20,"Watchlist",""))))</f>
        <v/>
      </c>
      <c r="X674" s="21" t="str">
        <f aca="false">'Player Data'!V674</f>
        <v>info@fukuokatown.jp</v>
      </c>
      <c r="Y674" s="28" t="str">
        <f aca="false">'Player Data'!W674</f>
        <v>Club youth/academy office ONLY - player is a minor, do not contact directly</v>
      </c>
      <c r="Z674" s="28" t="str">
        <f aca="false">'Player Data'!X674</f>
        <v>JFA (Japan Football Association) player registry</v>
      </c>
      <c r="AA674" s="19" t="str">
        <f aca="false">HYPERLINK("https://www.transfermarkt.com/schnellsuche/ergebnis/schnellsuche?query="&amp;SUBSTITUTE(A674," ","+"),"Search Transfermarkt")</f>
        <v>Search Transfermarkt</v>
      </c>
      <c r="AB674" s="29" t="n">
        <f aca="false">IFERROR('Player Data'!K674/('Player Data'!K674+'Player Data'!L674),0)</f>
        <v>0.63953488372093</v>
      </c>
      <c r="AC674" s="21" t="str">
        <f aca="false">IF(B674="GK",IF(AND(O674&gt;=Assumptions!$B$23,N674&gt;=Assumptions!$B$23),"Sweeper-Keeper / Build-from-the-Back",IF(O674&gt;=Assumptions!$B$23,"Sweeper-Keeper / High Line",IF(M674&gt;=Assumptions!$B$23,"Shot-Stopper / Traditional","Flexible / Multi-System"))),IF(AND(O674&gt;=Assumptions!$B$23,P674&gt;=Assumptions!$B$24),"High Press / Gegenpressing",IF(AND(N674&gt;=Assumptions!$B$23,AB674&gt;=Assumptions!$B$25),"Possession / Build-from-the-Back",IF(N674&gt;=Assumptions!$B$23,"Counter-Attack / Transition",IF(AND(O674&gt;=Assumptions!$B$23,N674&lt;Assumptions!$B$26),"Low Block / Park the Bus",IF(AND(B674="FW",M674&gt;=Assumptions!$B$23,N674&lt;Assumptions!$B$26),"Direct / Target Approach","Flexible / Multi-System"))))))</f>
        <v>Flexible / Multi-System</v>
      </c>
      <c r="AD674" s="21" t="str">
        <f aca="false">'Player Data'!Y674</f>
        <v>2026-07-17</v>
      </c>
      <c r="AE674" s="21" t="str">
        <f aca="false">'Player Data'!Z674</f>
        <v>2026-07-17</v>
      </c>
      <c r="AF674" s="28" t="str">
        <f aca="false">IFERROR(INDEX(Assumptions!$B$30:$B$61,MATCH(C674,Assumptions!$A$30:$A$61,0)),"--")</f>
        <v>Belgium, Australia</v>
      </c>
      <c r="AG674" s="30" t="str">
        <f aca="false">IF(R674&gt;=0.7,"Step-Up Candidate",IF(R674&gt;=0.4,"Lateral Move","Stay &amp; Develop"))</f>
        <v>Lateral Move</v>
      </c>
    </row>
    <row r="675" customFormat="false" ht="23.85" hidden="false" customHeight="false" outlineLevel="0" collapsed="false">
      <c r="A675" s="21" t="str">
        <f aca="false">'Player Data'!A675</f>
        <v>Christian Etoo</v>
      </c>
      <c r="B675" s="21" t="str">
        <f aca="false">'Player Data'!F675</f>
        <v>GK</v>
      </c>
      <c r="C675" s="21" t="str">
        <f aca="false">'Player Data'!B675</f>
        <v>Cameroon</v>
      </c>
      <c r="D675" s="21" t="str">
        <f aca="false">'Player Data'!C675</f>
        <v>Cameroon Reserve League</v>
      </c>
      <c r="E675" s="21" t="n">
        <f aca="false">'Player Data'!D675</f>
        <v>2</v>
      </c>
      <c r="F675" s="21" t="n">
        <f aca="false">'Player Data'!G675</f>
        <v>26</v>
      </c>
      <c r="G675" s="21" t="n">
        <f aca="false">'Player Data'!H675</f>
        <v>1980</v>
      </c>
      <c r="H675" s="22" t="n">
        <f aca="false">IF(B675="GK",IFERROR(('Player Data'!N675-1.5*'Player Data'!O675)/'Player Data'!H675*90,0),IFERROR(('Player Data'!I675+'Player Data'!J675)/'Player Data'!H675*90,0))</f>
        <v>-0.363636363636364</v>
      </c>
      <c r="I675" s="22" t="n">
        <f aca="false">IF(B675="GK",'Player Data'!P675,IFERROR(('Player Data'!K675+'Player Data'!L675)/'Player Data'!H675*90,0))</f>
        <v>82.6</v>
      </c>
      <c r="J675" s="22" t="n">
        <f aca="false">IF(B675="GK",IFERROR('Player Data'!Q675/'Player Data'!H675*90,0),IFERROR('Player Data'!M675/'Player Data'!H675*90,0))</f>
        <v>0.759090909090909</v>
      </c>
      <c r="K675" s="23" t="n">
        <f aca="false">'Player Data'!S675</f>
        <v>61699</v>
      </c>
      <c r="L675" s="22" t="n">
        <f aca="false">INDEX(Assumptions!$B$13:$B$15,MATCH(E675,Assumptions!$A$13:$A$15,0))</f>
        <v>1</v>
      </c>
      <c r="M675" s="24" t="n">
        <f aca="false">IFERROR(SUMPRODUCT(($B$2:$B$1001=B675)*($H$2:$H$1001&lt;=H675))/SUMPRODUCT(($B$2:$B$1001=B675)*1),0)</f>
        <v>0.0983606557377049</v>
      </c>
      <c r="N675" s="24" t="n">
        <f aca="false">IFERROR(SUMPRODUCT(($B$2:$B$1001=B675)*($I$2:$I$1001&lt;=I675))/SUMPRODUCT(($B$2:$B$1001=B675)*1),0)</f>
        <v>0.748633879781421</v>
      </c>
      <c r="O675" s="24" t="n">
        <f aca="false">IFERROR(SUMPRODUCT(($B$2:$B$1001=B675)*($J$2:$J$1001&lt;=J675))/SUMPRODUCT(($B$2:$B$1001=B675)*1),0)</f>
        <v>0.431693989071038</v>
      </c>
      <c r="P675" s="24" t="n">
        <f aca="false">IFERROR(SUMPRODUCT(($B$2:$B$1001=B675)*((0-$F$2:$F$1001)&lt;=(0-F675)))/SUMPRODUCT(($B$2:$B$1001=B675)*1),0)</f>
        <v>0.131147540983607</v>
      </c>
      <c r="Q675" s="25" t="n">
        <f aca="false">(M675*Assumptions!$B$5+N675*Assumptions!$B$6+O675*Assumptions!$B$7+P675*Assumptions!$B$8)*L675</f>
        <v>0.399180327868852</v>
      </c>
      <c r="R675" s="24" t="n">
        <f aca="false">IFERROR(SUMPRODUCT(($B$2:$B$1001=B675)*($Q$2:$Q$1001&lt;=Q675))/SUMPRODUCT(($B$2:$B$1001=B675)*1),0)</f>
        <v>0.366120218579235</v>
      </c>
      <c r="S675" s="24" t="n">
        <f aca="false">IFERROR(SUMPRODUCT(($B$2:$B$1001=B675)*($K$2:$K$1001&lt;=K675))/SUMPRODUCT(($B$2:$B$1001=B675)*1),0)</f>
        <v>0.46448087431694</v>
      </c>
      <c r="T675" s="26" t="n">
        <f aca="false">(R675-S675)*100</f>
        <v>-9.83606557377049</v>
      </c>
      <c r="U675" s="21" t="str">
        <f aca="false">'Player Data'!T675</f>
        <v>No</v>
      </c>
      <c r="V675" s="27" t="n">
        <f aca="false">'Player Data'!U675</f>
        <v>2026</v>
      </c>
      <c r="W675" s="21" t="str">
        <f aca="false">IF(AND(T675&gt;=Assumptions!$B$19,U675="No"),"High Priority - Unrepresented",IF(T675&gt;=Assumptions!$B$19,"High Priority",IF(AND(T675&gt;=Assumptions!$B$20,U675="No"),"Watchlist - Unrepresented",IF(T675&gt;=Assumptions!$B$20,"Watchlist",""))))</f>
        <v/>
      </c>
      <c r="X675" s="21" t="str">
        <f aca="false">'Player Data'!V675</f>
        <v>info@bafoussamsc.cm</v>
      </c>
      <c r="Y675" s="28" t="str">
        <f aca="false">'Player Data'!W675</f>
        <v>Club sporting director / first-team office</v>
      </c>
      <c r="Z675" s="28" t="str">
        <f aca="false">'Player Data'!X675</f>
        <v>FECAFOOT (Cameroonian Football Federation) player registry</v>
      </c>
      <c r="AA675" s="19" t="str">
        <f aca="false">HYPERLINK("https://www.transfermarkt.com/schnellsuche/ergebnis/schnellsuche?query="&amp;SUBSTITUTE(A675," ","+"),"Search Transfermarkt")</f>
        <v>Search Transfermarkt</v>
      </c>
      <c r="AB675" s="29" t="n">
        <f aca="false">IFERROR('Player Data'!K675/('Player Data'!K675+'Player Data'!L675),0)</f>
        <v>0.666666666666667</v>
      </c>
      <c r="AC675" s="21" t="str">
        <f aca="false">IF(B675="GK",IF(AND(O675&gt;=Assumptions!$B$23,N675&gt;=Assumptions!$B$23),"Sweeper-Keeper / Build-from-the-Back",IF(O675&gt;=Assumptions!$B$23,"Sweeper-Keeper / High Line",IF(M675&gt;=Assumptions!$B$23,"Shot-Stopper / Traditional","Flexible / Multi-System"))),IF(AND(O675&gt;=Assumptions!$B$23,P675&gt;=Assumptions!$B$24),"High Press / Gegenpressing",IF(AND(N675&gt;=Assumptions!$B$23,AB675&gt;=Assumptions!$B$25),"Possession / Build-from-the-Back",IF(N675&gt;=Assumptions!$B$23,"Counter-Attack / Transition",IF(AND(O675&gt;=Assumptions!$B$23,N675&lt;Assumptions!$B$26),"Low Block / Park the Bus",IF(AND(B675="FW",M675&gt;=Assumptions!$B$23,N675&lt;Assumptions!$B$26),"Direct / Target Approach","Flexible / Multi-System"))))))</f>
        <v>Flexible / Multi-System</v>
      </c>
      <c r="AD675" s="21" t="str">
        <f aca="false">'Player Data'!Y675</f>
        <v>2026-07-17</v>
      </c>
      <c r="AE675" s="21" t="str">
        <f aca="false">'Player Data'!Z675</f>
        <v>2026-07-17</v>
      </c>
      <c r="AF675" s="28" t="str">
        <f aca="false">IFERROR(INDEX(Assumptions!$B$30:$B$61,MATCH(C675,Assumptions!$A$30:$A$61,0)),"--")</f>
        <v>Belgium, Portugal</v>
      </c>
      <c r="AG675" s="30" t="str">
        <f aca="false">IF(R675&gt;=0.7,"Step-Up Candidate",IF(R675&gt;=0.4,"Lateral Move","Stay &amp; Develop"))</f>
        <v>Stay &amp; Develop</v>
      </c>
    </row>
    <row r="676" customFormat="false" ht="23.85" hidden="false" customHeight="false" outlineLevel="0" collapsed="false">
      <c r="A676" s="21" t="str">
        <f aca="false">'Player Data'!A676</f>
        <v>Igor Angelovski</v>
      </c>
      <c r="B676" s="21" t="str">
        <f aca="false">'Player Data'!F676</f>
        <v>MF</v>
      </c>
      <c r="C676" s="21" t="str">
        <f aca="false">'Player Data'!B676</f>
        <v>North Macedonia</v>
      </c>
      <c r="D676" s="21" t="str">
        <f aca="false">'Player Data'!C676</f>
        <v>North Macedonia Provincial League</v>
      </c>
      <c r="E676" s="21" t="n">
        <f aca="false">'Player Data'!D676</f>
        <v>3</v>
      </c>
      <c r="F676" s="21" t="n">
        <f aca="false">'Player Data'!G676</f>
        <v>22</v>
      </c>
      <c r="G676" s="21" t="n">
        <f aca="false">'Player Data'!H676</f>
        <v>1692</v>
      </c>
      <c r="H676" s="22" t="n">
        <f aca="false">IF(B676="GK",IFERROR(('Player Data'!N676-1.5*'Player Data'!O676)/'Player Data'!H676*90,0),IFERROR(('Player Data'!I676+'Player Data'!J676)/'Player Data'!H676*90,0))</f>
        <v>0.478723404255319</v>
      </c>
      <c r="I676" s="22" t="n">
        <f aca="false">IF(B676="GK",'Player Data'!P676,IFERROR(('Player Data'!K676+'Player Data'!L676)/'Player Data'!H676*90,0))</f>
        <v>12.5531914893617</v>
      </c>
      <c r="J676" s="22" t="n">
        <f aca="false">IF(B676="GK",IFERROR('Player Data'!Q676/'Player Data'!H676*90,0),IFERROR('Player Data'!M676/'Player Data'!H676*90,0))</f>
        <v>1.70212765957447</v>
      </c>
      <c r="K676" s="23" t="n">
        <f aca="false">'Player Data'!S676</f>
        <v>121568</v>
      </c>
      <c r="L676" s="22" t="n">
        <f aca="false">INDEX(Assumptions!$B$13:$B$15,MATCH(E676,Assumptions!$A$13:$A$15,0))</f>
        <v>0.85</v>
      </c>
      <c r="M676" s="24" t="n">
        <f aca="false">IFERROR(SUMPRODUCT(($B$2:$B$1001=B676)*($H$2:$H$1001&lt;=H676))/SUMPRODUCT(($B$2:$B$1001=B676)*1),0)</f>
        <v>0.191919191919192</v>
      </c>
      <c r="N676" s="24" t="n">
        <f aca="false">IFERROR(SUMPRODUCT(($B$2:$B$1001=B676)*($I$2:$I$1001&lt;=I676))/SUMPRODUCT(($B$2:$B$1001=B676)*1),0)</f>
        <v>0.632996632996633</v>
      </c>
      <c r="O676" s="24" t="n">
        <f aca="false">IFERROR(SUMPRODUCT(($B$2:$B$1001=B676)*($J$2:$J$1001&lt;=J676))/SUMPRODUCT(($B$2:$B$1001=B676)*1),0)</f>
        <v>0.279461279461279</v>
      </c>
      <c r="P676" s="24" t="n">
        <f aca="false">IFERROR(SUMPRODUCT(($B$2:$B$1001=B676)*((0-$F$2:$F$1001)&lt;=(0-F676)))/SUMPRODUCT(($B$2:$B$1001=B676)*1),0)</f>
        <v>0.515151515151515</v>
      </c>
      <c r="Q676" s="25" t="n">
        <f aca="false">(M676*Assumptions!$B$5+N676*Assumptions!$B$6+O676*Assumptions!$B$7+P676*Assumptions!$B$8)*L676</f>
        <v>0.364183501683502</v>
      </c>
      <c r="R676" s="24" t="n">
        <f aca="false">IFERROR(SUMPRODUCT(($B$2:$B$1001=B676)*($Q$2:$Q$1001&lt;=Q676))/SUMPRODUCT(($B$2:$B$1001=B676)*1),0)</f>
        <v>0.356902356902357</v>
      </c>
      <c r="S676" s="24" t="n">
        <f aca="false">IFERROR(SUMPRODUCT(($B$2:$B$1001=B676)*($K$2:$K$1001&lt;=K676))/SUMPRODUCT(($B$2:$B$1001=B676)*1),0)</f>
        <v>0.861952861952862</v>
      </c>
      <c r="T676" s="26" t="n">
        <f aca="false">(R676-S676)*100</f>
        <v>-50.5050505050505</v>
      </c>
      <c r="U676" s="21" t="str">
        <f aca="false">'Player Data'!T676</f>
        <v>Yes</v>
      </c>
      <c r="V676" s="27" t="n">
        <f aca="false">'Player Data'!U676</f>
        <v>2026</v>
      </c>
      <c r="W676" s="21" t="str">
        <f aca="false">IF(AND(T676&gt;=Assumptions!$B$19,U676="No"),"High Priority - Unrepresented",IF(T676&gt;=Assumptions!$B$19,"High Priority",IF(AND(T676&gt;=Assumptions!$B$20,U676="No"),"Watchlist - Unrepresented",IF(T676&gt;=Assumptions!$B$20,"Watchlist",""))))</f>
        <v/>
      </c>
      <c r="X676" s="21" t="str">
        <f aca="false">'Player Data'!V676</f>
        <v>info@bitolarovers.mk</v>
      </c>
      <c r="Y676" s="28" t="str">
        <f aca="false">'Player Data'!W676</f>
        <v>Go through the player's agent - ask the club to confirm representation first</v>
      </c>
      <c r="Z676" s="28" t="str">
        <f aca="false">'Player Data'!X676</f>
        <v>FFM (Football Federation of North Macedonia) player registry</v>
      </c>
      <c r="AA676" s="19" t="str">
        <f aca="false">HYPERLINK("https://www.transfermarkt.com/schnellsuche/ergebnis/schnellsuche?query="&amp;SUBSTITUTE(A676," ","+"),"Search Transfermarkt")</f>
        <v>Search Transfermarkt</v>
      </c>
      <c r="AB676" s="29" t="n">
        <f aca="false">IFERROR('Player Data'!K676/('Player Data'!K676+'Player Data'!L676),0)</f>
        <v>0.610169491525424</v>
      </c>
      <c r="AC676" s="21" t="str">
        <f aca="false">IF(B676="GK",IF(AND(O676&gt;=Assumptions!$B$23,N676&gt;=Assumptions!$B$23),"Sweeper-Keeper / Build-from-the-Back",IF(O676&gt;=Assumptions!$B$23,"Sweeper-Keeper / High Line",IF(M676&gt;=Assumptions!$B$23,"Shot-Stopper / Traditional","Flexible / Multi-System"))),IF(AND(O676&gt;=Assumptions!$B$23,P676&gt;=Assumptions!$B$24),"High Press / Gegenpressing",IF(AND(N676&gt;=Assumptions!$B$23,AB676&gt;=Assumptions!$B$25),"Possession / Build-from-the-Back",IF(N676&gt;=Assumptions!$B$23,"Counter-Attack / Transition",IF(AND(O676&gt;=Assumptions!$B$23,N676&lt;Assumptions!$B$26),"Low Block / Park the Bus",IF(AND(B676="FW",M676&gt;=Assumptions!$B$23,N676&lt;Assumptions!$B$26),"Direct / Target Approach","Flexible / Multi-System"))))))</f>
        <v>Flexible / Multi-System</v>
      </c>
      <c r="AD676" s="21" t="str">
        <f aca="false">'Player Data'!Y676</f>
        <v>2026-07-17</v>
      </c>
      <c r="AE676" s="21" t="str">
        <f aca="false">'Player Data'!Z676</f>
        <v>2026-07-17</v>
      </c>
      <c r="AF676" s="28" t="str">
        <f aca="false">IFERROR(INDEX(Assumptions!$B$30:$B$61,MATCH(C676,Assumptions!$A$30:$A$61,0)),"--")</f>
        <v>Austria, Turkey</v>
      </c>
      <c r="AG676" s="30" t="str">
        <f aca="false">IF(R676&gt;=0.7,"Step-Up Candidate",IF(R676&gt;=0.4,"Lateral Move","Stay &amp; Develop"))</f>
        <v>Stay &amp; Develop</v>
      </c>
    </row>
    <row r="677" customFormat="false" ht="23.85" hidden="false" customHeight="false" outlineLevel="0" collapsed="false">
      <c r="A677" s="21" t="str">
        <f aca="false">'Player Data'!A677</f>
        <v>Nikola Vukotic</v>
      </c>
      <c r="B677" s="21" t="str">
        <f aca="false">'Player Data'!F677</f>
        <v>FW</v>
      </c>
      <c r="C677" s="21" t="str">
        <f aca="false">'Player Data'!B677</f>
        <v>Montenegro</v>
      </c>
      <c r="D677" s="21" t="str">
        <f aca="false">'Player Data'!C677</f>
        <v>Montenegro Regional League</v>
      </c>
      <c r="E677" s="21" t="n">
        <f aca="false">'Player Data'!D677</f>
        <v>4</v>
      </c>
      <c r="F677" s="21" t="n">
        <f aca="false">'Player Data'!G677</f>
        <v>17</v>
      </c>
      <c r="G677" s="21" t="n">
        <f aca="false">'Player Data'!H677</f>
        <v>1358</v>
      </c>
      <c r="H677" s="22" t="n">
        <f aca="false">IF(B677="GK",IFERROR(('Player Data'!N677-1.5*'Player Data'!O677)/'Player Data'!H677*90,0),IFERROR(('Player Data'!I677+'Player Data'!J677)/'Player Data'!H677*90,0))</f>
        <v>1.52430044182622</v>
      </c>
      <c r="I677" s="22" t="n">
        <f aca="false">IF(B677="GK",'Player Data'!P677,IFERROR(('Player Data'!K677+'Player Data'!L677)/'Player Data'!H677*90,0))</f>
        <v>10.8689248895434</v>
      </c>
      <c r="J677" s="22" t="n">
        <f aca="false">IF(B677="GK",IFERROR('Player Data'!Q677/'Player Data'!H677*90,0),IFERROR('Player Data'!M677/'Player Data'!H677*90,0))</f>
        <v>0.596465390279823</v>
      </c>
      <c r="K677" s="23" t="n">
        <f aca="false">'Player Data'!S677</f>
        <v>113414</v>
      </c>
      <c r="L677" s="22" t="n">
        <f aca="false">INDEX(Assumptions!$B$13:$B$15,MATCH(E677,Assumptions!$A$13:$A$15,0))</f>
        <v>0.7</v>
      </c>
      <c r="M677" s="24" t="n">
        <f aca="false">IFERROR(SUMPRODUCT(($B$2:$B$1001=B677)*($H$2:$H$1001&lt;=H677))/SUMPRODUCT(($B$2:$B$1001=B677)*1),0)</f>
        <v>0.845132743362832</v>
      </c>
      <c r="N677" s="24" t="n">
        <f aca="false">IFERROR(SUMPRODUCT(($B$2:$B$1001=B677)*($I$2:$I$1001&lt;=I677))/SUMPRODUCT(($B$2:$B$1001=B677)*1),0)</f>
        <v>0.867256637168142</v>
      </c>
      <c r="O677" s="24" t="n">
        <f aca="false">IFERROR(SUMPRODUCT(($B$2:$B$1001=B677)*($J$2:$J$1001&lt;=J677))/SUMPRODUCT(($B$2:$B$1001=B677)*1),0)</f>
        <v>0.619469026548673</v>
      </c>
      <c r="P677" s="24" t="n">
        <f aca="false">IFERROR(SUMPRODUCT(($B$2:$B$1001=B677)*((0-$F$2:$F$1001)&lt;=(0-F677)))/SUMPRODUCT(($B$2:$B$1001=B677)*1),0)</f>
        <v>1</v>
      </c>
      <c r="Q677" s="25" t="n">
        <f aca="false">(M677*Assumptions!$B$5+N677*Assumptions!$B$6+O677*Assumptions!$B$7+P677*Assumptions!$B$8)*L677</f>
        <v>0.587101769911504</v>
      </c>
      <c r="R677" s="24" t="n">
        <f aca="false">IFERROR(SUMPRODUCT(($B$2:$B$1001=B677)*($Q$2:$Q$1001&lt;=Q677))/SUMPRODUCT(($B$2:$B$1001=B677)*1),0)</f>
        <v>0.725663716814159</v>
      </c>
      <c r="S677" s="24" t="n">
        <f aca="false">IFERROR(SUMPRODUCT(($B$2:$B$1001=B677)*($K$2:$K$1001&lt;=K677))/SUMPRODUCT(($B$2:$B$1001=B677)*1),0)</f>
        <v>0.800884955752212</v>
      </c>
      <c r="T677" s="26" t="n">
        <f aca="false">(R677-S677)*100</f>
        <v>-7.52212389380531</v>
      </c>
      <c r="U677" s="21" t="str">
        <f aca="false">'Player Data'!T677</f>
        <v>No</v>
      </c>
      <c r="V677" s="27" t="n">
        <f aca="false">'Player Data'!U677</f>
        <v>2027</v>
      </c>
      <c r="W677" s="21" t="str">
        <f aca="false">IF(AND(T677&gt;=Assumptions!$B$19,U677="No"),"High Priority - Unrepresented",IF(T677&gt;=Assumptions!$B$19,"High Priority",IF(AND(T677&gt;=Assumptions!$B$20,U677="No"),"Watchlist - Unrepresented",IF(T677&gt;=Assumptions!$B$20,"Watchlist",""))))</f>
        <v/>
      </c>
      <c r="X677" s="21" t="str">
        <f aca="false">'Player Data'!V677</f>
        <v>info@barfc.me</v>
      </c>
      <c r="Y677" s="28" t="str">
        <f aca="false">'Player Data'!W677</f>
        <v>Club youth/academy office ONLY - player is a minor, do not contact directly</v>
      </c>
      <c r="Z677" s="28" t="str">
        <f aca="false">'Player Data'!X677</f>
        <v>FSCG (Football Association of Montenegro) player registry</v>
      </c>
      <c r="AA677" s="19" t="str">
        <f aca="false">HYPERLINK("https://www.transfermarkt.com/schnellsuche/ergebnis/schnellsuche?query="&amp;SUBSTITUTE(A677," ","+"),"Search Transfermarkt")</f>
        <v>Search Transfermarkt</v>
      </c>
      <c r="AB677" s="29" t="n">
        <f aca="false">IFERROR('Player Data'!K677/('Player Data'!K677+'Player Data'!L677),0)</f>
        <v>0.390243902439024</v>
      </c>
      <c r="AC677" s="21" t="str">
        <f aca="false">IF(B677="GK",IF(AND(O677&gt;=Assumptions!$B$23,N677&gt;=Assumptions!$B$23),"Sweeper-Keeper / Build-from-the-Back",IF(O677&gt;=Assumptions!$B$23,"Sweeper-Keeper / High Line",IF(M677&gt;=Assumptions!$B$23,"Shot-Stopper / Traditional","Flexible / Multi-System"))),IF(AND(O677&gt;=Assumptions!$B$23,P677&gt;=Assumptions!$B$24),"High Press / Gegenpressing",IF(AND(N677&gt;=Assumptions!$B$23,AB677&gt;=Assumptions!$B$25),"Possession / Build-from-the-Back",IF(N677&gt;=Assumptions!$B$23,"Counter-Attack / Transition",IF(AND(O677&gt;=Assumptions!$B$23,N677&lt;Assumptions!$B$26),"Low Block / Park the Bus",IF(AND(B677="FW",M677&gt;=Assumptions!$B$23,N677&lt;Assumptions!$B$26),"Direct / Target Approach","Flexible / Multi-System"))))))</f>
        <v>Counter-Attack / Transition</v>
      </c>
      <c r="AD677" s="21" t="str">
        <f aca="false">'Player Data'!Y677</f>
        <v>2026-07-17</v>
      </c>
      <c r="AE677" s="21" t="str">
        <f aca="false">'Player Data'!Z677</f>
        <v>2026-07-17</v>
      </c>
      <c r="AF677" s="28" t="str">
        <f aca="false">IFERROR(INDEX(Assumptions!$B$30:$B$61,MATCH(C677,Assumptions!$A$30:$A$61,0)),"--")</f>
        <v>Austria, Turkey</v>
      </c>
      <c r="AG677" s="30" t="str">
        <f aca="false">IF(R677&gt;=0.7,"Step-Up Candidate",IF(R677&gt;=0.4,"Lateral Move","Stay &amp; Develop"))</f>
        <v>Step-Up Candidate</v>
      </c>
    </row>
    <row r="678" customFormat="false" ht="23.85" hidden="false" customHeight="false" outlineLevel="0" collapsed="false">
      <c r="A678" s="21" t="str">
        <f aca="false">'Player Data'!A678</f>
        <v>Ibrahima Ndiaye</v>
      </c>
      <c r="B678" s="21" t="str">
        <f aca="false">'Player Data'!F678</f>
        <v>DF</v>
      </c>
      <c r="C678" s="21" t="str">
        <f aca="false">'Player Data'!B678</f>
        <v>Senegal</v>
      </c>
      <c r="D678" s="21" t="str">
        <f aca="false">'Player Data'!C678</f>
        <v>Senegal Regional League</v>
      </c>
      <c r="E678" s="21" t="n">
        <f aca="false">'Player Data'!D678</f>
        <v>3</v>
      </c>
      <c r="F678" s="21" t="n">
        <f aca="false">'Player Data'!G678</f>
        <v>18</v>
      </c>
      <c r="G678" s="21" t="n">
        <f aca="false">'Player Data'!H678</f>
        <v>1778</v>
      </c>
      <c r="H678" s="22" t="n">
        <f aca="false">IF(B678="GK",IFERROR(('Player Data'!N678-1.5*'Player Data'!O678)/'Player Data'!H678*90,0),IFERROR(('Player Data'!I678+'Player Data'!J678)/'Player Data'!H678*90,0))</f>
        <v>0.303712035995501</v>
      </c>
      <c r="I678" s="22" t="n">
        <f aca="false">IF(B678="GK",'Player Data'!P678,IFERROR(('Player Data'!K678+'Player Data'!L678)/'Player Data'!H678*90,0))</f>
        <v>4.35320584926884</v>
      </c>
      <c r="J678" s="22" t="n">
        <f aca="false">IF(B678="GK",IFERROR('Player Data'!Q678/'Player Data'!H678*90,0),IFERROR('Player Data'!M678/'Player Data'!H678*90,0))</f>
        <v>5.36557930258718</v>
      </c>
      <c r="K678" s="23" t="n">
        <f aca="false">'Player Data'!S678</f>
        <v>57994</v>
      </c>
      <c r="L678" s="22" t="n">
        <f aca="false">INDEX(Assumptions!$B$13:$B$15,MATCH(E678,Assumptions!$A$13:$A$15,0))</f>
        <v>0.85</v>
      </c>
      <c r="M678" s="24" t="n">
        <f aca="false">IFERROR(SUMPRODUCT(($B$2:$B$1001=B678)*($H$2:$H$1001&lt;=H678))/SUMPRODUCT(($B$2:$B$1001=B678)*1),0)</f>
        <v>0.775510204081633</v>
      </c>
      <c r="N678" s="24" t="n">
        <f aca="false">IFERROR(SUMPRODUCT(($B$2:$B$1001=B678)*($I$2:$I$1001&lt;=I678))/SUMPRODUCT(($B$2:$B$1001=B678)*1),0)</f>
        <v>0.472789115646259</v>
      </c>
      <c r="O678" s="24" t="n">
        <f aca="false">IFERROR(SUMPRODUCT(($B$2:$B$1001=B678)*($J$2:$J$1001&lt;=J678))/SUMPRODUCT(($B$2:$B$1001=B678)*1),0)</f>
        <v>0.503401360544218</v>
      </c>
      <c r="P678" s="24" t="n">
        <f aca="false">IFERROR(SUMPRODUCT(($B$2:$B$1001=B678)*((0-$F$2:$F$1001)&lt;=(0-F678)))/SUMPRODUCT(($B$2:$B$1001=B678)*1),0)</f>
        <v>0.863945578231293</v>
      </c>
      <c r="Q678" s="25" t="n">
        <f aca="false">(M678*Assumptions!$B$5+N678*Assumptions!$B$6+O678*Assumptions!$B$7+P678*Assumptions!$B$8)*L678</f>
        <v>0.537899659863946</v>
      </c>
      <c r="R678" s="24" t="n">
        <f aca="false">IFERROR(SUMPRODUCT(($B$2:$B$1001=B678)*($Q$2:$Q$1001&lt;=Q678))/SUMPRODUCT(($B$2:$B$1001=B678)*1),0)</f>
        <v>0.673469387755102</v>
      </c>
      <c r="S678" s="24" t="n">
        <f aca="false">IFERROR(SUMPRODUCT(($B$2:$B$1001=B678)*($K$2:$K$1001&lt;=K678))/SUMPRODUCT(($B$2:$B$1001=B678)*1),0)</f>
        <v>0.476190476190476</v>
      </c>
      <c r="T678" s="26" t="n">
        <f aca="false">(R678-S678)*100</f>
        <v>19.7278911564626</v>
      </c>
      <c r="U678" s="21" t="str">
        <f aca="false">'Player Data'!T678</f>
        <v>No</v>
      </c>
      <c r="V678" s="27" t="n">
        <f aca="false">'Player Data'!U678</f>
        <v>2028</v>
      </c>
      <c r="W678" s="21" t="str">
        <f aca="false">IF(AND(T678&gt;=Assumptions!$B$19,U678="No"),"High Priority - Unrepresented",IF(T678&gt;=Assumptions!$B$19,"High Priority",IF(AND(T678&gt;=Assumptions!$B$20,U678="No"),"Watchlist - Unrepresented",IF(T678&gt;=Assumptions!$B$20,"Watchlist",""))))</f>
        <v/>
      </c>
      <c r="X678" s="21" t="str">
        <f aca="false">'Player Data'!V678</f>
        <v>info@saintlouistown.sn</v>
      </c>
      <c r="Y678" s="28" t="str">
        <f aca="false">'Player Data'!W678</f>
        <v>Club sporting director / first-team office</v>
      </c>
      <c r="Z678" s="28" t="str">
        <f aca="false">'Player Data'!X678</f>
        <v>FSF (Senegalese Football Federation) player registry</v>
      </c>
      <c r="AA678" s="19" t="str">
        <f aca="false">HYPERLINK("https://www.transfermarkt.com/schnellsuche/ergebnis/schnellsuche?query="&amp;SUBSTITUTE(A678," ","+"),"Search Transfermarkt")</f>
        <v>Search Transfermarkt</v>
      </c>
      <c r="AB678" s="29" t="n">
        <f aca="false">IFERROR('Player Data'!K678/('Player Data'!K678+'Player Data'!L678),0)</f>
        <v>0.523255813953488</v>
      </c>
      <c r="AC678" s="21" t="str">
        <f aca="false">IF(B678="GK",IF(AND(O678&gt;=Assumptions!$B$23,N678&gt;=Assumptions!$B$23),"Sweeper-Keeper / Build-from-the-Back",IF(O678&gt;=Assumptions!$B$23,"Sweeper-Keeper / High Line",IF(M678&gt;=Assumptions!$B$23,"Shot-Stopper / Traditional","Flexible / Multi-System"))),IF(AND(O678&gt;=Assumptions!$B$23,P678&gt;=Assumptions!$B$24),"High Press / Gegenpressing",IF(AND(N678&gt;=Assumptions!$B$23,AB678&gt;=Assumptions!$B$25),"Possession / Build-from-the-Back",IF(N678&gt;=Assumptions!$B$23,"Counter-Attack / Transition",IF(AND(O678&gt;=Assumptions!$B$23,N678&lt;Assumptions!$B$26),"Low Block / Park the Bus",IF(AND(B678="FW",M678&gt;=Assumptions!$B$23,N678&lt;Assumptions!$B$26),"Direct / Target Approach","Flexible / Multi-System"))))))</f>
        <v>Flexible / Multi-System</v>
      </c>
      <c r="AD678" s="21" t="str">
        <f aca="false">'Player Data'!Y678</f>
        <v>2026-07-17</v>
      </c>
      <c r="AE678" s="21" t="str">
        <f aca="false">'Player Data'!Z678</f>
        <v>2026-07-17</v>
      </c>
      <c r="AF678" s="28" t="str">
        <f aca="false">IFERROR(INDEX(Assumptions!$B$30:$B$61,MATCH(C678,Assumptions!$A$30:$A$61,0)),"--")</f>
        <v>Belgium, Portugal</v>
      </c>
      <c r="AG678" s="30" t="str">
        <f aca="false">IF(R678&gt;=0.7,"Step-Up Candidate",IF(R678&gt;=0.4,"Lateral Move","Stay &amp; Develop"))</f>
        <v>Lateral Move</v>
      </c>
    </row>
    <row r="679" customFormat="false" ht="23.85" hidden="false" customHeight="false" outlineLevel="0" collapsed="false">
      <c r="A679" s="21" t="str">
        <f aca="false">'Player Data'!A679</f>
        <v>Quang Pham</v>
      </c>
      <c r="B679" s="21" t="str">
        <f aca="false">'Player Data'!F679</f>
        <v>FW</v>
      </c>
      <c r="C679" s="21" t="str">
        <f aca="false">'Player Data'!B679</f>
        <v>Vietnam</v>
      </c>
      <c r="D679" s="21" t="str">
        <f aca="false">'Player Data'!C679</f>
        <v>Vietnam Regional League</v>
      </c>
      <c r="E679" s="21" t="n">
        <f aca="false">'Player Data'!D679</f>
        <v>2</v>
      </c>
      <c r="F679" s="21" t="n">
        <f aca="false">'Player Data'!G679</f>
        <v>24</v>
      </c>
      <c r="G679" s="21" t="n">
        <f aca="false">'Player Data'!H679</f>
        <v>1200</v>
      </c>
      <c r="H679" s="22" t="n">
        <f aca="false">IF(B679="GK",IFERROR(('Player Data'!N679-1.5*'Player Data'!O679)/'Player Data'!H679*90,0),IFERROR(('Player Data'!I679+'Player Data'!J679)/'Player Data'!H679*90,0))</f>
        <v>1.2</v>
      </c>
      <c r="I679" s="22" t="n">
        <f aca="false">IF(B679="GK",'Player Data'!P679,IFERROR(('Player Data'!K679+'Player Data'!L679)/'Player Data'!H679*90,0))</f>
        <v>8.55</v>
      </c>
      <c r="J679" s="22" t="n">
        <f aca="false">IF(B679="GK",IFERROR('Player Data'!Q679/'Player Data'!H679*90,0),IFERROR('Player Data'!M679/'Player Data'!H679*90,0))</f>
        <v>0.3</v>
      </c>
      <c r="K679" s="23" t="n">
        <f aca="false">'Player Data'!S679</f>
        <v>17314</v>
      </c>
      <c r="L679" s="22" t="n">
        <f aca="false">INDEX(Assumptions!$B$13:$B$15,MATCH(E679,Assumptions!$A$13:$A$15,0))</f>
        <v>1</v>
      </c>
      <c r="M679" s="24" t="n">
        <f aca="false">IFERROR(SUMPRODUCT(($B$2:$B$1001=B679)*($H$2:$H$1001&lt;=H679))/SUMPRODUCT(($B$2:$B$1001=B679)*1),0)</f>
        <v>0.70353982300885</v>
      </c>
      <c r="N679" s="24" t="n">
        <f aca="false">IFERROR(SUMPRODUCT(($B$2:$B$1001=B679)*($I$2:$I$1001&lt;=I679))/SUMPRODUCT(($B$2:$B$1001=B679)*1),0)</f>
        <v>0.721238938053097</v>
      </c>
      <c r="O679" s="24" t="n">
        <f aca="false">IFERROR(SUMPRODUCT(($B$2:$B$1001=B679)*($J$2:$J$1001&lt;=J679))/SUMPRODUCT(($B$2:$B$1001=B679)*1),0)</f>
        <v>0.176991150442478</v>
      </c>
      <c r="P679" s="24" t="n">
        <f aca="false">IFERROR(SUMPRODUCT(($B$2:$B$1001=B679)*((0-$F$2:$F$1001)&lt;=(0-F679)))/SUMPRODUCT(($B$2:$B$1001=B679)*1),0)</f>
        <v>0.305309734513274</v>
      </c>
      <c r="Q679" s="25" t="n">
        <f aca="false">(M679*Assumptions!$B$5+N679*Assumptions!$B$6+O679*Assumptions!$B$7+P679*Assumptions!$B$8)*L679</f>
        <v>0.524778761061947</v>
      </c>
      <c r="R679" s="24" t="n">
        <f aca="false">IFERROR(SUMPRODUCT(($B$2:$B$1001=B679)*($Q$2:$Q$1001&lt;=Q679))/SUMPRODUCT(($B$2:$B$1001=B679)*1),0)</f>
        <v>0.650442477876106</v>
      </c>
      <c r="S679" s="24" t="n">
        <f aca="false">IFERROR(SUMPRODUCT(($B$2:$B$1001=B679)*($K$2:$K$1001&lt;=K679))/SUMPRODUCT(($B$2:$B$1001=B679)*1),0)</f>
        <v>0.305309734513274</v>
      </c>
      <c r="T679" s="26" t="n">
        <f aca="false">(R679-S679)*100</f>
        <v>34.5132743362832</v>
      </c>
      <c r="U679" s="21" t="str">
        <f aca="false">'Player Data'!T679</f>
        <v>Unknown</v>
      </c>
      <c r="V679" s="27" t="n">
        <f aca="false">'Player Data'!U679</f>
        <v>2027</v>
      </c>
      <c r="W679" s="21" t="str">
        <f aca="false">IF(AND(T679&gt;=Assumptions!$B$19,U679="No"),"High Priority - Unrepresented",IF(T679&gt;=Assumptions!$B$19,"High Priority",IF(AND(T679&gt;=Assumptions!$B$20,U679="No"),"Watchlist - Unrepresented",IF(T679&gt;=Assumptions!$B$20,"Watchlist",""))))</f>
        <v>Watchlist</v>
      </c>
      <c r="X679" s="21" t="str">
        <f aca="false">'Player Data'!V679</f>
        <v>info@canthocity.vn</v>
      </c>
      <c r="Y679" s="28" t="str">
        <f aca="false">'Player Data'!W679</f>
        <v>Club sporting director / first-team office</v>
      </c>
      <c r="Z679" s="28" t="str">
        <f aca="false">'Player Data'!X679</f>
        <v>VFF (Vietnam Football Federation) player registry</v>
      </c>
      <c r="AA679" s="19" t="str">
        <f aca="false">HYPERLINK("https://www.transfermarkt.com/schnellsuche/ergebnis/schnellsuche?query="&amp;SUBSTITUTE(A679," ","+"),"Search Transfermarkt")</f>
        <v>Search Transfermarkt</v>
      </c>
      <c r="AB679" s="29" t="n">
        <f aca="false">IFERROR('Player Data'!K679/('Player Data'!K679+'Player Data'!L679),0)</f>
        <v>0.447368421052632</v>
      </c>
      <c r="AC679" s="21" t="str">
        <f aca="false">IF(B679="GK",IF(AND(O679&gt;=Assumptions!$B$23,N679&gt;=Assumptions!$B$23),"Sweeper-Keeper / Build-from-the-Back",IF(O679&gt;=Assumptions!$B$23,"Sweeper-Keeper / High Line",IF(M679&gt;=Assumptions!$B$23,"Shot-Stopper / Traditional","Flexible / Multi-System"))),IF(AND(O679&gt;=Assumptions!$B$23,P679&gt;=Assumptions!$B$24),"High Press / Gegenpressing",IF(AND(N679&gt;=Assumptions!$B$23,AB679&gt;=Assumptions!$B$25),"Possession / Build-from-the-Back",IF(N679&gt;=Assumptions!$B$23,"Counter-Attack / Transition",IF(AND(O679&gt;=Assumptions!$B$23,N679&lt;Assumptions!$B$26),"Low Block / Park the Bus",IF(AND(B679="FW",M679&gt;=Assumptions!$B$23,N679&lt;Assumptions!$B$26),"Direct / Target Approach","Flexible / Multi-System"))))))</f>
        <v>Counter-Attack / Transition</v>
      </c>
      <c r="AD679" s="21" t="str">
        <f aca="false">'Player Data'!Y679</f>
        <v>2026-07-17</v>
      </c>
      <c r="AE679" s="21" t="str">
        <f aca="false">'Player Data'!Z679</f>
        <v>2026-07-17</v>
      </c>
      <c r="AF679" s="28" t="str">
        <f aca="false">IFERROR(INDEX(Assumptions!$B$30:$B$61,MATCH(C679,Assumptions!$A$30:$A$61,0)),"--")</f>
        <v>Australia, Saudi Arabia</v>
      </c>
      <c r="AG679" s="30" t="str">
        <f aca="false">IF(R679&gt;=0.7,"Step-Up Candidate",IF(R679&gt;=0.4,"Lateral Move","Stay &amp; Develop"))</f>
        <v>Lateral Move</v>
      </c>
    </row>
    <row r="680" customFormat="false" ht="23.85" hidden="false" customHeight="false" outlineLevel="0" collapsed="false">
      <c r="A680" s="21" t="str">
        <f aca="false">'Player Data'!A680</f>
        <v>Omar Salim</v>
      </c>
      <c r="B680" s="21" t="str">
        <f aca="false">'Player Data'!F680</f>
        <v>FW</v>
      </c>
      <c r="C680" s="21" t="str">
        <f aca="false">'Player Data'!B680</f>
        <v>Iraq</v>
      </c>
      <c r="D680" s="21" t="str">
        <f aca="false">'Player Data'!C680</f>
        <v>Iraq Regional League</v>
      </c>
      <c r="E680" s="21" t="n">
        <f aca="false">'Player Data'!D680</f>
        <v>2</v>
      </c>
      <c r="F680" s="21" t="n">
        <f aca="false">'Player Data'!G680</f>
        <v>18</v>
      </c>
      <c r="G680" s="21" t="n">
        <f aca="false">'Player Data'!H680</f>
        <v>1538</v>
      </c>
      <c r="H680" s="22" t="n">
        <f aca="false">IF(B680="GK",IFERROR(('Player Data'!N680-1.5*'Player Data'!O680)/'Player Data'!H680*90,0),IFERROR(('Player Data'!I680+'Player Data'!J680)/'Player Data'!H680*90,0))</f>
        <v>1.40442132639792</v>
      </c>
      <c r="I680" s="22" t="n">
        <f aca="false">IF(B680="GK",'Player Data'!P680,IFERROR(('Player Data'!K680+'Player Data'!L680)/'Player Data'!H680*90,0))</f>
        <v>6.78803641092328</v>
      </c>
      <c r="J680" s="22" t="n">
        <f aca="false">IF(B680="GK",IFERROR('Player Data'!Q680/'Player Data'!H680*90,0),IFERROR('Player Data'!M680/'Player Data'!H680*90,0))</f>
        <v>0.70221066319896</v>
      </c>
      <c r="K680" s="23" t="n">
        <f aca="false">'Player Data'!S680</f>
        <v>63765</v>
      </c>
      <c r="L680" s="22" t="n">
        <f aca="false">INDEX(Assumptions!$B$13:$B$15,MATCH(E680,Assumptions!$A$13:$A$15,0))</f>
        <v>1</v>
      </c>
      <c r="M680" s="24" t="n">
        <f aca="false">IFERROR(SUMPRODUCT(($B$2:$B$1001=B680)*($H$2:$H$1001&lt;=H680))/SUMPRODUCT(($B$2:$B$1001=B680)*1),0)</f>
        <v>0.796460176991151</v>
      </c>
      <c r="N680" s="24" t="n">
        <f aca="false">IFERROR(SUMPRODUCT(($B$2:$B$1001=B680)*($I$2:$I$1001&lt;=I680))/SUMPRODUCT(($B$2:$B$1001=B680)*1),0)</f>
        <v>0.548672566371681</v>
      </c>
      <c r="O680" s="24" t="n">
        <f aca="false">IFERROR(SUMPRODUCT(($B$2:$B$1001=B680)*($J$2:$J$1001&lt;=J680))/SUMPRODUCT(($B$2:$B$1001=B680)*1),0)</f>
        <v>0.738938053097345</v>
      </c>
      <c r="P680" s="24" t="n">
        <f aca="false">IFERROR(SUMPRODUCT(($B$2:$B$1001=B680)*((0-$F$2:$F$1001)&lt;=(0-F680)))/SUMPRODUCT(($B$2:$B$1001=B680)*1),0)</f>
        <v>0.915929203539823</v>
      </c>
      <c r="Q680" s="25" t="n">
        <f aca="false">(M680*Assumptions!$B$5+N680*Assumptions!$B$6+O680*Assumptions!$B$7+P680*Assumptions!$B$8)*L680</f>
        <v>0.72212389380531</v>
      </c>
      <c r="R680" s="24" t="n">
        <f aca="false">IFERROR(SUMPRODUCT(($B$2:$B$1001=B680)*($Q$2:$Q$1001&lt;=Q680))/SUMPRODUCT(($B$2:$B$1001=B680)*1),0)</f>
        <v>0.893805309734513</v>
      </c>
      <c r="S680" s="24" t="n">
        <f aca="false">IFERROR(SUMPRODUCT(($B$2:$B$1001=B680)*($K$2:$K$1001&lt;=K680))/SUMPRODUCT(($B$2:$B$1001=B680)*1),0)</f>
        <v>0.52212389380531</v>
      </c>
      <c r="T680" s="26" t="n">
        <f aca="false">(R680-S680)*100</f>
        <v>37.1681415929203</v>
      </c>
      <c r="U680" s="21" t="str">
        <f aca="false">'Player Data'!T680</f>
        <v>No</v>
      </c>
      <c r="V680" s="27" t="n">
        <f aca="false">'Player Data'!U680</f>
        <v>2029</v>
      </c>
      <c r="W680" s="21" t="str">
        <f aca="false">IF(AND(T680&gt;=Assumptions!$B$19,U680="No"),"High Priority - Unrepresented",IF(T680&gt;=Assumptions!$B$19,"High Priority",IF(AND(T680&gt;=Assumptions!$B$20,U680="No"),"Watchlist - Unrepresented",IF(T680&gt;=Assumptions!$B$20,"Watchlist",""))))</f>
        <v>Watchlist - Unrepresented</v>
      </c>
      <c r="X680" s="21" t="str">
        <f aca="false">'Player Data'!V680</f>
        <v>info@erbilwanderers.iq</v>
      </c>
      <c r="Y680" s="28" t="str">
        <f aca="false">'Player Data'!W680</f>
        <v>Club sporting director / first-team office</v>
      </c>
      <c r="Z680" s="28" t="str">
        <f aca="false">'Player Data'!X680</f>
        <v>IFA (Iraq Football Association) player registry</v>
      </c>
      <c r="AA680" s="19" t="str">
        <f aca="false">HYPERLINK("https://www.transfermarkt.com/schnellsuche/ergebnis/schnellsuche?query="&amp;SUBSTITUTE(A680," ","+"),"Search Transfermarkt")</f>
        <v>Search Transfermarkt</v>
      </c>
      <c r="AB680" s="29" t="n">
        <f aca="false">IFERROR('Player Data'!K680/('Player Data'!K680+'Player Data'!L680),0)</f>
        <v>0.344827586206897</v>
      </c>
      <c r="AC680" s="21" t="str">
        <f aca="false">IF(B680="GK",IF(AND(O680&gt;=Assumptions!$B$23,N680&gt;=Assumptions!$B$23),"Sweeper-Keeper / Build-from-the-Back",IF(O680&gt;=Assumptions!$B$23,"Sweeper-Keeper / High Line",IF(M680&gt;=Assumptions!$B$23,"Shot-Stopper / Traditional","Flexible / Multi-System"))),IF(AND(O680&gt;=Assumptions!$B$23,P680&gt;=Assumptions!$B$24),"High Press / Gegenpressing",IF(AND(N680&gt;=Assumptions!$B$23,AB680&gt;=Assumptions!$B$25),"Possession / Build-from-the-Back",IF(N680&gt;=Assumptions!$B$23,"Counter-Attack / Transition",IF(AND(O680&gt;=Assumptions!$B$23,N680&lt;Assumptions!$B$26),"Low Block / Park the Bus",IF(AND(B680="FW",M680&gt;=Assumptions!$B$23,N680&lt;Assumptions!$B$26),"Direct / Target Approach","Flexible / Multi-System"))))))</f>
        <v>High Press / Gegenpressing</v>
      </c>
      <c r="AD680" s="21" t="str">
        <f aca="false">'Player Data'!Y680</f>
        <v>2026-07-17</v>
      </c>
      <c r="AE680" s="21" t="str">
        <f aca="false">'Player Data'!Z680</f>
        <v>2026-07-17</v>
      </c>
      <c r="AF680" s="28" t="str">
        <f aca="false">IFERROR(INDEX(Assumptions!$B$30:$B$61,MATCH(C680,Assumptions!$A$30:$A$61,0)),"--")</f>
        <v>Turkey, Saudi Arabia</v>
      </c>
      <c r="AG680" s="30" t="str">
        <f aca="false">IF(R680&gt;=0.7,"Step-Up Candidate",IF(R680&gt;=0.4,"Lateral Move","Stay &amp; Develop"))</f>
        <v>Step-Up Candidate</v>
      </c>
    </row>
    <row r="681" customFormat="false" ht="23.85" hidden="false" customHeight="false" outlineLevel="0" collapsed="false">
      <c r="A681" s="21" t="str">
        <f aca="false">'Player Data'!A681</f>
        <v>Mwansa Zulu</v>
      </c>
      <c r="B681" s="21" t="str">
        <f aca="false">'Player Data'!F681</f>
        <v>DF</v>
      </c>
      <c r="C681" s="21" t="str">
        <f aca="false">'Player Data'!B681</f>
        <v>Zambia</v>
      </c>
      <c r="D681" s="21" t="str">
        <f aca="false">'Player Data'!C681</f>
        <v>Zambia Third Tier - North</v>
      </c>
      <c r="E681" s="21" t="n">
        <f aca="false">'Player Data'!D681</f>
        <v>2</v>
      </c>
      <c r="F681" s="21" t="n">
        <f aca="false">'Player Data'!G681</f>
        <v>19</v>
      </c>
      <c r="G681" s="21" t="n">
        <f aca="false">'Player Data'!H681</f>
        <v>2634</v>
      </c>
      <c r="H681" s="22" t="n">
        <f aca="false">IF(B681="GK",IFERROR(('Player Data'!N681-1.5*'Player Data'!O681)/'Player Data'!H681*90,0),IFERROR(('Player Data'!I681+'Player Data'!J681)/'Player Data'!H681*90,0))</f>
        <v>0.170842824601367</v>
      </c>
      <c r="I681" s="22" t="n">
        <f aca="false">IF(B681="GK",'Player Data'!P681,IFERROR(('Player Data'!K681+'Player Data'!L681)/'Player Data'!H681*90,0))</f>
        <v>3.65603644646925</v>
      </c>
      <c r="J681" s="22" t="n">
        <f aca="false">IF(B681="GK",IFERROR('Player Data'!Q681/'Player Data'!H681*90,0),IFERROR('Player Data'!M681/'Player Data'!H681*90,0))</f>
        <v>3.99772209567198</v>
      </c>
      <c r="K681" s="23" t="n">
        <f aca="false">'Player Data'!S681</f>
        <v>0</v>
      </c>
      <c r="L681" s="22" t="n">
        <f aca="false">INDEX(Assumptions!$B$13:$B$15,MATCH(E681,Assumptions!$A$13:$A$15,0))</f>
        <v>1</v>
      </c>
      <c r="M681" s="24" t="n">
        <f aca="false">IFERROR(SUMPRODUCT(($B$2:$B$1001=B681)*($H$2:$H$1001&lt;=H681))/SUMPRODUCT(($B$2:$B$1001=B681)*1),0)</f>
        <v>0.442176870748299</v>
      </c>
      <c r="N681" s="24" t="n">
        <f aca="false">IFERROR(SUMPRODUCT(($B$2:$B$1001=B681)*($I$2:$I$1001&lt;=I681))/SUMPRODUCT(($B$2:$B$1001=B681)*1),0)</f>
        <v>0.292517006802721</v>
      </c>
      <c r="O681" s="24" t="n">
        <f aca="false">IFERROR(SUMPRODUCT(($B$2:$B$1001=B681)*($J$2:$J$1001&lt;=J681))/SUMPRODUCT(($B$2:$B$1001=B681)*1),0)</f>
        <v>0.224489795918367</v>
      </c>
      <c r="P681" s="24" t="n">
        <f aca="false">IFERROR(SUMPRODUCT(($B$2:$B$1001=B681)*((0-$F$2:$F$1001)&lt;=(0-F681)))/SUMPRODUCT(($B$2:$B$1001=B681)*1),0)</f>
        <v>0.738095238095238</v>
      </c>
      <c r="Q681" s="25" t="n">
        <f aca="false">(M681*Assumptions!$B$5+N681*Assumptions!$B$6+O681*Assumptions!$B$7+P681*Assumptions!$B$8)*L681</f>
        <v>0.405442176870748</v>
      </c>
      <c r="R681" s="24" t="n">
        <f aca="false">IFERROR(SUMPRODUCT(($B$2:$B$1001=B681)*($Q$2:$Q$1001&lt;=Q681))/SUMPRODUCT(($B$2:$B$1001=B681)*1),0)</f>
        <v>0.469387755102041</v>
      </c>
      <c r="S681" s="24" t="n">
        <f aca="false">IFERROR(SUMPRODUCT(($B$2:$B$1001=B681)*($K$2:$K$1001&lt;=K681))/SUMPRODUCT(($B$2:$B$1001=B681)*1),0)</f>
        <v>0.248299319727891</v>
      </c>
      <c r="T681" s="26" t="n">
        <f aca="false">(R681-S681)*100</f>
        <v>22.108843537415</v>
      </c>
      <c r="U681" s="21" t="str">
        <f aca="false">'Player Data'!T681</f>
        <v>No</v>
      </c>
      <c r="V681" s="27" t="n">
        <f aca="false">'Player Data'!U681</f>
        <v>2028</v>
      </c>
      <c r="W681" s="21" t="str">
        <f aca="false">IF(AND(T681&gt;=Assumptions!$B$19,U681="No"),"High Priority - Unrepresented",IF(T681&gt;=Assumptions!$B$19,"High Priority",IF(AND(T681&gt;=Assumptions!$B$20,U681="No"),"Watchlist - Unrepresented",IF(T681&gt;=Assumptions!$B$20,"Watchlist",""))))</f>
        <v>Watchlist - Unrepresented</v>
      </c>
      <c r="X681" s="21" t="str">
        <f aca="false">'Player Data'!V681</f>
        <v>info@livingstonecity.zm</v>
      </c>
      <c r="Y681" s="28" t="str">
        <f aca="false">'Player Data'!W681</f>
        <v>Club sporting director / first-team office</v>
      </c>
      <c r="Z681" s="28" t="str">
        <f aca="false">'Player Data'!X681</f>
        <v>FAZ (Football Association of Zambia) player registry</v>
      </c>
      <c r="AA681" s="19" t="str">
        <f aca="false">HYPERLINK("https://www.transfermarkt.com/schnellsuche/ergebnis/schnellsuche?query="&amp;SUBSTITUTE(A681," ","+"),"Search Transfermarkt")</f>
        <v>Search Transfermarkt</v>
      </c>
      <c r="AB681" s="29" t="n">
        <f aca="false">IFERROR('Player Data'!K681/('Player Data'!K681+'Player Data'!L681),0)</f>
        <v>0.570093457943925</v>
      </c>
      <c r="AC681" s="21" t="str">
        <f aca="false">IF(B681="GK",IF(AND(O681&gt;=Assumptions!$B$23,N681&gt;=Assumptions!$B$23),"Sweeper-Keeper / Build-from-the-Back",IF(O681&gt;=Assumptions!$B$23,"Sweeper-Keeper / High Line",IF(M681&gt;=Assumptions!$B$23,"Shot-Stopper / Traditional","Flexible / Multi-System"))),IF(AND(O681&gt;=Assumptions!$B$23,P681&gt;=Assumptions!$B$24),"High Press / Gegenpressing",IF(AND(N681&gt;=Assumptions!$B$23,AB681&gt;=Assumptions!$B$25),"Possession / Build-from-the-Back",IF(N681&gt;=Assumptions!$B$23,"Counter-Attack / Transition",IF(AND(O681&gt;=Assumptions!$B$23,N681&lt;Assumptions!$B$26),"Low Block / Park the Bus",IF(AND(B681="FW",M681&gt;=Assumptions!$B$23,N681&lt;Assumptions!$B$26),"Direct / Target Approach","Flexible / Multi-System"))))))</f>
        <v>Flexible / Multi-System</v>
      </c>
      <c r="AD681" s="21" t="str">
        <f aca="false">'Player Data'!Y681</f>
        <v>2026-07-17</v>
      </c>
      <c r="AE681" s="21" t="str">
        <f aca="false">'Player Data'!Z681</f>
        <v>2026-07-17</v>
      </c>
      <c r="AF681" s="28" t="str">
        <f aca="false">IFERROR(INDEX(Assumptions!$B$30:$B$61,MATCH(C681,Assumptions!$A$30:$A$61,0)),"--")</f>
        <v>Belgium, Portugal</v>
      </c>
      <c r="AG681" s="30" t="str">
        <f aca="false">IF(R681&gt;=0.7,"Step-Up Candidate",IF(R681&gt;=0.4,"Lateral Move","Stay &amp; Develop"))</f>
        <v>Lateral Move</v>
      </c>
    </row>
    <row r="682" customFormat="false" ht="23.85" hidden="false" customHeight="false" outlineLevel="0" collapsed="false">
      <c r="A682" s="21" t="str">
        <f aca="false">'Player Data'!A682</f>
        <v>Seo-jun Choi</v>
      </c>
      <c r="B682" s="21" t="str">
        <f aca="false">'Player Data'!F682</f>
        <v>DF</v>
      </c>
      <c r="C682" s="21" t="str">
        <f aca="false">'Player Data'!B682</f>
        <v>South Korea</v>
      </c>
      <c r="D682" s="21" t="str">
        <f aca="false">'Player Data'!C682</f>
        <v>South Korea Third Tier - South</v>
      </c>
      <c r="E682" s="21" t="n">
        <f aca="false">'Player Data'!D682</f>
        <v>3</v>
      </c>
      <c r="F682" s="21" t="n">
        <f aca="false">'Player Data'!G682</f>
        <v>24</v>
      </c>
      <c r="G682" s="21" t="n">
        <f aca="false">'Player Data'!H682</f>
        <v>1775</v>
      </c>
      <c r="H682" s="22" t="n">
        <f aca="false">IF(B682="GK",IFERROR(('Player Data'!N682-1.5*'Player Data'!O682)/'Player Data'!H682*90,0),IFERROR(('Player Data'!I682+'Player Data'!J682)/'Player Data'!H682*90,0))</f>
        <v>0.304225352112676</v>
      </c>
      <c r="I682" s="22" t="n">
        <f aca="false">IF(B682="GK",'Player Data'!P682,IFERROR(('Player Data'!K682+'Player Data'!L682)/'Player Data'!H682*90,0))</f>
        <v>4.20845070422535</v>
      </c>
      <c r="J682" s="22" t="n">
        <f aca="false">IF(B682="GK",IFERROR('Player Data'!Q682/'Player Data'!H682*90,0),IFERROR('Player Data'!M682/'Player Data'!H682*90,0))</f>
        <v>4.71549295774648</v>
      </c>
      <c r="K682" s="23" t="n">
        <f aca="false">'Player Data'!S682</f>
        <v>104418</v>
      </c>
      <c r="L682" s="22" t="n">
        <f aca="false">INDEX(Assumptions!$B$13:$B$15,MATCH(E682,Assumptions!$A$13:$A$15,0))</f>
        <v>0.85</v>
      </c>
      <c r="M682" s="24" t="n">
        <f aca="false">IFERROR(SUMPRODUCT(($B$2:$B$1001=B682)*($H$2:$H$1001&lt;=H682))/SUMPRODUCT(($B$2:$B$1001=B682)*1),0)</f>
        <v>0.77891156462585</v>
      </c>
      <c r="N682" s="24" t="n">
        <f aca="false">IFERROR(SUMPRODUCT(($B$2:$B$1001=B682)*($I$2:$I$1001&lt;=I682))/SUMPRODUCT(($B$2:$B$1001=B682)*1),0)</f>
        <v>0.435374149659864</v>
      </c>
      <c r="O682" s="24" t="n">
        <f aca="false">IFERROR(SUMPRODUCT(($B$2:$B$1001=B682)*($J$2:$J$1001&lt;=J682))/SUMPRODUCT(($B$2:$B$1001=B682)*1),0)</f>
        <v>0.391156462585034</v>
      </c>
      <c r="P682" s="24" t="n">
        <f aca="false">IFERROR(SUMPRODUCT(($B$2:$B$1001=B682)*((0-$F$2:$F$1001)&lt;=(0-F682)))/SUMPRODUCT(($B$2:$B$1001=B682)*1),0)</f>
        <v>0.275510204081633</v>
      </c>
      <c r="Q682" s="25" t="n">
        <f aca="false">(M682*Assumptions!$B$5+N682*Assumptions!$B$6+O682*Assumptions!$B$7+P682*Assumptions!$B$8)*L682</f>
        <v>0.408375850340136</v>
      </c>
      <c r="R682" s="24" t="n">
        <f aca="false">IFERROR(SUMPRODUCT(($B$2:$B$1001=B682)*($Q$2:$Q$1001&lt;=Q682))/SUMPRODUCT(($B$2:$B$1001=B682)*1),0)</f>
        <v>0.479591836734694</v>
      </c>
      <c r="S682" s="24" t="n">
        <f aca="false">IFERROR(SUMPRODUCT(($B$2:$B$1001=B682)*($K$2:$K$1001&lt;=K682))/SUMPRODUCT(($B$2:$B$1001=B682)*1),0)</f>
        <v>0.772108843537415</v>
      </c>
      <c r="T682" s="26" t="n">
        <f aca="false">(R682-S682)*100</f>
        <v>-29.2517006802721</v>
      </c>
      <c r="U682" s="21" t="str">
        <f aca="false">'Player Data'!T682</f>
        <v>No</v>
      </c>
      <c r="V682" s="27" t="n">
        <f aca="false">'Player Data'!U682</f>
        <v>2027</v>
      </c>
      <c r="W682" s="21" t="str">
        <f aca="false">IF(AND(T682&gt;=Assumptions!$B$19,U682="No"),"High Priority - Unrepresented",IF(T682&gt;=Assumptions!$B$19,"High Priority",IF(AND(T682&gt;=Assumptions!$B$20,U682="No"),"Watchlist - Unrepresented",IF(T682&gt;=Assumptions!$B$20,"Watchlist",""))))</f>
        <v/>
      </c>
      <c r="X682" s="21" t="str">
        <f aca="false">'Player Data'!V682</f>
        <v>info@gwangjutown.kr</v>
      </c>
      <c r="Y682" s="28" t="str">
        <f aca="false">'Player Data'!W682</f>
        <v>Club sporting director / first-team office</v>
      </c>
      <c r="Z682" s="28" t="str">
        <f aca="false">'Player Data'!X682</f>
        <v>KFA (Korea Football Association) player registry</v>
      </c>
      <c r="AA682" s="19" t="str">
        <f aca="false">HYPERLINK("https://www.transfermarkt.com/schnellsuche/ergebnis/schnellsuche?query="&amp;SUBSTITUTE(A682," ","+"),"Search Transfermarkt")</f>
        <v>Search Transfermarkt</v>
      </c>
      <c r="AB682" s="29" t="n">
        <f aca="false">IFERROR('Player Data'!K682/('Player Data'!K682+'Player Data'!L682),0)</f>
        <v>0.469879518072289</v>
      </c>
      <c r="AC682" s="21" t="str">
        <f aca="false">IF(B682="GK",IF(AND(O682&gt;=Assumptions!$B$23,N682&gt;=Assumptions!$B$23),"Sweeper-Keeper / Build-from-the-Back",IF(O682&gt;=Assumptions!$B$23,"Sweeper-Keeper / High Line",IF(M682&gt;=Assumptions!$B$23,"Shot-Stopper / Traditional","Flexible / Multi-System"))),IF(AND(O682&gt;=Assumptions!$B$23,P682&gt;=Assumptions!$B$24),"High Press / Gegenpressing",IF(AND(N682&gt;=Assumptions!$B$23,AB682&gt;=Assumptions!$B$25),"Possession / Build-from-the-Back",IF(N682&gt;=Assumptions!$B$23,"Counter-Attack / Transition",IF(AND(O682&gt;=Assumptions!$B$23,N682&lt;Assumptions!$B$26),"Low Block / Park the Bus",IF(AND(B682="FW",M682&gt;=Assumptions!$B$23,N682&lt;Assumptions!$B$26),"Direct / Target Approach","Flexible / Multi-System"))))))</f>
        <v>Flexible / Multi-System</v>
      </c>
      <c r="AD682" s="21" t="str">
        <f aca="false">'Player Data'!Y682</f>
        <v>2026-07-17</v>
      </c>
      <c r="AE682" s="21" t="str">
        <f aca="false">'Player Data'!Z682</f>
        <v>2026-07-17</v>
      </c>
      <c r="AF682" s="28" t="str">
        <f aca="false">IFERROR(INDEX(Assumptions!$B$30:$B$61,MATCH(C682,Assumptions!$A$30:$A$61,0)),"--")</f>
        <v>Belgium, Saudi Arabia</v>
      </c>
      <c r="AG682" s="30" t="str">
        <f aca="false">IF(R682&gt;=0.7,"Step-Up Candidate",IF(R682&gt;=0.4,"Lateral Move","Stay &amp; Develop"))</f>
        <v>Lateral Move</v>
      </c>
    </row>
    <row r="683" customFormat="false" ht="23.85" hidden="false" customHeight="false" outlineLevel="0" collapsed="false">
      <c r="A683" s="21" t="str">
        <f aca="false">'Player Data'!A683</f>
        <v>Bojan Nikolic</v>
      </c>
      <c r="B683" s="21" t="str">
        <f aca="false">'Player Data'!F683</f>
        <v>DF</v>
      </c>
      <c r="C683" s="21" t="str">
        <f aca="false">'Player Data'!B683</f>
        <v>Serbia</v>
      </c>
      <c r="D683" s="21" t="str">
        <f aca="false">'Player Data'!C683</f>
        <v>Serbia Provincial League</v>
      </c>
      <c r="E683" s="21" t="n">
        <f aca="false">'Player Data'!D683</f>
        <v>2</v>
      </c>
      <c r="F683" s="21" t="n">
        <f aca="false">'Player Data'!G683</f>
        <v>24</v>
      </c>
      <c r="G683" s="21" t="n">
        <f aca="false">'Player Data'!H683</f>
        <v>1352</v>
      </c>
      <c r="H683" s="22" t="n">
        <f aca="false">IF(B683="GK",IFERROR(('Player Data'!N683-1.5*'Player Data'!O683)/'Player Data'!H683*90,0),IFERROR(('Player Data'!I683+'Player Data'!J683)/'Player Data'!H683*90,0))</f>
        <v>0.199704142011834</v>
      </c>
      <c r="I683" s="22" t="n">
        <f aca="false">IF(B683="GK",'Player Data'!P683,IFERROR(('Player Data'!K683+'Player Data'!L683)/'Player Data'!H683*90,0))</f>
        <v>5.32544378698225</v>
      </c>
      <c r="J683" s="22" t="n">
        <f aca="false">IF(B683="GK",IFERROR('Player Data'!Q683/'Player Data'!H683*90,0),IFERROR('Player Data'!M683/'Player Data'!H683*90,0))</f>
        <v>5.32544378698225</v>
      </c>
      <c r="K683" s="23" t="n">
        <f aca="false">'Player Data'!S683</f>
        <v>26534</v>
      </c>
      <c r="L683" s="22" t="n">
        <f aca="false">INDEX(Assumptions!$B$13:$B$15,MATCH(E683,Assumptions!$A$13:$A$15,0))</f>
        <v>1</v>
      </c>
      <c r="M683" s="24" t="n">
        <f aca="false">IFERROR(SUMPRODUCT(($B$2:$B$1001=B683)*($H$2:$H$1001&lt;=H683))/SUMPRODUCT(($B$2:$B$1001=B683)*1),0)</f>
        <v>0.540816326530612</v>
      </c>
      <c r="N683" s="24" t="n">
        <f aca="false">IFERROR(SUMPRODUCT(($B$2:$B$1001=B683)*($I$2:$I$1001&lt;=I683))/SUMPRODUCT(($B$2:$B$1001=B683)*1),0)</f>
        <v>0.646258503401361</v>
      </c>
      <c r="O683" s="24" t="n">
        <f aca="false">IFERROR(SUMPRODUCT(($B$2:$B$1001=B683)*($J$2:$J$1001&lt;=J683))/SUMPRODUCT(($B$2:$B$1001=B683)*1),0)</f>
        <v>0.496598639455782</v>
      </c>
      <c r="P683" s="24" t="n">
        <f aca="false">IFERROR(SUMPRODUCT(($B$2:$B$1001=B683)*((0-$F$2:$F$1001)&lt;=(0-F683)))/SUMPRODUCT(($B$2:$B$1001=B683)*1),0)</f>
        <v>0.275510204081633</v>
      </c>
      <c r="Q683" s="25" t="n">
        <f aca="false">(M683*Assumptions!$B$5+N683*Assumptions!$B$6+O683*Assumptions!$B$7+P683*Assumptions!$B$8)*L683</f>
        <v>0.515816326530612</v>
      </c>
      <c r="R683" s="24" t="n">
        <f aca="false">IFERROR(SUMPRODUCT(($B$2:$B$1001=B683)*($Q$2:$Q$1001&lt;=Q683))/SUMPRODUCT(($B$2:$B$1001=B683)*1),0)</f>
        <v>0.646258503401361</v>
      </c>
      <c r="S683" s="24" t="n">
        <f aca="false">IFERROR(SUMPRODUCT(($B$2:$B$1001=B683)*($K$2:$K$1001&lt;=K683))/SUMPRODUCT(($B$2:$B$1001=B683)*1),0)</f>
        <v>0.346938775510204</v>
      </c>
      <c r="T683" s="26" t="n">
        <f aca="false">(R683-S683)*100</f>
        <v>29.9319727891157</v>
      </c>
      <c r="U683" s="21" t="str">
        <f aca="false">'Player Data'!T683</f>
        <v>Yes</v>
      </c>
      <c r="V683" s="27" t="n">
        <f aca="false">'Player Data'!U683</f>
        <v>2026</v>
      </c>
      <c r="W683" s="21" t="str">
        <f aca="false">IF(AND(T683&gt;=Assumptions!$B$19,U683="No"),"High Priority - Unrepresented",IF(T683&gt;=Assumptions!$B$19,"High Priority",IF(AND(T683&gt;=Assumptions!$B$20,U683="No"),"Watchlist - Unrepresented",IF(T683&gt;=Assumptions!$B$20,"Watchlist",""))))</f>
        <v>Watchlist</v>
      </c>
      <c r="X683" s="21" t="str">
        <f aca="false">'Player Data'!V683</f>
        <v>info@dobanovcifc.rs</v>
      </c>
      <c r="Y683" s="28" t="str">
        <f aca="false">'Player Data'!W683</f>
        <v>Go through the player's agent - ask the club to confirm representation first</v>
      </c>
      <c r="Z683" s="28" t="str">
        <f aca="false">'Player Data'!X683</f>
        <v>FSS (Football Association of Serbia) player registry</v>
      </c>
      <c r="AA683" s="19" t="str">
        <f aca="false">HYPERLINK("https://www.transfermarkt.com/schnellsuche/ergebnis/schnellsuche?query="&amp;SUBSTITUTE(A683," ","+"),"Search Transfermarkt")</f>
        <v>Search Transfermarkt</v>
      </c>
      <c r="AB683" s="29" t="n">
        <f aca="false">IFERROR('Player Data'!K683/('Player Data'!K683+'Player Data'!L683),0)</f>
        <v>0.5375</v>
      </c>
      <c r="AC683" s="21" t="str">
        <f aca="false">IF(B683="GK",IF(AND(O683&gt;=Assumptions!$B$23,N683&gt;=Assumptions!$B$23),"Sweeper-Keeper / Build-from-the-Back",IF(O683&gt;=Assumptions!$B$23,"Sweeper-Keeper / High Line",IF(M683&gt;=Assumptions!$B$23,"Shot-Stopper / Traditional","Flexible / Multi-System"))),IF(AND(O683&gt;=Assumptions!$B$23,P683&gt;=Assumptions!$B$24),"High Press / Gegenpressing",IF(AND(N683&gt;=Assumptions!$B$23,AB683&gt;=Assumptions!$B$25),"Possession / Build-from-the-Back",IF(N683&gt;=Assumptions!$B$23,"Counter-Attack / Transition",IF(AND(O683&gt;=Assumptions!$B$23,N683&lt;Assumptions!$B$26),"Low Block / Park the Bus",IF(AND(B683="FW",M683&gt;=Assumptions!$B$23,N683&lt;Assumptions!$B$26),"Direct / Target Approach","Flexible / Multi-System"))))))</f>
        <v>Flexible / Multi-System</v>
      </c>
      <c r="AD683" s="21" t="str">
        <f aca="false">'Player Data'!Y683</f>
        <v>2026-07-17</v>
      </c>
      <c r="AE683" s="21" t="str">
        <f aca="false">'Player Data'!Z683</f>
        <v>2026-07-17</v>
      </c>
      <c r="AF683" s="28" t="str">
        <f aca="false">IFERROR(INDEX(Assumptions!$B$30:$B$61,MATCH(C683,Assumptions!$A$30:$A$61,0)),"--")</f>
        <v>Austria, Turkey</v>
      </c>
      <c r="AG683" s="30" t="str">
        <f aca="false">IF(R683&gt;=0.7,"Step-Up Candidate",IF(R683&gt;=0.4,"Lateral Move","Stay &amp; Develop"))</f>
        <v>Lateral Move</v>
      </c>
    </row>
    <row r="684" customFormat="false" ht="23.85" hidden="false" customHeight="false" outlineLevel="0" collapsed="false">
      <c r="A684" s="21" t="str">
        <f aca="false">'Player Data'!A684</f>
        <v>Rok Horvat</v>
      </c>
      <c r="B684" s="21" t="str">
        <f aca="false">'Player Data'!F684</f>
        <v>MF</v>
      </c>
      <c r="C684" s="21" t="str">
        <f aca="false">'Player Data'!B684</f>
        <v>Slovenia</v>
      </c>
      <c r="D684" s="21" t="str">
        <f aca="false">'Player Data'!C684</f>
        <v>Slovenia Third Tier - North</v>
      </c>
      <c r="E684" s="21" t="n">
        <f aca="false">'Player Data'!D684</f>
        <v>3</v>
      </c>
      <c r="F684" s="21" t="n">
        <f aca="false">'Player Data'!G684</f>
        <v>25</v>
      </c>
      <c r="G684" s="21" t="n">
        <f aca="false">'Player Data'!H684</f>
        <v>933</v>
      </c>
      <c r="H684" s="22" t="n">
        <f aca="false">IF(B684="GK",IFERROR(('Player Data'!N684-1.5*'Player Data'!O684)/'Player Data'!H684*90,0),IFERROR(('Player Data'!I684+'Player Data'!J684)/'Player Data'!H684*90,0))</f>
        <v>1.83279742765273</v>
      </c>
      <c r="I684" s="22" t="n">
        <f aca="false">IF(B684="GK",'Player Data'!P684,IFERROR(('Player Data'!K684+'Player Data'!L684)/'Player Data'!H684*90,0))</f>
        <v>22.9581993569132</v>
      </c>
      <c r="J684" s="22" t="n">
        <f aca="false">IF(B684="GK",IFERROR('Player Data'!Q684/'Player Data'!H684*90,0),IFERROR('Player Data'!M684/'Player Data'!H684*90,0))</f>
        <v>5.11254019292605</v>
      </c>
      <c r="K684" s="23" t="n">
        <f aca="false">'Player Data'!S684</f>
        <v>112763</v>
      </c>
      <c r="L684" s="22" t="n">
        <f aca="false">INDEX(Assumptions!$B$13:$B$15,MATCH(E684,Assumptions!$A$13:$A$15,0))</f>
        <v>0.85</v>
      </c>
      <c r="M684" s="24" t="n">
        <f aca="false">IFERROR(SUMPRODUCT(($B$2:$B$1001=B684)*($H$2:$H$1001&lt;=H684))/SUMPRODUCT(($B$2:$B$1001=B684)*1),0)</f>
        <v>0.983164983164983</v>
      </c>
      <c r="N684" s="24" t="n">
        <f aca="false">IFERROR(SUMPRODUCT(($B$2:$B$1001=B684)*($I$2:$I$1001&lt;=I684))/SUMPRODUCT(($B$2:$B$1001=B684)*1),0)</f>
        <v>0.956228956228956</v>
      </c>
      <c r="O684" s="24" t="n">
        <f aca="false">IFERROR(SUMPRODUCT(($B$2:$B$1001=B684)*($J$2:$J$1001&lt;=J684))/SUMPRODUCT(($B$2:$B$1001=B684)*1),0)</f>
        <v>0.986531986531987</v>
      </c>
      <c r="P684" s="24" t="n">
        <f aca="false">IFERROR(SUMPRODUCT(($B$2:$B$1001=B684)*((0-$F$2:$F$1001)&lt;=(0-F684)))/SUMPRODUCT(($B$2:$B$1001=B684)*1),0)</f>
        <v>0.202020202020202</v>
      </c>
      <c r="Q684" s="25" t="n">
        <f aca="false">(M684*Assumptions!$B$5+N684*Assumptions!$B$6+O684*Assumptions!$B$7+P684*Assumptions!$B$8)*L684</f>
        <v>0.695454545454545</v>
      </c>
      <c r="R684" s="24" t="n">
        <f aca="false">IFERROR(SUMPRODUCT(($B$2:$B$1001=B684)*($Q$2:$Q$1001&lt;=Q684))/SUMPRODUCT(($B$2:$B$1001=B684)*1),0)</f>
        <v>0.875420875420875</v>
      </c>
      <c r="S684" s="24" t="n">
        <f aca="false">IFERROR(SUMPRODUCT(($B$2:$B$1001=B684)*($K$2:$K$1001&lt;=K684))/SUMPRODUCT(($B$2:$B$1001=B684)*1),0)</f>
        <v>0.814814814814815</v>
      </c>
      <c r="T684" s="26" t="n">
        <f aca="false">(R684-S684)*100</f>
        <v>6.06060606060607</v>
      </c>
      <c r="U684" s="21" t="str">
        <f aca="false">'Player Data'!T684</f>
        <v>Yes</v>
      </c>
      <c r="V684" s="27" t="n">
        <f aca="false">'Player Data'!U684</f>
        <v>2027</v>
      </c>
      <c r="W684" s="21" t="str">
        <f aca="false">IF(AND(T684&gt;=Assumptions!$B$19,U684="No"),"High Priority - Unrepresented",IF(T684&gt;=Assumptions!$B$19,"High Priority",IF(AND(T684&gt;=Assumptions!$B$20,U684="No"),"Watchlist - Unrepresented",IF(T684&gt;=Assumptions!$B$20,"Watchlist",""))))</f>
        <v/>
      </c>
      <c r="X684" s="21" t="str">
        <f aca="false">'Player Data'!V684</f>
        <v>info@celjecity.si</v>
      </c>
      <c r="Y684" s="28" t="str">
        <f aca="false">'Player Data'!W684</f>
        <v>Go through the player's agent - ask the club to confirm representation first</v>
      </c>
      <c r="Z684" s="28" t="str">
        <f aca="false">'Player Data'!X684</f>
        <v>NZS (Football Association of Slovenia) player registry</v>
      </c>
      <c r="AA684" s="19" t="str">
        <f aca="false">HYPERLINK("https://www.transfermarkt.com/schnellsuche/ergebnis/schnellsuche?query="&amp;SUBSTITUTE(A684," ","+"),"Search Transfermarkt")</f>
        <v>Search Transfermarkt</v>
      </c>
      <c r="AB684" s="29" t="n">
        <f aca="false">IFERROR('Player Data'!K684/('Player Data'!K684+'Player Data'!L684),0)</f>
        <v>0.743697478991597</v>
      </c>
      <c r="AC684" s="21" t="str">
        <f aca="false">IF(B684="GK",IF(AND(O684&gt;=Assumptions!$B$23,N684&gt;=Assumptions!$B$23),"Sweeper-Keeper / Build-from-the-Back",IF(O684&gt;=Assumptions!$B$23,"Sweeper-Keeper / High Line",IF(M684&gt;=Assumptions!$B$23,"Shot-Stopper / Traditional","Flexible / Multi-System"))),IF(AND(O684&gt;=Assumptions!$B$23,P684&gt;=Assumptions!$B$24),"High Press / Gegenpressing",IF(AND(N684&gt;=Assumptions!$B$23,AB684&gt;=Assumptions!$B$25),"Possession / Build-from-the-Back",IF(N684&gt;=Assumptions!$B$23,"Counter-Attack / Transition",IF(AND(O684&gt;=Assumptions!$B$23,N684&lt;Assumptions!$B$26),"Low Block / Park the Bus",IF(AND(B684="FW",M684&gt;=Assumptions!$B$23,N684&lt;Assumptions!$B$26),"Direct / Target Approach","Flexible / Multi-System"))))))</f>
        <v>Possession / Build-from-the-Back</v>
      </c>
      <c r="AD684" s="21" t="str">
        <f aca="false">'Player Data'!Y684</f>
        <v>2026-07-17</v>
      </c>
      <c r="AE684" s="21" t="str">
        <f aca="false">'Player Data'!Z684</f>
        <v>2026-07-17</v>
      </c>
      <c r="AF684" s="28" t="str">
        <f aca="false">IFERROR(INDEX(Assumptions!$B$30:$B$61,MATCH(C684,Assumptions!$A$30:$A$61,0)),"--")</f>
        <v>Austria, Poland</v>
      </c>
      <c r="AG684" s="30" t="str">
        <f aca="false">IF(R684&gt;=0.7,"Step-Up Candidate",IF(R684&gt;=0.4,"Lateral Move","Stay &amp; Develop"))</f>
        <v>Step-Up Candidate</v>
      </c>
    </row>
    <row r="685" customFormat="false" ht="23.85" hidden="false" customHeight="false" outlineLevel="0" collapsed="false">
      <c r="A685" s="21" t="str">
        <f aca="false">'Player Data'!A685</f>
        <v>Max Traore</v>
      </c>
      <c r="B685" s="21" t="str">
        <f aca="false">'Player Data'!F685</f>
        <v>MF</v>
      </c>
      <c r="C685" s="21" t="str">
        <f aca="false">'Player Data'!B685</f>
        <v>Ivory Coast</v>
      </c>
      <c r="D685" s="21" t="str">
        <f aca="false">'Player Data'!C685</f>
        <v>Ivory Coast Reserve League</v>
      </c>
      <c r="E685" s="21" t="n">
        <f aca="false">'Player Data'!D685</f>
        <v>2</v>
      </c>
      <c r="F685" s="21" t="n">
        <f aca="false">'Player Data'!G685</f>
        <v>22</v>
      </c>
      <c r="G685" s="21" t="n">
        <f aca="false">'Player Data'!H685</f>
        <v>2063</v>
      </c>
      <c r="H685" s="22" t="n">
        <f aca="false">IF(B685="GK",IFERROR(('Player Data'!N685-1.5*'Player Data'!O685)/'Player Data'!H685*90,0),IFERROR(('Player Data'!I685+'Player Data'!J685)/'Player Data'!H685*90,0))</f>
        <v>0.261754726127</v>
      </c>
      <c r="I685" s="22" t="n">
        <f aca="false">IF(B685="GK",'Player Data'!P685,IFERROR(('Player Data'!K685+'Player Data'!L685)/'Player Data'!H685*90,0))</f>
        <v>10.3393116820165</v>
      </c>
      <c r="J685" s="22" t="n">
        <f aca="false">IF(B685="GK",IFERROR('Player Data'!Q685/'Player Data'!H685*90,0),IFERROR('Player Data'!M685/'Player Data'!H685*90,0))</f>
        <v>2.4866698982065</v>
      </c>
      <c r="K685" s="23" t="n">
        <f aca="false">'Player Data'!S685</f>
        <v>48384</v>
      </c>
      <c r="L685" s="22" t="n">
        <f aca="false">INDEX(Assumptions!$B$13:$B$15,MATCH(E685,Assumptions!$A$13:$A$15,0))</f>
        <v>1</v>
      </c>
      <c r="M685" s="24" t="n">
        <f aca="false">IFERROR(SUMPRODUCT(($B$2:$B$1001=B685)*($H$2:$H$1001&lt;=H685))/SUMPRODUCT(($B$2:$B$1001=B685)*1),0)</f>
        <v>0.0168350168350168</v>
      </c>
      <c r="N685" s="24" t="n">
        <f aca="false">IFERROR(SUMPRODUCT(($B$2:$B$1001=B685)*($I$2:$I$1001&lt;=I685))/SUMPRODUCT(($B$2:$B$1001=B685)*1),0)</f>
        <v>0.454545454545455</v>
      </c>
      <c r="O685" s="24" t="n">
        <f aca="false">IFERROR(SUMPRODUCT(($B$2:$B$1001=B685)*($J$2:$J$1001&lt;=J685))/SUMPRODUCT(($B$2:$B$1001=B685)*1),0)</f>
        <v>0.62962962962963</v>
      </c>
      <c r="P685" s="24" t="n">
        <f aca="false">IFERROR(SUMPRODUCT(($B$2:$B$1001=B685)*((0-$F$2:$F$1001)&lt;=(0-F685)))/SUMPRODUCT(($B$2:$B$1001=B685)*1),0)</f>
        <v>0.515151515151515</v>
      </c>
      <c r="Q685" s="25" t="n">
        <f aca="false">(M685*Assumptions!$B$5+N685*Assumptions!$B$6+O685*Assumptions!$B$7+P685*Assumptions!$B$8)*L685</f>
        <v>0.392255892255892</v>
      </c>
      <c r="R685" s="24" t="n">
        <f aca="false">IFERROR(SUMPRODUCT(($B$2:$B$1001=B685)*($Q$2:$Q$1001&lt;=Q685))/SUMPRODUCT(($B$2:$B$1001=B685)*1),0)</f>
        <v>0.407407407407407</v>
      </c>
      <c r="S685" s="24" t="n">
        <f aca="false">IFERROR(SUMPRODUCT(($B$2:$B$1001=B685)*($K$2:$K$1001&lt;=K685))/SUMPRODUCT(($B$2:$B$1001=B685)*1),0)</f>
        <v>0.441077441077441</v>
      </c>
      <c r="T685" s="26" t="n">
        <f aca="false">(R685-S685)*100</f>
        <v>-3.36700336700337</v>
      </c>
      <c r="U685" s="21" t="str">
        <f aca="false">'Player Data'!T685</f>
        <v>No</v>
      </c>
      <c r="V685" s="27" t="n">
        <f aca="false">'Player Data'!U685</f>
        <v>2026</v>
      </c>
      <c r="W685" s="21" t="str">
        <f aca="false">IF(AND(T685&gt;=Assumptions!$B$19,U685="No"),"High Priority - Unrepresented",IF(T685&gt;=Assumptions!$B$19,"High Priority",IF(AND(T685&gt;=Assumptions!$B$20,U685="No"),"Watchlist - Unrepresented",IF(T685&gt;=Assumptions!$B$20,"Watchlist",""))))</f>
        <v/>
      </c>
      <c r="X685" s="21" t="str">
        <f aca="false">'Player Data'!V685</f>
        <v>info@sanpedrounited.ci</v>
      </c>
      <c r="Y685" s="28" t="str">
        <f aca="false">'Player Data'!W685</f>
        <v>Club sporting director / first-team office</v>
      </c>
      <c r="Z685" s="28" t="str">
        <f aca="false">'Player Data'!X685</f>
        <v>FIF (Ivorian Football Federation) player registry</v>
      </c>
      <c r="AA685" s="19" t="str">
        <f aca="false">HYPERLINK("https://www.transfermarkt.com/schnellsuche/ergebnis/schnellsuche?query="&amp;SUBSTITUTE(A685," ","+"),"Search Transfermarkt")</f>
        <v>Search Transfermarkt</v>
      </c>
      <c r="AB685" s="29" t="n">
        <f aca="false">IFERROR('Player Data'!K685/('Player Data'!K685+'Player Data'!L685),0)</f>
        <v>0.679324894514768</v>
      </c>
      <c r="AC685" s="21" t="str">
        <f aca="false">IF(B685="GK",IF(AND(O685&gt;=Assumptions!$B$23,N685&gt;=Assumptions!$B$23),"Sweeper-Keeper / Build-from-the-Back",IF(O685&gt;=Assumptions!$B$23,"Sweeper-Keeper / High Line",IF(M685&gt;=Assumptions!$B$23,"Shot-Stopper / Traditional","Flexible / Multi-System"))),IF(AND(O685&gt;=Assumptions!$B$23,P685&gt;=Assumptions!$B$24),"High Press / Gegenpressing",IF(AND(N685&gt;=Assumptions!$B$23,AB685&gt;=Assumptions!$B$25),"Possession / Build-from-the-Back",IF(N685&gt;=Assumptions!$B$23,"Counter-Attack / Transition",IF(AND(O685&gt;=Assumptions!$B$23,N685&lt;Assumptions!$B$26),"Low Block / Park the Bus",IF(AND(B685="FW",M685&gt;=Assumptions!$B$23,N685&lt;Assumptions!$B$26),"Direct / Target Approach","Flexible / Multi-System"))))))</f>
        <v>Flexible / Multi-System</v>
      </c>
      <c r="AD685" s="21" t="str">
        <f aca="false">'Player Data'!Y685</f>
        <v>2026-07-17</v>
      </c>
      <c r="AE685" s="21" t="str">
        <f aca="false">'Player Data'!Z685</f>
        <v>2026-07-17</v>
      </c>
      <c r="AF685" s="28" t="str">
        <f aca="false">IFERROR(INDEX(Assumptions!$B$30:$B$61,MATCH(C685,Assumptions!$A$30:$A$61,0)),"--")</f>
        <v>Belgium, Portugal</v>
      </c>
      <c r="AG685" s="30" t="str">
        <f aca="false">IF(R685&gt;=0.7,"Step-Up Candidate",IF(R685&gt;=0.4,"Lateral Move","Stay &amp; Develop"))</f>
        <v>Lateral Move</v>
      </c>
    </row>
    <row r="686" customFormat="false" ht="23.85" hidden="false" customHeight="false" outlineLevel="0" collapsed="false">
      <c r="A686" s="21" t="str">
        <f aca="false">'Player Data'!A686</f>
        <v>Ha-joon Choi</v>
      </c>
      <c r="B686" s="21" t="str">
        <f aca="false">'Player Data'!F686</f>
        <v>FW</v>
      </c>
      <c r="C686" s="21" t="str">
        <f aca="false">'Player Data'!B686</f>
        <v>South Korea</v>
      </c>
      <c r="D686" s="21" t="str">
        <f aca="false">'Player Data'!C686</f>
        <v>South Korea Second Division</v>
      </c>
      <c r="E686" s="21" t="n">
        <f aca="false">'Player Data'!D686</f>
        <v>4</v>
      </c>
      <c r="F686" s="21" t="n">
        <f aca="false">'Player Data'!G686</f>
        <v>25</v>
      </c>
      <c r="G686" s="21" t="n">
        <f aca="false">'Player Data'!H686</f>
        <v>1678</v>
      </c>
      <c r="H686" s="22" t="n">
        <f aca="false">IF(B686="GK",IFERROR(('Player Data'!N686-1.5*'Player Data'!O686)/'Player Data'!H686*90,0),IFERROR(('Player Data'!I686+'Player Data'!J686)/'Player Data'!H686*90,0))</f>
        <v>1.5554231227652</v>
      </c>
      <c r="I686" s="22" t="n">
        <f aca="false">IF(B686="GK",'Player Data'!P686,IFERROR(('Player Data'!K686+'Player Data'!L686)/'Player Data'!H686*90,0))</f>
        <v>6.00715137067938</v>
      </c>
      <c r="J686" s="22" t="n">
        <f aca="false">IF(B686="GK",IFERROR('Player Data'!Q686/'Player Data'!H686*90,0),IFERROR('Player Data'!M686/'Player Data'!H686*90,0))</f>
        <v>0.589988081048868</v>
      </c>
      <c r="K686" s="23" t="n">
        <f aca="false">'Player Data'!S686</f>
        <v>56656</v>
      </c>
      <c r="L686" s="22" t="n">
        <f aca="false">INDEX(Assumptions!$B$13:$B$15,MATCH(E686,Assumptions!$A$13:$A$15,0))</f>
        <v>0.7</v>
      </c>
      <c r="M686" s="24" t="n">
        <f aca="false">IFERROR(SUMPRODUCT(($B$2:$B$1001=B686)*($H$2:$H$1001&lt;=H686))/SUMPRODUCT(($B$2:$B$1001=B686)*1),0)</f>
        <v>0.867256637168142</v>
      </c>
      <c r="N686" s="24" t="n">
        <f aca="false">IFERROR(SUMPRODUCT(($B$2:$B$1001=B686)*($I$2:$I$1001&lt;=I686))/SUMPRODUCT(($B$2:$B$1001=B686)*1),0)</f>
        <v>0.407079646017699</v>
      </c>
      <c r="O686" s="24" t="n">
        <f aca="false">IFERROR(SUMPRODUCT(($B$2:$B$1001=B686)*($J$2:$J$1001&lt;=J686))/SUMPRODUCT(($B$2:$B$1001=B686)*1),0)</f>
        <v>0.610619469026549</v>
      </c>
      <c r="P686" s="24" t="n">
        <f aca="false">IFERROR(SUMPRODUCT(($B$2:$B$1001=B686)*((0-$F$2:$F$1001)&lt;=(0-F686)))/SUMPRODUCT(($B$2:$B$1001=B686)*1),0)</f>
        <v>0.194690265486726</v>
      </c>
      <c r="Q686" s="25" t="n">
        <f aca="false">(M686*Assumptions!$B$5+N686*Assumptions!$B$6+O686*Assumptions!$B$7+P686*Assumptions!$B$8)*L686</f>
        <v>0.364247787610619</v>
      </c>
      <c r="R686" s="24" t="n">
        <f aca="false">IFERROR(SUMPRODUCT(($B$2:$B$1001=B686)*($Q$2:$Q$1001&lt;=Q686))/SUMPRODUCT(($B$2:$B$1001=B686)*1),0)</f>
        <v>0.371681415929204</v>
      </c>
      <c r="S686" s="24" t="n">
        <f aca="false">IFERROR(SUMPRODUCT(($B$2:$B$1001=B686)*($K$2:$K$1001&lt;=K686))/SUMPRODUCT(($B$2:$B$1001=B686)*1),0)</f>
        <v>0.486725663716814</v>
      </c>
      <c r="T686" s="26" t="n">
        <f aca="false">(R686-S686)*100</f>
        <v>-11.5044247787611</v>
      </c>
      <c r="U686" s="21" t="str">
        <f aca="false">'Player Data'!T686</f>
        <v>Unknown</v>
      </c>
      <c r="V686" s="27" t="n">
        <f aca="false">'Player Data'!U686</f>
        <v>2026</v>
      </c>
      <c r="W686" s="21" t="str">
        <f aca="false">IF(AND(T686&gt;=Assumptions!$B$19,U686="No"),"High Priority - Unrepresented",IF(T686&gt;=Assumptions!$B$19,"High Priority",IF(AND(T686&gt;=Assumptions!$B$20,U686="No"),"Watchlist - Unrepresented",IF(T686&gt;=Assumptions!$B$20,"Watchlist",""))))</f>
        <v/>
      </c>
      <c r="X686" s="21" t="str">
        <f aca="false">'Player Data'!V686</f>
        <v>info@busanrangers.kr</v>
      </c>
      <c r="Y686" s="28" t="str">
        <f aca="false">'Player Data'!W686</f>
        <v>Club sporting director / first-team office</v>
      </c>
      <c r="Z686" s="28" t="str">
        <f aca="false">'Player Data'!X686</f>
        <v>KFA (Korea Football Association) player registry</v>
      </c>
      <c r="AA686" s="19" t="str">
        <f aca="false">HYPERLINK("https://www.transfermarkt.com/schnellsuche/ergebnis/schnellsuche?query="&amp;SUBSTITUTE(A686," ","+"),"Search Transfermarkt")</f>
        <v>Search Transfermarkt</v>
      </c>
      <c r="AB686" s="29" t="n">
        <f aca="false">IFERROR('Player Data'!K686/('Player Data'!K686+'Player Data'!L686),0)</f>
        <v>0.366071428571429</v>
      </c>
      <c r="AC686" s="21" t="str">
        <f aca="false">IF(B686="GK",IF(AND(O686&gt;=Assumptions!$B$23,N686&gt;=Assumptions!$B$23),"Sweeper-Keeper / Build-from-the-Back",IF(O686&gt;=Assumptions!$B$23,"Sweeper-Keeper / High Line",IF(M686&gt;=Assumptions!$B$23,"Shot-Stopper / Traditional","Flexible / Multi-System"))),IF(AND(O686&gt;=Assumptions!$B$23,P686&gt;=Assumptions!$B$24),"High Press / Gegenpressing",IF(AND(N686&gt;=Assumptions!$B$23,AB686&gt;=Assumptions!$B$25),"Possession / Build-from-the-Back",IF(N686&gt;=Assumptions!$B$23,"Counter-Attack / Transition",IF(AND(O686&gt;=Assumptions!$B$23,N686&lt;Assumptions!$B$26),"Low Block / Park the Bus",IF(AND(B686="FW",M686&gt;=Assumptions!$B$23,N686&lt;Assumptions!$B$26),"Direct / Target Approach","Flexible / Multi-System"))))))</f>
        <v>Direct / Target Approach</v>
      </c>
      <c r="AD686" s="21" t="str">
        <f aca="false">'Player Data'!Y686</f>
        <v>2026-07-17</v>
      </c>
      <c r="AE686" s="21" t="str">
        <f aca="false">'Player Data'!Z686</f>
        <v>2026-07-17</v>
      </c>
      <c r="AF686" s="28" t="str">
        <f aca="false">IFERROR(INDEX(Assumptions!$B$30:$B$61,MATCH(C686,Assumptions!$A$30:$A$61,0)),"--")</f>
        <v>Belgium, Saudi Arabia</v>
      </c>
      <c r="AG686" s="30" t="str">
        <f aca="false">IF(R686&gt;=0.7,"Step-Up Candidate",IF(R686&gt;=0.4,"Lateral Move","Stay &amp; Develop"))</f>
        <v>Stay &amp; Develop</v>
      </c>
    </row>
    <row r="687" customFormat="false" ht="23.85" hidden="false" customHeight="false" outlineLevel="0" collapsed="false">
      <c r="A687" s="21" t="str">
        <f aca="false">'Player Data'!A687</f>
        <v>Ha-joon Kang</v>
      </c>
      <c r="B687" s="21" t="str">
        <f aca="false">'Player Data'!F687</f>
        <v>DF</v>
      </c>
      <c r="C687" s="21" t="str">
        <f aca="false">'Player Data'!B687</f>
        <v>South Korea</v>
      </c>
      <c r="D687" s="21" t="str">
        <f aca="false">'Player Data'!C687</f>
        <v>South Korea Provincial League</v>
      </c>
      <c r="E687" s="21" t="n">
        <f aca="false">'Player Data'!D687</f>
        <v>2</v>
      </c>
      <c r="F687" s="21" t="n">
        <f aca="false">'Player Data'!G687</f>
        <v>21</v>
      </c>
      <c r="G687" s="21" t="n">
        <f aca="false">'Player Data'!H687</f>
        <v>1460</v>
      </c>
      <c r="H687" s="22" t="n">
        <f aca="false">IF(B687="GK",IFERROR(('Player Data'!N687-1.5*'Player Data'!O687)/'Player Data'!H687*90,0),IFERROR(('Player Data'!I687+'Player Data'!J687)/'Player Data'!H687*90,0))</f>
        <v>0.123287671232877</v>
      </c>
      <c r="I687" s="22" t="n">
        <f aca="false">IF(B687="GK",'Player Data'!P687,IFERROR(('Player Data'!K687+'Player Data'!L687)/'Player Data'!H687*90,0))</f>
        <v>6.16438356164384</v>
      </c>
      <c r="J687" s="22" t="n">
        <f aca="false">IF(B687="GK",IFERROR('Player Data'!Q687/'Player Data'!H687*90,0),IFERROR('Player Data'!M687/'Player Data'!H687*90,0))</f>
        <v>6.1027397260274</v>
      </c>
      <c r="K687" s="23" t="n">
        <f aca="false">'Player Data'!S687</f>
        <v>30827</v>
      </c>
      <c r="L687" s="22" t="n">
        <f aca="false">INDEX(Assumptions!$B$13:$B$15,MATCH(E687,Assumptions!$A$13:$A$15,0))</f>
        <v>1</v>
      </c>
      <c r="M687" s="24" t="n">
        <f aca="false">IFERROR(SUMPRODUCT(($B$2:$B$1001=B687)*($H$2:$H$1001&lt;=H687))/SUMPRODUCT(($B$2:$B$1001=B687)*1),0)</f>
        <v>0.27891156462585</v>
      </c>
      <c r="N687" s="24" t="n">
        <f aca="false">IFERROR(SUMPRODUCT(($B$2:$B$1001=B687)*($I$2:$I$1001&lt;=I687))/SUMPRODUCT(($B$2:$B$1001=B687)*1),0)</f>
        <v>0.755102040816327</v>
      </c>
      <c r="O687" s="24" t="n">
        <f aca="false">IFERROR(SUMPRODUCT(($B$2:$B$1001=B687)*($J$2:$J$1001&lt;=J687))/SUMPRODUCT(($B$2:$B$1001=B687)*1),0)</f>
        <v>0.639455782312925</v>
      </c>
      <c r="P687" s="24" t="n">
        <f aca="false">IFERROR(SUMPRODUCT(($B$2:$B$1001=B687)*((0-$F$2:$F$1001)&lt;=(0-F687)))/SUMPRODUCT(($B$2:$B$1001=B687)*1),0)</f>
        <v>0.568027210884354</v>
      </c>
      <c r="Q687" s="25" t="n">
        <f aca="false">(M687*Assumptions!$B$5+N687*Assumptions!$B$6+O687*Assumptions!$B$7+P687*Assumptions!$B$8)*L687</f>
        <v>0.575510204081633</v>
      </c>
      <c r="R687" s="24" t="n">
        <f aca="false">IFERROR(SUMPRODUCT(($B$2:$B$1001=B687)*($Q$2:$Q$1001&lt;=Q687))/SUMPRODUCT(($B$2:$B$1001=B687)*1),0)</f>
        <v>0.714285714285714</v>
      </c>
      <c r="S687" s="24" t="n">
        <f aca="false">IFERROR(SUMPRODUCT(($B$2:$B$1001=B687)*($K$2:$K$1001&lt;=K687))/SUMPRODUCT(($B$2:$B$1001=B687)*1),0)</f>
        <v>0.370748299319728</v>
      </c>
      <c r="T687" s="26" t="n">
        <f aca="false">(R687-S687)*100</f>
        <v>34.3537414965986</v>
      </c>
      <c r="U687" s="21" t="str">
        <f aca="false">'Player Data'!T687</f>
        <v>Unknown</v>
      </c>
      <c r="V687" s="27" t="n">
        <f aca="false">'Player Data'!U687</f>
        <v>2029</v>
      </c>
      <c r="W687" s="21" t="str">
        <f aca="false">IF(AND(T687&gt;=Assumptions!$B$19,U687="No"),"High Priority - Unrepresented",IF(T687&gt;=Assumptions!$B$19,"High Priority",IF(AND(T687&gt;=Assumptions!$B$20,U687="No"),"Watchlist - Unrepresented",IF(T687&gt;=Assumptions!$B$20,"Watchlist",""))))</f>
        <v>Watchlist</v>
      </c>
      <c r="X687" s="21" t="str">
        <f aca="false">'Player Data'!V687</f>
        <v>info@incheonwanderers.kr</v>
      </c>
      <c r="Y687" s="28" t="str">
        <f aca="false">'Player Data'!W687</f>
        <v>Club sporting director / first-team office</v>
      </c>
      <c r="Z687" s="28" t="str">
        <f aca="false">'Player Data'!X687</f>
        <v>KFA (Korea Football Association) player registry</v>
      </c>
      <c r="AA687" s="19" t="str">
        <f aca="false">HYPERLINK("https://www.transfermarkt.com/schnellsuche/ergebnis/schnellsuche?query="&amp;SUBSTITUTE(A687," ","+"),"Search Transfermarkt")</f>
        <v>Search Transfermarkt</v>
      </c>
      <c r="AB687" s="29" t="n">
        <f aca="false">IFERROR('Player Data'!K687/('Player Data'!K687+'Player Data'!L687),0)</f>
        <v>0.6</v>
      </c>
      <c r="AC687" s="21" t="str">
        <f aca="false">IF(B687="GK",IF(AND(O687&gt;=Assumptions!$B$23,N687&gt;=Assumptions!$B$23),"Sweeper-Keeper / Build-from-the-Back",IF(O687&gt;=Assumptions!$B$23,"Sweeper-Keeper / High Line",IF(M687&gt;=Assumptions!$B$23,"Shot-Stopper / Traditional","Flexible / Multi-System"))),IF(AND(O687&gt;=Assumptions!$B$23,P687&gt;=Assumptions!$B$24),"High Press / Gegenpressing",IF(AND(N687&gt;=Assumptions!$B$23,AB687&gt;=Assumptions!$B$25),"Possession / Build-from-the-Back",IF(N687&gt;=Assumptions!$B$23,"Counter-Attack / Transition",IF(AND(O687&gt;=Assumptions!$B$23,N687&lt;Assumptions!$B$26),"Low Block / Park the Bus",IF(AND(B687="FW",M687&gt;=Assumptions!$B$23,N687&lt;Assumptions!$B$26),"Direct / Target Approach","Flexible / Multi-System"))))))</f>
        <v>Counter-Attack / Transition</v>
      </c>
      <c r="AD687" s="21" t="str">
        <f aca="false">'Player Data'!Y687</f>
        <v>2026-07-17</v>
      </c>
      <c r="AE687" s="21" t="str">
        <f aca="false">'Player Data'!Z687</f>
        <v>2026-07-17</v>
      </c>
      <c r="AF687" s="28" t="str">
        <f aca="false">IFERROR(INDEX(Assumptions!$B$30:$B$61,MATCH(C687,Assumptions!$A$30:$A$61,0)),"--")</f>
        <v>Belgium, Saudi Arabia</v>
      </c>
      <c r="AG687" s="30" t="str">
        <f aca="false">IF(R687&gt;=0.7,"Step-Up Candidate",IF(R687&gt;=0.4,"Lateral Move","Stay &amp; Develop"))</f>
        <v>Step-Up Candidate</v>
      </c>
    </row>
    <row r="688" customFormat="false" ht="23.85" hidden="false" customHeight="false" outlineLevel="0" collapsed="false">
      <c r="A688" s="21" t="str">
        <f aca="false">'Player Data'!A688</f>
        <v>Emmanuel Owusu</v>
      </c>
      <c r="B688" s="21" t="str">
        <f aca="false">'Player Data'!F688</f>
        <v>DF</v>
      </c>
      <c r="C688" s="21" t="str">
        <f aca="false">'Player Data'!B688</f>
        <v>Ghana</v>
      </c>
      <c r="D688" s="21" t="str">
        <f aca="false">'Player Data'!C688</f>
        <v>Ghana Second Division - East</v>
      </c>
      <c r="E688" s="21" t="n">
        <f aca="false">'Player Data'!D688</f>
        <v>3</v>
      </c>
      <c r="F688" s="21" t="n">
        <f aca="false">'Player Data'!G688</f>
        <v>18</v>
      </c>
      <c r="G688" s="21" t="n">
        <f aca="false">'Player Data'!H688</f>
        <v>2034</v>
      </c>
      <c r="H688" s="22" t="n">
        <f aca="false">IF(B688="GK",IFERROR(('Player Data'!N688-1.5*'Player Data'!O688)/'Player Data'!H688*90,0),IFERROR(('Player Data'!I688+'Player Data'!J688)/'Player Data'!H688*90,0))</f>
        <v>0.0884955752212389</v>
      </c>
      <c r="I688" s="22" t="n">
        <f aca="false">IF(B688="GK",'Player Data'!P688,IFERROR(('Player Data'!K688+'Player Data'!L688)/'Player Data'!H688*90,0))</f>
        <v>4.33628318584071</v>
      </c>
      <c r="J688" s="22" t="n">
        <f aca="false">IF(B688="GK",IFERROR('Player Data'!Q688/'Player Data'!H688*90,0),IFERROR('Player Data'!M688/'Player Data'!H688*90,0))</f>
        <v>3.6283185840708</v>
      </c>
      <c r="K688" s="23" t="n">
        <f aca="false">'Player Data'!S688</f>
        <v>88635</v>
      </c>
      <c r="L688" s="22" t="n">
        <f aca="false">INDEX(Assumptions!$B$13:$B$15,MATCH(E688,Assumptions!$A$13:$A$15,0))</f>
        <v>0.85</v>
      </c>
      <c r="M688" s="24" t="n">
        <f aca="false">IFERROR(SUMPRODUCT(($B$2:$B$1001=B688)*($H$2:$H$1001&lt;=H688))/SUMPRODUCT(($B$2:$B$1001=B688)*1),0)</f>
        <v>0.153061224489796</v>
      </c>
      <c r="N688" s="24" t="n">
        <f aca="false">IFERROR(SUMPRODUCT(($B$2:$B$1001=B688)*($I$2:$I$1001&lt;=I688))/SUMPRODUCT(($B$2:$B$1001=B688)*1),0)</f>
        <v>0.465986394557823</v>
      </c>
      <c r="O688" s="24" t="n">
        <f aca="false">IFERROR(SUMPRODUCT(($B$2:$B$1001=B688)*($J$2:$J$1001&lt;=J688))/SUMPRODUCT(($B$2:$B$1001=B688)*1),0)</f>
        <v>0.139455782312925</v>
      </c>
      <c r="P688" s="24" t="n">
        <f aca="false">IFERROR(SUMPRODUCT(($B$2:$B$1001=B688)*((0-$F$2:$F$1001)&lt;=(0-F688)))/SUMPRODUCT(($B$2:$B$1001=B688)*1),0)</f>
        <v>0.863945578231293</v>
      </c>
      <c r="Q688" s="25" t="n">
        <f aca="false">(M688*Assumptions!$B$5+N688*Assumptions!$B$6+O688*Assumptions!$B$7+P688*Assumptions!$B$8)*L688</f>
        <v>0.341734693877551</v>
      </c>
      <c r="R688" s="24" t="n">
        <f aca="false">IFERROR(SUMPRODUCT(($B$2:$B$1001=B688)*($Q$2:$Q$1001&lt;=Q688))/SUMPRODUCT(($B$2:$B$1001=B688)*1),0)</f>
        <v>0.329931972789116</v>
      </c>
      <c r="S688" s="24" t="n">
        <f aca="false">IFERROR(SUMPRODUCT(($B$2:$B$1001=B688)*($K$2:$K$1001&lt;=K688))/SUMPRODUCT(($B$2:$B$1001=B688)*1),0)</f>
        <v>0.663265306122449</v>
      </c>
      <c r="T688" s="26" t="n">
        <f aca="false">(R688-S688)*100</f>
        <v>-33.3333333333333</v>
      </c>
      <c r="U688" s="21" t="str">
        <f aca="false">'Player Data'!T688</f>
        <v>No</v>
      </c>
      <c r="V688" s="27" t="n">
        <f aca="false">'Player Data'!U688</f>
        <v>2029</v>
      </c>
      <c r="W688" s="21" t="str">
        <f aca="false">IF(AND(T688&gt;=Assumptions!$B$19,U688="No"),"High Priority - Unrepresented",IF(T688&gt;=Assumptions!$B$19,"High Priority",IF(AND(T688&gt;=Assumptions!$B$20,U688="No"),"Watchlist - Unrepresented",IF(T688&gt;=Assumptions!$B$20,"Watchlist",""))))</f>
        <v/>
      </c>
      <c r="X688" s="21" t="str">
        <f aca="false">'Player Data'!V688</f>
        <v>info@tamalerangers.gh</v>
      </c>
      <c r="Y688" s="28" t="str">
        <f aca="false">'Player Data'!W688</f>
        <v>Club sporting director / first-team office</v>
      </c>
      <c r="Z688" s="28" t="str">
        <f aca="false">'Player Data'!X688</f>
        <v>GFA (Ghana Football Association) player registry</v>
      </c>
      <c r="AA688" s="19" t="str">
        <f aca="false">HYPERLINK("https://www.transfermarkt.com/schnellsuche/ergebnis/schnellsuche?query="&amp;SUBSTITUTE(A688," ","+"),"Search Transfermarkt")</f>
        <v>Search Transfermarkt</v>
      </c>
      <c r="AB688" s="29" t="n">
        <f aca="false">IFERROR('Player Data'!K688/('Player Data'!K688+'Player Data'!L688),0)</f>
        <v>0.540816326530612</v>
      </c>
      <c r="AC688" s="21" t="str">
        <f aca="false">IF(B688="GK",IF(AND(O688&gt;=Assumptions!$B$23,N688&gt;=Assumptions!$B$23),"Sweeper-Keeper / Build-from-the-Back",IF(O688&gt;=Assumptions!$B$23,"Sweeper-Keeper / High Line",IF(M688&gt;=Assumptions!$B$23,"Shot-Stopper / Traditional","Flexible / Multi-System"))),IF(AND(O688&gt;=Assumptions!$B$23,P688&gt;=Assumptions!$B$24),"High Press / Gegenpressing",IF(AND(N688&gt;=Assumptions!$B$23,AB688&gt;=Assumptions!$B$25),"Possession / Build-from-the-Back",IF(N688&gt;=Assumptions!$B$23,"Counter-Attack / Transition",IF(AND(O688&gt;=Assumptions!$B$23,N688&lt;Assumptions!$B$26),"Low Block / Park the Bus",IF(AND(B688="FW",M688&gt;=Assumptions!$B$23,N688&lt;Assumptions!$B$26),"Direct / Target Approach","Flexible / Multi-System"))))))</f>
        <v>Flexible / Multi-System</v>
      </c>
      <c r="AD688" s="21" t="str">
        <f aca="false">'Player Data'!Y688</f>
        <v>2026-07-17</v>
      </c>
      <c r="AE688" s="21" t="str">
        <f aca="false">'Player Data'!Z688</f>
        <v>2026-07-17</v>
      </c>
      <c r="AF688" s="28" t="str">
        <f aca="false">IFERROR(INDEX(Assumptions!$B$30:$B$61,MATCH(C688,Assumptions!$A$30:$A$61,0)),"--")</f>
        <v>Belgium, Portugal</v>
      </c>
      <c r="AG688" s="30" t="str">
        <f aca="false">IF(R688&gt;=0.7,"Step-Up Candidate",IF(R688&gt;=0.4,"Lateral Move","Stay &amp; Develop"))</f>
        <v>Stay &amp; Develop</v>
      </c>
    </row>
    <row r="689" customFormat="false" ht="23.85" hidden="false" customHeight="false" outlineLevel="0" collapsed="false">
      <c r="A689" s="21" t="str">
        <f aca="false">'Player Data'!A689</f>
        <v>Junior Rondon</v>
      </c>
      <c r="B689" s="21" t="str">
        <f aca="false">'Player Data'!F689</f>
        <v>MF</v>
      </c>
      <c r="C689" s="21" t="str">
        <f aca="false">'Player Data'!B689</f>
        <v>Venezuela</v>
      </c>
      <c r="D689" s="21" t="str">
        <f aca="false">'Player Data'!C689</f>
        <v>Venezuela Second Division</v>
      </c>
      <c r="E689" s="21" t="n">
        <f aca="false">'Player Data'!D689</f>
        <v>4</v>
      </c>
      <c r="F689" s="21" t="n">
        <f aca="false">'Player Data'!G689</f>
        <v>22</v>
      </c>
      <c r="G689" s="21" t="n">
        <f aca="false">'Player Data'!H689</f>
        <v>849</v>
      </c>
      <c r="H689" s="22" t="n">
        <f aca="false">IF(B689="GK",IFERROR(('Player Data'!N689-1.5*'Player Data'!O689)/'Player Data'!H689*90,0),IFERROR(('Player Data'!I689+'Player Data'!J689)/'Player Data'!H689*90,0))</f>
        <v>1.06007067137809</v>
      </c>
      <c r="I689" s="22" t="n">
        <f aca="false">IF(B689="GK",'Player Data'!P689,IFERROR(('Player Data'!K689+'Player Data'!L689)/'Player Data'!H689*90,0))</f>
        <v>23.4275618374558</v>
      </c>
      <c r="J689" s="22" t="n">
        <f aca="false">IF(B689="GK",IFERROR('Player Data'!Q689/'Player Data'!H689*90,0),IFERROR('Player Data'!M689/'Player Data'!H689*90,0))</f>
        <v>3.39222614840989</v>
      </c>
      <c r="K689" s="23" t="n">
        <f aca="false">'Player Data'!S689</f>
        <v>0</v>
      </c>
      <c r="L689" s="22" t="n">
        <f aca="false">INDEX(Assumptions!$B$13:$B$15,MATCH(E689,Assumptions!$A$13:$A$15,0))</f>
        <v>0.7</v>
      </c>
      <c r="M689" s="24" t="n">
        <f aca="false">IFERROR(SUMPRODUCT(($B$2:$B$1001=B689)*($H$2:$H$1001&lt;=H689))/SUMPRODUCT(($B$2:$B$1001=B689)*1),0)</f>
        <v>0.808080808080808</v>
      </c>
      <c r="N689" s="24" t="n">
        <f aca="false">IFERROR(SUMPRODUCT(($B$2:$B$1001=B689)*($I$2:$I$1001&lt;=I689))/SUMPRODUCT(($B$2:$B$1001=B689)*1),0)</f>
        <v>0.966329966329966</v>
      </c>
      <c r="O689" s="24" t="n">
        <f aca="false">IFERROR(SUMPRODUCT(($B$2:$B$1001=B689)*($J$2:$J$1001&lt;=J689))/SUMPRODUCT(($B$2:$B$1001=B689)*1),0)</f>
        <v>0.831649831649832</v>
      </c>
      <c r="P689" s="24" t="n">
        <f aca="false">IFERROR(SUMPRODUCT(($B$2:$B$1001=B689)*((0-$F$2:$F$1001)&lt;=(0-F689)))/SUMPRODUCT(($B$2:$B$1001=B689)*1),0)</f>
        <v>0.515151515151515</v>
      </c>
      <c r="Q689" s="25" t="n">
        <f aca="false">(M689*Assumptions!$B$5+N689*Assumptions!$B$6+O689*Assumptions!$B$7+P689*Assumptions!$B$8)*L689</f>
        <v>0.566717171717172</v>
      </c>
      <c r="R689" s="24" t="n">
        <f aca="false">IFERROR(SUMPRODUCT(($B$2:$B$1001=B689)*($Q$2:$Q$1001&lt;=Q689))/SUMPRODUCT(($B$2:$B$1001=B689)*1),0)</f>
        <v>0.720538720538721</v>
      </c>
      <c r="S689" s="24" t="n">
        <f aca="false">IFERROR(SUMPRODUCT(($B$2:$B$1001=B689)*($K$2:$K$1001&lt;=K689))/SUMPRODUCT(($B$2:$B$1001=B689)*1),0)</f>
        <v>0.228956228956229</v>
      </c>
      <c r="T689" s="26" t="n">
        <f aca="false">(R689-S689)*100</f>
        <v>49.1582491582492</v>
      </c>
      <c r="U689" s="21" t="str">
        <f aca="false">'Player Data'!T689</f>
        <v>Unknown</v>
      </c>
      <c r="V689" s="27" t="n">
        <f aca="false">'Player Data'!U689</f>
        <v>2026</v>
      </c>
      <c r="W689" s="21" t="str">
        <f aca="false">IF(AND(T689&gt;=Assumptions!$B$19,U689="No"),"High Priority - Unrepresented",IF(T689&gt;=Assumptions!$B$19,"High Priority",IF(AND(T689&gt;=Assumptions!$B$20,U689="No"),"Watchlist - Unrepresented",IF(T689&gt;=Assumptions!$B$20,"Watchlist",""))))</f>
        <v>High Priority</v>
      </c>
      <c r="X689" s="21" t="str">
        <f aca="false">'Player Data'!V689</f>
        <v>info@caracaswanderers.ve</v>
      </c>
      <c r="Y689" s="28" t="str">
        <f aca="false">'Player Data'!W689</f>
        <v>Club sporting director / first-team office</v>
      </c>
      <c r="Z689" s="28" t="str">
        <f aca="false">'Player Data'!X689</f>
        <v>FVF (Venezuelan Football Federation) player registry</v>
      </c>
      <c r="AA689" s="19" t="str">
        <f aca="false">HYPERLINK("https://www.transfermarkt.com/schnellsuche/ergebnis/schnellsuche?query="&amp;SUBSTITUTE(A689," ","+"),"Search Transfermarkt")</f>
        <v>Search Transfermarkt</v>
      </c>
      <c r="AB689" s="29" t="n">
        <f aca="false">IFERROR('Player Data'!K689/('Player Data'!K689+'Player Data'!L689),0)</f>
        <v>0.69683257918552</v>
      </c>
      <c r="AC689" s="21" t="str">
        <f aca="false">IF(B689="GK",IF(AND(O689&gt;=Assumptions!$B$23,N689&gt;=Assumptions!$B$23),"Sweeper-Keeper / Build-from-the-Back",IF(O689&gt;=Assumptions!$B$23,"Sweeper-Keeper / High Line",IF(M689&gt;=Assumptions!$B$23,"Shot-Stopper / Traditional","Flexible / Multi-System"))),IF(AND(O689&gt;=Assumptions!$B$23,P689&gt;=Assumptions!$B$24),"High Press / Gegenpressing",IF(AND(N689&gt;=Assumptions!$B$23,AB689&gt;=Assumptions!$B$25),"Possession / Build-from-the-Back",IF(N689&gt;=Assumptions!$B$23,"Counter-Attack / Transition",IF(AND(O689&gt;=Assumptions!$B$23,N689&lt;Assumptions!$B$26),"Low Block / Park the Bus",IF(AND(B689="FW",M689&gt;=Assumptions!$B$23,N689&lt;Assumptions!$B$26),"Direct / Target Approach","Flexible / Multi-System"))))))</f>
        <v>Possession / Build-from-the-Back</v>
      </c>
      <c r="AD689" s="21" t="str">
        <f aca="false">'Player Data'!Y689</f>
        <v>2026-07-17</v>
      </c>
      <c r="AE689" s="21" t="str">
        <f aca="false">'Player Data'!Z689</f>
        <v>2026-07-17</v>
      </c>
      <c r="AF689" s="28" t="str">
        <f aca="false">IFERROR(INDEX(Assumptions!$B$30:$B$61,MATCH(C689,Assumptions!$A$30:$A$61,0)),"--")</f>
        <v>Argentina, Portugal</v>
      </c>
      <c r="AG689" s="30" t="str">
        <f aca="false">IF(R689&gt;=0.7,"Step-Up Candidate",IF(R689&gt;=0.4,"Lateral Move","Stay &amp; Develop"))</f>
        <v>Step-Up Candidate</v>
      </c>
    </row>
    <row r="690" customFormat="false" ht="23.85" hidden="false" customHeight="false" outlineLevel="0" collapsed="false">
      <c r="A690" s="21" t="str">
        <f aca="false">'Player Data'!A690</f>
        <v>Kristers Ozols 52</v>
      </c>
      <c r="B690" s="21" t="str">
        <f aca="false">'Player Data'!F690</f>
        <v>DF</v>
      </c>
      <c r="C690" s="21" t="str">
        <f aca="false">'Player Data'!B690</f>
        <v>Latvia</v>
      </c>
      <c r="D690" s="21" t="str">
        <f aca="false">'Player Data'!C690</f>
        <v>Latvia Second Division - East</v>
      </c>
      <c r="E690" s="21" t="n">
        <f aca="false">'Player Data'!D690</f>
        <v>4</v>
      </c>
      <c r="F690" s="21" t="n">
        <f aca="false">'Player Data'!G690</f>
        <v>19</v>
      </c>
      <c r="G690" s="21" t="n">
        <f aca="false">'Player Data'!H690</f>
        <v>2651</v>
      </c>
      <c r="H690" s="22" t="n">
        <f aca="false">IF(B690="GK",IFERROR(('Player Data'!N690-1.5*'Player Data'!O690)/'Player Data'!H690*90,0),IFERROR(('Player Data'!I690+'Player Data'!J690)/'Player Data'!H690*90,0))</f>
        <v>0.10184835910977</v>
      </c>
      <c r="I690" s="22" t="n">
        <f aca="false">IF(B690="GK",'Player Data'!P690,IFERROR(('Player Data'!K690+'Player Data'!L690)/'Player Data'!H690*90,0))</f>
        <v>2.54620897774425</v>
      </c>
      <c r="J690" s="22" t="n">
        <f aca="false">IF(B690="GK",IFERROR('Player Data'!Q690/'Player Data'!H690*90,0),IFERROR('Player Data'!M690/'Player Data'!H690*90,0))</f>
        <v>2.61410788381743</v>
      </c>
      <c r="K690" s="23" t="n">
        <f aca="false">'Player Data'!S690</f>
        <v>0</v>
      </c>
      <c r="L690" s="22" t="n">
        <f aca="false">INDEX(Assumptions!$B$13:$B$15,MATCH(E690,Assumptions!$A$13:$A$15,0))</f>
        <v>0.7</v>
      </c>
      <c r="M690" s="24" t="n">
        <f aca="false">IFERROR(SUMPRODUCT(($B$2:$B$1001=B690)*($H$2:$H$1001&lt;=H690))/SUMPRODUCT(($B$2:$B$1001=B690)*1),0)</f>
        <v>0.180272108843537</v>
      </c>
      <c r="N690" s="24" t="n">
        <f aca="false">IFERROR(SUMPRODUCT(($B$2:$B$1001=B690)*($I$2:$I$1001&lt;=I690))/SUMPRODUCT(($B$2:$B$1001=B690)*1),0)</f>
        <v>0.0204081632653061</v>
      </c>
      <c r="O690" s="24" t="n">
        <f aca="false">IFERROR(SUMPRODUCT(($B$2:$B$1001=B690)*($J$2:$J$1001&lt;=J690))/SUMPRODUCT(($B$2:$B$1001=B690)*1),0)</f>
        <v>0.00680272108843537</v>
      </c>
      <c r="P690" s="24" t="n">
        <f aca="false">IFERROR(SUMPRODUCT(($B$2:$B$1001=B690)*((0-$F$2:$F$1001)&lt;=(0-F690)))/SUMPRODUCT(($B$2:$B$1001=B690)*1),0)</f>
        <v>0.738095238095238</v>
      </c>
      <c r="Q690" s="25" t="n">
        <f aca="false">(M690*Assumptions!$B$5+N690*Assumptions!$B$6+O690*Assumptions!$B$7+P690*Assumptions!$B$8)*L690</f>
        <v>0.140833333333333</v>
      </c>
      <c r="R690" s="24" t="n">
        <f aca="false">IFERROR(SUMPRODUCT(($B$2:$B$1001=B690)*($Q$2:$Q$1001&lt;=Q690))/SUMPRODUCT(($B$2:$B$1001=B690)*1),0)</f>
        <v>0.0306122448979592</v>
      </c>
      <c r="S690" s="24" t="n">
        <f aca="false">IFERROR(SUMPRODUCT(($B$2:$B$1001=B690)*($K$2:$K$1001&lt;=K690))/SUMPRODUCT(($B$2:$B$1001=B690)*1),0)</f>
        <v>0.248299319727891</v>
      </c>
      <c r="T690" s="26" t="n">
        <f aca="false">(R690-S690)*100</f>
        <v>-21.7687074829932</v>
      </c>
      <c r="U690" s="21" t="str">
        <f aca="false">'Player Data'!T690</f>
        <v>No</v>
      </c>
      <c r="V690" s="27" t="n">
        <f aca="false">'Player Data'!U690</f>
        <v>2029</v>
      </c>
      <c r="W690" s="21" t="str">
        <f aca="false">IF(AND(T690&gt;=Assumptions!$B$19,U690="No"),"High Priority - Unrepresented",IF(T690&gt;=Assumptions!$B$19,"High Priority",IF(AND(T690&gt;=Assumptions!$B$20,U690="No"),"Watchlist - Unrepresented",IF(T690&gt;=Assumptions!$B$20,"Watchlist",""))))</f>
        <v/>
      </c>
      <c r="X690" s="21" t="str">
        <f aca="false">'Player Data'!V690</f>
        <v>info@liepajacity.lv</v>
      </c>
      <c r="Y690" s="28" t="str">
        <f aca="false">'Player Data'!W690</f>
        <v>Club sporting director / first-team office</v>
      </c>
      <c r="Z690" s="28" t="str">
        <f aca="false">'Player Data'!X690</f>
        <v>LFF (Latvian Football Federation) player registry</v>
      </c>
      <c r="AA690" s="19" t="str">
        <f aca="false">HYPERLINK("https://www.transfermarkt.com/schnellsuche/ergebnis/schnellsuche?query="&amp;SUBSTITUTE(A690," ","+"),"Search Transfermarkt")</f>
        <v>Search Transfermarkt</v>
      </c>
      <c r="AB690" s="29" t="n">
        <f aca="false">IFERROR('Player Data'!K690/('Player Data'!K690+'Player Data'!L690),0)</f>
        <v>0.693333333333333</v>
      </c>
      <c r="AC690" s="21" t="str">
        <f aca="false">IF(B690="GK",IF(AND(O690&gt;=Assumptions!$B$23,N690&gt;=Assumptions!$B$23),"Sweeper-Keeper / Build-from-the-Back",IF(O690&gt;=Assumptions!$B$23,"Sweeper-Keeper / High Line",IF(M690&gt;=Assumptions!$B$23,"Shot-Stopper / Traditional","Flexible / Multi-System"))),IF(AND(O690&gt;=Assumptions!$B$23,P690&gt;=Assumptions!$B$24),"High Press / Gegenpressing",IF(AND(N690&gt;=Assumptions!$B$23,AB690&gt;=Assumptions!$B$25),"Possession / Build-from-the-Back",IF(N690&gt;=Assumptions!$B$23,"Counter-Attack / Transition",IF(AND(O690&gt;=Assumptions!$B$23,N690&lt;Assumptions!$B$26),"Low Block / Park the Bus",IF(AND(B690="FW",M690&gt;=Assumptions!$B$23,N690&lt;Assumptions!$B$26),"Direct / Target Approach","Flexible / Multi-System"))))))</f>
        <v>Flexible / Multi-System</v>
      </c>
      <c r="AD690" s="21" t="str">
        <f aca="false">'Player Data'!Y690</f>
        <v>2026-07-17</v>
      </c>
      <c r="AE690" s="21" t="str">
        <f aca="false">'Player Data'!Z690</f>
        <v>2026-07-17</v>
      </c>
      <c r="AF690" s="28" t="str">
        <f aca="false">IFERROR(INDEX(Assumptions!$B$30:$B$61,MATCH(C690,Assumptions!$A$30:$A$61,0)),"--")</f>
        <v>Poland, Norway</v>
      </c>
      <c r="AG690" s="30" t="str">
        <f aca="false">IF(R690&gt;=0.7,"Step-Up Candidate",IF(R690&gt;=0.4,"Lateral Move","Stay &amp; Develop"))</f>
        <v>Stay &amp; Develop</v>
      </c>
    </row>
    <row r="691" customFormat="false" ht="23.85" hidden="false" customHeight="false" outlineLevel="0" collapsed="false">
      <c r="A691" s="21" t="str">
        <f aca="false">'Player Data'!A691</f>
        <v>Ante Kovacevic</v>
      </c>
      <c r="B691" s="21" t="str">
        <f aca="false">'Player Data'!F691</f>
        <v>FW</v>
      </c>
      <c r="C691" s="21" t="str">
        <f aca="false">'Player Data'!B691</f>
        <v>Croatia</v>
      </c>
      <c r="D691" s="21" t="str">
        <f aca="false">'Player Data'!C691</f>
        <v>Croatia Third Tier - South</v>
      </c>
      <c r="E691" s="21" t="n">
        <f aca="false">'Player Data'!D691</f>
        <v>4</v>
      </c>
      <c r="F691" s="21" t="n">
        <f aca="false">'Player Data'!G691</f>
        <v>17</v>
      </c>
      <c r="G691" s="21" t="n">
        <f aca="false">'Player Data'!H691</f>
        <v>1347</v>
      </c>
      <c r="H691" s="22" t="n">
        <f aca="false">IF(B691="GK",IFERROR(('Player Data'!N691-1.5*'Player Data'!O691)/'Player Data'!H691*90,0),IFERROR(('Player Data'!I691+'Player Data'!J691)/'Player Data'!H691*90,0))</f>
        <v>1.0022271714922</v>
      </c>
      <c r="I691" s="22" t="n">
        <f aca="false">IF(B691="GK",'Player Data'!P691,IFERROR(('Player Data'!K691+'Player Data'!L691)/'Player Data'!H691*90,0))</f>
        <v>7.01559020044544</v>
      </c>
      <c r="J691" s="22" t="n">
        <f aca="false">IF(B691="GK",IFERROR('Player Data'!Q691/'Player Data'!H691*90,0),IFERROR('Player Data'!M691/'Player Data'!H691*90,0))</f>
        <v>0.467706013363029</v>
      </c>
      <c r="K691" s="23" t="n">
        <f aca="false">'Player Data'!S691</f>
        <v>91482</v>
      </c>
      <c r="L691" s="22" t="n">
        <f aca="false">INDEX(Assumptions!$B$13:$B$15,MATCH(E691,Assumptions!$A$13:$A$15,0))</f>
        <v>0.7</v>
      </c>
      <c r="M691" s="24" t="n">
        <f aca="false">IFERROR(SUMPRODUCT(($B$2:$B$1001=B691)*($H$2:$H$1001&lt;=H691))/SUMPRODUCT(($B$2:$B$1001=B691)*1),0)</f>
        <v>0.530973451327434</v>
      </c>
      <c r="N691" s="24" t="n">
        <f aca="false">IFERROR(SUMPRODUCT(($B$2:$B$1001=B691)*($I$2:$I$1001&lt;=I691))/SUMPRODUCT(($B$2:$B$1001=B691)*1),0)</f>
        <v>0.579646017699115</v>
      </c>
      <c r="O691" s="24" t="n">
        <f aca="false">IFERROR(SUMPRODUCT(($B$2:$B$1001=B691)*($J$2:$J$1001&lt;=J691))/SUMPRODUCT(($B$2:$B$1001=B691)*1),0)</f>
        <v>0.451327433628319</v>
      </c>
      <c r="P691" s="24" t="n">
        <f aca="false">IFERROR(SUMPRODUCT(($B$2:$B$1001=B691)*((0-$F$2:$F$1001)&lt;=(0-F691)))/SUMPRODUCT(($B$2:$B$1001=B691)*1),0)</f>
        <v>1</v>
      </c>
      <c r="Q691" s="25" t="n">
        <f aca="false">(M691*Assumptions!$B$5+N691*Assumptions!$B$6+O691*Assumptions!$B$7+P691*Assumptions!$B$8)*L691</f>
        <v>0.438119469026549</v>
      </c>
      <c r="R691" s="24" t="n">
        <f aca="false">IFERROR(SUMPRODUCT(($B$2:$B$1001=B691)*($Q$2:$Q$1001&lt;=Q691))/SUMPRODUCT(($B$2:$B$1001=B691)*1),0)</f>
        <v>0.491150442477876</v>
      </c>
      <c r="S691" s="24" t="n">
        <f aca="false">IFERROR(SUMPRODUCT(($B$2:$B$1001=B691)*($K$2:$K$1001&lt;=K691))/SUMPRODUCT(($B$2:$B$1001=B691)*1),0)</f>
        <v>0.65929203539823</v>
      </c>
      <c r="T691" s="26" t="n">
        <f aca="false">(R691-S691)*100</f>
        <v>-16.8141592920354</v>
      </c>
      <c r="U691" s="21" t="str">
        <f aca="false">'Player Data'!T691</f>
        <v>No</v>
      </c>
      <c r="V691" s="27" t="n">
        <f aca="false">'Player Data'!U691</f>
        <v>2028</v>
      </c>
      <c r="W691" s="21" t="str">
        <f aca="false">IF(AND(T691&gt;=Assumptions!$B$19,U691="No"),"High Priority - Unrepresented",IF(T691&gt;=Assumptions!$B$19,"High Priority",IF(AND(T691&gt;=Assumptions!$B$20,U691="No"),"Watchlist - Unrepresented",IF(T691&gt;=Assumptions!$B$20,"Watchlist",""))))</f>
        <v/>
      </c>
      <c r="X691" s="21" t="str">
        <f aca="false">'Player Data'!V691</f>
        <v>info@beliscefc.hr</v>
      </c>
      <c r="Y691" s="28" t="str">
        <f aca="false">'Player Data'!W691</f>
        <v>Club youth/academy office ONLY - player is a minor, do not contact directly</v>
      </c>
      <c r="Z691" s="28" t="str">
        <f aca="false">'Player Data'!X691</f>
        <v>HNS (Croatian Football Federation) player registry</v>
      </c>
      <c r="AA691" s="19" t="str">
        <f aca="false">HYPERLINK("https://www.transfermarkt.com/schnellsuche/ergebnis/schnellsuche?query="&amp;SUBSTITUTE(A691," ","+"),"Search Transfermarkt")</f>
        <v>Search Transfermarkt</v>
      </c>
      <c r="AB691" s="29" t="n">
        <f aca="false">IFERROR('Player Data'!K691/('Player Data'!K691+'Player Data'!L691),0)</f>
        <v>0.342857142857143</v>
      </c>
      <c r="AC691" s="21" t="str">
        <f aca="false">IF(B691="GK",IF(AND(O691&gt;=Assumptions!$B$23,N691&gt;=Assumptions!$B$23),"Sweeper-Keeper / Build-from-the-Back",IF(O691&gt;=Assumptions!$B$23,"Sweeper-Keeper / High Line",IF(M691&gt;=Assumptions!$B$23,"Shot-Stopper / Traditional","Flexible / Multi-System"))),IF(AND(O691&gt;=Assumptions!$B$23,P691&gt;=Assumptions!$B$24),"High Press / Gegenpressing",IF(AND(N691&gt;=Assumptions!$B$23,AB691&gt;=Assumptions!$B$25),"Possession / Build-from-the-Back",IF(N691&gt;=Assumptions!$B$23,"Counter-Attack / Transition",IF(AND(O691&gt;=Assumptions!$B$23,N691&lt;Assumptions!$B$26),"Low Block / Park the Bus",IF(AND(B691="FW",M691&gt;=Assumptions!$B$23,N691&lt;Assumptions!$B$26),"Direct / Target Approach","Flexible / Multi-System"))))))</f>
        <v>Flexible / Multi-System</v>
      </c>
      <c r="AD691" s="21" t="str">
        <f aca="false">'Player Data'!Y691</f>
        <v>2026-07-17</v>
      </c>
      <c r="AE691" s="21" t="str">
        <f aca="false">'Player Data'!Z691</f>
        <v>2026-07-17</v>
      </c>
      <c r="AF691" s="28" t="str">
        <f aca="false">IFERROR(INDEX(Assumptions!$B$30:$B$61,MATCH(C691,Assumptions!$A$30:$A$61,0)),"--")</f>
        <v>Austria, Turkey</v>
      </c>
      <c r="AG691" s="30" t="str">
        <f aca="false">IF(R691&gt;=0.7,"Step-Up Candidate",IF(R691&gt;=0.4,"Lateral Move","Stay &amp; Develop"))</f>
        <v>Lateral Move</v>
      </c>
    </row>
    <row r="692" customFormat="false" ht="23.85" hidden="false" customHeight="false" outlineLevel="0" collapsed="false">
      <c r="A692" s="21" t="str">
        <f aca="false">'Player Data'!A692</f>
        <v>Gonzalo Rodriguez</v>
      </c>
      <c r="B692" s="21" t="str">
        <f aca="false">'Player Data'!F692</f>
        <v>MF</v>
      </c>
      <c r="C692" s="21" t="str">
        <f aca="false">'Player Data'!B692</f>
        <v>Bolivia</v>
      </c>
      <c r="D692" s="21" t="str">
        <f aca="false">'Player Data'!C692</f>
        <v>Bolivia Second Division - West</v>
      </c>
      <c r="E692" s="21" t="n">
        <f aca="false">'Player Data'!D692</f>
        <v>2</v>
      </c>
      <c r="F692" s="21" t="n">
        <f aca="false">'Player Data'!G692</f>
        <v>19</v>
      </c>
      <c r="G692" s="21" t="n">
        <f aca="false">'Player Data'!H692</f>
        <v>1693</v>
      </c>
      <c r="H692" s="22" t="n">
        <f aca="false">IF(B692="GK",IFERROR(('Player Data'!N692-1.5*'Player Data'!O692)/'Player Data'!H692*90,0),IFERROR(('Player Data'!I692+'Player Data'!J692)/'Player Data'!H692*90,0))</f>
        <v>0.265800354400473</v>
      </c>
      <c r="I692" s="22" t="n">
        <f aca="false">IF(B692="GK",'Player Data'!P692,IFERROR(('Player Data'!K692+'Player Data'!L692)/'Player Data'!H692*90,0))</f>
        <v>9.51565268753692</v>
      </c>
      <c r="J692" s="22" t="n">
        <f aca="false">IF(B692="GK",IFERROR('Player Data'!Q692/'Player Data'!H692*90,0),IFERROR('Player Data'!M692/'Player Data'!H692*90,0))</f>
        <v>2.49852333136444</v>
      </c>
      <c r="K692" s="23" t="n">
        <f aca="false">'Player Data'!S692</f>
        <v>38077</v>
      </c>
      <c r="L692" s="22" t="n">
        <f aca="false">INDEX(Assumptions!$B$13:$B$15,MATCH(E692,Assumptions!$A$13:$A$15,0))</f>
        <v>1</v>
      </c>
      <c r="M692" s="24" t="n">
        <f aca="false">IFERROR(SUMPRODUCT(($B$2:$B$1001=B692)*($H$2:$H$1001&lt;=H692))/SUMPRODUCT(($B$2:$B$1001=B692)*1),0)</f>
        <v>0.0202020202020202</v>
      </c>
      <c r="N692" s="24" t="n">
        <f aca="false">IFERROR(SUMPRODUCT(($B$2:$B$1001=B692)*($I$2:$I$1001&lt;=I692))/SUMPRODUCT(($B$2:$B$1001=B692)*1),0)</f>
        <v>0.38047138047138</v>
      </c>
      <c r="O692" s="24" t="n">
        <f aca="false">IFERROR(SUMPRODUCT(($B$2:$B$1001=B692)*($J$2:$J$1001&lt;=J692))/SUMPRODUCT(($B$2:$B$1001=B692)*1),0)</f>
        <v>0.636363636363636</v>
      </c>
      <c r="P692" s="24" t="n">
        <f aca="false">IFERROR(SUMPRODUCT(($B$2:$B$1001=B692)*((0-$F$2:$F$1001)&lt;=(0-F692)))/SUMPRODUCT(($B$2:$B$1001=B692)*1),0)</f>
        <v>0.868686868686869</v>
      </c>
      <c r="Q692" s="25" t="n">
        <f aca="false">(M692*Assumptions!$B$5+N692*Assumptions!$B$6+O692*Assumptions!$B$7+P692*Assumptions!$B$8)*L692</f>
        <v>0.439225589225589</v>
      </c>
      <c r="R692" s="24" t="n">
        <f aca="false">IFERROR(SUMPRODUCT(($B$2:$B$1001=B692)*($Q$2:$Q$1001&lt;=Q692))/SUMPRODUCT(($B$2:$B$1001=B692)*1),0)</f>
        <v>0.508417508417508</v>
      </c>
      <c r="S692" s="24" t="n">
        <f aca="false">IFERROR(SUMPRODUCT(($B$2:$B$1001=B692)*($K$2:$K$1001&lt;=K692))/SUMPRODUCT(($B$2:$B$1001=B692)*1),0)</f>
        <v>0.367003367003367</v>
      </c>
      <c r="T692" s="26" t="n">
        <f aca="false">(R692-S692)*100</f>
        <v>14.1414141414141</v>
      </c>
      <c r="U692" s="21" t="str">
        <f aca="false">'Player Data'!T692</f>
        <v>No</v>
      </c>
      <c r="V692" s="27" t="n">
        <f aca="false">'Player Data'!U692</f>
        <v>2029</v>
      </c>
      <c r="W692" s="21" t="str">
        <f aca="false">IF(AND(T692&gt;=Assumptions!$B$19,U692="No"),"High Priority - Unrepresented",IF(T692&gt;=Assumptions!$B$19,"High Priority",IF(AND(T692&gt;=Assumptions!$B$20,U692="No"),"Watchlist - Unrepresented",IF(T692&gt;=Assumptions!$B$20,"Watchlist",""))))</f>
        <v/>
      </c>
      <c r="X692" s="21" t="str">
        <f aca="false">'Player Data'!V692</f>
        <v>info@cochabambaunited.bo</v>
      </c>
      <c r="Y692" s="28" t="str">
        <f aca="false">'Player Data'!W692</f>
        <v>Club sporting director / first-team office</v>
      </c>
      <c r="Z692" s="28" t="str">
        <f aca="false">'Player Data'!X692</f>
        <v>FBF (Bolivian Football Federation) player registry</v>
      </c>
      <c r="AA692" s="19" t="str">
        <f aca="false">HYPERLINK("https://www.transfermarkt.com/schnellsuche/ergebnis/schnellsuche?query="&amp;SUBSTITUTE(A692," ","+"),"Search Transfermarkt")</f>
        <v>Search Transfermarkt</v>
      </c>
      <c r="AB692" s="29" t="n">
        <f aca="false">IFERROR('Player Data'!K692/('Player Data'!K692+'Player Data'!L692),0)</f>
        <v>0.675977653631285</v>
      </c>
      <c r="AC692" s="21" t="str">
        <f aca="false">IF(B692="GK",IF(AND(O692&gt;=Assumptions!$B$23,N692&gt;=Assumptions!$B$23),"Sweeper-Keeper / Build-from-the-Back",IF(O692&gt;=Assumptions!$B$23,"Sweeper-Keeper / High Line",IF(M692&gt;=Assumptions!$B$23,"Shot-Stopper / Traditional","Flexible / Multi-System"))),IF(AND(O692&gt;=Assumptions!$B$23,P692&gt;=Assumptions!$B$24),"High Press / Gegenpressing",IF(AND(N692&gt;=Assumptions!$B$23,AB692&gt;=Assumptions!$B$25),"Possession / Build-from-the-Back",IF(N692&gt;=Assumptions!$B$23,"Counter-Attack / Transition",IF(AND(O692&gt;=Assumptions!$B$23,N692&lt;Assumptions!$B$26),"Low Block / Park the Bus",IF(AND(B692="FW",M692&gt;=Assumptions!$B$23,N692&lt;Assumptions!$B$26),"Direct / Target Approach","Flexible / Multi-System"))))))</f>
        <v>Flexible / Multi-System</v>
      </c>
      <c r="AD692" s="21" t="str">
        <f aca="false">'Player Data'!Y692</f>
        <v>2026-07-17</v>
      </c>
      <c r="AE692" s="21" t="str">
        <f aca="false">'Player Data'!Z692</f>
        <v>2026-07-17</v>
      </c>
      <c r="AF692" s="28" t="str">
        <f aca="false">IFERROR(INDEX(Assumptions!$B$30:$B$61,MATCH(C692,Assumptions!$A$30:$A$61,0)),"--")</f>
        <v>Argentina, Portugal</v>
      </c>
      <c r="AG692" s="30" t="str">
        <f aca="false">IF(R692&gt;=0.7,"Step-Up Candidate",IF(R692&gt;=0.4,"Lateral Move","Stay &amp; Develop"))</f>
        <v>Lateral Move</v>
      </c>
    </row>
    <row r="693" customFormat="false" ht="23.85" hidden="false" customHeight="false" outlineLevel="0" collapsed="false">
      <c r="A693" s="21" t="str">
        <f aca="false">'Player Data'!A693</f>
        <v>Ardit Hoxha</v>
      </c>
      <c r="B693" s="21" t="str">
        <f aca="false">'Player Data'!F693</f>
        <v>MF</v>
      </c>
      <c r="C693" s="21" t="str">
        <f aca="false">'Player Data'!B693</f>
        <v>Albania</v>
      </c>
      <c r="D693" s="21" t="str">
        <f aca="false">'Player Data'!C693</f>
        <v>Albania Regional League</v>
      </c>
      <c r="E693" s="21" t="n">
        <f aca="false">'Player Data'!D693</f>
        <v>2</v>
      </c>
      <c r="F693" s="21" t="n">
        <f aca="false">'Player Data'!G693</f>
        <v>21</v>
      </c>
      <c r="G693" s="21" t="n">
        <f aca="false">'Player Data'!H693</f>
        <v>1974</v>
      </c>
      <c r="H693" s="22" t="n">
        <f aca="false">IF(B693="GK",IFERROR(('Player Data'!N693-1.5*'Player Data'!O693)/'Player Data'!H693*90,0),IFERROR(('Player Data'!I693+'Player Data'!J693)/'Player Data'!H693*90,0))</f>
        <v>0.729483282674772</v>
      </c>
      <c r="I693" s="22" t="n">
        <f aca="false">IF(B693="GK",'Player Data'!P693,IFERROR(('Player Data'!K693+'Player Data'!L693)/'Player Data'!H693*90,0))</f>
        <v>9.11854103343465</v>
      </c>
      <c r="J693" s="22" t="n">
        <f aca="false">IF(B693="GK",IFERROR('Player Data'!Q693/'Player Data'!H693*90,0),IFERROR('Player Data'!M693/'Player Data'!H693*90,0))</f>
        <v>2.27963525835866</v>
      </c>
      <c r="K693" s="23" t="n">
        <f aca="false">'Player Data'!S693</f>
        <v>29191</v>
      </c>
      <c r="L693" s="22" t="n">
        <f aca="false">INDEX(Assumptions!$B$13:$B$15,MATCH(E693,Assumptions!$A$13:$A$15,0))</f>
        <v>1</v>
      </c>
      <c r="M693" s="24" t="n">
        <f aca="false">IFERROR(SUMPRODUCT(($B$2:$B$1001=B693)*($H$2:$H$1001&lt;=H693))/SUMPRODUCT(($B$2:$B$1001=B693)*1),0)</f>
        <v>0.484848484848485</v>
      </c>
      <c r="N693" s="24" t="n">
        <f aca="false">IFERROR(SUMPRODUCT(($B$2:$B$1001=B693)*($I$2:$I$1001&lt;=I693))/SUMPRODUCT(($B$2:$B$1001=B693)*1),0)</f>
        <v>0.306397306397306</v>
      </c>
      <c r="O693" s="24" t="n">
        <f aca="false">IFERROR(SUMPRODUCT(($B$2:$B$1001=B693)*($J$2:$J$1001&lt;=J693))/SUMPRODUCT(($B$2:$B$1001=B693)*1),0)</f>
        <v>0.545454545454545</v>
      </c>
      <c r="P693" s="24" t="n">
        <f aca="false">IFERROR(SUMPRODUCT(($B$2:$B$1001=B693)*((0-$F$2:$F$1001)&lt;=(0-F693)))/SUMPRODUCT(($B$2:$B$1001=B693)*1),0)</f>
        <v>0.61952861952862</v>
      </c>
      <c r="Q693" s="25" t="n">
        <f aca="false">(M693*Assumptions!$B$5+N693*Assumptions!$B$6+O693*Assumptions!$B$7+P693*Assumptions!$B$8)*L693</f>
        <v>0.461447811447811</v>
      </c>
      <c r="R693" s="24" t="n">
        <f aca="false">IFERROR(SUMPRODUCT(($B$2:$B$1001=B693)*($Q$2:$Q$1001&lt;=Q693))/SUMPRODUCT(($B$2:$B$1001=B693)*1),0)</f>
        <v>0.555555555555556</v>
      </c>
      <c r="S693" s="24" t="n">
        <f aca="false">IFERROR(SUMPRODUCT(($B$2:$B$1001=B693)*($K$2:$K$1001&lt;=K693))/SUMPRODUCT(($B$2:$B$1001=B693)*1),0)</f>
        <v>0.313131313131313</v>
      </c>
      <c r="T693" s="26" t="n">
        <f aca="false">(R693-S693)*100</f>
        <v>24.2424242424242</v>
      </c>
      <c r="U693" s="21" t="str">
        <f aca="false">'Player Data'!T693</f>
        <v>No</v>
      </c>
      <c r="V693" s="27" t="n">
        <f aca="false">'Player Data'!U693</f>
        <v>2029</v>
      </c>
      <c r="W693" s="21" t="str">
        <f aca="false">IF(AND(T693&gt;=Assumptions!$B$19,U693="No"),"High Priority - Unrepresented",IF(T693&gt;=Assumptions!$B$19,"High Priority",IF(AND(T693&gt;=Assumptions!$B$20,U693="No"),"Watchlist - Unrepresented",IF(T693&gt;=Assumptions!$B$20,"Watchlist",""))))</f>
        <v>Watchlist - Unrepresented</v>
      </c>
      <c r="X693" s="21" t="str">
        <f aca="false">'Player Data'!V693</f>
        <v>info@durresathletic.al</v>
      </c>
      <c r="Y693" s="28" t="str">
        <f aca="false">'Player Data'!W693</f>
        <v>Club sporting director / first-team office</v>
      </c>
      <c r="Z693" s="28" t="str">
        <f aca="false">'Player Data'!X693</f>
        <v>FSHF (Albanian Football Association) player registry</v>
      </c>
      <c r="AA693" s="19" t="str">
        <f aca="false">HYPERLINK("https://www.transfermarkt.com/schnellsuche/ergebnis/schnellsuche?query="&amp;SUBSTITUTE(A693," ","+"),"Search Transfermarkt")</f>
        <v>Search Transfermarkt</v>
      </c>
      <c r="AB693" s="29" t="n">
        <f aca="false">IFERROR('Player Data'!K693/('Player Data'!K693+'Player Data'!L693),0)</f>
        <v>0.68</v>
      </c>
      <c r="AC693" s="21" t="str">
        <f aca="false">IF(B693="GK",IF(AND(O693&gt;=Assumptions!$B$23,N693&gt;=Assumptions!$B$23),"Sweeper-Keeper / Build-from-the-Back",IF(O693&gt;=Assumptions!$B$23,"Sweeper-Keeper / High Line",IF(M693&gt;=Assumptions!$B$23,"Shot-Stopper / Traditional","Flexible / Multi-System"))),IF(AND(O693&gt;=Assumptions!$B$23,P693&gt;=Assumptions!$B$24),"High Press / Gegenpressing",IF(AND(N693&gt;=Assumptions!$B$23,AB693&gt;=Assumptions!$B$25),"Possession / Build-from-the-Back",IF(N693&gt;=Assumptions!$B$23,"Counter-Attack / Transition",IF(AND(O693&gt;=Assumptions!$B$23,N693&lt;Assumptions!$B$26),"Low Block / Park the Bus",IF(AND(B693="FW",M693&gt;=Assumptions!$B$23,N693&lt;Assumptions!$B$26),"Direct / Target Approach","Flexible / Multi-System"))))))</f>
        <v>Flexible / Multi-System</v>
      </c>
      <c r="AD693" s="21" t="str">
        <f aca="false">'Player Data'!Y693</f>
        <v>2026-07-17</v>
      </c>
      <c r="AE693" s="21" t="str">
        <f aca="false">'Player Data'!Z693</f>
        <v>2026-07-17</v>
      </c>
      <c r="AF693" s="28" t="str">
        <f aca="false">IFERROR(INDEX(Assumptions!$B$30:$B$61,MATCH(C693,Assumptions!$A$30:$A$61,0)),"--")</f>
        <v>Turkey, Poland</v>
      </c>
      <c r="AG693" s="30" t="str">
        <f aca="false">IF(R693&gt;=0.7,"Step-Up Candidate",IF(R693&gt;=0.4,"Lateral Move","Stay &amp; Develop"))</f>
        <v>Lateral Move</v>
      </c>
    </row>
    <row r="694" customFormat="false" ht="23.85" hidden="false" customHeight="false" outlineLevel="0" collapsed="false">
      <c r="A694" s="21" t="str">
        <f aca="false">'Player Data'!A694</f>
        <v>Marlon Lowe</v>
      </c>
      <c r="B694" s="21" t="str">
        <f aca="false">'Player Data'!F694</f>
        <v>DF</v>
      </c>
      <c r="C694" s="21" t="str">
        <f aca="false">'Player Data'!B694</f>
        <v>Jamaica</v>
      </c>
      <c r="D694" s="21" t="str">
        <f aca="false">'Player Data'!C694</f>
        <v>Jamaica Second Division - West</v>
      </c>
      <c r="E694" s="21" t="n">
        <f aca="false">'Player Data'!D694</f>
        <v>2</v>
      </c>
      <c r="F694" s="21" t="n">
        <f aca="false">'Player Data'!G694</f>
        <v>23</v>
      </c>
      <c r="G694" s="21" t="n">
        <f aca="false">'Player Data'!H694</f>
        <v>2301</v>
      </c>
      <c r="H694" s="22" t="n">
        <f aca="false">IF(B694="GK",IFERROR(('Player Data'!N694-1.5*'Player Data'!O694)/'Player Data'!H694*90,0),IFERROR(('Player Data'!I694+'Player Data'!J694)/'Player Data'!H694*90,0))</f>
        <v>0.15645371577575</v>
      </c>
      <c r="I694" s="22" t="n">
        <f aca="false">IF(B694="GK",'Player Data'!P694,IFERROR(('Player Data'!K694+'Player Data'!L694)/'Player Data'!H694*90,0))</f>
        <v>4.30247718383312</v>
      </c>
      <c r="J694" s="22" t="n">
        <f aca="false">IF(B694="GK",IFERROR('Player Data'!Q694/'Player Data'!H694*90,0),IFERROR('Player Data'!M694/'Player Data'!H694*90,0))</f>
        <v>3.48109517601043</v>
      </c>
      <c r="K694" s="23" t="n">
        <f aca="false">'Player Data'!S694</f>
        <v>28732</v>
      </c>
      <c r="L694" s="22" t="n">
        <f aca="false">INDEX(Assumptions!$B$13:$B$15,MATCH(E694,Assumptions!$A$13:$A$15,0))</f>
        <v>1</v>
      </c>
      <c r="M694" s="24" t="n">
        <f aca="false">IFERROR(SUMPRODUCT(($B$2:$B$1001=B694)*($H$2:$H$1001&lt;=H694))/SUMPRODUCT(($B$2:$B$1001=B694)*1),0)</f>
        <v>0.377551020408163</v>
      </c>
      <c r="N694" s="24" t="n">
        <f aca="false">IFERROR(SUMPRODUCT(($B$2:$B$1001=B694)*($I$2:$I$1001&lt;=I694))/SUMPRODUCT(($B$2:$B$1001=B694)*1),0)</f>
        <v>0.459183673469388</v>
      </c>
      <c r="O694" s="24" t="n">
        <f aca="false">IFERROR(SUMPRODUCT(($B$2:$B$1001=B694)*($J$2:$J$1001&lt;=J694))/SUMPRODUCT(($B$2:$B$1001=B694)*1),0)</f>
        <v>0.0850340136054422</v>
      </c>
      <c r="P694" s="24" t="n">
        <f aca="false">IFERROR(SUMPRODUCT(($B$2:$B$1001=B694)*((0-$F$2:$F$1001)&lt;=(0-F694)))/SUMPRODUCT(($B$2:$B$1001=B694)*1),0)</f>
        <v>0.374149659863946</v>
      </c>
      <c r="Q694" s="25" t="n">
        <f aca="false">(M694*Assumptions!$B$5+N694*Assumptions!$B$6+O694*Assumptions!$B$7+P694*Assumptions!$B$8)*L694</f>
        <v>0.346938775510204</v>
      </c>
      <c r="R694" s="24" t="n">
        <f aca="false">IFERROR(SUMPRODUCT(($B$2:$B$1001=B694)*($Q$2:$Q$1001&lt;=Q694))/SUMPRODUCT(($B$2:$B$1001=B694)*1),0)</f>
        <v>0.353741496598639</v>
      </c>
      <c r="S694" s="24" t="n">
        <f aca="false">IFERROR(SUMPRODUCT(($B$2:$B$1001=B694)*($K$2:$K$1001&lt;=K694))/SUMPRODUCT(($B$2:$B$1001=B694)*1),0)</f>
        <v>0.357142857142857</v>
      </c>
      <c r="T694" s="26" t="n">
        <f aca="false">(R694-S694)*100</f>
        <v>-0.340136054421769</v>
      </c>
      <c r="U694" s="21" t="str">
        <f aca="false">'Player Data'!T694</f>
        <v>Yes</v>
      </c>
      <c r="V694" s="27" t="n">
        <f aca="false">'Player Data'!U694</f>
        <v>2028</v>
      </c>
      <c r="W694" s="21" t="str">
        <f aca="false">IF(AND(T694&gt;=Assumptions!$B$19,U694="No"),"High Priority - Unrepresented",IF(T694&gt;=Assumptions!$B$19,"High Priority",IF(AND(T694&gt;=Assumptions!$B$20,U694="No"),"Watchlist - Unrepresented",IF(T694&gt;=Assumptions!$B$20,"Watchlist",""))))</f>
        <v/>
      </c>
      <c r="X694" s="21" t="str">
        <f aca="false">'Player Data'!V694</f>
        <v>info@montegobaytown.jm</v>
      </c>
      <c r="Y694" s="28" t="str">
        <f aca="false">'Player Data'!W694</f>
        <v>Go through the player's agent - ask the club to confirm representation first</v>
      </c>
      <c r="Z694" s="28" t="str">
        <f aca="false">'Player Data'!X694</f>
        <v>JFF (Jamaica Football Federation) player registry</v>
      </c>
      <c r="AA694" s="19" t="str">
        <f aca="false">HYPERLINK("https://www.transfermarkt.com/schnellsuche/ergebnis/schnellsuche?query="&amp;SUBSTITUTE(A694," ","+"),"Search Transfermarkt")</f>
        <v>Search Transfermarkt</v>
      </c>
      <c r="AB694" s="29" t="n">
        <f aca="false">IFERROR('Player Data'!K694/('Player Data'!K694+'Player Data'!L694),0)</f>
        <v>0.572727272727273</v>
      </c>
      <c r="AC694" s="21" t="str">
        <f aca="false">IF(B694="GK",IF(AND(O694&gt;=Assumptions!$B$23,N694&gt;=Assumptions!$B$23),"Sweeper-Keeper / Build-from-the-Back",IF(O694&gt;=Assumptions!$B$23,"Sweeper-Keeper / High Line",IF(M694&gt;=Assumptions!$B$23,"Shot-Stopper / Traditional","Flexible / Multi-System"))),IF(AND(O694&gt;=Assumptions!$B$23,P694&gt;=Assumptions!$B$24),"High Press / Gegenpressing",IF(AND(N694&gt;=Assumptions!$B$23,AB694&gt;=Assumptions!$B$25),"Possession / Build-from-the-Back",IF(N694&gt;=Assumptions!$B$23,"Counter-Attack / Transition",IF(AND(O694&gt;=Assumptions!$B$23,N694&lt;Assumptions!$B$26),"Low Block / Park the Bus",IF(AND(B694="FW",M694&gt;=Assumptions!$B$23,N694&lt;Assumptions!$B$26),"Direct / Target Approach","Flexible / Multi-System"))))))</f>
        <v>Flexible / Multi-System</v>
      </c>
      <c r="AD694" s="21" t="str">
        <f aca="false">'Player Data'!Y694</f>
        <v>2026-07-17</v>
      </c>
      <c r="AE694" s="21" t="str">
        <f aca="false">'Player Data'!Z694</f>
        <v>2026-07-17</v>
      </c>
      <c r="AF694" s="28" t="str">
        <f aca="false">IFERROR(INDEX(Assumptions!$B$30:$B$61,MATCH(C694,Assumptions!$A$30:$A$61,0)),"--")</f>
        <v>United States, Mexico</v>
      </c>
      <c r="AG694" s="30" t="str">
        <f aca="false">IF(R694&gt;=0.7,"Step-Up Candidate",IF(R694&gt;=0.4,"Lateral Move","Stay &amp; Develop"))</f>
        <v>Stay &amp; Develop</v>
      </c>
    </row>
    <row r="695" customFormat="false" ht="23.85" hidden="false" customHeight="false" outlineLevel="0" collapsed="false">
      <c r="A695" s="21" t="str">
        <f aca="false">'Player Data'!A695</f>
        <v>Yeferson Gonzalez</v>
      </c>
      <c r="B695" s="21" t="str">
        <f aca="false">'Player Data'!F695</f>
        <v>FW</v>
      </c>
      <c r="C695" s="21" t="str">
        <f aca="false">'Player Data'!B695</f>
        <v>Venezuela</v>
      </c>
      <c r="D695" s="21" t="str">
        <f aca="false">'Player Data'!C695</f>
        <v>Venezuela Third Tier - North</v>
      </c>
      <c r="E695" s="21" t="n">
        <f aca="false">'Player Data'!D695</f>
        <v>3</v>
      </c>
      <c r="F695" s="21" t="n">
        <f aca="false">'Player Data'!G695</f>
        <v>25</v>
      </c>
      <c r="G695" s="21" t="n">
        <f aca="false">'Player Data'!H695</f>
        <v>1895</v>
      </c>
      <c r="H695" s="22" t="n">
        <f aca="false">IF(B695="GK",IFERROR(('Player Data'!N695-1.5*'Player Data'!O695)/'Player Data'!H695*90,0),IFERROR(('Player Data'!I695+'Player Data'!J695)/'Player Data'!H695*90,0))</f>
        <v>0.949868073878628</v>
      </c>
      <c r="I695" s="22" t="n">
        <f aca="false">IF(B695="GK",'Player Data'!P695,IFERROR(('Player Data'!K695+'Player Data'!L695)/'Player Data'!H695*90,0))</f>
        <v>6.98153034300792</v>
      </c>
      <c r="J695" s="22" t="n">
        <f aca="false">IF(B695="GK",IFERROR('Player Data'!Q695/'Player Data'!H695*90,0),IFERROR('Player Data'!M695/'Player Data'!H695*90,0))</f>
        <v>0.379947229551451</v>
      </c>
      <c r="K695" s="23" t="n">
        <f aca="false">'Player Data'!S695</f>
        <v>48346</v>
      </c>
      <c r="L695" s="22" t="n">
        <f aca="false">INDEX(Assumptions!$B$13:$B$15,MATCH(E695,Assumptions!$A$13:$A$15,0))</f>
        <v>0.85</v>
      </c>
      <c r="M695" s="24" t="n">
        <f aca="false">IFERROR(SUMPRODUCT(($B$2:$B$1001=B695)*($H$2:$H$1001&lt;=H695))/SUMPRODUCT(($B$2:$B$1001=B695)*1),0)</f>
        <v>0.460176991150442</v>
      </c>
      <c r="N695" s="24" t="n">
        <f aca="false">IFERROR(SUMPRODUCT(($B$2:$B$1001=B695)*($I$2:$I$1001&lt;=I695))/SUMPRODUCT(($B$2:$B$1001=B695)*1),0)</f>
        <v>0.570796460176991</v>
      </c>
      <c r="O695" s="24" t="n">
        <f aca="false">IFERROR(SUMPRODUCT(($B$2:$B$1001=B695)*($J$2:$J$1001&lt;=J695))/SUMPRODUCT(($B$2:$B$1001=B695)*1),0)</f>
        <v>0.309734513274336</v>
      </c>
      <c r="P695" s="24" t="n">
        <f aca="false">IFERROR(SUMPRODUCT(($B$2:$B$1001=B695)*((0-$F$2:$F$1001)&lt;=(0-F695)))/SUMPRODUCT(($B$2:$B$1001=B695)*1),0)</f>
        <v>0.194690265486726</v>
      </c>
      <c r="Q695" s="25" t="n">
        <f aca="false">(M695*Assumptions!$B$5+N695*Assumptions!$B$6+O695*Assumptions!$B$7+P695*Assumptions!$B$8)*L695</f>
        <v>0.353351769911504</v>
      </c>
      <c r="R695" s="24" t="n">
        <f aca="false">IFERROR(SUMPRODUCT(($B$2:$B$1001=B695)*($Q$2:$Q$1001&lt;=Q695))/SUMPRODUCT(($B$2:$B$1001=B695)*1),0)</f>
        <v>0.358407079646018</v>
      </c>
      <c r="S695" s="24" t="n">
        <f aca="false">IFERROR(SUMPRODUCT(($B$2:$B$1001=B695)*($K$2:$K$1001&lt;=K695))/SUMPRODUCT(($B$2:$B$1001=B695)*1),0)</f>
        <v>0.451327433628319</v>
      </c>
      <c r="T695" s="26" t="n">
        <f aca="false">(R695-S695)*100</f>
        <v>-9.29203539823009</v>
      </c>
      <c r="U695" s="21" t="str">
        <f aca="false">'Player Data'!T695</f>
        <v>No</v>
      </c>
      <c r="V695" s="27" t="n">
        <f aca="false">'Player Data'!U695</f>
        <v>2027</v>
      </c>
      <c r="W695" s="21" t="str">
        <f aca="false">IF(AND(T695&gt;=Assumptions!$B$19,U695="No"),"High Priority - Unrepresented",IF(T695&gt;=Assumptions!$B$19,"High Priority",IF(AND(T695&gt;=Assumptions!$B$20,U695="No"),"Watchlist - Unrepresented",IF(T695&gt;=Assumptions!$B$20,"Watchlist",""))))</f>
        <v/>
      </c>
      <c r="X695" s="21" t="str">
        <f aca="false">'Player Data'!V695</f>
        <v>info@valenciacity.ve</v>
      </c>
      <c r="Y695" s="28" t="str">
        <f aca="false">'Player Data'!W695</f>
        <v>Club sporting director / first-team office</v>
      </c>
      <c r="Z695" s="28" t="str">
        <f aca="false">'Player Data'!X695</f>
        <v>FVF (Venezuelan Football Federation) player registry</v>
      </c>
      <c r="AA695" s="19" t="str">
        <f aca="false">HYPERLINK("https://www.transfermarkt.com/schnellsuche/ergebnis/schnellsuche?query="&amp;SUBSTITUTE(A695," ","+"),"Search Transfermarkt")</f>
        <v>Search Transfermarkt</v>
      </c>
      <c r="AB695" s="29" t="n">
        <f aca="false">IFERROR('Player Data'!K695/('Player Data'!K695+'Player Data'!L695),0)</f>
        <v>0.319727891156463</v>
      </c>
      <c r="AC695" s="21" t="str">
        <f aca="false">IF(B695="GK",IF(AND(O695&gt;=Assumptions!$B$23,N695&gt;=Assumptions!$B$23),"Sweeper-Keeper / Build-from-the-Back",IF(O695&gt;=Assumptions!$B$23,"Sweeper-Keeper / High Line",IF(M695&gt;=Assumptions!$B$23,"Shot-Stopper / Traditional","Flexible / Multi-System"))),IF(AND(O695&gt;=Assumptions!$B$23,P695&gt;=Assumptions!$B$24),"High Press / Gegenpressing",IF(AND(N695&gt;=Assumptions!$B$23,AB695&gt;=Assumptions!$B$25),"Possession / Build-from-the-Back",IF(N695&gt;=Assumptions!$B$23,"Counter-Attack / Transition",IF(AND(O695&gt;=Assumptions!$B$23,N695&lt;Assumptions!$B$26),"Low Block / Park the Bus",IF(AND(B695="FW",M695&gt;=Assumptions!$B$23,N695&lt;Assumptions!$B$26),"Direct / Target Approach","Flexible / Multi-System"))))))</f>
        <v>Flexible / Multi-System</v>
      </c>
      <c r="AD695" s="21" t="str">
        <f aca="false">'Player Data'!Y695</f>
        <v>2026-07-17</v>
      </c>
      <c r="AE695" s="21" t="str">
        <f aca="false">'Player Data'!Z695</f>
        <v>2026-07-17</v>
      </c>
      <c r="AF695" s="28" t="str">
        <f aca="false">IFERROR(INDEX(Assumptions!$B$30:$B$61,MATCH(C695,Assumptions!$A$30:$A$61,0)),"--")</f>
        <v>Argentina, Portugal</v>
      </c>
      <c r="AG695" s="30" t="str">
        <f aca="false">IF(R695&gt;=0.7,"Step-Up Candidate",IF(R695&gt;=0.4,"Lateral Move","Stay &amp; Develop"))</f>
        <v>Stay &amp; Develop</v>
      </c>
    </row>
    <row r="696" customFormat="false" ht="23.85" hidden="false" customHeight="false" outlineLevel="0" collapsed="false">
      <c r="A696" s="21" t="str">
        <f aca="false">'Player Data'!A696</f>
        <v>Jasur Yuldashev</v>
      </c>
      <c r="B696" s="21" t="str">
        <f aca="false">'Player Data'!F696</f>
        <v>DF</v>
      </c>
      <c r="C696" s="21" t="str">
        <f aca="false">'Player Data'!B696</f>
        <v>Uzbekistan</v>
      </c>
      <c r="D696" s="21" t="str">
        <f aca="false">'Player Data'!C696</f>
        <v>Uzbekistan Reserve League</v>
      </c>
      <c r="E696" s="21" t="n">
        <f aca="false">'Player Data'!D696</f>
        <v>2</v>
      </c>
      <c r="F696" s="21" t="n">
        <f aca="false">'Player Data'!G696</f>
        <v>22</v>
      </c>
      <c r="G696" s="21" t="n">
        <f aca="false">'Player Data'!H696</f>
        <v>1726</v>
      </c>
      <c r="H696" s="22" t="n">
        <f aca="false">IF(B696="GK",IFERROR(('Player Data'!N696-1.5*'Player Data'!O696)/'Player Data'!H696*90,0),IFERROR(('Player Data'!I696+'Player Data'!J696)/'Player Data'!H696*90,0))</f>
        <v>0.156431054461182</v>
      </c>
      <c r="I696" s="22" t="n">
        <f aca="false">IF(B696="GK",'Player Data'!P696,IFERROR(('Player Data'!K696+'Player Data'!L696)/'Player Data'!H696*90,0))</f>
        <v>3.80648899188876</v>
      </c>
      <c r="J696" s="22" t="n">
        <f aca="false">IF(B696="GK",IFERROR('Player Data'!Q696/'Player Data'!H696*90,0),IFERROR('Player Data'!M696/'Player Data'!H696*90,0))</f>
        <v>6.57010428736964</v>
      </c>
      <c r="K696" s="23" t="n">
        <f aca="false">'Player Data'!S696</f>
        <v>66260</v>
      </c>
      <c r="L696" s="22" t="n">
        <f aca="false">INDEX(Assumptions!$B$13:$B$15,MATCH(E696,Assumptions!$A$13:$A$15,0))</f>
        <v>1</v>
      </c>
      <c r="M696" s="24" t="n">
        <f aca="false">IFERROR(SUMPRODUCT(($B$2:$B$1001=B696)*($H$2:$H$1001&lt;=H696))/SUMPRODUCT(($B$2:$B$1001=B696)*1),0)</f>
        <v>0.374149659863946</v>
      </c>
      <c r="N696" s="24" t="n">
        <f aca="false">IFERROR(SUMPRODUCT(($B$2:$B$1001=B696)*($I$2:$I$1001&lt;=I696))/SUMPRODUCT(($B$2:$B$1001=B696)*1),0)</f>
        <v>0.353741496598639</v>
      </c>
      <c r="O696" s="24" t="n">
        <f aca="false">IFERROR(SUMPRODUCT(($B$2:$B$1001=B696)*($J$2:$J$1001&lt;=J696))/SUMPRODUCT(($B$2:$B$1001=B696)*1),0)</f>
        <v>0.690476190476191</v>
      </c>
      <c r="P696" s="24" t="n">
        <f aca="false">IFERROR(SUMPRODUCT(($B$2:$B$1001=B696)*((0-$F$2:$F$1001)&lt;=(0-F696)))/SUMPRODUCT(($B$2:$B$1001=B696)*1),0)</f>
        <v>0.493197278911565</v>
      </c>
      <c r="Q696" s="25" t="n">
        <f aca="false">(M696*Assumptions!$B$5+N696*Assumptions!$B$6+O696*Assumptions!$B$7+P696*Assumptions!$B$8)*L696</f>
        <v>0.454081632653061</v>
      </c>
      <c r="R696" s="24" t="n">
        <f aca="false">IFERROR(SUMPRODUCT(($B$2:$B$1001=B696)*($Q$2:$Q$1001&lt;=Q696))/SUMPRODUCT(($B$2:$B$1001=B696)*1),0)</f>
        <v>0.585034013605442</v>
      </c>
      <c r="S696" s="24" t="n">
        <f aca="false">IFERROR(SUMPRODUCT(($B$2:$B$1001=B696)*($K$2:$K$1001&lt;=K696))/SUMPRODUCT(($B$2:$B$1001=B696)*1),0)</f>
        <v>0.506802721088435</v>
      </c>
      <c r="T696" s="26" t="n">
        <f aca="false">(R696-S696)*100</f>
        <v>7.82312925170068</v>
      </c>
      <c r="U696" s="21" t="str">
        <f aca="false">'Player Data'!T696</f>
        <v>No</v>
      </c>
      <c r="V696" s="27" t="n">
        <f aca="false">'Player Data'!U696</f>
        <v>2028</v>
      </c>
      <c r="W696" s="21" t="str">
        <f aca="false">IF(AND(T696&gt;=Assumptions!$B$19,U696="No"),"High Priority - Unrepresented",IF(T696&gt;=Assumptions!$B$19,"High Priority",IF(AND(T696&gt;=Assumptions!$B$20,U696="No"),"Watchlist - Unrepresented",IF(T696&gt;=Assumptions!$B$20,"Watchlist",""))))</f>
        <v/>
      </c>
      <c r="X696" s="21" t="str">
        <f aca="false">'Player Data'!V696</f>
        <v>info@tashkentwanderers.uz</v>
      </c>
      <c r="Y696" s="28" t="str">
        <f aca="false">'Player Data'!W696</f>
        <v>Club sporting director / first-team office</v>
      </c>
      <c r="Z696" s="28" t="str">
        <f aca="false">'Player Data'!X696</f>
        <v>UFF (Uzbekistan Football Federation) player registry</v>
      </c>
      <c r="AA696" s="19" t="str">
        <f aca="false">HYPERLINK("https://www.transfermarkt.com/schnellsuche/ergebnis/schnellsuche?query="&amp;SUBSTITUTE(A696," ","+"),"Search Transfermarkt")</f>
        <v>Search Transfermarkt</v>
      </c>
      <c r="AB696" s="29" t="n">
        <f aca="false">IFERROR('Player Data'!K696/('Player Data'!K696+'Player Data'!L696),0)</f>
        <v>0.63013698630137</v>
      </c>
      <c r="AC696" s="21" t="str">
        <f aca="false">IF(B696="GK",IF(AND(O696&gt;=Assumptions!$B$23,N696&gt;=Assumptions!$B$23),"Sweeper-Keeper / Build-from-the-Back",IF(O696&gt;=Assumptions!$B$23,"Sweeper-Keeper / High Line",IF(M696&gt;=Assumptions!$B$23,"Shot-Stopper / Traditional","Flexible / Multi-System"))),IF(AND(O696&gt;=Assumptions!$B$23,P696&gt;=Assumptions!$B$24),"High Press / Gegenpressing",IF(AND(N696&gt;=Assumptions!$B$23,AB696&gt;=Assumptions!$B$25),"Possession / Build-from-the-Back",IF(N696&gt;=Assumptions!$B$23,"Counter-Attack / Transition",IF(AND(O696&gt;=Assumptions!$B$23,N696&lt;Assumptions!$B$26),"Low Block / Park the Bus",IF(AND(B696="FW",M696&gt;=Assumptions!$B$23,N696&lt;Assumptions!$B$26),"Direct / Target Approach","Flexible / Multi-System"))))))</f>
        <v>Low Block / Park the Bus</v>
      </c>
      <c r="AD696" s="21" t="str">
        <f aca="false">'Player Data'!Y696</f>
        <v>2026-07-17</v>
      </c>
      <c r="AE696" s="21" t="str">
        <f aca="false">'Player Data'!Z696</f>
        <v>2026-07-17</v>
      </c>
      <c r="AF696" s="28" t="str">
        <f aca="false">IFERROR(INDEX(Assumptions!$B$30:$B$61,MATCH(C696,Assumptions!$A$30:$A$61,0)),"--")</f>
        <v>Turkey, Saudi Arabia</v>
      </c>
      <c r="AG696" s="30" t="str">
        <f aca="false">IF(R696&gt;=0.7,"Step-Up Candidate",IF(R696&gt;=0.4,"Lateral Move","Stay &amp; Develop"))</f>
        <v>Lateral Move</v>
      </c>
    </row>
    <row r="697" customFormat="false" ht="23.85" hidden="false" customHeight="false" outlineLevel="0" collapsed="false">
      <c r="A697" s="21" t="str">
        <f aca="false">'Player Data'!A697</f>
        <v>Diyorbek Yusupov</v>
      </c>
      <c r="B697" s="21" t="str">
        <f aca="false">'Player Data'!F697</f>
        <v>GK</v>
      </c>
      <c r="C697" s="21" t="str">
        <f aca="false">'Player Data'!B697</f>
        <v>Uzbekistan</v>
      </c>
      <c r="D697" s="21" t="str">
        <f aca="false">'Player Data'!C697</f>
        <v>Uzbekistan Provincial League</v>
      </c>
      <c r="E697" s="21" t="n">
        <f aca="false">'Player Data'!D697</f>
        <v>2</v>
      </c>
      <c r="F697" s="21" t="n">
        <f aca="false">'Player Data'!G697</f>
        <v>17</v>
      </c>
      <c r="G697" s="21" t="n">
        <f aca="false">'Player Data'!H697</f>
        <v>1593</v>
      </c>
      <c r="H697" s="22" t="n">
        <f aca="false">IF(B697="GK",IFERROR(('Player Data'!N697-1.5*'Player Data'!O697)/'Player Data'!H697*90,0),IFERROR(('Player Data'!I697+'Player Data'!J697)/'Player Data'!H697*90,0))</f>
        <v>1.41242937853107</v>
      </c>
      <c r="I697" s="22" t="n">
        <f aca="false">IF(B697="GK",'Player Data'!P697,IFERROR(('Player Data'!K697+'Player Data'!L697)/'Player Data'!H697*90,0))</f>
        <v>62.9</v>
      </c>
      <c r="J697" s="22" t="n">
        <f aca="false">IF(B697="GK",IFERROR('Player Data'!Q697/'Player Data'!H697*90,0),IFERROR('Player Data'!M697/'Player Data'!H697*90,0))</f>
        <v>1.08474576271186</v>
      </c>
      <c r="K697" s="23" t="n">
        <f aca="false">'Player Data'!S697</f>
        <v>0</v>
      </c>
      <c r="L697" s="22" t="n">
        <f aca="false">INDEX(Assumptions!$B$13:$B$15,MATCH(E697,Assumptions!$A$13:$A$15,0))</f>
        <v>1</v>
      </c>
      <c r="M697" s="24" t="n">
        <f aca="false">IFERROR(SUMPRODUCT(($B$2:$B$1001=B697)*($H$2:$H$1001&lt;=H697))/SUMPRODUCT(($B$2:$B$1001=B697)*1),0)</f>
        <v>0.639344262295082</v>
      </c>
      <c r="N697" s="24" t="n">
        <f aca="false">IFERROR(SUMPRODUCT(($B$2:$B$1001=B697)*($I$2:$I$1001&lt;=I697))/SUMPRODUCT(($B$2:$B$1001=B697)*1),0)</f>
        <v>0.245901639344262</v>
      </c>
      <c r="O697" s="24" t="n">
        <f aca="false">IFERROR(SUMPRODUCT(($B$2:$B$1001=B697)*($J$2:$J$1001&lt;=J697))/SUMPRODUCT(($B$2:$B$1001=B697)*1),0)</f>
        <v>0.66120218579235</v>
      </c>
      <c r="P697" s="24" t="n">
        <f aca="false">IFERROR(SUMPRODUCT(($B$2:$B$1001=B697)*((0-$F$2:$F$1001)&lt;=(0-F697)))/SUMPRODUCT(($B$2:$B$1001=B697)*1),0)</f>
        <v>1</v>
      </c>
      <c r="Q697" s="25" t="n">
        <f aca="false">(M697*Assumptions!$B$5+N697*Assumptions!$B$6+O697*Assumptions!$B$7+P697*Assumptions!$B$8)*L697</f>
        <v>0.578142076502732</v>
      </c>
      <c r="R697" s="24" t="n">
        <f aca="false">IFERROR(SUMPRODUCT(($B$2:$B$1001=B697)*($Q$2:$Q$1001&lt;=Q697))/SUMPRODUCT(($B$2:$B$1001=B697)*1),0)</f>
        <v>0.814207650273224</v>
      </c>
      <c r="S697" s="24" t="n">
        <f aca="false">IFERROR(SUMPRODUCT(($B$2:$B$1001=B697)*($K$2:$K$1001&lt;=K697))/SUMPRODUCT(($B$2:$B$1001=B697)*1),0)</f>
        <v>0.218579234972678</v>
      </c>
      <c r="T697" s="26" t="n">
        <f aca="false">(R697-S697)*100</f>
        <v>59.5628415300546</v>
      </c>
      <c r="U697" s="21" t="str">
        <f aca="false">'Player Data'!T697</f>
        <v>No</v>
      </c>
      <c r="V697" s="27" t="n">
        <f aca="false">'Player Data'!U697</f>
        <v>2028</v>
      </c>
      <c r="W697" s="21" t="str">
        <f aca="false">IF(AND(T697&gt;=Assumptions!$B$19,U697="No"),"High Priority - Unrepresented",IF(T697&gt;=Assumptions!$B$19,"High Priority",IF(AND(T697&gt;=Assumptions!$B$20,U697="No"),"Watchlist - Unrepresented",IF(T697&gt;=Assumptions!$B$20,"Watchlist",""))))</f>
        <v>High Priority - Unrepresented</v>
      </c>
      <c r="X697" s="21" t="str">
        <f aca="false">'Player Data'!V697</f>
        <v>info@andijansc.uz</v>
      </c>
      <c r="Y697" s="28" t="str">
        <f aca="false">'Player Data'!W697</f>
        <v>Club youth/academy office ONLY - player is a minor, do not contact directly</v>
      </c>
      <c r="Z697" s="28" t="str">
        <f aca="false">'Player Data'!X697</f>
        <v>UFF (Uzbekistan Football Federation) player registry</v>
      </c>
      <c r="AA697" s="19" t="str">
        <f aca="false">HYPERLINK("https://www.transfermarkt.com/schnellsuche/ergebnis/schnellsuche?query="&amp;SUBSTITUTE(A697," ","+"),"Search Transfermarkt")</f>
        <v>Search Transfermarkt</v>
      </c>
      <c r="AB697" s="29" t="n">
        <f aca="false">IFERROR('Player Data'!K697/('Player Data'!K697+'Player Data'!L697),0)</f>
        <v>0.764705882352941</v>
      </c>
      <c r="AC697" s="21" t="str">
        <f aca="false">IF(B697="GK",IF(AND(O697&gt;=Assumptions!$B$23,N697&gt;=Assumptions!$B$23),"Sweeper-Keeper / Build-from-the-Back",IF(O697&gt;=Assumptions!$B$23,"Sweeper-Keeper / High Line",IF(M697&gt;=Assumptions!$B$23,"Shot-Stopper / Traditional","Flexible / Multi-System"))),IF(AND(O697&gt;=Assumptions!$B$23,P697&gt;=Assumptions!$B$24),"High Press / Gegenpressing",IF(AND(N697&gt;=Assumptions!$B$23,AB697&gt;=Assumptions!$B$25),"Possession / Build-from-the-Back",IF(N697&gt;=Assumptions!$B$23,"Counter-Attack / Transition",IF(AND(O697&gt;=Assumptions!$B$23,N697&lt;Assumptions!$B$26),"Low Block / Park the Bus",IF(AND(B697="FW",M697&gt;=Assumptions!$B$23,N697&lt;Assumptions!$B$26),"Direct / Target Approach","Flexible / Multi-System"))))))</f>
        <v>Sweeper-Keeper / High Line</v>
      </c>
      <c r="AD697" s="21" t="str">
        <f aca="false">'Player Data'!Y697</f>
        <v>2026-07-17</v>
      </c>
      <c r="AE697" s="21" t="str">
        <f aca="false">'Player Data'!Z697</f>
        <v>2026-07-17</v>
      </c>
      <c r="AF697" s="28" t="str">
        <f aca="false">IFERROR(INDEX(Assumptions!$B$30:$B$61,MATCH(C697,Assumptions!$A$30:$A$61,0)),"--")</f>
        <v>Turkey, Saudi Arabia</v>
      </c>
      <c r="AG697" s="30" t="str">
        <f aca="false">IF(R697&gt;=0.7,"Step-Up Candidate",IF(R697&gt;=0.4,"Lateral Move","Stay &amp; Develop"))</f>
        <v>Step-Up Candidate</v>
      </c>
    </row>
    <row r="698" customFormat="false" ht="23.85" hidden="false" customHeight="false" outlineLevel="0" collapsed="false">
      <c r="A698" s="21" t="str">
        <f aca="false">'Player Data'!A698</f>
        <v>Bakary Keita</v>
      </c>
      <c r="B698" s="21" t="str">
        <f aca="false">'Player Data'!F698</f>
        <v>DF</v>
      </c>
      <c r="C698" s="21" t="str">
        <f aca="false">'Player Data'!B698</f>
        <v>Mali</v>
      </c>
      <c r="D698" s="21" t="str">
        <f aca="false">'Player Data'!C698</f>
        <v>Mali Second Division - East</v>
      </c>
      <c r="E698" s="21" t="n">
        <f aca="false">'Player Data'!D698</f>
        <v>2</v>
      </c>
      <c r="F698" s="21" t="n">
        <f aca="false">'Player Data'!G698</f>
        <v>24</v>
      </c>
      <c r="G698" s="21" t="n">
        <f aca="false">'Player Data'!H698</f>
        <v>911</v>
      </c>
      <c r="H698" s="22" t="n">
        <f aca="false">IF(B698="GK",IFERROR(('Player Data'!N698-1.5*'Player Data'!O698)/'Player Data'!H698*90,0),IFERROR(('Player Data'!I698+'Player Data'!J698)/'Player Data'!H698*90,0))</f>
        <v>0.197585071350165</v>
      </c>
      <c r="I698" s="22" t="n">
        <f aca="false">IF(B698="GK",'Player Data'!P698,IFERROR(('Player Data'!K698+'Player Data'!L698)/'Player Data'!H698*90,0))</f>
        <v>9.78046103183315</v>
      </c>
      <c r="J698" s="22" t="n">
        <f aca="false">IF(B698="GK",IFERROR('Player Data'!Q698/'Player Data'!H698*90,0),IFERROR('Player Data'!M698/'Player Data'!H698*90,0))</f>
        <v>7.50823271130626</v>
      </c>
      <c r="K698" s="23" t="n">
        <f aca="false">'Player Data'!S698</f>
        <v>29842</v>
      </c>
      <c r="L698" s="22" t="n">
        <f aca="false">INDEX(Assumptions!$B$13:$B$15,MATCH(E698,Assumptions!$A$13:$A$15,0))</f>
        <v>1</v>
      </c>
      <c r="M698" s="24" t="n">
        <f aca="false">IFERROR(SUMPRODUCT(($B$2:$B$1001=B698)*($H$2:$H$1001&lt;=H698))/SUMPRODUCT(($B$2:$B$1001=B698)*1),0)</f>
        <v>0.523809523809524</v>
      </c>
      <c r="N698" s="24" t="n">
        <f aca="false">IFERROR(SUMPRODUCT(($B$2:$B$1001=B698)*($I$2:$I$1001&lt;=I698))/SUMPRODUCT(($B$2:$B$1001=B698)*1),0)</f>
        <v>0.979591836734694</v>
      </c>
      <c r="O698" s="24" t="n">
        <f aca="false">IFERROR(SUMPRODUCT(($B$2:$B$1001=B698)*($J$2:$J$1001&lt;=J698))/SUMPRODUCT(($B$2:$B$1001=B698)*1),0)</f>
        <v>0.806122448979592</v>
      </c>
      <c r="P698" s="24" t="n">
        <f aca="false">IFERROR(SUMPRODUCT(($B$2:$B$1001=B698)*((0-$F$2:$F$1001)&lt;=(0-F698)))/SUMPRODUCT(($B$2:$B$1001=B698)*1),0)</f>
        <v>0.275510204081633</v>
      </c>
      <c r="Q698" s="25" t="n">
        <f aca="false">(M698*Assumptions!$B$5+N698*Assumptions!$B$6+O698*Assumptions!$B$7+P698*Assumptions!$B$8)*L698</f>
        <v>0.690136054421769</v>
      </c>
      <c r="R698" s="24" t="n">
        <f aca="false">IFERROR(SUMPRODUCT(($B$2:$B$1001=B698)*($Q$2:$Q$1001&lt;=Q698))/SUMPRODUCT(($B$2:$B$1001=B698)*1),0)</f>
        <v>0.870748299319728</v>
      </c>
      <c r="S698" s="24" t="n">
        <f aca="false">IFERROR(SUMPRODUCT(($B$2:$B$1001=B698)*($K$2:$K$1001&lt;=K698))/SUMPRODUCT(($B$2:$B$1001=B698)*1),0)</f>
        <v>0.36734693877551</v>
      </c>
      <c r="T698" s="26" t="n">
        <f aca="false">(R698-S698)*100</f>
        <v>50.3401360544218</v>
      </c>
      <c r="U698" s="21" t="str">
        <f aca="false">'Player Data'!T698</f>
        <v>No</v>
      </c>
      <c r="V698" s="27" t="n">
        <f aca="false">'Player Data'!U698</f>
        <v>2027</v>
      </c>
      <c r="W698" s="21" t="str">
        <f aca="false">IF(AND(T698&gt;=Assumptions!$B$19,U698="No"),"High Priority - Unrepresented",IF(T698&gt;=Assumptions!$B$19,"High Priority",IF(AND(T698&gt;=Assumptions!$B$20,U698="No"),"Watchlist - Unrepresented",IF(T698&gt;=Assumptions!$B$20,"Watchlist",""))))</f>
        <v>High Priority - Unrepresented</v>
      </c>
      <c r="X698" s="21" t="str">
        <f aca="false">'Player Data'!V698</f>
        <v>info@moptisc.ml</v>
      </c>
      <c r="Y698" s="28" t="str">
        <f aca="false">'Player Data'!W698</f>
        <v>Club sporting director / first-team office</v>
      </c>
      <c r="Z698" s="28" t="str">
        <f aca="false">'Player Data'!X698</f>
        <v>FEMAFOOT (Malian Football Federation) player registry</v>
      </c>
      <c r="AA698" s="19" t="str">
        <f aca="false">HYPERLINK("https://www.transfermarkt.com/schnellsuche/ergebnis/schnellsuche?query="&amp;SUBSTITUTE(A698," ","+"),"Search Transfermarkt")</f>
        <v>Search Transfermarkt</v>
      </c>
      <c r="AB698" s="29" t="n">
        <f aca="false">IFERROR('Player Data'!K698/('Player Data'!K698+'Player Data'!L698),0)</f>
        <v>0.686868686868687</v>
      </c>
      <c r="AC698" s="21" t="str">
        <f aca="false">IF(B698="GK",IF(AND(O698&gt;=Assumptions!$B$23,N698&gt;=Assumptions!$B$23),"Sweeper-Keeper / Build-from-the-Back",IF(O698&gt;=Assumptions!$B$23,"Sweeper-Keeper / High Line",IF(M698&gt;=Assumptions!$B$23,"Shot-Stopper / Traditional","Flexible / Multi-System"))),IF(AND(O698&gt;=Assumptions!$B$23,P698&gt;=Assumptions!$B$24),"High Press / Gegenpressing",IF(AND(N698&gt;=Assumptions!$B$23,AB698&gt;=Assumptions!$B$25),"Possession / Build-from-the-Back",IF(N698&gt;=Assumptions!$B$23,"Counter-Attack / Transition",IF(AND(O698&gt;=Assumptions!$B$23,N698&lt;Assumptions!$B$26),"Low Block / Park the Bus",IF(AND(B698="FW",M698&gt;=Assumptions!$B$23,N698&lt;Assumptions!$B$26),"Direct / Target Approach","Flexible / Multi-System"))))))</f>
        <v>Possession / Build-from-the-Back</v>
      </c>
      <c r="AD698" s="21" t="str">
        <f aca="false">'Player Data'!Y698</f>
        <v>2026-07-17</v>
      </c>
      <c r="AE698" s="21" t="str">
        <f aca="false">'Player Data'!Z698</f>
        <v>2026-07-17</v>
      </c>
      <c r="AF698" s="28" t="str">
        <f aca="false">IFERROR(INDEX(Assumptions!$B$30:$B$61,MATCH(C698,Assumptions!$A$30:$A$61,0)),"--")</f>
        <v>Belgium, Portugal</v>
      </c>
      <c r="AG698" s="30" t="str">
        <f aca="false">IF(R698&gt;=0.7,"Step-Up Candidate",IF(R698&gt;=0.4,"Lateral Move","Stay &amp; Develop"))</f>
        <v>Step-Up Candidate</v>
      </c>
    </row>
    <row r="699" customFormat="false" ht="23.85" hidden="false" customHeight="false" outlineLevel="0" collapsed="false">
      <c r="A699" s="21" t="str">
        <f aca="false">'Player Data'!A699</f>
        <v>Andre Barrios</v>
      </c>
      <c r="B699" s="21" t="str">
        <f aca="false">'Player Data'!F699</f>
        <v>GK</v>
      </c>
      <c r="C699" s="21" t="str">
        <f aca="false">'Player Data'!B699</f>
        <v>Panama</v>
      </c>
      <c r="D699" s="21" t="str">
        <f aca="false">'Player Data'!C699</f>
        <v>Panama Third Tier - North</v>
      </c>
      <c r="E699" s="21" t="n">
        <f aca="false">'Player Data'!D699</f>
        <v>2</v>
      </c>
      <c r="F699" s="21" t="n">
        <f aca="false">'Player Data'!G699</f>
        <v>25</v>
      </c>
      <c r="G699" s="21" t="n">
        <f aca="false">'Player Data'!H699</f>
        <v>2405</v>
      </c>
      <c r="H699" s="22" t="n">
        <f aca="false">IF(B699="GK",IFERROR(('Player Data'!N699-1.5*'Player Data'!O699)/'Player Data'!H699*90,0),IFERROR(('Player Data'!I699+'Player Data'!J699)/'Player Data'!H699*90,0))</f>
        <v>1.75883575883576</v>
      </c>
      <c r="I699" s="22" t="n">
        <f aca="false">IF(B699="GK",'Player Data'!P699,IFERROR(('Player Data'!K699+'Player Data'!L699)/'Player Data'!H699*90,0))</f>
        <v>69.4</v>
      </c>
      <c r="J699" s="22" t="n">
        <f aca="false">IF(B699="GK",IFERROR('Player Data'!Q699/'Player Data'!H699*90,0),IFERROR('Player Data'!M699/'Player Data'!H699*90,0))</f>
        <v>0.808316008316008</v>
      </c>
      <c r="K699" s="23" t="n">
        <f aca="false">'Player Data'!S699</f>
        <v>84858</v>
      </c>
      <c r="L699" s="22" t="n">
        <f aca="false">INDEX(Assumptions!$B$13:$B$15,MATCH(E699,Assumptions!$A$13:$A$15,0))</f>
        <v>1</v>
      </c>
      <c r="M699" s="24" t="n">
        <f aca="false">IFERROR(SUMPRODUCT(($B$2:$B$1001=B699)*($H$2:$H$1001&lt;=H699))/SUMPRODUCT(($B$2:$B$1001=B699)*1),0)</f>
        <v>0.80327868852459</v>
      </c>
      <c r="N699" s="24" t="n">
        <f aca="false">IFERROR(SUMPRODUCT(($B$2:$B$1001=B699)*($I$2:$I$1001&lt;=I699))/SUMPRODUCT(($B$2:$B$1001=B699)*1),0)</f>
        <v>0.382513661202186</v>
      </c>
      <c r="O699" s="24" t="n">
        <f aca="false">IFERROR(SUMPRODUCT(($B$2:$B$1001=B699)*($J$2:$J$1001&lt;=J699))/SUMPRODUCT(($B$2:$B$1001=B699)*1),0)</f>
        <v>0.453551912568306</v>
      </c>
      <c r="P699" s="24" t="n">
        <f aca="false">IFERROR(SUMPRODUCT(($B$2:$B$1001=B699)*((0-$F$2:$F$1001)&lt;=(0-F699)))/SUMPRODUCT(($B$2:$B$1001=B699)*1),0)</f>
        <v>0.240437158469945</v>
      </c>
      <c r="Q699" s="25" t="n">
        <f aca="false">(M699*Assumptions!$B$5+N699*Assumptions!$B$6+O699*Assumptions!$B$7+P699*Assumptions!$B$8)*L699</f>
        <v>0.473497267759563</v>
      </c>
      <c r="R699" s="24" t="n">
        <f aca="false">IFERROR(SUMPRODUCT(($B$2:$B$1001=B699)*($Q$2:$Q$1001&lt;=Q699))/SUMPRODUCT(($B$2:$B$1001=B699)*1),0)</f>
        <v>0.519125683060109</v>
      </c>
      <c r="S699" s="24" t="n">
        <f aca="false">IFERROR(SUMPRODUCT(($B$2:$B$1001=B699)*($K$2:$K$1001&lt;=K699))/SUMPRODUCT(($B$2:$B$1001=B699)*1),0)</f>
        <v>0.595628415300546</v>
      </c>
      <c r="T699" s="26" t="n">
        <f aca="false">(R699-S699)*100</f>
        <v>-7.65027322404371</v>
      </c>
      <c r="U699" s="21" t="str">
        <f aca="false">'Player Data'!T699</f>
        <v>No</v>
      </c>
      <c r="V699" s="27" t="n">
        <f aca="false">'Player Data'!U699</f>
        <v>2029</v>
      </c>
      <c r="W699" s="21" t="str">
        <f aca="false">IF(AND(T699&gt;=Assumptions!$B$19,U699="No"),"High Priority - Unrepresented",IF(T699&gt;=Assumptions!$B$19,"High Priority",IF(AND(T699&gt;=Assumptions!$B$20,U699="No"),"Watchlist - Unrepresented",IF(T699&gt;=Assumptions!$B$20,"Watchlist",""))))</f>
        <v/>
      </c>
      <c r="X699" s="21" t="str">
        <f aca="false">'Player Data'!V699</f>
        <v>info@colonunited.pa</v>
      </c>
      <c r="Y699" s="28" t="str">
        <f aca="false">'Player Data'!W699</f>
        <v>Club sporting director / first-team office</v>
      </c>
      <c r="Z699" s="28" t="str">
        <f aca="false">'Player Data'!X699</f>
        <v>FEPAFUT (Panamanian Football Federation) player registry</v>
      </c>
      <c r="AA699" s="19" t="str">
        <f aca="false">HYPERLINK("https://www.transfermarkt.com/schnellsuche/ergebnis/schnellsuche?query="&amp;SUBSTITUTE(A699," ","+"),"Search Transfermarkt")</f>
        <v>Search Transfermarkt</v>
      </c>
      <c r="AB699" s="29" t="n">
        <f aca="false">IFERROR('Player Data'!K699/('Player Data'!K699+'Player Data'!L699),0)</f>
        <v>0.769230769230769</v>
      </c>
      <c r="AC699" s="21" t="str">
        <f aca="false">IF(B699="GK",IF(AND(O699&gt;=Assumptions!$B$23,N699&gt;=Assumptions!$B$23),"Sweeper-Keeper / Build-from-the-Back",IF(O699&gt;=Assumptions!$B$23,"Sweeper-Keeper / High Line",IF(M699&gt;=Assumptions!$B$23,"Shot-Stopper / Traditional","Flexible / Multi-System"))),IF(AND(O699&gt;=Assumptions!$B$23,P699&gt;=Assumptions!$B$24),"High Press / Gegenpressing",IF(AND(N699&gt;=Assumptions!$B$23,AB699&gt;=Assumptions!$B$25),"Possession / Build-from-the-Back",IF(N699&gt;=Assumptions!$B$23,"Counter-Attack / Transition",IF(AND(O699&gt;=Assumptions!$B$23,N699&lt;Assumptions!$B$26),"Low Block / Park the Bus",IF(AND(B699="FW",M699&gt;=Assumptions!$B$23,N699&lt;Assumptions!$B$26),"Direct / Target Approach","Flexible / Multi-System"))))))</f>
        <v>Shot-Stopper / Traditional</v>
      </c>
      <c r="AD699" s="21" t="str">
        <f aca="false">'Player Data'!Y699</f>
        <v>2026-07-17</v>
      </c>
      <c r="AE699" s="21" t="str">
        <f aca="false">'Player Data'!Z699</f>
        <v>2026-07-17</v>
      </c>
      <c r="AF699" s="28" t="str">
        <f aca="false">IFERROR(INDEX(Assumptions!$B$30:$B$61,MATCH(C699,Assumptions!$A$30:$A$61,0)),"--")</f>
        <v>Mexico, United States</v>
      </c>
      <c r="AG699" s="30" t="str">
        <f aca="false">IF(R699&gt;=0.7,"Step-Up Candidate",IF(R699&gt;=0.4,"Lateral Move","Stay &amp; Develop"))</f>
        <v>Lateral Move</v>
      </c>
    </row>
    <row r="700" customFormat="false" ht="23.85" hidden="false" customHeight="false" outlineLevel="0" collapsed="false">
      <c r="A700" s="21" t="str">
        <f aca="false">'Player Data'!A700</f>
        <v>Patrick Onana</v>
      </c>
      <c r="B700" s="21" t="str">
        <f aca="false">'Player Data'!F700</f>
        <v>FW</v>
      </c>
      <c r="C700" s="21" t="str">
        <f aca="false">'Player Data'!B700</f>
        <v>Cameroon</v>
      </c>
      <c r="D700" s="21" t="str">
        <f aca="false">'Player Data'!C700</f>
        <v>Cameroon Provincial League</v>
      </c>
      <c r="E700" s="21" t="n">
        <f aca="false">'Player Data'!D700</f>
        <v>3</v>
      </c>
      <c r="F700" s="21" t="n">
        <f aca="false">'Player Data'!G700</f>
        <v>18</v>
      </c>
      <c r="G700" s="21" t="n">
        <f aca="false">'Player Data'!H700</f>
        <v>1798</v>
      </c>
      <c r="H700" s="22" t="n">
        <f aca="false">IF(B700="GK",IFERROR(('Player Data'!N700-1.5*'Player Data'!O700)/'Player Data'!H700*90,0),IFERROR(('Player Data'!I700+'Player Data'!J700)/'Player Data'!H700*90,0))</f>
        <v>1.10122358175751</v>
      </c>
      <c r="I700" s="22" t="n">
        <f aca="false">IF(B700="GK",'Player Data'!P700,IFERROR(('Player Data'!K700+'Player Data'!L700)/'Player Data'!H700*90,0))</f>
        <v>6.15684093437152</v>
      </c>
      <c r="J700" s="22" t="n">
        <f aca="false">IF(B700="GK",IFERROR('Player Data'!Q700/'Player Data'!H700*90,0),IFERROR('Player Data'!M700/'Player Data'!H700*90,0))</f>
        <v>0.400444938820912</v>
      </c>
      <c r="K700" s="23" t="n">
        <f aca="false">'Player Data'!S700</f>
        <v>32286</v>
      </c>
      <c r="L700" s="22" t="n">
        <f aca="false">INDEX(Assumptions!$B$13:$B$15,MATCH(E700,Assumptions!$A$13:$A$15,0))</f>
        <v>0.85</v>
      </c>
      <c r="M700" s="24" t="n">
        <f aca="false">IFERROR(SUMPRODUCT(($B$2:$B$1001=B700)*($H$2:$H$1001&lt;=H700))/SUMPRODUCT(($B$2:$B$1001=B700)*1),0)</f>
        <v>0.619469026548673</v>
      </c>
      <c r="N700" s="24" t="n">
        <f aca="false">IFERROR(SUMPRODUCT(($B$2:$B$1001=B700)*($I$2:$I$1001&lt;=I700))/SUMPRODUCT(($B$2:$B$1001=B700)*1),0)</f>
        <v>0.446902654867257</v>
      </c>
      <c r="O700" s="24" t="n">
        <f aca="false">IFERROR(SUMPRODUCT(($B$2:$B$1001=B700)*($J$2:$J$1001&lt;=J700))/SUMPRODUCT(($B$2:$B$1001=B700)*1),0)</f>
        <v>0.34070796460177</v>
      </c>
      <c r="P700" s="24" t="n">
        <f aca="false">IFERROR(SUMPRODUCT(($B$2:$B$1001=B700)*((0-$F$2:$F$1001)&lt;=(0-F700)))/SUMPRODUCT(($B$2:$B$1001=B700)*1),0)</f>
        <v>0.915929203539823</v>
      </c>
      <c r="Q700" s="25" t="n">
        <f aca="false">(M700*Assumptions!$B$5+N700*Assumptions!$B$6+O700*Assumptions!$B$7+P700*Assumptions!$B$8)*L700</f>
        <v>0.478219026548673</v>
      </c>
      <c r="R700" s="24" t="n">
        <f aca="false">IFERROR(SUMPRODUCT(($B$2:$B$1001=B700)*($Q$2:$Q$1001&lt;=Q700))/SUMPRODUCT(($B$2:$B$1001=B700)*1),0)</f>
        <v>0.566371681415929</v>
      </c>
      <c r="S700" s="24" t="n">
        <f aca="false">IFERROR(SUMPRODUCT(($B$2:$B$1001=B700)*($K$2:$K$1001&lt;=K700))/SUMPRODUCT(($B$2:$B$1001=B700)*1),0)</f>
        <v>0.367256637168142</v>
      </c>
      <c r="T700" s="26" t="n">
        <f aca="false">(R700-S700)*100</f>
        <v>19.9115044247788</v>
      </c>
      <c r="U700" s="21" t="str">
        <f aca="false">'Player Data'!T700</f>
        <v>Unknown</v>
      </c>
      <c r="V700" s="27" t="n">
        <f aca="false">'Player Data'!U700</f>
        <v>2028</v>
      </c>
      <c r="W700" s="21" t="str">
        <f aca="false">IF(AND(T700&gt;=Assumptions!$B$19,U700="No"),"High Priority - Unrepresented",IF(T700&gt;=Assumptions!$B$19,"High Priority",IF(AND(T700&gt;=Assumptions!$B$20,U700="No"),"Watchlist - Unrepresented",IF(T700&gt;=Assumptions!$B$20,"Watchlist",""))))</f>
        <v/>
      </c>
      <c r="X700" s="21" t="str">
        <f aca="false">'Player Data'!V700</f>
        <v>info@doualacity.cm</v>
      </c>
      <c r="Y700" s="28" t="str">
        <f aca="false">'Player Data'!W700</f>
        <v>Club sporting director / first-team office</v>
      </c>
      <c r="Z700" s="28" t="str">
        <f aca="false">'Player Data'!X700</f>
        <v>FECAFOOT (Cameroonian Football Federation) player registry</v>
      </c>
      <c r="AA700" s="19" t="str">
        <f aca="false">HYPERLINK("https://www.transfermarkt.com/schnellsuche/ergebnis/schnellsuche?query="&amp;SUBSTITUTE(A700," ","+"),"Search Transfermarkt")</f>
        <v>Search Transfermarkt</v>
      </c>
      <c r="AB700" s="29" t="n">
        <f aca="false">IFERROR('Player Data'!K700/('Player Data'!K700+'Player Data'!L700),0)</f>
        <v>0.252032520325203</v>
      </c>
      <c r="AC700" s="21" t="str">
        <f aca="false">IF(B700="GK",IF(AND(O700&gt;=Assumptions!$B$23,N700&gt;=Assumptions!$B$23),"Sweeper-Keeper / Build-from-the-Back",IF(O700&gt;=Assumptions!$B$23,"Sweeper-Keeper / High Line",IF(M700&gt;=Assumptions!$B$23,"Shot-Stopper / Traditional","Flexible / Multi-System"))),IF(AND(O700&gt;=Assumptions!$B$23,P700&gt;=Assumptions!$B$24),"High Press / Gegenpressing",IF(AND(N700&gt;=Assumptions!$B$23,AB700&gt;=Assumptions!$B$25),"Possession / Build-from-the-Back",IF(N700&gt;=Assumptions!$B$23,"Counter-Attack / Transition",IF(AND(O700&gt;=Assumptions!$B$23,N700&lt;Assumptions!$B$26),"Low Block / Park the Bus",IF(AND(B700="FW",M700&gt;=Assumptions!$B$23,N700&lt;Assumptions!$B$26),"Direct / Target Approach","Flexible / Multi-System"))))))</f>
        <v>Flexible / Multi-System</v>
      </c>
      <c r="AD700" s="21" t="str">
        <f aca="false">'Player Data'!Y700</f>
        <v>2026-07-17</v>
      </c>
      <c r="AE700" s="21" t="str">
        <f aca="false">'Player Data'!Z700</f>
        <v>2026-07-17</v>
      </c>
      <c r="AF700" s="28" t="str">
        <f aca="false">IFERROR(INDEX(Assumptions!$B$30:$B$61,MATCH(C700,Assumptions!$A$30:$A$61,0)),"--")</f>
        <v>Belgium, Portugal</v>
      </c>
      <c r="AG700" s="30" t="str">
        <f aca="false">IF(R700&gt;=0.7,"Step-Up Candidate",IF(R700&gt;=0.4,"Lateral Move","Stay &amp; Develop"))</f>
        <v>Lateral Move</v>
      </c>
    </row>
    <row r="701" customFormat="false" ht="23.85" hidden="false" customHeight="false" outlineLevel="0" collapsed="false">
      <c r="A701" s="21" t="str">
        <f aca="false">'Player Data'!A701</f>
        <v>Bojan Stankovic</v>
      </c>
      <c r="B701" s="21" t="str">
        <f aca="false">'Player Data'!F701</f>
        <v>FW</v>
      </c>
      <c r="C701" s="21" t="str">
        <f aca="false">'Player Data'!B701</f>
        <v>Serbia</v>
      </c>
      <c r="D701" s="21" t="str">
        <f aca="false">'Player Data'!C701</f>
        <v>Serbia Second Division - East</v>
      </c>
      <c r="E701" s="21" t="n">
        <f aca="false">'Player Data'!D701</f>
        <v>2</v>
      </c>
      <c r="F701" s="21" t="n">
        <f aca="false">'Player Data'!G701</f>
        <v>19</v>
      </c>
      <c r="G701" s="21" t="n">
        <f aca="false">'Player Data'!H701</f>
        <v>1103</v>
      </c>
      <c r="H701" s="22" t="n">
        <f aca="false">IF(B701="GK",IFERROR(('Player Data'!N701-1.5*'Player Data'!O701)/'Player Data'!H701*90,0),IFERROR(('Player Data'!I701+'Player Data'!J701)/'Player Data'!H701*90,0))</f>
        <v>1.4687216681777</v>
      </c>
      <c r="I701" s="22" t="n">
        <f aca="false">IF(B701="GK",'Player Data'!P701,IFERROR(('Player Data'!K701+'Player Data'!L701)/'Player Data'!H701*90,0))</f>
        <v>11.260199456029</v>
      </c>
      <c r="J701" s="22" t="n">
        <f aca="false">IF(B701="GK",IFERROR('Player Data'!Q701/'Player Data'!H701*90,0),IFERROR('Player Data'!M701/'Player Data'!H701*90,0))</f>
        <v>1.06074342701723</v>
      </c>
      <c r="K701" s="23" t="n">
        <f aca="false">'Player Data'!S701</f>
        <v>0</v>
      </c>
      <c r="L701" s="22" t="n">
        <f aca="false">INDEX(Assumptions!$B$13:$B$15,MATCH(E701,Assumptions!$A$13:$A$15,0))</f>
        <v>1</v>
      </c>
      <c r="M701" s="24" t="n">
        <f aca="false">IFERROR(SUMPRODUCT(($B$2:$B$1001=B701)*($H$2:$H$1001&lt;=H701))/SUMPRODUCT(($B$2:$B$1001=B701)*1),0)</f>
        <v>0.823008849557522</v>
      </c>
      <c r="N701" s="24" t="n">
        <f aca="false">IFERROR(SUMPRODUCT(($B$2:$B$1001=B701)*($I$2:$I$1001&lt;=I701))/SUMPRODUCT(($B$2:$B$1001=B701)*1),0)</f>
        <v>0.893805309734513</v>
      </c>
      <c r="O701" s="24" t="n">
        <f aca="false">IFERROR(SUMPRODUCT(($B$2:$B$1001=B701)*($J$2:$J$1001&lt;=J701))/SUMPRODUCT(($B$2:$B$1001=B701)*1),0)</f>
        <v>0.920353982300885</v>
      </c>
      <c r="P701" s="24" t="n">
        <f aca="false">IFERROR(SUMPRODUCT(($B$2:$B$1001=B701)*((0-$F$2:$F$1001)&lt;=(0-F701)))/SUMPRODUCT(($B$2:$B$1001=B701)*1),0)</f>
        <v>0.831858407079646</v>
      </c>
      <c r="Q701" s="25" t="n">
        <f aca="false">(M701*Assumptions!$B$5+N701*Assumptions!$B$6+O701*Assumptions!$B$7+P701*Assumptions!$B$8)*L701</f>
        <v>0.869026548672566</v>
      </c>
      <c r="R701" s="24" t="n">
        <f aca="false">IFERROR(SUMPRODUCT(($B$2:$B$1001=B701)*($Q$2:$Q$1001&lt;=Q701))/SUMPRODUCT(($B$2:$B$1001=B701)*1),0)</f>
        <v>0.969026548672566</v>
      </c>
      <c r="S701" s="24" t="n">
        <f aca="false">IFERROR(SUMPRODUCT(($B$2:$B$1001=B701)*($K$2:$K$1001&lt;=K701))/SUMPRODUCT(($B$2:$B$1001=B701)*1),0)</f>
        <v>0.261061946902655</v>
      </c>
      <c r="T701" s="26" t="n">
        <f aca="false">(R701-S701)*100</f>
        <v>70.7964601769912</v>
      </c>
      <c r="U701" s="21" t="str">
        <f aca="false">'Player Data'!T701</f>
        <v>Yes</v>
      </c>
      <c r="V701" s="27" t="n">
        <f aca="false">'Player Data'!U701</f>
        <v>2026</v>
      </c>
      <c r="W701" s="21" t="str">
        <f aca="false">IF(AND(T701&gt;=Assumptions!$B$19,U701="No"),"High Priority - Unrepresented",IF(T701&gt;=Assumptions!$B$19,"High Priority",IF(AND(T701&gt;=Assumptions!$B$20,U701="No"),"Watchlist - Unrepresented",IF(T701&gt;=Assumptions!$B$20,"Watchlist",""))))</f>
        <v>High Priority</v>
      </c>
      <c r="X701" s="21" t="str">
        <f aca="false">'Player Data'!V701</f>
        <v>info@nisrovers.rs</v>
      </c>
      <c r="Y701" s="28" t="str">
        <f aca="false">'Player Data'!W701</f>
        <v>Go through the player's agent - ask the club to confirm representation first</v>
      </c>
      <c r="Z701" s="28" t="str">
        <f aca="false">'Player Data'!X701</f>
        <v>FSS (Football Association of Serbia) player registry</v>
      </c>
      <c r="AA701" s="19" t="str">
        <f aca="false">HYPERLINK("https://www.transfermarkt.com/schnellsuche/ergebnis/schnellsuche?query="&amp;SUBSTITUTE(A701," ","+"),"Search Transfermarkt")</f>
        <v>Search Transfermarkt</v>
      </c>
      <c r="AB701" s="29" t="n">
        <f aca="false">IFERROR('Player Data'!K701/('Player Data'!K701+'Player Data'!L701),0)</f>
        <v>0.326086956521739</v>
      </c>
      <c r="AC701" s="21" t="str">
        <f aca="false">IF(B701="GK",IF(AND(O701&gt;=Assumptions!$B$23,N701&gt;=Assumptions!$B$23),"Sweeper-Keeper / Build-from-the-Back",IF(O701&gt;=Assumptions!$B$23,"Sweeper-Keeper / High Line",IF(M701&gt;=Assumptions!$B$23,"Shot-Stopper / Traditional","Flexible / Multi-System"))),IF(AND(O701&gt;=Assumptions!$B$23,P701&gt;=Assumptions!$B$24),"High Press / Gegenpressing",IF(AND(N701&gt;=Assumptions!$B$23,AB701&gt;=Assumptions!$B$25),"Possession / Build-from-the-Back",IF(N701&gt;=Assumptions!$B$23,"Counter-Attack / Transition",IF(AND(O701&gt;=Assumptions!$B$23,N701&lt;Assumptions!$B$26),"Low Block / Park the Bus",IF(AND(B701="FW",M701&gt;=Assumptions!$B$23,N701&lt;Assumptions!$B$26),"Direct / Target Approach","Flexible / Multi-System"))))))</f>
        <v>High Press / Gegenpressing</v>
      </c>
      <c r="AD701" s="21" t="str">
        <f aca="false">'Player Data'!Y701</f>
        <v>2026-07-17</v>
      </c>
      <c r="AE701" s="21" t="str">
        <f aca="false">'Player Data'!Z701</f>
        <v>2026-07-17</v>
      </c>
      <c r="AF701" s="28" t="str">
        <f aca="false">IFERROR(INDEX(Assumptions!$B$30:$B$61,MATCH(C701,Assumptions!$A$30:$A$61,0)),"--")</f>
        <v>Austria, Turkey</v>
      </c>
      <c r="AG701" s="30" t="str">
        <f aca="false">IF(R701&gt;=0.7,"Step-Up Candidate",IF(R701&gt;=0.4,"Lateral Move","Stay &amp; Develop"))</f>
        <v>Step-Up Candidate</v>
      </c>
    </row>
    <row r="702" customFormat="false" ht="23.85" hidden="false" customHeight="false" outlineLevel="0" collapsed="false">
      <c r="A702" s="21" t="str">
        <f aca="false">'Player Data'!A702</f>
        <v>Cole Taylor</v>
      </c>
      <c r="B702" s="21" t="str">
        <f aca="false">'Player Data'!F702</f>
        <v>FW</v>
      </c>
      <c r="C702" s="21" t="str">
        <f aca="false">'Player Data'!B702</f>
        <v>New Zealand</v>
      </c>
      <c r="D702" s="21" t="str">
        <f aca="false">'Player Data'!C702</f>
        <v>New Zealand Regional League</v>
      </c>
      <c r="E702" s="21" t="n">
        <f aca="false">'Player Data'!D702</f>
        <v>2</v>
      </c>
      <c r="F702" s="21" t="n">
        <f aca="false">'Player Data'!G702</f>
        <v>17</v>
      </c>
      <c r="G702" s="21" t="n">
        <f aca="false">'Player Data'!H702</f>
        <v>1755</v>
      </c>
      <c r="H702" s="22" t="n">
        <f aca="false">IF(B702="GK",IFERROR(('Player Data'!N702-1.5*'Player Data'!O702)/'Player Data'!H702*90,0),IFERROR(('Player Data'!I702+'Player Data'!J702)/'Player Data'!H702*90,0))</f>
        <v>0.923076923076923</v>
      </c>
      <c r="I702" s="22" t="n">
        <f aca="false">IF(B702="GK",'Player Data'!P702,IFERROR(('Player Data'!K702+'Player Data'!L702)/'Player Data'!H702*90,0))</f>
        <v>5.74358974358974</v>
      </c>
      <c r="J702" s="22" t="n">
        <f aca="false">IF(B702="GK",IFERROR('Player Data'!Q702/'Player Data'!H702*90,0),IFERROR('Player Data'!M702/'Player Data'!H702*90,0))</f>
        <v>0.564102564102564</v>
      </c>
      <c r="K702" s="23" t="n">
        <f aca="false">'Player Data'!S702</f>
        <v>37441</v>
      </c>
      <c r="L702" s="22" t="n">
        <f aca="false">INDEX(Assumptions!$B$13:$B$15,MATCH(E702,Assumptions!$A$13:$A$15,0))</f>
        <v>1</v>
      </c>
      <c r="M702" s="24" t="n">
        <f aca="false">IFERROR(SUMPRODUCT(($B$2:$B$1001=B702)*($H$2:$H$1001&lt;=H702))/SUMPRODUCT(($B$2:$B$1001=B702)*1),0)</f>
        <v>0.433628318584071</v>
      </c>
      <c r="N702" s="24" t="n">
        <f aca="false">IFERROR(SUMPRODUCT(($B$2:$B$1001=B702)*($I$2:$I$1001&lt;=I702))/SUMPRODUCT(($B$2:$B$1001=B702)*1),0)</f>
        <v>0.380530973451327</v>
      </c>
      <c r="O702" s="24" t="n">
        <f aca="false">IFERROR(SUMPRODUCT(($B$2:$B$1001=B702)*($J$2:$J$1001&lt;=J702))/SUMPRODUCT(($B$2:$B$1001=B702)*1),0)</f>
        <v>0.592920353982301</v>
      </c>
      <c r="P702" s="24" t="n">
        <f aca="false">IFERROR(SUMPRODUCT(($B$2:$B$1001=B702)*((0-$F$2:$F$1001)&lt;=(0-F702)))/SUMPRODUCT(($B$2:$B$1001=B702)*1),0)</f>
        <v>1</v>
      </c>
      <c r="Q702" s="25" t="n">
        <f aca="false">(M702*Assumptions!$B$5+N702*Assumptions!$B$6+O702*Assumptions!$B$7+P702*Assumptions!$B$8)*L702</f>
        <v>0.560176991150442</v>
      </c>
      <c r="R702" s="24" t="n">
        <f aca="false">IFERROR(SUMPRODUCT(($B$2:$B$1001=B702)*($Q$2:$Q$1001&lt;=Q702))/SUMPRODUCT(($B$2:$B$1001=B702)*1),0)</f>
        <v>0.694690265486726</v>
      </c>
      <c r="S702" s="24" t="n">
        <f aca="false">IFERROR(SUMPRODUCT(($B$2:$B$1001=B702)*($K$2:$K$1001&lt;=K702))/SUMPRODUCT(($B$2:$B$1001=B702)*1),0)</f>
        <v>0.411504424778761</v>
      </c>
      <c r="T702" s="26" t="n">
        <f aca="false">(R702-S702)*100</f>
        <v>28.3185840707965</v>
      </c>
      <c r="U702" s="21" t="str">
        <f aca="false">'Player Data'!T702</f>
        <v>Yes</v>
      </c>
      <c r="V702" s="27" t="n">
        <f aca="false">'Player Data'!U702</f>
        <v>2028</v>
      </c>
      <c r="W702" s="21" t="str">
        <f aca="false">IF(AND(T702&gt;=Assumptions!$B$19,U702="No"),"High Priority - Unrepresented",IF(T702&gt;=Assumptions!$B$19,"High Priority",IF(AND(T702&gt;=Assumptions!$B$20,U702="No"),"Watchlist - Unrepresented",IF(T702&gt;=Assumptions!$B$20,"Watchlist",""))))</f>
        <v>Watchlist</v>
      </c>
      <c r="X702" s="21" t="str">
        <f aca="false">'Player Data'!V702</f>
        <v>info@wellingtoncity.nz</v>
      </c>
      <c r="Y702" s="28" t="str">
        <f aca="false">'Player Data'!W702</f>
        <v>Club youth/academy office ONLY - player is a minor, do not contact directly</v>
      </c>
      <c r="Z702" s="28" t="str">
        <f aca="false">'Player Data'!X702</f>
        <v>NZF (New Zealand Football) player registry</v>
      </c>
      <c r="AA702" s="19" t="str">
        <f aca="false">HYPERLINK("https://www.transfermarkt.com/schnellsuche/ergebnis/schnellsuche?query="&amp;SUBSTITUTE(A702," ","+"),"Search Transfermarkt")</f>
        <v>Search Transfermarkt</v>
      </c>
      <c r="AB702" s="29" t="n">
        <f aca="false">IFERROR('Player Data'!K702/('Player Data'!K702+'Player Data'!L702),0)</f>
        <v>0.455357142857143</v>
      </c>
      <c r="AC702" s="21" t="str">
        <f aca="false">IF(B702="GK",IF(AND(O702&gt;=Assumptions!$B$23,N702&gt;=Assumptions!$B$23),"Sweeper-Keeper / Build-from-the-Back",IF(O702&gt;=Assumptions!$B$23,"Sweeper-Keeper / High Line",IF(M702&gt;=Assumptions!$B$23,"Shot-Stopper / Traditional","Flexible / Multi-System"))),IF(AND(O702&gt;=Assumptions!$B$23,P702&gt;=Assumptions!$B$24),"High Press / Gegenpressing",IF(AND(N702&gt;=Assumptions!$B$23,AB702&gt;=Assumptions!$B$25),"Possession / Build-from-the-Back",IF(N702&gt;=Assumptions!$B$23,"Counter-Attack / Transition",IF(AND(O702&gt;=Assumptions!$B$23,N702&lt;Assumptions!$B$26),"Low Block / Park the Bus",IF(AND(B702="FW",M702&gt;=Assumptions!$B$23,N702&lt;Assumptions!$B$26),"Direct / Target Approach","Flexible / Multi-System"))))))</f>
        <v>Flexible / Multi-System</v>
      </c>
      <c r="AD702" s="21" t="str">
        <f aca="false">'Player Data'!Y702</f>
        <v>2026-07-17</v>
      </c>
      <c r="AE702" s="21" t="str">
        <f aca="false">'Player Data'!Z702</f>
        <v>2026-07-17</v>
      </c>
      <c r="AF702" s="28" t="str">
        <f aca="false">IFERROR(INDEX(Assumptions!$B$30:$B$61,MATCH(C702,Assumptions!$A$30:$A$61,0)),"--")</f>
        <v>Australia, United States</v>
      </c>
      <c r="AG702" s="30" t="str">
        <f aca="false">IF(R702&gt;=0.7,"Step-Up Candidate",IF(R702&gt;=0.4,"Lateral Move","Stay &amp; Develop"))</f>
        <v>Lateral Move</v>
      </c>
    </row>
    <row r="703" customFormat="false" ht="23.85" hidden="false" customHeight="false" outlineLevel="0" collapsed="false">
      <c r="A703" s="21" t="str">
        <f aca="false">'Player Data'!A703</f>
        <v>Aleksandar Nikolic</v>
      </c>
      <c r="B703" s="21" t="str">
        <f aca="false">'Player Data'!F703</f>
        <v>DF</v>
      </c>
      <c r="C703" s="21" t="str">
        <f aca="false">'Player Data'!B703</f>
        <v>Serbia</v>
      </c>
      <c r="D703" s="21" t="str">
        <f aca="false">'Player Data'!C703</f>
        <v>Serbia Regional League</v>
      </c>
      <c r="E703" s="21" t="n">
        <f aca="false">'Player Data'!D703</f>
        <v>3</v>
      </c>
      <c r="F703" s="21" t="n">
        <f aca="false">'Player Data'!G703</f>
        <v>23</v>
      </c>
      <c r="G703" s="21" t="n">
        <f aca="false">'Player Data'!H703</f>
        <v>1964</v>
      </c>
      <c r="H703" s="22" t="n">
        <f aca="false">IF(B703="GK",IFERROR(('Player Data'!N703-1.5*'Player Data'!O703)/'Player Data'!H703*90,0),IFERROR(('Player Data'!I703+'Player Data'!J703)/'Player Data'!H703*90,0))</f>
        <v>0.137474541751527</v>
      </c>
      <c r="I703" s="22" t="n">
        <f aca="false">IF(B703="GK",'Player Data'!P703,IFERROR(('Player Data'!K703+'Player Data'!L703)/'Player Data'!H703*90,0))</f>
        <v>4.35336048879837</v>
      </c>
      <c r="J703" s="22" t="n">
        <f aca="false">IF(B703="GK",IFERROR('Player Data'!Q703/'Player Data'!H703*90,0),IFERROR('Player Data'!M703/'Player Data'!H703*90,0))</f>
        <v>5.95723014256619</v>
      </c>
      <c r="K703" s="23" t="n">
        <f aca="false">'Player Data'!S703</f>
        <v>73082</v>
      </c>
      <c r="L703" s="22" t="n">
        <f aca="false">INDEX(Assumptions!$B$13:$B$15,MATCH(E703,Assumptions!$A$13:$A$15,0))</f>
        <v>0.85</v>
      </c>
      <c r="M703" s="24" t="n">
        <f aca="false">IFERROR(SUMPRODUCT(($B$2:$B$1001=B703)*($H$2:$H$1001&lt;=H703))/SUMPRODUCT(($B$2:$B$1001=B703)*1),0)</f>
        <v>0.319727891156463</v>
      </c>
      <c r="N703" s="24" t="n">
        <f aca="false">IFERROR(SUMPRODUCT(($B$2:$B$1001=B703)*($I$2:$I$1001&lt;=I703))/SUMPRODUCT(($B$2:$B$1001=B703)*1),0)</f>
        <v>0.476190476190476</v>
      </c>
      <c r="O703" s="24" t="n">
        <f aca="false">IFERROR(SUMPRODUCT(($B$2:$B$1001=B703)*($J$2:$J$1001&lt;=J703))/SUMPRODUCT(($B$2:$B$1001=B703)*1),0)</f>
        <v>0.619047619047619</v>
      </c>
      <c r="P703" s="24" t="n">
        <f aca="false">IFERROR(SUMPRODUCT(($B$2:$B$1001=B703)*((0-$F$2:$F$1001)&lt;=(0-F703)))/SUMPRODUCT(($B$2:$B$1001=B703)*1),0)</f>
        <v>0.374149659863946</v>
      </c>
      <c r="Q703" s="25" t="n">
        <f aca="false">(M703*Assumptions!$B$5+N703*Assumptions!$B$6+O703*Assumptions!$B$7+P703*Assumptions!$B$8)*L703</f>
        <v>0.378452380952381</v>
      </c>
      <c r="R703" s="24" t="n">
        <f aca="false">IFERROR(SUMPRODUCT(($B$2:$B$1001=B703)*($Q$2:$Q$1001&lt;=Q703))/SUMPRODUCT(($B$2:$B$1001=B703)*1),0)</f>
        <v>0.391156462585034</v>
      </c>
      <c r="S703" s="24" t="n">
        <f aca="false">IFERROR(SUMPRODUCT(($B$2:$B$1001=B703)*($K$2:$K$1001&lt;=K703))/SUMPRODUCT(($B$2:$B$1001=B703)*1),0)</f>
        <v>0.571428571428571</v>
      </c>
      <c r="T703" s="26" t="n">
        <f aca="false">(R703-S703)*100</f>
        <v>-18.0272108843537</v>
      </c>
      <c r="U703" s="21" t="str">
        <f aca="false">'Player Data'!T703</f>
        <v>Yes</v>
      </c>
      <c r="V703" s="27" t="n">
        <f aca="false">'Player Data'!U703</f>
        <v>2027</v>
      </c>
      <c r="W703" s="21" t="str">
        <f aca="false">IF(AND(T703&gt;=Assumptions!$B$19,U703="No"),"High Priority - Unrepresented",IF(T703&gt;=Assumptions!$B$19,"High Priority",IF(AND(T703&gt;=Assumptions!$B$20,U703="No"),"Watchlist - Unrepresented",IF(T703&gt;=Assumptions!$B$20,"Watchlist",""))))</f>
        <v/>
      </c>
      <c r="X703" s="21" t="str">
        <f aca="false">'Player Data'!V703</f>
        <v>info@vojvodinafc.rs</v>
      </c>
      <c r="Y703" s="28" t="str">
        <f aca="false">'Player Data'!W703</f>
        <v>Go through the player's agent - ask the club to confirm representation first</v>
      </c>
      <c r="Z703" s="28" t="str">
        <f aca="false">'Player Data'!X703</f>
        <v>FSS (Football Association of Serbia) player registry</v>
      </c>
      <c r="AA703" s="19" t="str">
        <f aca="false">HYPERLINK("https://www.transfermarkt.com/schnellsuche/ergebnis/schnellsuche?query="&amp;SUBSTITUTE(A703," ","+"),"Search Transfermarkt")</f>
        <v>Search Transfermarkt</v>
      </c>
      <c r="AB703" s="29" t="n">
        <f aca="false">IFERROR('Player Data'!K703/('Player Data'!K703+'Player Data'!L703),0)</f>
        <v>0.694736842105263</v>
      </c>
      <c r="AC703" s="21" t="str">
        <f aca="false">IF(B703="GK",IF(AND(O703&gt;=Assumptions!$B$23,N703&gt;=Assumptions!$B$23),"Sweeper-Keeper / Build-from-the-Back",IF(O703&gt;=Assumptions!$B$23,"Sweeper-Keeper / High Line",IF(M703&gt;=Assumptions!$B$23,"Shot-Stopper / Traditional","Flexible / Multi-System"))),IF(AND(O703&gt;=Assumptions!$B$23,P703&gt;=Assumptions!$B$24),"High Press / Gegenpressing",IF(AND(N703&gt;=Assumptions!$B$23,AB703&gt;=Assumptions!$B$25),"Possession / Build-from-the-Back",IF(N703&gt;=Assumptions!$B$23,"Counter-Attack / Transition",IF(AND(O703&gt;=Assumptions!$B$23,N703&lt;Assumptions!$B$26),"Low Block / Park the Bus",IF(AND(B703="FW",M703&gt;=Assumptions!$B$23,N703&lt;Assumptions!$B$26),"Direct / Target Approach","Flexible / Multi-System"))))))</f>
        <v>Flexible / Multi-System</v>
      </c>
      <c r="AD703" s="21" t="str">
        <f aca="false">'Player Data'!Y703</f>
        <v>2026-07-17</v>
      </c>
      <c r="AE703" s="21" t="str">
        <f aca="false">'Player Data'!Z703</f>
        <v>2026-07-17</v>
      </c>
      <c r="AF703" s="28" t="str">
        <f aca="false">IFERROR(INDEX(Assumptions!$B$30:$B$61,MATCH(C703,Assumptions!$A$30:$A$61,0)),"--")</f>
        <v>Austria, Turkey</v>
      </c>
      <c r="AG703" s="30" t="str">
        <f aca="false">IF(R703&gt;=0.7,"Step-Up Candidate",IF(R703&gt;=0.4,"Lateral Move","Stay &amp; Develop"))</f>
        <v>Stay &amp; Develop</v>
      </c>
    </row>
    <row r="704" customFormat="false" ht="23.85" hidden="false" customHeight="false" outlineLevel="0" collapsed="false">
      <c r="A704" s="21" t="str">
        <f aca="false">'Player Data'!A704</f>
        <v>Noah Smith</v>
      </c>
      <c r="B704" s="21" t="str">
        <f aca="false">'Player Data'!F704</f>
        <v>GK</v>
      </c>
      <c r="C704" s="21" t="str">
        <f aca="false">'Player Data'!B704</f>
        <v>New Zealand</v>
      </c>
      <c r="D704" s="21" t="str">
        <f aca="false">'Player Data'!C704</f>
        <v>New Zealand Third Tier - South</v>
      </c>
      <c r="E704" s="21" t="n">
        <f aca="false">'Player Data'!D704</f>
        <v>4</v>
      </c>
      <c r="F704" s="21" t="n">
        <f aca="false">'Player Data'!G704</f>
        <v>24</v>
      </c>
      <c r="G704" s="21" t="n">
        <f aca="false">'Player Data'!H704</f>
        <v>1838</v>
      </c>
      <c r="H704" s="22" t="n">
        <f aca="false">IF(B704="GK",IFERROR(('Player Data'!N704-1.5*'Player Data'!O704)/'Player Data'!H704*90,0),IFERROR(('Player Data'!I704+'Player Data'!J704)/'Player Data'!H704*90,0))</f>
        <v>0.58759521218716</v>
      </c>
      <c r="I704" s="22" t="n">
        <f aca="false">IF(B704="GK",'Player Data'!P704,IFERROR(('Player Data'!K704+'Player Data'!L704)/'Player Data'!H704*90,0))</f>
        <v>72.4</v>
      </c>
      <c r="J704" s="22" t="n">
        <f aca="false">IF(B704="GK",IFERROR('Player Data'!Q704/'Player Data'!H704*90,0),IFERROR('Player Data'!M704/'Player Data'!H704*90,0))</f>
        <v>1.23394994559304</v>
      </c>
      <c r="K704" s="23" t="n">
        <f aca="false">'Player Data'!S704</f>
        <v>130270</v>
      </c>
      <c r="L704" s="22" t="n">
        <f aca="false">INDEX(Assumptions!$B$13:$B$15,MATCH(E704,Assumptions!$A$13:$A$15,0))</f>
        <v>0.7</v>
      </c>
      <c r="M704" s="24" t="n">
        <f aca="false">IFERROR(SUMPRODUCT(($B$2:$B$1001=B704)*($H$2:$H$1001&lt;=H704))/SUMPRODUCT(($B$2:$B$1001=B704)*1),0)</f>
        <v>0.316939890710383</v>
      </c>
      <c r="N704" s="24" t="n">
        <f aca="false">IFERROR(SUMPRODUCT(($B$2:$B$1001=B704)*($I$2:$I$1001&lt;=I704))/SUMPRODUCT(($B$2:$B$1001=B704)*1),0)</f>
        <v>0.491803278688525</v>
      </c>
      <c r="O704" s="24" t="n">
        <f aca="false">IFERROR(SUMPRODUCT(($B$2:$B$1001=B704)*($J$2:$J$1001&lt;=J704))/SUMPRODUCT(($B$2:$B$1001=B704)*1),0)</f>
        <v>0.748633879781421</v>
      </c>
      <c r="P704" s="24" t="n">
        <f aca="false">IFERROR(SUMPRODUCT(($B$2:$B$1001=B704)*((0-$F$2:$F$1001)&lt;=(0-F704)))/SUMPRODUCT(($B$2:$B$1001=B704)*1),0)</f>
        <v>0.300546448087432</v>
      </c>
      <c r="Q704" s="25" t="n">
        <f aca="false">(M704*Assumptions!$B$5+N704*Assumptions!$B$6+O704*Assumptions!$B$7+P704*Assumptions!$B$8)*L704</f>
        <v>0.322841530054645</v>
      </c>
      <c r="R704" s="24" t="n">
        <f aca="false">IFERROR(SUMPRODUCT(($B$2:$B$1001=B704)*($Q$2:$Q$1001&lt;=Q704))/SUMPRODUCT(($B$2:$B$1001=B704)*1),0)</f>
        <v>0.158469945355191</v>
      </c>
      <c r="S704" s="24" t="n">
        <f aca="false">IFERROR(SUMPRODUCT(($B$2:$B$1001=B704)*($K$2:$K$1001&lt;=K704))/SUMPRODUCT(($B$2:$B$1001=B704)*1),0)</f>
        <v>0.885245901639344</v>
      </c>
      <c r="T704" s="26" t="n">
        <f aca="false">(R704-S704)*100</f>
        <v>-72.6775956284153</v>
      </c>
      <c r="U704" s="21" t="str">
        <f aca="false">'Player Data'!T704</f>
        <v>No</v>
      </c>
      <c r="V704" s="27" t="n">
        <f aca="false">'Player Data'!U704</f>
        <v>2026</v>
      </c>
      <c r="W704" s="21" t="str">
        <f aca="false">IF(AND(T704&gt;=Assumptions!$B$19,U704="No"),"High Priority - Unrepresented",IF(T704&gt;=Assumptions!$B$19,"High Priority",IF(AND(T704&gt;=Assumptions!$B$20,U704="No"),"Watchlist - Unrepresented",IF(T704&gt;=Assumptions!$B$20,"Watchlist",""))))</f>
        <v/>
      </c>
      <c r="X704" s="21" t="str">
        <f aca="false">'Player Data'!V704</f>
        <v>info@hamiltonrovers.nz</v>
      </c>
      <c r="Y704" s="28" t="str">
        <f aca="false">'Player Data'!W704</f>
        <v>Club sporting director / first-team office</v>
      </c>
      <c r="Z704" s="28" t="str">
        <f aca="false">'Player Data'!X704</f>
        <v>NZF (New Zealand Football) player registry</v>
      </c>
      <c r="AA704" s="19" t="str">
        <f aca="false">HYPERLINK("https://www.transfermarkt.com/schnellsuche/ergebnis/schnellsuche?query="&amp;SUBSTITUTE(A704," ","+"),"Search Transfermarkt")</f>
        <v>Search Transfermarkt</v>
      </c>
      <c r="AB704" s="29" t="n">
        <f aca="false">IFERROR('Player Data'!K704/('Player Data'!K704+'Player Data'!L704),0)</f>
        <v>0.772727272727273</v>
      </c>
      <c r="AC704" s="21" t="str">
        <f aca="false">IF(B704="GK",IF(AND(O704&gt;=Assumptions!$B$23,N704&gt;=Assumptions!$B$23),"Sweeper-Keeper / Build-from-the-Back",IF(O704&gt;=Assumptions!$B$23,"Sweeper-Keeper / High Line",IF(M704&gt;=Assumptions!$B$23,"Shot-Stopper / Traditional","Flexible / Multi-System"))),IF(AND(O704&gt;=Assumptions!$B$23,P704&gt;=Assumptions!$B$24),"High Press / Gegenpressing",IF(AND(N704&gt;=Assumptions!$B$23,AB704&gt;=Assumptions!$B$25),"Possession / Build-from-the-Back",IF(N704&gt;=Assumptions!$B$23,"Counter-Attack / Transition",IF(AND(O704&gt;=Assumptions!$B$23,N704&lt;Assumptions!$B$26),"Low Block / Park the Bus",IF(AND(B704="FW",M704&gt;=Assumptions!$B$23,N704&lt;Assumptions!$B$26),"Direct / Target Approach","Flexible / Multi-System"))))))</f>
        <v>Sweeper-Keeper / High Line</v>
      </c>
      <c r="AD704" s="21" t="str">
        <f aca="false">'Player Data'!Y704</f>
        <v>2026-07-17</v>
      </c>
      <c r="AE704" s="21" t="str">
        <f aca="false">'Player Data'!Z704</f>
        <v>2026-07-17</v>
      </c>
      <c r="AF704" s="28" t="str">
        <f aca="false">IFERROR(INDEX(Assumptions!$B$30:$B$61,MATCH(C704,Assumptions!$A$30:$A$61,0)),"--")</f>
        <v>Australia, United States</v>
      </c>
      <c r="AG704" s="30" t="str">
        <f aca="false">IF(R704&gt;=0.7,"Step-Up Candidate",IF(R704&gt;=0.4,"Lateral Move","Stay &amp; Develop"))</f>
        <v>Stay &amp; Develop</v>
      </c>
    </row>
    <row r="705" customFormat="false" ht="23.85" hidden="false" customHeight="false" outlineLevel="0" collapsed="false">
      <c r="A705" s="21" t="str">
        <f aca="false">'Player Data'!A705</f>
        <v>Karlo Barisic</v>
      </c>
      <c r="B705" s="21" t="str">
        <f aca="false">'Player Data'!F705</f>
        <v>MF</v>
      </c>
      <c r="C705" s="21" t="str">
        <f aca="false">'Player Data'!B705</f>
        <v>Croatia</v>
      </c>
      <c r="D705" s="21" t="str">
        <f aca="false">'Player Data'!C705</f>
        <v>Croatia Regional League</v>
      </c>
      <c r="E705" s="21" t="n">
        <f aca="false">'Player Data'!D705</f>
        <v>2</v>
      </c>
      <c r="F705" s="21" t="n">
        <f aca="false">'Player Data'!G705</f>
        <v>21</v>
      </c>
      <c r="G705" s="21" t="n">
        <f aca="false">'Player Data'!H705</f>
        <v>2615</v>
      </c>
      <c r="H705" s="22" t="n">
        <f aca="false">IF(B705="GK",IFERROR(('Player Data'!N705-1.5*'Player Data'!O705)/'Player Data'!H705*90,0),IFERROR(('Player Data'!I705+'Player Data'!J705)/'Player Data'!H705*90,0))</f>
        <v>0.413001912045889</v>
      </c>
      <c r="I705" s="22" t="n">
        <f aca="false">IF(B705="GK",'Player Data'!P705,IFERROR(('Player Data'!K705+'Player Data'!L705)/'Player Data'!H705*90,0))</f>
        <v>7.53728489483748</v>
      </c>
      <c r="J705" s="22" t="n">
        <f aca="false">IF(B705="GK",IFERROR('Player Data'!Q705/'Player Data'!H705*90,0),IFERROR('Player Data'!M705/'Player Data'!H705*90,0))</f>
        <v>1.58317399617591</v>
      </c>
      <c r="K705" s="23" t="n">
        <f aca="false">'Player Data'!S705</f>
        <v>101405</v>
      </c>
      <c r="L705" s="22" t="n">
        <f aca="false">INDEX(Assumptions!$B$13:$B$15,MATCH(E705,Assumptions!$A$13:$A$15,0))</f>
        <v>1</v>
      </c>
      <c r="M705" s="24" t="n">
        <f aca="false">IFERROR(SUMPRODUCT(($B$2:$B$1001=B705)*($H$2:$H$1001&lt;=H705))/SUMPRODUCT(($B$2:$B$1001=B705)*1),0)</f>
        <v>0.111111111111111</v>
      </c>
      <c r="N705" s="24" t="n">
        <f aca="false">IFERROR(SUMPRODUCT(($B$2:$B$1001=B705)*($I$2:$I$1001&lt;=I705))/SUMPRODUCT(($B$2:$B$1001=B705)*1),0)</f>
        <v>0.111111111111111</v>
      </c>
      <c r="O705" s="24" t="n">
        <f aca="false">IFERROR(SUMPRODUCT(($B$2:$B$1001=B705)*($J$2:$J$1001&lt;=J705))/SUMPRODUCT(($B$2:$B$1001=B705)*1),0)</f>
        <v>0.215488215488215</v>
      </c>
      <c r="P705" s="24" t="n">
        <f aca="false">IFERROR(SUMPRODUCT(($B$2:$B$1001=B705)*((0-$F$2:$F$1001)&lt;=(0-F705)))/SUMPRODUCT(($B$2:$B$1001=B705)*1),0)</f>
        <v>0.61952861952862</v>
      </c>
      <c r="Q705" s="25" t="n">
        <f aca="false">(M705*Assumptions!$B$5+N705*Assumptions!$B$6+O705*Assumptions!$B$7+P705*Assumptions!$B$8)*L705</f>
        <v>0.233670033670034</v>
      </c>
      <c r="R705" s="24" t="n">
        <f aca="false">IFERROR(SUMPRODUCT(($B$2:$B$1001=B705)*($Q$2:$Q$1001&lt;=Q705))/SUMPRODUCT(($B$2:$B$1001=B705)*1),0)</f>
        <v>0.141414141414141</v>
      </c>
      <c r="S705" s="24" t="n">
        <f aca="false">IFERROR(SUMPRODUCT(($B$2:$B$1001=B705)*($K$2:$K$1001&lt;=K705))/SUMPRODUCT(($B$2:$B$1001=B705)*1),0)</f>
        <v>0.744107744107744</v>
      </c>
      <c r="T705" s="26" t="n">
        <f aca="false">(R705-S705)*100</f>
        <v>-60.2693602693603</v>
      </c>
      <c r="U705" s="21" t="str">
        <f aca="false">'Player Data'!T705</f>
        <v>Unknown</v>
      </c>
      <c r="V705" s="27" t="n">
        <f aca="false">'Player Data'!U705</f>
        <v>2028</v>
      </c>
      <c r="W705" s="21" t="str">
        <f aca="false">IF(AND(T705&gt;=Assumptions!$B$19,U705="No"),"High Priority - Unrepresented",IF(T705&gt;=Assumptions!$B$19,"High Priority",IF(AND(T705&gt;=Assumptions!$B$20,U705="No"),"Watchlist - Unrepresented",IF(T705&gt;=Assumptions!$B$20,"Watchlist",""))))</f>
        <v/>
      </c>
      <c r="X705" s="21" t="str">
        <f aca="false">'Player Data'!V705</f>
        <v>info@bijelobrdosc.hr</v>
      </c>
      <c r="Y705" s="28" t="str">
        <f aca="false">'Player Data'!W705</f>
        <v>Club sporting director / first-team office</v>
      </c>
      <c r="Z705" s="28" t="str">
        <f aca="false">'Player Data'!X705</f>
        <v>HNS (Croatian Football Federation) player registry</v>
      </c>
      <c r="AA705" s="19" t="str">
        <f aca="false">HYPERLINK("https://www.transfermarkt.com/schnellsuche/ergebnis/schnellsuche?query="&amp;SUBSTITUTE(A705," ","+"),"Search Transfermarkt")</f>
        <v>Search Transfermarkt</v>
      </c>
      <c r="AB705" s="29" t="n">
        <f aca="false">IFERROR('Player Data'!K705/('Player Data'!K705+'Player Data'!L705),0)</f>
        <v>0.73972602739726</v>
      </c>
      <c r="AC705" s="21" t="str">
        <f aca="false">IF(B705="GK",IF(AND(O705&gt;=Assumptions!$B$23,N705&gt;=Assumptions!$B$23),"Sweeper-Keeper / Build-from-the-Back",IF(O705&gt;=Assumptions!$B$23,"Sweeper-Keeper / High Line",IF(M705&gt;=Assumptions!$B$23,"Shot-Stopper / Traditional","Flexible / Multi-System"))),IF(AND(O705&gt;=Assumptions!$B$23,P705&gt;=Assumptions!$B$24),"High Press / Gegenpressing",IF(AND(N705&gt;=Assumptions!$B$23,AB705&gt;=Assumptions!$B$25),"Possession / Build-from-the-Back",IF(N705&gt;=Assumptions!$B$23,"Counter-Attack / Transition",IF(AND(O705&gt;=Assumptions!$B$23,N705&lt;Assumptions!$B$26),"Low Block / Park the Bus",IF(AND(B705="FW",M705&gt;=Assumptions!$B$23,N705&lt;Assumptions!$B$26),"Direct / Target Approach","Flexible / Multi-System"))))))</f>
        <v>Flexible / Multi-System</v>
      </c>
      <c r="AD705" s="21" t="str">
        <f aca="false">'Player Data'!Y705</f>
        <v>2026-07-17</v>
      </c>
      <c r="AE705" s="21" t="str">
        <f aca="false">'Player Data'!Z705</f>
        <v>2026-07-17</v>
      </c>
      <c r="AF705" s="28" t="str">
        <f aca="false">IFERROR(INDEX(Assumptions!$B$30:$B$61,MATCH(C705,Assumptions!$A$30:$A$61,0)),"--")</f>
        <v>Austria, Turkey</v>
      </c>
      <c r="AG705" s="30" t="str">
        <f aca="false">IF(R705&gt;=0.7,"Step-Up Candidate",IF(R705&gt;=0.4,"Lateral Move","Stay &amp; Develop"))</f>
        <v>Stay &amp; Develop</v>
      </c>
    </row>
    <row r="706" customFormat="false" ht="23.85" hidden="false" customHeight="false" outlineLevel="0" collapsed="false">
      <c r="A706" s="21" t="str">
        <f aca="false">'Player Data'!A706</f>
        <v>Serge Bamba</v>
      </c>
      <c r="B706" s="21" t="str">
        <f aca="false">'Player Data'!F706</f>
        <v>MF</v>
      </c>
      <c r="C706" s="21" t="str">
        <f aca="false">'Player Data'!B706</f>
        <v>Ivory Coast</v>
      </c>
      <c r="D706" s="21" t="str">
        <f aca="false">'Player Data'!C706</f>
        <v>Ivory Coast Regional League</v>
      </c>
      <c r="E706" s="21" t="n">
        <f aca="false">'Player Data'!D706</f>
        <v>2</v>
      </c>
      <c r="F706" s="21" t="n">
        <f aca="false">'Player Data'!G706</f>
        <v>23</v>
      </c>
      <c r="G706" s="21" t="n">
        <f aca="false">'Player Data'!H706</f>
        <v>1628</v>
      </c>
      <c r="H706" s="22" t="n">
        <f aca="false">IF(B706="GK",IFERROR(('Player Data'!N706-1.5*'Player Data'!O706)/'Player Data'!H706*90,0),IFERROR(('Player Data'!I706+'Player Data'!J706)/'Player Data'!H706*90,0))</f>
        <v>0.773955773955774</v>
      </c>
      <c r="I706" s="22" t="n">
        <f aca="false">IF(B706="GK",'Player Data'!P706,IFERROR(('Player Data'!K706+'Player Data'!L706)/'Player Data'!H706*90,0))</f>
        <v>13.9312039312039</v>
      </c>
      <c r="J706" s="22" t="n">
        <f aca="false">IF(B706="GK",IFERROR('Player Data'!Q706/'Player Data'!H706*90,0),IFERROR('Player Data'!M706/'Player Data'!H706*90,0))</f>
        <v>1.82432432432432</v>
      </c>
      <c r="K706" s="23" t="n">
        <f aca="false">'Player Data'!S706</f>
        <v>57557</v>
      </c>
      <c r="L706" s="22" t="n">
        <f aca="false">INDEX(Assumptions!$B$13:$B$15,MATCH(E706,Assumptions!$A$13:$A$15,0))</f>
        <v>1</v>
      </c>
      <c r="M706" s="24" t="n">
        <f aca="false">IFERROR(SUMPRODUCT(($B$2:$B$1001=B706)*($H$2:$H$1001&lt;=H706))/SUMPRODUCT(($B$2:$B$1001=B706)*1),0)</f>
        <v>0.558922558922559</v>
      </c>
      <c r="N706" s="24" t="n">
        <f aca="false">IFERROR(SUMPRODUCT(($B$2:$B$1001=B706)*($I$2:$I$1001&lt;=I706))/SUMPRODUCT(($B$2:$B$1001=B706)*1),0)</f>
        <v>0.7003367003367</v>
      </c>
      <c r="O706" s="24" t="n">
        <f aca="false">IFERROR(SUMPRODUCT(($B$2:$B$1001=B706)*($J$2:$J$1001&lt;=J706))/SUMPRODUCT(($B$2:$B$1001=B706)*1),0)</f>
        <v>0.336700336700337</v>
      </c>
      <c r="P706" s="24" t="n">
        <f aca="false">IFERROR(SUMPRODUCT(($B$2:$B$1001=B706)*((0-$F$2:$F$1001)&lt;=(0-F706)))/SUMPRODUCT(($B$2:$B$1001=B706)*1),0)</f>
        <v>0.390572390572391</v>
      </c>
      <c r="Q706" s="25" t="n">
        <f aca="false">(M706*Assumptions!$B$5+N706*Assumptions!$B$6+O706*Assumptions!$B$7+P706*Assumptions!$B$8)*L706</f>
        <v>0.53030303030303</v>
      </c>
      <c r="R706" s="24" t="n">
        <f aca="false">IFERROR(SUMPRODUCT(($B$2:$B$1001=B706)*($Q$2:$Q$1001&lt;=Q706))/SUMPRODUCT(($B$2:$B$1001=B706)*1),0)</f>
        <v>0.68013468013468</v>
      </c>
      <c r="S706" s="24" t="n">
        <f aca="false">IFERROR(SUMPRODUCT(($B$2:$B$1001=B706)*($K$2:$K$1001&lt;=K706))/SUMPRODUCT(($B$2:$B$1001=B706)*1),0)</f>
        <v>0.484848484848485</v>
      </c>
      <c r="T706" s="26" t="n">
        <f aca="false">(R706-S706)*100</f>
        <v>19.5286195286195</v>
      </c>
      <c r="U706" s="21" t="str">
        <f aca="false">'Player Data'!T706</f>
        <v>No</v>
      </c>
      <c r="V706" s="27" t="n">
        <f aca="false">'Player Data'!U706</f>
        <v>2028</v>
      </c>
      <c r="W706" s="21" t="str">
        <f aca="false">IF(AND(T706&gt;=Assumptions!$B$19,U706="No"),"High Priority - Unrepresented",IF(T706&gt;=Assumptions!$B$19,"High Priority",IF(AND(T706&gt;=Assumptions!$B$20,U706="No"),"Watchlist - Unrepresented",IF(T706&gt;=Assumptions!$B$20,"Watchlist",""))))</f>
        <v/>
      </c>
      <c r="X706" s="21" t="str">
        <f aca="false">'Player Data'!V706</f>
        <v>info@abidjantown.ci</v>
      </c>
      <c r="Y706" s="28" t="str">
        <f aca="false">'Player Data'!W706</f>
        <v>Club sporting director / first-team office</v>
      </c>
      <c r="Z706" s="28" t="str">
        <f aca="false">'Player Data'!X706</f>
        <v>FIF (Ivorian Football Federation) player registry</v>
      </c>
      <c r="AA706" s="19" t="str">
        <f aca="false">HYPERLINK("https://www.transfermarkt.com/schnellsuche/ergebnis/schnellsuche?query="&amp;SUBSTITUTE(A706," ","+"),"Search Transfermarkt")</f>
        <v>Search Transfermarkt</v>
      </c>
      <c r="AB706" s="29" t="n">
        <f aca="false">IFERROR('Player Data'!K706/('Player Data'!K706+'Player Data'!L706),0)</f>
        <v>0.682539682539683</v>
      </c>
      <c r="AC706" s="21" t="str">
        <f aca="false">IF(B706="GK",IF(AND(O706&gt;=Assumptions!$B$23,N706&gt;=Assumptions!$B$23),"Sweeper-Keeper / Build-from-the-Back",IF(O706&gt;=Assumptions!$B$23,"Sweeper-Keeper / High Line",IF(M706&gt;=Assumptions!$B$23,"Shot-Stopper / Traditional","Flexible / Multi-System"))),IF(AND(O706&gt;=Assumptions!$B$23,P706&gt;=Assumptions!$B$24),"High Press / Gegenpressing",IF(AND(N706&gt;=Assumptions!$B$23,AB706&gt;=Assumptions!$B$25),"Possession / Build-from-the-Back",IF(N706&gt;=Assumptions!$B$23,"Counter-Attack / Transition",IF(AND(O706&gt;=Assumptions!$B$23,N706&lt;Assumptions!$B$26),"Low Block / Park the Bus",IF(AND(B706="FW",M706&gt;=Assumptions!$B$23,N706&lt;Assumptions!$B$26),"Direct / Target Approach","Flexible / Multi-System"))))))</f>
        <v>Possession / Build-from-the-Back</v>
      </c>
      <c r="AD706" s="21" t="str">
        <f aca="false">'Player Data'!Y706</f>
        <v>2026-07-17</v>
      </c>
      <c r="AE706" s="21" t="str">
        <f aca="false">'Player Data'!Z706</f>
        <v>2026-07-17</v>
      </c>
      <c r="AF706" s="28" t="str">
        <f aca="false">IFERROR(INDEX(Assumptions!$B$30:$B$61,MATCH(C706,Assumptions!$A$30:$A$61,0)),"--")</f>
        <v>Belgium, Portugal</v>
      </c>
      <c r="AG706" s="30" t="str">
        <f aca="false">IF(R706&gt;=0.7,"Step-Up Candidate",IF(R706&gt;=0.4,"Lateral Move","Stay &amp; Develop"))</f>
        <v>Lateral Move</v>
      </c>
    </row>
    <row r="707" customFormat="false" ht="23.85" hidden="false" customHeight="false" outlineLevel="0" collapsed="false">
      <c r="A707" s="21" t="str">
        <f aca="false">'Player Data'!A707</f>
        <v>Pongsak Srisawat</v>
      </c>
      <c r="B707" s="21" t="str">
        <f aca="false">'Player Data'!F707</f>
        <v>MF</v>
      </c>
      <c r="C707" s="21" t="str">
        <f aca="false">'Player Data'!B707</f>
        <v>Thailand</v>
      </c>
      <c r="D707" s="21" t="str">
        <f aca="false">'Player Data'!C707</f>
        <v>Thailand Second Division</v>
      </c>
      <c r="E707" s="21" t="n">
        <f aca="false">'Player Data'!D707</f>
        <v>3</v>
      </c>
      <c r="F707" s="21" t="n">
        <f aca="false">'Player Data'!G707</f>
        <v>24</v>
      </c>
      <c r="G707" s="21" t="n">
        <f aca="false">'Player Data'!H707</f>
        <v>2459</v>
      </c>
      <c r="H707" s="22" t="n">
        <f aca="false">IF(B707="GK",IFERROR(('Player Data'!N707-1.5*'Player Data'!O707)/'Player Data'!H707*90,0),IFERROR(('Player Data'!I707+'Player Data'!J707)/'Player Data'!H707*90,0))</f>
        <v>0.695404636030907</v>
      </c>
      <c r="I707" s="22" t="n">
        <f aca="false">IF(B707="GK",'Player Data'!P707,IFERROR(('Player Data'!K707+'Player Data'!L707)/'Player Data'!H707*90,0))</f>
        <v>6.95404636030907</v>
      </c>
      <c r="J707" s="22" t="n">
        <f aca="false">IF(B707="GK",IFERROR('Player Data'!Q707/'Player Data'!H707*90,0),IFERROR('Player Data'!M707/'Player Data'!H707*90,0))</f>
        <v>1.97641317608784</v>
      </c>
      <c r="K707" s="23" t="n">
        <f aca="false">'Player Data'!S707</f>
        <v>134898</v>
      </c>
      <c r="L707" s="22" t="n">
        <f aca="false">INDEX(Assumptions!$B$13:$B$15,MATCH(E707,Assumptions!$A$13:$A$15,0))</f>
        <v>0.85</v>
      </c>
      <c r="M707" s="24" t="n">
        <f aca="false">IFERROR(SUMPRODUCT(($B$2:$B$1001=B707)*($H$2:$H$1001&lt;=H707))/SUMPRODUCT(($B$2:$B$1001=B707)*1),0)</f>
        <v>0.454545454545455</v>
      </c>
      <c r="N707" s="24" t="n">
        <f aca="false">IFERROR(SUMPRODUCT(($B$2:$B$1001=B707)*($I$2:$I$1001&lt;=I707))/SUMPRODUCT(($B$2:$B$1001=B707)*1),0)</f>
        <v>0.0538720538720539</v>
      </c>
      <c r="O707" s="24" t="n">
        <f aca="false">IFERROR(SUMPRODUCT(($B$2:$B$1001=B707)*($J$2:$J$1001&lt;=J707))/SUMPRODUCT(($B$2:$B$1001=B707)*1),0)</f>
        <v>0.400673400673401</v>
      </c>
      <c r="P707" s="24" t="n">
        <f aca="false">IFERROR(SUMPRODUCT(($B$2:$B$1001=B707)*((0-$F$2:$F$1001)&lt;=(0-F707)))/SUMPRODUCT(($B$2:$B$1001=B707)*1),0)</f>
        <v>0.326599326599327</v>
      </c>
      <c r="Q707" s="25" t="n">
        <f aca="false">(M707*Assumptions!$B$5+N707*Assumptions!$B$6+O707*Assumptions!$B$7+P707*Assumptions!$B$8)*L707</f>
        <v>0.236254208754209</v>
      </c>
      <c r="R707" s="24" t="n">
        <f aca="false">IFERROR(SUMPRODUCT(($B$2:$B$1001=B707)*($Q$2:$Q$1001&lt;=Q707))/SUMPRODUCT(($B$2:$B$1001=B707)*1),0)</f>
        <v>0.151515151515152</v>
      </c>
      <c r="S707" s="24" t="n">
        <f aca="false">IFERROR(SUMPRODUCT(($B$2:$B$1001=B707)*($K$2:$K$1001&lt;=K707))/SUMPRODUCT(($B$2:$B$1001=B707)*1),0)</f>
        <v>0.942760942760943</v>
      </c>
      <c r="T707" s="26" t="n">
        <f aca="false">(R707-S707)*100</f>
        <v>-79.1245791245791</v>
      </c>
      <c r="U707" s="21" t="str">
        <f aca="false">'Player Data'!T707</f>
        <v>Yes</v>
      </c>
      <c r="V707" s="27" t="n">
        <f aca="false">'Player Data'!U707</f>
        <v>2028</v>
      </c>
      <c r="W707" s="21" t="str">
        <f aca="false">IF(AND(T707&gt;=Assumptions!$B$19,U707="No"),"High Priority - Unrepresented",IF(T707&gt;=Assumptions!$B$19,"High Priority",IF(AND(T707&gt;=Assumptions!$B$20,U707="No"),"Watchlist - Unrepresented",IF(T707&gt;=Assumptions!$B$20,"Watchlist",""))))</f>
        <v/>
      </c>
      <c r="X707" s="21" t="str">
        <f aca="false">'Player Data'!V707</f>
        <v>info@bangkokwanderers.th</v>
      </c>
      <c r="Y707" s="28" t="str">
        <f aca="false">'Player Data'!W707</f>
        <v>Go through the player's agent - ask the club to confirm representation first</v>
      </c>
      <c r="Z707" s="28" t="str">
        <f aca="false">'Player Data'!X707</f>
        <v>FAT (Football Association of Thailand) player registry</v>
      </c>
      <c r="AA707" s="19" t="str">
        <f aca="false">HYPERLINK("https://www.transfermarkt.com/schnellsuche/ergebnis/schnellsuche?query="&amp;SUBSTITUTE(A707," ","+"),"Search Transfermarkt")</f>
        <v>Search Transfermarkt</v>
      </c>
      <c r="AB707" s="29" t="n">
        <f aca="false">IFERROR('Player Data'!K707/('Player Data'!K707+'Player Data'!L707),0)</f>
        <v>0.657894736842105</v>
      </c>
      <c r="AC707" s="21" t="str">
        <f aca="false">IF(B707="GK",IF(AND(O707&gt;=Assumptions!$B$23,N707&gt;=Assumptions!$B$23),"Sweeper-Keeper / Build-from-the-Back",IF(O707&gt;=Assumptions!$B$23,"Sweeper-Keeper / High Line",IF(M707&gt;=Assumptions!$B$23,"Shot-Stopper / Traditional","Flexible / Multi-System"))),IF(AND(O707&gt;=Assumptions!$B$23,P707&gt;=Assumptions!$B$24),"High Press / Gegenpressing",IF(AND(N707&gt;=Assumptions!$B$23,AB707&gt;=Assumptions!$B$25),"Possession / Build-from-the-Back",IF(N707&gt;=Assumptions!$B$23,"Counter-Attack / Transition",IF(AND(O707&gt;=Assumptions!$B$23,N707&lt;Assumptions!$B$26),"Low Block / Park the Bus",IF(AND(B707="FW",M707&gt;=Assumptions!$B$23,N707&lt;Assumptions!$B$26),"Direct / Target Approach","Flexible / Multi-System"))))))</f>
        <v>Flexible / Multi-System</v>
      </c>
      <c r="AD707" s="21" t="str">
        <f aca="false">'Player Data'!Y707</f>
        <v>2026-07-17</v>
      </c>
      <c r="AE707" s="21" t="str">
        <f aca="false">'Player Data'!Z707</f>
        <v>2026-07-17</v>
      </c>
      <c r="AF707" s="28" t="str">
        <f aca="false">IFERROR(INDEX(Assumptions!$B$30:$B$61,MATCH(C707,Assumptions!$A$30:$A$61,0)),"--")</f>
        <v>Australia, Saudi Arabia</v>
      </c>
      <c r="AG707" s="30" t="str">
        <f aca="false">IF(R707&gt;=0.7,"Step-Up Candidate",IF(R707&gt;=0.4,"Lateral Move","Stay &amp; Develop"))</f>
        <v>Stay &amp; Develop</v>
      </c>
    </row>
    <row r="708" customFormat="false" ht="23.85" hidden="false" customHeight="false" outlineLevel="0" collapsed="false">
      <c r="A708" s="21" t="str">
        <f aca="false">'Player Data'!A708</f>
        <v>Andres Quinonez</v>
      </c>
      <c r="B708" s="21" t="str">
        <f aca="false">'Player Data'!F708</f>
        <v>FW</v>
      </c>
      <c r="C708" s="21" t="str">
        <f aca="false">'Player Data'!B708</f>
        <v>Ecuador</v>
      </c>
      <c r="D708" s="21" t="str">
        <f aca="false">'Player Data'!C708</f>
        <v>Ecuador Second Division</v>
      </c>
      <c r="E708" s="21" t="n">
        <f aca="false">'Player Data'!D708</f>
        <v>2</v>
      </c>
      <c r="F708" s="21" t="n">
        <f aca="false">'Player Data'!G708</f>
        <v>20</v>
      </c>
      <c r="G708" s="21" t="n">
        <f aca="false">'Player Data'!H708</f>
        <v>2558</v>
      </c>
      <c r="H708" s="22" t="n">
        <f aca="false">IF(B708="GK",IFERROR(('Player Data'!N708-1.5*'Player Data'!O708)/'Player Data'!H708*90,0),IFERROR(('Player Data'!I708+'Player Data'!J708)/'Player Data'!H708*90,0))</f>
        <v>0.985144644253323</v>
      </c>
      <c r="I708" s="22" t="n">
        <f aca="false">IF(B708="GK",'Player Data'!P708,IFERROR(('Player Data'!K708+'Player Data'!L708)/'Player Data'!H708*90,0))</f>
        <v>3.90539483971853</v>
      </c>
      <c r="J708" s="22" t="n">
        <f aca="false">IF(B708="GK",IFERROR('Player Data'!Q708/'Player Data'!H708*90,0),IFERROR('Player Data'!M708/'Player Data'!H708*90,0))</f>
        <v>0.527756059421423</v>
      </c>
      <c r="K708" s="23" t="n">
        <f aca="false">'Player Data'!S708</f>
        <v>134638</v>
      </c>
      <c r="L708" s="22" t="n">
        <f aca="false">INDEX(Assumptions!$B$13:$B$15,MATCH(E708,Assumptions!$A$13:$A$15,0))</f>
        <v>1</v>
      </c>
      <c r="M708" s="24" t="n">
        <f aca="false">IFERROR(SUMPRODUCT(($B$2:$B$1001=B708)*($H$2:$H$1001&lt;=H708))/SUMPRODUCT(($B$2:$B$1001=B708)*1),0)</f>
        <v>0.517699115044248</v>
      </c>
      <c r="N708" s="24" t="n">
        <f aca="false">IFERROR(SUMPRODUCT(($B$2:$B$1001=B708)*($I$2:$I$1001&lt;=I708))/SUMPRODUCT(($B$2:$B$1001=B708)*1),0)</f>
        <v>0.0309734513274336</v>
      </c>
      <c r="O708" s="24" t="n">
        <f aca="false">IFERROR(SUMPRODUCT(($B$2:$B$1001=B708)*($J$2:$J$1001&lt;=J708))/SUMPRODUCT(($B$2:$B$1001=B708)*1),0)</f>
        <v>0.544247787610619</v>
      </c>
      <c r="P708" s="24" t="n">
        <f aca="false">IFERROR(SUMPRODUCT(($B$2:$B$1001=B708)*((0-$F$2:$F$1001)&lt;=(0-F708)))/SUMPRODUCT(($B$2:$B$1001=B708)*1),0)</f>
        <v>0.712389380530973</v>
      </c>
      <c r="Q708" s="25" t="n">
        <f aca="false">(M708*Assumptions!$B$5+N708*Assumptions!$B$6+O708*Assumptions!$B$7+P708*Assumptions!$B$8)*L708</f>
        <v>0.391592920353982</v>
      </c>
      <c r="R708" s="24" t="n">
        <f aca="false">IFERROR(SUMPRODUCT(($B$2:$B$1001=B708)*($Q$2:$Q$1001&lt;=Q708))/SUMPRODUCT(($B$2:$B$1001=B708)*1),0)</f>
        <v>0.424778761061947</v>
      </c>
      <c r="S708" s="24" t="n">
        <f aca="false">IFERROR(SUMPRODUCT(($B$2:$B$1001=B708)*($K$2:$K$1001&lt;=K708))/SUMPRODUCT(($B$2:$B$1001=B708)*1),0)</f>
        <v>0.911504424778761</v>
      </c>
      <c r="T708" s="26" t="n">
        <f aca="false">(R708-S708)*100</f>
        <v>-48.6725663716814</v>
      </c>
      <c r="U708" s="21" t="str">
        <f aca="false">'Player Data'!T708</f>
        <v>No</v>
      </c>
      <c r="V708" s="27" t="n">
        <f aca="false">'Player Data'!U708</f>
        <v>2029</v>
      </c>
      <c r="W708" s="21" t="str">
        <f aca="false">IF(AND(T708&gt;=Assumptions!$B$19,U708="No"),"High Priority - Unrepresented",IF(T708&gt;=Assumptions!$B$19,"High Priority",IF(AND(T708&gt;=Assumptions!$B$20,U708="No"),"Watchlist - Unrepresented",IF(T708&gt;=Assumptions!$B$20,"Watchlist",""))))</f>
        <v/>
      </c>
      <c r="X708" s="21" t="str">
        <f aca="false">'Player Data'!V708</f>
        <v>info@mantaunited.ec</v>
      </c>
      <c r="Y708" s="28" t="str">
        <f aca="false">'Player Data'!W708</f>
        <v>Club sporting director / first-team office</v>
      </c>
      <c r="Z708" s="28" t="str">
        <f aca="false">'Player Data'!X708</f>
        <v>FEF (Ecuadorian Football Federation) player registry</v>
      </c>
      <c r="AA708" s="19" t="str">
        <f aca="false">HYPERLINK("https://www.transfermarkt.com/schnellsuche/ergebnis/schnellsuche?query="&amp;SUBSTITUTE(A708," ","+"),"Search Transfermarkt")</f>
        <v>Search Transfermarkt</v>
      </c>
      <c r="AB708" s="29" t="n">
        <f aca="false">IFERROR('Player Data'!K708/('Player Data'!K708+'Player Data'!L708),0)</f>
        <v>0.45945945945946</v>
      </c>
      <c r="AC708" s="21" t="str">
        <f aca="false">IF(B708="GK",IF(AND(O708&gt;=Assumptions!$B$23,N708&gt;=Assumptions!$B$23),"Sweeper-Keeper / Build-from-the-Back",IF(O708&gt;=Assumptions!$B$23,"Sweeper-Keeper / High Line",IF(M708&gt;=Assumptions!$B$23,"Shot-Stopper / Traditional","Flexible / Multi-System"))),IF(AND(O708&gt;=Assumptions!$B$23,P708&gt;=Assumptions!$B$24),"High Press / Gegenpressing",IF(AND(N708&gt;=Assumptions!$B$23,AB708&gt;=Assumptions!$B$25),"Possession / Build-from-the-Back",IF(N708&gt;=Assumptions!$B$23,"Counter-Attack / Transition",IF(AND(O708&gt;=Assumptions!$B$23,N708&lt;Assumptions!$B$26),"Low Block / Park the Bus",IF(AND(B708="FW",M708&gt;=Assumptions!$B$23,N708&lt;Assumptions!$B$26),"Direct / Target Approach","Flexible / Multi-System"))))))</f>
        <v>Flexible / Multi-System</v>
      </c>
      <c r="AD708" s="21" t="str">
        <f aca="false">'Player Data'!Y708</f>
        <v>2026-07-17</v>
      </c>
      <c r="AE708" s="21" t="str">
        <f aca="false">'Player Data'!Z708</f>
        <v>2026-07-17</v>
      </c>
      <c r="AF708" s="28" t="str">
        <f aca="false">IFERROR(INDEX(Assumptions!$B$30:$B$61,MATCH(C708,Assumptions!$A$30:$A$61,0)),"--")</f>
        <v>Argentina, Portugal</v>
      </c>
      <c r="AG708" s="30" t="str">
        <f aca="false">IF(R708&gt;=0.7,"Step-Up Candidate",IF(R708&gt;=0.4,"Lateral Move","Stay &amp; Develop"))</f>
        <v>Lateral Move</v>
      </c>
    </row>
    <row r="709" customFormat="false" ht="23.85" hidden="false" customHeight="false" outlineLevel="0" collapsed="false">
      <c r="A709" s="21" t="str">
        <f aca="false">'Player Data'!A709</f>
        <v>Didier Kone</v>
      </c>
      <c r="B709" s="21" t="str">
        <f aca="false">'Player Data'!F709</f>
        <v>MF</v>
      </c>
      <c r="C709" s="21" t="str">
        <f aca="false">'Player Data'!B709</f>
        <v>Ivory Coast</v>
      </c>
      <c r="D709" s="21" t="str">
        <f aca="false">'Player Data'!C709</f>
        <v>Ivory Coast Second Division</v>
      </c>
      <c r="E709" s="21" t="n">
        <f aca="false">'Player Data'!D709</f>
        <v>4</v>
      </c>
      <c r="F709" s="21" t="n">
        <f aca="false">'Player Data'!G709</f>
        <v>24</v>
      </c>
      <c r="G709" s="21" t="n">
        <f aca="false">'Player Data'!H709</f>
        <v>1890</v>
      </c>
      <c r="H709" s="22" t="n">
        <f aca="false">IF(B709="GK",IFERROR(('Player Data'!N709-1.5*'Player Data'!O709)/'Player Data'!H709*90,0),IFERROR(('Player Data'!I709+'Player Data'!J709)/'Player Data'!H709*90,0))</f>
        <v>0.761904761904762</v>
      </c>
      <c r="I709" s="22" t="n">
        <f aca="false">IF(B709="GK",'Player Data'!P709,IFERROR(('Player Data'!K709+'Player Data'!L709)/'Player Data'!H709*90,0))</f>
        <v>10.6190476190476</v>
      </c>
      <c r="J709" s="22" t="n">
        <f aca="false">IF(B709="GK",IFERROR('Player Data'!Q709/'Player Data'!H709*90,0),IFERROR('Player Data'!M709/'Player Data'!H709*90,0))</f>
        <v>2.47619047619048</v>
      </c>
      <c r="K709" s="23" t="n">
        <f aca="false">'Player Data'!S709</f>
        <v>132261</v>
      </c>
      <c r="L709" s="22" t="n">
        <f aca="false">INDEX(Assumptions!$B$13:$B$15,MATCH(E709,Assumptions!$A$13:$A$15,0))</f>
        <v>0.7</v>
      </c>
      <c r="M709" s="24" t="n">
        <f aca="false">IFERROR(SUMPRODUCT(($B$2:$B$1001=B709)*($H$2:$H$1001&lt;=H709))/SUMPRODUCT(($B$2:$B$1001=B709)*1),0)</f>
        <v>0.538720538720539</v>
      </c>
      <c r="N709" s="24" t="n">
        <f aca="false">IFERROR(SUMPRODUCT(($B$2:$B$1001=B709)*($I$2:$I$1001&lt;=I709))/SUMPRODUCT(($B$2:$B$1001=B709)*1),0)</f>
        <v>0.471380471380471</v>
      </c>
      <c r="O709" s="24" t="n">
        <f aca="false">IFERROR(SUMPRODUCT(($B$2:$B$1001=B709)*($J$2:$J$1001&lt;=J709))/SUMPRODUCT(($B$2:$B$1001=B709)*1),0)</f>
        <v>0.626262626262626</v>
      </c>
      <c r="P709" s="24" t="n">
        <f aca="false">IFERROR(SUMPRODUCT(($B$2:$B$1001=B709)*((0-$F$2:$F$1001)&lt;=(0-F709)))/SUMPRODUCT(($B$2:$B$1001=B709)*1),0)</f>
        <v>0.326599326599327</v>
      </c>
      <c r="Q709" s="25" t="n">
        <f aca="false">(M709*Assumptions!$B$5+N709*Assumptions!$B$6+O709*Assumptions!$B$7+P709*Assumptions!$B$8)*L709</f>
        <v>0.343164983164983</v>
      </c>
      <c r="R709" s="24" t="n">
        <f aca="false">IFERROR(SUMPRODUCT(($B$2:$B$1001=B709)*($Q$2:$Q$1001&lt;=Q709))/SUMPRODUCT(($B$2:$B$1001=B709)*1),0)</f>
        <v>0.323232323232323</v>
      </c>
      <c r="S709" s="24" t="n">
        <f aca="false">IFERROR(SUMPRODUCT(($B$2:$B$1001=B709)*($K$2:$K$1001&lt;=K709))/SUMPRODUCT(($B$2:$B$1001=B709)*1),0)</f>
        <v>0.929292929292929</v>
      </c>
      <c r="T709" s="26" t="n">
        <f aca="false">(R709-S709)*100</f>
        <v>-60.6060606060606</v>
      </c>
      <c r="U709" s="21" t="str">
        <f aca="false">'Player Data'!T709</f>
        <v>Unknown</v>
      </c>
      <c r="V709" s="27" t="n">
        <f aca="false">'Player Data'!U709</f>
        <v>2026</v>
      </c>
      <c r="W709" s="21" t="str">
        <f aca="false">IF(AND(T709&gt;=Assumptions!$B$19,U709="No"),"High Priority - Unrepresented",IF(T709&gt;=Assumptions!$B$19,"High Priority",IF(AND(T709&gt;=Assumptions!$B$20,U709="No"),"Watchlist - Unrepresented",IF(T709&gt;=Assumptions!$B$20,"Watchlist",""))))</f>
        <v/>
      </c>
      <c r="X709" s="21" t="str">
        <f aca="false">'Player Data'!V709</f>
        <v>info@yamoussoukrocity.ci</v>
      </c>
      <c r="Y709" s="28" t="str">
        <f aca="false">'Player Data'!W709</f>
        <v>Club sporting director / first-team office</v>
      </c>
      <c r="Z709" s="28" t="str">
        <f aca="false">'Player Data'!X709</f>
        <v>FIF (Ivorian Football Federation) player registry</v>
      </c>
      <c r="AA709" s="19" t="str">
        <f aca="false">HYPERLINK("https://www.transfermarkt.com/schnellsuche/ergebnis/schnellsuche?query="&amp;SUBSTITUTE(A709," ","+"),"Search Transfermarkt")</f>
        <v>Search Transfermarkt</v>
      </c>
      <c r="AB709" s="29" t="n">
        <f aca="false">IFERROR('Player Data'!K709/('Player Data'!K709+'Player Data'!L709),0)</f>
        <v>0.654708520179372</v>
      </c>
      <c r="AC709" s="21" t="str">
        <f aca="false">IF(B709="GK",IF(AND(O709&gt;=Assumptions!$B$23,N709&gt;=Assumptions!$B$23),"Sweeper-Keeper / Build-from-the-Back",IF(O709&gt;=Assumptions!$B$23,"Sweeper-Keeper / High Line",IF(M709&gt;=Assumptions!$B$23,"Shot-Stopper / Traditional","Flexible / Multi-System"))),IF(AND(O709&gt;=Assumptions!$B$23,P709&gt;=Assumptions!$B$24),"High Press / Gegenpressing",IF(AND(N709&gt;=Assumptions!$B$23,AB709&gt;=Assumptions!$B$25),"Possession / Build-from-the-Back",IF(N709&gt;=Assumptions!$B$23,"Counter-Attack / Transition",IF(AND(O709&gt;=Assumptions!$B$23,N709&lt;Assumptions!$B$26),"Low Block / Park the Bus",IF(AND(B709="FW",M709&gt;=Assumptions!$B$23,N709&lt;Assumptions!$B$26),"Direct / Target Approach","Flexible / Multi-System"))))))</f>
        <v>Flexible / Multi-System</v>
      </c>
      <c r="AD709" s="21" t="str">
        <f aca="false">'Player Data'!Y709</f>
        <v>2026-07-17</v>
      </c>
      <c r="AE709" s="21" t="str">
        <f aca="false">'Player Data'!Z709</f>
        <v>2026-07-17</v>
      </c>
      <c r="AF709" s="28" t="str">
        <f aca="false">IFERROR(INDEX(Assumptions!$B$30:$B$61,MATCH(C709,Assumptions!$A$30:$A$61,0)),"--")</f>
        <v>Belgium, Portugal</v>
      </c>
      <c r="AG709" s="30" t="str">
        <f aca="false">IF(R709&gt;=0.7,"Step-Up Candidate",IF(R709&gt;=0.4,"Lateral Move","Stay &amp; Develop"))</f>
        <v>Stay &amp; Develop</v>
      </c>
    </row>
    <row r="710" customFormat="false" ht="23.85" hidden="false" customHeight="false" outlineLevel="0" collapsed="false">
      <c r="A710" s="21" t="str">
        <f aca="false">'Player Data'!A710</f>
        <v>Shamar Bailey</v>
      </c>
      <c r="B710" s="21" t="str">
        <f aca="false">'Player Data'!F710</f>
        <v>GK</v>
      </c>
      <c r="C710" s="21" t="str">
        <f aca="false">'Player Data'!B710</f>
        <v>Jamaica</v>
      </c>
      <c r="D710" s="21" t="str">
        <f aca="false">'Player Data'!C710</f>
        <v>Jamaica Second Division - West</v>
      </c>
      <c r="E710" s="21" t="n">
        <f aca="false">'Player Data'!D710</f>
        <v>3</v>
      </c>
      <c r="F710" s="21" t="n">
        <f aca="false">'Player Data'!G710</f>
        <v>19</v>
      </c>
      <c r="G710" s="21" t="n">
        <f aca="false">'Player Data'!H710</f>
        <v>2381</v>
      </c>
      <c r="H710" s="22" t="n">
        <f aca="false">IF(B710="GK",IFERROR(('Player Data'!N710-1.5*'Player Data'!O710)/'Player Data'!H710*90,0),IFERROR(('Player Data'!I710+'Player Data'!J710)/'Player Data'!H710*90,0))</f>
        <v>-0.585888282234355</v>
      </c>
      <c r="I710" s="22" t="n">
        <f aca="false">IF(B710="GK",'Player Data'!P710,IFERROR(('Player Data'!K710+'Player Data'!L710)/'Player Data'!H710*90,0))</f>
        <v>62.1</v>
      </c>
      <c r="J710" s="22" t="n">
        <f aca="false">IF(B710="GK",IFERROR('Player Data'!Q710/'Player Data'!H710*90,0),IFERROR('Player Data'!M710/'Player Data'!H710*90,0))</f>
        <v>0.578328433431331</v>
      </c>
      <c r="K710" s="23" t="n">
        <f aca="false">'Player Data'!S710</f>
        <v>40586</v>
      </c>
      <c r="L710" s="22" t="n">
        <f aca="false">INDEX(Assumptions!$B$13:$B$15,MATCH(E710,Assumptions!$A$13:$A$15,0))</f>
        <v>0.85</v>
      </c>
      <c r="M710" s="24" t="n">
        <f aca="false">IFERROR(SUMPRODUCT(($B$2:$B$1001=B710)*($H$2:$H$1001&lt;=H710))/SUMPRODUCT(($B$2:$B$1001=B710)*1),0)</f>
        <v>0.0710382513661202</v>
      </c>
      <c r="N710" s="24" t="n">
        <f aca="false">IFERROR(SUMPRODUCT(($B$2:$B$1001=B710)*($I$2:$I$1001&lt;=I710))/SUMPRODUCT(($B$2:$B$1001=B710)*1),0)</f>
        <v>0.213114754098361</v>
      </c>
      <c r="O710" s="24" t="n">
        <f aca="false">IFERROR(SUMPRODUCT(($B$2:$B$1001=B710)*($J$2:$J$1001&lt;=J710))/SUMPRODUCT(($B$2:$B$1001=B710)*1),0)</f>
        <v>0.311475409836066</v>
      </c>
      <c r="P710" s="24" t="n">
        <f aca="false">IFERROR(SUMPRODUCT(($B$2:$B$1001=B710)*((0-$F$2:$F$1001)&lt;=(0-F710)))/SUMPRODUCT(($B$2:$B$1001=B710)*1),0)</f>
        <v>0.770491803278689</v>
      </c>
      <c r="Q710" s="25" t="n">
        <f aca="false">(M710*Assumptions!$B$5+N710*Assumptions!$B$6+O710*Assumptions!$B$7+P710*Assumptions!$B$8)*L710</f>
        <v>0.262431693989071</v>
      </c>
      <c r="R710" s="24" t="n">
        <f aca="false">IFERROR(SUMPRODUCT(($B$2:$B$1001=B710)*($Q$2:$Q$1001&lt;=Q710))/SUMPRODUCT(($B$2:$B$1001=B710)*1),0)</f>
        <v>0.0819672131147541</v>
      </c>
      <c r="S710" s="24" t="n">
        <f aca="false">IFERROR(SUMPRODUCT(($B$2:$B$1001=B710)*($K$2:$K$1001&lt;=K710))/SUMPRODUCT(($B$2:$B$1001=B710)*1),0)</f>
        <v>0.360655737704918</v>
      </c>
      <c r="T710" s="26" t="n">
        <f aca="false">(R710-S710)*100</f>
        <v>-27.8688524590164</v>
      </c>
      <c r="U710" s="21" t="str">
        <f aca="false">'Player Data'!T710</f>
        <v>No</v>
      </c>
      <c r="V710" s="27" t="n">
        <f aca="false">'Player Data'!U710</f>
        <v>2028</v>
      </c>
      <c r="W710" s="21" t="str">
        <f aca="false">IF(AND(T710&gt;=Assumptions!$B$19,U710="No"),"High Priority - Unrepresented",IF(T710&gt;=Assumptions!$B$19,"High Priority",IF(AND(T710&gt;=Assumptions!$B$20,U710="No"),"Watchlist - Unrepresented",IF(T710&gt;=Assumptions!$B$20,"Watchlist",""))))</f>
        <v/>
      </c>
      <c r="X710" s="21" t="str">
        <f aca="false">'Player Data'!V710</f>
        <v>info@montegobayrangers.jm</v>
      </c>
      <c r="Y710" s="28" t="str">
        <f aca="false">'Player Data'!W710</f>
        <v>Club sporting director / first-team office</v>
      </c>
      <c r="Z710" s="28" t="str">
        <f aca="false">'Player Data'!X710</f>
        <v>JFF (Jamaica Football Federation) player registry</v>
      </c>
      <c r="AA710" s="19" t="str">
        <f aca="false">HYPERLINK("https://www.transfermarkt.com/schnellsuche/ergebnis/schnellsuche?query="&amp;SUBSTITUTE(A710," ","+"),"Search Transfermarkt")</f>
        <v>Search Transfermarkt</v>
      </c>
      <c r="AB710" s="29" t="n">
        <f aca="false">IFERROR('Player Data'!K710/('Player Data'!K710+'Player Data'!L710),0)</f>
        <v>0.6</v>
      </c>
      <c r="AC710" s="21" t="str">
        <f aca="false">IF(B710="GK",IF(AND(O710&gt;=Assumptions!$B$23,N710&gt;=Assumptions!$B$23),"Sweeper-Keeper / Build-from-the-Back",IF(O710&gt;=Assumptions!$B$23,"Sweeper-Keeper / High Line",IF(M710&gt;=Assumptions!$B$23,"Shot-Stopper / Traditional","Flexible / Multi-System"))),IF(AND(O710&gt;=Assumptions!$B$23,P710&gt;=Assumptions!$B$24),"High Press / Gegenpressing",IF(AND(N710&gt;=Assumptions!$B$23,AB710&gt;=Assumptions!$B$25),"Possession / Build-from-the-Back",IF(N710&gt;=Assumptions!$B$23,"Counter-Attack / Transition",IF(AND(O710&gt;=Assumptions!$B$23,N710&lt;Assumptions!$B$26),"Low Block / Park the Bus",IF(AND(B710="FW",M710&gt;=Assumptions!$B$23,N710&lt;Assumptions!$B$26),"Direct / Target Approach","Flexible / Multi-System"))))))</f>
        <v>Flexible / Multi-System</v>
      </c>
      <c r="AD710" s="21" t="str">
        <f aca="false">'Player Data'!Y710</f>
        <v>2026-07-17</v>
      </c>
      <c r="AE710" s="21" t="str">
        <f aca="false">'Player Data'!Z710</f>
        <v>2026-07-17</v>
      </c>
      <c r="AF710" s="28" t="str">
        <f aca="false">IFERROR(INDEX(Assumptions!$B$30:$B$61,MATCH(C710,Assumptions!$A$30:$A$61,0)),"--")</f>
        <v>United States, Mexico</v>
      </c>
      <c r="AG710" s="30" t="str">
        <f aca="false">IF(R710&gt;=0.7,"Step-Up Candidate",IF(R710&gt;=0.4,"Lateral Move","Stay &amp; Develop"))</f>
        <v>Stay &amp; Develop</v>
      </c>
    </row>
    <row r="711" customFormat="false" ht="23.85" hidden="false" customHeight="false" outlineLevel="0" collapsed="false">
      <c r="A711" s="21" t="str">
        <f aca="false">'Player Data'!A711</f>
        <v>Nicolas Silva</v>
      </c>
      <c r="B711" s="21" t="str">
        <f aca="false">'Player Data'!F711</f>
        <v>DF</v>
      </c>
      <c r="C711" s="21" t="str">
        <f aca="false">'Player Data'!B711</f>
        <v>Uruguay</v>
      </c>
      <c r="D711" s="21" t="str">
        <f aca="false">'Player Data'!C711</f>
        <v>Uruguay Third Tier - South</v>
      </c>
      <c r="E711" s="21" t="n">
        <f aca="false">'Player Data'!D711</f>
        <v>4</v>
      </c>
      <c r="F711" s="21" t="n">
        <f aca="false">'Player Data'!G711</f>
        <v>19</v>
      </c>
      <c r="G711" s="21" t="n">
        <f aca="false">'Player Data'!H711</f>
        <v>2152</v>
      </c>
      <c r="H711" s="22" t="n">
        <f aca="false">IF(B711="GK",IFERROR(('Player Data'!N711-1.5*'Player Data'!O711)/'Player Data'!H711*90,0),IFERROR(('Player Data'!I711+'Player Data'!J711)/'Player Data'!H711*90,0))</f>
        <v>0.0836431226765799</v>
      </c>
      <c r="I711" s="22" t="n">
        <f aca="false">IF(B711="GK",'Player Data'!P711,IFERROR(('Player Data'!K711+'Player Data'!L711)/'Player Data'!H711*90,0))</f>
        <v>3.63847583643123</v>
      </c>
      <c r="J711" s="22" t="n">
        <f aca="false">IF(B711="GK",IFERROR('Player Data'!Q711/'Player Data'!H711*90,0),IFERROR('Player Data'!M711/'Player Data'!H711*90,0))</f>
        <v>3.97304832713755</v>
      </c>
      <c r="K711" s="23" t="n">
        <f aca="false">'Player Data'!S711</f>
        <v>90870</v>
      </c>
      <c r="L711" s="22" t="n">
        <f aca="false">INDEX(Assumptions!$B$13:$B$15,MATCH(E711,Assumptions!$A$13:$A$15,0))</f>
        <v>0.7</v>
      </c>
      <c r="M711" s="24" t="n">
        <f aca="false">IFERROR(SUMPRODUCT(($B$2:$B$1001=B711)*($H$2:$H$1001&lt;=H711))/SUMPRODUCT(($B$2:$B$1001=B711)*1),0)</f>
        <v>0.136054421768708</v>
      </c>
      <c r="N711" s="24" t="n">
        <f aca="false">IFERROR(SUMPRODUCT(($B$2:$B$1001=B711)*($I$2:$I$1001&lt;=I711))/SUMPRODUCT(($B$2:$B$1001=B711)*1),0)</f>
        <v>0.285714285714286</v>
      </c>
      <c r="O711" s="24" t="n">
        <f aca="false">IFERROR(SUMPRODUCT(($B$2:$B$1001=B711)*($J$2:$J$1001&lt;=J711))/SUMPRODUCT(($B$2:$B$1001=B711)*1),0)</f>
        <v>0.217687074829932</v>
      </c>
      <c r="P711" s="24" t="n">
        <f aca="false">IFERROR(SUMPRODUCT(($B$2:$B$1001=B711)*((0-$F$2:$F$1001)&lt;=(0-F711)))/SUMPRODUCT(($B$2:$B$1001=B711)*1),0)</f>
        <v>0.738095238095238</v>
      </c>
      <c r="Q711" s="25" t="n">
        <f aca="false">(M711*Assumptions!$B$5+N711*Assumptions!$B$6+O711*Assumptions!$B$7+P711*Assumptions!$B$8)*L711</f>
        <v>0.227619047619048</v>
      </c>
      <c r="R711" s="24" t="n">
        <f aca="false">IFERROR(SUMPRODUCT(($B$2:$B$1001=B711)*($Q$2:$Q$1001&lt;=Q711))/SUMPRODUCT(($B$2:$B$1001=B711)*1),0)</f>
        <v>0.108843537414966</v>
      </c>
      <c r="S711" s="24" t="n">
        <f aca="false">IFERROR(SUMPRODUCT(($B$2:$B$1001=B711)*($K$2:$K$1001&lt;=K711))/SUMPRODUCT(($B$2:$B$1001=B711)*1),0)</f>
        <v>0.690476190476191</v>
      </c>
      <c r="T711" s="26" t="n">
        <f aca="false">(R711-S711)*100</f>
        <v>-58.1632653061225</v>
      </c>
      <c r="U711" s="21" t="str">
        <f aca="false">'Player Data'!T711</f>
        <v>Unknown</v>
      </c>
      <c r="V711" s="27" t="n">
        <f aca="false">'Player Data'!U711</f>
        <v>2028</v>
      </c>
      <c r="W711" s="21" t="str">
        <f aca="false">IF(AND(T711&gt;=Assumptions!$B$19,U711="No"),"High Priority - Unrepresented",IF(T711&gt;=Assumptions!$B$19,"High Priority",IF(AND(T711&gt;=Assumptions!$B$20,U711="No"),"Watchlist - Unrepresented",IF(T711&gt;=Assumptions!$B$20,"Watchlist",""))))</f>
        <v/>
      </c>
      <c r="X711" s="21" t="str">
        <f aca="false">'Player Data'!V711</f>
        <v>info@riverafc.uy</v>
      </c>
      <c r="Y711" s="28" t="str">
        <f aca="false">'Player Data'!W711</f>
        <v>Club sporting director / first-team office</v>
      </c>
      <c r="Z711" s="28" t="str">
        <f aca="false">'Player Data'!X711</f>
        <v>AUF (Uruguayan Football Association) player registry</v>
      </c>
      <c r="AA711" s="19" t="str">
        <f aca="false">HYPERLINK("https://www.transfermarkt.com/schnellsuche/ergebnis/schnellsuche?query="&amp;SUBSTITUTE(A711," ","+"),"Search Transfermarkt")</f>
        <v>Search Transfermarkt</v>
      </c>
      <c r="AB711" s="29" t="n">
        <f aca="false">IFERROR('Player Data'!K711/('Player Data'!K711+'Player Data'!L711),0)</f>
        <v>0.666666666666667</v>
      </c>
      <c r="AC711" s="21" t="str">
        <f aca="false">IF(B711="GK",IF(AND(O711&gt;=Assumptions!$B$23,N711&gt;=Assumptions!$B$23),"Sweeper-Keeper / Build-from-the-Back",IF(O711&gt;=Assumptions!$B$23,"Sweeper-Keeper / High Line",IF(M711&gt;=Assumptions!$B$23,"Shot-Stopper / Traditional","Flexible / Multi-System"))),IF(AND(O711&gt;=Assumptions!$B$23,P711&gt;=Assumptions!$B$24),"High Press / Gegenpressing",IF(AND(N711&gt;=Assumptions!$B$23,AB711&gt;=Assumptions!$B$25),"Possession / Build-from-the-Back",IF(N711&gt;=Assumptions!$B$23,"Counter-Attack / Transition",IF(AND(O711&gt;=Assumptions!$B$23,N711&lt;Assumptions!$B$26),"Low Block / Park the Bus",IF(AND(B711="FW",M711&gt;=Assumptions!$B$23,N711&lt;Assumptions!$B$26),"Direct / Target Approach","Flexible / Multi-System"))))))</f>
        <v>Flexible / Multi-System</v>
      </c>
      <c r="AD711" s="21" t="str">
        <f aca="false">'Player Data'!Y711</f>
        <v>2026-07-17</v>
      </c>
      <c r="AE711" s="21" t="str">
        <f aca="false">'Player Data'!Z711</f>
        <v>2026-07-17</v>
      </c>
      <c r="AF711" s="28" t="str">
        <f aca="false">IFERROR(INDEX(Assumptions!$B$30:$B$61,MATCH(C711,Assumptions!$A$30:$A$61,0)),"--")</f>
        <v>Argentina, Portugal</v>
      </c>
      <c r="AG711" s="30" t="str">
        <f aca="false">IF(R711&gt;=0.7,"Step-Up Candidate",IF(R711&gt;=0.4,"Lateral Move","Stay &amp; Develop"))</f>
        <v>Stay &amp; Develop</v>
      </c>
    </row>
    <row r="712" customFormat="false" ht="23.85" hidden="false" customHeight="false" outlineLevel="0" collapsed="false">
      <c r="A712" s="21" t="str">
        <f aca="false">'Player Data'!A712</f>
        <v>Rodrigo Lopez</v>
      </c>
      <c r="B712" s="21" t="str">
        <f aca="false">'Player Data'!F712</f>
        <v>DF</v>
      </c>
      <c r="C712" s="21" t="str">
        <f aca="false">'Player Data'!B712</f>
        <v>Paraguay</v>
      </c>
      <c r="D712" s="21" t="str">
        <f aca="false">'Player Data'!C712</f>
        <v>Paraguay Second Division - East</v>
      </c>
      <c r="E712" s="21" t="n">
        <f aca="false">'Player Data'!D712</f>
        <v>3</v>
      </c>
      <c r="F712" s="21" t="n">
        <f aca="false">'Player Data'!G712</f>
        <v>23</v>
      </c>
      <c r="G712" s="21" t="n">
        <f aca="false">'Player Data'!H712</f>
        <v>2193</v>
      </c>
      <c r="H712" s="22" t="n">
        <f aca="false">IF(B712="GK",IFERROR(('Player Data'!N712-1.5*'Player Data'!O712)/'Player Data'!H712*90,0),IFERROR(('Player Data'!I712+'Player Data'!J712)/'Player Data'!H712*90,0))</f>
        <v>0.12311901504788</v>
      </c>
      <c r="I712" s="22" t="n">
        <f aca="false">IF(B712="GK",'Player Data'!P712,IFERROR(('Player Data'!K712+'Player Data'!L712)/'Player Data'!H712*90,0))</f>
        <v>4.76060191518468</v>
      </c>
      <c r="J712" s="22" t="n">
        <f aca="false">IF(B712="GK",IFERROR('Player Data'!Q712/'Player Data'!H712*90,0),IFERROR('Player Data'!M712/'Player Data'!H712*90,0))</f>
        <v>4.10396716826265</v>
      </c>
      <c r="K712" s="23" t="n">
        <f aca="false">'Player Data'!S712</f>
        <v>100050</v>
      </c>
      <c r="L712" s="22" t="n">
        <f aca="false">INDEX(Assumptions!$B$13:$B$15,MATCH(E712,Assumptions!$A$13:$A$15,0))</f>
        <v>0.85</v>
      </c>
      <c r="M712" s="24" t="n">
        <f aca="false">IFERROR(SUMPRODUCT(($B$2:$B$1001=B712)*($H$2:$H$1001&lt;=H712))/SUMPRODUCT(($B$2:$B$1001=B712)*1),0)</f>
        <v>0.275510204081633</v>
      </c>
      <c r="N712" s="24" t="n">
        <f aca="false">IFERROR(SUMPRODUCT(($B$2:$B$1001=B712)*($I$2:$I$1001&lt;=I712))/SUMPRODUCT(($B$2:$B$1001=B712)*1),0)</f>
        <v>0.561224489795918</v>
      </c>
      <c r="O712" s="24" t="n">
        <f aca="false">IFERROR(SUMPRODUCT(($B$2:$B$1001=B712)*($J$2:$J$1001&lt;=J712))/SUMPRODUCT(($B$2:$B$1001=B712)*1),0)</f>
        <v>0.248299319727891</v>
      </c>
      <c r="P712" s="24" t="n">
        <f aca="false">IFERROR(SUMPRODUCT(($B$2:$B$1001=B712)*((0-$F$2:$F$1001)&lt;=(0-F712)))/SUMPRODUCT(($B$2:$B$1001=B712)*1),0)</f>
        <v>0.374149659863946</v>
      </c>
      <c r="Q712" s="25" t="n">
        <f aca="false">(M712*Assumptions!$B$5+N712*Assumptions!$B$6+O712*Assumptions!$B$7+P712*Assumptions!$B$8)*L712</f>
        <v>0.331326530612245</v>
      </c>
      <c r="R712" s="24" t="n">
        <f aca="false">IFERROR(SUMPRODUCT(($B$2:$B$1001=B712)*($Q$2:$Q$1001&lt;=Q712))/SUMPRODUCT(($B$2:$B$1001=B712)*1),0)</f>
        <v>0.316326530612245</v>
      </c>
      <c r="S712" s="24" t="n">
        <f aca="false">IFERROR(SUMPRODUCT(($B$2:$B$1001=B712)*($K$2:$K$1001&lt;=K712))/SUMPRODUCT(($B$2:$B$1001=B712)*1),0)</f>
        <v>0.741496598639456</v>
      </c>
      <c r="T712" s="26" t="n">
        <f aca="false">(R712-S712)*100</f>
        <v>-42.5170068027211</v>
      </c>
      <c r="U712" s="21" t="str">
        <f aca="false">'Player Data'!T712</f>
        <v>Unknown</v>
      </c>
      <c r="V712" s="27" t="n">
        <f aca="false">'Player Data'!U712</f>
        <v>2029</v>
      </c>
      <c r="W712" s="21" t="str">
        <f aca="false">IF(AND(T712&gt;=Assumptions!$B$19,U712="No"),"High Priority - Unrepresented",IF(T712&gt;=Assumptions!$B$19,"High Priority",IF(AND(T712&gt;=Assumptions!$B$20,U712="No"),"Watchlist - Unrepresented",IF(T712&gt;=Assumptions!$B$20,"Watchlist",""))))</f>
        <v/>
      </c>
      <c r="X712" s="21" t="str">
        <f aca="false">'Player Data'!V712</f>
        <v>info@luquetown.py</v>
      </c>
      <c r="Y712" s="28" t="str">
        <f aca="false">'Player Data'!W712</f>
        <v>Club sporting director / first-team office</v>
      </c>
      <c r="Z712" s="28" t="str">
        <f aca="false">'Player Data'!X712</f>
        <v>APF (Paraguayan Football Association) player registry</v>
      </c>
      <c r="AA712" s="19" t="str">
        <f aca="false">HYPERLINK("https://www.transfermarkt.com/schnellsuche/ergebnis/schnellsuche?query="&amp;SUBSTITUTE(A712," ","+"),"Search Transfermarkt")</f>
        <v>Search Transfermarkt</v>
      </c>
      <c r="AB712" s="29" t="n">
        <f aca="false">IFERROR('Player Data'!K712/('Player Data'!K712+'Player Data'!L712),0)</f>
        <v>0.620689655172414</v>
      </c>
      <c r="AC712" s="21" t="str">
        <f aca="false">IF(B712="GK",IF(AND(O712&gt;=Assumptions!$B$23,N712&gt;=Assumptions!$B$23),"Sweeper-Keeper / Build-from-the-Back",IF(O712&gt;=Assumptions!$B$23,"Sweeper-Keeper / High Line",IF(M712&gt;=Assumptions!$B$23,"Shot-Stopper / Traditional","Flexible / Multi-System"))),IF(AND(O712&gt;=Assumptions!$B$23,P712&gt;=Assumptions!$B$24),"High Press / Gegenpressing",IF(AND(N712&gt;=Assumptions!$B$23,AB712&gt;=Assumptions!$B$25),"Possession / Build-from-the-Back",IF(N712&gt;=Assumptions!$B$23,"Counter-Attack / Transition",IF(AND(O712&gt;=Assumptions!$B$23,N712&lt;Assumptions!$B$26),"Low Block / Park the Bus",IF(AND(B712="FW",M712&gt;=Assumptions!$B$23,N712&lt;Assumptions!$B$26),"Direct / Target Approach","Flexible / Multi-System"))))))</f>
        <v>Flexible / Multi-System</v>
      </c>
      <c r="AD712" s="21" t="str">
        <f aca="false">'Player Data'!Y712</f>
        <v>2026-07-17</v>
      </c>
      <c r="AE712" s="21" t="str">
        <f aca="false">'Player Data'!Z712</f>
        <v>2026-07-17</v>
      </c>
      <c r="AF712" s="28" t="str">
        <f aca="false">IFERROR(INDEX(Assumptions!$B$30:$B$61,MATCH(C712,Assumptions!$A$30:$A$61,0)),"--")</f>
        <v>Argentina, Portugal</v>
      </c>
      <c r="AG712" s="30" t="str">
        <f aca="false">IF(R712&gt;=0.7,"Step-Up Candidate",IF(R712&gt;=0.4,"Lateral Move","Stay &amp; Develop"))</f>
        <v>Stay &amp; Develop</v>
      </c>
    </row>
    <row r="713" customFormat="false" ht="23.85" hidden="false" customHeight="false" outlineLevel="0" collapsed="false">
      <c r="A713" s="21" t="str">
        <f aca="false">'Player Data'!A713</f>
        <v>Facundo Ferreira</v>
      </c>
      <c r="B713" s="21" t="str">
        <f aca="false">'Player Data'!F713</f>
        <v>MF</v>
      </c>
      <c r="C713" s="21" t="str">
        <f aca="false">'Player Data'!B713</f>
        <v>Uruguay</v>
      </c>
      <c r="D713" s="21" t="str">
        <f aca="false">'Player Data'!C713</f>
        <v>Uruguay Provincial League</v>
      </c>
      <c r="E713" s="21" t="n">
        <f aca="false">'Player Data'!D713</f>
        <v>3</v>
      </c>
      <c r="F713" s="21" t="n">
        <f aca="false">'Player Data'!G713</f>
        <v>26</v>
      </c>
      <c r="G713" s="21" t="n">
        <f aca="false">'Player Data'!H713</f>
        <v>2000</v>
      </c>
      <c r="H713" s="22" t="n">
        <f aca="false">IF(B713="GK",IFERROR(('Player Data'!N713-1.5*'Player Data'!O713)/'Player Data'!H713*90,0),IFERROR(('Player Data'!I713+'Player Data'!J713)/'Player Data'!H713*90,0))</f>
        <v>0.495</v>
      </c>
      <c r="I713" s="22" t="n">
        <f aca="false">IF(B713="GK",'Player Data'!P713,IFERROR(('Player Data'!K713+'Player Data'!L713)/'Player Data'!H713*90,0))</f>
        <v>9.405</v>
      </c>
      <c r="J713" s="22" t="n">
        <f aca="false">IF(B713="GK",IFERROR('Player Data'!Q713/'Player Data'!H713*90,0),IFERROR('Player Data'!M713/'Player Data'!H713*90,0))</f>
        <v>2.025</v>
      </c>
      <c r="K713" s="23" t="n">
        <f aca="false">'Player Data'!S713</f>
        <v>133915</v>
      </c>
      <c r="L713" s="22" t="n">
        <f aca="false">INDEX(Assumptions!$B$13:$B$15,MATCH(E713,Assumptions!$A$13:$A$15,0))</f>
        <v>0.85</v>
      </c>
      <c r="M713" s="24" t="n">
        <f aca="false">IFERROR(SUMPRODUCT(($B$2:$B$1001=B713)*($H$2:$H$1001&lt;=H713))/SUMPRODUCT(($B$2:$B$1001=B713)*1),0)</f>
        <v>0.212121212121212</v>
      </c>
      <c r="N713" s="24" t="n">
        <f aca="false">IFERROR(SUMPRODUCT(($B$2:$B$1001=B713)*($I$2:$I$1001&lt;=I713))/SUMPRODUCT(($B$2:$B$1001=B713)*1),0)</f>
        <v>0.353535353535354</v>
      </c>
      <c r="O713" s="24" t="n">
        <f aca="false">IFERROR(SUMPRODUCT(($B$2:$B$1001=B713)*($J$2:$J$1001&lt;=J713))/SUMPRODUCT(($B$2:$B$1001=B713)*1),0)</f>
        <v>0.441077441077441</v>
      </c>
      <c r="P713" s="24" t="n">
        <f aca="false">IFERROR(SUMPRODUCT(($B$2:$B$1001=B713)*((0-$F$2:$F$1001)&lt;=(0-F713)))/SUMPRODUCT(($B$2:$B$1001=B713)*1),0)</f>
        <v>0.0909090909090909</v>
      </c>
      <c r="Q713" s="25" t="n">
        <f aca="false">(M713*Assumptions!$B$5+N713*Assumptions!$B$6+O713*Assumptions!$B$7+P713*Assumptions!$B$8)*L713</f>
        <v>0.240690235690236</v>
      </c>
      <c r="R713" s="24" t="n">
        <f aca="false">IFERROR(SUMPRODUCT(($B$2:$B$1001=B713)*($Q$2:$Q$1001&lt;=Q713))/SUMPRODUCT(($B$2:$B$1001=B713)*1),0)</f>
        <v>0.158249158249158</v>
      </c>
      <c r="S713" s="24" t="n">
        <f aca="false">IFERROR(SUMPRODUCT(($B$2:$B$1001=B713)*($K$2:$K$1001&lt;=K713))/SUMPRODUCT(($B$2:$B$1001=B713)*1),0)</f>
        <v>0.939393939393939</v>
      </c>
      <c r="T713" s="26" t="n">
        <f aca="false">(R713-S713)*100</f>
        <v>-78.1144781144781</v>
      </c>
      <c r="U713" s="21" t="str">
        <f aca="false">'Player Data'!T713</f>
        <v>No</v>
      </c>
      <c r="V713" s="27" t="n">
        <f aca="false">'Player Data'!U713</f>
        <v>2028</v>
      </c>
      <c r="W713" s="21" t="str">
        <f aca="false">IF(AND(T713&gt;=Assumptions!$B$19,U713="No"),"High Priority - Unrepresented",IF(T713&gt;=Assumptions!$B$19,"High Priority",IF(AND(T713&gt;=Assumptions!$B$20,U713="No"),"Watchlist - Unrepresented",IF(T713&gt;=Assumptions!$B$20,"Watchlist",""))))</f>
        <v/>
      </c>
      <c r="X713" s="21" t="str">
        <f aca="false">'Player Data'!V713</f>
        <v>info@montevideocity.uy</v>
      </c>
      <c r="Y713" s="28" t="str">
        <f aca="false">'Player Data'!W713</f>
        <v>Club sporting director / first-team office</v>
      </c>
      <c r="Z713" s="28" t="str">
        <f aca="false">'Player Data'!X713</f>
        <v>AUF (Uruguayan Football Association) player registry</v>
      </c>
      <c r="AA713" s="19" t="str">
        <f aca="false">HYPERLINK("https://www.transfermarkt.com/schnellsuche/ergebnis/schnellsuche?query="&amp;SUBSTITUTE(A713," ","+"),"Search Transfermarkt")</f>
        <v>Search Transfermarkt</v>
      </c>
      <c r="AB713" s="29" t="n">
        <f aca="false">IFERROR('Player Data'!K713/('Player Data'!K713+'Player Data'!L713),0)</f>
        <v>0.727272727272727</v>
      </c>
      <c r="AC713" s="21" t="str">
        <f aca="false">IF(B713="GK",IF(AND(O713&gt;=Assumptions!$B$23,N713&gt;=Assumptions!$B$23),"Sweeper-Keeper / Build-from-the-Back",IF(O713&gt;=Assumptions!$B$23,"Sweeper-Keeper / High Line",IF(M713&gt;=Assumptions!$B$23,"Shot-Stopper / Traditional","Flexible / Multi-System"))),IF(AND(O713&gt;=Assumptions!$B$23,P713&gt;=Assumptions!$B$24),"High Press / Gegenpressing",IF(AND(N713&gt;=Assumptions!$B$23,AB713&gt;=Assumptions!$B$25),"Possession / Build-from-the-Back",IF(N713&gt;=Assumptions!$B$23,"Counter-Attack / Transition",IF(AND(O713&gt;=Assumptions!$B$23,N713&lt;Assumptions!$B$26),"Low Block / Park the Bus",IF(AND(B713="FW",M713&gt;=Assumptions!$B$23,N713&lt;Assumptions!$B$26),"Direct / Target Approach","Flexible / Multi-System"))))))</f>
        <v>Flexible / Multi-System</v>
      </c>
      <c r="AD713" s="21" t="str">
        <f aca="false">'Player Data'!Y713</f>
        <v>2026-07-17</v>
      </c>
      <c r="AE713" s="21" t="str">
        <f aca="false">'Player Data'!Z713</f>
        <v>2026-07-17</v>
      </c>
      <c r="AF713" s="28" t="str">
        <f aca="false">IFERROR(INDEX(Assumptions!$B$30:$B$61,MATCH(C713,Assumptions!$A$30:$A$61,0)),"--")</f>
        <v>Argentina, Portugal</v>
      </c>
      <c r="AG713" s="30" t="str">
        <f aca="false">IF(R713&gt;=0.7,"Step-Up Candidate",IF(R713&gt;=0.4,"Lateral Move","Stay &amp; Develop"))</f>
        <v>Stay &amp; Develop</v>
      </c>
    </row>
    <row r="714" customFormat="false" ht="23.85" hidden="false" customHeight="false" outlineLevel="0" collapsed="false">
      <c r="A714" s="21" t="str">
        <f aca="false">'Player Data'!A714</f>
        <v>Janis Kalns 13</v>
      </c>
      <c r="B714" s="21" t="str">
        <f aca="false">'Player Data'!F714</f>
        <v>DF</v>
      </c>
      <c r="C714" s="21" t="str">
        <f aca="false">'Player Data'!B714</f>
        <v>Latvia</v>
      </c>
      <c r="D714" s="21" t="str">
        <f aca="false">'Player Data'!C714</f>
        <v>Latvia Third Tier - South</v>
      </c>
      <c r="E714" s="21" t="n">
        <f aca="false">'Player Data'!D714</f>
        <v>3</v>
      </c>
      <c r="F714" s="21" t="n">
        <f aca="false">'Player Data'!G714</f>
        <v>20</v>
      </c>
      <c r="G714" s="21" t="n">
        <f aca="false">'Player Data'!H714</f>
        <v>882</v>
      </c>
      <c r="H714" s="22" t="n">
        <f aca="false">IF(B714="GK",IFERROR(('Player Data'!N714-1.5*'Player Data'!O714)/'Player Data'!H714*90,0),IFERROR(('Player Data'!I714+'Player Data'!J714)/'Player Data'!H714*90,0))</f>
        <v>0.612244897959184</v>
      </c>
      <c r="I714" s="22" t="n">
        <f aca="false">IF(B714="GK",'Player Data'!P714,IFERROR(('Player Data'!K714+'Player Data'!L714)/'Player Data'!H714*90,0))</f>
        <v>8.46938775510204</v>
      </c>
      <c r="J714" s="22" t="n">
        <f aca="false">IF(B714="GK",IFERROR('Player Data'!Q714/'Player Data'!H714*90,0),IFERROR('Player Data'!M714/'Player Data'!H714*90,0))</f>
        <v>9.28571428571429</v>
      </c>
      <c r="K714" s="23" t="n">
        <f aca="false">'Player Data'!S714</f>
        <v>123370</v>
      </c>
      <c r="L714" s="22" t="n">
        <f aca="false">INDEX(Assumptions!$B$13:$B$15,MATCH(E714,Assumptions!$A$13:$A$15,0))</f>
        <v>0.85</v>
      </c>
      <c r="M714" s="24" t="n">
        <f aca="false">IFERROR(SUMPRODUCT(($B$2:$B$1001=B714)*($H$2:$H$1001&lt;=H714))/SUMPRODUCT(($B$2:$B$1001=B714)*1),0)</f>
        <v>0.986394557823129</v>
      </c>
      <c r="N714" s="24" t="n">
        <f aca="false">IFERROR(SUMPRODUCT(($B$2:$B$1001=B714)*($I$2:$I$1001&lt;=I714))/SUMPRODUCT(($B$2:$B$1001=B714)*1),0)</f>
        <v>0.91156462585034</v>
      </c>
      <c r="O714" s="24" t="n">
        <f aca="false">IFERROR(SUMPRODUCT(($B$2:$B$1001=B714)*($J$2:$J$1001&lt;=J714))/SUMPRODUCT(($B$2:$B$1001=B714)*1),0)</f>
        <v>0.91156462585034</v>
      </c>
      <c r="P714" s="24" t="n">
        <f aca="false">IFERROR(SUMPRODUCT(($B$2:$B$1001=B714)*((0-$F$2:$F$1001)&lt;=(0-F714)))/SUMPRODUCT(($B$2:$B$1001=B714)*1),0)</f>
        <v>0.656462585034014</v>
      </c>
      <c r="Q714" s="25" t="n">
        <f aca="false">(M714*Assumptions!$B$5+N714*Assumptions!$B$6+O714*Assumptions!$B$7+P714*Assumptions!$B$8)*L714</f>
        <v>0.747363945578231</v>
      </c>
      <c r="R714" s="24" t="n">
        <f aca="false">IFERROR(SUMPRODUCT(($B$2:$B$1001=B714)*($Q$2:$Q$1001&lt;=Q714))/SUMPRODUCT(($B$2:$B$1001=B714)*1),0)</f>
        <v>0.918367346938776</v>
      </c>
      <c r="S714" s="24" t="n">
        <f aca="false">IFERROR(SUMPRODUCT(($B$2:$B$1001=B714)*($K$2:$K$1001&lt;=K714))/SUMPRODUCT(($B$2:$B$1001=B714)*1),0)</f>
        <v>0.877551020408163</v>
      </c>
      <c r="T714" s="26" t="n">
        <f aca="false">(R714-S714)*100</f>
        <v>4.08163265306123</v>
      </c>
      <c r="U714" s="21" t="str">
        <f aca="false">'Player Data'!T714</f>
        <v>No</v>
      </c>
      <c r="V714" s="27" t="n">
        <f aca="false">'Player Data'!U714</f>
        <v>2029</v>
      </c>
      <c r="W714" s="21" t="str">
        <f aca="false">IF(AND(T714&gt;=Assumptions!$B$19,U714="No"),"High Priority - Unrepresented",IF(T714&gt;=Assumptions!$B$19,"High Priority",IF(AND(T714&gt;=Assumptions!$B$20,U714="No"),"Watchlist - Unrepresented",IF(T714&gt;=Assumptions!$B$20,"Watchlist",""))))</f>
        <v/>
      </c>
      <c r="X714" s="21" t="str">
        <f aca="false">'Player Data'!V714</f>
        <v>info@rigaathletic.lv</v>
      </c>
      <c r="Y714" s="28" t="str">
        <f aca="false">'Player Data'!W714</f>
        <v>Club sporting director / first-team office</v>
      </c>
      <c r="Z714" s="28" t="str">
        <f aca="false">'Player Data'!X714</f>
        <v>LFF (Latvian Football Federation) player registry</v>
      </c>
      <c r="AA714" s="19" t="str">
        <f aca="false">HYPERLINK("https://www.transfermarkt.com/schnellsuche/ergebnis/schnellsuche?query="&amp;SUBSTITUTE(A714," ","+"),"Search Transfermarkt")</f>
        <v>Search Transfermarkt</v>
      </c>
      <c r="AB714" s="29" t="n">
        <f aca="false">IFERROR('Player Data'!K714/('Player Data'!K714+'Player Data'!L714),0)</f>
        <v>0.759036144578313</v>
      </c>
      <c r="AC714" s="21" t="str">
        <f aca="false">IF(B714="GK",IF(AND(O714&gt;=Assumptions!$B$23,N714&gt;=Assumptions!$B$23),"Sweeper-Keeper / Build-from-the-Back",IF(O714&gt;=Assumptions!$B$23,"Sweeper-Keeper / High Line",IF(M714&gt;=Assumptions!$B$23,"Shot-Stopper / Traditional","Flexible / Multi-System"))),IF(AND(O714&gt;=Assumptions!$B$23,P714&gt;=Assumptions!$B$24),"High Press / Gegenpressing",IF(AND(N714&gt;=Assumptions!$B$23,AB714&gt;=Assumptions!$B$25),"Possession / Build-from-the-Back",IF(N714&gt;=Assumptions!$B$23,"Counter-Attack / Transition",IF(AND(O714&gt;=Assumptions!$B$23,N714&lt;Assumptions!$B$26),"Low Block / Park the Bus",IF(AND(B714="FW",M714&gt;=Assumptions!$B$23,N714&lt;Assumptions!$B$26),"Direct / Target Approach","Flexible / Multi-System"))))))</f>
        <v>High Press / Gegenpressing</v>
      </c>
      <c r="AD714" s="21" t="str">
        <f aca="false">'Player Data'!Y714</f>
        <v>2026-07-17</v>
      </c>
      <c r="AE714" s="21" t="str">
        <f aca="false">'Player Data'!Z714</f>
        <v>2026-07-17</v>
      </c>
      <c r="AF714" s="28" t="str">
        <f aca="false">IFERROR(INDEX(Assumptions!$B$30:$B$61,MATCH(C714,Assumptions!$A$30:$A$61,0)),"--")</f>
        <v>Poland, Norway</v>
      </c>
      <c r="AG714" s="30" t="str">
        <f aca="false">IF(R714&gt;=0.7,"Step-Up Candidate",IF(R714&gt;=0.4,"Lateral Move","Stay &amp; Develop"))</f>
        <v>Step-Up Candidate</v>
      </c>
    </row>
    <row r="715" customFormat="false" ht="23.85" hidden="false" customHeight="false" outlineLevel="0" collapsed="false">
      <c r="A715" s="21" t="str">
        <f aca="false">'Player Data'!A715</f>
        <v>Ali Abbas</v>
      </c>
      <c r="B715" s="21" t="str">
        <f aca="false">'Player Data'!F715</f>
        <v>FW</v>
      </c>
      <c r="C715" s="21" t="str">
        <f aca="false">'Player Data'!B715</f>
        <v>Iraq</v>
      </c>
      <c r="D715" s="21" t="str">
        <f aca="false">'Player Data'!C715</f>
        <v>Iraq Second Division - East</v>
      </c>
      <c r="E715" s="21" t="n">
        <f aca="false">'Player Data'!D715</f>
        <v>3</v>
      </c>
      <c r="F715" s="21" t="n">
        <f aca="false">'Player Data'!G715</f>
        <v>18</v>
      </c>
      <c r="G715" s="21" t="n">
        <f aca="false">'Player Data'!H715</f>
        <v>961</v>
      </c>
      <c r="H715" s="22" t="n">
        <f aca="false">IF(B715="GK",IFERROR(('Player Data'!N715-1.5*'Player Data'!O715)/'Player Data'!H715*90,0),IFERROR(('Player Data'!I715+'Player Data'!J715)/'Player Data'!H715*90,0))</f>
        <v>1.21748178980229</v>
      </c>
      <c r="I715" s="22" t="n">
        <f aca="false">IF(B715="GK",'Player Data'!P715,IFERROR(('Player Data'!K715+'Player Data'!L715)/'Player Data'!H715*90,0))</f>
        <v>11.3319458896982</v>
      </c>
      <c r="J715" s="22" t="n">
        <f aca="false">IF(B715="GK",IFERROR('Player Data'!Q715/'Player Data'!H715*90,0),IFERROR('Player Data'!M715/'Player Data'!H715*90,0))</f>
        <v>0.842872008324662</v>
      </c>
      <c r="K715" s="23" t="n">
        <f aca="false">'Player Data'!S715</f>
        <v>0</v>
      </c>
      <c r="L715" s="22" t="n">
        <f aca="false">INDEX(Assumptions!$B$13:$B$15,MATCH(E715,Assumptions!$A$13:$A$15,0))</f>
        <v>0.85</v>
      </c>
      <c r="M715" s="24" t="n">
        <f aca="false">IFERROR(SUMPRODUCT(($B$2:$B$1001=B715)*($H$2:$H$1001&lt;=H715))/SUMPRODUCT(($B$2:$B$1001=B715)*1),0)</f>
        <v>0.712389380530973</v>
      </c>
      <c r="N715" s="24" t="n">
        <f aca="false">IFERROR(SUMPRODUCT(($B$2:$B$1001=B715)*($I$2:$I$1001&lt;=I715))/SUMPRODUCT(($B$2:$B$1001=B715)*1),0)</f>
        <v>0.898230088495575</v>
      </c>
      <c r="O715" s="24" t="n">
        <f aca="false">IFERROR(SUMPRODUCT(($B$2:$B$1001=B715)*($J$2:$J$1001&lt;=J715))/SUMPRODUCT(($B$2:$B$1001=B715)*1),0)</f>
        <v>0.827433628318584</v>
      </c>
      <c r="P715" s="24" t="n">
        <f aca="false">IFERROR(SUMPRODUCT(($B$2:$B$1001=B715)*((0-$F$2:$F$1001)&lt;=(0-F715)))/SUMPRODUCT(($B$2:$B$1001=B715)*1),0)</f>
        <v>0.915929203539823</v>
      </c>
      <c r="Q715" s="25" t="n">
        <f aca="false">(M715*Assumptions!$B$5+N715*Assumptions!$B$6+O715*Assumptions!$B$7+P715*Assumptions!$B$8)*L715</f>
        <v>0.714977876106195</v>
      </c>
      <c r="R715" s="24" t="n">
        <f aca="false">IFERROR(SUMPRODUCT(($B$2:$B$1001=B715)*($Q$2:$Q$1001&lt;=Q715))/SUMPRODUCT(($B$2:$B$1001=B715)*1),0)</f>
        <v>0.884955752212389</v>
      </c>
      <c r="S715" s="24" t="n">
        <f aca="false">IFERROR(SUMPRODUCT(($B$2:$B$1001=B715)*($K$2:$K$1001&lt;=K715))/SUMPRODUCT(($B$2:$B$1001=B715)*1),0)</f>
        <v>0.261061946902655</v>
      </c>
      <c r="T715" s="26" t="n">
        <f aca="false">(R715-S715)*100</f>
        <v>62.3893805309735</v>
      </c>
      <c r="U715" s="21" t="str">
        <f aca="false">'Player Data'!T715</f>
        <v>Unknown</v>
      </c>
      <c r="V715" s="27" t="n">
        <f aca="false">'Player Data'!U715</f>
        <v>2028</v>
      </c>
      <c r="W715" s="21" t="str">
        <f aca="false">IF(AND(T715&gt;=Assumptions!$B$19,U715="No"),"High Priority - Unrepresented",IF(T715&gt;=Assumptions!$B$19,"High Priority",IF(AND(T715&gt;=Assumptions!$B$20,U715="No"),"Watchlist - Unrepresented",IF(T715&gt;=Assumptions!$B$20,"Watchlist",""))))</f>
        <v>High Priority</v>
      </c>
      <c r="X715" s="21" t="str">
        <f aca="false">'Player Data'!V715</f>
        <v>info@basraathletic.iq</v>
      </c>
      <c r="Y715" s="28" t="str">
        <f aca="false">'Player Data'!W715</f>
        <v>Club sporting director / first-team office</v>
      </c>
      <c r="Z715" s="28" t="str">
        <f aca="false">'Player Data'!X715</f>
        <v>IFA (Iraq Football Association) player registry</v>
      </c>
      <c r="AA715" s="19" t="str">
        <f aca="false">HYPERLINK("https://www.transfermarkt.com/schnellsuche/ergebnis/schnellsuche?query="&amp;SUBSTITUTE(A715," ","+"),"Search Transfermarkt")</f>
        <v>Search Transfermarkt</v>
      </c>
      <c r="AB715" s="29" t="n">
        <f aca="false">IFERROR('Player Data'!K715/('Player Data'!K715+'Player Data'!L715),0)</f>
        <v>0.43801652892562</v>
      </c>
      <c r="AC715" s="21" t="str">
        <f aca="false">IF(B715="GK",IF(AND(O715&gt;=Assumptions!$B$23,N715&gt;=Assumptions!$B$23),"Sweeper-Keeper / Build-from-the-Back",IF(O715&gt;=Assumptions!$B$23,"Sweeper-Keeper / High Line",IF(M715&gt;=Assumptions!$B$23,"Shot-Stopper / Traditional","Flexible / Multi-System"))),IF(AND(O715&gt;=Assumptions!$B$23,P715&gt;=Assumptions!$B$24),"High Press / Gegenpressing",IF(AND(N715&gt;=Assumptions!$B$23,AB715&gt;=Assumptions!$B$25),"Possession / Build-from-the-Back",IF(N715&gt;=Assumptions!$B$23,"Counter-Attack / Transition",IF(AND(O715&gt;=Assumptions!$B$23,N715&lt;Assumptions!$B$26),"Low Block / Park the Bus",IF(AND(B715="FW",M715&gt;=Assumptions!$B$23,N715&lt;Assumptions!$B$26),"Direct / Target Approach","Flexible / Multi-System"))))))</f>
        <v>High Press / Gegenpressing</v>
      </c>
      <c r="AD715" s="21" t="str">
        <f aca="false">'Player Data'!Y715</f>
        <v>2026-07-17</v>
      </c>
      <c r="AE715" s="21" t="str">
        <f aca="false">'Player Data'!Z715</f>
        <v>2026-07-17</v>
      </c>
      <c r="AF715" s="28" t="str">
        <f aca="false">IFERROR(INDEX(Assumptions!$B$30:$B$61,MATCH(C715,Assumptions!$A$30:$A$61,0)),"--")</f>
        <v>Turkey, Saudi Arabia</v>
      </c>
      <c r="AG715" s="30" t="str">
        <f aca="false">IF(R715&gt;=0.7,"Step-Up Candidate",IF(R715&gt;=0.4,"Lateral Move","Stay &amp; Develop"))</f>
        <v>Step-Up Candidate</v>
      </c>
    </row>
    <row r="716" customFormat="false" ht="23.85" hidden="false" customHeight="false" outlineLevel="0" collapsed="false">
      <c r="A716" s="21" t="str">
        <f aca="false">'Player Data'!A716</f>
        <v>Ronaldo Perez</v>
      </c>
      <c r="B716" s="21" t="str">
        <f aca="false">'Player Data'!F716</f>
        <v>FW</v>
      </c>
      <c r="C716" s="21" t="str">
        <f aca="false">'Player Data'!B716</f>
        <v>Venezuela</v>
      </c>
      <c r="D716" s="21" t="str">
        <f aca="false">'Player Data'!C716</f>
        <v>Venezuela Third Tier - North</v>
      </c>
      <c r="E716" s="21" t="n">
        <f aca="false">'Player Data'!D716</f>
        <v>3</v>
      </c>
      <c r="F716" s="21" t="n">
        <f aca="false">'Player Data'!G716</f>
        <v>25</v>
      </c>
      <c r="G716" s="21" t="n">
        <f aca="false">'Player Data'!H716</f>
        <v>2271</v>
      </c>
      <c r="H716" s="22" t="n">
        <f aca="false">IF(B716="GK",IFERROR(('Player Data'!N716-1.5*'Player Data'!O716)/'Player Data'!H716*90,0),IFERROR(('Player Data'!I716+'Player Data'!J716)/'Player Data'!H716*90,0))</f>
        <v>0.83223249669749</v>
      </c>
      <c r="I716" s="22" t="n">
        <f aca="false">IF(B716="GK",'Player Data'!P716,IFERROR(('Player Data'!K716+'Player Data'!L716)/'Player Data'!H716*90,0))</f>
        <v>5.98414795244386</v>
      </c>
      <c r="J716" s="22" t="n">
        <f aca="false">IF(B716="GK",IFERROR('Player Data'!Q716/'Player Data'!H716*90,0),IFERROR('Player Data'!M716/'Player Data'!H716*90,0))</f>
        <v>0.317040951122853</v>
      </c>
      <c r="K716" s="23" t="n">
        <f aca="false">'Player Data'!S716</f>
        <v>137527</v>
      </c>
      <c r="L716" s="22" t="n">
        <f aca="false">INDEX(Assumptions!$B$13:$B$15,MATCH(E716,Assumptions!$A$13:$A$15,0))</f>
        <v>0.85</v>
      </c>
      <c r="M716" s="24" t="n">
        <f aca="false">IFERROR(SUMPRODUCT(($B$2:$B$1001=B716)*($H$2:$H$1001&lt;=H716))/SUMPRODUCT(($B$2:$B$1001=B716)*1),0)</f>
        <v>0.336283185840708</v>
      </c>
      <c r="N716" s="24" t="n">
        <f aca="false">IFERROR(SUMPRODUCT(($B$2:$B$1001=B716)*($I$2:$I$1001&lt;=I716))/SUMPRODUCT(($B$2:$B$1001=B716)*1),0)</f>
        <v>0.398230088495575</v>
      </c>
      <c r="O716" s="24" t="n">
        <f aca="false">IFERROR(SUMPRODUCT(($B$2:$B$1001=B716)*($J$2:$J$1001&lt;=J716))/SUMPRODUCT(($B$2:$B$1001=B716)*1),0)</f>
        <v>0.194690265486726</v>
      </c>
      <c r="P716" s="24" t="n">
        <f aca="false">IFERROR(SUMPRODUCT(($B$2:$B$1001=B716)*((0-$F$2:$F$1001)&lt;=(0-F716)))/SUMPRODUCT(($B$2:$B$1001=B716)*1),0)</f>
        <v>0.194690265486726</v>
      </c>
      <c r="Q716" s="25" t="n">
        <f aca="false">(M716*Assumptions!$B$5+N716*Assumptions!$B$6+O716*Assumptions!$B$7+P716*Assumptions!$B$8)*L716</f>
        <v>0.256128318584071</v>
      </c>
      <c r="R716" s="24" t="n">
        <f aca="false">IFERROR(SUMPRODUCT(($B$2:$B$1001=B716)*($Q$2:$Q$1001&lt;=Q716))/SUMPRODUCT(($B$2:$B$1001=B716)*1),0)</f>
        <v>0.212389380530973</v>
      </c>
      <c r="S716" s="24" t="n">
        <f aca="false">IFERROR(SUMPRODUCT(($B$2:$B$1001=B716)*($K$2:$K$1001&lt;=K716))/SUMPRODUCT(($B$2:$B$1001=B716)*1),0)</f>
        <v>0.942477876106195</v>
      </c>
      <c r="T716" s="26" t="n">
        <f aca="false">(R716-S716)*100</f>
        <v>-73.0088495575221</v>
      </c>
      <c r="U716" s="21" t="str">
        <f aca="false">'Player Data'!T716</f>
        <v>Yes</v>
      </c>
      <c r="V716" s="27" t="n">
        <f aca="false">'Player Data'!U716</f>
        <v>2026</v>
      </c>
      <c r="W716" s="21" t="str">
        <f aca="false">IF(AND(T716&gt;=Assumptions!$B$19,U716="No"),"High Priority - Unrepresented",IF(T716&gt;=Assumptions!$B$19,"High Priority",IF(AND(T716&gt;=Assumptions!$B$20,U716="No"),"Watchlist - Unrepresented",IF(T716&gt;=Assumptions!$B$20,"Watchlist",""))))</f>
        <v/>
      </c>
      <c r="X716" s="21" t="str">
        <f aca="false">'Player Data'!V716</f>
        <v>info@maracaibocity.ve</v>
      </c>
      <c r="Y716" s="28" t="str">
        <f aca="false">'Player Data'!W716</f>
        <v>Go through the player's agent - ask the club to confirm representation first</v>
      </c>
      <c r="Z716" s="28" t="str">
        <f aca="false">'Player Data'!X716</f>
        <v>FVF (Venezuelan Football Federation) player registry</v>
      </c>
      <c r="AA716" s="19" t="str">
        <f aca="false">HYPERLINK("https://www.transfermarkt.com/schnellsuche/ergebnis/schnellsuche?query="&amp;SUBSTITUTE(A716," ","+"),"Search Transfermarkt")</f>
        <v>Search Transfermarkt</v>
      </c>
      <c r="AB716" s="29" t="n">
        <f aca="false">IFERROR('Player Data'!K716/('Player Data'!K716+'Player Data'!L716),0)</f>
        <v>0.390728476821192</v>
      </c>
      <c r="AC716" s="21" t="str">
        <f aca="false">IF(B716="GK",IF(AND(O716&gt;=Assumptions!$B$23,N716&gt;=Assumptions!$B$23),"Sweeper-Keeper / Build-from-the-Back",IF(O716&gt;=Assumptions!$B$23,"Sweeper-Keeper / High Line",IF(M716&gt;=Assumptions!$B$23,"Shot-Stopper / Traditional","Flexible / Multi-System"))),IF(AND(O716&gt;=Assumptions!$B$23,P716&gt;=Assumptions!$B$24),"High Press / Gegenpressing",IF(AND(N716&gt;=Assumptions!$B$23,AB716&gt;=Assumptions!$B$25),"Possession / Build-from-the-Back",IF(N716&gt;=Assumptions!$B$23,"Counter-Attack / Transition",IF(AND(O716&gt;=Assumptions!$B$23,N716&lt;Assumptions!$B$26),"Low Block / Park the Bus",IF(AND(B716="FW",M716&gt;=Assumptions!$B$23,N716&lt;Assumptions!$B$26),"Direct / Target Approach","Flexible / Multi-System"))))))</f>
        <v>Flexible / Multi-System</v>
      </c>
      <c r="AD716" s="21" t="str">
        <f aca="false">'Player Data'!Y716</f>
        <v>2026-07-17</v>
      </c>
      <c r="AE716" s="21" t="str">
        <f aca="false">'Player Data'!Z716</f>
        <v>2026-07-17</v>
      </c>
      <c r="AF716" s="28" t="str">
        <f aca="false">IFERROR(INDEX(Assumptions!$B$30:$B$61,MATCH(C716,Assumptions!$A$30:$A$61,0)),"--")</f>
        <v>Argentina, Portugal</v>
      </c>
      <c r="AG716" s="30" t="str">
        <f aca="false">IF(R716&gt;=0.7,"Step-Up Candidate",IF(R716&gt;=0.4,"Lateral Move","Stay &amp; Develop"))</f>
        <v>Stay &amp; Develop</v>
      </c>
    </row>
    <row r="717" customFormat="false" ht="23.85" hidden="false" customHeight="false" outlineLevel="0" collapsed="false">
      <c r="A717" s="21" t="str">
        <f aca="false">'Player Data'!A717</f>
        <v>Bryan Chavez</v>
      </c>
      <c r="B717" s="21" t="str">
        <f aca="false">'Player Data'!F717</f>
        <v>GK</v>
      </c>
      <c r="C717" s="21" t="str">
        <f aca="false">'Player Data'!B717</f>
        <v>Ecuador</v>
      </c>
      <c r="D717" s="21" t="str">
        <f aca="false">'Player Data'!C717</f>
        <v>Ecuador Third Tier - North</v>
      </c>
      <c r="E717" s="21" t="n">
        <f aca="false">'Player Data'!D717</f>
        <v>2</v>
      </c>
      <c r="F717" s="21" t="n">
        <f aca="false">'Player Data'!G717</f>
        <v>19</v>
      </c>
      <c r="G717" s="21" t="n">
        <f aca="false">'Player Data'!H717</f>
        <v>1403</v>
      </c>
      <c r="H717" s="22" t="n">
        <f aca="false">IF(B717="GK",IFERROR(('Player Data'!N717-1.5*'Player Data'!O717)/'Player Data'!H717*90,0),IFERROR(('Player Data'!I717+'Player Data'!J717)/'Player Data'!H717*90,0))</f>
        <v>1.69992872416251</v>
      </c>
      <c r="I717" s="22" t="n">
        <f aca="false">IF(B717="GK",'Player Data'!P717,IFERROR(('Player Data'!K717+'Player Data'!L717)/'Player Data'!H717*90,0))</f>
        <v>76.5</v>
      </c>
      <c r="J717" s="22" t="n">
        <f aca="false">IF(B717="GK",IFERROR('Player Data'!Q717/'Player Data'!H717*90,0),IFERROR('Player Data'!M717/'Player Data'!H717*90,0))</f>
        <v>0.461867426942267</v>
      </c>
      <c r="K717" s="23" t="n">
        <f aca="false">'Player Data'!S717</f>
        <v>125366</v>
      </c>
      <c r="L717" s="22" t="n">
        <f aca="false">INDEX(Assumptions!$B$13:$B$15,MATCH(E717,Assumptions!$A$13:$A$15,0))</f>
        <v>1</v>
      </c>
      <c r="M717" s="24" t="n">
        <f aca="false">IFERROR(SUMPRODUCT(($B$2:$B$1001=B717)*($H$2:$H$1001&lt;=H717))/SUMPRODUCT(($B$2:$B$1001=B717)*1),0)</f>
        <v>0.765027322404372</v>
      </c>
      <c r="N717" s="24" t="n">
        <f aca="false">IFERROR(SUMPRODUCT(($B$2:$B$1001=B717)*($I$2:$I$1001&lt;=I717))/SUMPRODUCT(($B$2:$B$1001=B717)*1),0)</f>
        <v>0.60655737704918</v>
      </c>
      <c r="O717" s="24" t="n">
        <f aca="false">IFERROR(SUMPRODUCT(($B$2:$B$1001=B717)*($J$2:$J$1001&lt;=J717))/SUMPRODUCT(($B$2:$B$1001=B717)*1),0)</f>
        <v>0.218579234972678</v>
      </c>
      <c r="P717" s="24" t="n">
        <f aca="false">IFERROR(SUMPRODUCT(($B$2:$B$1001=B717)*((0-$F$2:$F$1001)&lt;=(0-F717)))/SUMPRODUCT(($B$2:$B$1001=B717)*1),0)</f>
        <v>0.770491803278689</v>
      </c>
      <c r="Q717" s="25" t="n">
        <f aca="false">(M717*Assumptions!$B$5+N717*Assumptions!$B$6+O717*Assumptions!$B$7+P717*Assumptions!$B$8)*L717</f>
        <v>0.601366120218579</v>
      </c>
      <c r="R717" s="24" t="n">
        <f aca="false">IFERROR(SUMPRODUCT(($B$2:$B$1001=B717)*($Q$2:$Q$1001&lt;=Q717))/SUMPRODUCT(($B$2:$B$1001=B717)*1),0)</f>
        <v>0.85792349726776</v>
      </c>
      <c r="S717" s="24" t="n">
        <f aca="false">IFERROR(SUMPRODUCT(($B$2:$B$1001=B717)*($K$2:$K$1001&lt;=K717))/SUMPRODUCT(($B$2:$B$1001=B717)*1),0)</f>
        <v>0.841530054644809</v>
      </c>
      <c r="T717" s="26" t="n">
        <f aca="false">(R717-S717)*100</f>
        <v>1.63934426229507</v>
      </c>
      <c r="U717" s="21" t="str">
        <f aca="false">'Player Data'!T717</f>
        <v>Unknown</v>
      </c>
      <c r="V717" s="27" t="n">
        <f aca="false">'Player Data'!U717</f>
        <v>2027</v>
      </c>
      <c r="W717" s="21" t="str">
        <f aca="false">IF(AND(T717&gt;=Assumptions!$B$19,U717="No"),"High Priority - Unrepresented",IF(T717&gt;=Assumptions!$B$19,"High Priority",IF(AND(T717&gt;=Assumptions!$B$20,U717="No"),"Watchlist - Unrepresented",IF(T717&gt;=Assumptions!$B$20,"Watchlist",""))))</f>
        <v/>
      </c>
      <c r="X717" s="21" t="str">
        <f aca="false">'Player Data'!V717</f>
        <v>info@guayaquiltown.ec</v>
      </c>
      <c r="Y717" s="28" t="str">
        <f aca="false">'Player Data'!W717</f>
        <v>Club sporting director / first-team office</v>
      </c>
      <c r="Z717" s="28" t="str">
        <f aca="false">'Player Data'!X717</f>
        <v>FEF (Ecuadorian Football Federation) player registry</v>
      </c>
      <c r="AA717" s="19" t="str">
        <f aca="false">HYPERLINK("https://www.transfermarkt.com/schnellsuche/ergebnis/schnellsuche?query="&amp;SUBSTITUTE(A717," ","+"),"Search Transfermarkt")</f>
        <v>Search Transfermarkt</v>
      </c>
      <c r="AB717" s="29" t="n">
        <f aca="false">IFERROR('Player Data'!K717/('Player Data'!K717+'Player Data'!L717),0)</f>
        <v>0.666666666666667</v>
      </c>
      <c r="AC717" s="21" t="str">
        <f aca="false">IF(B717="GK",IF(AND(O717&gt;=Assumptions!$B$23,N717&gt;=Assumptions!$B$23),"Sweeper-Keeper / Build-from-the-Back",IF(O717&gt;=Assumptions!$B$23,"Sweeper-Keeper / High Line",IF(M717&gt;=Assumptions!$B$23,"Shot-Stopper / Traditional","Flexible / Multi-System"))),IF(AND(O717&gt;=Assumptions!$B$23,P717&gt;=Assumptions!$B$24),"High Press / Gegenpressing",IF(AND(N717&gt;=Assumptions!$B$23,AB717&gt;=Assumptions!$B$25),"Possession / Build-from-the-Back",IF(N717&gt;=Assumptions!$B$23,"Counter-Attack / Transition",IF(AND(O717&gt;=Assumptions!$B$23,N717&lt;Assumptions!$B$26),"Low Block / Park the Bus",IF(AND(B717="FW",M717&gt;=Assumptions!$B$23,N717&lt;Assumptions!$B$26),"Direct / Target Approach","Flexible / Multi-System"))))))</f>
        <v>Shot-Stopper / Traditional</v>
      </c>
      <c r="AD717" s="21" t="str">
        <f aca="false">'Player Data'!Y717</f>
        <v>2026-07-17</v>
      </c>
      <c r="AE717" s="21" t="str">
        <f aca="false">'Player Data'!Z717</f>
        <v>2026-07-17</v>
      </c>
      <c r="AF717" s="28" t="str">
        <f aca="false">IFERROR(INDEX(Assumptions!$B$30:$B$61,MATCH(C717,Assumptions!$A$30:$A$61,0)),"--")</f>
        <v>Argentina, Portugal</v>
      </c>
      <c r="AG717" s="30" t="str">
        <f aca="false">IF(R717&gt;=0.7,"Step-Up Candidate",IF(R717&gt;=0.4,"Lateral Move","Stay &amp; Develop"))</f>
        <v>Step-Up Candidate</v>
      </c>
    </row>
    <row r="718" customFormat="false" ht="23.85" hidden="false" customHeight="false" outlineLevel="0" collapsed="false">
      <c r="A718" s="21" t="str">
        <f aca="false">'Player Data'!A718</f>
        <v>Quang Nguyen</v>
      </c>
      <c r="B718" s="21" t="str">
        <f aca="false">'Player Data'!F718</f>
        <v>GK</v>
      </c>
      <c r="C718" s="21" t="str">
        <f aca="false">'Player Data'!B718</f>
        <v>Vietnam</v>
      </c>
      <c r="D718" s="21" t="str">
        <f aca="false">'Player Data'!C718</f>
        <v>Vietnam Third Tier - South</v>
      </c>
      <c r="E718" s="21" t="n">
        <f aca="false">'Player Data'!D718</f>
        <v>3</v>
      </c>
      <c r="F718" s="21" t="n">
        <f aca="false">'Player Data'!G718</f>
        <v>23</v>
      </c>
      <c r="G718" s="21" t="n">
        <f aca="false">'Player Data'!H718</f>
        <v>1908</v>
      </c>
      <c r="H718" s="22" t="n">
        <f aca="false">IF(B718="GK",IFERROR(('Player Data'!N718-1.5*'Player Data'!O718)/'Player Data'!H718*90,0),IFERROR(('Player Data'!I718+'Player Data'!J718)/'Player Data'!H718*90,0))</f>
        <v>1.91037735849057</v>
      </c>
      <c r="I718" s="22" t="n">
        <f aca="false">IF(B718="GK",'Player Data'!P718,IFERROR(('Player Data'!K718+'Player Data'!L718)/'Player Data'!H718*90,0))</f>
        <v>55.9</v>
      </c>
      <c r="J718" s="22" t="n">
        <f aca="false">IF(B718="GK",IFERROR('Player Data'!Q718/'Player Data'!H718*90,0),IFERROR('Player Data'!M718/'Player Data'!H718*90,0))</f>
        <v>1.41981132075472</v>
      </c>
      <c r="K718" s="23" t="n">
        <f aca="false">'Player Data'!S718</f>
        <v>21700</v>
      </c>
      <c r="L718" s="22" t="n">
        <f aca="false">INDEX(Assumptions!$B$13:$B$15,MATCH(E718,Assumptions!$A$13:$A$15,0))</f>
        <v>0.85</v>
      </c>
      <c r="M718" s="24" t="n">
        <f aca="false">IFERROR(SUMPRODUCT(($B$2:$B$1001=B718)*($H$2:$H$1001&lt;=H718))/SUMPRODUCT(($B$2:$B$1001=B718)*1),0)</f>
        <v>0.863387978142077</v>
      </c>
      <c r="N718" s="24" t="n">
        <f aca="false">IFERROR(SUMPRODUCT(($B$2:$B$1001=B718)*($I$2:$I$1001&lt;=I718))/SUMPRODUCT(($B$2:$B$1001=B718)*1),0)</f>
        <v>0.0273224043715847</v>
      </c>
      <c r="O718" s="24" t="n">
        <f aca="false">IFERROR(SUMPRODUCT(($B$2:$B$1001=B718)*($J$2:$J$1001&lt;=J718))/SUMPRODUCT(($B$2:$B$1001=B718)*1),0)</f>
        <v>0.92896174863388</v>
      </c>
      <c r="P718" s="24" t="n">
        <f aca="false">IFERROR(SUMPRODUCT(($B$2:$B$1001=B718)*((0-$F$2:$F$1001)&lt;=(0-F718)))/SUMPRODUCT(($B$2:$B$1001=B718)*1),0)</f>
        <v>0.431693989071038</v>
      </c>
      <c r="Q718" s="25" t="n">
        <f aca="false">(M718*Assumptions!$B$5+N718*Assumptions!$B$6+O718*Assumptions!$B$7+P718*Assumptions!$B$8)*L718</f>
        <v>0.422909836065574</v>
      </c>
      <c r="R718" s="24" t="n">
        <f aca="false">IFERROR(SUMPRODUCT(($B$2:$B$1001=B718)*($Q$2:$Q$1001&lt;=Q718))/SUMPRODUCT(($B$2:$B$1001=B718)*1),0)</f>
        <v>0.404371584699454</v>
      </c>
      <c r="S718" s="24" t="n">
        <f aca="false">IFERROR(SUMPRODUCT(($B$2:$B$1001=B718)*($K$2:$K$1001&lt;=K718))/SUMPRODUCT(($B$2:$B$1001=B718)*1),0)</f>
        <v>0.284153005464481</v>
      </c>
      <c r="T718" s="26" t="n">
        <f aca="false">(R718-S718)*100</f>
        <v>12.0218579234973</v>
      </c>
      <c r="U718" s="21" t="str">
        <f aca="false">'Player Data'!T718</f>
        <v>No</v>
      </c>
      <c r="V718" s="27" t="n">
        <f aca="false">'Player Data'!U718</f>
        <v>2029</v>
      </c>
      <c r="W718" s="21" t="str">
        <f aca="false">IF(AND(T718&gt;=Assumptions!$B$19,U718="No"),"High Priority - Unrepresented",IF(T718&gt;=Assumptions!$B$19,"High Priority",IF(AND(T718&gt;=Assumptions!$B$20,U718="No"),"Watchlist - Unrepresented",IF(T718&gt;=Assumptions!$B$20,"Watchlist",""))))</f>
        <v/>
      </c>
      <c r="X718" s="21" t="str">
        <f aca="false">'Player Data'!V718</f>
        <v>info@danangathletic.vn</v>
      </c>
      <c r="Y718" s="28" t="str">
        <f aca="false">'Player Data'!W718</f>
        <v>Club sporting director / first-team office</v>
      </c>
      <c r="Z718" s="28" t="str">
        <f aca="false">'Player Data'!X718</f>
        <v>VFF (Vietnam Football Federation) player registry</v>
      </c>
      <c r="AA718" s="19" t="str">
        <f aca="false">HYPERLINK("https://www.transfermarkt.com/schnellsuche/ergebnis/schnellsuche?query="&amp;SUBSTITUTE(A718," ","+"),"Search Transfermarkt")</f>
        <v>Search Transfermarkt</v>
      </c>
      <c r="AB718" s="29" t="n">
        <f aca="false">IFERROR('Player Data'!K718/('Player Data'!K718+'Player Data'!L718),0)</f>
        <v>1</v>
      </c>
      <c r="AC718" s="21" t="str">
        <f aca="false">IF(B718="GK",IF(AND(O718&gt;=Assumptions!$B$23,N718&gt;=Assumptions!$B$23),"Sweeper-Keeper / Build-from-the-Back",IF(O718&gt;=Assumptions!$B$23,"Sweeper-Keeper / High Line",IF(M718&gt;=Assumptions!$B$23,"Shot-Stopper / Traditional","Flexible / Multi-System"))),IF(AND(O718&gt;=Assumptions!$B$23,P718&gt;=Assumptions!$B$24),"High Press / Gegenpressing",IF(AND(N718&gt;=Assumptions!$B$23,AB718&gt;=Assumptions!$B$25),"Possession / Build-from-the-Back",IF(N718&gt;=Assumptions!$B$23,"Counter-Attack / Transition",IF(AND(O718&gt;=Assumptions!$B$23,N718&lt;Assumptions!$B$26),"Low Block / Park the Bus",IF(AND(B718="FW",M718&gt;=Assumptions!$B$23,N718&lt;Assumptions!$B$26),"Direct / Target Approach","Flexible / Multi-System"))))))</f>
        <v>Sweeper-Keeper / High Line</v>
      </c>
      <c r="AD718" s="21" t="str">
        <f aca="false">'Player Data'!Y718</f>
        <v>2026-07-17</v>
      </c>
      <c r="AE718" s="21" t="str">
        <f aca="false">'Player Data'!Z718</f>
        <v>2026-07-17</v>
      </c>
      <c r="AF718" s="28" t="str">
        <f aca="false">IFERROR(INDEX(Assumptions!$B$30:$B$61,MATCH(C718,Assumptions!$A$30:$A$61,0)),"--")</f>
        <v>Australia, Saudi Arabia</v>
      </c>
      <c r="AG718" s="30" t="str">
        <f aca="false">IF(R718&gt;=0.7,"Step-Up Candidate",IF(R718&gt;=0.4,"Lateral Move","Stay &amp; Develop"))</f>
        <v>Lateral Move</v>
      </c>
    </row>
    <row r="719" customFormat="false" ht="23.85" hidden="false" customHeight="false" outlineLevel="0" collapsed="false">
      <c r="A719" s="21" t="str">
        <f aca="false">'Player Data'!A719</f>
        <v>Yves Toure</v>
      </c>
      <c r="B719" s="21" t="str">
        <f aca="false">'Player Data'!F719</f>
        <v>FW</v>
      </c>
      <c r="C719" s="21" t="str">
        <f aca="false">'Player Data'!B719</f>
        <v>Ivory Coast</v>
      </c>
      <c r="D719" s="21" t="str">
        <f aca="false">'Player Data'!C719</f>
        <v>Ivory Coast Second Division - East</v>
      </c>
      <c r="E719" s="21" t="n">
        <f aca="false">'Player Data'!D719</f>
        <v>4</v>
      </c>
      <c r="F719" s="21" t="n">
        <f aca="false">'Player Data'!G719</f>
        <v>23</v>
      </c>
      <c r="G719" s="21" t="n">
        <f aca="false">'Player Data'!H719</f>
        <v>1390</v>
      </c>
      <c r="H719" s="22" t="n">
        <f aca="false">IF(B719="GK",IFERROR(('Player Data'!N719-1.5*'Player Data'!O719)/'Player Data'!H719*90,0),IFERROR(('Player Data'!I719+'Player Data'!J719)/'Player Data'!H719*90,0))</f>
        <v>1.03597122302158</v>
      </c>
      <c r="I719" s="22" t="n">
        <f aca="false">IF(B719="GK",'Player Data'!P719,IFERROR(('Player Data'!K719+'Player Data'!L719)/'Player Data'!H719*90,0))</f>
        <v>8.28776978417266</v>
      </c>
      <c r="J719" s="22" t="n">
        <f aca="false">IF(B719="GK",IFERROR('Player Data'!Q719/'Player Data'!H719*90,0),IFERROR('Player Data'!M719/'Player Data'!H719*90,0))</f>
        <v>0.647482014388489</v>
      </c>
      <c r="K719" s="23" t="n">
        <f aca="false">'Player Data'!S719</f>
        <v>108591</v>
      </c>
      <c r="L719" s="22" t="n">
        <f aca="false">INDEX(Assumptions!$B$13:$B$15,MATCH(E719,Assumptions!$A$13:$A$15,0))</f>
        <v>0.7</v>
      </c>
      <c r="M719" s="24" t="n">
        <f aca="false">IFERROR(SUMPRODUCT(($B$2:$B$1001=B719)*($H$2:$H$1001&lt;=H719))/SUMPRODUCT(($B$2:$B$1001=B719)*1),0)</f>
        <v>0.553097345132743</v>
      </c>
      <c r="N719" s="24" t="n">
        <f aca="false">IFERROR(SUMPRODUCT(($B$2:$B$1001=B719)*($I$2:$I$1001&lt;=I719))/SUMPRODUCT(($B$2:$B$1001=B719)*1),0)</f>
        <v>0.694690265486726</v>
      </c>
      <c r="O719" s="24" t="n">
        <f aca="false">IFERROR(SUMPRODUCT(($B$2:$B$1001=B719)*($J$2:$J$1001&lt;=J719))/SUMPRODUCT(($B$2:$B$1001=B719)*1),0)</f>
        <v>0.694690265486726</v>
      </c>
      <c r="P719" s="24" t="n">
        <f aca="false">IFERROR(SUMPRODUCT(($B$2:$B$1001=B719)*((0-$F$2:$F$1001)&lt;=(0-F719)))/SUMPRODUCT(($B$2:$B$1001=B719)*1),0)</f>
        <v>0.389380530973451</v>
      </c>
      <c r="Q719" s="25" t="n">
        <f aca="false">(M719*Assumptions!$B$5+N719*Assumptions!$B$6+O719*Assumptions!$B$7+P719*Assumptions!$B$8)*L719</f>
        <v>0.418761061946903</v>
      </c>
      <c r="R719" s="24" t="n">
        <f aca="false">IFERROR(SUMPRODUCT(($B$2:$B$1001=B719)*($Q$2:$Q$1001&lt;=Q719))/SUMPRODUCT(($B$2:$B$1001=B719)*1),0)</f>
        <v>0.473451327433628</v>
      </c>
      <c r="S719" s="24" t="n">
        <f aca="false">IFERROR(SUMPRODUCT(($B$2:$B$1001=B719)*($K$2:$K$1001&lt;=K719))/SUMPRODUCT(($B$2:$B$1001=B719)*1),0)</f>
        <v>0.783185840707965</v>
      </c>
      <c r="T719" s="26" t="n">
        <f aca="false">(R719-S719)*100</f>
        <v>-30.9734513274336</v>
      </c>
      <c r="U719" s="21" t="str">
        <f aca="false">'Player Data'!T719</f>
        <v>Unknown</v>
      </c>
      <c r="V719" s="27" t="n">
        <f aca="false">'Player Data'!U719</f>
        <v>2029</v>
      </c>
      <c r="W719" s="21" t="str">
        <f aca="false">IF(AND(T719&gt;=Assumptions!$B$19,U719="No"),"High Priority - Unrepresented",IF(T719&gt;=Assumptions!$B$19,"High Priority",IF(AND(T719&gt;=Assumptions!$B$20,U719="No"),"Watchlist - Unrepresented",IF(T719&gt;=Assumptions!$B$20,"Watchlist",""))))</f>
        <v/>
      </c>
      <c r="X719" s="21" t="str">
        <f aca="false">'Player Data'!V719</f>
        <v>info@yamoussoukrowanderers.ci</v>
      </c>
      <c r="Y719" s="28" t="str">
        <f aca="false">'Player Data'!W719</f>
        <v>Club sporting director / first-team office</v>
      </c>
      <c r="Z719" s="28" t="str">
        <f aca="false">'Player Data'!X719</f>
        <v>FIF (Ivorian Football Federation) player registry</v>
      </c>
      <c r="AA719" s="19" t="str">
        <f aca="false">HYPERLINK("https://www.transfermarkt.com/schnellsuche/ergebnis/schnellsuche?query="&amp;SUBSTITUTE(A719," ","+"),"Search Transfermarkt")</f>
        <v>Search Transfermarkt</v>
      </c>
      <c r="AB719" s="29" t="n">
        <f aca="false">IFERROR('Player Data'!K719/('Player Data'!K719+'Player Data'!L719),0)</f>
        <v>0.2734375</v>
      </c>
      <c r="AC719" s="21" t="str">
        <f aca="false">IF(B719="GK",IF(AND(O719&gt;=Assumptions!$B$23,N719&gt;=Assumptions!$B$23),"Sweeper-Keeper / Build-from-the-Back",IF(O719&gt;=Assumptions!$B$23,"Sweeper-Keeper / High Line",IF(M719&gt;=Assumptions!$B$23,"Shot-Stopper / Traditional","Flexible / Multi-System"))),IF(AND(O719&gt;=Assumptions!$B$23,P719&gt;=Assumptions!$B$24),"High Press / Gegenpressing",IF(AND(N719&gt;=Assumptions!$B$23,AB719&gt;=Assumptions!$B$25),"Possession / Build-from-the-Back",IF(N719&gt;=Assumptions!$B$23,"Counter-Attack / Transition",IF(AND(O719&gt;=Assumptions!$B$23,N719&lt;Assumptions!$B$26),"Low Block / Park the Bus",IF(AND(B719="FW",M719&gt;=Assumptions!$B$23,N719&lt;Assumptions!$B$26),"Direct / Target Approach","Flexible / Multi-System"))))))</f>
        <v>Counter-Attack / Transition</v>
      </c>
      <c r="AD719" s="21" t="str">
        <f aca="false">'Player Data'!Y719</f>
        <v>2026-07-17</v>
      </c>
      <c r="AE719" s="21" t="str">
        <f aca="false">'Player Data'!Z719</f>
        <v>2026-07-17</v>
      </c>
      <c r="AF719" s="28" t="str">
        <f aca="false">IFERROR(INDEX(Assumptions!$B$30:$B$61,MATCH(C719,Assumptions!$A$30:$A$61,0)),"--")</f>
        <v>Belgium, Portugal</v>
      </c>
      <c r="AG719" s="30" t="str">
        <f aca="false">IF(R719&gt;=0.7,"Step-Up Candidate",IF(R719&gt;=0.4,"Lateral Move","Stay &amp; Develop"))</f>
        <v>Lateral Move</v>
      </c>
    </row>
    <row r="720" customFormat="false" ht="23.85" hidden="false" customHeight="false" outlineLevel="0" collapsed="false">
      <c r="A720" s="21" t="str">
        <f aca="false">'Player Data'!A720</f>
        <v>Anon Boonmee</v>
      </c>
      <c r="B720" s="21" t="str">
        <f aca="false">'Player Data'!F720</f>
        <v>FW</v>
      </c>
      <c r="C720" s="21" t="str">
        <f aca="false">'Player Data'!B720</f>
        <v>Thailand</v>
      </c>
      <c r="D720" s="21" t="str">
        <f aca="false">'Player Data'!C720</f>
        <v>Thailand Second Division - West</v>
      </c>
      <c r="E720" s="21" t="n">
        <f aca="false">'Player Data'!D720</f>
        <v>3</v>
      </c>
      <c r="F720" s="21" t="n">
        <f aca="false">'Player Data'!G720</f>
        <v>25</v>
      </c>
      <c r="G720" s="21" t="n">
        <f aca="false">'Player Data'!H720</f>
        <v>2118</v>
      </c>
      <c r="H720" s="22" t="n">
        <f aca="false">IF(B720="GK",IFERROR(('Player Data'!N720-1.5*'Player Data'!O720)/'Player Data'!H720*90,0),IFERROR(('Player Data'!I720+'Player Data'!J720)/'Player Data'!H720*90,0))</f>
        <v>0.892351274787535</v>
      </c>
      <c r="I720" s="22" t="n">
        <f aca="false">IF(B720="GK",'Player Data'!P720,IFERROR(('Player Data'!K720+'Player Data'!L720)/'Player Data'!H720*90,0))</f>
        <v>5.52407932011332</v>
      </c>
      <c r="J720" s="22" t="n">
        <f aca="false">IF(B720="GK",IFERROR('Player Data'!Q720/'Player Data'!H720*90,0),IFERROR('Player Data'!M720/'Player Data'!H720*90,0))</f>
        <v>0.169971671388102</v>
      </c>
      <c r="K720" s="23" t="n">
        <f aca="false">'Player Data'!S720</f>
        <v>143853</v>
      </c>
      <c r="L720" s="22" t="n">
        <f aca="false">INDEX(Assumptions!$B$13:$B$15,MATCH(E720,Assumptions!$A$13:$A$15,0))</f>
        <v>0.85</v>
      </c>
      <c r="M720" s="24" t="n">
        <f aca="false">IFERROR(SUMPRODUCT(($B$2:$B$1001=B720)*($H$2:$H$1001&lt;=H720))/SUMPRODUCT(($B$2:$B$1001=B720)*1),0)</f>
        <v>0.407079646017699</v>
      </c>
      <c r="N720" s="24" t="n">
        <f aca="false">IFERROR(SUMPRODUCT(($B$2:$B$1001=B720)*($I$2:$I$1001&lt;=I720))/SUMPRODUCT(($B$2:$B$1001=B720)*1),0)</f>
        <v>0.31858407079646</v>
      </c>
      <c r="O720" s="24" t="n">
        <f aca="false">IFERROR(SUMPRODUCT(($B$2:$B$1001=B720)*($J$2:$J$1001&lt;=J720))/SUMPRODUCT(($B$2:$B$1001=B720)*1),0)</f>
        <v>0.0176991150442478</v>
      </c>
      <c r="P720" s="24" t="n">
        <f aca="false">IFERROR(SUMPRODUCT(($B$2:$B$1001=B720)*((0-$F$2:$F$1001)&lt;=(0-F720)))/SUMPRODUCT(($B$2:$B$1001=B720)*1),0)</f>
        <v>0.194690265486726</v>
      </c>
      <c r="Q720" s="25" t="n">
        <f aca="false">(M720*Assumptions!$B$5+N720*Assumptions!$B$6+O720*Assumptions!$B$7+P720*Assumptions!$B$8)*L720</f>
        <v>0.217389380530973</v>
      </c>
      <c r="R720" s="24" t="n">
        <f aca="false">IFERROR(SUMPRODUCT(($B$2:$B$1001=B720)*($Q$2:$Q$1001&lt;=Q720))/SUMPRODUCT(($B$2:$B$1001=B720)*1),0)</f>
        <v>0.119469026548673</v>
      </c>
      <c r="S720" s="24" t="n">
        <f aca="false">IFERROR(SUMPRODUCT(($B$2:$B$1001=B720)*($K$2:$K$1001&lt;=K720))/SUMPRODUCT(($B$2:$B$1001=B720)*1),0)</f>
        <v>0.964601769911504</v>
      </c>
      <c r="T720" s="26" t="n">
        <f aca="false">(R720-S720)*100</f>
        <v>-84.5132743362832</v>
      </c>
      <c r="U720" s="21" t="str">
        <f aca="false">'Player Data'!T720</f>
        <v>Unknown</v>
      </c>
      <c r="V720" s="27" t="n">
        <f aca="false">'Player Data'!U720</f>
        <v>2029</v>
      </c>
      <c r="W720" s="21" t="str">
        <f aca="false">IF(AND(T720&gt;=Assumptions!$B$19,U720="No"),"High Priority - Unrepresented",IF(T720&gt;=Assumptions!$B$19,"High Priority",IF(AND(T720&gt;=Assumptions!$B$20,U720="No"),"Watchlist - Unrepresented",IF(T720&gt;=Assumptions!$B$20,"Watchlist",""))))</f>
        <v/>
      </c>
      <c r="X720" s="21" t="str">
        <f aca="false">'Player Data'!V720</f>
        <v>info@khonkaenathletic.th</v>
      </c>
      <c r="Y720" s="28" t="str">
        <f aca="false">'Player Data'!W720</f>
        <v>Club sporting director / first-team office</v>
      </c>
      <c r="Z720" s="28" t="str">
        <f aca="false">'Player Data'!X720</f>
        <v>FAT (Football Association of Thailand) player registry</v>
      </c>
      <c r="AA720" s="19" t="str">
        <f aca="false">HYPERLINK("https://www.transfermarkt.com/schnellsuche/ergebnis/schnellsuche?query="&amp;SUBSTITUTE(A720," ","+"),"Search Transfermarkt")</f>
        <v>Search Transfermarkt</v>
      </c>
      <c r="AB720" s="29" t="n">
        <f aca="false">IFERROR('Player Data'!K720/('Player Data'!K720+'Player Data'!L720),0)</f>
        <v>0.523076923076923</v>
      </c>
      <c r="AC720" s="21" t="str">
        <f aca="false">IF(B720="GK",IF(AND(O720&gt;=Assumptions!$B$23,N720&gt;=Assumptions!$B$23),"Sweeper-Keeper / Build-from-the-Back",IF(O720&gt;=Assumptions!$B$23,"Sweeper-Keeper / High Line",IF(M720&gt;=Assumptions!$B$23,"Shot-Stopper / Traditional","Flexible / Multi-System"))),IF(AND(O720&gt;=Assumptions!$B$23,P720&gt;=Assumptions!$B$24),"High Press / Gegenpressing",IF(AND(N720&gt;=Assumptions!$B$23,AB720&gt;=Assumptions!$B$25),"Possession / Build-from-the-Back",IF(N720&gt;=Assumptions!$B$23,"Counter-Attack / Transition",IF(AND(O720&gt;=Assumptions!$B$23,N720&lt;Assumptions!$B$26),"Low Block / Park the Bus",IF(AND(B720="FW",M720&gt;=Assumptions!$B$23,N720&lt;Assumptions!$B$26),"Direct / Target Approach","Flexible / Multi-System"))))))</f>
        <v>Flexible / Multi-System</v>
      </c>
      <c r="AD720" s="21" t="str">
        <f aca="false">'Player Data'!Y720</f>
        <v>2026-07-17</v>
      </c>
      <c r="AE720" s="21" t="str">
        <f aca="false">'Player Data'!Z720</f>
        <v>2026-07-17</v>
      </c>
      <c r="AF720" s="28" t="str">
        <f aca="false">IFERROR(INDEX(Assumptions!$B$30:$B$61,MATCH(C720,Assumptions!$A$30:$A$61,0)),"--")</f>
        <v>Australia, Saudi Arabia</v>
      </c>
      <c r="AG720" s="30" t="str">
        <f aca="false">IF(R720&gt;=0.7,"Step-Up Candidate",IF(R720&gt;=0.4,"Lateral Move","Stay &amp; Develop"))</f>
        <v>Stay &amp; Develop</v>
      </c>
    </row>
    <row r="721" customFormat="false" ht="23.85" hidden="false" customHeight="false" outlineLevel="0" collapsed="false">
      <c r="A721" s="21" t="str">
        <f aca="false">'Player Data'!A721</f>
        <v>Jose Barrios</v>
      </c>
      <c r="B721" s="21" t="str">
        <f aca="false">'Player Data'!F721</f>
        <v>DF</v>
      </c>
      <c r="C721" s="21" t="str">
        <f aca="false">'Player Data'!B721</f>
        <v>Panama</v>
      </c>
      <c r="D721" s="21" t="str">
        <f aca="false">'Player Data'!C721</f>
        <v>Panama Second Division</v>
      </c>
      <c r="E721" s="21" t="n">
        <f aca="false">'Player Data'!D721</f>
        <v>3</v>
      </c>
      <c r="F721" s="21" t="n">
        <f aca="false">'Player Data'!G721</f>
        <v>21</v>
      </c>
      <c r="G721" s="21" t="n">
        <f aca="false">'Player Data'!H721</f>
        <v>2653</v>
      </c>
      <c r="H721" s="22" t="n">
        <f aca="false">IF(B721="GK",IFERROR(('Player Data'!N721-1.5*'Player Data'!O721)/'Player Data'!H721*90,0),IFERROR(('Player Data'!I721+'Player Data'!J721)/'Player Data'!H721*90,0))</f>
        <v>0.237467018469657</v>
      </c>
      <c r="I721" s="22" t="n">
        <f aca="false">IF(B721="GK",'Player Data'!P721,IFERROR(('Player Data'!K721+'Player Data'!L721)/'Player Data'!H721*90,0))</f>
        <v>3.1549189596683</v>
      </c>
      <c r="J721" s="22" t="n">
        <f aca="false">IF(B721="GK",IFERROR('Player Data'!Q721/'Player Data'!H721*90,0),IFERROR('Player Data'!M721/'Player Data'!H721*90,0))</f>
        <v>3.25669053901244</v>
      </c>
      <c r="K721" s="23" t="n">
        <f aca="false">'Player Data'!S721</f>
        <v>0</v>
      </c>
      <c r="L721" s="22" t="n">
        <f aca="false">INDEX(Assumptions!$B$13:$B$15,MATCH(E721,Assumptions!$A$13:$A$15,0))</f>
        <v>0.85</v>
      </c>
      <c r="M721" s="24" t="n">
        <f aca="false">IFERROR(SUMPRODUCT(($B$2:$B$1001=B721)*($H$2:$H$1001&lt;=H721))/SUMPRODUCT(($B$2:$B$1001=B721)*1),0)</f>
        <v>0.63265306122449</v>
      </c>
      <c r="N721" s="24" t="n">
        <f aca="false">IFERROR(SUMPRODUCT(($B$2:$B$1001=B721)*($I$2:$I$1001&lt;=I721))/SUMPRODUCT(($B$2:$B$1001=B721)*1),0)</f>
        <v>0.115646258503401</v>
      </c>
      <c r="O721" s="24" t="n">
        <f aca="false">IFERROR(SUMPRODUCT(($B$2:$B$1001=B721)*($J$2:$J$1001&lt;=J721))/SUMPRODUCT(($B$2:$B$1001=B721)*1),0)</f>
        <v>0.0476190476190476</v>
      </c>
      <c r="P721" s="24" t="n">
        <f aca="false">IFERROR(SUMPRODUCT(($B$2:$B$1001=B721)*((0-$F$2:$F$1001)&lt;=(0-F721)))/SUMPRODUCT(($B$2:$B$1001=B721)*1),0)</f>
        <v>0.568027210884354</v>
      </c>
      <c r="Q721" s="25" t="n">
        <f aca="false">(M721*Assumptions!$B$5+N721*Assumptions!$B$6+O721*Assumptions!$B$7+P721*Assumptions!$B$8)*L721</f>
        <v>0.273503401360544</v>
      </c>
      <c r="R721" s="24" t="n">
        <f aca="false">IFERROR(SUMPRODUCT(($B$2:$B$1001=B721)*($Q$2:$Q$1001&lt;=Q721))/SUMPRODUCT(($B$2:$B$1001=B721)*1),0)</f>
        <v>0.210884353741497</v>
      </c>
      <c r="S721" s="24" t="n">
        <f aca="false">IFERROR(SUMPRODUCT(($B$2:$B$1001=B721)*($K$2:$K$1001&lt;=K721))/SUMPRODUCT(($B$2:$B$1001=B721)*1),0)</f>
        <v>0.248299319727891</v>
      </c>
      <c r="T721" s="26" t="n">
        <f aca="false">(R721-S721)*100</f>
        <v>-3.74149659863945</v>
      </c>
      <c r="U721" s="21" t="str">
        <f aca="false">'Player Data'!T721</f>
        <v>No</v>
      </c>
      <c r="V721" s="27" t="n">
        <f aca="false">'Player Data'!U721</f>
        <v>2029</v>
      </c>
      <c r="W721" s="21" t="str">
        <f aca="false">IF(AND(T721&gt;=Assumptions!$B$19,U721="No"),"High Priority - Unrepresented",IF(T721&gt;=Assumptions!$B$19,"High Priority",IF(AND(T721&gt;=Assumptions!$B$20,U721="No"),"Watchlist - Unrepresented",IF(T721&gt;=Assumptions!$B$20,"Watchlist",""))))</f>
        <v/>
      </c>
      <c r="X721" s="21" t="str">
        <f aca="false">'Player Data'!V721</f>
        <v>info@santiagofc.pa</v>
      </c>
      <c r="Y721" s="28" t="str">
        <f aca="false">'Player Data'!W721</f>
        <v>Club sporting director / first-team office</v>
      </c>
      <c r="Z721" s="28" t="str">
        <f aca="false">'Player Data'!X721</f>
        <v>FEPAFUT (Panamanian Football Federation) player registry</v>
      </c>
      <c r="AA721" s="19" t="str">
        <f aca="false">HYPERLINK("https://www.transfermarkt.com/schnellsuche/ergebnis/schnellsuche?query="&amp;SUBSTITUTE(A721," ","+"),"Search Transfermarkt")</f>
        <v>Search Transfermarkt</v>
      </c>
      <c r="AB721" s="29" t="n">
        <f aca="false">IFERROR('Player Data'!K721/('Player Data'!K721+'Player Data'!L721),0)</f>
        <v>0.483870967741936</v>
      </c>
      <c r="AC721" s="21" t="str">
        <f aca="false">IF(B721="GK",IF(AND(O721&gt;=Assumptions!$B$23,N721&gt;=Assumptions!$B$23),"Sweeper-Keeper / Build-from-the-Back",IF(O721&gt;=Assumptions!$B$23,"Sweeper-Keeper / High Line",IF(M721&gt;=Assumptions!$B$23,"Shot-Stopper / Traditional","Flexible / Multi-System"))),IF(AND(O721&gt;=Assumptions!$B$23,P721&gt;=Assumptions!$B$24),"High Press / Gegenpressing",IF(AND(N721&gt;=Assumptions!$B$23,AB721&gt;=Assumptions!$B$25),"Possession / Build-from-the-Back",IF(N721&gt;=Assumptions!$B$23,"Counter-Attack / Transition",IF(AND(O721&gt;=Assumptions!$B$23,N721&lt;Assumptions!$B$26),"Low Block / Park the Bus",IF(AND(B721="FW",M721&gt;=Assumptions!$B$23,N721&lt;Assumptions!$B$26),"Direct / Target Approach","Flexible / Multi-System"))))))</f>
        <v>Flexible / Multi-System</v>
      </c>
      <c r="AD721" s="21" t="str">
        <f aca="false">'Player Data'!Y721</f>
        <v>2026-07-17</v>
      </c>
      <c r="AE721" s="21" t="str">
        <f aca="false">'Player Data'!Z721</f>
        <v>2026-07-17</v>
      </c>
      <c r="AF721" s="28" t="str">
        <f aca="false">IFERROR(INDEX(Assumptions!$B$30:$B$61,MATCH(C721,Assumptions!$A$30:$A$61,0)),"--")</f>
        <v>Mexico, United States</v>
      </c>
      <c r="AG721" s="30" t="str">
        <f aca="false">IF(R721&gt;=0.7,"Step-Up Candidate",IF(R721&gt;=0.4,"Lateral Move","Stay &amp; Develop"))</f>
        <v>Stay &amp; Develop</v>
      </c>
    </row>
    <row r="722" customFormat="false" ht="23.85" hidden="false" customHeight="false" outlineLevel="0" collapsed="false">
      <c r="A722" s="21" t="str">
        <f aca="false">'Player Data'!A722</f>
        <v>Bjarni Gudmundsson</v>
      </c>
      <c r="B722" s="21" t="str">
        <f aca="false">'Player Data'!F722</f>
        <v>FW</v>
      </c>
      <c r="C722" s="21" t="str">
        <f aca="false">'Player Data'!B722</f>
        <v>Iceland</v>
      </c>
      <c r="D722" s="21" t="str">
        <f aca="false">'Player Data'!C722</f>
        <v>Iceland Regional League</v>
      </c>
      <c r="E722" s="21" t="n">
        <f aca="false">'Player Data'!D722</f>
        <v>2</v>
      </c>
      <c r="F722" s="21" t="n">
        <f aca="false">'Player Data'!G722</f>
        <v>23</v>
      </c>
      <c r="G722" s="21" t="n">
        <f aca="false">'Player Data'!H722</f>
        <v>1689</v>
      </c>
      <c r="H722" s="22" t="n">
        <f aca="false">IF(B722="GK",IFERROR(('Player Data'!N722-1.5*'Player Data'!O722)/'Player Data'!H722*90,0),IFERROR(('Player Data'!I722+'Player Data'!J722)/'Player Data'!H722*90,0))</f>
        <v>1.1190053285968</v>
      </c>
      <c r="I722" s="22" t="n">
        <f aca="false">IF(B722="GK",'Player Data'!P722,IFERROR(('Player Data'!K722+'Player Data'!L722)/'Player Data'!H722*90,0))</f>
        <v>5.80817051509769</v>
      </c>
      <c r="J722" s="22" t="n">
        <f aca="false">IF(B722="GK",IFERROR('Player Data'!Q722/'Player Data'!H722*90,0),IFERROR('Player Data'!M722/'Player Data'!H722*90,0))</f>
        <v>0.799289520426288</v>
      </c>
      <c r="K722" s="23" t="n">
        <f aca="false">'Player Data'!S722</f>
        <v>0</v>
      </c>
      <c r="L722" s="22" t="n">
        <f aca="false">INDEX(Assumptions!$B$13:$B$15,MATCH(E722,Assumptions!$A$13:$A$15,0))</f>
        <v>1</v>
      </c>
      <c r="M722" s="24" t="n">
        <f aca="false">IFERROR(SUMPRODUCT(($B$2:$B$1001=B722)*($H$2:$H$1001&lt;=H722))/SUMPRODUCT(($B$2:$B$1001=B722)*1),0)</f>
        <v>0.63716814159292</v>
      </c>
      <c r="N722" s="24" t="n">
        <f aca="false">IFERROR(SUMPRODUCT(($B$2:$B$1001=B722)*($I$2:$I$1001&lt;=I722))/SUMPRODUCT(($B$2:$B$1001=B722)*1),0)</f>
        <v>0.389380530973451</v>
      </c>
      <c r="O722" s="24" t="n">
        <f aca="false">IFERROR(SUMPRODUCT(($B$2:$B$1001=B722)*($J$2:$J$1001&lt;=J722))/SUMPRODUCT(($B$2:$B$1001=B722)*1),0)</f>
        <v>0.774336283185841</v>
      </c>
      <c r="P722" s="24" t="n">
        <f aca="false">IFERROR(SUMPRODUCT(($B$2:$B$1001=B722)*((0-$F$2:$F$1001)&lt;=(0-F722)))/SUMPRODUCT(($B$2:$B$1001=B722)*1),0)</f>
        <v>0.389380530973451</v>
      </c>
      <c r="Q722" s="25" t="n">
        <f aca="false">(M722*Assumptions!$B$5+N722*Assumptions!$B$6+O722*Assumptions!$B$7+P722*Assumptions!$B$8)*L722</f>
        <v>0.528318584070797</v>
      </c>
      <c r="R722" s="24" t="n">
        <f aca="false">IFERROR(SUMPRODUCT(($B$2:$B$1001=B722)*($Q$2:$Q$1001&lt;=Q722))/SUMPRODUCT(($B$2:$B$1001=B722)*1),0)</f>
        <v>0.654867256637168</v>
      </c>
      <c r="S722" s="24" t="n">
        <f aca="false">IFERROR(SUMPRODUCT(($B$2:$B$1001=B722)*($K$2:$K$1001&lt;=K722))/SUMPRODUCT(($B$2:$B$1001=B722)*1),0)</f>
        <v>0.261061946902655</v>
      </c>
      <c r="T722" s="26" t="n">
        <f aca="false">(R722-S722)*100</f>
        <v>39.3805309734513</v>
      </c>
      <c r="U722" s="21" t="str">
        <f aca="false">'Player Data'!T722</f>
        <v>Yes</v>
      </c>
      <c r="V722" s="27" t="n">
        <f aca="false">'Player Data'!U722</f>
        <v>2026</v>
      </c>
      <c r="W722" s="21" t="str">
        <f aca="false">IF(AND(T722&gt;=Assumptions!$B$19,U722="No"),"High Priority - Unrepresented",IF(T722&gt;=Assumptions!$B$19,"High Priority",IF(AND(T722&gt;=Assumptions!$B$20,U722="No"),"Watchlist - Unrepresented",IF(T722&gt;=Assumptions!$B$20,"Watchlist",""))))</f>
        <v>Watchlist</v>
      </c>
      <c r="X722" s="21" t="str">
        <f aca="false">'Player Data'!V722</f>
        <v>info@selfossathletic.is</v>
      </c>
      <c r="Y722" s="28" t="str">
        <f aca="false">'Player Data'!W722</f>
        <v>Go through the player's agent - ask the club to confirm representation first</v>
      </c>
      <c r="Z722" s="28" t="str">
        <f aca="false">'Player Data'!X722</f>
        <v>KSI (Icelandic Football Association) player registry</v>
      </c>
      <c r="AA722" s="19" t="str">
        <f aca="false">HYPERLINK("https://www.transfermarkt.com/schnellsuche/ergebnis/schnellsuche?query="&amp;SUBSTITUTE(A722," ","+"),"Search Transfermarkt")</f>
        <v>Search Transfermarkt</v>
      </c>
      <c r="AB722" s="29" t="n">
        <f aca="false">IFERROR('Player Data'!K722/('Player Data'!K722+'Player Data'!L722),0)</f>
        <v>0.311926605504587</v>
      </c>
      <c r="AC722" s="21" t="str">
        <f aca="false">IF(B722="GK",IF(AND(O722&gt;=Assumptions!$B$23,N722&gt;=Assumptions!$B$23),"Sweeper-Keeper / Build-from-the-Back",IF(O722&gt;=Assumptions!$B$23,"Sweeper-Keeper / High Line",IF(M722&gt;=Assumptions!$B$23,"Shot-Stopper / Traditional","Flexible / Multi-System"))),IF(AND(O722&gt;=Assumptions!$B$23,P722&gt;=Assumptions!$B$24),"High Press / Gegenpressing",IF(AND(N722&gt;=Assumptions!$B$23,AB722&gt;=Assumptions!$B$25),"Possession / Build-from-the-Back",IF(N722&gt;=Assumptions!$B$23,"Counter-Attack / Transition",IF(AND(O722&gt;=Assumptions!$B$23,N722&lt;Assumptions!$B$26),"Low Block / Park the Bus",IF(AND(B722="FW",M722&gt;=Assumptions!$B$23,N722&lt;Assumptions!$B$26),"Direct / Target Approach","Flexible / Multi-System"))))))</f>
        <v>Low Block / Park the Bus</v>
      </c>
      <c r="AD722" s="21" t="str">
        <f aca="false">'Player Data'!Y722</f>
        <v>2026-07-17</v>
      </c>
      <c r="AE722" s="21" t="str">
        <f aca="false">'Player Data'!Z722</f>
        <v>2026-07-17</v>
      </c>
      <c r="AF722" s="28" t="str">
        <f aca="false">IFERROR(INDEX(Assumptions!$B$30:$B$61,MATCH(C722,Assumptions!$A$30:$A$61,0)),"--")</f>
        <v>Norway, Belgium</v>
      </c>
      <c r="AG722" s="30" t="str">
        <f aca="false">IF(R722&gt;=0.7,"Step-Up Candidate",IF(R722&gt;=0.4,"Lateral Move","Stay &amp; Develop"))</f>
        <v>Lateral Move</v>
      </c>
    </row>
    <row r="723" customFormat="false" ht="23.85" hidden="false" customHeight="false" outlineLevel="0" collapsed="false">
      <c r="A723" s="21" t="str">
        <f aca="false">'Player Data'!A723</f>
        <v>Uros Jovanovic</v>
      </c>
      <c r="B723" s="21" t="str">
        <f aca="false">'Player Data'!F723</f>
        <v>MF</v>
      </c>
      <c r="C723" s="21" t="str">
        <f aca="false">'Player Data'!B723</f>
        <v>Serbia</v>
      </c>
      <c r="D723" s="21" t="str">
        <f aca="false">'Player Data'!C723</f>
        <v>Serbia Regional League</v>
      </c>
      <c r="E723" s="21" t="n">
        <f aca="false">'Player Data'!D723</f>
        <v>3</v>
      </c>
      <c r="F723" s="21" t="n">
        <f aca="false">'Player Data'!G723</f>
        <v>24</v>
      </c>
      <c r="G723" s="21" t="n">
        <f aca="false">'Player Data'!H723</f>
        <v>2047</v>
      </c>
      <c r="H723" s="22" t="n">
        <f aca="false">IF(B723="GK",IFERROR(('Player Data'!N723-1.5*'Player Data'!O723)/'Player Data'!H723*90,0),IFERROR(('Player Data'!I723+'Player Data'!J723)/'Player Data'!H723*90,0))</f>
        <v>0.747435271128481</v>
      </c>
      <c r="I723" s="22" t="n">
        <f aca="false">IF(B723="GK",'Player Data'!P723,IFERROR(('Player Data'!K723+'Player Data'!L723)/'Player Data'!H723*90,0))</f>
        <v>9.49682462139717</v>
      </c>
      <c r="J723" s="22" t="n">
        <f aca="false">IF(B723="GK",IFERROR('Player Data'!Q723/'Player Data'!H723*90,0),IFERROR('Player Data'!M723/'Player Data'!H723*90,0))</f>
        <v>1.67073766487543</v>
      </c>
      <c r="K723" s="23" t="n">
        <f aca="false">'Player Data'!S723</f>
        <v>0</v>
      </c>
      <c r="L723" s="22" t="n">
        <f aca="false">INDEX(Assumptions!$B$13:$B$15,MATCH(E723,Assumptions!$A$13:$A$15,0))</f>
        <v>0.85</v>
      </c>
      <c r="M723" s="24" t="n">
        <f aca="false">IFERROR(SUMPRODUCT(($B$2:$B$1001=B723)*($H$2:$H$1001&lt;=H723))/SUMPRODUCT(($B$2:$B$1001=B723)*1),0)</f>
        <v>0.505050505050505</v>
      </c>
      <c r="N723" s="24" t="n">
        <f aca="false">IFERROR(SUMPRODUCT(($B$2:$B$1001=B723)*($I$2:$I$1001&lt;=I723))/SUMPRODUCT(($B$2:$B$1001=B723)*1),0)</f>
        <v>0.377104377104377</v>
      </c>
      <c r="O723" s="24" t="n">
        <f aca="false">IFERROR(SUMPRODUCT(($B$2:$B$1001=B723)*($J$2:$J$1001&lt;=J723))/SUMPRODUCT(($B$2:$B$1001=B723)*1),0)</f>
        <v>0.269360269360269</v>
      </c>
      <c r="P723" s="24" t="n">
        <f aca="false">IFERROR(SUMPRODUCT(($B$2:$B$1001=B723)*((0-$F$2:$F$1001)&lt;=(0-F723)))/SUMPRODUCT(($B$2:$B$1001=B723)*1),0)</f>
        <v>0.326599326599327</v>
      </c>
      <c r="Q723" s="25" t="n">
        <f aca="false">(M723*Assumptions!$B$5+N723*Assumptions!$B$6+O723*Assumptions!$B$7+P723*Assumptions!$B$8)*L723</f>
        <v>0.320824915824916</v>
      </c>
      <c r="R723" s="24" t="n">
        <f aca="false">IFERROR(SUMPRODUCT(($B$2:$B$1001=B723)*($Q$2:$Q$1001&lt;=Q723))/SUMPRODUCT(($B$2:$B$1001=B723)*1),0)</f>
        <v>0.28956228956229</v>
      </c>
      <c r="S723" s="24" t="n">
        <f aca="false">IFERROR(SUMPRODUCT(($B$2:$B$1001=B723)*($K$2:$K$1001&lt;=K723))/SUMPRODUCT(($B$2:$B$1001=B723)*1),0)</f>
        <v>0.228956228956229</v>
      </c>
      <c r="T723" s="26" t="n">
        <f aca="false">(R723-S723)*100</f>
        <v>6.06060606060606</v>
      </c>
      <c r="U723" s="21" t="str">
        <f aca="false">'Player Data'!T723</f>
        <v>Yes</v>
      </c>
      <c r="V723" s="27" t="n">
        <f aca="false">'Player Data'!U723</f>
        <v>2029</v>
      </c>
      <c r="W723" s="21" t="str">
        <f aca="false">IF(AND(T723&gt;=Assumptions!$B$19,U723="No"),"High Priority - Unrepresented",IF(T723&gt;=Assumptions!$B$19,"High Priority",IF(AND(T723&gt;=Assumptions!$B$20,U723="No"),"Watchlist - Unrepresented",IF(T723&gt;=Assumptions!$B$20,"Watchlist",""))))</f>
        <v/>
      </c>
      <c r="X723" s="21" t="str">
        <f aca="false">'Player Data'!V723</f>
        <v>info@nisrangers.rs</v>
      </c>
      <c r="Y723" s="28" t="str">
        <f aca="false">'Player Data'!W723</f>
        <v>Go through the player's agent - ask the club to confirm representation first</v>
      </c>
      <c r="Z723" s="28" t="str">
        <f aca="false">'Player Data'!X723</f>
        <v>FSS (Football Association of Serbia) player registry</v>
      </c>
      <c r="AA723" s="19" t="str">
        <f aca="false">HYPERLINK("https://www.transfermarkt.com/schnellsuche/ergebnis/schnellsuche?query="&amp;SUBSTITUTE(A723," ","+"),"Search Transfermarkt")</f>
        <v>Search Transfermarkt</v>
      </c>
      <c r="AB723" s="29" t="n">
        <f aca="false">IFERROR('Player Data'!K723/('Player Data'!K723+'Player Data'!L723),0)</f>
        <v>0.560185185185185</v>
      </c>
      <c r="AC723" s="21" t="str">
        <f aca="false">IF(B723="GK",IF(AND(O723&gt;=Assumptions!$B$23,N723&gt;=Assumptions!$B$23),"Sweeper-Keeper / Build-from-the-Back",IF(O723&gt;=Assumptions!$B$23,"Sweeper-Keeper / High Line",IF(M723&gt;=Assumptions!$B$23,"Shot-Stopper / Traditional","Flexible / Multi-System"))),IF(AND(O723&gt;=Assumptions!$B$23,P723&gt;=Assumptions!$B$24),"High Press / Gegenpressing",IF(AND(N723&gt;=Assumptions!$B$23,AB723&gt;=Assumptions!$B$25),"Possession / Build-from-the-Back",IF(N723&gt;=Assumptions!$B$23,"Counter-Attack / Transition",IF(AND(O723&gt;=Assumptions!$B$23,N723&lt;Assumptions!$B$26),"Low Block / Park the Bus",IF(AND(B723="FW",M723&gt;=Assumptions!$B$23,N723&lt;Assumptions!$B$26),"Direct / Target Approach","Flexible / Multi-System"))))))</f>
        <v>Flexible / Multi-System</v>
      </c>
      <c r="AD723" s="21" t="str">
        <f aca="false">'Player Data'!Y723</f>
        <v>2026-07-17</v>
      </c>
      <c r="AE723" s="21" t="str">
        <f aca="false">'Player Data'!Z723</f>
        <v>2026-07-17</v>
      </c>
      <c r="AF723" s="28" t="str">
        <f aca="false">IFERROR(INDEX(Assumptions!$B$30:$B$61,MATCH(C723,Assumptions!$A$30:$A$61,0)),"--")</f>
        <v>Austria, Turkey</v>
      </c>
      <c r="AG723" s="30" t="str">
        <f aca="false">IF(R723&gt;=0.7,"Step-Up Candidate",IF(R723&gt;=0.4,"Lateral Move","Stay &amp; Develop"))</f>
        <v>Stay &amp; Develop</v>
      </c>
    </row>
    <row r="724" customFormat="false" ht="23.85" hidden="false" customHeight="false" outlineLevel="0" collapsed="false">
      <c r="A724" s="21" t="str">
        <f aca="false">'Player Data'!A724</f>
        <v>Filip Perovic</v>
      </c>
      <c r="B724" s="21" t="str">
        <f aca="false">'Player Data'!F724</f>
        <v>FW</v>
      </c>
      <c r="C724" s="21" t="str">
        <f aca="false">'Player Data'!B724</f>
        <v>Montenegro</v>
      </c>
      <c r="D724" s="21" t="str">
        <f aca="false">'Player Data'!C724</f>
        <v>Montenegro Amateur League</v>
      </c>
      <c r="E724" s="21" t="n">
        <f aca="false">'Player Data'!D724</f>
        <v>4</v>
      </c>
      <c r="F724" s="21" t="n">
        <f aca="false">'Player Data'!G724</f>
        <v>21</v>
      </c>
      <c r="G724" s="21" t="n">
        <f aca="false">'Player Data'!H724</f>
        <v>1067</v>
      </c>
      <c r="H724" s="22" t="n">
        <f aca="false">IF(B724="GK",IFERROR(('Player Data'!N724-1.5*'Player Data'!O724)/'Player Data'!H724*90,0),IFERROR(('Player Data'!I724+'Player Data'!J724)/'Player Data'!H724*90,0))</f>
        <v>0.84348641049672</v>
      </c>
      <c r="I724" s="22" t="n">
        <f aca="false">IF(B724="GK",'Player Data'!P724,IFERROR(('Player Data'!K724+'Player Data'!L724)/'Player Data'!H724*90,0))</f>
        <v>10.796626054358</v>
      </c>
      <c r="J724" s="22" t="n">
        <f aca="false">IF(B724="GK",IFERROR('Player Data'!Q724/'Player Data'!H724*90,0),IFERROR('Player Data'!M724/'Player Data'!H724*90,0))</f>
        <v>1.26522961574508</v>
      </c>
      <c r="K724" s="23" t="n">
        <f aca="false">'Player Data'!S724</f>
        <v>115998</v>
      </c>
      <c r="L724" s="22" t="n">
        <f aca="false">INDEX(Assumptions!$B$13:$B$15,MATCH(E724,Assumptions!$A$13:$A$15,0))</f>
        <v>0.7</v>
      </c>
      <c r="M724" s="24" t="n">
        <f aca="false">IFERROR(SUMPRODUCT(($B$2:$B$1001=B724)*($H$2:$H$1001&lt;=H724))/SUMPRODUCT(($B$2:$B$1001=B724)*1),0)</f>
        <v>0.353982300884956</v>
      </c>
      <c r="N724" s="24" t="n">
        <f aca="false">IFERROR(SUMPRODUCT(($B$2:$B$1001=B724)*($I$2:$I$1001&lt;=I724))/SUMPRODUCT(($B$2:$B$1001=B724)*1),0)</f>
        <v>0.86283185840708</v>
      </c>
      <c r="O724" s="24" t="n">
        <f aca="false">IFERROR(SUMPRODUCT(($B$2:$B$1001=B724)*($J$2:$J$1001&lt;=J724))/SUMPRODUCT(($B$2:$B$1001=B724)*1),0)</f>
        <v>0.946902654867257</v>
      </c>
      <c r="P724" s="24" t="n">
        <f aca="false">IFERROR(SUMPRODUCT(($B$2:$B$1001=B724)*((0-$F$2:$F$1001)&lt;=(0-F724)))/SUMPRODUCT(($B$2:$B$1001=B724)*1),0)</f>
        <v>0.579646017699115</v>
      </c>
      <c r="Q724" s="25" t="n">
        <f aca="false">(M724*Assumptions!$B$5+N724*Assumptions!$B$6+O724*Assumptions!$B$7+P724*Assumptions!$B$8)*L724</f>
        <v>0.487057522123894</v>
      </c>
      <c r="R724" s="24" t="n">
        <f aca="false">IFERROR(SUMPRODUCT(($B$2:$B$1001=B724)*($Q$2:$Q$1001&lt;=Q724))/SUMPRODUCT(($B$2:$B$1001=B724)*1),0)</f>
        <v>0.579646017699115</v>
      </c>
      <c r="S724" s="24" t="n">
        <f aca="false">IFERROR(SUMPRODUCT(($B$2:$B$1001=B724)*($K$2:$K$1001&lt;=K724))/SUMPRODUCT(($B$2:$B$1001=B724)*1),0)</f>
        <v>0.814159292035398</v>
      </c>
      <c r="T724" s="26" t="n">
        <f aca="false">(R724-S724)*100</f>
        <v>-23.4513274336283</v>
      </c>
      <c r="U724" s="21" t="str">
        <f aca="false">'Player Data'!T724</f>
        <v>No</v>
      </c>
      <c r="V724" s="27" t="n">
        <f aca="false">'Player Data'!U724</f>
        <v>2027</v>
      </c>
      <c r="W724" s="21" t="str">
        <f aca="false">IF(AND(T724&gt;=Assumptions!$B$19,U724="No"),"High Priority - Unrepresented",IF(T724&gt;=Assumptions!$B$19,"High Priority",IF(AND(T724&gt;=Assumptions!$B$20,U724="No"),"Watchlist - Unrepresented",IF(T724&gt;=Assumptions!$B$20,"Watchlist",""))))</f>
        <v/>
      </c>
      <c r="X724" s="21" t="str">
        <f aca="false">'Player Data'!V724</f>
        <v>info@barrovers.me</v>
      </c>
      <c r="Y724" s="28" t="str">
        <f aca="false">'Player Data'!W724</f>
        <v>Club sporting director / first-team office</v>
      </c>
      <c r="Z724" s="28" t="str">
        <f aca="false">'Player Data'!X724</f>
        <v>FSCG (Football Association of Montenegro) player registry</v>
      </c>
      <c r="AA724" s="19" t="str">
        <f aca="false">HYPERLINK("https://www.transfermarkt.com/schnellsuche/ergebnis/schnellsuche?query="&amp;SUBSTITUTE(A724," ","+"),"Search Transfermarkt")</f>
        <v>Search Transfermarkt</v>
      </c>
      <c r="AB724" s="29" t="n">
        <f aca="false">IFERROR('Player Data'!K724/('Player Data'!K724+'Player Data'!L724),0)</f>
        <v>0.2890625</v>
      </c>
      <c r="AC724" s="21" t="str">
        <f aca="false">IF(B724="GK",IF(AND(O724&gt;=Assumptions!$B$23,N724&gt;=Assumptions!$B$23),"Sweeper-Keeper / Build-from-the-Back",IF(O724&gt;=Assumptions!$B$23,"Sweeper-Keeper / High Line",IF(M724&gt;=Assumptions!$B$23,"Shot-Stopper / Traditional","Flexible / Multi-System"))),IF(AND(O724&gt;=Assumptions!$B$23,P724&gt;=Assumptions!$B$24),"High Press / Gegenpressing",IF(AND(N724&gt;=Assumptions!$B$23,AB724&gt;=Assumptions!$B$25),"Possession / Build-from-the-Back",IF(N724&gt;=Assumptions!$B$23,"Counter-Attack / Transition",IF(AND(O724&gt;=Assumptions!$B$23,N724&lt;Assumptions!$B$26),"Low Block / Park the Bus",IF(AND(B724="FW",M724&gt;=Assumptions!$B$23,N724&lt;Assumptions!$B$26),"Direct / Target Approach","Flexible / Multi-System"))))))</f>
        <v>High Press / Gegenpressing</v>
      </c>
      <c r="AD724" s="21" t="str">
        <f aca="false">'Player Data'!Y724</f>
        <v>2026-07-17</v>
      </c>
      <c r="AE724" s="21" t="str">
        <f aca="false">'Player Data'!Z724</f>
        <v>2026-07-17</v>
      </c>
      <c r="AF724" s="28" t="str">
        <f aca="false">IFERROR(INDEX(Assumptions!$B$30:$B$61,MATCH(C724,Assumptions!$A$30:$A$61,0)),"--")</f>
        <v>Austria, Turkey</v>
      </c>
      <c r="AG724" s="30" t="str">
        <f aca="false">IF(R724&gt;=0.7,"Step-Up Candidate",IF(R724&gt;=0.4,"Lateral Move","Stay &amp; Develop"))</f>
        <v>Lateral Move</v>
      </c>
    </row>
    <row r="725" customFormat="false" ht="23.85" hidden="false" customHeight="false" outlineLevel="0" collapsed="false">
      <c r="A725" s="21" t="str">
        <f aca="false">'Player Data'!A725</f>
        <v>Santiago Martinez</v>
      </c>
      <c r="B725" s="21" t="str">
        <f aca="false">'Player Data'!F725</f>
        <v>FW</v>
      </c>
      <c r="C725" s="21" t="str">
        <f aca="false">'Player Data'!B725</f>
        <v>Bolivia</v>
      </c>
      <c r="D725" s="21" t="str">
        <f aca="false">'Player Data'!C725</f>
        <v>Bolivia Regional League</v>
      </c>
      <c r="E725" s="21" t="n">
        <f aca="false">'Player Data'!D725</f>
        <v>4</v>
      </c>
      <c r="F725" s="21" t="n">
        <f aca="false">'Player Data'!G725</f>
        <v>22</v>
      </c>
      <c r="G725" s="21" t="n">
        <f aca="false">'Player Data'!H725</f>
        <v>1634</v>
      </c>
      <c r="H725" s="22" t="n">
        <f aca="false">IF(B725="GK",IFERROR(('Player Data'!N725-1.5*'Player Data'!O725)/'Player Data'!H725*90,0),IFERROR(('Player Data'!I725+'Player Data'!J725)/'Player Data'!H725*90,0))</f>
        <v>0.495716034271726</v>
      </c>
      <c r="I725" s="22" t="n">
        <f aca="false">IF(B725="GK",'Player Data'!P725,IFERROR(('Player Data'!K725+'Player Data'!L725)/'Player Data'!H725*90,0))</f>
        <v>6.60954712362301</v>
      </c>
      <c r="J725" s="22" t="n">
        <f aca="false">IF(B725="GK",IFERROR('Player Data'!Q725/'Player Data'!H725*90,0),IFERROR('Player Data'!M725/'Player Data'!H725*90,0))</f>
        <v>0.440636474908201</v>
      </c>
      <c r="K725" s="23" t="n">
        <f aca="false">'Player Data'!S725</f>
        <v>112927</v>
      </c>
      <c r="L725" s="22" t="n">
        <f aca="false">INDEX(Assumptions!$B$13:$B$15,MATCH(E725,Assumptions!$A$13:$A$15,0))</f>
        <v>0.7</v>
      </c>
      <c r="M725" s="24" t="n">
        <f aca="false">IFERROR(SUMPRODUCT(($B$2:$B$1001=B725)*($H$2:$H$1001&lt;=H725))/SUMPRODUCT(($B$2:$B$1001=B725)*1),0)</f>
        <v>0.0707964601769912</v>
      </c>
      <c r="N725" s="24" t="n">
        <f aca="false">IFERROR(SUMPRODUCT(($B$2:$B$1001=B725)*($I$2:$I$1001&lt;=I725))/SUMPRODUCT(($B$2:$B$1001=B725)*1),0)</f>
        <v>0.517699115044248</v>
      </c>
      <c r="O725" s="24" t="n">
        <f aca="false">IFERROR(SUMPRODUCT(($B$2:$B$1001=B725)*($J$2:$J$1001&lt;=J725))/SUMPRODUCT(($B$2:$B$1001=B725)*1),0)</f>
        <v>0.402654867256637</v>
      </c>
      <c r="P725" s="24" t="n">
        <f aca="false">IFERROR(SUMPRODUCT(($B$2:$B$1001=B725)*((0-$F$2:$F$1001)&lt;=(0-F725)))/SUMPRODUCT(($B$2:$B$1001=B725)*1),0)</f>
        <v>0.504424778761062</v>
      </c>
      <c r="Q725" s="25" t="n">
        <f aca="false">(M725*Assumptions!$B$5+N725*Assumptions!$B$6+O725*Assumptions!$B$7+P725*Assumptions!$B$8)*L725</f>
        <v>0.266216814159292</v>
      </c>
      <c r="R725" s="24" t="n">
        <f aca="false">IFERROR(SUMPRODUCT(($B$2:$B$1001=B725)*($Q$2:$Q$1001&lt;=Q725))/SUMPRODUCT(($B$2:$B$1001=B725)*1),0)</f>
        <v>0.230088495575221</v>
      </c>
      <c r="S725" s="24" t="n">
        <f aca="false">IFERROR(SUMPRODUCT(($B$2:$B$1001=B725)*($K$2:$K$1001&lt;=K725))/SUMPRODUCT(($B$2:$B$1001=B725)*1),0)</f>
        <v>0.796460176991151</v>
      </c>
      <c r="T725" s="26" t="n">
        <f aca="false">(R725-S725)*100</f>
        <v>-56.6371681415929</v>
      </c>
      <c r="U725" s="21" t="str">
        <f aca="false">'Player Data'!T725</f>
        <v>Yes</v>
      </c>
      <c r="V725" s="27" t="n">
        <f aca="false">'Player Data'!U725</f>
        <v>2028</v>
      </c>
      <c r="W725" s="21" t="str">
        <f aca="false">IF(AND(T725&gt;=Assumptions!$B$19,U725="No"),"High Priority - Unrepresented",IF(T725&gt;=Assumptions!$B$19,"High Priority",IF(AND(T725&gt;=Assumptions!$B$20,U725="No"),"Watchlist - Unrepresented",IF(T725&gt;=Assumptions!$B$20,"Watchlist",""))))</f>
        <v/>
      </c>
      <c r="X725" s="21" t="str">
        <f aca="false">'Player Data'!V725</f>
        <v>info@santacruzwanderers.bo</v>
      </c>
      <c r="Y725" s="28" t="str">
        <f aca="false">'Player Data'!W725</f>
        <v>Go through the player's agent - ask the club to confirm representation first</v>
      </c>
      <c r="Z725" s="28" t="str">
        <f aca="false">'Player Data'!X725</f>
        <v>FBF (Bolivian Football Federation) player registry</v>
      </c>
      <c r="AA725" s="19" t="str">
        <f aca="false">HYPERLINK("https://www.transfermarkt.com/schnellsuche/ergebnis/schnellsuche?query="&amp;SUBSTITUTE(A725," ","+"),"Search Transfermarkt")</f>
        <v>Search Transfermarkt</v>
      </c>
      <c r="AB725" s="29" t="n">
        <f aca="false">IFERROR('Player Data'!K725/('Player Data'!K725+'Player Data'!L725),0)</f>
        <v>0.491666666666667</v>
      </c>
      <c r="AC725" s="21" t="str">
        <f aca="false">IF(B725="GK",IF(AND(O725&gt;=Assumptions!$B$23,N725&gt;=Assumptions!$B$23),"Sweeper-Keeper / Build-from-the-Back",IF(O725&gt;=Assumptions!$B$23,"Sweeper-Keeper / High Line",IF(M725&gt;=Assumptions!$B$23,"Shot-Stopper / Traditional","Flexible / Multi-System"))),IF(AND(O725&gt;=Assumptions!$B$23,P725&gt;=Assumptions!$B$24),"High Press / Gegenpressing",IF(AND(N725&gt;=Assumptions!$B$23,AB725&gt;=Assumptions!$B$25),"Possession / Build-from-the-Back",IF(N725&gt;=Assumptions!$B$23,"Counter-Attack / Transition",IF(AND(O725&gt;=Assumptions!$B$23,N725&lt;Assumptions!$B$26),"Low Block / Park the Bus",IF(AND(B725="FW",M725&gt;=Assumptions!$B$23,N725&lt;Assumptions!$B$26),"Direct / Target Approach","Flexible / Multi-System"))))))</f>
        <v>Flexible / Multi-System</v>
      </c>
      <c r="AD725" s="21" t="str">
        <f aca="false">'Player Data'!Y725</f>
        <v>2026-07-17</v>
      </c>
      <c r="AE725" s="21" t="str">
        <f aca="false">'Player Data'!Z725</f>
        <v>2026-07-17</v>
      </c>
      <c r="AF725" s="28" t="str">
        <f aca="false">IFERROR(INDEX(Assumptions!$B$30:$B$61,MATCH(C725,Assumptions!$A$30:$A$61,0)),"--")</f>
        <v>Argentina, Portugal</v>
      </c>
      <c r="AG725" s="30" t="str">
        <f aca="false">IF(R725&gt;=0.7,"Step-Up Candidate",IF(R725&gt;=0.4,"Lateral Move","Stay &amp; Develop"))</f>
        <v>Stay &amp; Develop</v>
      </c>
    </row>
    <row r="726" customFormat="false" ht="23.85" hidden="false" customHeight="false" outlineLevel="0" collapsed="false">
      <c r="A726" s="21" t="str">
        <f aca="false">'Player Data'!A726</f>
        <v>Moussa Diop</v>
      </c>
      <c r="B726" s="21" t="str">
        <f aca="false">'Player Data'!F726</f>
        <v>DF</v>
      </c>
      <c r="C726" s="21" t="str">
        <f aca="false">'Player Data'!B726</f>
        <v>Senegal</v>
      </c>
      <c r="D726" s="21" t="str">
        <f aca="false">'Player Data'!C726</f>
        <v>Senegal Provincial League</v>
      </c>
      <c r="E726" s="21" t="n">
        <f aca="false">'Player Data'!D726</f>
        <v>3</v>
      </c>
      <c r="F726" s="21" t="n">
        <f aca="false">'Player Data'!G726</f>
        <v>17</v>
      </c>
      <c r="G726" s="21" t="n">
        <f aca="false">'Player Data'!H726</f>
        <v>2133</v>
      </c>
      <c r="H726" s="22" t="n">
        <f aca="false">IF(B726="GK",IFERROR(('Player Data'!N726-1.5*'Player Data'!O726)/'Player Data'!H726*90,0),IFERROR(('Player Data'!I726+'Player Data'!J726)/'Player Data'!H726*90,0))</f>
        <v>0.0843881856540085</v>
      </c>
      <c r="I726" s="22" t="n">
        <f aca="false">IF(B726="GK",'Player Data'!P726,IFERROR(('Player Data'!K726+'Player Data'!L726)/'Player Data'!H726*90,0))</f>
        <v>3.92405063291139</v>
      </c>
      <c r="J726" s="22" t="n">
        <f aca="false">IF(B726="GK",IFERROR('Player Data'!Q726/'Player Data'!H726*90,0),IFERROR('Player Data'!M726/'Player Data'!H726*90,0))</f>
        <v>3.92405063291139</v>
      </c>
      <c r="K726" s="23" t="n">
        <f aca="false">'Player Data'!S726</f>
        <v>70644</v>
      </c>
      <c r="L726" s="22" t="n">
        <f aca="false">INDEX(Assumptions!$B$13:$B$15,MATCH(E726,Assumptions!$A$13:$A$15,0))</f>
        <v>0.85</v>
      </c>
      <c r="M726" s="24" t="n">
        <f aca="false">IFERROR(SUMPRODUCT(($B$2:$B$1001=B726)*($H$2:$H$1001&lt;=H726))/SUMPRODUCT(($B$2:$B$1001=B726)*1),0)</f>
        <v>0.139455782312925</v>
      </c>
      <c r="N726" s="24" t="n">
        <f aca="false">IFERROR(SUMPRODUCT(($B$2:$B$1001=B726)*($I$2:$I$1001&lt;=I726))/SUMPRODUCT(($B$2:$B$1001=B726)*1),0)</f>
        <v>0.377551020408163</v>
      </c>
      <c r="O726" s="24" t="n">
        <f aca="false">IFERROR(SUMPRODUCT(($B$2:$B$1001=B726)*($J$2:$J$1001&lt;=J726))/SUMPRODUCT(($B$2:$B$1001=B726)*1),0)</f>
        <v>0.210884353741497</v>
      </c>
      <c r="P726" s="24" t="n">
        <f aca="false">IFERROR(SUMPRODUCT(($B$2:$B$1001=B726)*((0-$F$2:$F$1001)&lt;=(0-F726)))/SUMPRODUCT(($B$2:$B$1001=B726)*1),0)</f>
        <v>1</v>
      </c>
      <c r="Q726" s="25" t="n">
        <f aca="false">(M726*Assumptions!$B$5+N726*Assumptions!$B$6+O726*Assumptions!$B$7+P726*Assumptions!$B$8)*L726</f>
        <v>0.34780612244898</v>
      </c>
      <c r="R726" s="24" t="n">
        <f aca="false">IFERROR(SUMPRODUCT(($B$2:$B$1001=B726)*($Q$2:$Q$1001&lt;=Q726))/SUMPRODUCT(($B$2:$B$1001=B726)*1),0)</f>
        <v>0.357142857142857</v>
      </c>
      <c r="S726" s="24" t="n">
        <f aca="false">IFERROR(SUMPRODUCT(($B$2:$B$1001=B726)*($K$2:$K$1001&lt;=K726))/SUMPRODUCT(($B$2:$B$1001=B726)*1),0)</f>
        <v>0.551020408163265</v>
      </c>
      <c r="T726" s="26" t="n">
        <f aca="false">(R726-S726)*100</f>
        <v>-19.3877551020408</v>
      </c>
      <c r="U726" s="21" t="str">
        <f aca="false">'Player Data'!T726</f>
        <v>Unknown</v>
      </c>
      <c r="V726" s="27" t="n">
        <f aca="false">'Player Data'!U726</f>
        <v>2026</v>
      </c>
      <c r="W726" s="21" t="str">
        <f aca="false">IF(AND(T726&gt;=Assumptions!$B$19,U726="No"),"High Priority - Unrepresented",IF(T726&gt;=Assumptions!$B$19,"High Priority",IF(AND(T726&gt;=Assumptions!$B$20,U726="No"),"Watchlist - Unrepresented",IF(T726&gt;=Assumptions!$B$20,"Watchlist",""))))</f>
        <v/>
      </c>
      <c r="X726" s="21" t="str">
        <f aca="false">'Player Data'!V726</f>
        <v>info@dakartown.sn</v>
      </c>
      <c r="Y726" s="28" t="str">
        <f aca="false">'Player Data'!W726</f>
        <v>Club youth/academy office ONLY - player is a minor, do not contact directly</v>
      </c>
      <c r="Z726" s="28" t="str">
        <f aca="false">'Player Data'!X726</f>
        <v>FSF (Senegalese Football Federation) player registry</v>
      </c>
      <c r="AA726" s="19" t="str">
        <f aca="false">HYPERLINK("https://www.transfermarkt.com/schnellsuche/ergebnis/schnellsuche?query="&amp;SUBSTITUTE(A726," ","+"),"Search Transfermarkt")</f>
        <v>Search Transfermarkt</v>
      </c>
      <c r="AB726" s="29" t="n">
        <f aca="false">IFERROR('Player Data'!K726/('Player Data'!K726+'Player Data'!L726),0)</f>
        <v>0.752688172043011</v>
      </c>
      <c r="AC726" s="21" t="str">
        <f aca="false">IF(B726="GK",IF(AND(O726&gt;=Assumptions!$B$23,N726&gt;=Assumptions!$B$23),"Sweeper-Keeper / Build-from-the-Back",IF(O726&gt;=Assumptions!$B$23,"Sweeper-Keeper / High Line",IF(M726&gt;=Assumptions!$B$23,"Shot-Stopper / Traditional","Flexible / Multi-System"))),IF(AND(O726&gt;=Assumptions!$B$23,P726&gt;=Assumptions!$B$24),"High Press / Gegenpressing",IF(AND(N726&gt;=Assumptions!$B$23,AB726&gt;=Assumptions!$B$25),"Possession / Build-from-the-Back",IF(N726&gt;=Assumptions!$B$23,"Counter-Attack / Transition",IF(AND(O726&gt;=Assumptions!$B$23,N726&lt;Assumptions!$B$26),"Low Block / Park the Bus",IF(AND(B726="FW",M726&gt;=Assumptions!$B$23,N726&lt;Assumptions!$B$26),"Direct / Target Approach","Flexible / Multi-System"))))))</f>
        <v>Flexible / Multi-System</v>
      </c>
      <c r="AD726" s="21" t="str">
        <f aca="false">'Player Data'!Y726</f>
        <v>2026-07-17</v>
      </c>
      <c r="AE726" s="21" t="str">
        <f aca="false">'Player Data'!Z726</f>
        <v>2026-07-17</v>
      </c>
      <c r="AF726" s="28" t="str">
        <f aca="false">IFERROR(INDEX(Assumptions!$B$30:$B$61,MATCH(C726,Assumptions!$A$30:$A$61,0)),"--")</f>
        <v>Belgium, Portugal</v>
      </c>
      <c r="AG726" s="30" t="str">
        <f aca="false">IF(R726&gt;=0.7,"Step-Up Candidate",IF(R726&gt;=0.4,"Lateral Move","Stay &amp; Develop"))</f>
        <v>Stay &amp; Develop</v>
      </c>
    </row>
    <row r="727" customFormat="false" ht="23.85" hidden="false" customHeight="false" outlineLevel="0" collapsed="false">
      <c r="A727" s="21" t="str">
        <f aca="false">'Player Data'!A727</f>
        <v>Petar Ilic</v>
      </c>
      <c r="B727" s="21" t="str">
        <f aca="false">'Player Data'!F727</f>
        <v>FW</v>
      </c>
      <c r="C727" s="21" t="str">
        <f aca="false">'Player Data'!B727</f>
        <v>Montenegro</v>
      </c>
      <c r="D727" s="21" t="str">
        <f aca="false">'Player Data'!C727</f>
        <v>Montenegro Amateur League</v>
      </c>
      <c r="E727" s="21" t="n">
        <f aca="false">'Player Data'!D727</f>
        <v>3</v>
      </c>
      <c r="F727" s="21" t="n">
        <f aca="false">'Player Data'!G727</f>
        <v>21</v>
      </c>
      <c r="G727" s="21" t="n">
        <f aca="false">'Player Data'!H727</f>
        <v>2017</v>
      </c>
      <c r="H727" s="22" t="n">
        <f aca="false">IF(B727="GK",IFERROR(('Player Data'!N727-1.5*'Player Data'!O727)/'Player Data'!H727*90,0),IFERROR(('Player Data'!I727+'Player Data'!J727)/'Player Data'!H727*90,0))</f>
        <v>0.981655924640555</v>
      </c>
      <c r="I727" s="22" t="n">
        <f aca="false">IF(B727="GK",'Player Data'!P727,IFERROR(('Player Data'!K727+'Player Data'!L727)/'Player Data'!H727*90,0))</f>
        <v>5.35448686167576</v>
      </c>
      <c r="J727" s="22" t="n">
        <f aca="false">IF(B727="GK",IFERROR('Player Data'!Q727/'Player Data'!H727*90,0),IFERROR('Player Data'!M727/'Player Data'!H727*90,0))</f>
        <v>0.66931085770947</v>
      </c>
      <c r="K727" s="23" t="n">
        <f aca="false">'Player Data'!S727</f>
        <v>106630</v>
      </c>
      <c r="L727" s="22" t="n">
        <f aca="false">INDEX(Assumptions!$B$13:$B$15,MATCH(E727,Assumptions!$A$13:$A$15,0))</f>
        <v>0.85</v>
      </c>
      <c r="M727" s="24" t="n">
        <f aca="false">IFERROR(SUMPRODUCT(($B$2:$B$1001=B727)*($H$2:$H$1001&lt;=H727))/SUMPRODUCT(($B$2:$B$1001=B727)*1),0)</f>
        <v>0.508849557522124</v>
      </c>
      <c r="N727" s="24" t="n">
        <f aca="false">IFERROR(SUMPRODUCT(($B$2:$B$1001=B727)*($I$2:$I$1001&lt;=I727))/SUMPRODUCT(($B$2:$B$1001=B727)*1),0)</f>
        <v>0.287610619469027</v>
      </c>
      <c r="O727" s="24" t="n">
        <f aca="false">IFERROR(SUMPRODUCT(($B$2:$B$1001=B727)*($J$2:$J$1001&lt;=J727))/SUMPRODUCT(($B$2:$B$1001=B727)*1),0)</f>
        <v>0.712389380530973</v>
      </c>
      <c r="P727" s="24" t="n">
        <f aca="false">IFERROR(SUMPRODUCT(($B$2:$B$1001=B727)*((0-$F$2:$F$1001)&lt;=(0-F727)))/SUMPRODUCT(($B$2:$B$1001=B727)*1),0)</f>
        <v>0.579646017699115</v>
      </c>
      <c r="Q727" s="25" t="n">
        <f aca="false">(M727*Assumptions!$B$5+N727*Assumptions!$B$6+O727*Assumptions!$B$7+P727*Assumptions!$B$8)*L727</f>
        <v>0.413340707964602</v>
      </c>
      <c r="R727" s="24" t="n">
        <f aca="false">IFERROR(SUMPRODUCT(($B$2:$B$1001=B727)*($Q$2:$Q$1001&lt;=Q727))/SUMPRODUCT(($B$2:$B$1001=B727)*1),0)</f>
        <v>0.451327433628319</v>
      </c>
      <c r="S727" s="24" t="n">
        <f aca="false">IFERROR(SUMPRODUCT(($B$2:$B$1001=B727)*($K$2:$K$1001&lt;=K727))/SUMPRODUCT(($B$2:$B$1001=B727)*1),0)</f>
        <v>0.761061946902655</v>
      </c>
      <c r="T727" s="26" t="n">
        <f aca="false">(R727-S727)*100</f>
        <v>-30.9734513274336</v>
      </c>
      <c r="U727" s="21" t="str">
        <f aca="false">'Player Data'!T727</f>
        <v>No</v>
      </c>
      <c r="V727" s="27" t="n">
        <f aca="false">'Player Data'!U727</f>
        <v>2028</v>
      </c>
      <c r="W727" s="21" t="str">
        <f aca="false">IF(AND(T727&gt;=Assumptions!$B$19,U727="No"),"High Priority - Unrepresented",IF(T727&gt;=Assumptions!$B$19,"High Priority",IF(AND(T727&gt;=Assumptions!$B$20,U727="No"),"Watchlist - Unrepresented",IF(T727&gt;=Assumptions!$B$20,"Watchlist",""))))</f>
        <v/>
      </c>
      <c r="X727" s="21" t="str">
        <f aca="false">'Player Data'!V727</f>
        <v>info@budvatown.me</v>
      </c>
      <c r="Y727" s="28" t="str">
        <f aca="false">'Player Data'!W727</f>
        <v>Club sporting director / first-team office</v>
      </c>
      <c r="Z727" s="28" t="str">
        <f aca="false">'Player Data'!X727</f>
        <v>FSCG (Football Association of Montenegro) player registry</v>
      </c>
      <c r="AA727" s="19" t="str">
        <f aca="false">HYPERLINK("https://www.transfermarkt.com/schnellsuche/ergebnis/schnellsuche?query="&amp;SUBSTITUTE(A727," ","+"),"Search Transfermarkt")</f>
        <v>Search Transfermarkt</v>
      </c>
      <c r="AB727" s="29" t="n">
        <f aca="false">IFERROR('Player Data'!K727/('Player Data'!K727+'Player Data'!L727),0)</f>
        <v>0.291666666666667</v>
      </c>
      <c r="AC727" s="21" t="str">
        <f aca="false">IF(B727="GK",IF(AND(O727&gt;=Assumptions!$B$23,N727&gt;=Assumptions!$B$23),"Sweeper-Keeper / Build-from-the-Back",IF(O727&gt;=Assumptions!$B$23,"Sweeper-Keeper / High Line",IF(M727&gt;=Assumptions!$B$23,"Shot-Stopper / Traditional","Flexible / Multi-System"))),IF(AND(O727&gt;=Assumptions!$B$23,P727&gt;=Assumptions!$B$24),"High Press / Gegenpressing",IF(AND(N727&gt;=Assumptions!$B$23,AB727&gt;=Assumptions!$B$25),"Possession / Build-from-the-Back",IF(N727&gt;=Assumptions!$B$23,"Counter-Attack / Transition",IF(AND(O727&gt;=Assumptions!$B$23,N727&lt;Assumptions!$B$26),"Low Block / Park the Bus",IF(AND(B727="FW",M727&gt;=Assumptions!$B$23,N727&lt;Assumptions!$B$26),"Direct / Target Approach","Flexible / Multi-System"))))))</f>
        <v>High Press / Gegenpressing</v>
      </c>
      <c r="AD727" s="21" t="str">
        <f aca="false">'Player Data'!Y727</f>
        <v>2026-07-17</v>
      </c>
      <c r="AE727" s="21" t="str">
        <f aca="false">'Player Data'!Z727</f>
        <v>2026-07-17</v>
      </c>
      <c r="AF727" s="28" t="str">
        <f aca="false">IFERROR(INDEX(Assumptions!$B$30:$B$61,MATCH(C727,Assumptions!$A$30:$A$61,0)),"--")</f>
        <v>Austria, Turkey</v>
      </c>
      <c r="AG727" s="30" t="str">
        <f aca="false">IF(R727&gt;=0.7,"Step-Up Candidate",IF(R727&gt;=0.4,"Lateral Move","Stay &amp; Develop"))</f>
        <v>Lateral Move</v>
      </c>
    </row>
    <row r="728" customFormat="false" ht="23.85" hidden="false" customHeight="false" outlineLevel="0" collapsed="false">
      <c r="A728" s="21" t="str">
        <f aca="false">'Player Data'!A728</f>
        <v>Andrej Nikolic</v>
      </c>
      <c r="B728" s="21" t="str">
        <f aca="false">'Player Data'!F728</f>
        <v>GK</v>
      </c>
      <c r="C728" s="21" t="str">
        <f aca="false">'Player Data'!B728</f>
        <v>Montenegro</v>
      </c>
      <c r="D728" s="21" t="str">
        <f aca="false">'Player Data'!C728</f>
        <v>Montenegro Reserve League</v>
      </c>
      <c r="E728" s="21" t="n">
        <f aca="false">'Player Data'!D728</f>
        <v>4</v>
      </c>
      <c r="F728" s="21" t="n">
        <f aca="false">'Player Data'!G728</f>
        <v>19</v>
      </c>
      <c r="G728" s="21" t="n">
        <f aca="false">'Player Data'!H728</f>
        <v>1504</v>
      </c>
      <c r="H728" s="22" t="n">
        <f aca="false">IF(B728="GK",IFERROR(('Player Data'!N728-1.5*'Player Data'!O728)/'Player Data'!H728*90,0),IFERROR(('Player Data'!I728+'Player Data'!J728)/'Player Data'!H728*90,0))</f>
        <v>0.418882978723404</v>
      </c>
      <c r="I728" s="22" t="n">
        <f aca="false">IF(B728="GK",'Player Data'!P728,IFERROR(('Player Data'!K728+'Player Data'!L728)/'Player Data'!H728*90,0))</f>
        <v>57.1</v>
      </c>
      <c r="J728" s="22" t="n">
        <f aca="false">IF(B728="GK",IFERROR('Player Data'!Q728/'Player Data'!H728*90,0),IFERROR('Player Data'!M728/'Player Data'!H728*90,0))</f>
        <v>0.879654255319149</v>
      </c>
      <c r="K728" s="23" t="n">
        <f aca="false">'Player Data'!S728</f>
        <v>0</v>
      </c>
      <c r="L728" s="22" t="n">
        <f aca="false">INDEX(Assumptions!$B$13:$B$15,MATCH(E728,Assumptions!$A$13:$A$15,0))</f>
        <v>0.7</v>
      </c>
      <c r="M728" s="24" t="n">
        <f aca="false">IFERROR(SUMPRODUCT(($B$2:$B$1001=B728)*($H$2:$H$1001&lt;=H728))/SUMPRODUCT(($B$2:$B$1001=B728)*1),0)</f>
        <v>0.245901639344262</v>
      </c>
      <c r="N728" s="24" t="n">
        <f aca="false">IFERROR(SUMPRODUCT(($B$2:$B$1001=B728)*($I$2:$I$1001&lt;=I728))/SUMPRODUCT(($B$2:$B$1001=B728)*1),0)</f>
        <v>0.0491803278688525</v>
      </c>
      <c r="O728" s="24" t="n">
        <f aca="false">IFERROR(SUMPRODUCT(($B$2:$B$1001=B728)*($J$2:$J$1001&lt;=J728))/SUMPRODUCT(($B$2:$B$1001=B728)*1),0)</f>
        <v>0.519125683060109</v>
      </c>
      <c r="P728" s="24" t="n">
        <f aca="false">IFERROR(SUMPRODUCT(($B$2:$B$1001=B728)*((0-$F$2:$F$1001)&lt;=(0-F728)))/SUMPRODUCT(($B$2:$B$1001=B728)*1),0)</f>
        <v>0.770491803278689</v>
      </c>
      <c r="Q728" s="25" t="n">
        <f aca="false">(M728*Assumptions!$B$5+N728*Assumptions!$B$6+O728*Assumptions!$B$7+P728*Assumptions!$B$8)*L728</f>
        <v>0.235628415300546</v>
      </c>
      <c r="R728" s="24" t="n">
        <f aca="false">IFERROR(SUMPRODUCT(($B$2:$B$1001=B728)*($Q$2:$Q$1001&lt;=Q728))/SUMPRODUCT(($B$2:$B$1001=B728)*1),0)</f>
        <v>0.0437158469945355</v>
      </c>
      <c r="S728" s="24" t="n">
        <f aca="false">IFERROR(SUMPRODUCT(($B$2:$B$1001=B728)*($K$2:$K$1001&lt;=K728))/SUMPRODUCT(($B$2:$B$1001=B728)*1),0)</f>
        <v>0.218579234972678</v>
      </c>
      <c r="T728" s="26" t="n">
        <f aca="false">(R728-S728)*100</f>
        <v>-17.4863387978142</v>
      </c>
      <c r="U728" s="21" t="str">
        <f aca="false">'Player Data'!T728</f>
        <v>No</v>
      </c>
      <c r="V728" s="27" t="n">
        <f aca="false">'Player Data'!U728</f>
        <v>2027</v>
      </c>
      <c r="W728" s="21" t="str">
        <f aca="false">IF(AND(T728&gt;=Assumptions!$B$19,U728="No"),"High Priority - Unrepresented",IF(T728&gt;=Assumptions!$B$19,"High Priority",IF(AND(T728&gt;=Assumptions!$B$20,U728="No"),"Watchlist - Unrepresented",IF(T728&gt;=Assumptions!$B$20,"Watchlist",""))))</f>
        <v/>
      </c>
      <c r="X728" s="21" t="str">
        <f aca="false">'Player Data'!V728</f>
        <v>info@danilovgradsc.me</v>
      </c>
      <c r="Y728" s="28" t="str">
        <f aca="false">'Player Data'!W728</f>
        <v>Club sporting director / first-team office</v>
      </c>
      <c r="Z728" s="28" t="str">
        <f aca="false">'Player Data'!X728</f>
        <v>FSCG (Football Association of Montenegro) player registry</v>
      </c>
      <c r="AA728" s="19" t="str">
        <f aca="false">HYPERLINK("https://www.transfermarkt.com/schnellsuche/ergebnis/schnellsuche?query="&amp;SUBSTITUTE(A728," ","+"),"Search Transfermarkt")</f>
        <v>Search Transfermarkt</v>
      </c>
      <c r="AB728" s="29" t="n">
        <f aca="false">IFERROR('Player Data'!K728/('Player Data'!K728+'Player Data'!L728),0)</f>
        <v>0.888888888888889</v>
      </c>
      <c r="AC728" s="21" t="str">
        <f aca="false">IF(B728="GK",IF(AND(O728&gt;=Assumptions!$B$23,N728&gt;=Assumptions!$B$23),"Sweeper-Keeper / Build-from-the-Back",IF(O728&gt;=Assumptions!$B$23,"Sweeper-Keeper / High Line",IF(M728&gt;=Assumptions!$B$23,"Shot-Stopper / Traditional","Flexible / Multi-System"))),IF(AND(O728&gt;=Assumptions!$B$23,P728&gt;=Assumptions!$B$24),"High Press / Gegenpressing",IF(AND(N728&gt;=Assumptions!$B$23,AB728&gt;=Assumptions!$B$25),"Possession / Build-from-the-Back",IF(N728&gt;=Assumptions!$B$23,"Counter-Attack / Transition",IF(AND(O728&gt;=Assumptions!$B$23,N728&lt;Assumptions!$B$26),"Low Block / Park the Bus",IF(AND(B728="FW",M728&gt;=Assumptions!$B$23,N728&lt;Assumptions!$B$26),"Direct / Target Approach","Flexible / Multi-System"))))))</f>
        <v>Flexible / Multi-System</v>
      </c>
      <c r="AD728" s="21" t="str">
        <f aca="false">'Player Data'!Y728</f>
        <v>2026-07-17</v>
      </c>
      <c r="AE728" s="21" t="str">
        <f aca="false">'Player Data'!Z728</f>
        <v>2026-07-17</v>
      </c>
      <c r="AF728" s="28" t="str">
        <f aca="false">IFERROR(INDEX(Assumptions!$B$30:$B$61,MATCH(C728,Assumptions!$A$30:$A$61,0)),"--")</f>
        <v>Austria, Turkey</v>
      </c>
      <c r="AG728" s="30" t="str">
        <f aca="false">IF(R728&gt;=0.7,"Step-Up Candidate",IF(R728&gt;=0.4,"Lateral Move","Stay &amp; Develop"))</f>
        <v>Stay &amp; Develop</v>
      </c>
    </row>
    <row r="729" customFormat="false" ht="23.85" hidden="false" customHeight="false" outlineLevel="0" collapsed="false">
      <c r="A729" s="21" t="str">
        <f aca="false">'Player Data'!A729</f>
        <v>Liam Mitchell</v>
      </c>
      <c r="B729" s="21" t="str">
        <f aca="false">'Player Data'!F729</f>
        <v>FW</v>
      </c>
      <c r="C729" s="21" t="str">
        <f aca="false">'Player Data'!B729</f>
        <v>New Zealand</v>
      </c>
      <c r="D729" s="21" t="str">
        <f aca="false">'Player Data'!C729</f>
        <v>New Zealand Third Tier - North</v>
      </c>
      <c r="E729" s="21" t="n">
        <f aca="false">'Player Data'!D729</f>
        <v>4</v>
      </c>
      <c r="F729" s="21" t="n">
        <f aca="false">'Player Data'!G729</f>
        <v>24</v>
      </c>
      <c r="G729" s="21" t="n">
        <f aca="false">'Player Data'!H729</f>
        <v>1723</v>
      </c>
      <c r="H729" s="22" t="n">
        <f aca="false">IF(B729="GK",IFERROR(('Player Data'!N729-1.5*'Player Data'!O729)/'Player Data'!H729*90,0),IFERROR(('Player Data'!I729+'Player Data'!J729)/'Player Data'!H729*90,0))</f>
        <v>0.835751596053395</v>
      </c>
      <c r="I729" s="22" t="n">
        <f aca="false">IF(B729="GK",'Player Data'!P729,IFERROR(('Player Data'!K729+'Player Data'!L729)/'Player Data'!H729*90,0))</f>
        <v>7.05165409170052</v>
      </c>
      <c r="J729" s="22" t="n">
        <f aca="false">IF(B729="GK",IFERROR('Player Data'!Q729/'Player Data'!H729*90,0),IFERROR('Player Data'!M729/'Player Data'!H729*90,0))</f>
        <v>0.835751596053395</v>
      </c>
      <c r="K729" s="23" t="n">
        <f aca="false">'Player Data'!S729</f>
        <v>121228</v>
      </c>
      <c r="L729" s="22" t="n">
        <f aca="false">INDEX(Assumptions!$B$13:$B$15,MATCH(E729,Assumptions!$A$13:$A$15,0))</f>
        <v>0.7</v>
      </c>
      <c r="M729" s="24" t="n">
        <f aca="false">IFERROR(SUMPRODUCT(($B$2:$B$1001=B729)*($H$2:$H$1001&lt;=H729))/SUMPRODUCT(($B$2:$B$1001=B729)*1),0)</f>
        <v>0.345132743362832</v>
      </c>
      <c r="N729" s="24" t="n">
        <f aca="false">IFERROR(SUMPRODUCT(($B$2:$B$1001=B729)*($I$2:$I$1001&lt;=I729))/SUMPRODUCT(($B$2:$B$1001=B729)*1),0)</f>
        <v>0.588495575221239</v>
      </c>
      <c r="O729" s="24" t="n">
        <f aca="false">IFERROR(SUMPRODUCT(($B$2:$B$1001=B729)*($J$2:$J$1001&lt;=J729))/SUMPRODUCT(($B$2:$B$1001=B729)*1),0)</f>
        <v>0.814159292035398</v>
      </c>
      <c r="P729" s="24" t="n">
        <f aca="false">IFERROR(SUMPRODUCT(($B$2:$B$1001=B729)*((0-$F$2:$F$1001)&lt;=(0-F729)))/SUMPRODUCT(($B$2:$B$1001=B729)*1),0)</f>
        <v>0.305309734513274</v>
      </c>
      <c r="Q729" s="25" t="n">
        <f aca="false">(M729*Assumptions!$B$5+N729*Assumptions!$B$6+O729*Assumptions!$B$7+P729*Assumptions!$B$8)*L729</f>
        <v>0.361305309734513</v>
      </c>
      <c r="R729" s="24" t="n">
        <f aca="false">IFERROR(SUMPRODUCT(($B$2:$B$1001=B729)*($Q$2:$Q$1001&lt;=Q729))/SUMPRODUCT(($B$2:$B$1001=B729)*1),0)</f>
        <v>0.36283185840708</v>
      </c>
      <c r="S729" s="24" t="n">
        <f aca="false">IFERROR(SUMPRODUCT(($B$2:$B$1001=B729)*($K$2:$K$1001&lt;=K729))/SUMPRODUCT(($B$2:$B$1001=B729)*1),0)</f>
        <v>0.836283185840708</v>
      </c>
      <c r="T729" s="26" t="n">
        <f aca="false">(R729-S729)*100</f>
        <v>-47.3451327433628</v>
      </c>
      <c r="U729" s="21" t="str">
        <f aca="false">'Player Data'!T729</f>
        <v>No</v>
      </c>
      <c r="V729" s="27" t="n">
        <f aca="false">'Player Data'!U729</f>
        <v>2027</v>
      </c>
      <c r="W729" s="21" t="str">
        <f aca="false">IF(AND(T729&gt;=Assumptions!$B$19,U729="No"),"High Priority - Unrepresented",IF(T729&gt;=Assumptions!$B$19,"High Priority",IF(AND(T729&gt;=Assumptions!$B$20,U729="No"),"Watchlist - Unrepresented",IF(T729&gt;=Assumptions!$B$20,"Watchlist",""))))</f>
        <v/>
      </c>
      <c r="X729" s="21" t="str">
        <f aca="false">'Player Data'!V729</f>
        <v>info@aucklandrangers.nz</v>
      </c>
      <c r="Y729" s="28" t="str">
        <f aca="false">'Player Data'!W729</f>
        <v>Club sporting director / first-team office</v>
      </c>
      <c r="Z729" s="28" t="str">
        <f aca="false">'Player Data'!X729</f>
        <v>NZF (New Zealand Football) player registry</v>
      </c>
      <c r="AA729" s="19" t="str">
        <f aca="false">HYPERLINK("https://www.transfermarkt.com/schnellsuche/ergebnis/schnellsuche?query="&amp;SUBSTITUTE(A729," ","+"),"Search Transfermarkt")</f>
        <v>Search Transfermarkt</v>
      </c>
      <c r="AB729" s="29" t="n">
        <f aca="false">IFERROR('Player Data'!K729/('Player Data'!K729+'Player Data'!L729),0)</f>
        <v>0.496296296296296</v>
      </c>
      <c r="AC729" s="21" t="str">
        <f aca="false">IF(B729="GK",IF(AND(O729&gt;=Assumptions!$B$23,N729&gt;=Assumptions!$B$23),"Sweeper-Keeper / Build-from-the-Back",IF(O729&gt;=Assumptions!$B$23,"Sweeper-Keeper / High Line",IF(M729&gt;=Assumptions!$B$23,"Shot-Stopper / Traditional","Flexible / Multi-System"))),IF(AND(O729&gt;=Assumptions!$B$23,P729&gt;=Assumptions!$B$24),"High Press / Gegenpressing",IF(AND(N729&gt;=Assumptions!$B$23,AB729&gt;=Assumptions!$B$25),"Possession / Build-from-the-Back",IF(N729&gt;=Assumptions!$B$23,"Counter-Attack / Transition",IF(AND(O729&gt;=Assumptions!$B$23,N729&lt;Assumptions!$B$26),"Low Block / Park the Bus",IF(AND(B729="FW",M729&gt;=Assumptions!$B$23,N729&lt;Assumptions!$B$26),"Direct / Target Approach","Flexible / Multi-System"))))))</f>
        <v>Flexible / Multi-System</v>
      </c>
      <c r="AD729" s="21" t="str">
        <f aca="false">'Player Data'!Y729</f>
        <v>2026-07-17</v>
      </c>
      <c r="AE729" s="21" t="str">
        <f aca="false">'Player Data'!Z729</f>
        <v>2026-07-17</v>
      </c>
      <c r="AF729" s="28" t="str">
        <f aca="false">IFERROR(INDEX(Assumptions!$B$30:$B$61,MATCH(C729,Assumptions!$A$30:$A$61,0)),"--")</f>
        <v>Australia, United States</v>
      </c>
      <c r="AG729" s="30" t="str">
        <f aca="false">IF(R729&gt;=0.7,"Step-Up Candidate",IF(R729&gt;=0.4,"Lateral Move","Stay &amp; Develop"))</f>
        <v>Stay &amp; Develop</v>
      </c>
    </row>
    <row r="730" customFormat="false" ht="23.85" hidden="false" customHeight="false" outlineLevel="0" collapsed="false">
      <c r="A730" s="21" t="str">
        <f aca="false">'Player Data'!A730</f>
        <v>Yeferson Rojas</v>
      </c>
      <c r="B730" s="21" t="str">
        <f aca="false">'Player Data'!F730</f>
        <v>MF</v>
      </c>
      <c r="C730" s="21" t="str">
        <f aca="false">'Player Data'!B730</f>
        <v>Venezuela</v>
      </c>
      <c r="D730" s="21" t="str">
        <f aca="false">'Player Data'!C730</f>
        <v>Venezuela Reserve League</v>
      </c>
      <c r="E730" s="21" t="n">
        <f aca="false">'Player Data'!D730</f>
        <v>3</v>
      </c>
      <c r="F730" s="21" t="n">
        <f aca="false">'Player Data'!G730</f>
        <v>18</v>
      </c>
      <c r="G730" s="21" t="n">
        <f aca="false">'Player Data'!H730</f>
        <v>2226</v>
      </c>
      <c r="H730" s="22" t="n">
        <f aca="false">IF(B730="GK",IFERROR(('Player Data'!N730-1.5*'Player Data'!O730)/'Player Data'!H730*90,0),IFERROR(('Player Data'!I730+'Player Data'!J730)/'Player Data'!H730*90,0))</f>
        <v>0.646900269541779</v>
      </c>
      <c r="I730" s="22" t="n">
        <f aca="false">IF(B730="GK",'Player Data'!P730,IFERROR(('Player Data'!K730+'Player Data'!L730)/'Player Data'!H730*90,0))</f>
        <v>9.25876010781671</v>
      </c>
      <c r="J730" s="22" t="n">
        <f aca="false">IF(B730="GK",IFERROR('Player Data'!Q730/'Player Data'!H730*90,0),IFERROR('Player Data'!M730/'Player Data'!H730*90,0))</f>
        <v>1.77897574123989</v>
      </c>
      <c r="K730" s="23" t="n">
        <f aca="false">'Player Data'!S730</f>
        <v>39073</v>
      </c>
      <c r="L730" s="22" t="n">
        <f aca="false">INDEX(Assumptions!$B$13:$B$15,MATCH(E730,Assumptions!$A$13:$A$15,0))</f>
        <v>0.85</v>
      </c>
      <c r="M730" s="24" t="n">
        <f aca="false">IFERROR(SUMPRODUCT(($B$2:$B$1001=B730)*($H$2:$H$1001&lt;=H730))/SUMPRODUCT(($B$2:$B$1001=B730)*1),0)</f>
        <v>0.38047138047138</v>
      </c>
      <c r="N730" s="24" t="n">
        <f aca="false">IFERROR(SUMPRODUCT(($B$2:$B$1001=B730)*($I$2:$I$1001&lt;=I730))/SUMPRODUCT(($B$2:$B$1001=B730)*1),0)</f>
        <v>0.326599326599327</v>
      </c>
      <c r="O730" s="24" t="n">
        <f aca="false">IFERROR(SUMPRODUCT(($B$2:$B$1001=B730)*($J$2:$J$1001&lt;=J730))/SUMPRODUCT(($B$2:$B$1001=B730)*1),0)</f>
        <v>0.303030303030303</v>
      </c>
      <c r="P730" s="24" t="n">
        <f aca="false">IFERROR(SUMPRODUCT(($B$2:$B$1001=B730)*((0-$F$2:$F$1001)&lt;=(0-F730)))/SUMPRODUCT(($B$2:$B$1001=B730)*1),0)</f>
        <v>0.929292929292929</v>
      </c>
      <c r="Q730" s="25" t="n">
        <f aca="false">(M730*Assumptions!$B$5+N730*Assumptions!$B$6+O730*Assumptions!$B$7+P730*Assumptions!$B$8)*L730</f>
        <v>0.387508417508418</v>
      </c>
      <c r="R730" s="24" t="n">
        <f aca="false">IFERROR(SUMPRODUCT(($B$2:$B$1001=B730)*($Q$2:$Q$1001&lt;=Q730))/SUMPRODUCT(($B$2:$B$1001=B730)*1),0)</f>
        <v>0.404040404040404</v>
      </c>
      <c r="S730" s="24" t="n">
        <f aca="false">IFERROR(SUMPRODUCT(($B$2:$B$1001=B730)*($K$2:$K$1001&lt;=K730))/SUMPRODUCT(($B$2:$B$1001=B730)*1),0)</f>
        <v>0.373737373737374</v>
      </c>
      <c r="T730" s="26" t="n">
        <f aca="false">(R730-S730)*100</f>
        <v>3.03030303030303</v>
      </c>
      <c r="U730" s="21" t="str">
        <f aca="false">'Player Data'!T730</f>
        <v>Yes</v>
      </c>
      <c r="V730" s="27" t="n">
        <f aca="false">'Player Data'!U730</f>
        <v>2028</v>
      </c>
      <c r="W730" s="21" t="str">
        <f aca="false">IF(AND(T730&gt;=Assumptions!$B$19,U730="No"),"High Priority - Unrepresented",IF(T730&gt;=Assumptions!$B$19,"High Priority",IF(AND(T730&gt;=Assumptions!$B$20,U730="No"),"Watchlist - Unrepresented",IF(T730&gt;=Assumptions!$B$20,"Watchlist",""))))</f>
        <v/>
      </c>
      <c r="X730" s="21" t="str">
        <f aca="false">'Player Data'!V730</f>
        <v>info@caracaswanderers.ve</v>
      </c>
      <c r="Y730" s="28" t="str">
        <f aca="false">'Player Data'!W730</f>
        <v>Go through the player's agent - ask the club to confirm representation first</v>
      </c>
      <c r="Z730" s="28" t="str">
        <f aca="false">'Player Data'!X730</f>
        <v>FVF (Venezuelan Football Federation) player registry</v>
      </c>
      <c r="AA730" s="19" t="str">
        <f aca="false">HYPERLINK("https://www.transfermarkt.com/schnellsuche/ergebnis/schnellsuche?query="&amp;SUBSTITUTE(A730," ","+"),"Search Transfermarkt")</f>
        <v>Search Transfermarkt</v>
      </c>
      <c r="AB730" s="29" t="n">
        <f aca="false">IFERROR('Player Data'!K730/('Player Data'!K730+'Player Data'!L730),0)</f>
        <v>0.62882096069869</v>
      </c>
      <c r="AC730" s="21" t="str">
        <f aca="false">IF(B730="GK",IF(AND(O730&gt;=Assumptions!$B$23,N730&gt;=Assumptions!$B$23),"Sweeper-Keeper / Build-from-the-Back",IF(O730&gt;=Assumptions!$B$23,"Sweeper-Keeper / High Line",IF(M730&gt;=Assumptions!$B$23,"Shot-Stopper / Traditional","Flexible / Multi-System"))),IF(AND(O730&gt;=Assumptions!$B$23,P730&gt;=Assumptions!$B$24),"High Press / Gegenpressing",IF(AND(N730&gt;=Assumptions!$B$23,AB730&gt;=Assumptions!$B$25),"Possession / Build-from-the-Back",IF(N730&gt;=Assumptions!$B$23,"Counter-Attack / Transition",IF(AND(O730&gt;=Assumptions!$B$23,N730&lt;Assumptions!$B$26),"Low Block / Park the Bus",IF(AND(B730="FW",M730&gt;=Assumptions!$B$23,N730&lt;Assumptions!$B$26),"Direct / Target Approach","Flexible / Multi-System"))))))</f>
        <v>Flexible / Multi-System</v>
      </c>
      <c r="AD730" s="21" t="str">
        <f aca="false">'Player Data'!Y730</f>
        <v>2026-07-17</v>
      </c>
      <c r="AE730" s="21" t="str">
        <f aca="false">'Player Data'!Z730</f>
        <v>2026-07-17</v>
      </c>
      <c r="AF730" s="28" t="str">
        <f aca="false">IFERROR(INDEX(Assumptions!$B$30:$B$61,MATCH(C730,Assumptions!$A$30:$A$61,0)),"--")</f>
        <v>Argentina, Portugal</v>
      </c>
      <c r="AG730" s="30" t="str">
        <f aca="false">IF(R730&gt;=0.7,"Step-Up Candidate",IF(R730&gt;=0.4,"Lateral Move","Stay &amp; Develop"))</f>
        <v>Lateral Move</v>
      </c>
    </row>
    <row r="731" customFormat="false" ht="23.85" hidden="false" customHeight="false" outlineLevel="0" collapsed="false">
      <c r="A731" s="21" t="str">
        <f aca="false">'Player Data'!A731</f>
        <v>Yoon-seo Kim</v>
      </c>
      <c r="B731" s="21" t="str">
        <f aca="false">'Player Data'!F731</f>
        <v>GK</v>
      </c>
      <c r="C731" s="21" t="str">
        <f aca="false">'Player Data'!B731</f>
        <v>South Korea</v>
      </c>
      <c r="D731" s="21" t="str">
        <f aca="false">'Player Data'!C731</f>
        <v>South Korea Reserve League</v>
      </c>
      <c r="E731" s="21" t="n">
        <f aca="false">'Player Data'!D731</f>
        <v>2</v>
      </c>
      <c r="F731" s="21" t="n">
        <f aca="false">'Player Data'!G731</f>
        <v>19</v>
      </c>
      <c r="G731" s="21" t="n">
        <f aca="false">'Player Data'!H731</f>
        <v>1462</v>
      </c>
      <c r="H731" s="22" t="n">
        <f aca="false">IF(B731="GK",IFERROR(('Player Data'!N731-1.5*'Player Data'!O731)/'Player Data'!H731*90,0),IFERROR(('Player Data'!I731+'Player Data'!J731)/'Player Data'!H731*90,0))</f>
        <v>2.49316005471956</v>
      </c>
      <c r="I731" s="22" t="n">
        <f aca="false">IF(B731="GK",'Player Data'!P731,IFERROR(('Player Data'!K731+'Player Data'!L731)/'Player Data'!H731*90,0))</f>
        <v>73.9</v>
      </c>
      <c r="J731" s="22" t="n">
        <f aca="false">IF(B731="GK",IFERROR('Player Data'!Q731/'Player Data'!H731*90,0),IFERROR('Player Data'!M731/'Player Data'!H731*90,0))</f>
        <v>1.07113543091655</v>
      </c>
      <c r="K731" s="23" t="n">
        <f aca="false">'Player Data'!S731</f>
        <v>96491</v>
      </c>
      <c r="L731" s="22" t="n">
        <f aca="false">INDEX(Assumptions!$B$13:$B$15,MATCH(E731,Assumptions!$A$13:$A$15,0))</f>
        <v>1</v>
      </c>
      <c r="M731" s="24" t="n">
        <f aca="false">IFERROR(SUMPRODUCT(($B$2:$B$1001=B731)*($H$2:$H$1001&lt;=H731))/SUMPRODUCT(($B$2:$B$1001=B731)*1),0)</f>
        <v>0.972677595628415</v>
      </c>
      <c r="N731" s="24" t="n">
        <f aca="false">IFERROR(SUMPRODUCT(($B$2:$B$1001=B731)*($I$2:$I$1001&lt;=I731))/SUMPRODUCT(($B$2:$B$1001=B731)*1),0)</f>
        <v>0.53551912568306</v>
      </c>
      <c r="O731" s="24" t="n">
        <f aca="false">IFERROR(SUMPRODUCT(($B$2:$B$1001=B731)*($J$2:$J$1001&lt;=J731))/SUMPRODUCT(($B$2:$B$1001=B731)*1),0)</f>
        <v>0.639344262295082</v>
      </c>
      <c r="P731" s="24" t="n">
        <f aca="false">IFERROR(SUMPRODUCT(($B$2:$B$1001=B731)*((0-$F$2:$F$1001)&lt;=(0-F731)))/SUMPRODUCT(($B$2:$B$1001=B731)*1),0)</f>
        <v>0.770491803278689</v>
      </c>
      <c r="Q731" s="25" t="n">
        <f aca="false">(M731*Assumptions!$B$5+N731*Assumptions!$B$6+O731*Assumptions!$B$7+P731*Assumptions!$B$8)*L731</f>
        <v>0.712568306010929</v>
      </c>
      <c r="R731" s="24" t="n">
        <f aca="false">IFERROR(SUMPRODUCT(($B$2:$B$1001=B731)*($Q$2:$Q$1001&lt;=Q731))/SUMPRODUCT(($B$2:$B$1001=B731)*1),0)</f>
        <v>0.989071038251366</v>
      </c>
      <c r="S731" s="24" t="n">
        <f aca="false">IFERROR(SUMPRODUCT(($B$2:$B$1001=B731)*($K$2:$K$1001&lt;=K731))/SUMPRODUCT(($B$2:$B$1001=B731)*1),0)</f>
        <v>0.693989071038251</v>
      </c>
      <c r="T731" s="26" t="n">
        <f aca="false">(R731-S731)*100</f>
        <v>29.5081967213115</v>
      </c>
      <c r="U731" s="21" t="str">
        <f aca="false">'Player Data'!T731</f>
        <v>Unknown</v>
      </c>
      <c r="V731" s="27" t="n">
        <f aca="false">'Player Data'!U731</f>
        <v>2027</v>
      </c>
      <c r="W731" s="21" t="str">
        <f aca="false">IF(AND(T731&gt;=Assumptions!$B$19,U731="No"),"High Priority - Unrepresented",IF(T731&gt;=Assumptions!$B$19,"High Priority",IF(AND(T731&gt;=Assumptions!$B$20,U731="No"),"Watchlist - Unrepresented",IF(T731&gt;=Assumptions!$B$20,"Watchlist",""))))</f>
        <v>Watchlist</v>
      </c>
      <c r="X731" s="21" t="str">
        <f aca="false">'Player Data'!V731</f>
        <v>info@incheoncity.kr</v>
      </c>
      <c r="Y731" s="28" t="str">
        <f aca="false">'Player Data'!W731</f>
        <v>Club sporting director / first-team office</v>
      </c>
      <c r="Z731" s="28" t="str">
        <f aca="false">'Player Data'!X731</f>
        <v>KFA (Korea Football Association) player registry</v>
      </c>
      <c r="AA731" s="19" t="str">
        <f aca="false">HYPERLINK("https://www.transfermarkt.com/schnellsuche/ergebnis/schnellsuche?query="&amp;SUBSTITUTE(A731," ","+"),"Search Transfermarkt")</f>
        <v>Search Transfermarkt</v>
      </c>
      <c r="AB731" s="29" t="n">
        <f aca="false">IFERROR('Player Data'!K731/('Player Data'!K731+'Player Data'!L731),0)</f>
        <v>0.733333333333333</v>
      </c>
      <c r="AC731" s="21" t="str">
        <f aca="false">IF(B731="GK",IF(AND(O731&gt;=Assumptions!$B$23,N731&gt;=Assumptions!$B$23),"Sweeper-Keeper / Build-from-the-Back",IF(O731&gt;=Assumptions!$B$23,"Sweeper-Keeper / High Line",IF(M731&gt;=Assumptions!$B$23,"Shot-Stopper / Traditional","Flexible / Multi-System"))),IF(AND(O731&gt;=Assumptions!$B$23,P731&gt;=Assumptions!$B$24),"High Press / Gegenpressing",IF(AND(N731&gt;=Assumptions!$B$23,AB731&gt;=Assumptions!$B$25),"Possession / Build-from-the-Back",IF(N731&gt;=Assumptions!$B$23,"Counter-Attack / Transition",IF(AND(O731&gt;=Assumptions!$B$23,N731&lt;Assumptions!$B$26),"Low Block / Park the Bus",IF(AND(B731="FW",M731&gt;=Assumptions!$B$23,N731&lt;Assumptions!$B$26),"Direct / Target Approach","Flexible / Multi-System"))))))</f>
        <v>Shot-Stopper / Traditional</v>
      </c>
      <c r="AD731" s="21" t="str">
        <f aca="false">'Player Data'!Y731</f>
        <v>2026-07-17</v>
      </c>
      <c r="AE731" s="21" t="str">
        <f aca="false">'Player Data'!Z731</f>
        <v>2026-07-17</v>
      </c>
      <c r="AF731" s="28" t="str">
        <f aca="false">IFERROR(INDEX(Assumptions!$B$30:$B$61,MATCH(C731,Assumptions!$A$30:$A$61,0)),"--")</f>
        <v>Belgium, Saudi Arabia</v>
      </c>
      <c r="AG731" s="30" t="str">
        <f aca="false">IF(R731&gt;=0.7,"Step-Up Candidate",IF(R731&gt;=0.4,"Lateral Move","Stay &amp; Develop"))</f>
        <v>Step-Up Candidate</v>
      </c>
    </row>
    <row r="732" customFormat="false" ht="23.85" hidden="false" customHeight="false" outlineLevel="0" collapsed="false">
      <c r="A732" s="21" t="str">
        <f aca="false">'Player Data'!A732</f>
        <v>Liam Taylor</v>
      </c>
      <c r="B732" s="21" t="str">
        <f aca="false">'Player Data'!F732</f>
        <v>GK</v>
      </c>
      <c r="C732" s="21" t="str">
        <f aca="false">'Player Data'!B732</f>
        <v>New Zealand</v>
      </c>
      <c r="D732" s="21" t="str">
        <f aca="false">'Player Data'!C732</f>
        <v>New Zealand Regional League</v>
      </c>
      <c r="E732" s="21" t="n">
        <f aca="false">'Player Data'!D732</f>
        <v>2</v>
      </c>
      <c r="F732" s="21" t="n">
        <f aca="false">'Player Data'!G732</f>
        <v>22</v>
      </c>
      <c r="G732" s="21" t="n">
        <f aca="false">'Player Data'!H732</f>
        <v>2618</v>
      </c>
      <c r="H732" s="22" t="n">
        <f aca="false">IF(B732="GK",IFERROR(('Player Data'!N732-1.5*'Player Data'!O732)/'Player Data'!H732*90,0),IFERROR(('Player Data'!I732+'Player Data'!J732)/'Player Data'!H732*90,0))</f>
        <v>1.59854851031322</v>
      </c>
      <c r="I732" s="22" t="n">
        <f aca="false">IF(B732="GK",'Player Data'!P732,IFERROR(('Player Data'!K732+'Player Data'!L732)/'Player Data'!H732*90,0))</f>
        <v>83.1</v>
      </c>
      <c r="J732" s="22" t="n">
        <f aca="false">IF(B732="GK",IFERROR('Player Data'!Q732/'Player Data'!H732*90,0),IFERROR('Player Data'!M732/'Player Data'!H732*90,0))</f>
        <v>1.05194805194805</v>
      </c>
      <c r="K732" s="23" t="n">
        <f aca="false">'Player Data'!S732</f>
        <v>0</v>
      </c>
      <c r="L732" s="22" t="n">
        <f aca="false">INDEX(Assumptions!$B$13:$B$15,MATCH(E732,Assumptions!$A$13:$A$15,0))</f>
        <v>1</v>
      </c>
      <c r="M732" s="24" t="n">
        <f aca="false">IFERROR(SUMPRODUCT(($B$2:$B$1001=B732)*($H$2:$H$1001&lt;=H732))/SUMPRODUCT(($B$2:$B$1001=B732)*1),0)</f>
        <v>0.743169398907104</v>
      </c>
      <c r="N732" s="24" t="n">
        <f aca="false">IFERROR(SUMPRODUCT(($B$2:$B$1001=B732)*($I$2:$I$1001&lt;=I732))/SUMPRODUCT(($B$2:$B$1001=B732)*1),0)</f>
        <v>0.775956284153005</v>
      </c>
      <c r="O732" s="24" t="n">
        <f aca="false">IFERROR(SUMPRODUCT(($B$2:$B$1001=B732)*($J$2:$J$1001&lt;=J732))/SUMPRODUCT(($B$2:$B$1001=B732)*1),0)</f>
        <v>0.633879781420765</v>
      </c>
      <c r="P732" s="24" t="n">
        <f aca="false">IFERROR(SUMPRODUCT(($B$2:$B$1001=B732)*((0-$F$2:$F$1001)&lt;=(0-F732)))/SUMPRODUCT(($B$2:$B$1001=B732)*1),0)</f>
        <v>0.530054644808743</v>
      </c>
      <c r="Q732" s="25" t="n">
        <f aca="false">(M732*Assumptions!$B$5+N732*Assumptions!$B$6+O732*Assumptions!$B$7+P732*Assumptions!$B$8)*L732</f>
        <v>0.69016393442623</v>
      </c>
      <c r="R732" s="24" t="n">
        <f aca="false">IFERROR(SUMPRODUCT(($B$2:$B$1001=B732)*($Q$2:$Q$1001&lt;=Q732))/SUMPRODUCT(($B$2:$B$1001=B732)*1),0)</f>
        <v>0.978142076502732</v>
      </c>
      <c r="S732" s="24" t="n">
        <f aca="false">IFERROR(SUMPRODUCT(($B$2:$B$1001=B732)*($K$2:$K$1001&lt;=K732))/SUMPRODUCT(($B$2:$B$1001=B732)*1),0)</f>
        <v>0.218579234972678</v>
      </c>
      <c r="T732" s="26" t="n">
        <f aca="false">(R732-S732)*100</f>
        <v>75.9562841530055</v>
      </c>
      <c r="U732" s="21" t="str">
        <f aca="false">'Player Data'!T732</f>
        <v>No</v>
      </c>
      <c r="V732" s="27" t="n">
        <f aca="false">'Player Data'!U732</f>
        <v>2029</v>
      </c>
      <c r="W732" s="21" t="str">
        <f aca="false">IF(AND(T732&gt;=Assumptions!$B$19,U732="No"),"High Priority - Unrepresented",IF(T732&gt;=Assumptions!$B$19,"High Priority",IF(AND(T732&gt;=Assumptions!$B$20,U732="No"),"Watchlist - Unrepresented",IF(T732&gt;=Assumptions!$B$20,"Watchlist",""))))</f>
        <v>High Priority - Unrepresented</v>
      </c>
      <c r="X732" s="21" t="str">
        <f aca="false">'Player Data'!V732</f>
        <v>info@hamiltonsc.nz</v>
      </c>
      <c r="Y732" s="28" t="str">
        <f aca="false">'Player Data'!W732</f>
        <v>Club sporting director / first-team office</v>
      </c>
      <c r="Z732" s="28" t="str">
        <f aca="false">'Player Data'!X732</f>
        <v>NZF (New Zealand Football) player registry</v>
      </c>
      <c r="AA732" s="19" t="str">
        <f aca="false">HYPERLINK("https://www.transfermarkt.com/schnellsuche/ergebnis/schnellsuche?query="&amp;SUBSTITUTE(A732," ","+"),"Search Transfermarkt")</f>
        <v>Search Transfermarkt</v>
      </c>
      <c r="AB732" s="29" t="n">
        <f aca="false">IFERROR('Player Data'!K732/('Player Data'!K732+'Player Data'!L732),0)</f>
        <v>0.818181818181818</v>
      </c>
      <c r="AC732" s="21" t="str">
        <f aca="false">IF(B732="GK",IF(AND(O732&gt;=Assumptions!$B$23,N732&gt;=Assumptions!$B$23),"Sweeper-Keeper / Build-from-the-Back",IF(O732&gt;=Assumptions!$B$23,"Sweeper-Keeper / High Line",IF(M732&gt;=Assumptions!$B$23,"Shot-Stopper / Traditional","Flexible / Multi-System"))),IF(AND(O732&gt;=Assumptions!$B$23,P732&gt;=Assumptions!$B$24),"High Press / Gegenpressing",IF(AND(N732&gt;=Assumptions!$B$23,AB732&gt;=Assumptions!$B$25),"Possession / Build-from-the-Back",IF(N732&gt;=Assumptions!$B$23,"Counter-Attack / Transition",IF(AND(O732&gt;=Assumptions!$B$23,N732&lt;Assumptions!$B$26),"Low Block / Park the Bus",IF(AND(B732="FW",M732&gt;=Assumptions!$B$23,N732&lt;Assumptions!$B$26),"Direct / Target Approach","Flexible / Multi-System"))))))</f>
        <v>Shot-Stopper / Traditional</v>
      </c>
      <c r="AD732" s="21" t="str">
        <f aca="false">'Player Data'!Y732</f>
        <v>2026-07-17</v>
      </c>
      <c r="AE732" s="21" t="str">
        <f aca="false">'Player Data'!Z732</f>
        <v>2026-07-17</v>
      </c>
      <c r="AF732" s="28" t="str">
        <f aca="false">IFERROR(INDEX(Assumptions!$B$30:$B$61,MATCH(C732,Assumptions!$A$30:$A$61,0)),"--")</f>
        <v>Australia, United States</v>
      </c>
      <c r="AG732" s="30" t="str">
        <f aca="false">IF(R732&gt;=0.7,"Step-Up Candidate",IF(R732&gt;=0.4,"Lateral Move","Stay &amp; Develop"))</f>
        <v>Step-Up Candidate</v>
      </c>
    </row>
    <row r="733" customFormat="false" ht="23.85" hidden="false" customHeight="false" outlineLevel="0" collapsed="false">
      <c r="A733" s="21" t="str">
        <f aca="false">'Player Data'!A733</f>
        <v>Vladimir Ilic</v>
      </c>
      <c r="B733" s="21" t="str">
        <f aca="false">'Player Data'!F733</f>
        <v>GK</v>
      </c>
      <c r="C733" s="21" t="str">
        <f aca="false">'Player Data'!B733</f>
        <v>Serbia</v>
      </c>
      <c r="D733" s="21" t="str">
        <f aca="false">'Player Data'!C733</f>
        <v>Serbia Regional League</v>
      </c>
      <c r="E733" s="21" t="n">
        <f aca="false">'Player Data'!D733</f>
        <v>3</v>
      </c>
      <c r="F733" s="21" t="n">
        <f aca="false">'Player Data'!G733</f>
        <v>21</v>
      </c>
      <c r="G733" s="21" t="n">
        <f aca="false">'Player Data'!H733</f>
        <v>1353</v>
      </c>
      <c r="H733" s="22" t="n">
        <f aca="false">IF(B733="GK",IFERROR(('Player Data'!N733-1.5*'Player Data'!O733)/'Player Data'!H733*90,0),IFERROR(('Player Data'!I733+'Player Data'!J733)/'Player Data'!H733*90,0))</f>
        <v>0.399113082039911</v>
      </c>
      <c r="I733" s="22" t="n">
        <f aca="false">IF(B733="GK",'Player Data'!P733,IFERROR(('Player Data'!K733+'Player Data'!L733)/'Player Data'!H733*90,0))</f>
        <v>59.6</v>
      </c>
      <c r="J733" s="22" t="n">
        <f aca="false">IF(B733="GK",IFERROR('Player Data'!Q733/'Player Data'!H733*90,0),IFERROR('Player Data'!M733/'Player Data'!H733*90,0))</f>
        <v>0.844789356984479</v>
      </c>
      <c r="K733" s="23" t="n">
        <f aca="false">'Player Data'!S733</f>
        <v>67056</v>
      </c>
      <c r="L733" s="22" t="n">
        <f aca="false">INDEX(Assumptions!$B$13:$B$15,MATCH(E733,Assumptions!$A$13:$A$15,0))</f>
        <v>0.85</v>
      </c>
      <c r="M733" s="24" t="n">
        <f aca="false">IFERROR(SUMPRODUCT(($B$2:$B$1001=B733)*($H$2:$H$1001&lt;=H733))/SUMPRODUCT(($B$2:$B$1001=B733)*1),0)</f>
        <v>0.240437158469945</v>
      </c>
      <c r="N733" s="24" t="n">
        <f aca="false">IFERROR(SUMPRODUCT(($B$2:$B$1001=B733)*($I$2:$I$1001&lt;=I733))/SUMPRODUCT(($B$2:$B$1001=B733)*1),0)</f>
        <v>0.14207650273224</v>
      </c>
      <c r="O733" s="24" t="n">
        <f aca="false">IFERROR(SUMPRODUCT(($B$2:$B$1001=B733)*($J$2:$J$1001&lt;=J733))/SUMPRODUCT(($B$2:$B$1001=B733)*1),0)</f>
        <v>0.491803278688525</v>
      </c>
      <c r="P733" s="24" t="n">
        <f aca="false">IFERROR(SUMPRODUCT(($B$2:$B$1001=B733)*((0-$F$2:$F$1001)&lt;=(0-F733)))/SUMPRODUCT(($B$2:$B$1001=B733)*1),0)</f>
        <v>0.60655737704918</v>
      </c>
      <c r="Q733" s="25" t="n">
        <f aca="false">(M733*Assumptions!$B$5+N733*Assumptions!$B$6+O733*Assumptions!$B$7+P733*Assumptions!$B$8)*L733</f>
        <v>0.280081967213115</v>
      </c>
      <c r="R733" s="24" t="n">
        <f aca="false">IFERROR(SUMPRODUCT(($B$2:$B$1001=B733)*($Q$2:$Q$1001&lt;=Q733))/SUMPRODUCT(($B$2:$B$1001=B733)*1),0)</f>
        <v>0.092896174863388</v>
      </c>
      <c r="S733" s="24" t="n">
        <f aca="false">IFERROR(SUMPRODUCT(($B$2:$B$1001=B733)*($K$2:$K$1001&lt;=K733))/SUMPRODUCT(($B$2:$B$1001=B733)*1),0)</f>
        <v>0.497267759562842</v>
      </c>
      <c r="T733" s="26" t="n">
        <f aca="false">(R733-S733)*100</f>
        <v>-40.4371584699454</v>
      </c>
      <c r="U733" s="21" t="str">
        <f aca="false">'Player Data'!T733</f>
        <v>No</v>
      </c>
      <c r="V733" s="27" t="n">
        <f aca="false">'Player Data'!U733</f>
        <v>2027</v>
      </c>
      <c r="W733" s="21" t="str">
        <f aca="false">IF(AND(T733&gt;=Assumptions!$B$19,U733="No"),"High Priority - Unrepresented",IF(T733&gt;=Assumptions!$B$19,"High Priority",IF(AND(T733&gt;=Assumptions!$B$20,U733="No"),"Watchlist - Unrepresented",IF(T733&gt;=Assumptions!$B$20,"Watchlist",""))))</f>
        <v/>
      </c>
      <c r="X733" s="21" t="str">
        <f aca="false">'Player Data'!V733</f>
        <v>info@dobanovciathletic.rs</v>
      </c>
      <c r="Y733" s="28" t="str">
        <f aca="false">'Player Data'!W733</f>
        <v>Club sporting director / first-team office</v>
      </c>
      <c r="Z733" s="28" t="str">
        <f aca="false">'Player Data'!X733</f>
        <v>FSS (Football Association of Serbia) player registry</v>
      </c>
      <c r="AA733" s="19" t="str">
        <f aca="false">HYPERLINK("https://www.transfermarkt.com/schnellsuche/ergebnis/schnellsuche?query="&amp;SUBSTITUTE(A733," ","+"),"Search Transfermarkt")</f>
        <v>Search Transfermarkt</v>
      </c>
      <c r="AB733" s="29" t="n">
        <f aca="false">IFERROR('Player Data'!K733/('Player Data'!K733+'Player Data'!L733),0)</f>
        <v>0.764705882352941</v>
      </c>
      <c r="AC733" s="21" t="str">
        <f aca="false">IF(B733="GK",IF(AND(O733&gt;=Assumptions!$B$23,N733&gt;=Assumptions!$B$23),"Sweeper-Keeper / Build-from-the-Back",IF(O733&gt;=Assumptions!$B$23,"Sweeper-Keeper / High Line",IF(M733&gt;=Assumptions!$B$23,"Shot-Stopper / Traditional","Flexible / Multi-System"))),IF(AND(O733&gt;=Assumptions!$B$23,P733&gt;=Assumptions!$B$24),"High Press / Gegenpressing",IF(AND(N733&gt;=Assumptions!$B$23,AB733&gt;=Assumptions!$B$25),"Possession / Build-from-the-Back",IF(N733&gt;=Assumptions!$B$23,"Counter-Attack / Transition",IF(AND(O733&gt;=Assumptions!$B$23,N733&lt;Assumptions!$B$26),"Low Block / Park the Bus",IF(AND(B733="FW",M733&gt;=Assumptions!$B$23,N733&lt;Assumptions!$B$26),"Direct / Target Approach","Flexible / Multi-System"))))))</f>
        <v>Flexible / Multi-System</v>
      </c>
      <c r="AD733" s="21" t="str">
        <f aca="false">'Player Data'!Y733</f>
        <v>2026-07-17</v>
      </c>
      <c r="AE733" s="21" t="str">
        <f aca="false">'Player Data'!Z733</f>
        <v>2026-07-17</v>
      </c>
      <c r="AF733" s="28" t="str">
        <f aca="false">IFERROR(INDEX(Assumptions!$B$30:$B$61,MATCH(C733,Assumptions!$A$30:$A$61,0)),"--")</f>
        <v>Austria, Turkey</v>
      </c>
      <c r="AG733" s="30" t="str">
        <f aca="false">IF(R733&gt;=0.7,"Step-Up Candidate",IF(R733&gt;=0.4,"Lateral Move","Stay &amp; Develop"))</f>
        <v>Stay &amp; Develop</v>
      </c>
    </row>
    <row r="734" customFormat="false" ht="23.85" hidden="false" customHeight="false" outlineLevel="0" collapsed="false">
      <c r="A734" s="21" t="str">
        <f aca="false">'Player Data'!A734</f>
        <v>Karl Kukk</v>
      </c>
      <c r="B734" s="21" t="str">
        <f aca="false">'Player Data'!F734</f>
        <v>GK</v>
      </c>
      <c r="C734" s="21" t="str">
        <f aca="false">'Player Data'!B734</f>
        <v>Estonia</v>
      </c>
      <c r="D734" s="21" t="str">
        <f aca="false">'Player Data'!C734</f>
        <v>Estonia Reserve League</v>
      </c>
      <c r="E734" s="21" t="n">
        <f aca="false">'Player Data'!D734</f>
        <v>2</v>
      </c>
      <c r="F734" s="21" t="n">
        <f aca="false">'Player Data'!G734</f>
        <v>26</v>
      </c>
      <c r="G734" s="21" t="n">
        <f aca="false">'Player Data'!H734</f>
        <v>2256</v>
      </c>
      <c r="H734" s="22" t="n">
        <f aca="false">IF(B734="GK",IFERROR(('Player Data'!N734-1.5*'Player Data'!O734)/'Player Data'!H734*90,0),IFERROR(('Player Data'!I734+'Player Data'!J734)/'Player Data'!H734*90,0))</f>
        <v>-0.339095744680851</v>
      </c>
      <c r="I734" s="22" t="n">
        <f aca="false">IF(B734="GK",'Player Data'!P734,IFERROR(('Player Data'!K734+'Player Data'!L734)/'Player Data'!H734*90,0))</f>
        <v>90</v>
      </c>
      <c r="J734" s="22" t="n">
        <f aca="false">IF(B734="GK",IFERROR('Player Data'!Q734/'Player Data'!H734*90,0),IFERROR('Player Data'!M734/'Player Data'!H734*90,0))</f>
        <v>1.26063829787234</v>
      </c>
      <c r="K734" s="23" t="n">
        <f aca="false">'Player Data'!S734</f>
        <v>69027</v>
      </c>
      <c r="L734" s="22" t="n">
        <f aca="false">INDEX(Assumptions!$B$13:$B$15,MATCH(E734,Assumptions!$A$13:$A$15,0))</f>
        <v>1</v>
      </c>
      <c r="M734" s="24" t="n">
        <f aca="false">IFERROR(SUMPRODUCT(($B$2:$B$1001=B734)*($H$2:$H$1001&lt;=H734))/SUMPRODUCT(($B$2:$B$1001=B734)*1),0)</f>
        <v>0.109289617486339</v>
      </c>
      <c r="N734" s="24" t="n">
        <f aca="false">IFERROR(SUMPRODUCT(($B$2:$B$1001=B734)*($I$2:$I$1001&lt;=I734))/SUMPRODUCT(($B$2:$B$1001=B734)*1),0)</f>
        <v>0.956284153005464</v>
      </c>
      <c r="O734" s="24" t="n">
        <f aca="false">IFERROR(SUMPRODUCT(($B$2:$B$1001=B734)*($J$2:$J$1001&lt;=J734))/SUMPRODUCT(($B$2:$B$1001=B734)*1),0)</f>
        <v>0.786885245901639</v>
      </c>
      <c r="P734" s="24" t="n">
        <f aca="false">IFERROR(SUMPRODUCT(($B$2:$B$1001=B734)*((0-$F$2:$F$1001)&lt;=(0-F734)))/SUMPRODUCT(($B$2:$B$1001=B734)*1),0)</f>
        <v>0.131147540983607</v>
      </c>
      <c r="Q734" s="25" t="n">
        <f aca="false">(M734*Assumptions!$B$5+N734*Assumptions!$B$6+O734*Assumptions!$B$7+P734*Assumptions!$B$8)*L734</f>
        <v>0.545628415300546</v>
      </c>
      <c r="R734" s="24" t="n">
        <f aca="false">IFERROR(SUMPRODUCT(($B$2:$B$1001=B734)*($Q$2:$Q$1001&lt;=Q734))/SUMPRODUCT(($B$2:$B$1001=B734)*1),0)</f>
        <v>0.737704918032787</v>
      </c>
      <c r="S734" s="24" t="n">
        <f aca="false">IFERROR(SUMPRODUCT(($B$2:$B$1001=B734)*($K$2:$K$1001&lt;=K734))/SUMPRODUCT(($B$2:$B$1001=B734)*1),0)</f>
        <v>0.508196721311475</v>
      </c>
      <c r="T734" s="26" t="n">
        <f aca="false">(R734-S734)*100</f>
        <v>22.9508196721312</v>
      </c>
      <c r="U734" s="21" t="str">
        <f aca="false">'Player Data'!T734</f>
        <v>No</v>
      </c>
      <c r="V734" s="27" t="n">
        <f aca="false">'Player Data'!U734</f>
        <v>2029</v>
      </c>
      <c r="W734" s="21" t="str">
        <f aca="false">IF(AND(T734&gt;=Assumptions!$B$19,U734="No"),"High Priority - Unrepresented",IF(T734&gt;=Assumptions!$B$19,"High Priority",IF(AND(T734&gt;=Assumptions!$B$20,U734="No"),"Watchlist - Unrepresented",IF(T734&gt;=Assumptions!$B$20,"Watchlist",""))))</f>
        <v>Watchlist - Unrepresented</v>
      </c>
      <c r="X734" s="21" t="str">
        <f aca="false">'Player Data'!V734</f>
        <v>info@parnurovers.ee</v>
      </c>
      <c r="Y734" s="28" t="str">
        <f aca="false">'Player Data'!W734</f>
        <v>Club sporting director / first-team office</v>
      </c>
      <c r="Z734" s="28" t="str">
        <f aca="false">'Player Data'!X734</f>
        <v>EJL (Estonian Football Association) player registry</v>
      </c>
      <c r="AA734" s="19" t="str">
        <f aca="false">HYPERLINK("https://www.transfermarkt.com/schnellsuche/ergebnis/schnellsuche?query="&amp;SUBSTITUTE(A734," ","+"),"Search Transfermarkt")</f>
        <v>Search Transfermarkt</v>
      </c>
      <c r="AB734" s="29" t="n">
        <f aca="false">IFERROR('Player Data'!K734/('Player Data'!K734+'Player Data'!L734),0)</f>
        <v>0.8</v>
      </c>
      <c r="AC734" s="21" t="str">
        <f aca="false">IF(B734="GK",IF(AND(O734&gt;=Assumptions!$B$23,N734&gt;=Assumptions!$B$23),"Sweeper-Keeper / Build-from-the-Back",IF(O734&gt;=Assumptions!$B$23,"Sweeper-Keeper / High Line",IF(M734&gt;=Assumptions!$B$23,"Shot-Stopper / Traditional","Flexible / Multi-System"))),IF(AND(O734&gt;=Assumptions!$B$23,P734&gt;=Assumptions!$B$24),"High Press / Gegenpressing",IF(AND(N734&gt;=Assumptions!$B$23,AB734&gt;=Assumptions!$B$25),"Possession / Build-from-the-Back",IF(N734&gt;=Assumptions!$B$23,"Counter-Attack / Transition",IF(AND(O734&gt;=Assumptions!$B$23,N734&lt;Assumptions!$B$26),"Low Block / Park the Bus",IF(AND(B734="FW",M734&gt;=Assumptions!$B$23,N734&lt;Assumptions!$B$26),"Direct / Target Approach","Flexible / Multi-System"))))))</f>
        <v>Sweeper-Keeper / Build-from-the-Back</v>
      </c>
      <c r="AD734" s="21" t="str">
        <f aca="false">'Player Data'!Y734</f>
        <v>2026-07-17</v>
      </c>
      <c r="AE734" s="21" t="str">
        <f aca="false">'Player Data'!Z734</f>
        <v>2026-07-17</v>
      </c>
      <c r="AF734" s="28" t="str">
        <f aca="false">IFERROR(INDEX(Assumptions!$B$30:$B$61,MATCH(C734,Assumptions!$A$30:$A$61,0)),"--")</f>
        <v>Poland, Norway</v>
      </c>
      <c r="AG734" s="30" t="str">
        <f aca="false">IF(R734&gt;=0.7,"Step-Up Candidate",IF(R734&gt;=0.4,"Lateral Move","Stay &amp; Develop"))</f>
        <v>Step-Up Candidate</v>
      </c>
    </row>
    <row r="735" customFormat="false" ht="23.85" hidden="false" customHeight="false" outlineLevel="0" collapsed="false">
      <c r="A735" s="21" t="str">
        <f aca="false">'Player Data'!A735</f>
        <v>Emiliano Cardozo</v>
      </c>
      <c r="B735" s="21" t="str">
        <f aca="false">'Player Data'!F735</f>
        <v>DF</v>
      </c>
      <c r="C735" s="21" t="str">
        <f aca="false">'Player Data'!B735</f>
        <v>Paraguay</v>
      </c>
      <c r="D735" s="21" t="str">
        <f aca="false">'Player Data'!C735</f>
        <v>Paraguay Regional League</v>
      </c>
      <c r="E735" s="21" t="n">
        <f aca="false">'Player Data'!D735</f>
        <v>2</v>
      </c>
      <c r="F735" s="21" t="n">
        <f aca="false">'Player Data'!G735</f>
        <v>26</v>
      </c>
      <c r="G735" s="21" t="n">
        <f aca="false">'Player Data'!H735</f>
        <v>2318</v>
      </c>
      <c r="H735" s="22" t="n">
        <f aca="false">IF(B735="GK",IFERROR(('Player Data'!N735-1.5*'Player Data'!O735)/'Player Data'!H735*90,0),IFERROR(('Player Data'!I735+'Player Data'!J735)/'Player Data'!H735*90,0))</f>
        <v>0.232959447799827</v>
      </c>
      <c r="I735" s="22" t="n">
        <f aca="false">IF(B735="GK",'Player Data'!P735,IFERROR(('Player Data'!K735+'Player Data'!L735)/'Player Data'!H735*90,0))</f>
        <v>3.72735116479724</v>
      </c>
      <c r="J735" s="22" t="n">
        <f aca="false">IF(B735="GK",IFERROR('Player Data'!Q735/'Player Data'!H735*90,0),IFERROR('Player Data'!M735/'Player Data'!H735*90,0))</f>
        <v>4.07679033649698</v>
      </c>
      <c r="K735" s="23" t="n">
        <f aca="false">'Player Data'!S735</f>
        <v>89027</v>
      </c>
      <c r="L735" s="22" t="n">
        <f aca="false">INDEX(Assumptions!$B$13:$B$15,MATCH(E735,Assumptions!$A$13:$A$15,0))</f>
        <v>1</v>
      </c>
      <c r="M735" s="24" t="n">
        <f aca="false">IFERROR(SUMPRODUCT(($B$2:$B$1001=B735)*($H$2:$H$1001&lt;=H735))/SUMPRODUCT(($B$2:$B$1001=B735)*1),0)</f>
        <v>0.608843537414966</v>
      </c>
      <c r="N735" s="24" t="n">
        <f aca="false">IFERROR(SUMPRODUCT(($B$2:$B$1001=B735)*($I$2:$I$1001&lt;=I735))/SUMPRODUCT(($B$2:$B$1001=B735)*1),0)</f>
        <v>0.326530612244898</v>
      </c>
      <c r="O735" s="24" t="n">
        <f aca="false">IFERROR(SUMPRODUCT(($B$2:$B$1001=B735)*($J$2:$J$1001&lt;=J735))/SUMPRODUCT(($B$2:$B$1001=B735)*1),0)</f>
        <v>0.23469387755102</v>
      </c>
      <c r="P735" s="24" t="n">
        <f aca="false">IFERROR(SUMPRODUCT(($B$2:$B$1001=B735)*((0-$F$2:$F$1001)&lt;=(0-F735)))/SUMPRODUCT(($B$2:$B$1001=B735)*1),0)</f>
        <v>0.0748299319727891</v>
      </c>
      <c r="Q735" s="25" t="n">
        <f aca="false">(M735*Assumptions!$B$5+N735*Assumptions!$B$6+O735*Assumptions!$B$7+P735*Assumptions!$B$8)*L735</f>
        <v>0.328401360544218</v>
      </c>
      <c r="R735" s="24" t="n">
        <f aca="false">IFERROR(SUMPRODUCT(($B$2:$B$1001=B735)*($Q$2:$Q$1001&lt;=Q735))/SUMPRODUCT(($B$2:$B$1001=B735)*1),0)</f>
        <v>0.30952380952381</v>
      </c>
      <c r="S735" s="24" t="n">
        <f aca="false">IFERROR(SUMPRODUCT(($B$2:$B$1001=B735)*($K$2:$K$1001&lt;=K735))/SUMPRODUCT(($B$2:$B$1001=B735)*1),0)</f>
        <v>0.673469387755102</v>
      </c>
      <c r="T735" s="26" t="n">
        <f aca="false">(R735-S735)*100</f>
        <v>-36.3945578231293</v>
      </c>
      <c r="U735" s="21" t="str">
        <f aca="false">'Player Data'!T735</f>
        <v>Unknown</v>
      </c>
      <c r="V735" s="27" t="n">
        <f aca="false">'Player Data'!U735</f>
        <v>2027</v>
      </c>
      <c r="W735" s="21" t="str">
        <f aca="false">IF(AND(T735&gt;=Assumptions!$B$19,U735="No"),"High Priority - Unrepresented",IF(T735&gt;=Assumptions!$B$19,"High Priority",IF(AND(T735&gt;=Assumptions!$B$20,U735="No"),"Watchlist - Unrepresented",IF(T735&gt;=Assumptions!$B$20,"Watchlist",""))))</f>
        <v/>
      </c>
      <c r="X735" s="21" t="str">
        <f aca="false">'Player Data'!V735</f>
        <v>info@encarnacionunited.py</v>
      </c>
      <c r="Y735" s="28" t="str">
        <f aca="false">'Player Data'!W735</f>
        <v>Club sporting director / first-team office</v>
      </c>
      <c r="Z735" s="28" t="str">
        <f aca="false">'Player Data'!X735</f>
        <v>APF (Paraguayan Football Association) player registry</v>
      </c>
      <c r="AA735" s="19" t="str">
        <f aca="false">HYPERLINK("https://www.transfermarkt.com/schnellsuche/ergebnis/schnellsuche?query="&amp;SUBSTITUTE(A735," ","+"),"Search Transfermarkt")</f>
        <v>Search Transfermarkt</v>
      </c>
      <c r="AB735" s="29" t="n">
        <f aca="false">IFERROR('Player Data'!K735/('Player Data'!K735+'Player Data'!L735),0)</f>
        <v>0.541666666666667</v>
      </c>
      <c r="AC735" s="21" t="str">
        <f aca="false">IF(B735="GK",IF(AND(O735&gt;=Assumptions!$B$23,N735&gt;=Assumptions!$B$23),"Sweeper-Keeper / Build-from-the-Back",IF(O735&gt;=Assumptions!$B$23,"Sweeper-Keeper / High Line",IF(M735&gt;=Assumptions!$B$23,"Shot-Stopper / Traditional","Flexible / Multi-System"))),IF(AND(O735&gt;=Assumptions!$B$23,P735&gt;=Assumptions!$B$24),"High Press / Gegenpressing",IF(AND(N735&gt;=Assumptions!$B$23,AB735&gt;=Assumptions!$B$25),"Possession / Build-from-the-Back",IF(N735&gt;=Assumptions!$B$23,"Counter-Attack / Transition",IF(AND(O735&gt;=Assumptions!$B$23,N735&lt;Assumptions!$B$26),"Low Block / Park the Bus",IF(AND(B735="FW",M735&gt;=Assumptions!$B$23,N735&lt;Assumptions!$B$26),"Direct / Target Approach","Flexible / Multi-System"))))))</f>
        <v>Flexible / Multi-System</v>
      </c>
      <c r="AD735" s="21" t="str">
        <f aca="false">'Player Data'!Y735</f>
        <v>2026-07-17</v>
      </c>
      <c r="AE735" s="21" t="str">
        <f aca="false">'Player Data'!Z735</f>
        <v>2026-07-17</v>
      </c>
      <c r="AF735" s="28" t="str">
        <f aca="false">IFERROR(INDEX(Assumptions!$B$30:$B$61,MATCH(C735,Assumptions!$A$30:$A$61,0)),"--")</f>
        <v>Argentina, Portugal</v>
      </c>
      <c r="AG735" s="30" t="str">
        <f aca="false">IF(R735&gt;=0.7,"Step-Up Candidate",IF(R735&gt;=0.4,"Lateral Move","Stay &amp; Develop"))</f>
        <v>Stay &amp; Develop</v>
      </c>
    </row>
    <row r="736" customFormat="false" ht="23.85" hidden="false" customHeight="false" outlineLevel="0" collapsed="false">
      <c r="A736" s="21" t="str">
        <f aca="false">'Player Data'!A736</f>
        <v>Blaze Ristovski</v>
      </c>
      <c r="B736" s="21" t="str">
        <f aca="false">'Player Data'!F736</f>
        <v>DF</v>
      </c>
      <c r="C736" s="21" t="str">
        <f aca="false">'Player Data'!B736</f>
        <v>North Macedonia</v>
      </c>
      <c r="D736" s="21" t="str">
        <f aca="false">'Player Data'!C736</f>
        <v>North Macedonia Third Tier - South</v>
      </c>
      <c r="E736" s="21" t="n">
        <f aca="false">'Player Data'!D736</f>
        <v>3</v>
      </c>
      <c r="F736" s="21" t="n">
        <f aca="false">'Player Data'!G736</f>
        <v>20</v>
      </c>
      <c r="G736" s="21" t="n">
        <f aca="false">'Player Data'!H736</f>
        <v>983</v>
      </c>
      <c r="H736" s="22" t="n">
        <f aca="false">IF(B736="GK",IFERROR(('Player Data'!N736-1.5*'Player Data'!O736)/'Player Data'!H736*90,0),IFERROR(('Player Data'!I736+'Player Data'!J736)/'Player Data'!H736*90,0))</f>
        <v>0.366225839267548</v>
      </c>
      <c r="I736" s="22" t="n">
        <f aca="false">IF(B736="GK",'Player Data'!P736,IFERROR(('Player Data'!K736+'Player Data'!L736)/'Player Data'!H736*90,0))</f>
        <v>7.04984740590031</v>
      </c>
      <c r="J736" s="22" t="n">
        <f aca="false">IF(B736="GK",IFERROR('Player Data'!Q736/'Player Data'!H736*90,0),IFERROR('Player Data'!M736/'Player Data'!H736*90,0))</f>
        <v>7.32451678535097</v>
      </c>
      <c r="K736" s="23" t="n">
        <f aca="false">'Player Data'!S736</f>
        <v>0</v>
      </c>
      <c r="L736" s="22" t="n">
        <f aca="false">INDEX(Assumptions!$B$13:$B$15,MATCH(E736,Assumptions!$A$13:$A$15,0))</f>
        <v>0.85</v>
      </c>
      <c r="M736" s="24" t="n">
        <f aca="false">IFERROR(SUMPRODUCT(($B$2:$B$1001=B736)*($H$2:$H$1001&lt;=H736))/SUMPRODUCT(($B$2:$B$1001=B736)*1),0)</f>
        <v>0.870748299319728</v>
      </c>
      <c r="N736" s="24" t="n">
        <f aca="false">IFERROR(SUMPRODUCT(($B$2:$B$1001=B736)*($I$2:$I$1001&lt;=I736))/SUMPRODUCT(($B$2:$B$1001=B736)*1),0)</f>
        <v>0.833333333333333</v>
      </c>
      <c r="O736" s="24" t="n">
        <f aca="false">IFERROR(SUMPRODUCT(($B$2:$B$1001=B736)*($J$2:$J$1001&lt;=J736))/SUMPRODUCT(($B$2:$B$1001=B736)*1),0)</f>
        <v>0.785714285714286</v>
      </c>
      <c r="P736" s="24" t="n">
        <f aca="false">IFERROR(SUMPRODUCT(($B$2:$B$1001=B736)*((0-$F$2:$F$1001)&lt;=(0-F736)))/SUMPRODUCT(($B$2:$B$1001=B736)*1),0)</f>
        <v>0.656462585034014</v>
      </c>
      <c r="Q736" s="25" t="n">
        <f aca="false">(M736*Assumptions!$B$5+N736*Assumptions!$B$6+O736*Assumptions!$B$7+P736*Assumptions!$B$8)*L736</f>
        <v>0.67812074829932</v>
      </c>
      <c r="R736" s="24" t="n">
        <f aca="false">IFERROR(SUMPRODUCT(($B$2:$B$1001=B736)*($Q$2:$Q$1001&lt;=Q736))/SUMPRODUCT(($B$2:$B$1001=B736)*1),0)</f>
        <v>0.853741496598639</v>
      </c>
      <c r="S736" s="24" t="n">
        <f aca="false">IFERROR(SUMPRODUCT(($B$2:$B$1001=B736)*($K$2:$K$1001&lt;=K736))/SUMPRODUCT(($B$2:$B$1001=B736)*1),0)</f>
        <v>0.248299319727891</v>
      </c>
      <c r="T736" s="26" t="n">
        <f aca="false">(R736-S736)*100</f>
        <v>60.5442176870748</v>
      </c>
      <c r="U736" s="21" t="str">
        <f aca="false">'Player Data'!T736</f>
        <v>Unknown</v>
      </c>
      <c r="V736" s="27" t="n">
        <f aca="false">'Player Data'!U736</f>
        <v>2026</v>
      </c>
      <c r="W736" s="21" t="str">
        <f aca="false">IF(AND(T736&gt;=Assumptions!$B$19,U736="No"),"High Priority - Unrepresented",IF(T736&gt;=Assumptions!$B$19,"High Priority",IF(AND(T736&gt;=Assumptions!$B$20,U736="No"),"Watchlist - Unrepresented",IF(T736&gt;=Assumptions!$B$20,"Watchlist",""))))</f>
        <v>High Priority</v>
      </c>
      <c r="X736" s="21" t="str">
        <f aca="false">'Player Data'!V736</f>
        <v>info@skopjewanderers.mk</v>
      </c>
      <c r="Y736" s="28" t="str">
        <f aca="false">'Player Data'!W736</f>
        <v>Club sporting director / first-team office</v>
      </c>
      <c r="Z736" s="28" t="str">
        <f aca="false">'Player Data'!X736</f>
        <v>FFM (Football Federation of North Macedonia) player registry</v>
      </c>
      <c r="AA736" s="19" t="str">
        <f aca="false">HYPERLINK("https://www.transfermarkt.com/schnellsuche/ergebnis/schnellsuche?query="&amp;SUBSTITUTE(A736," ","+"),"Search Transfermarkt")</f>
        <v>Search Transfermarkt</v>
      </c>
      <c r="AB736" s="29" t="n">
        <f aca="false">IFERROR('Player Data'!K736/('Player Data'!K736+'Player Data'!L736),0)</f>
        <v>0.597402597402597</v>
      </c>
      <c r="AC736" s="21" t="str">
        <f aca="false">IF(B736="GK",IF(AND(O736&gt;=Assumptions!$B$23,N736&gt;=Assumptions!$B$23),"Sweeper-Keeper / Build-from-the-Back",IF(O736&gt;=Assumptions!$B$23,"Sweeper-Keeper / High Line",IF(M736&gt;=Assumptions!$B$23,"Shot-Stopper / Traditional","Flexible / Multi-System"))),IF(AND(O736&gt;=Assumptions!$B$23,P736&gt;=Assumptions!$B$24),"High Press / Gegenpressing",IF(AND(N736&gt;=Assumptions!$B$23,AB736&gt;=Assumptions!$B$25),"Possession / Build-from-the-Back",IF(N736&gt;=Assumptions!$B$23,"Counter-Attack / Transition",IF(AND(O736&gt;=Assumptions!$B$23,N736&lt;Assumptions!$B$26),"Low Block / Park the Bus",IF(AND(B736="FW",M736&gt;=Assumptions!$B$23,N736&lt;Assumptions!$B$26),"Direct / Target Approach","Flexible / Multi-System"))))))</f>
        <v>High Press / Gegenpressing</v>
      </c>
      <c r="AD736" s="21" t="str">
        <f aca="false">'Player Data'!Y736</f>
        <v>2026-07-17</v>
      </c>
      <c r="AE736" s="21" t="str">
        <f aca="false">'Player Data'!Z736</f>
        <v>2026-07-17</v>
      </c>
      <c r="AF736" s="28" t="str">
        <f aca="false">IFERROR(INDEX(Assumptions!$B$30:$B$61,MATCH(C736,Assumptions!$A$30:$A$61,0)),"--")</f>
        <v>Austria, Turkey</v>
      </c>
      <c r="AG736" s="30" t="str">
        <f aca="false">IF(R736&gt;=0.7,"Step-Up Candidate",IF(R736&gt;=0.4,"Lateral Move","Stay &amp; Develop"))</f>
        <v>Step-Up Candidate</v>
      </c>
    </row>
    <row r="737" customFormat="false" ht="23.85" hidden="false" customHeight="false" outlineLevel="0" collapsed="false">
      <c r="A737" s="21" t="str">
        <f aca="false">'Player Data'!A737</f>
        <v>Saba Beridze</v>
      </c>
      <c r="B737" s="21" t="str">
        <f aca="false">'Player Data'!F737</f>
        <v>MF</v>
      </c>
      <c r="C737" s="21" t="str">
        <f aca="false">'Player Data'!B737</f>
        <v>Georgia</v>
      </c>
      <c r="D737" s="21" t="str">
        <f aca="false">'Player Data'!C737</f>
        <v>Georgia Provincial League</v>
      </c>
      <c r="E737" s="21" t="n">
        <f aca="false">'Player Data'!D737</f>
        <v>4</v>
      </c>
      <c r="F737" s="21" t="n">
        <f aca="false">'Player Data'!G737</f>
        <v>19</v>
      </c>
      <c r="G737" s="21" t="n">
        <f aca="false">'Player Data'!H737</f>
        <v>1726</v>
      </c>
      <c r="H737" s="22" t="n">
        <f aca="false">IF(B737="GK",IFERROR(('Player Data'!N737-1.5*'Player Data'!O737)/'Player Data'!H737*90,0),IFERROR(('Player Data'!I737+'Player Data'!J737)/'Player Data'!H737*90,0))</f>
        <v>1.04287369640788</v>
      </c>
      <c r="I737" s="22" t="n">
        <f aca="false">IF(B737="GK",'Player Data'!P737,IFERROR(('Player Data'!K737+'Player Data'!L737)/'Player Data'!H737*90,0))</f>
        <v>11.6801853997683</v>
      </c>
      <c r="J737" s="22" t="n">
        <f aca="false">IF(B737="GK",IFERROR('Player Data'!Q737/'Player Data'!H737*90,0),IFERROR('Player Data'!M737/'Player Data'!H737*90,0))</f>
        <v>2.76361529548088</v>
      </c>
      <c r="K737" s="23" t="n">
        <f aca="false">'Player Data'!S737</f>
        <v>101137</v>
      </c>
      <c r="L737" s="22" t="n">
        <f aca="false">INDEX(Assumptions!$B$13:$B$15,MATCH(E737,Assumptions!$A$13:$A$15,0))</f>
        <v>0.7</v>
      </c>
      <c r="M737" s="24" t="n">
        <f aca="false">IFERROR(SUMPRODUCT(($B$2:$B$1001=B737)*($H$2:$H$1001&lt;=H737))/SUMPRODUCT(($B$2:$B$1001=B737)*1),0)</f>
        <v>0.797979797979798</v>
      </c>
      <c r="N737" s="24" t="n">
        <f aca="false">IFERROR(SUMPRODUCT(($B$2:$B$1001=B737)*($I$2:$I$1001&lt;=I737))/SUMPRODUCT(($B$2:$B$1001=B737)*1),0)</f>
        <v>0.558922558922559</v>
      </c>
      <c r="O737" s="24" t="n">
        <f aca="false">IFERROR(SUMPRODUCT(($B$2:$B$1001=B737)*($J$2:$J$1001&lt;=J737))/SUMPRODUCT(($B$2:$B$1001=B737)*1),0)</f>
        <v>0.727272727272727</v>
      </c>
      <c r="P737" s="24" t="n">
        <f aca="false">IFERROR(SUMPRODUCT(($B$2:$B$1001=B737)*((0-$F$2:$F$1001)&lt;=(0-F737)))/SUMPRODUCT(($B$2:$B$1001=B737)*1),0)</f>
        <v>0.868686868686869</v>
      </c>
      <c r="Q737" s="25" t="n">
        <f aca="false">(M737*Assumptions!$B$5+N737*Assumptions!$B$6+O737*Assumptions!$B$7+P737*Assumptions!$B$8)*L737</f>
        <v>0.500016835016835</v>
      </c>
      <c r="R737" s="24" t="n">
        <f aca="false">IFERROR(SUMPRODUCT(($B$2:$B$1001=B737)*($Q$2:$Q$1001&lt;=Q737))/SUMPRODUCT(($B$2:$B$1001=B737)*1),0)</f>
        <v>0.606060606060606</v>
      </c>
      <c r="S737" s="24" t="n">
        <f aca="false">IFERROR(SUMPRODUCT(($B$2:$B$1001=B737)*($K$2:$K$1001&lt;=K737))/SUMPRODUCT(($B$2:$B$1001=B737)*1),0)</f>
        <v>0.740740740740741</v>
      </c>
      <c r="T737" s="26" t="n">
        <f aca="false">(R737-S737)*100</f>
        <v>-13.4680134680135</v>
      </c>
      <c r="U737" s="21" t="str">
        <f aca="false">'Player Data'!T737</f>
        <v>No</v>
      </c>
      <c r="V737" s="27" t="n">
        <f aca="false">'Player Data'!U737</f>
        <v>2029</v>
      </c>
      <c r="W737" s="21" t="str">
        <f aca="false">IF(AND(T737&gt;=Assumptions!$B$19,U737="No"),"High Priority - Unrepresented",IF(T737&gt;=Assumptions!$B$19,"High Priority",IF(AND(T737&gt;=Assumptions!$B$20,U737="No"),"Watchlist - Unrepresented",IF(T737&gt;=Assumptions!$B$20,"Watchlist",""))))</f>
        <v/>
      </c>
      <c r="X737" s="21" t="str">
        <f aca="false">'Player Data'!V737</f>
        <v>info@batumisc.ge</v>
      </c>
      <c r="Y737" s="28" t="str">
        <f aca="false">'Player Data'!W737</f>
        <v>Club sporting director / first-team office</v>
      </c>
      <c r="Z737" s="28" t="str">
        <f aca="false">'Player Data'!X737</f>
        <v>GFF (Georgian Football Federation) player registry</v>
      </c>
      <c r="AA737" s="19" t="str">
        <f aca="false">HYPERLINK("https://www.transfermarkt.com/schnellsuche/ergebnis/schnellsuche?query="&amp;SUBSTITUTE(A737," ","+"),"Search Transfermarkt")</f>
        <v>Search Transfermarkt</v>
      </c>
      <c r="AB737" s="29" t="n">
        <f aca="false">IFERROR('Player Data'!K737/('Player Data'!K737+'Player Data'!L737),0)</f>
        <v>0.71875</v>
      </c>
      <c r="AC737" s="21" t="str">
        <f aca="false">IF(B737="GK",IF(AND(O737&gt;=Assumptions!$B$23,N737&gt;=Assumptions!$B$23),"Sweeper-Keeper / Build-from-the-Back",IF(O737&gt;=Assumptions!$B$23,"Sweeper-Keeper / High Line",IF(M737&gt;=Assumptions!$B$23,"Shot-Stopper / Traditional","Flexible / Multi-System"))),IF(AND(O737&gt;=Assumptions!$B$23,P737&gt;=Assumptions!$B$24),"High Press / Gegenpressing",IF(AND(N737&gt;=Assumptions!$B$23,AB737&gt;=Assumptions!$B$25),"Possession / Build-from-the-Back",IF(N737&gt;=Assumptions!$B$23,"Counter-Attack / Transition",IF(AND(O737&gt;=Assumptions!$B$23,N737&lt;Assumptions!$B$26),"Low Block / Park the Bus",IF(AND(B737="FW",M737&gt;=Assumptions!$B$23,N737&lt;Assumptions!$B$26),"Direct / Target Approach","Flexible / Multi-System"))))))</f>
        <v>High Press / Gegenpressing</v>
      </c>
      <c r="AD737" s="21" t="str">
        <f aca="false">'Player Data'!Y737</f>
        <v>2026-07-17</v>
      </c>
      <c r="AE737" s="21" t="str">
        <f aca="false">'Player Data'!Z737</f>
        <v>2026-07-17</v>
      </c>
      <c r="AF737" s="28" t="str">
        <f aca="false">IFERROR(INDEX(Assumptions!$B$30:$B$61,MATCH(C737,Assumptions!$A$30:$A$61,0)),"--")</f>
        <v>Turkey, Poland</v>
      </c>
      <c r="AG737" s="30" t="str">
        <f aca="false">IF(R737&gt;=0.7,"Step-Up Candidate",IF(R737&gt;=0.4,"Lateral Move","Stay &amp; Develop"))</f>
        <v>Lateral Move</v>
      </c>
    </row>
    <row r="738" customFormat="false" ht="23.85" hidden="false" customHeight="false" outlineLevel="0" collapsed="false">
      <c r="A738" s="21" t="str">
        <f aca="false">'Player Data'!A738</f>
        <v>Modibo Diarra</v>
      </c>
      <c r="B738" s="21" t="str">
        <f aca="false">'Player Data'!F738</f>
        <v>FW</v>
      </c>
      <c r="C738" s="21" t="str">
        <f aca="false">'Player Data'!B738</f>
        <v>Mali</v>
      </c>
      <c r="D738" s="21" t="str">
        <f aca="false">'Player Data'!C738</f>
        <v>Mali Amateur League</v>
      </c>
      <c r="E738" s="21" t="n">
        <f aca="false">'Player Data'!D738</f>
        <v>2</v>
      </c>
      <c r="F738" s="21" t="n">
        <f aca="false">'Player Data'!G738</f>
        <v>21</v>
      </c>
      <c r="G738" s="21" t="n">
        <f aca="false">'Player Data'!H738</f>
        <v>1791</v>
      </c>
      <c r="H738" s="22" t="n">
        <f aca="false">IF(B738="GK",IFERROR(('Player Data'!N738-1.5*'Player Data'!O738)/'Player Data'!H738*90,0),IFERROR(('Player Data'!I738+'Player Data'!J738)/'Player Data'!H738*90,0))</f>
        <v>0.753768844221106</v>
      </c>
      <c r="I738" s="22" t="n">
        <f aca="false">IF(B738="GK",'Player Data'!P738,IFERROR(('Player Data'!K738+'Player Data'!L738)/'Player Data'!H738*90,0))</f>
        <v>6.73366834170854</v>
      </c>
      <c r="J738" s="22" t="n">
        <f aca="false">IF(B738="GK",IFERROR('Player Data'!Q738/'Player Data'!H738*90,0),IFERROR('Player Data'!M738/'Player Data'!H738*90,0))</f>
        <v>0.452261306532663</v>
      </c>
      <c r="K738" s="23" t="n">
        <f aca="false">'Player Data'!S738</f>
        <v>131479</v>
      </c>
      <c r="L738" s="22" t="n">
        <f aca="false">INDEX(Assumptions!$B$13:$B$15,MATCH(E738,Assumptions!$A$13:$A$15,0))</f>
        <v>1</v>
      </c>
      <c r="M738" s="24" t="n">
        <f aca="false">IFERROR(SUMPRODUCT(($B$2:$B$1001=B738)*($H$2:$H$1001&lt;=H738))/SUMPRODUCT(($B$2:$B$1001=B738)*1),0)</f>
        <v>0.269911504424779</v>
      </c>
      <c r="N738" s="24" t="n">
        <f aca="false">IFERROR(SUMPRODUCT(($B$2:$B$1001=B738)*($I$2:$I$1001&lt;=I738))/SUMPRODUCT(($B$2:$B$1001=B738)*1),0)</f>
        <v>0.539823008849558</v>
      </c>
      <c r="O738" s="24" t="n">
        <f aca="false">IFERROR(SUMPRODUCT(($B$2:$B$1001=B738)*($J$2:$J$1001&lt;=J738))/SUMPRODUCT(($B$2:$B$1001=B738)*1),0)</f>
        <v>0.415929203539823</v>
      </c>
      <c r="P738" s="24" t="n">
        <f aca="false">IFERROR(SUMPRODUCT(($B$2:$B$1001=B738)*((0-$F$2:$F$1001)&lt;=(0-F738)))/SUMPRODUCT(($B$2:$B$1001=B738)*1),0)</f>
        <v>0.579646017699115</v>
      </c>
      <c r="Q738" s="25" t="n">
        <f aca="false">(M738*Assumptions!$B$5+N738*Assumptions!$B$6+O738*Assumptions!$B$7+P738*Assumptions!$B$8)*L738</f>
        <v>0.455530973451327</v>
      </c>
      <c r="R738" s="24" t="n">
        <f aca="false">IFERROR(SUMPRODUCT(($B$2:$B$1001=B738)*($Q$2:$Q$1001&lt;=Q738))/SUMPRODUCT(($B$2:$B$1001=B738)*1),0)</f>
        <v>0.52212389380531</v>
      </c>
      <c r="S738" s="24" t="n">
        <f aca="false">IFERROR(SUMPRODUCT(($B$2:$B$1001=B738)*($K$2:$K$1001&lt;=K738))/SUMPRODUCT(($B$2:$B$1001=B738)*1),0)</f>
        <v>0.902654867256637</v>
      </c>
      <c r="T738" s="26" t="n">
        <f aca="false">(R738-S738)*100</f>
        <v>-38.0530973451327</v>
      </c>
      <c r="U738" s="21" t="str">
        <f aca="false">'Player Data'!T738</f>
        <v>Unknown</v>
      </c>
      <c r="V738" s="27" t="n">
        <f aca="false">'Player Data'!U738</f>
        <v>2028</v>
      </c>
      <c r="W738" s="21" t="str">
        <f aca="false">IF(AND(T738&gt;=Assumptions!$B$19,U738="No"),"High Priority - Unrepresented",IF(T738&gt;=Assumptions!$B$19,"High Priority",IF(AND(T738&gt;=Assumptions!$B$20,U738="No"),"Watchlist - Unrepresented",IF(T738&gt;=Assumptions!$B$20,"Watchlist",""))))</f>
        <v/>
      </c>
      <c r="X738" s="21" t="str">
        <f aca="false">'Player Data'!V738</f>
        <v>info@bamakotown.ml</v>
      </c>
      <c r="Y738" s="28" t="str">
        <f aca="false">'Player Data'!W738</f>
        <v>Club sporting director / first-team office</v>
      </c>
      <c r="Z738" s="28" t="str">
        <f aca="false">'Player Data'!X738</f>
        <v>FEMAFOOT (Malian Football Federation) player registry</v>
      </c>
      <c r="AA738" s="19" t="str">
        <f aca="false">HYPERLINK("https://www.transfermarkt.com/schnellsuche/ergebnis/schnellsuche?query="&amp;SUBSTITUTE(A738," ","+"),"Search Transfermarkt")</f>
        <v>Search Transfermarkt</v>
      </c>
      <c r="AB738" s="29" t="n">
        <f aca="false">IFERROR('Player Data'!K738/('Player Data'!K738+'Player Data'!L738),0)</f>
        <v>0.291044776119403</v>
      </c>
      <c r="AC738" s="21" t="str">
        <f aca="false">IF(B738="GK",IF(AND(O738&gt;=Assumptions!$B$23,N738&gt;=Assumptions!$B$23),"Sweeper-Keeper / Build-from-the-Back",IF(O738&gt;=Assumptions!$B$23,"Sweeper-Keeper / High Line",IF(M738&gt;=Assumptions!$B$23,"Shot-Stopper / Traditional","Flexible / Multi-System"))),IF(AND(O738&gt;=Assumptions!$B$23,P738&gt;=Assumptions!$B$24),"High Press / Gegenpressing",IF(AND(N738&gt;=Assumptions!$B$23,AB738&gt;=Assumptions!$B$25),"Possession / Build-from-the-Back",IF(N738&gt;=Assumptions!$B$23,"Counter-Attack / Transition",IF(AND(O738&gt;=Assumptions!$B$23,N738&lt;Assumptions!$B$26),"Low Block / Park the Bus",IF(AND(B738="FW",M738&gt;=Assumptions!$B$23,N738&lt;Assumptions!$B$26),"Direct / Target Approach","Flexible / Multi-System"))))))</f>
        <v>Flexible / Multi-System</v>
      </c>
      <c r="AD738" s="21" t="str">
        <f aca="false">'Player Data'!Y738</f>
        <v>2026-07-17</v>
      </c>
      <c r="AE738" s="21" t="str">
        <f aca="false">'Player Data'!Z738</f>
        <v>2026-07-17</v>
      </c>
      <c r="AF738" s="28" t="str">
        <f aca="false">IFERROR(INDEX(Assumptions!$B$30:$B$61,MATCH(C738,Assumptions!$A$30:$A$61,0)),"--")</f>
        <v>Belgium, Portugal</v>
      </c>
      <c r="AG738" s="30" t="str">
        <f aca="false">IF(R738&gt;=0.7,"Step-Up Candidate",IF(R738&gt;=0.4,"Lateral Move","Stay &amp; Develop"))</f>
        <v>Lateral Move</v>
      </c>
    </row>
    <row r="739" customFormat="false" ht="23.85" hidden="false" customHeight="false" outlineLevel="0" collapsed="false">
      <c r="A739" s="21" t="str">
        <f aca="false">'Player Data'!A739</f>
        <v>Carlos Chavez</v>
      </c>
      <c r="B739" s="21" t="str">
        <f aca="false">'Player Data'!F739</f>
        <v>MF</v>
      </c>
      <c r="C739" s="21" t="str">
        <f aca="false">'Player Data'!B739</f>
        <v>Ecuador</v>
      </c>
      <c r="D739" s="21" t="str">
        <f aca="false">'Player Data'!C739</f>
        <v>Ecuador Second Division</v>
      </c>
      <c r="E739" s="21" t="n">
        <f aca="false">'Player Data'!D739</f>
        <v>4</v>
      </c>
      <c r="F739" s="21" t="n">
        <f aca="false">'Player Data'!G739</f>
        <v>22</v>
      </c>
      <c r="G739" s="21" t="n">
        <f aca="false">'Player Data'!H739</f>
        <v>2618</v>
      </c>
      <c r="H739" s="22" t="n">
        <f aca="false">IF(B739="GK",IFERROR(('Player Data'!N739-1.5*'Player Data'!O739)/'Player Data'!H739*90,0),IFERROR(('Player Data'!I739+'Player Data'!J739)/'Player Data'!H739*90,0))</f>
        <v>0.412528647822766</v>
      </c>
      <c r="I739" s="22" t="n">
        <f aca="false">IF(B739="GK",'Player Data'!P739,IFERROR(('Player Data'!K739+'Player Data'!L739)/'Player Data'!H739*90,0))</f>
        <v>7.70053475935829</v>
      </c>
      <c r="J739" s="22" t="n">
        <f aca="false">IF(B739="GK",IFERROR('Player Data'!Q739/'Player Data'!H739*90,0),IFERROR('Player Data'!M739/'Player Data'!H739*90,0))</f>
        <v>0.962566844919786</v>
      </c>
      <c r="K739" s="23" t="n">
        <f aca="false">'Player Data'!S739</f>
        <v>142135</v>
      </c>
      <c r="L739" s="22" t="n">
        <f aca="false">INDEX(Assumptions!$B$13:$B$15,MATCH(E739,Assumptions!$A$13:$A$15,0))</f>
        <v>0.7</v>
      </c>
      <c r="M739" s="24" t="n">
        <f aca="false">IFERROR(SUMPRODUCT(($B$2:$B$1001=B739)*($H$2:$H$1001&lt;=H739))/SUMPRODUCT(($B$2:$B$1001=B739)*1),0)</f>
        <v>0.107744107744108</v>
      </c>
      <c r="N739" s="24" t="n">
        <f aca="false">IFERROR(SUMPRODUCT(($B$2:$B$1001=B739)*($I$2:$I$1001&lt;=I739))/SUMPRODUCT(($B$2:$B$1001=B739)*1),0)</f>
        <v>0.114478114478114</v>
      </c>
      <c r="O739" s="24" t="n">
        <f aca="false">IFERROR(SUMPRODUCT(($B$2:$B$1001=B739)*($J$2:$J$1001&lt;=J739))/SUMPRODUCT(($B$2:$B$1001=B739)*1),0)</f>
        <v>0.00673400673400673</v>
      </c>
      <c r="P739" s="24" t="n">
        <f aca="false">IFERROR(SUMPRODUCT(($B$2:$B$1001=B739)*((0-$F$2:$F$1001)&lt;=(0-F739)))/SUMPRODUCT(($B$2:$B$1001=B739)*1),0)</f>
        <v>0.515151515151515</v>
      </c>
      <c r="Q739" s="25" t="n">
        <f aca="false">(M739*Assumptions!$B$5+N739*Assumptions!$B$6+O739*Assumptions!$B$7+P739*Assumptions!$B$8)*L739</f>
        <v>0.11996632996633</v>
      </c>
      <c r="R739" s="24" t="n">
        <f aca="false">IFERROR(SUMPRODUCT(($B$2:$B$1001=B739)*($Q$2:$Q$1001&lt;=Q739))/SUMPRODUCT(($B$2:$B$1001=B739)*1),0)</f>
        <v>0.0168350168350168</v>
      </c>
      <c r="S739" s="24" t="n">
        <f aca="false">IFERROR(SUMPRODUCT(($B$2:$B$1001=B739)*($K$2:$K$1001&lt;=K739))/SUMPRODUCT(($B$2:$B$1001=B739)*1),0)</f>
        <v>0.976430976430976</v>
      </c>
      <c r="T739" s="26" t="n">
        <f aca="false">(R739-S739)*100</f>
        <v>-95.959595959596</v>
      </c>
      <c r="U739" s="21" t="str">
        <f aca="false">'Player Data'!T739</f>
        <v>Yes</v>
      </c>
      <c r="V739" s="27" t="n">
        <f aca="false">'Player Data'!U739</f>
        <v>2027</v>
      </c>
      <c r="W739" s="21" t="str">
        <f aca="false">IF(AND(T739&gt;=Assumptions!$B$19,U739="No"),"High Priority - Unrepresented",IF(T739&gt;=Assumptions!$B$19,"High Priority",IF(AND(T739&gt;=Assumptions!$B$20,U739="No"),"Watchlist - Unrepresented",IF(T739&gt;=Assumptions!$B$20,"Watchlist",""))))</f>
        <v/>
      </c>
      <c r="X739" s="21" t="str">
        <f aca="false">'Player Data'!V739</f>
        <v>info@quitowanderers.ec</v>
      </c>
      <c r="Y739" s="28" t="str">
        <f aca="false">'Player Data'!W739</f>
        <v>Go through the player's agent - ask the club to confirm representation first</v>
      </c>
      <c r="Z739" s="28" t="str">
        <f aca="false">'Player Data'!X739</f>
        <v>FEF (Ecuadorian Football Federation) player registry</v>
      </c>
      <c r="AA739" s="19" t="str">
        <f aca="false">HYPERLINK("https://www.transfermarkt.com/schnellsuche/ergebnis/schnellsuche?query="&amp;SUBSTITUTE(A739," ","+"),"Search Transfermarkt")</f>
        <v>Search Transfermarkt</v>
      </c>
      <c r="AB739" s="29" t="n">
        <f aca="false">IFERROR('Player Data'!K739/('Player Data'!K739+'Player Data'!L739),0)</f>
        <v>0.598214285714286</v>
      </c>
      <c r="AC739" s="21" t="str">
        <f aca="false">IF(B739="GK",IF(AND(O739&gt;=Assumptions!$B$23,N739&gt;=Assumptions!$B$23),"Sweeper-Keeper / Build-from-the-Back",IF(O739&gt;=Assumptions!$B$23,"Sweeper-Keeper / High Line",IF(M739&gt;=Assumptions!$B$23,"Shot-Stopper / Traditional","Flexible / Multi-System"))),IF(AND(O739&gt;=Assumptions!$B$23,P739&gt;=Assumptions!$B$24),"High Press / Gegenpressing",IF(AND(N739&gt;=Assumptions!$B$23,AB739&gt;=Assumptions!$B$25),"Possession / Build-from-the-Back",IF(N739&gt;=Assumptions!$B$23,"Counter-Attack / Transition",IF(AND(O739&gt;=Assumptions!$B$23,N739&lt;Assumptions!$B$26),"Low Block / Park the Bus",IF(AND(B739="FW",M739&gt;=Assumptions!$B$23,N739&lt;Assumptions!$B$26),"Direct / Target Approach","Flexible / Multi-System"))))))</f>
        <v>Flexible / Multi-System</v>
      </c>
      <c r="AD739" s="21" t="str">
        <f aca="false">'Player Data'!Y739</f>
        <v>2026-07-17</v>
      </c>
      <c r="AE739" s="21" t="str">
        <f aca="false">'Player Data'!Z739</f>
        <v>2026-07-17</v>
      </c>
      <c r="AF739" s="28" t="str">
        <f aca="false">IFERROR(INDEX(Assumptions!$B$30:$B$61,MATCH(C739,Assumptions!$A$30:$A$61,0)),"--")</f>
        <v>Argentina, Portugal</v>
      </c>
      <c r="AG739" s="30" t="str">
        <f aca="false">IF(R739&gt;=0.7,"Step-Up Candidate",IF(R739&gt;=0.4,"Lateral Move","Stay &amp; Develop"))</f>
        <v>Stay &amp; Develop</v>
      </c>
    </row>
    <row r="740" customFormat="false" ht="23.85" hidden="false" customHeight="false" outlineLevel="0" collapsed="false">
      <c r="A740" s="21" t="str">
        <f aca="false">'Player Data'!A740</f>
        <v>Wilfried Bamba</v>
      </c>
      <c r="B740" s="21" t="str">
        <f aca="false">'Player Data'!F740</f>
        <v>GK</v>
      </c>
      <c r="C740" s="21" t="str">
        <f aca="false">'Player Data'!B740</f>
        <v>Ivory Coast</v>
      </c>
      <c r="D740" s="21" t="str">
        <f aca="false">'Player Data'!C740</f>
        <v>Ivory Coast Second Division - East</v>
      </c>
      <c r="E740" s="21" t="n">
        <f aca="false">'Player Data'!D740</f>
        <v>3</v>
      </c>
      <c r="F740" s="21" t="n">
        <f aca="false">'Player Data'!G740</f>
        <v>20</v>
      </c>
      <c r="G740" s="21" t="n">
        <f aca="false">'Player Data'!H740</f>
        <v>1889</v>
      </c>
      <c r="H740" s="22" t="n">
        <f aca="false">IF(B740="GK",IFERROR(('Player Data'!N740-1.5*'Player Data'!O740)/'Player Data'!H740*90,0),IFERROR(('Player Data'!I740+'Player Data'!J740)/'Player Data'!H740*90,0))</f>
        <v>1.47697194282689</v>
      </c>
      <c r="I740" s="22" t="n">
        <f aca="false">IF(B740="GK",'Player Data'!P740,IFERROR(('Player Data'!K740+'Player Data'!L740)/'Player Data'!H740*90,0))</f>
        <v>83.1</v>
      </c>
      <c r="J740" s="22" t="n">
        <f aca="false">IF(B740="GK",IFERROR('Player Data'!Q740/'Player Data'!H740*90,0),IFERROR('Player Data'!M740/'Player Data'!H740*90,0))</f>
        <v>0.752779248279513</v>
      </c>
      <c r="K740" s="23" t="n">
        <f aca="false">'Player Data'!S740</f>
        <v>91483</v>
      </c>
      <c r="L740" s="22" t="n">
        <f aca="false">INDEX(Assumptions!$B$13:$B$15,MATCH(E740,Assumptions!$A$13:$A$15,0))</f>
        <v>0.85</v>
      </c>
      <c r="M740" s="24" t="n">
        <f aca="false">IFERROR(SUMPRODUCT(($B$2:$B$1001=B740)*($H$2:$H$1001&lt;=H740))/SUMPRODUCT(($B$2:$B$1001=B740)*1),0)</f>
        <v>0.688524590163934</v>
      </c>
      <c r="N740" s="24" t="n">
        <f aca="false">IFERROR(SUMPRODUCT(($B$2:$B$1001=B740)*($I$2:$I$1001&lt;=I740))/SUMPRODUCT(($B$2:$B$1001=B740)*1),0)</f>
        <v>0.775956284153005</v>
      </c>
      <c r="O740" s="24" t="n">
        <f aca="false">IFERROR(SUMPRODUCT(($B$2:$B$1001=B740)*($J$2:$J$1001&lt;=J740))/SUMPRODUCT(($B$2:$B$1001=B740)*1),0)</f>
        <v>0.420765027322404</v>
      </c>
      <c r="P740" s="24" t="n">
        <f aca="false">IFERROR(SUMPRODUCT(($B$2:$B$1001=B740)*((0-$F$2:$F$1001)&lt;=(0-F740)))/SUMPRODUCT(($B$2:$B$1001=B740)*1),0)</f>
        <v>0.677595628415301</v>
      </c>
      <c r="Q740" s="25" t="n">
        <f aca="false">(M740*Assumptions!$B$5+N740*Assumptions!$B$6+O740*Assumptions!$B$7+P740*Assumptions!$B$8)*L740</f>
        <v>0.563879781420765</v>
      </c>
      <c r="R740" s="24" t="n">
        <f aca="false">IFERROR(SUMPRODUCT(($B$2:$B$1001=B740)*($Q$2:$Q$1001&lt;=Q740))/SUMPRODUCT(($B$2:$B$1001=B740)*1),0)</f>
        <v>0.781420765027322</v>
      </c>
      <c r="S740" s="24" t="n">
        <f aca="false">IFERROR(SUMPRODUCT(($B$2:$B$1001=B740)*($K$2:$K$1001&lt;=K740))/SUMPRODUCT(($B$2:$B$1001=B740)*1),0)</f>
        <v>0.650273224043716</v>
      </c>
      <c r="T740" s="26" t="n">
        <f aca="false">(R740-S740)*100</f>
        <v>13.1147540983607</v>
      </c>
      <c r="U740" s="21" t="str">
        <f aca="false">'Player Data'!T740</f>
        <v>Yes</v>
      </c>
      <c r="V740" s="27" t="n">
        <f aca="false">'Player Data'!U740</f>
        <v>2026</v>
      </c>
      <c r="W740" s="21" t="str">
        <f aca="false">IF(AND(T740&gt;=Assumptions!$B$19,U740="No"),"High Priority - Unrepresented",IF(T740&gt;=Assumptions!$B$19,"High Priority",IF(AND(T740&gt;=Assumptions!$B$20,U740="No"),"Watchlist - Unrepresented",IF(T740&gt;=Assumptions!$B$20,"Watchlist",""))))</f>
        <v/>
      </c>
      <c r="X740" s="21" t="str">
        <f aca="false">'Player Data'!V740</f>
        <v>info@sanpedrotown.ci</v>
      </c>
      <c r="Y740" s="28" t="str">
        <f aca="false">'Player Data'!W740</f>
        <v>Go through the player's agent - ask the club to confirm representation first</v>
      </c>
      <c r="Z740" s="28" t="str">
        <f aca="false">'Player Data'!X740</f>
        <v>FIF (Ivorian Football Federation) player registry</v>
      </c>
      <c r="AA740" s="19" t="str">
        <f aca="false">HYPERLINK("https://www.transfermarkt.com/schnellsuche/ergebnis/schnellsuche?query="&amp;SUBSTITUTE(A740," ","+"),"Search Transfermarkt")</f>
        <v>Search Transfermarkt</v>
      </c>
      <c r="AB740" s="29" t="n">
        <f aca="false">IFERROR('Player Data'!K740/('Player Data'!K740+'Player Data'!L740),0)</f>
        <v>0.727272727272727</v>
      </c>
      <c r="AC740" s="21" t="str">
        <f aca="false">IF(B740="GK",IF(AND(O740&gt;=Assumptions!$B$23,N740&gt;=Assumptions!$B$23),"Sweeper-Keeper / Build-from-the-Back",IF(O740&gt;=Assumptions!$B$23,"Sweeper-Keeper / High Line",IF(M740&gt;=Assumptions!$B$23,"Shot-Stopper / Traditional","Flexible / Multi-System"))),IF(AND(O740&gt;=Assumptions!$B$23,P740&gt;=Assumptions!$B$24),"High Press / Gegenpressing",IF(AND(N740&gt;=Assumptions!$B$23,AB740&gt;=Assumptions!$B$25),"Possession / Build-from-the-Back",IF(N740&gt;=Assumptions!$B$23,"Counter-Attack / Transition",IF(AND(O740&gt;=Assumptions!$B$23,N740&lt;Assumptions!$B$26),"Low Block / Park the Bus",IF(AND(B740="FW",M740&gt;=Assumptions!$B$23,N740&lt;Assumptions!$B$26),"Direct / Target Approach","Flexible / Multi-System"))))))</f>
        <v>Shot-Stopper / Traditional</v>
      </c>
      <c r="AD740" s="21" t="str">
        <f aca="false">'Player Data'!Y740</f>
        <v>2026-07-17</v>
      </c>
      <c r="AE740" s="21" t="str">
        <f aca="false">'Player Data'!Z740</f>
        <v>2026-07-17</v>
      </c>
      <c r="AF740" s="28" t="str">
        <f aca="false">IFERROR(INDEX(Assumptions!$B$30:$B$61,MATCH(C740,Assumptions!$A$30:$A$61,0)),"--")</f>
        <v>Belgium, Portugal</v>
      </c>
      <c r="AG740" s="30" t="str">
        <f aca="false">IF(R740&gt;=0.7,"Step-Up Candidate",IF(R740&gt;=0.4,"Lateral Move","Stay &amp; Develop"))</f>
        <v>Step-Up Candidate</v>
      </c>
    </row>
    <row r="741" customFormat="false" ht="23.85" hidden="false" customHeight="false" outlineLevel="0" collapsed="false">
      <c r="A741" s="21" t="str">
        <f aca="false">'Player Data'!A741</f>
        <v>Vuk Ilic</v>
      </c>
      <c r="B741" s="21" t="str">
        <f aca="false">'Player Data'!F741</f>
        <v>FW</v>
      </c>
      <c r="C741" s="21" t="str">
        <f aca="false">'Player Data'!B741</f>
        <v>Montenegro</v>
      </c>
      <c r="D741" s="21" t="str">
        <f aca="false">'Player Data'!C741</f>
        <v>Montenegro Second Division</v>
      </c>
      <c r="E741" s="21" t="n">
        <f aca="false">'Player Data'!D741</f>
        <v>2</v>
      </c>
      <c r="F741" s="21" t="n">
        <f aca="false">'Player Data'!G741</f>
        <v>26</v>
      </c>
      <c r="G741" s="21" t="n">
        <f aca="false">'Player Data'!H741</f>
        <v>2648</v>
      </c>
      <c r="H741" s="22" t="n">
        <f aca="false">IF(B741="GK",IFERROR(('Player Data'!N741-1.5*'Player Data'!O741)/'Player Data'!H741*90,0),IFERROR(('Player Data'!I741+'Player Data'!J741)/'Player Data'!H741*90,0))</f>
        <v>0.47583081570997</v>
      </c>
      <c r="I741" s="22" t="n">
        <f aca="false">IF(B741="GK",'Player Data'!P741,IFERROR(('Player Data'!K741+'Player Data'!L741)/'Player Data'!H741*90,0))</f>
        <v>4.92824773413897</v>
      </c>
      <c r="J741" s="22" t="n">
        <f aca="false">IF(B741="GK",IFERROR('Player Data'!Q741/'Player Data'!H741*90,0),IFERROR('Player Data'!M741/'Player Data'!H741*90,0))</f>
        <v>0.33987915407855</v>
      </c>
      <c r="K741" s="23" t="n">
        <f aca="false">'Player Data'!S741</f>
        <v>99340</v>
      </c>
      <c r="L741" s="22" t="n">
        <f aca="false">INDEX(Assumptions!$B$13:$B$15,MATCH(E741,Assumptions!$A$13:$A$15,0))</f>
        <v>1</v>
      </c>
      <c r="M741" s="24" t="n">
        <f aca="false">IFERROR(SUMPRODUCT(($B$2:$B$1001=B741)*($H$2:$H$1001&lt;=H741))/SUMPRODUCT(($B$2:$B$1001=B741)*1),0)</f>
        <v>0.0575221238938053</v>
      </c>
      <c r="N741" s="24" t="n">
        <f aca="false">IFERROR(SUMPRODUCT(($B$2:$B$1001=B741)*($I$2:$I$1001&lt;=I741))/SUMPRODUCT(($B$2:$B$1001=B741)*1),0)</f>
        <v>0.207964601769912</v>
      </c>
      <c r="O741" s="24" t="n">
        <f aca="false">IFERROR(SUMPRODUCT(($B$2:$B$1001=B741)*($J$2:$J$1001&lt;=J741))/SUMPRODUCT(($B$2:$B$1001=B741)*1),0)</f>
        <v>0.238938053097345</v>
      </c>
      <c r="P741" s="24" t="n">
        <f aca="false">IFERROR(SUMPRODUCT(($B$2:$B$1001=B741)*((0-$F$2:$F$1001)&lt;=(0-F741)))/SUMPRODUCT(($B$2:$B$1001=B741)*1),0)</f>
        <v>0.0929203539823009</v>
      </c>
      <c r="Q741" s="25" t="n">
        <f aca="false">(M741*Assumptions!$B$5+N741*Assumptions!$B$6+O741*Assumptions!$B$7+P741*Assumptions!$B$8)*L741</f>
        <v>0.15353982300885</v>
      </c>
      <c r="R741" s="24" t="n">
        <f aca="false">IFERROR(SUMPRODUCT(($B$2:$B$1001=B741)*($Q$2:$Q$1001&lt;=Q741))/SUMPRODUCT(($B$2:$B$1001=B741)*1),0)</f>
        <v>0.0398230088495575</v>
      </c>
      <c r="S741" s="24" t="n">
        <f aca="false">IFERROR(SUMPRODUCT(($B$2:$B$1001=B741)*($K$2:$K$1001&lt;=K741))/SUMPRODUCT(($B$2:$B$1001=B741)*1),0)</f>
        <v>0.690265486725664</v>
      </c>
      <c r="T741" s="26" t="n">
        <f aca="false">(R741-S741)*100</f>
        <v>-65.0442477876106</v>
      </c>
      <c r="U741" s="21" t="str">
        <f aca="false">'Player Data'!T741</f>
        <v>Unknown</v>
      </c>
      <c r="V741" s="27" t="n">
        <f aca="false">'Player Data'!U741</f>
        <v>2027</v>
      </c>
      <c r="W741" s="21" t="str">
        <f aca="false">IF(AND(T741&gt;=Assumptions!$B$19,U741="No"),"High Priority - Unrepresented",IF(T741&gt;=Assumptions!$B$19,"High Priority",IF(AND(T741&gt;=Assumptions!$B$20,U741="No"),"Watchlist - Unrepresented",IF(T741&gt;=Assumptions!$B$20,"Watchlist",""))))</f>
        <v/>
      </c>
      <c r="X741" s="21" t="str">
        <f aca="false">'Player Data'!V741</f>
        <v>info@beranefc.me</v>
      </c>
      <c r="Y741" s="28" t="str">
        <f aca="false">'Player Data'!W741</f>
        <v>Club sporting director / first-team office</v>
      </c>
      <c r="Z741" s="28" t="str">
        <f aca="false">'Player Data'!X741</f>
        <v>FSCG (Football Association of Montenegro) player registry</v>
      </c>
      <c r="AA741" s="19" t="str">
        <f aca="false">HYPERLINK("https://www.transfermarkt.com/schnellsuche/ergebnis/schnellsuche?query="&amp;SUBSTITUTE(A741," ","+"),"Search Transfermarkt")</f>
        <v>Search Transfermarkt</v>
      </c>
      <c r="AB741" s="29" t="n">
        <f aca="false">IFERROR('Player Data'!K741/('Player Data'!K741+'Player Data'!L741),0)</f>
        <v>0.386206896551724</v>
      </c>
      <c r="AC741" s="21" t="str">
        <f aca="false">IF(B741="GK",IF(AND(O741&gt;=Assumptions!$B$23,N741&gt;=Assumptions!$B$23),"Sweeper-Keeper / Build-from-the-Back",IF(O741&gt;=Assumptions!$B$23,"Sweeper-Keeper / High Line",IF(M741&gt;=Assumptions!$B$23,"Shot-Stopper / Traditional","Flexible / Multi-System"))),IF(AND(O741&gt;=Assumptions!$B$23,P741&gt;=Assumptions!$B$24),"High Press / Gegenpressing",IF(AND(N741&gt;=Assumptions!$B$23,AB741&gt;=Assumptions!$B$25),"Possession / Build-from-the-Back",IF(N741&gt;=Assumptions!$B$23,"Counter-Attack / Transition",IF(AND(O741&gt;=Assumptions!$B$23,N741&lt;Assumptions!$B$26),"Low Block / Park the Bus",IF(AND(B741="FW",M741&gt;=Assumptions!$B$23,N741&lt;Assumptions!$B$26),"Direct / Target Approach","Flexible / Multi-System"))))))</f>
        <v>Flexible / Multi-System</v>
      </c>
      <c r="AD741" s="21" t="str">
        <f aca="false">'Player Data'!Y741</f>
        <v>2026-07-17</v>
      </c>
      <c r="AE741" s="21" t="str">
        <f aca="false">'Player Data'!Z741</f>
        <v>2026-07-17</v>
      </c>
      <c r="AF741" s="28" t="str">
        <f aca="false">IFERROR(INDEX(Assumptions!$B$30:$B$61,MATCH(C741,Assumptions!$A$30:$A$61,0)),"--")</f>
        <v>Austria, Turkey</v>
      </c>
      <c r="AG741" s="30" t="str">
        <f aca="false">IF(R741&gt;=0.7,"Step-Up Candidate",IF(R741&gt;=0.4,"Lateral Move","Stay &amp; Develop"))</f>
        <v>Stay &amp; Develop</v>
      </c>
    </row>
    <row r="742" customFormat="false" ht="23.85" hidden="false" customHeight="false" outlineLevel="0" collapsed="false">
      <c r="A742" s="21" t="str">
        <f aca="false">'Player Data'!A742</f>
        <v>Jasur Karimov</v>
      </c>
      <c r="B742" s="21" t="str">
        <f aca="false">'Player Data'!F742</f>
        <v>DF</v>
      </c>
      <c r="C742" s="21" t="str">
        <f aca="false">'Player Data'!B742</f>
        <v>Uzbekistan</v>
      </c>
      <c r="D742" s="21" t="str">
        <f aca="false">'Player Data'!C742</f>
        <v>Uzbekistan Amateur League</v>
      </c>
      <c r="E742" s="21" t="n">
        <f aca="false">'Player Data'!D742</f>
        <v>3</v>
      </c>
      <c r="F742" s="21" t="n">
        <f aca="false">'Player Data'!G742</f>
        <v>17</v>
      </c>
      <c r="G742" s="21" t="n">
        <f aca="false">'Player Data'!H742</f>
        <v>1668</v>
      </c>
      <c r="H742" s="22" t="n">
        <f aca="false">IF(B742="GK",IFERROR(('Player Data'!N742-1.5*'Player Data'!O742)/'Player Data'!H742*90,0),IFERROR(('Player Data'!I742+'Player Data'!J742)/'Player Data'!H742*90,0))</f>
        <v>0.161870503597122</v>
      </c>
      <c r="I742" s="22" t="n">
        <f aca="false">IF(B742="GK",'Player Data'!P742,IFERROR(('Player Data'!K742+'Player Data'!L742)/'Player Data'!H742*90,0))</f>
        <v>5.77338129496403</v>
      </c>
      <c r="J742" s="22" t="n">
        <f aca="false">IF(B742="GK",IFERROR('Player Data'!Q742/'Player Data'!H742*90,0),IFERROR('Player Data'!M742/'Player Data'!H742*90,0))</f>
        <v>5.17985611510791</v>
      </c>
      <c r="K742" s="23" t="n">
        <f aca="false">'Player Data'!S742</f>
        <v>96695</v>
      </c>
      <c r="L742" s="22" t="n">
        <f aca="false">INDEX(Assumptions!$B$13:$B$15,MATCH(E742,Assumptions!$A$13:$A$15,0))</f>
        <v>0.85</v>
      </c>
      <c r="M742" s="24" t="n">
        <f aca="false">IFERROR(SUMPRODUCT(($B$2:$B$1001=B742)*($H$2:$H$1001&lt;=H742))/SUMPRODUCT(($B$2:$B$1001=B742)*1),0)</f>
        <v>0.394557823129252</v>
      </c>
      <c r="N742" s="24" t="n">
        <f aca="false">IFERROR(SUMPRODUCT(($B$2:$B$1001=B742)*($I$2:$I$1001&lt;=I742))/SUMPRODUCT(($B$2:$B$1001=B742)*1),0)</f>
        <v>0.72108843537415</v>
      </c>
      <c r="O742" s="24" t="n">
        <f aca="false">IFERROR(SUMPRODUCT(($B$2:$B$1001=B742)*($J$2:$J$1001&lt;=J742))/SUMPRODUCT(($B$2:$B$1001=B742)*1),0)</f>
        <v>0.469387755102041</v>
      </c>
      <c r="P742" s="24" t="n">
        <f aca="false">IFERROR(SUMPRODUCT(($B$2:$B$1001=B742)*((0-$F$2:$F$1001)&lt;=(0-F742)))/SUMPRODUCT(($B$2:$B$1001=B742)*1),0)</f>
        <v>1</v>
      </c>
      <c r="Q742" s="25" t="n">
        <f aca="false">(M742*Assumptions!$B$5+N742*Assumptions!$B$6+O742*Assumptions!$B$7+P742*Assumptions!$B$8)*L742</f>
        <v>0.548163265306122</v>
      </c>
      <c r="R742" s="24" t="n">
        <f aca="false">IFERROR(SUMPRODUCT(($B$2:$B$1001=B742)*($Q$2:$Q$1001&lt;=Q742))/SUMPRODUCT(($B$2:$B$1001=B742)*1),0)</f>
        <v>0.693877551020408</v>
      </c>
      <c r="S742" s="24" t="n">
        <f aca="false">IFERROR(SUMPRODUCT(($B$2:$B$1001=B742)*($K$2:$K$1001&lt;=K742))/SUMPRODUCT(($B$2:$B$1001=B742)*1),0)</f>
        <v>0.717687074829932</v>
      </c>
      <c r="T742" s="26" t="n">
        <f aca="false">(R742-S742)*100</f>
        <v>-2.38095238095238</v>
      </c>
      <c r="U742" s="21" t="str">
        <f aca="false">'Player Data'!T742</f>
        <v>No</v>
      </c>
      <c r="V742" s="27" t="n">
        <f aca="false">'Player Data'!U742</f>
        <v>2028</v>
      </c>
      <c r="W742" s="21" t="str">
        <f aca="false">IF(AND(T742&gt;=Assumptions!$B$19,U742="No"),"High Priority - Unrepresented",IF(T742&gt;=Assumptions!$B$19,"High Priority",IF(AND(T742&gt;=Assumptions!$B$20,U742="No"),"Watchlist - Unrepresented",IF(T742&gt;=Assumptions!$B$20,"Watchlist",""))))</f>
        <v/>
      </c>
      <c r="X742" s="21" t="str">
        <f aca="false">'Player Data'!V742</f>
        <v>info@andijanrovers.uz</v>
      </c>
      <c r="Y742" s="28" t="str">
        <f aca="false">'Player Data'!W742</f>
        <v>Club youth/academy office ONLY - player is a minor, do not contact directly</v>
      </c>
      <c r="Z742" s="28" t="str">
        <f aca="false">'Player Data'!X742</f>
        <v>UFF (Uzbekistan Football Federation) player registry</v>
      </c>
      <c r="AA742" s="19" t="str">
        <f aca="false">HYPERLINK("https://www.transfermarkt.com/schnellsuche/ergebnis/schnellsuche?query="&amp;SUBSTITUTE(A742," ","+"),"Search Transfermarkt")</f>
        <v>Search Transfermarkt</v>
      </c>
      <c r="AB742" s="29" t="n">
        <f aca="false">IFERROR('Player Data'!K742/('Player Data'!K742+'Player Data'!L742),0)</f>
        <v>0.598130841121495</v>
      </c>
      <c r="AC742" s="21" t="str">
        <f aca="false">IF(B742="GK",IF(AND(O742&gt;=Assumptions!$B$23,N742&gt;=Assumptions!$B$23),"Sweeper-Keeper / Build-from-the-Back",IF(O742&gt;=Assumptions!$B$23,"Sweeper-Keeper / High Line",IF(M742&gt;=Assumptions!$B$23,"Shot-Stopper / Traditional","Flexible / Multi-System"))),IF(AND(O742&gt;=Assumptions!$B$23,P742&gt;=Assumptions!$B$24),"High Press / Gegenpressing",IF(AND(N742&gt;=Assumptions!$B$23,AB742&gt;=Assumptions!$B$25),"Possession / Build-from-the-Back",IF(N742&gt;=Assumptions!$B$23,"Counter-Attack / Transition",IF(AND(O742&gt;=Assumptions!$B$23,N742&lt;Assumptions!$B$26),"Low Block / Park the Bus",IF(AND(B742="FW",M742&gt;=Assumptions!$B$23,N742&lt;Assumptions!$B$26),"Direct / Target Approach","Flexible / Multi-System"))))))</f>
        <v>Counter-Attack / Transition</v>
      </c>
      <c r="AD742" s="21" t="str">
        <f aca="false">'Player Data'!Y742</f>
        <v>2026-07-17</v>
      </c>
      <c r="AE742" s="21" t="str">
        <f aca="false">'Player Data'!Z742</f>
        <v>2026-07-17</v>
      </c>
      <c r="AF742" s="28" t="str">
        <f aca="false">IFERROR(INDEX(Assumptions!$B$30:$B$61,MATCH(C742,Assumptions!$A$30:$A$61,0)),"--")</f>
        <v>Turkey, Saudi Arabia</v>
      </c>
      <c r="AG742" s="30" t="str">
        <f aca="false">IF(R742&gt;=0.7,"Step-Up Candidate",IF(R742&gt;=0.4,"Lateral Move","Stay &amp; Develop"))</f>
        <v>Lateral Move</v>
      </c>
    </row>
    <row r="743" customFormat="false" ht="23.85" hidden="false" customHeight="false" outlineLevel="0" collapsed="false">
      <c r="A743" s="21" t="str">
        <f aca="false">'Player Data'!A743</f>
        <v>Franco Flores</v>
      </c>
      <c r="B743" s="21" t="str">
        <f aca="false">'Player Data'!F743</f>
        <v>FW</v>
      </c>
      <c r="C743" s="21" t="str">
        <f aca="false">'Player Data'!B743</f>
        <v>Bolivia</v>
      </c>
      <c r="D743" s="21" t="str">
        <f aca="false">'Player Data'!C743</f>
        <v>Bolivia Second Division - East</v>
      </c>
      <c r="E743" s="21" t="n">
        <f aca="false">'Player Data'!D743</f>
        <v>4</v>
      </c>
      <c r="F743" s="21" t="n">
        <f aca="false">'Player Data'!G743</f>
        <v>20</v>
      </c>
      <c r="G743" s="21" t="n">
        <f aca="false">'Player Data'!H743</f>
        <v>1154</v>
      </c>
      <c r="H743" s="22" t="n">
        <f aca="false">IF(B743="GK",IFERROR(('Player Data'!N743-1.5*'Player Data'!O743)/'Player Data'!H743*90,0),IFERROR(('Player Data'!I743+'Player Data'!J743)/'Player Data'!H743*90,0))</f>
        <v>1.01386481802426</v>
      </c>
      <c r="I743" s="22" t="n">
        <f aca="false">IF(B743="GK",'Player Data'!P743,IFERROR(('Player Data'!K743+'Player Data'!L743)/'Player Data'!H743*90,0))</f>
        <v>10.9965337954939</v>
      </c>
      <c r="J743" s="22" t="n">
        <f aca="false">IF(B743="GK",IFERROR('Player Data'!Q743/'Player Data'!H743*90,0),IFERROR('Player Data'!M743/'Player Data'!H743*90,0))</f>
        <v>0.8578856152513</v>
      </c>
      <c r="K743" s="23" t="n">
        <f aca="false">'Player Data'!S743</f>
        <v>83927</v>
      </c>
      <c r="L743" s="22" t="n">
        <f aca="false">INDEX(Assumptions!$B$13:$B$15,MATCH(E743,Assumptions!$A$13:$A$15,0))</f>
        <v>0.7</v>
      </c>
      <c r="M743" s="24" t="n">
        <f aca="false">IFERROR(SUMPRODUCT(($B$2:$B$1001=B743)*($H$2:$H$1001&lt;=H743))/SUMPRODUCT(($B$2:$B$1001=B743)*1),0)</f>
        <v>0.544247787610619</v>
      </c>
      <c r="N743" s="24" t="n">
        <f aca="false">IFERROR(SUMPRODUCT(($B$2:$B$1001=B743)*($I$2:$I$1001&lt;=I743))/SUMPRODUCT(($B$2:$B$1001=B743)*1),0)</f>
        <v>0.880530973451328</v>
      </c>
      <c r="O743" s="24" t="n">
        <f aca="false">IFERROR(SUMPRODUCT(($B$2:$B$1001=B743)*($J$2:$J$1001&lt;=J743))/SUMPRODUCT(($B$2:$B$1001=B743)*1),0)</f>
        <v>0.84070796460177</v>
      </c>
      <c r="P743" s="24" t="n">
        <f aca="false">IFERROR(SUMPRODUCT(($B$2:$B$1001=B743)*((0-$F$2:$F$1001)&lt;=(0-F743)))/SUMPRODUCT(($B$2:$B$1001=B743)*1),0)</f>
        <v>0.712389380530973</v>
      </c>
      <c r="Q743" s="25" t="n">
        <f aca="false">(M743*Assumptions!$B$5+N743*Assumptions!$B$6+O743*Assumptions!$B$7+P743*Assumptions!$B$8)*L743</f>
        <v>0.528407079646018</v>
      </c>
      <c r="R743" s="24" t="n">
        <f aca="false">IFERROR(SUMPRODUCT(($B$2:$B$1001=B743)*($Q$2:$Q$1001&lt;=Q743))/SUMPRODUCT(($B$2:$B$1001=B743)*1),0)</f>
        <v>0.65929203539823</v>
      </c>
      <c r="S743" s="24" t="n">
        <f aca="false">IFERROR(SUMPRODUCT(($B$2:$B$1001=B743)*($K$2:$K$1001&lt;=K743))/SUMPRODUCT(($B$2:$B$1001=B743)*1),0)</f>
        <v>0.615044247787611</v>
      </c>
      <c r="T743" s="26" t="n">
        <f aca="false">(R743-S743)*100</f>
        <v>4.42477876106195</v>
      </c>
      <c r="U743" s="21" t="str">
        <f aca="false">'Player Data'!T743</f>
        <v>Yes</v>
      </c>
      <c r="V743" s="27" t="n">
        <f aca="false">'Player Data'!U743</f>
        <v>2026</v>
      </c>
      <c r="W743" s="21" t="str">
        <f aca="false">IF(AND(T743&gt;=Assumptions!$B$19,U743="No"),"High Priority - Unrepresented",IF(T743&gt;=Assumptions!$B$19,"High Priority",IF(AND(T743&gt;=Assumptions!$B$20,U743="No"),"Watchlist - Unrepresented",IF(T743&gt;=Assumptions!$B$20,"Watchlist",""))))</f>
        <v/>
      </c>
      <c r="X743" s="21" t="str">
        <f aca="false">'Player Data'!V743</f>
        <v>info@orurounited.bo</v>
      </c>
      <c r="Y743" s="28" t="str">
        <f aca="false">'Player Data'!W743</f>
        <v>Go through the player's agent - ask the club to confirm representation first</v>
      </c>
      <c r="Z743" s="28" t="str">
        <f aca="false">'Player Data'!X743</f>
        <v>FBF (Bolivian Football Federation) player registry</v>
      </c>
      <c r="AA743" s="19" t="str">
        <f aca="false">HYPERLINK("https://www.transfermarkt.com/schnellsuche/ergebnis/schnellsuche?query="&amp;SUBSTITUTE(A743," ","+"),"Search Transfermarkt")</f>
        <v>Search Transfermarkt</v>
      </c>
      <c r="AB743" s="29" t="n">
        <f aca="false">IFERROR('Player Data'!K743/('Player Data'!K743+'Player Data'!L743),0)</f>
        <v>0.468085106382979</v>
      </c>
      <c r="AC743" s="21" t="str">
        <f aca="false">IF(B743="GK",IF(AND(O743&gt;=Assumptions!$B$23,N743&gt;=Assumptions!$B$23),"Sweeper-Keeper / Build-from-the-Back",IF(O743&gt;=Assumptions!$B$23,"Sweeper-Keeper / High Line",IF(M743&gt;=Assumptions!$B$23,"Shot-Stopper / Traditional","Flexible / Multi-System"))),IF(AND(O743&gt;=Assumptions!$B$23,P743&gt;=Assumptions!$B$24),"High Press / Gegenpressing",IF(AND(N743&gt;=Assumptions!$B$23,AB743&gt;=Assumptions!$B$25),"Possession / Build-from-the-Back",IF(N743&gt;=Assumptions!$B$23,"Counter-Attack / Transition",IF(AND(O743&gt;=Assumptions!$B$23,N743&lt;Assumptions!$B$26),"Low Block / Park the Bus",IF(AND(B743="FW",M743&gt;=Assumptions!$B$23,N743&lt;Assumptions!$B$26),"Direct / Target Approach","Flexible / Multi-System"))))))</f>
        <v>High Press / Gegenpressing</v>
      </c>
      <c r="AD743" s="21" t="str">
        <f aca="false">'Player Data'!Y743</f>
        <v>2026-07-17</v>
      </c>
      <c r="AE743" s="21" t="str">
        <f aca="false">'Player Data'!Z743</f>
        <v>2026-07-17</v>
      </c>
      <c r="AF743" s="28" t="str">
        <f aca="false">IFERROR(INDEX(Assumptions!$B$30:$B$61,MATCH(C743,Assumptions!$A$30:$A$61,0)),"--")</f>
        <v>Argentina, Portugal</v>
      </c>
      <c r="AG743" s="30" t="str">
        <f aca="false">IF(R743&gt;=0.7,"Step-Up Candidate",IF(R743&gt;=0.4,"Lateral Move","Stay &amp; Develop"))</f>
        <v>Lateral Move</v>
      </c>
    </row>
    <row r="744" customFormat="false" ht="23.85" hidden="false" customHeight="false" outlineLevel="0" collapsed="false">
      <c r="A744" s="21" t="str">
        <f aca="false">'Player Data'!A744</f>
        <v>Didier Toure</v>
      </c>
      <c r="B744" s="21" t="str">
        <f aca="false">'Player Data'!F744</f>
        <v>GK</v>
      </c>
      <c r="C744" s="21" t="str">
        <f aca="false">'Player Data'!B744</f>
        <v>Ivory Coast</v>
      </c>
      <c r="D744" s="21" t="str">
        <f aca="false">'Player Data'!C744</f>
        <v>Ivory Coast Third Tier - South</v>
      </c>
      <c r="E744" s="21" t="n">
        <f aca="false">'Player Data'!D744</f>
        <v>2</v>
      </c>
      <c r="F744" s="21" t="n">
        <f aca="false">'Player Data'!G744</f>
        <v>20</v>
      </c>
      <c r="G744" s="21" t="n">
        <f aca="false">'Player Data'!H744</f>
        <v>2111</v>
      </c>
      <c r="H744" s="22" t="n">
        <f aca="false">IF(B744="GK",IFERROR(('Player Data'!N744-1.5*'Player Data'!O744)/'Player Data'!H744*90,0),IFERROR(('Player Data'!I744+'Player Data'!J744)/'Player Data'!H744*90,0))</f>
        <v>1.06584557081952</v>
      </c>
      <c r="I744" s="22" t="n">
        <f aca="false">IF(B744="GK",'Player Data'!P744,IFERROR(('Player Data'!K744+'Player Data'!L744)/'Player Data'!H744*90,0))</f>
        <v>62.8</v>
      </c>
      <c r="J744" s="22" t="n">
        <f aca="false">IF(B744="GK",IFERROR('Player Data'!Q744/'Player Data'!H744*90,0),IFERROR('Player Data'!M744/'Player Data'!H744*90,0))</f>
        <v>0.720511605873993</v>
      </c>
      <c r="K744" s="23" t="n">
        <f aca="false">'Player Data'!S744</f>
        <v>149641</v>
      </c>
      <c r="L744" s="22" t="n">
        <f aca="false">INDEX(Assumptions!$B$13:$B$15,MATCH(E744,Assumptions!$A$13:$A$15,0))</f>
        <v>1</v>
      </c>
      <c r="M744" s="24" t="n">
        <f aca="false">IFERROR(SUMPRODUCT(($B$2:$B$1001=B744)*($H$2:$H$1001&lt;=H744))/SUMPRODUCT(($B$2:$B$1001=B744)*1),0)</f>
        <v>0.459016393442623</v>
      </c>
      <c r="N744" s="24" t="n">
        <f aca="false">IFERROR(SUMPRODUCT(($B$2:$B$1001=B744)*($I$2:$I$1001&lt;=I744))/SUMPRODUCT(($B$2:$B$1001=B744)*1),0)</f>
        <v>0.240437158469945</v>
      </c>
      <c r="O744" s="24" t="n">
        <f aca="false">IFERROR(SUMPRODUCT(($B$2:$B$1001=B744)*($J$2:$J$1001&lt;=J744))/SUMPRODUCT(($B$2:$B$1001=B744)*1),0)</f>
        <v>0.398907103825137</v>
      </c>
      <c r="P744" s="24" t="n">
        <f aca="false">IFERROR(SUMPRODUCT(($B$2:$B$1001=B744)*((0-$F$2:$F$1001)&lt;=(0-F744)))/SUMPRODUCT(($B$2:$B$1001=B744)*1),0)</f>
        <v>0.677595628415301</v>
      </c>
      <c r="Q744" s="25" t="n">
        <f aca="false">(M744*Assumptions!$B$5+N744*Assumptions!$B$6+O744*Assumptions!$B$7+P744*Assumptions!$B$8)*L744</f>
        <v>0.414207650273224</v>
      </c>
      <c r="R744" s="24" t="n">
        <f aca="false">IFERROR(SUMPRODUCT(($B$2:$B$1001=B744)*($Q$2:$Q$1001&lt;=Q744))/SUMPRODUCT(($B$2:$B$1001=B744)*1),0)</f>
        <v>0.398907103825137</v>
      </c>
      <c r="S744" s="24" t="n">
        <f aca="false">IFERROR(SUMPRODUCT(($B$2:$B$1001=B744)*($K$2:$K$1001&lt;=K744))/SUMPRODUCT(($B$2:$B$1001=B744)*1),0)</f>
        <v>1</v>
      </c>
      <c r="T744" s="26" t="n">
        <f aca="false">(R744-S744)*100</f>
        <v>-60.1092896174863</v>
      </c>
      <c r="U744" s="21" t="str">
        <f aca="false">'Player Data'!T744</f>
        <v>Unknown</v>
      </c>
      <c r="V744" s="27" t="n">
        <f aca="false">'Player Data'!U744</f>
        <v>2026</v>
      </c>
      <c r="W744" s="21" t="str">
        <f aca="false">IF(AND(T744&gt;=Assumptions!$B$19,U744="No"),"High Priority - Unrepresented",IF(T744&gt;=Assumptions!$B$19,"High Priority",IF(AND(T744&gt;=Assumptions!$B$20,U744="No"),"Watchlist - Unrepresented",IF(T744&gt;=Assumptions!$B$20,"Watchlist",""))))</f>
        <v/>
      </c>
      <c r="X744" s="21" t="str">
        <f aca="false">'Player Data'!V744</f>
        <v>info@abidjanwanderers.ci</v>
      </c>
      <c r="Y744" s="28" t="str">
        <f aca="false">'Player Data'!W744</f>
        <v>Club sporting director / first-team office</v>
      </c>
      <c r="Z744" s="28" t="str">
        <f aca="false">'Player Data'!X744</f>
        <v>FIF (Ivorian Football Federation) player registry</v>
      </c>
      <c r="AA744" s="19" t="str">
        <f aca="false">HYPERLINK("https://www.transfermarkt.com/schnellsuche/ergebnis/schnellsuche?query="&amp;SUBSTITUTE(A744," ","+"),"Search Transfermarkt")</f>
        <v>Search Transfermarkt</v>
      </c>
      <c r="AB744" s="29" t="n">
        <f aca="false">IFERROR('Player Data'!K744/('Player Data'!K744+'Player Data'!L744),0)</f>
        <v>0.826086956521739</v>
      </c>
      <c r="AC744" s="21" t="str">
        <f aca="false">IF(B744="GK",IF(AND(O744&gt;=Assumptions!$B$23,N744&gt;=Assumptions!$B$23),"Sweeper-Keeper / Build-from-the-Back",IF(O744&gt;=Assumptions!$B$23,"Sweeper-Keeper / High Line",IF(M744&gt;=Assumptions!$B$23,"Shot-Stopper / Traditional","Flexible / Multi-System"))),IF(AND(O744&gt;=Assumptions!$B$23,P744&gt;=Assumptions!$B$24),"High Press / Gegenpressing",IF(AND(N744&gt;=Assumptions!$B$23,AB744&gt;=Assumptions!$B$25),"Possession / Build-from-the-Back",IF(N744&gt;=Assumptions!$B$23,"Counter-Attack / Transition",IF(AND(O744&gt;=Assumptions!$B$23,N744&lt;Assumptions!$B$26),"Low Block / Park the Bus",IF(AND(B744="FW",M744&gt;=Assumptions!$B$23,N744&lt;Assumptions!$B$26),"Direct / Target Approach","Flexible / Multi-System"))))))</f>
        <v>Flexible / Multi-System</v>
      </c>
      <c r="AD744" s="21" t="str">
        <f aca="false">'Player Data'!Y744</f>
        <v>2026-07-17</v>
      </c>
      <c r="AE744" s="21" t="str">
        <f aca="false">'Player Data'!Z744</f>
        <v>2026-07-17</v>
      </c>
      <c r="AF744" s="28" t="str">
        <f aca="false">IFERROR(INDEX(Assumptions!$B$30:$B$61,MATCH(C744,Assumptions!$A$30:$A$61,0)),"--")</f>
        <v>Belgium, Portugal</v>
      </c>
      <c r="AG744" s="30" t="str">
        <f aca="false">IF(R744&gt;=0.7,"Step-Up Candidate",IF(R744&gt;=0.4,"Lateral Move","Stay &amp; Develop"))</f>
        <v>Stay &amp; Develop</v>
      </c>
    </row>
    <row r="745" customFormat="false" ht="23.85" hidden="false" customHeight="false" outlineLevel="0" collapsed="false">
      <c r="A745" s="21" t="str">
        <f aca="false">'Player Data'!A745</f>
        <v>Roberts Vitols 94</v>
      </c>
      <c r="B745" s="21" t="str">
        <f aca="false">'Player Data'!F745</f>
        <v>GK</v>
      </c>
      <c r="C745" s="21" t="str">
        <f aca="false">'Player Data'!B745</f>
        <v>Latvia</v>
      </c>
      <c r="D745" s="21" t="str">
        <f aca="false">'Player Data'!C745</f>
        <v>Latvia Reserve League</v>
      </c>
      <c r="E745" s="21" t="n">
        <f aca="false">'Player Data'!D745</f>
        <v>3</v>
      </c>
      <c r="F745" s="21" t="n">
        <f aca="false">'Player Data'!G745</f>
        <v>23</v>
      </c>
      <c r="G745" s="21" t="n">
        <f aca="false">'Player Data'!H745</f>
        <v>1318</v>
      </c>
      <c r="H745" s="22" t="n">
        <f aca="false">IF(B745="GK",IFERROR(('Player Data'!N745-1.5*'Player Data'!O745)/'Player Data'!H745*90,0),IFERROR(('Player Data'!I745+'Player Data'!J745)/'Player Data'!H745*90,0))</f>
        <v>0.853566009104704</v>
      </c>
      <c r="I745" s="22" t="n">
        <f aca="false">IF(B745="GK",'Player Data'!P745,IFERROR(('Player Data'!K745+'Player Data'!L745)/'Player Data'!H745*90,0))</f>
        <v>62.7</v>
      </c>
      <c r="J745" s="22" t="n">
        <f aca="false">IF(B745="GK",IFERROR('Player Data'!Q745/'Player Data'!H745*90,0),IFERROR('Player Data'!M745/'Player Data'!H745*90,0))</f>
        <v>0.320940819423369</v>
      </c>
      <c r="K745" s="23" t="n">
        <f aca="false">'Player Data'!S745</f>
        <v>64855</v>
      </c>
      <c r="L745" s="22" t="n">
        <f aca="false">INDEX(Assumptions!$B$13:$B$15,MATCH(E745,Assumptions!$A$13:$A$15,0))</f>
        <v>0.85</v>
      </c>
      <c r="M745" s="24" t="n">
        <f aca="false">IFERROR(SUMPRODUCT(($B$2:$B$1001=B745)*($H$2:$H$1001&lt;=H745))/SUMPRODUCT(($B$2:$B$1001=B745)*1),0)</f>
        <v>0.360655737704918</v>
      </c>
      <c r="N745" s="24" t="n">
        <f aca="false">IFERROR(SUMPRODUCT(($B$2:$B$1001=B745)*($I$2:$I$1001&lt;=I745))/SUMPRODUCT(($B$2:$B$1001=B745)*1),0)</f>
        <v>0.234972677595628</v>
      </c>
      <c r="O745" s="24" t="n">
        <f aca="false">IFERROR(SUMPRODUCT(($B$2:$B$1001=B745)*($J$2:$J$1001&lt;=J745))/SUMPRODUCT(($B$2:$B$1001=B745)*1),0)</f>
        <v>0.147540983606557</v>
      </c>
      <c r="P745" s="24" t="n">
        <f aca="false">IFERROR(SUMPRODUCT(($B$2:$B$1001=B745)*((0-$F$2:$F$1001)&lt;=(0-F745)))/SUMPRODUCT(($B$2:$B$1001=B745)*1),0)</f>
        <v>0.431693989071038</v>
      </c>
      <c r="Q745" s="25" t="n">
        <f aca="false">(M745*Assumptions!$B$5+N745*Assumptions!$B$6+O745*Assumptions!$B$7+P745*Assumptions!$B$8)*L745</f>
        <v>0.245013661202186</v>
      </c>
      <c r="R745" s="24" t="n">
        <f aca="false">IFERROR(SUMPRODUCT(($B$2:$B$1001=B745)*($Q$2:$Q$1001&lt;=Q745))/SUMPRODUCT(($B$2:$B$1001=B745)*1),0)</f>
        <v>0.0655737704918033</v>
      </c>
      <c r="S745" s="24" t="n">
        <f aca="false">IFERROR(SUMPRODUCT(($B$2:$B$1001=B745)*($K$2:$K$1001&lt;=K745))/SUMPRODUCT(($B$2:$B$1001=B745)*1),0)</f>
        <v>0.491803278688525</v>
      </c>
      <c r="T745" s="26" t="n">
        <f aca="false">(R745-S745)*100</f>
        <v>-42.6229508196721</v>
      </c>
      <c r="U745" s="21" t="str">
        <f aca="false">'Player Data'!T745</f>
        <v>No</v>
      </c>
      <c r="V745" s="27" t="n">
        <f aca="false">'Player Data'!U745</f>
        <v>2029</v>
      </c>
      <c r="W745" s="21" t="str">
        <f aca="false">IF(AND(T745&gt;=Assumptions!$B$19,U745="No"),"High Priority - Unrepresented",IF(T745&gt;=Assumptions!$B$19,"High Priority",IF(AND(T745&gt;=Assumptions!$B$20,U745="No"),"Watchlist - Unrepresented",IF(T745&gt;=Assumptions!$B$20,"Watchlist",""))))</f>
        <v/>
      </c>
      <c r="X745" s="21" t="str">
        <f aca="false">'Player Data'!V745</f>
        <v>info@jelgavacity.lv</v>
      </c>
      <c r="Y745" s="28" t="str">
        <f aca="false">'Player Data'!W745</f>
        <v>Club sporting director / first-team office</v>
      </c>
      <c r="Z745" s="28" t="str">
        <f aca="false">'Player Data'!X745</f>
        <v>LFF (Latvian Football Federation) player registry</v>
      </c>
      <c r="AA745" s="19" t="str">
        <f aca="false">HYPERLINK("https://www.transfermarkt.com/schnellsuche/ergebnis/schnellsuche?query="&amp;SUBSTITUTE(A745," ","+"),"Search Transfermarkt")</f>
        <v>Search Transfermarkt</v>
      </c>
      <c r="AB745" s="29" t="n">
        <f aca="false">IFERROR('Player Data'!K745/('Player Data'!K745+'Player Data'!L745),0)</f>
        <v>1</v>
      </c>
      <c r="AC745" s="21" t="str">
        <f aca="false">IF(B745="GK",IF(AND(O745&gt;=Assumptions!$B$23,N745&gt;=Assumptions!$B$23),"Sweeper-Keeper / Build-from-the-Back",IF(O745&gt;=Assumptions!$B$23,"Sweeper-Keeper / High Line",IF(M745&gt;=Assumptions!$B$23,"Shot-Stopper / Traditional","Flexible / Multi-System"))),IF(AND(O745&gt;=Assumptions!$B$23,P745&gt;=Assumptions!$B$24),"High Press / Gegenpressing",IF(AND(N745&gt;=Assumptions!$B$23,AB745&gt;=Assumptions!$B$25),"Possession / Build-from-the-Back",IF(N745&gt;=Assumptions!$B$23,"Counter-Attack / Transition",IF(AND(O745&gt;=Assumptions!$B$23,N745&lt;Assumptions!$B$26),"Low Block / Park the Bus",IF(AND(B745="FW",M745&gt;=Assumptions!$B$23,N745&lt;Assumptions!$B$26),"Direct / Target Approach","Flexible / Multi-System"))))))</f>
        <v>Flexible / Multi-System</v>
      </c>
      <c r="AD745" s="21" t="str">
        <f aca="false">'Player Data'!Y745</f>
        <v>2026-07-17</v>
      </c>
      <c r="AE745" s="21" t="str">
        <f aca="false">'Player Data'!Z745</f>
        <v>2026-07-17</v>
      </c>
      <c r="AF745" s="28" t="str">
        <f aca="false">IFERROR(INDEX(Assumptions!$B$30:$B$61,MATCH(C745,Assumptions!$A$30:$A$61,0)),"--")</f>
        <v>Poland, Norway</v>
      </c>
      <c r="AG745" s="30" t="str">
        <f aca="false">IF(R745&gt;=0.7,"Step-Up Candidate",IF(R745&gt;=0.4,"Lateral Move","Stay &amp; Develop"))</f>
        <v>Stay &amp; Develop</v>
      </c>
    </row>
    <row r="746" customFormat="false" ht="23.85" hidden="false" customHeight="false" outlineLevel="0" collapsed="false">
      <c r="A746" s="21" t="str">
        <f aca="false">'Player Data'!A746</f>
        <v>Otabek Tashkentov</v>
      </c>
      <c r="B746" s="21" t="str">
        <f aca="false">'Player Data'!F746</f>
        <v>MF</v>
      </c>
      <c r="C746" s="21" t="str">
        <f aca="false">'Player Data'!B746</f>
        <v>Uzbekistan</v>
      </c>
      <c r="D746" s="21" t="str">
        <f aca="false">'Player Data'!C746</f>
        <v>Uzbekistan Regional League</v>
      </c>
      <c r="E746" s="21" t="n">
        <f aca="false">'Player Data'!D746</f>
        <v>2</v>
      </c>
      <c r="F746" s="21" t="n">
        <f aca="false">'Player Data'!G746</f>
        <v>24</v>
      </c>
      <c r="G746" s="21" t="n">
        <f aca="false">'Player Data'!H746</f>
        <v>1910</v>
      </c>
      <c r="H746" s="22" t="n">
        <f aca="false">IF(B746="GK",IFERROR(('Player Data'!N746-1.5*'Player Data'!O746)/'Player Data'!H746*90,0),IFERROR(('Player Data'!I746+'Player Data'!J746)/'Player Data'!H746*90,0))</f>
        <v>0.801047120418848</v>
      </c>
      <c r="I746" s="22" t="n">
        <f aca="false">IF(B746="GK",'Player Data'!P746,IFERROR(('Player Data'!K746+'Player Data'!L746)/'Player Data'!H746*90,0))</f>
        <v>11.0261780104712</v>
      </c>
      <c r="J746" s="22" t="n">
        <f aca="false">IF(B746="GK",IFERROR('Player Data'!Q746/'Player Data'!H746*90,0),IFERROR('Player Data'!M746/'Player Data'!H746*90,0))</f>
        <v>2.54450261780105</v>
      </c>
      <c r="K746" s="23" t="n">
        <f aca="false">'Player Data'!S746</f>
        <v>0</v>
      </c>
      <c r="L746" s="22" t="n">
        <f aca="false">INDEX(Assumptions!$B$13:$B$15,MATCH(E746,Assumptions!$A$13:$A$15,0))</f>
        <v>1</v>
      </c>
      <c r="M746" s="24" t="n">
        <f aca="false">IFERROR(SUMPRODUCT(($B$2:$B$1001=B746)*($H$2:$H$1001&lt;=H746))/SUMPRODUCT(($B$2:$B$1001=B746)*1),0)</f>
        <v>0.599326599326599</v>
      </c>
      <c r="N746" s="24" t="n">
        <f aca="false">IFERROR(SUMPRODUCT(($B$2:$B$1001=B746)*($I$2:$I$1001&lt;=I746))/SUMPRODUCT(($B$2:$B$1001=B746)*1),0)</f>
        <v>0.508417508417508</v>
      </c>
      <c r="O746" s="24" t="n">
        <f aca="false">IFERROR(SUMPRODUCT(($B$2:$B$1001=B746)*($J$2:$J$1001&lt;=J746))/SUMPRODUCT(($B$2:$B$1001=B746)*1),0)</f>
        <v>0.64983164983165</v>
      </c>
      <c r="P746" s="24" t="n">
        <f aca="false">IFERROR(SUMPRODUCT(($B$2:$B$1001=B746)*((0-$F$2:$F$1001)&lt;=(0-F746)))/SUMPRODUCT(($B$2:$B$1001=B746)*1),0)</f>
        <v>0.326599326599327</v>
      </c>
      <c r="Q746" s="25" t="n">
        <f aca="false">(M746*Assumptions!$B$5+N746*Assumptions!$B$6+O746*Assumptions!$B$7+P746*Assumptions!$B$8)*L746</f>
        <v>0.523063973063973</v>
      </c>
      <c r="R746" s="24" t="n">
        <f aca="false">IFERROR(SUMPRODUCT(($B$2:$B$1001=B746)*($Q$2:$Q$1001&lt;=Q746))/SUMPRODUCT(($B$2:$B$1001=B746)*1),0)</f>
        <v>0.67003367003367</v>
      </c>
      <c r="S746" s="24" t="n">
        <f aca="false">IFERROR(SUMPRODUCT(($B$2:$B$1001=B746)*($K$2:$K$1001&lt;=K746))/SUMPRODUCT(($B$2:$B$1001=B746)*1),0)</f>
        <v>0.228956228956229</v>
      </c>
      <c r="T746" s="26" t="n">
        <f aca="false">(R746-S746)*100</f>
        <v>44.1077441077441</v>
      </c>
      <c r="U746" s="21" t="str">
        <f aca="false">'Player Data'!T746</f>
        <v>No</v>
      </c>
      <c r="V746" s="27" t="n">
        <f aca="false">'Player Data'!U746</f>
        <v>2029</v>
      </c>
      <c r="W746" s="21" t="str">
        <f aca="false">IF(AND(T746&gt;=Assumptions!$B$19,U746="No"),"High Priority - Unrepresented",IF(T746&gt;=Assumptions!$B$19,"High Priority",IF(AND(T746&gt;=Assumptions!$B$20,U746="No"),"Watchlist - Unrepresented",IF(T746&gt;=Assumptions!$B$20,"Watchlist",""))))</f>
        <v>High Priority - Unrepresented</v>
      </c>
      <c r="X746" s="21" t="str">
        <f aca="false">'Player Data'!V746</f>
        <v>info@andijanwanderers.uz</v>
      </c>
      <c r="Y746" s="28" t="str">
        <f aca="false">'Player Data'!W746</f>
        <v>Club sporting director / first-team office</v>
      </c>
      <c r="Z746" s="28" t="str">
        <f aca="false">'Player Data'!X746</f>
        <v>UFF (Uzbekistan Football Federation) player registry</v>
      </c>
      <c r="AA746" s="19" t="str">
        <f aca="false">HYPERLINK("https://www.transfermarkt.com/schnellsuche/ergebnis/schnellsuche?query="&amp;SUBSTITUTE(A746," ","+"),"Search Transfermarkt")</f>
        <v>Search Transfermarkt</v>
      </c>
      <c r="AB746" s="29" t="n">
        <f aca="false">IFERROR('Player Data'!K746/('Player Data'!K746+'Player Data'!L746),0)</f>
        <v>0.709401709401709</v>
      </c>
      <c r="AC746" s="21" t="str">
        <f aca="false">IF(B746="GK",IF(AND(O746&gt;=Assumptions!$B$23,N746&gt;=Assumptions!$B$23),"Sweeper-Keeper / Build-from-the-Back",IF(O746&gt;=Assumptions!$B$23,"Sweeper-Keeper / High Line",IF(M746&gt;=Assumptions!$B$23,"Shot-Stopper / Traditional","Flexible / Multi-System"))),IF(AND(O746&gt;=Assumptions!$B$23,P746&gt;=Assumptions!$B$24),"High Press / Gegenpressing",IF(AND(N746&gt;=Assumptions!$B$23,AB746&gt;=Assumptions!$B$25),"Possession / Build-from-the-Back",IF(N746&gt;=Assumptions!$B$23,"Counter-Attack / Transition",IF(AND(O746&gt;=Assumptions!$B$23,N746&lt;Assumptions!$B$26),"Low Block / Park the Bus",IF(AND(B746="FW",M746&gt;=Assumptions!$B$23,N746&lt;Assumptions!$B$26),"Direct / Target Approach","Flexible / Multi-System"))))))</f>
        <v>Flexible / Multi-System</v>
      </c>
      <c r="AD746" s="21" t="str">
        <f aca="false">'Player Data'!Y746</f>
        <v>2026-07-17</v>
      </c>
      <c r="AE746" s="21" t="str">
        <f aca="false">'Player Data'!Z746</f>
        <v>2026-07-17</v>
      </c>
      <c r="AF746" s="28" t="str">
        <f aca="false">IFERROR(INDEX(Assumptions!$B$30:$B$61,MATCH(C746,Assumptions!$A$30:$A$61,0)),"--")</f>
        <v>Turkey, Saudi Arabia</v>
      </c>
      <c r="AG746" s="30" t="str">
        <f aca="false">IF(R746&gt;=0.7,"Step-Up Candidate",IF(R746&gt;=0.4,"Lateral Move","Stay &amp; Develop"))</f>
        <v>Lateral Move</v>
      </c>
    </row>
    <row r="747" customFormat="false" ht="23.85" hidden="false" customHeight="false" outlineLevel="0" collapsed="false">
      <c r="A747" s="21" t="str">
        <f aca="false">'Player Data'!A747</f>
        <v>Andres Zambrano</v>
      </c>
      <c r="B747" s="21" t="str">
        <f aca="false">'Player Data'!F747</f>
        <v>FW</v>
      </c>
      <c r="C747" s="21" t="str">
        <f aca="false">'Player Data'!B747</f>
        <v>Ecuador</v>
      </c>
      <c r="D747" s="21" t="str">
        <f aca="false">'Player Data'!C747</f>
        <v>Ecuador Reserve League</v>
      </c>
      <c r="E747" s="21" t="n">
        <f aca="false">'Player Data'!D747</f>
        <v>4</v>
      </c>
      <c r="F747" s="21" t="n">
        <f aca="false">'Player Data'!G747</f>
        <v>22</v>
      </c>
      <c r="G747" s="21" t="n">
        <f aca="false">'Player Data'!H747</f>
        <v>2642</v>
      </c>
      <c r="H747" s="22" t="n">
        <f aca="false">IF(B747="GK",IFERROR(('Player Data'!N747-1.5*'Player Data'!O747)/'Player Data'!H747*90,0),IFERROR(('Player Data'!I747+'Player Data'!J747)/'Player Data'!H747*90,0))</f>
        <v>0.647236941710825</v>
      </c>
      <c r="I747" s="22" t="n">
        <f aca="false">IF(B747="GK",'Player Data'!P747,IFERROR(('Player Data'!K747+'Player Data'!L747)/'Player Data'!H747*90,0))</f>
        <v>5.41635124905375</v>
      </c>
      <c r="J747" s="22" t="n">
        <f aca="false">IF(B747="GK",IFERROR('Player Data'!Q747/'Player Data'!H747*90,0),IFERROR('Player Data'!M747/'Player Data'!H747*90,0))</f>
        <v>0.510976532929599</v>
      </c>
      <c r="K747" s="23" t="n">
        <f aca="false">'Player Data'!S747</f>
        <v>0</v>
      </c>
      <c r="L747" s="22" t="n">
        <f aca="false">INDEX(Assumptions!$B$13:$B$15,MATCH(E747,Assumptions!$A$13:$A$15,0))</f>
        <v>0.7</v>
      </c>
      <c r="M747" s="24" t="n">
        <f aca="false">IFERROR(SUMPRODUCT(($B$2:$B$1001=B747)*($H$2:$H$1001&lt;=H747))/SUMPRODUCT(($B$2:$B$1001=B747)*1),0)</f>
        <v>0.199115044247788</v>
      </c>
      <c r="N747" s="24" t="n">
        <f aca="false">IFERROR(SUMPRODUCT(($B$2:$B$1001=B747)*($I$2:$I$1001&lt;=I747))/SUMPRODUCT(($B$2:$B$1001=B747)*1),0)</f>
        <v>0.29646017699115</v>
      </c>
      <c r="O747" s="24" t="n">
        <f aca="false">IFERROR(SUMPRODUCT(($B$2:$B$1001=B747)*($J$2:$J$1001&lt;=J747))/SUMPRODUCT(($B$2:$B$1001=B747)*1),0)</f>
        <v>0.52212389380531</v>
      </c>
      <c r="P747" s="24" t="n">
        <f aca="false">IFERROR(SUMPRODUCT(($B$2:$B$1001=B747)*((0-$F$2:$F$1001)&lt;=(0-F747)))/SUMPRODUCT(($B$2:$B$1001=B747)*1),0)</f>
        <v>0.504424778761062</v>
      </c>
      <c r="Q747" s="25" t="n">
        <f aca="false">(M747*Assumptions!$B$5+N747*Assumptions!$B$6+O747*Assumptions!$B$7+P747*Assumptions!$B$8)*L747</f>
        <v>0.251194690265487</v>
      </c>
      <c r="R747" s="24" t="n">
        <f aca="false">IFERROR(SUMPRODUCT(($B$2:$B$1001=B747)*($Q$2:$Q$1001&lt;=Q747))/SUMPRODUCT(($B$2:$B$1001=B747)*1),0)</f>
        <v>0.199115044247788</v>
      </c>
      <c r="S747" s="24" t="n">
        <f aca="false">IFERROR(SUMPRODUCT(($B$2:$B$1001=B747)*($K$2:$K$1001&lt;=K747))/SUMPRODUCT(($B$2:$B$1001=B747)*1),0)</f>
        <v>0.261061946902655</v>
      </c>
      <c r="T747" s="26" t="n">
        <f aca="false">(R747-S747)*100</f>
        <v>-6.19469026548673</v>
      </c>
      <c r="U747" s="21" t="str">
        <f aca="false">'Player Data'!T747</f>
        <v>Yes</v>
      </c>
      <c r="V747" s="27" t="n">
        <f aca="false">'Player Data'!U747</f>
        <v>2029</v>
      </c>
      <c r="W747" s="21" t="str">
        <f aca="false">IF(AND(T747&gt;=Assumptions!$B$19,U747="No"),"High Priority - Unrepresented",IF(T747&gt;=Assumptions!$B$19,"High Priority",IF(AND(T747&gt;=Assumptions!$B$20,U747="No"),"Watchlist - Unrepresented",IF(T747&gt;=Assumptions!$B$20,"Watchlist",""))))</f>
        <v/>
      </c>
      <c r="X747" s="21" t="str">
        <f aca="false">'Player Data'!V747</f>
        <v>info@mantarangers.ec</v>
      </c>
      <c r="Y747" s="28" t="str">
        <f aca="false">'Player Data'!W747</f>
        <v>Go through the player's agent - ask the club to confirm representation first</v>
      </c>
      <c r="Z747" s="28" t="str">
        <f aca="false">'Player Data'!X747</f>
        <v>FEF (Ecuadorian Football Federation) player registry</v>
      </c>
      <c r="AA747" s="19" t="str">
        <f aca="false">HYPERLINK("https://www.transfermarkt.com/schnellsuche/ergebnis/schnellsuche?query="&amp;SUBSTITUTE(A747," ","+"),"Search Transfermarkt")</f>
        <v>Search Transfermarkt</v>
      </c>
      <c r="AB747" s="29" t="n">
        <f aca="false">IFERROR('Player Data'!K747/('Player Data'!K747+'Player Data'!L747),0)</f>
        <v>0.408805031446541</v>
      </c>
      <c r="AC747" s="21" t="str">
        <f aca="false">IF(B747="GK",IF(AND(O747&gt;=Assumptions!$B$23,N747&gt;=Assumptions!$B$23),"Sweeper-Keeper / Build-from-the-Back",IF(O747&gt;=Assumptions!$B$23,"Sweeper-Keeper / High Line",IF(M747&gt;=Assumptions!$B$23,"Shot-Stopper / Traditional","Flexible / Multi-System"))),IF(AND(O747&gt;=Assumptions!$B$23,P747&gt;=Assumptions!$B$24),"High Press / Gegenpressing",IF(AND(N747&gt;=Assumptions!$B$23,AB747&gt;=Assumptions!$B$25),"Possession / Build-from-the-Back",IF(N747&gt;=Assumptions!$B$23,"Counter-Attack / Transition",IF(AND(O747&gt;=Assumptions!$B$23,N747&lt;Assumptions!$B$26),"Low Block / Park the Bus",IF(AND(B747="FW",M747&gt;=Assumptions!$B$23,N747&lt;Assumptions!$B$26),"Direct / Target Approach","Flexible / Multi-System"))))))</f>
        <v>Flexible / Multi-System</v>
      </c>
      <c r="AD747" s="21" t="str">
        <f aca="false">'Player Data'!Y747</f>
        <v>2026-07-17</v>
      </c>
      <c r="AE747" s="21" t="str">
        <f aca="false">'Player Data'!Z747</f>
        <v>2026-07-17</v>
      </c>
      <c r="AF747" s="28" t="str">
        <f aca="false">IFERROR(INDEX(Assumptions!$B$30:$B$61,MATCH(C747,Assumptions!$A$30:$A$61,0)),"--")</f>
        <v>Argentina, Portugal</v>
      </c>
      <c r="AG747" s="30" t="str">
        <f aca="false">IF(R747&gt;=0.7,"Step-Up Candidate",IF(R747&gt;=0.4,"Lateral Move","Stay &amp; Develop"))</f>
        <v>Stay &amp; Develop</v>
      </c>
    </row>
    <row r="748" customFormat="false" ht="23.85" hidden="false" customHeight="false" outlineLevel="0" collapsed="false">
      <c r="A748" s="21" t="str">
        <f aca="false">'Player Data'!A748</f>
        <v>Andres Kask</v>
      </c>
      <c r="B748" s="21" t="str">
        <f aca="false">'Player Data'!F748</f>
        <v>GK</v>
      </c>
      <c r="C748" s="21" t="str">
        <f aca="false">'Player Data'!B748</f>
        <v>Estonia</v>
      </c>
      <c r="D748" s="21" t="str">
        <f aca="false">'Player Data'!C748</f>
        <v>Estonia Second Division - East</v>
      </c>
      <c r="E748" s="21" t="n">
        <f aca="false">'Player Data'!D748</f>
        <v>2</v>
      </c>
      <c r="F748" s="21" t="n">
        <f aca="false">'Player Data'!G748</f>
        <v>23</v>
      </c>
      <c r="G748" s="21" t="n">
        <f aca="false">'Player Data'!H748</f>
        <v>2549</v>
      </c>
      <c r="H748" s="22" t="n">
        <f aca="false">IF(B748="GK",IFERROR(('Player Data'!N748-1.5*'Player Data'!O748)/'Player Data'!H748*90,0),IFERROR(('Player Data'!I748+'Player Data'!J748)/'Player Data'!H748*90,0))</f>
        <v>-0.52961945861122</v>
      </c>
      <c r="I748" s="22" t="n">
        <f aca="false">IF(B748="GK",'Player Data'!P748,IFERROR(('Player Data'!K748+'Player Data'!L748)/'Player Data'!H748*90,0))</f>
        <v>81.2</v>
      </c>
      <c r="J748" s="22" t="n">
        <f aca="false">IF(B748="GK",IFERROR('Player Data'!Q748/'Player Data'!H748*90,0),IFERROR('Player Data'!M748/'Player Data'!H748*90,0))</f>
        <v>0.543742644174186</v>
      </c>
      <c r="K748" s="23" t="n">
        <f aca="false">'Player Data'!S748</f>
        <v>31163</v>
      </c>
      <c r="L748" s="22" t="n">
        <f aca="false">INDEX(Assumptions!$B$13:$B$15,MATCH(E748,Assumptions!$A$13:$A$15,0))</f>
        <v>1</v>
      </c>
      <c r="M748" s="24" t="n">
        <f aca="false">IFERROR(SUMPRODUCT(($B$2:$B$1001=B748)*($H$2:$H$1001&lt;=H748))/SUMPRODUCT(($B$2:$B$1001=B748)*1),0)</f>
        <v>0.0765027322404372</v>
      </c>
      <c r="N748" s="24" t="n">
        <f aca="false">IFERROR(SUMPRODUCT(($B$2:$B$1001=B748)*($I$2:$I$1001&lt;=I748))/SUMPRODUCT(($B$2:$B$1001=B748)*1),0)</f>
        <v>0.699453551912568</v>
      </c>
      <c r="O748" s="24" t="n">
        <f aca="false">IFERROR(SUMPRODUCT(($B$2:$B$1001=B748)*($J$2:$J$1001&lt;=J748))/SUMPRODUCT(($B$2:$B$1001=B748)*1),0)</f>
        <v>0.284153005464481</v>
      </c>
      <c r="P748" s="24" t="n">
        <f aca="false">IFERROR(SUMPRODUCT(($B$2:$B$1001=B748)*((0-$F$2:$F$1001)&lt;=(0-F748)))/SUMPRODUCT(($B$2:$B$1001=B748)*1),0)</f>
        <v>0.431693989071038</v>
      </c>
      <c r="Q748" s="25" t="n">
        <f aca="false">(M748*Assumptions!$B$5+N748*Assumptions!$B$6+O748*Assumptions!$B$7+P748*Assumptions!$B$8)*L748</f>
        <v>0.407103825136612</v>
      </c>
      <c r="R748" s="24" t="n">
        <f aca="false">IFERROR(SUMPRODUCT(($B$2:$B$1001=B748)*($Q$2:$Q$1001&lt;=Q748))/SUMPRODUCT(($B$2:$B$1001=B748)*1),0)</f>
        <v>0.382513661202186</v>
      </c>
      <c r="S748" s="24" t="n">
        <f aca="false">IFERROR(SUMPRODUCT(($B$2:$B$1001=B748)*($K$2:$K$1001&lt;=K748))/SUMPRODUCT(($B$2:$B$1001=B748)*1),0)</f>
        <v>0.316939890710383</v>
      </c>
      <c r="T748" s="26" t="n">
        <f aca="false">(R748-S748)*100</f>
        <v>6.55737704918032</v>
      </c>
      <c r="U748" s="21" t="str">
        <f aca="false">'Player Data'!T748</f>
        <v>Unknown</v>
      </c>
      <c r="V748" s="27" t="n">
        <f aca="false">'Player Data'!U748</f>
        <v>2026</v>
      </c>
      <c r="W748" s="21" t="str">
        <f aca="false">IF(AND(T748&gt;=Assumptions!$B$19,U748="No"),"High Priority - Unrepresented",IF(T748&gt;=Assumptions!$B$19,"High Priority",IF(AND(T748&gt;=Assumptions!$B$20,U748="No"),"Watchlist - Unrepresented",IF(T748&gt;=Assumptions!$B$20,"Watchlist",""))))</f>
        <v/>
      </c>
      <c r="X748" s="21" t="str">
        <f aca="false">'Player Data'!V748</f>
        <v>info@narvaathletic.ee</v>
      </c>
      <c r="Y748" s="28" t="str">
        <f aca="false">'Player Data'!W748</f>
        <v>Club sporting director / first-team office</v>
      </c>
      <c r="Z748" s="28" t="str">
        <f aca="false">'Player Data'!X748</f>
        <v>EJL (Estonian Football Association) player registry</v>
      </c>
      <c r="AA748" s="19" t="str">
        <f aca="false">HYPERLINK("https://www.transfermarkt.com/schnellsuche/ergebnis/schnellsuche?query="&amp;SUBSTITUTE(A748," ","+"),"Search Transfermarkt")</f>
        <v>Search Transfermarkt</v>
      </c>
      <c r="AB748" s="29" t="n">
        <f aca="false">IFERROR('Player Data'!K748/('Player Data'!K748+'Player Data'!L748),0)</f>
        <v>1</v>
      </c>
      <c r="AC748" s="21" t="str">
        <f aca="false">IF(B748="GK",IF(AND(O748&gt;=Assumptions!$B$23,N748&gt;=Assumptions!$B$23),"Sweeper-Keeper / Build-from-the-Back",IF(O748&gt;=Assumptions!$B$23,"Sweeper-Keeper / High Line",IF(M748&gt;=Assumptions!$B$23,"Shot-Stopper / Traditional","Flexible / Multi-System"))),IF(AND(O748&gt;=Assumptions!$B$23,P748&gt;=Assumptions!$B$24),"High Press / Gegenpressing",IF(AND(N748&gt;=Assumptions!$B$23,AB748&gt;=Assumptions!$B$25),"Possession / Build-from-the-Back",IF(N748&gt;=Assumptions!$B$23,"Counter-Attack / Transition",IF(AND(O748&gt;=Assumptions!$B$23,N748&lt;Assumptions!$B$26),"Low Block / Park the Bus",IF(AND(B748="FW",M748&gt;=Assumptions!$B$23,N748&lt;Assumptions!$B$26),"Direct / Target Approach","Flexible / Multi-System"))))))</f>
        <v>Flexible / Multi-System</v>
      </c>
      <c r="AD748" s="21" t="str">
        <f aca="false">'Player Data'!Y748</f>
        <v>2026-07-17</v>
      </c>
      <c r="AE748" s="21" t="str">
        <f aca="false">'Player Data'!Z748</f>
        <v>2026-07-17</v>
      </c>
      <c r="AF748" s="28" t="str">
        <f aca="false">IFERROR(INDEX(Assumptions!$B$30:$B$61,MATCH(C748,Assumptions!$A$30:$A$61,0)),"--")</f>
        <v>Poland, Norway</v>
      </c>
      <c r="AG748" s="30" t="str">
        <f aca="false">IF(R748&gt;=0.7,"Step-Up Candidate",IF(R748&gt;=0.4,"Lateral Move","Stay &amp; Develop"))</f>
        <v>Stay &amp; Develop</v>
      </c>
    </row>
    <row r="749" customFormat="false" ht="23.85" hidden="false" customHeight="false" outlineLevel="0" collapsed="false">
      <c r="A749" s="21" t="str">
        <f aca="false">'Player Data'!A749</f>
        <v>Anon Charoensuk</v>
      </c>
      <c r="B749" s="21" t="str">
        <f aca="false">'Player Data'!F749</f>
        <v>GK</v>
      </c>
      <c r="C749" s="21" t="str">
        <f aca="false">'Player Data'!B749</f>
        <v>Thailand</v>
      </c>
      <c r="D749" s="21" t="str">
        <f aca="false">'Player Data'!C749</f>
        <v>Thailand Third Tier - South</v>
      </c>
      <c r="E749" s="21" t="n">
        <f aca="false">'Player Data'!D749</f>
        <v>3</v>
      </c>
      <c r="F749" s="21" t="n">
        <f aca="false">'Player Data'!G749</f>
        <v>22</v>
      </c>
      <c r="G749" s="21" t="n">
        <f aca="false">'Player Data'!H749</f>
        <v>2075</v>
      </c>
      <c r="H749" s="22" t="n">
        <f aca="false">IF(B749="GK",IFERROR(('Player Data'!N749-1.5*'Player Data'!O749)/'Player Data'!H749*90,0),IFERROR(('Player Data'!I749+'Player Data'!J749)/'Player Data'!H749*90,0))</f>
        <v>1.38795180722892</v>
      </c>
      <c r="I749" s="22" t="n">
        <f aca="false">IF(B749="GK",'Player Data'!P749,IFERROR(('Player Data'!K749+'Player Data'!L749)/'Player Data'!H749*90,0))</f>
        <v>71.6</v>
      </c>
      <c r="J749" s="22" t="n">
        <f aca="false">IF(B749="GK",IFERROR('Player Data'!Q749/'Player Data'!H749*90,0),IFERROR('Player Data'!M749/'Player Data'!H749*90,0))</f>
        <v>0.212530120481928</v>
      </c>
      <c r="K749" s="23" t="n">
        <f aca="false">'Player Data'!S749</f>
        <v>95441</v>
      </c>
      <c r="L749" s="22" t="n">
        <f aca="false">INDEX(Assumptions!$B$13:$B$15,MATCH(E749,Assumptions!$A$13:$A$15,0))</f>
        <v>0.85</v>
      </c>
      <c r="M749" s="24" t="n">
        <f aca="false">IFERROR(SUMPRODUCT(($B$2:$B$1001=B749)*($H$2:$H$1001&lt;=H749))/SUMPRODUCT(($B$2:$B$1001=B749)*1),0)</f>
        <v>0.617486338797814</v>
      </c>
      <c r="N749" s="24" t="n">
        <f aca="false">IFERROR(SUMPRODUCT(($B$2:$B$1001=B749)*($I$2:$I$1001&lt;=I749))/SUMPRODUCT(($B$2:$B$1001=B749)*1),0)</f>
        <v>0.459016393442623</v>
      </c>
      <c r="O749" s="24" t="n">
        <f aca="false">IFERROR(SUMPRODUCT(($B$2:$B$1001=B749)*($J$2:$J$1001&lt;=J749))/SUMPRODUCT(($B$2:$B$1001=B749)*1),0)</f>
        <v>0.0601092896174863</v>
      </c>
      <c r="P749" s="24" t="n">
        <f aca="false">IFERROR(SUMPRODUCT(($B$2:$B$1001=B749)*((0-$F$2:$F$1001)&lt;=(0-F749)))/SUMPRODUCT(($B$2:$B$1001=B749)*1),0)</f>
        <v>0.530054644808743</v>
      </c>
      <c r="Q749" s="25" t="n">
        <f aca="false">(M749*Assumptions!$B$5+N749*Assumptions!$B$6+O749*Assumptions!$B$7+P749*Assumptions!$B$8)*L749</f>
        <v>0.368101092896175</v>
      </c>
      <c r="R749" s="24" t="n">
        <f aca="false">IFERROR(SUMPRODUCT(($B$2:$B$1001=B749)*($Q$2:$Q$1001&lt;=Q749))/SUMPRODUCT(($B$2:$B$1001=B749)*1),0)</f>
        <v>0.316939890710383</v>
      </c>
      <c r="S749" s="24" t="n">
        <f aca="false">IFERROR(SUMPRODUCT(($B$2:$B$1001=B749)*($K$2:$K$1001&lt;=K749))/SUMPRODUCT(($B$2:$B$1001=B749)*1),0)</f>
        <v>0.677595628415301</v>
      </c>
      <c r="T749" s="26" t="n">
        <f aca="false">(R749-S749)*100</f>
        <v>-36.0655737704918</v>
      </c>
      <c r="U749" s="21" t="str">
        <f aca="false">'Player Data'!T749</f>
        <v>No</v>
      </c>
      <c r="V749" s="27" t="n">
        <f aca="false">'Player Data'!U749</f>
        <v>2027</v>
      </c>
      <c r="W749" s="21" t="str">
        <f aca="false">IF(AND(T749&gt;=Assumptions!$B$19,U749="No"),"High Priority - Unrepresented",IF(T749&gt;=Assumptions!$B$19,"High Priority",IF(AND(T749&gt;=Assumptions!$B$20,U749="No"),"Watchlist - Unrepresented",IF(T749&gt;=Assumptions!$B$20,"Watchlist",""))))</f>
        <v/>
      </c>
      <c r="X749" s="21" t="str">
        <f aca="false">'Player Data'!V749</f>
        <v>info@chiangmaitown.th</v>
      </c>
      <c r="Y749" s="28" t="str">
        <f aca="false">'Player Data'!W749</f>
        <v>Club sporting director / first-team office</v>
      </c>
      <c r="Z749" s="28" t="str">
        <f aca="false">'Player Data'!X749</f>
        <v>FAT (Football Association of Thailand) player registry</v>
      </c>
      <c r="AA749" s="19" t="str">
        <f aca="false">HYPERLINK("https://www.transfermarkt.com/schnellsuche/ergebnis/schnellsuche?query="&amp;SUBSTITUTE(A749," ","+"),"Search Transfermarkt")</f>
        <v>Search Transfermarkt</v>
      </c>
      <c r="AB749" s="29" t="n">
        <f aca="false">IFERROR('Player Data'!K749/('Player Data'!K749+'Player Data'!L749),0)</f>
        <v>0.68421052631579</v>
      </c>
      <c r="AC749" s="21" t="str">
        <f aca="false">IF(B749="GK",IF(AND(O749&gt;=Assumptions!$B$23,N749&gt;=Assumptions!$B$23),"Sweeper-Keeper / Build-from-the-Back",IF(O749&gt;=Assumptions!$B$23,"Sweeper-Keeper / High Line",IF(M749&gt;=Assumptions!$B$23,"Shot-Stopper / Traditional","Flexible / Multi-System"))),IF(AND(O749&gt;=Assumptions!$B$23,P749&gt;=Assumptions!$B$24),"High Press / Gegenpressing",IF(AND(N749&gt;=Assumptions!$B$23,AB749&gt;=Assumptions!$B$25),"Possession / Build-from-the-Back",IF(N749&gt;=Assumptions!$B$23,"Counter-Attack / Transition",IF(AND(O749&gt;=Assumptions!$B$23,N749&lt;Assumptions!$B$26),"Low Block / Park the Bus",IF(AND(B749="FW",M749&gt;=Assumptions!$B$23,N749&lt;Assumptions!$B$26),"Direct / Target Approach","Flexible / Multi-System"))))))</f>
        <v>Flexible / Multi-System</v>
      </c>
      <c r="AD749" s="21" t="str">
        <f aca="false">'Player Data'!Y749</f>
        <v>2026-07-17</v>
      </c>
      <c r="AE749" s="21" t="str">
        <f aca="false">'Player Data'!Z749</f>
        <v>2026-07-17</v>
      </c>
      <c r="AF749" s="28" t="str">
        <f aca="false">IFERROR(INDEX(Assumptions!$B$30:$B$61,MATCH(C749,Assumptions!$A$30:$A$61,0)),"--")</f>
        <v>Australia, Saudi Arabia</v>
      </c>
      <c r="AG749" s="30" t="str">
        <f aca="false">IF(R749&gt;=0.7,"Step-Up Candidate",IF(R749&gt;=0.4,"Lateral Move","Stay &amp; Develop"))</f>
        <v>Stay &amp; Develop</v>
      </c>
    </row>
    <row r="750" customFormat="false" ht="23.85" hidden="false" customHeight="false" outlineLevel="0" collapsed="false">
      <c r="A750" s="21" t="str">
        <f aca="false">'Player Data'!A750</f>
        <v>Erion Shala</v>
      </c>
      <c r="B750" s="21" t="str">
        <f aca="false">'Player Data'!F750</f>
        <v>MF</v>
      </c>
      <c r="C750" s="21" t="str">
        <f aca="false">'Player Data'!B750</f>
        <v>Albania</v>
      </c>
      <c r="D750" s="21" t="str">
        <f aca="false">'Player Data'!C750</f>
        <v>Albania Regional League</v>
      </c>
      <c r="E750" s="21" t="n">
        <f aca="false">'Player Data'!D750</f>
        <v>4</v>
      </c>
      <c r="F750" s="21" t="n">
        <f aca="false">'Player Data'!G750</f>
        <v>21</v>
      </c>
      <c r="G750" s="21" t="n">
        <f aca="false">'Player Data'!H750</f>
        <v>1216</v>
      </c>
      <c r="H750" s="22" t="n">
        <f aca="false">IF(B750="GK",IFERROR(('Player Data'!N750-1.5*'Player Data'!O750)/'Player Data'!H750*90,0),IFERROR(('Player Data'!I750+'Player Data'!J750)/'Player Data'!H750*90,0))</f>
        <v>0.814144736842105</v>
      </c>
      <c r="I750" s="22" t="n">
        <f aca="false">IF(B750="GK",'Player Data'!P750,IFERROR(('Player Data'!K750+'Player Data'!L750)/'Player Data'!H750*90,0))</f>
        <v>15.9868421052632</v>
      </c>
      <c r="J750" s="22" t="n">
        <f aca="false">IF(B750="GK",IFERROR('Player Data'!Q750/'Player Data'!H750*90,0),IFERROR('Player Data'!M750/'Player Data'!H750*90,0))</f>
        <v>3.99671052631579</v>
      </c>
      <c r="K750" s="23" t="n">
        <f aca="false">'Player Data'!S750</f>
        <v>85314</v>
      </c>
      <c r="L750" s="22" t="n">
        <f aca="false">INDEX(Assumptions!$B$13:$B$15,MATCH(E750,Assumptions!$A$13:$A$15,0))</f>
        <v>0.7</v>
      </c>
      <c r="M750" s="24" t="n">
        <f aca="false">IFERROR(SUMPRODUCT(($B$2:$B$1001=B750)*($H$2:$H$1001&lt;=H750))/SUMPRODUCT(($B$2:$B$1001=B750)*1),0)</f>
        <v>0.612794612794613</v>
      </c>
      <c r="N750" s="24" t="n">
        <f aca="false">IFERROR(SUMPRODUCT(($B$2:$B$1001=B750)*($I$2:$I$1001&lt;=I750))/SUMPRODUCT(($B$2:$B$1001=B750)*1),0)</f>
        <v>0.797979797979798</v>
      </c>
      <c r="O750" s="24" t="n">
        <f aca="false">IFERROR(SUMPRODUCT(($B$2:$B$1001=B750)*($J$2:$J$1001&lt;=J750))/SUMPRODUCT(($B$2:$B$1001=B750)*1),0)</f>
        <v>0.925925925925926</v>
      </c>
      <c r="P750" s="24" t="n">
        <f aca="false">IFERROR(SUMPRODUCT(($B$2:$B$1001=B750)*((0-$F$2:$F$1001)&lt;=(0-F750)))/SUMPRODUCT(($B$2:$B$1001=B750)*1),0)</f>
        <v>0.61952861952862</v>
      </c>
      <c r="Q750" s="25" t="n">
        <f aca="false">(M750*Assumptions!$B$5+N750*Assumptions!$B$6+O750*Assumptions!$B$7+P750*Assumptions!$B$8)*L750</f>
        <v>0.519107744107744</v>
      </c>
      <c r="R750" s="24" t="n">
        <f aca="false">IFERROR(SUMPRODUCT(($B$2:$B$1001=B750)*($Q$2:$Q$1001&lt;=Q750))/SUMPRODUCT(($B$2:$B$1001=B750)*1),0)</f>
        <v>0.656565656565657</v>
      </c>
      <c r="S750" s="24" t="n">
        <f aca="false">IFERROR(SUMPRODUCT(($B$2:$B$1001=B750)*($K$2:$K$1001&lt;=K750))/SUMPRODUCT(($B$2:$B$1001=B750)*1),0)</f>
        <v>0.673400673400673</v>
      </c>
      <c r="T750" s="26" t="n">
        <f aca="false">(R750-S750)*100</f>
        <v>-1.68350168350169</v>
      </c>
      <c r="U750" s="21" t="str">
        <f aca="false">'Player Data'!T750</f>
        <v>No</v>
      </c>
      <c r="V750" s="27" t="n">
        <f aca="false">'Player Data'!U750</f>
        <v>2029</v>
      </c>
      <c r="W750" s="21" t="str">
        <f aca="false">IF(AND(T750&gt;=Assumptions!$B$19,U750="No"),"High Priority - Unrepresented",IF(T750&gt;=Assumptions!$B$19,"High Priority",IF(AND(T750&gt;=Assumptions!$B$20,U750="No"),"Watchlist - Unrepresented",IF(T750&gt;=Assumptions!$B$20,"Watchlist",""))))</f>
        <v/>
      </c>
      <c r="X750" s="21" t="str">
        <f aca="false">'Player Data'!V750</f>
        <v>info@elbasanwanderers.al</v>
      </c>
      <c r="Y750" s="28" t="str">
        <f aca="false">'Player Data'!W750</f>
        <v>Club sporting director / first-team office</v>
      </c>
      <c r="Z750" s="28" t="str">
        <f aca="false">'Player Data'!X750</f>
        <v>FSHF (Albanian Football Association) player registry</v>
      </c>
      <c r="AA750" s="19" t="str">
        <f aca="false">HYPERLINK("https://www.transfermarkt.com/schnellsuche/ergebnis/schnellsuche?query="&amp;SUBSTITUTE(A750," ","+"),"Search Transfermarkt")</f>
        <v>Search Transfermarkt</v>
      </c>
      <c r="AB750" s="29" t="n">
        <f aca="false">IFERROR('Player Data'!K750/('Player Data'!K750+'Player Data'!L750),0)</f>
        <v>0.703703703703704</v>
      </c>
      <c r="AC750" s="21" t="str">
        <f aca="false">IF(B750="GK",IF(AND(O750&gt;=Assumptions!$B$23,N750&gt;=Assumptions!$B$23),"Sweeper-Keeper / Build-from-the-Back",IF(O750&gt;=Assumptions!$B$23,"Sweeper-Keeper / High Line",IF(M750&gt;=Assumptions!$B$23,"Shot-Stopper / Traditional","Flexible / Multi-System"))),IF(AND(O750&gt;=Assumptions!$B$23,P750&gt;=Assumptions!$B$24),"High Press / Gegenpressing",IF(AND(N750&gt;=Assumptions!$B$23,AB750&gt;=Assumptions!$B$25),"Possession / Build-from-the-Back",IF(N750&gt;=Assumptions!$B$23,"Counter-Attack / Transition",IF(AND(O750&gt;=Assumptions!$B$23,N750&lt;Assumptions!$B$26),"Low Block / Park the Bus",IF(AND(B750="FW",M750&gt;=Assumptions!$B$23,N750&lt;Assumptions!$B$26),"Direct / Target Approach","Flexible / Multi-System"))))))</f>
        <v>High Press / Gegenpressing</v>
      </c>
      <c r="AD750" s="21" t="str">
        <f aca="false">'Player Data'!Y750</f>
        <v>2026-07-17</v>
      </c>
      <c r="AE750" s="21" t="str">
        <f aca="false">'Player Data'!Z750</f>
        <v>2026-07-17</v>
      </c>
      <c r="AF750" s="28" t="str">
        <f aca="false">IFERROR(INDEX(Assumptions!$B$30:$B$61,MATCH(C750,Assumptions!$A$30:$A$61,0)),"--")</f>
        <v>Turkey, Poland</v>
      </c>
      <c r="AG750" s="30" t="str">
        <f aca="false">IF(R750&gt;=0.7,"Step-Up Candidate",IF(R750&gt;=0.4,"Lateral Move","Stay &amp; Develop"))</f>
        <v>Lateral Move</v>
      </c>
    </row>
    <row r="751" customFormat="false" ht="23.85" hidden="false" customHeight="false" outlineLevel="0" collapsed="false">
      <c r="A751" s="21" t="str">
        <f aca="false">'Player Data'!A751</f>
        <v>Ibrahima Diop</v>
      </c>
      <c r="B751" s="21" t="str">
        <f aca="false">'Player Data'!F751</f>
        <v>FW</v>
      </c>
      <c r="C751" s="21" t="str">
        <f aca="false">'Player Data'!B751</f>
        <v>Senegal</v>
      </c>
      <c r="D751" s="21" t="str">
        <f aca="false">'Player Data'!C751</f>
        <v>Senegal Second Division - West</v>
      </c>
      <c r="E751" s="21" t="n">
        <f aca="false">'Player Data'!D751</f>
        <v>2</v>
      </c>
      <c r="F751" s="21" t="n">
        <f aca="false">'Player Data'!G751</f>
        <v>22</v>
      </c>
      <c r="G751" s="21" t="n">
        <f aca="false">'Player Data'!H751</f>
        <v>977</v>
      </c>
      <c r="H751" s="22" t="n">
        <f aca="false">IF(B751="GK",IFERROR(('Player Data'!N751-1.5*'Player Data'!O751)/'Player Data'!H751*90,0),IFERROR(('Player Data'!I751+'Player Data'!J751)/'Player Data'!H751*90,0))</f>
        <v>1.01330603889458</v>
      </c>
      <c r="I751" s="22" t="n">
        <f aca="false">IF(B751="GK",'Player Data'!P751,IFERROR(('Player Data'!K751+'Player Data'!L751)/'Player Data'!H751*90,0))</f>
        <v>14.646878198567</v>
      </c>
      <c r="J751" s="22" t="n">
        <f aca="false">IF(B751="GK",IFERROR('Player Data'!Q751/'Player Data'!H751*90,0),IFERROR('Player Data'!M751/'Player Data'!H751*90,0))</f>
        <v>0.460593654042989</v>
      </c>
      <c r="K751" s="23" t="n">
        <f aca="false">'Player Data'!S751</f>
        <v>0</v>
      </c>
      <c r="L751" s="22" t="n">
        <f aca="false">INDEX(Assumptions!$B$13:$B$15,MATCH(E751,Assumptions!$A$13:$A$15,0))</f>
        <v>1</v>
      </c>
      <c r="M751" s="24" t="n">
        <f aca="false">IFERROR(SUMPRODUCT(($B$2:$B$1001=B751)*($H$2:$H$1001&lt;=H751))/SUMPRODUCT(($B$2:$B$1001=B751)*1),0)</f>
        <v>0.539823008849558</v>
      </c>
      <c r="N751" s="24" t="n">
        <f aca="false">IFERROR(SUMPRODUCT(($B$2:$B$1001=B751)*($I$2:$I$1001&lt;=I751))/SUMPRODUCT(($B$2:$B$1001=B751)*1),0)</f>
        <v>0.97787610619469</v>
      </c>
      <c r="O751" s="24" t="n">
        <f aca="false">IFERROR(SUMPRODUCT(($B$2:$B$1001=B751)*($J$2:$J$1001&lt;=J751))/SUMPRODUCT(($B$2:$B$1001=B751)*1),0)</f>
        <v>0.424778761061947</v>
      </c>
      <c r="P751" s="24" t="n">
        <f aca="false">IFERROR(SUMPRODUCT(($B$2:$B$1001=B751)*((0-$F$2:$F$1001)&lt;=(0-F751)))/SUMPRODUCT(($B$2:$B$1001=B751)*1),0)</f>
        <v>0.504424778761062</v>
      </c>
      <c r="Q751" s="25" t="n">
        <f aca="false">(M751*Assumptions!$B$5+N751*Assumptions!$B$6+O751*Assumptions!$B$7+P751*Assumptions!$B$8)*L751</f>
        <v>0.663053097345133</v>
      </c>
      <c r="R751" s="24" t="n">
        <f aca="false">IFERROR(SUMPRODUCT(($B$2:$B$1001=B751)*($Q$2:$Q$1001&lt;=Q751))/SUMPRODUCT(($B$2:$B$1001=B751)*1),0)</f>
        <v>0.831858407079646</v>
      </c>
      <c r="S751" s="24" t="n">
        <f aca="false">IFERROR(SUMPRODUCT(($B$2:$B$1001=B751)*($K$2:$K$1001&lt;=K751))/SUMPRODUCT(($B$2:$B$1001=B751)*1),0)</f>
        <v>0.261061946902655</v>
      </c>
      <c r="T751" s="26" t="n">
        <f aca="false">(R751-S751)*100</f>
        <v>57.0796460176991</v>
      </c>
      <c r="U751" s="21" t="str">
        <f aca="false">'Player Data'!T751</f>
        <v>No</v>
      </c>
      <c r="V751" s="27" t="n">
        <f aca="false">'Player Data'!U751</f>
        <v>2029</v>
      </c>
      <c r="W751" s="21" t="str">
        <f aca="false">IF(AND(T751&gt;=Assumptions!$B$19,U751="No"),"High Priority - Unrepresented",IF(T751&gt;=Assumptions!$B$19,"High Priority",IF(AND(T751&gt;=Assumptions!$B$20,U751="No"),"Watchlist - Unrepresented",IF(T751&gt;=Assumptions!$B$20,"Watchlist",""))))</f>
        <v>High Priority - Unrepresented</v>
      </c>
      <c r="X751" s="21" t="str">
        <f aca="false">'Player Data'!V751</f>
        <v>info@saintlouiscity.sn</v>
      </c>
      <c r="Y751" s="28" t="str">
        <f aca="false">'Player Data'!W751</f>
        <v>Club sporting director / first-team office</v>
      </c>
      <c r="Z751" s="28" t="str">
        <f aca="false">'Player Data'!X751</f>
        <v>FSF (Senegalese Football Federation) player registry</v>
      </c>
      <c r="AA751" s="19" t="str">
        <f aca="false">HYPERLINK("https://www.transfermarkt.com/schnellsuche/ergebnis/schnellsuche?query="&amp;SUBSTITUTE(A751," ","+"),"Search Transfermarkt")</f>
        <v>Search Transfermarkt</v>
      </c>
      <c r="AB751" s="29" t="n">
        <f aca="false">IFERROR('Player Data'!K751/('Player Data'!K751+'Player Data'!L751),0)</f>
        <v>0.383647798742138</v>
      </c>
      <c r="AC751" s="21" t="str">
        <f aca="false">IF(B751="GK",IF(AND(O751&gt;=Assumptions!$B$23,N751&gt;=Assumptions!$B$23),"Sweeper-Keeper / Build-from-the-Back",IF(O751&gt;=Assumptions!$B$23,"Sweeper-Keeper / High Line",IF(M751&gt;=Assumptions!$B$23,"Shot-Stopper / Traditional","Flexible / Multi-System"))),IF(AND(O751&gt;=Assumptions!$B$23,P751&gt;=Assumptions!$B$24),"High Press / Gegenpressing",IF(AND(N751&gt;=Assumptions!$B$23,AB751&gt;=Assumptions!$B$25),"Possession / Build-from-the-Back",IF(N751&gt;=Assumptions!$B$23,"Counter-Attack / Transition",IF(AND(O751&gt;=Assumptions!$B$23,N751&lt;Assumptions!$B$26),"Low Block / Park the Bus",IF(AND(B751="FW",M751&gt;=Assumptions!$B$23,N751&lt;Assumptions!$B$26),"Direct / Target Approach","Flexible / Multi-System"))))))</f>
        <v>Counter-Attack / Transition</v>
      </c>
      <c r="AD751" s="21" t="str">
        <f aca="false">'Player Data'!Y751</f>
        <v>2026-07-17</v>
      </c>
      <c r="AE751" s="21" t="str">
        <f aca="false">'Player Data'!Z751</f>
        <v>2026-07-17</v>
      </c>
      <c r="AF751" s="28" t="str">
        <f aca="false">IFERROR(INDEX(Assumptions!$B$30:$B$61,MATCH(C751,Assumptions!$A$30:$A$61,0)),"--")</f>
        <v>Belgium, Portugal</v>
      </c>
      <c r="AG751" s="30" t="str">
        <f aca="false">IF(R751&gt;=0.7,"Step-Up Candidate",IF(R751&gt;=0.4,"Lateral Move","Stay &amp; Develop"))</f>
        <v>Step-Up Candidate</v>
      </c>
    </row>
    <row r="752" customFormat="false" ht="23.85" hidden="false" customHeight="false" outlineLevel="0" collapsed="false">
      <c r="A752" s="21" t="str">
        <f aca="false">'Player Data'!A752</f>
        <v>Jean Etoo</v>
      </c>
      <c r="B752" s="21" t="str">
        <f aca="false">'Player Data'!F752</f>
        <v>DF</v>
      </c>
      <c r="C752" s="21" t="str">
        <f aca="false">'Player Data'!B752</f>
        <v>Cameroon</v>
      </c>
      <c r="D752" s="21" t="str">
        <f aca="false">'Player Data'!C752</f>
        <v>Cameroon Third Tier - South</v>
      </c>
      <c r="E752" s="21" t="n">
        <f aca="false">'Player Data'!D752</f>
        <v>4</v>
      </c>
      <c r="F752" s="21" t="n">
        <f aca="false">'Player Data'!G752</f>
        <v>19</v>
      </c>
      <c r="G752" s="21" t="n">
        <f aca="false">'Player Data'!H752</f>
        <v>1439</v>
      </c>
      <c r="H752" s="22" t="n">
        <f aca="false">IF(B752="GK",IFERROR(('Player Data'!N752-1.5*'Player Data'!O752)/'Player Data'!H752*90,0),IFERROR(('Player Data'!I752+'Player Data'!J752)/'Player Data'!H752*90,0))</f>
        <v>0.312717164697707</v>
      </c>
      <c r="I752" s="22" t="n">
        <f aca="false">IF(B752="GK",'Player Data'!P752,IFERROR(('Player Data'!K752+'Player Data'!L752)/'Player Data'!H752*90,0))</f>
        <v>5.25364836692147</v>
      </c>
      <c r="J752" s="22" t="n">
        <f aca="false">IF(B752="GK",IFERROR('Player Data'!Q752/'Player Data'!H752*90,0),IFERROR('Player Data'!M752/'Player Data'!H752*90,0))</f>
        <v>5.25364836692147</v>
      </c>
      <c r="K752" s="23" t="n">
        <f aca="false">'Player Data'!S752</f>
        <v>0</v>
      </c>
      <c r="L752" s="22" t="n">
        <f aca="false">INDEX(Assumptions!$B$13:$B$15,MATCH(E752,Assumptions!$A$13:$A$15,0))</f>
        <v>0.7</v>
      </c>
      <c r="M752" s="24" t="n">
        <f aca="false">IFERROR(SUMPRODUCT(($B$2:$B$1001=B752)*($H$2:$H$1001&lt;=H752))/SUMPRODUCT(($B$2:$B$1001=B752)*1),0)</f>
        <v>0.799319727891157</v>
      </c>
      <c r="N752" s="24" t="n">
        <f aca="false">IFERROR(SUMPRODUCT(($B$2:$B$1001=B752)*($I$2:$I$1001&lt;=I752))/SUMPRODUCT(($B$2:$B$1001=B752)*1),0)</f>
        <v>0.622448979591837</v>
      </c>
      <c r="O752" s="24" t="n">
        <f aca="false">IFERROR(SUMPRODUCT(($B$2:$B$1001=B752)*($J$2:$J$1001&lt;=J752))/SUMPRODUCT(($B$2:$B$1001=B752)*1),0)</f>
        <v>0.486394557823129</v>
      </c>
      <c r="P752" s="24" t="n">
        <f aca="false">IFERROR(SUMPRODUCT(($B$2:$B$1001=B752)*((0-$F$2:$F$1001)&lt;=(0-F752)))/SUMPRODUCT(($B$2:$B$1001=B752)*1),0)</f>
        <v>0.738095238095238</v>
      </c>
      <c r="Q752" s="25" t="n">
        <f aca="false">(M752*Assumptions!$B$5+N752*Assumptions!$B$6+O752*Assumptions!$B$7+P752*Assumptions!$B$8)*L752</f>
        <v>0.463809523809524</v>
      </c>
      <c r="R752" s="24" t="n">
        <f aca="false">IFERROR(SUMPRODUCT(($B$2:$B$1001=B752)*($Q$2:$Q$1001&lt;=Q752))/SUMPRODUCT(($B$2:$B$1001=B752)*1),0)</f>
        <v>0.591836734693878</v>
      </c>
      <c r="S752" s="24" t="n">
        <f aca="false">IFERROR(SUMPRODUCT(($B$2:$B$1001=B752)*($K$2:$K$1001&lt;=K752))/SUMPRODUCT(($B$2:$B$1001=B752)*1),0)</f>
        <v>0.248299319727891</v>
      </c>
      <c r="T752" s="26" t="n">
        <f aca="false">(R752-S752)*100</f>
        <v>34.3537414965986</v>
      </c>
      <c r="U752" s="21" t="str">
        <f aca="false">'Player Data'!T752</f>
        <v>Yes</v>
      </c>
      <c r="V752" s="27" t="n">
        <f aca="false">'Player Data'!U752</f>
        <v>2027</v>
      </c>
      <c r="W752" s="21" t="str">
        <f aca="false">IF(AND(T752&gt;=Assumptions!$B$19,U752="No"),"High Priority - Unrepresented",IF(T752&gt;=Assumptions!$B$19,"High Priority",IF(AND(T752&gt;=Assumptions!$B$20,U752="No"),"Watchlist - Unrepresented",IF(T752&gt;=Assumptions!$B$20,"Watchlist",""))))</f>
        <v>Watchlist</v>
      </c>
      <c r="X752" s="21" t="str">
        <f aca="false">'Player Data'!V752</f>
        <v>info@doualatown.cm</v>
      </c>
      <c r="Y752" s="28" t="str">
        <f aca="false">'Player Data'!W752</f>
        <v>Go through the player's agent - ask the club to confirm representation first</v>
      </c>
      <c r="Z752" s="28" t="str">
        <f aca="false">'Player Data'!X752</f>
        <v>FECAFOOT (Cameroonian Football Federation) player registry</v>
      </c>
      <c r="AA752" s="19" t="str">
        <f aca="false">HYPERLINK("https://www.transfermarkt.com/schnellsuche/ergebnis/schnellsuche?query="&amp;SUBSTITUTE(A752," ","+"),"Search Transfermarkt")</f>
        <v>Search Transfermarkt</v>
      </c>
      <c r="AB752" s="29" t="n">
        <f aca="false">IFERROR('Player Data'!K752/('Player Data'!K752+'Player Data'!L752),0)</f>
        <v>0.571428571428571</v>
      </c>
      <c r="AC752" s="21" t="str">
        <f aca="false">IF(B752="GK",IF(AND(O752&gt;=Assumptions!$B$23,N752&gt;=Assumptions!$B$23),"Sweeper-Keeper / Build-from-the-Back",IF(O752&gt;=Assumptions!$B$23,"Sweeper-Keeper / High Line",IF(M752&gt;=Assumptions!$B$23,"Shot-Stopper / Traditional","Flexible / Multi-System"))),IF(AND(O752&gt;=Assumptions!$B$23,P752&gt;=Assumptions!$B$24),"High Press / Gegenpressing",IF(AND(N752&gt;=Assumptions!$B$23,AB752&gt;=Assumptions!$B$25),"Possession / Build-from-the-Back",IF(N752&gt;=Assumptions!$B$23,"Counter-Attack / Transition",IF(AND(O752&gt;=Assumptions!$B$23,N752&lt;Assumptions!$B$26),"Low Block / Park the Bus",IF(AND(B752="FW",M752&gt;=Assumptions!$B$23,N752&lt;Assumptions!$B$26),"Direct / Target Approach","Flexible / Multi-System"))))))</f>
        <v>Flexible / Multi-System</v>
      </c>
      <c r="AD752" s="21" t="str">
        <f aca="false">'Player Data'!Y752</f>
        <v>2026-07-17</v>
      </c>
      <c r="AE752" s="21" t="str">
        <f aca="false">'Player Data'!Z752</f>
        <v>2026-07-17</v>
      </c>
      <c r="AF752" s="28" t="str">
        <f aca="false">IFERROR(INDEX(Assumptions!$B$30:$B$61,MATCH(C752,Assumptions!$A$30:$A$61,0)),"--")</f>
        <v>Belgium, Portugal</v>
      </c>
      <c r="AG752" s="30" t="str">
        <f aca="false">IF(R752&gt;=0.7,"Step-Up Candidate",IF(R752&gt;=0.4,"Lateral Move","Stay &amp; Develop"))</f>
        <v>Lateral Move</v>
      </c>
    </row>
    <row r="753" customFormat="false" ht="23.85" hidden="false" customHeight="false" outlineLevel="0" collapsed="false">
      <c r="A753" s="21" t="str">
        <f aca="false">'Player Data'!A753</f>
        <v>Levan Gelashvili</v>
      </c>
      <c r="B753" s="21" t="str">
        <f aca="false">'Player Data'!F753</f>
        <v>MF</v>
      </c>
      <c r="C753" s="21" t="str">
        <f aca="false">'Player Data'!B753</f>
        <v>Georgia</v>
      </c>
      <c r="D753" s="21" t="str">
        <f aca="false">'Player Data'!C753</f>
        <v>Georgia Reserve League</v>
      </c>
      <c r="E753" s="21" t="n">
        <f aca="false">'Player Data'!D753</f>
        <v>3</v>
      </c>
      <c r="F753" s="21" t="n">
        <f aca="false">'Player Data'!G753</f>
        <v>17</v>
      </c>
      <c r="G753" s="21" t="n">
        <f aca="false">'Player Data'!H753</f>
        <v>1387</v>
      </c>
      <c r="H753" s="22" t="n">
        <f aca="false">IF(B753="GK",IFERROR(('Player Data'!N753-1.5*'Player Data'!O753)/'Player Data'!H753*90,0),IFERROR(('Player Data'!I753+'Player Data'!J753)/'Player Data'!H753*90,0))</f>
        <v>0.973323720259553</v>
      </c>
      <c r="I753" s="22" t="n">
        <f aca="false">IF(B753="GK",'Player Data'!P753,IFERROR(('Player Data'!K753+'Player Data'!L753)/'Player Data'!H753*90,0))</f>
        <v>14.7945205479452</v>
      </c>
      <c r="J753" s="22" t="n">
        <f aca="false">IF(B753="GK",IFERROR('Player Data'!Q753/'Player Data'!H753*90,0),IFERROR('Player Data'!M753/'Player Data'!H753*90,0))</f>
        <v>3.43907714491709</v>
      </c>
      <c r="K753" s="23" t="n">
        <f aca="false">'Player Data'!S753</f>
        <v>112847</v>
      </c>
      <c r="L753" s="22" t="n">
        <f aca="false">INDEX(Assumptions!$B$13:$B$15,MATCH(E753,Assumptions!$A$13:$A$15,0))</f>
        <v>0.85</v>
      </c>
      <c r="M753" s="24" t="n">
        <f aca="false">IFERROR(SUMPRODUCT(($B$2:$B$1001=B753)*($H$2:$H$1001&lt;=H753))/SUMPRODUCT(($B$2:$B$1001=B753)*1),0)</f>
        <v>0.760942760942761</v>
      </c>
      <c r="N753" s="24" t="n">
        <f aca="false">IFERROR(SUMPRODUCT(($B$2:$B$1001=B753)*($I$2:$I$1001&lt;=I753))/SUMPRODUCT(($B$2:$B$1001=B753)*1),0)</f>
        <v>0.744107744107744</v>
      </c>
      <c r="O753" s="24" t="n">
        <f aca="false">IFERROR(SUMPRODUCT(($B$2:$B$1001=B753)*($J$2:$J$1001&lt;=J753))/SUMPRODUCT(($B$2:$B$1001=B753)*1),0)</f>
        <v>0.841750841750842</v>
      </c>
      <c r="P753" s="24" t="n">
        <f aca="false">IFERROR(SUMPRODUCT(($B$2:$B$1001=B753)*((0-$F$2:$F$1001)&lt;=(0-F753)))/SUMPRODUCT(($B$2:$B$1001=B753)*1),0)</f>
        <v>1</v>
      </c>
      <c r="Q753" s="25" t="n">
        <f aca="false">(M753*Assumptions!$B$5+N753*Assumptions!$B$6+O753*Assumptions!$B$7+P753*Assumptions!$B$8)*L753</f>
        <v>0.696170033670034</v>
      </c>
      <c r="R753" s="24" t="n">
        <f aca="false">IFERROR(SUMPRODUCT(($B$2:$B$1001=B753)*($Q$2:$Q$1001&lt;=Q753))/SUMPRODUCT(($B$2:$B$1001=B753)*1),0)</f>
        <v>0.878787878787879</v>
      </c>
      <c r="S753" s="24" t="n">
        <f aca="false">IFERROR(SUMPRODUCT(($B$2:$B$1001=B753)*($K$2:$K$1001&lt;=K753))/SUMPRODUCT(($B$2:$B$1001=B753)*1),0)</f>
        <v>0.818181818181818</v>
      </c>
      <c r="T753" s="26" t="n">
        <f aca="false">(R753-S753)*100</f>
        <v>6.06060606060606</v>
      </c>
      <c r="U753" s="21" t="str">
        <f aca="false">'Player Data'!T753</f>
        <v>Unknown</v>
      </c>
      <c r="V753" s="27" t="n">
        <f aca="false">'Player Data'!U753</f>
        <v>2028</v>
      </c>
      <c r="W753" s="21" t="str">
        <f aca="false">IF(AND(T753&gt;=Assumptions!$B$19,U753="No"),"High Priority - Unrepresented",IF(T753&gt;=Assumptions!$B$19,"High Priority",IF(AND(T753&gt;=Assumptions!$B$20,U753="No"),"Watchlist - Unrepresented",IF(T753&gt;=Assumptions!$B$20,"Watchlist",""))))</f>
        <v/>
      </c>
      <c r="X753" s="21" t="str">
        <f aca="false">'Player Data'!V753</f>
        <v>info@tbilisirovers.ge</v>
      </c>
      <c r="Y753" s="28" t="str">
        <f aca="false">'Player Data'!W753</f>
        <v>Club youth/academy office ONLY - player is a minor, do not contact directly</v>
      </c>
      <c r="Z753" s="28" t="str">
        <f aca="false">'Player Data'!X753</f>
        <v>GFF (Georgian Football Federation) player registry</v>
      </c>
      <c r="AA753" s="19" t="str">
        <f aca="false">HYPERLINK("https://www.transfermarkt.com/schnellsuche/ergebnis/schnellsuche?query="&amp;SUBSTITUTE(A753," ","+"),"Search Transfermarkt")</f>
        <v>Search Transfermarkt</v>
      </c>
      <c r="AB753" s="29" t="n">
        <f aca="false">IFERROR('Player Data'!K753/('Player Data'!K753+'Player Data'!L753),0)</f>
        <v>0.644736842105263</v>
      </c>
      <c r="AC753" s="21" t="str">
        <f aca="false">IF(B753="GK",IF(AND(O753&gt;=Assumptions!$B$23,N753&gt;=Assumptions!$B$23),"Sweeper-Keeper / Build-from-the-Back",IF(O753&gt;=Assumptions!$B$23,"Sweeper-Keeper / High Line",IF(M753&gt;=Assumptions!$B$23,"Shot-Stopper / Traditional","Flexible / Multi-System"))),IF(AND(O753&gt;=Assumptions!$B$23,P753&gt;=Assumptions!$B$24),"High Press / Gegenpressing",IF(AND(N753&gt;=Assumptions!$B$23,AB753&gt;=Assumptions!$B$25),"Possession / Build-from-the-Back",IF(N753&gt;=Assumptions!$B$23,"Counter-Attack / Transition",IF(AND(O753&gt;=Assumptions!$B$23,N753&lt;Assumptions!$B$26),"Low Block / Park the Bus",IF(AND(B753="FW",M753&gt;=Assumptions!$B$23,N753&lt;Assumptions!$B$26),"Direct / Target Approach","Flexible / Multi-System"))))))</f>
        <v>High Press / Gegenpressing</v>
      </c>
      <c r="AD753" s="21" t="str">
        <f aca="false">'Player Data'!Y753</f>
        <v>2026-07-17</v>
      </c>
      <c r="AE753" s="21" t="str">
        <f aca="false">'Player Data'!Z753</f>
        <v>2026-07-17</v>
      </c>
      <c r="AF753" s="28" t="str">
        <f aca="false">IFERROR(INDEX(Assumptions!$B$30:$B$61,MATCH(C753,Assumptions!$A$30:$A$61,0)),"--")</f>
        <v>Turkey, Poland</v>
      </c>
      <c r="AG753" s="30" t="str">
        <f aca="false">IF(R753&gt;=0.7,"Step-Up Candidate",IF(R753&gt;=0.4,"Lateral Move","Stay &amp; Develop"))</f>
        <v>Step-Up Candidate</v>
      </c>
    </row>
    <row r="754" customFormat="false" ht="23.85" hidden="false" customHeight="false" outlineLevel="0" collapsed="false">
      <c r="A754" s="21" t="str">
        <f aca="false">'Player Data'!A754</f>
        <v>Levan Beridze</v>
      </c>
      <c r="B754" s="21" t="str">
        <f aca="false">'Player Data'!F754</f>
        <v>GK</v>
      </c>
      <c r="C754" s="21" t="str">
        <f aca="false">'Player Data'!B754</f>
        <v>Georgia</v>
      </c>
      <c r="D754" s="21" t="str">
        <f aca="false">'Player Data'!C754</f>
        <v>Georgia Second Division</v>
      </c>
      <c r="E754" s="21" t="n">
        <f aca="false">'Player Data'!D754</f>
        <v>3</v>
      </c>
      <c r="F754" s="21" t="n">
        <f aca="false">'Player Data'!G754</f>
        <v>19</v>
      </c>
      <c r="G754" s="21" t="n">
        <f aca="false">'Player Data'!H754</f>
        <v>1874</v>
      </c>
      <c r="H754" s="22" t="n">
        <f aca="false">IF(B754="GK",IFERROR(('Player Data'!N754-1.5*'Player Data'!O754)/'Player Data'!H754*90,0),IFERROR(('Player Data'!I754+'Player Data'!J754)/'Player Data'!H754*90,0))</f>
        <v>0.888473852721452</v>
      </c>
      <c r="I754" s="22" t="n">
        <f aca="false">IF(B754="GK",'Player Data'!P754,IFERROR(('Player Data'!K754+'Player Data'!L754)/'Player Data'!H754*90,0))</f>
        <v>90.3</v>
      </c>
      <c r="J754" s="22" t="n">
        <f aca="false">IF(B754="GK",IFERROR('Player Data'!Q754/'Player Data'!H754*90,0),IFERROR('Player Data'!M754/'Player Data'!H754*90,0))</f>
        <v>0.869263607257204</v>
      </c>
      <c r="K754" s="23" t="n">
        <f aca="false">'Player Data'!S754</f>
        <v>56733</v>
      </c>
      <c r="L754" s="22" t="n">
        <f aca="false">INDEX(Assumptions!$B$13:$B$15,MATCH(E754,Assumptions!$A$13:$A$15,0))</f>
        <v>0.85</v>
      </c>
      <c r="M754" s="24" t="n">
        <f aca="false">IFERROR(SUMPRODUCT(($B$2:$B$1001=B754)*($H$2:$H$1001&lt;=H754))/SUMPRODUCT(($B$2:$B$1001=B754)*1),0)</f>
        <v>0.366120218579235</v>
      </c>
      <c r="N754" s="24" t="n">
        <f aca="false">IFERROR(SUMPRODUCT(($B$2:$B$1001=B754)*($I$2:$I$1001&lt;=I754))/SUMPRODUCT(($B$2:$B$1001=B754)*1),0)</f>
        <v>0.972677595628415</v>
      </c>
      <c r="O754" s="24" t="n">
        <f aca="false">IFERROR(SUMPRODUCT(($B$2:$B$1001=B754)*($J$2:$J$1001&lt;=J754))/SUMPRODUCT(($B$2:$B$1001=B754)*1),0)</f>
        <v>0.513661202185792</v>
      </c>
      <c r="P754" s="24" t="n">
        <f aca="false">IFERROR(SUMPRODUCT(($B$2:$B$1001=B754)*((0-$F$2:$F$1001)&lt;=(0-F754)))/SUMPRODUCT(($B$2:$B$1001=B754)*1),0)</f>
        <v>0.770491803278689</v>
      </c>
      <c r="Q754" s="25" t="n">
        <f aca="false">(M754*Assumptions!$B$5+N754*Assumptions!$B$6+O754*Assumptions!$B$7+P754*Assumptions!$B$8)*L754</f>
        <v>0.585478142076503</v>
      </c>
      <c r="R754" s="24" t="n">
        <f aca="false">IFERROR(SUMPRODUCT(($B$2:$B$1001=B754)*($Q$2:$Q$1001&lt;=Q754))/SUMPRODUCT(($B$2:$B$1001=B754)*1),0)</f>
        <v>0.830601092896175</v>
      </c>
      <c r="S754" s="24" t="n">
        <f aca="false">IFERROR(SUMPRODUCT(($B$2:$B$1001=B754)*($K$2:$K$1001&lt;=K754))/SUMPRODUCT(($B$2:$B$1001=B754)*1),0)</f>
        <v>0.431693989071038</v>
      </c>
      <c r="T754" s="26" t="n">
        <f aca="false">(R754-S754)*100</f>
        <v>39.8907103825137</v>
      </c>
      <c r="U754" s="21" t="str">
        <f aca="false">'Player Data'!T754</f>
        <v>Yes</v>
      </c>
      <c r="V754" s="27" t="n">
        <f aca="false">'Player Data'!U754</f>
        <v>2029</v>
      </c>
      <c r="W754" s="21" t="str">
        <f aca="false">IF(AND(T754&gt;=Assumptions!$B$19,U754="No"),"High Priority - Unrepresented",IF(T754&gt;=Assumptions!$B$19,"High Priority",IF(AND(T754&gt;=Assumptions!$B$20,U754="No"),"Watchlist - Unrepresented",IF(T754&gt;=Assumptions!$B$20,"Watchlist",""))))</f>
        <v>Watchlist</v>
      </c>
      <c r="X754" s="21" t="str">
        <f aca="false">'Player Data'!V754</f>
        <v>info@batumiunited.ge</v>
      </c>
      <c r="Y754" s="28" t="str">
        <f aca="false">'Player Data'!W754</f>
        <v>Go through the player's agent - ask the club to confirm representation first</v>
      </c>
      <c r="Z754" s="28" t="str">
        <f aca="false">'Player Data'!X754</f>
        <v>GFF (Georgian Football Federation) player registry</v>
      </c>
      <c r="AA754" s="19" t="str">
        <f aca="false">HYPERLINK("https://www.transfermarkt.com/schnellsuche/ergebnis/schnellsuche?query="&amp;SUBSTITUTE(A754," ","+"),"Search Transfermarkt")</f>
        <v>Search Transfermarkt</v>
      </c>
      <c r="AB754" s="29" t="n">
        <f aca="false">IFERROR('Player Data'!K754/('Player Data'!K754+'Player Data'!L754),0)</f>
        <v>0.857142857142857</v>
      </c>
      <c r="AC754" s="21" t="str">
        <f aca="false">IF(B754="GK",IF(AND(O754&gt;=Assumptions!$B$23,N754&gt;=Assumptions!$B$23),"Sweeper-Keeper / Build-from-the-Back",IF(O754&gt;=Assumptions!$B$23,"Sweeper-Keeper / High Line",IF(M754&gt;=Assumptions!$B$23,"Shot-Stopper / Traditional","Flexible / Multi-System"))),IF(AND(O754&gt;=Assumptions!$B$23,P754&gt;=Assumptions!$B$24),"High Press / Gegenpressing",IF(AND(N754&gt;=Assumptions!$B$23,AB754&gt;=Assumptions!$B$25),"Possession / Build-from-the-Back",IF(N754&gt;=Assumptions!$B$23,"Counter-Attack / Transition",IF(AND(O754&gt;=Assumptions!$B$23,N754&lt;Assumptions!$B$26),"Low Block / Park the Bus",IF(AND(B754="FW",M754&gt;=Assumptions!$B$23,N754&lt;Assumptions!$B$26),"Direct / Target Approach","Flexible / Multi-System"))))))</f>
        <v>Flexible / Multi-System</v>
      </c>
      <c r="AD754" s="21" t="str">
        <f aca="false">'Player Data'!Y754</f>
        <v>2026-07-17</v>
      </c>
      <c r="AE754" s="21" t="str">
        <f aca="false">'Player Data'!Z754</f>
        <v>2026-07-17</v>
      </c>
      <c r="AF754" s="28" t="str">
        <f aca="false">IFERROR(INDEX(Assumptions!$B$30:$B$61,MATCH(C754,Assumptions!$A$30:$A$61,0)),"--")</f>
        <v>Turkey, Poland</v>
      </c>
      <c r="AG754" s="30" t="str">
        <f aca="false">IF(R754&gt;=0.7,"Step-Up Candidate",IF(R754&gt;=0.4,"Lateral Move","Stay &amp; Develop"))</f>
        <v>Step-Up Candidate</v>
      </c>
    </row>
    <row r="755" customFormat="false" ht="23.85" hidden="false" customHeight="false" outlineLevel="0" collapsed="false">
      <c r="A755" s="21" t="str">
        <f aca="false">'Player Data'!A755</f>
        <v>Mateo Flores</v>
      </c>
      <c r="B755" s="21" t="str">
        <f aca="false">'Player Data'!F755</f>
        <v>GK</v>
      </c>
      <c r="C755" s="21" t="str">
        <f aca="false">'Player Data'!B755</f>
        <v>Bolivia</v>
      </c>
      <c r="D755" s="21" t="str">
        <f aca="false">'Player Data'!C755</f>
        <v>Bolivia Amateur League</v>
      </c>
      <c r="E755" s="21" t="n">
        <f aca="false">'Player Data'!D755</f>
        <v>3</v>
      </c>
      <c r="F755" s="21" t="n">
        <f aca="false">'Player Data'!G755</f>
        <v>21</v>
      </c>
      <c r="G755" s="21" t="n">
        <f aca="false">'Player Data'!H755</f>
        <v>1145</v>
      </c>
      <c r="H755" s="22" t="n">
        <f aca="false">IF(B755="GK",IFERROR(('Player Data'!N755-1.5*'Player Data'!O755)/'Player Data'!H755*90,0),IFERROR(('Player Data'!I755+'Player Data'!J755)/'Player Data'!H755*90,0))</f>
        <v>1.88646288209607</v>
      </c>
      <c r="I755" s="22" t="n">
        <f aca="false">IF(B755="GK",'Player Data'!P755,IFERROR(('Player Data'!K755+'Player Data'!L755)/'Player Data'!H755*90,0))</f>
        <v>80.5</v>
      </c>
      <c r="J755" s="22" t="n">
        <f aca="false">IF(B755="GK",IFERROR('Player Data'!Q755/'Player Data'!H755*90,0),IFERROR('Player Data'!M755/'Player Data'!H755*90,0))</f>
        <v>1.29694323144105</v>
      </c>
      <c r="K755" s="23" t="n">
        <f aca="false">'Player Data'!S755</f>
        <v>78860</v>
      </c>
      <c r="L755" s="22" t="n">
        <f aca="false">INDEX(Assumptions!$B$13:$B$15,MATCH(E755,Assumptions!$A$13:$A$15,0))</f>
        <v>0.85</v>
      </c>
      <c r="M755" s="24" t="n">
        <f aca="false">IFERROR(SUMPRODUCT(($B$2:$B$1001=B755)*($H$2:$H$1001&lt;=H755))/SUMPRODUCT(($B$2:$B$1001=B755)*1),0)</f>
        <v>0.85792349726776</v>
      </c>
      <c r="N755" s="24" t="n">
        <f aca="false">IFERROR(SUMPRODUCT(($B$2:$B$1001=B755)*($I$2:$I$1001&lt;=I755))/SUMPRODUCT(($B$2:$B$1001=B755)*1),0)</f>
        <v>0.677595628415301</v>
      </c>
      <c r="O755" s="24" t="n">
        <f aca="false">IFERROR(SUMPRODUCT(($B$2:$B$1001=B755)*($J$2:$J$1001&lt;=J755))/SUMPRODUCT(($B$2:$B$1001=B755)*1),0)</f>
        <v>0.819672131147541</v>
      </c>
      <c r="P755" s="24" t="n">
        <f aca="false">IFERROR(SUMPRODUCT(($B$2:$B$1001=B755)*((0-$F$2:$F$1001)&lt;=(0-F755)))/SUMPRODUCT(($B$2:$B$1001=B755)*1),0)</f>
        <v>0.60655737704918</v>
      </c>
      <c r="Q755" s="25" t="n">
        <f aca="false">(M755*Assumptions!$B$5+N755*Assumptions!$B$6+O755*Assumptions!$B$7+P755*Assumptions!$B$8)*L755</f>
        <v>0.626352459016393</v>
      </c>
      <c r="R755" s="24" t="n">
        <f aca="false">IFERROR(SUMPRODUCT(($B$2:$B$1001=B755)*($Q$2:$Q$1001&lt;=Q755))/SUMPRODUCT(($B$2:$B$1001=B755)*1),0)</f>
        <v>0.918032786885246</v>
      </c>
      <c r="S755" s="24" t="n">
        <f aca="false">IFERROR(SUMPRODUCT(($B$2:$B$1001=B755)*($K$2:$K$1001&lt;=K755))/SUMPRODUCT(($B$2:$B$1001=B755)*1),0)</f>
        <v>0.579234972677596</v>
      </c>
      <c r="T755" s="26" t="n">
        <f aca="false">(R755-S755)*100</f>
        <v>33.879781420765</v>
      </c>
      <c r="U755" s="21" t="str">
        <f aca="false">'Player Data'!T755</f>
        <v>Unknown</v>
      </c>
      <c r="V755" s="27" t="n">
        <f aca="false">'Player Data'!U755</f>
        <v>2026</v>
      </c>
      <c r="W755" s="21" t="str">
        <f aca="false">IF(AND(T755&gt;=Assumptions!$B$19,U755="No"),"High Priority - Unrepresented",IF(T755&gt;=Assumptions!$B$19,"High Priority",IF(AND(T755&gt;=Assumptions!$B$20,U755="No"),"Watchlist - Unrepresented",IF(T755&gt;=Assumptions!$B$20,"Watchlist",""))))</f>
        <v>Watchlist</v>
      </c>
      <c r="X755" s="21" t="str">
        <f aca="false">'Player Data'!V755</f>
        <v>info@lapazrangers.bo</v>
      </c>
      <c r="Y755" s="28" t="str">
        <f aca="false">'Player Data'!W755</f>
        <v>Club sporting director / first-team office</v>
      </c>
      <c r="Z755" s="28" t="str">
        <f aca="false">'Player Data'!X755</f>
        <v>FBF (Bolivian Football Federation) player registry</v>
      </c>
      <c r="AA755" s="19" t="str">
        <f aca="false">HYPERLINK("https://www.transfermarkt.com/schnellsuche/ergebnis/schnellsuche?query="&amp;SUBSTITUTE(A755," ","+"),"Search Transfermarkt")</f>
        <v>Search Transfermarkt</v>
      </c>
      <c r="AB755" s="29" t="n">
        <f aca="false">IFERROR('Player Data'!K755/('Player Data'!K755+'Player Data'!L755),0)</f>
        <v>0.75</v>
      </c>
      <c r="AC755" s="21" t="str">
        <f aca="false">IF(B755="GK",IF(AND(O755&gt;=Assumptions!$B$23,N755&gt;=Assumptions!$B$23),"Sweeper-Keeper / Build-from-the-Back",IF(O755&gt;=Assumptions!$B$23,"Sweeper-Keeper / High Line",IF(M755&gt;=Assumptions!$B$23,"Shot-Stopper / Traditional","Flexible / Multi-System"))),IF(AND(O755&gt;=Assumptions!$B$23,P755&gt;=Assumptions!$B$24),"High Press / Gegenpressing",IF(AND(N755&gt;=Assumptions!$B$23,AB755&gt;=Assumptions!$B$25),"Possession / Build-from-the-Back",IF(N755&gt;=Assumptions!$B$23,"Counter-Attack / Transition",IF(AND(O755&gt;=Assumptions!$B$23,N755&lt;Assumptions!$B$26),"Low Block / Park the Bus",IF(AND(B755="FW",M755&gt;=Assumptions!$B$23,N755&lt;Assumptions!$B$26),"Direct / Target Approach","Flexible / Multi-System"))))))</f>
        <v>Sweeper-Keeper / Build-from-the-Back</v>
      </c>
      <c r="AD755" s="21" t="str">
        <f aca="false">'Player Data'!Y755</f>
        <v>2026-07-17</v>
      </c>
      <c r="AE755" s="21" t="str">
        <f aca="false">'Player Data'!Z755</f>
        <v>2026-07-17</v>
      </c>
      <c r="AF755" s="28" t="str">
        <f aca="false">IFERROR(INDEX(Assumptions!$B$30:$B$61,MATCH(C755,Assumptions!$A$30:$A$61,0)),"--")</f>
        <v>Argentina, Portugal</v>
      </c>
      <c r="AG755" s="30" t="str">
        <f aca="false">IF(R755&gt;=0.7,"Step-Up Candidate",IF(R755&gt;=0.4,"Lateral Move","Stay &amp; Develop"))</f>
        <v>Step-Up Candidate</v>
      </c>
    </row>
    <row r="756" customFormat="false" ht="23.85" hidden="false" customHeight="false" outlineLevel="0" collapsed="false">
      <c r="A756" s="21" t="str">
        <f aca="false">'Player Data'!A756</f>
        <v>Ronaldo Martinez</v>
      </c>
      <c r="B756" s="21" t="str">
        <f aca="false">'Player Data'!F756</f>
        <v>MF</v>
      </c>
      <c r="C756" s="21" t="str">
        <f aca="false">'Player Data'!B756</f>
        <v>Venezuela</v>
      </c>
      <c r="D756" s="21" t="str">
        <f aca="false">'Player Data'!C756</f>
        <v>Venezuela Regional League</v>
      </c>
      <c r="E756" s="21" t="n">
        <f aca="false">'Player Data'!D756</f>
        <v>2</v>
      </c>
      <c r="F756" s="21" t="n">
        <f aca="false">'Player Data'!G756</f>
        <v>20</v>
      </c>
      <c r="G756" s="21" t="n">
        <f aca="false">'Player Data'!H756</f>
        <v>1685</v>
      </c>
      <c r="H756" s="22" t="n">
        <f aca="false">IF(B756="GK",IFERROR(('Player Data'!N756-1.5*'Player Data'!O756)/'Player Data'!H756*90,0),IFERROR(('Player Data'!I756+'Player Data'!J756)/'Player Data'!H756*90,0))</f>
        <v>0.747774480712166</v>
      </c>
      <c r="I756" s="22" t="n">
        <f aca="false">IF(B756="GK",'Player Data'!P756,IFERROR(('Player Data'!K756+'Player Data'!L756)/'Player Data'!H756*90,0))</f>
        <v>12.9258160237389</v>
      </c>
      <c r="J756" s="22" t="n">
        <f aca="false">IF(B756="GK",IFERROR('Player Data'!Q756/'Player Data'!H756*90,0),IFERROR('Player Data'!M756/'Player Data'!H756*90,0))</f>
        <v>2.56379821958457</v>
      </c>
      <c r="K756" s="23" t="n">
        <f aca="false">'Player Data'!S756</f>
        <v>0</v>
      </c>
      <c r="L756" s="22" t="n">
        <f aca="false">INDEX(Assumptions!$B$13:$B$15,MATCH(E756,Assumptions!$A$13:$A$15,0))</f>
        <v>1</v>
      </c>
      <c r="M756" s="24" t="n">
        <f aca="false">IFERROR(SUMPRODUCT(($B$2:$B$1001=B756)*($H$2:$H$1001&lt;=H756))/SUMPRODUCT(($B$2:$B$1001=B756)*1),0)</f>
        <v>0.508417508417508</v>
      </c>
      <c r="N756" s="24" t="n">
        <f aca="false">IFERROR(SUMPRODUCT(($B$2:$B$1001=B756)*($I$2:$I$1001&lt;=I756))/SUMPRODUCT(($B$2:$B$1001=B756)*1),0)</f>
        <v>0.656565656565657</v>
      </c>
      <c r="O756" s="24" t="n">
        <f aca="false">IFERROR(SUMPRODUCT(($B$2:$B$1001=B756)*($J$2:$J$1001&lt;=J756))/SUMPRODUCT(($B$2:$B$1001=B756)*1),0)</f>
        <v>0.65993265993266</v>
      </c>
      <c r="P756" s="24" t="n">
        <f aca="false">IFERROR(SUMPRODUCT(($B$2:$B$1001=B756)*((0-$F$2:$F$1001)&lt;=(0-F756)))/SUMPRODUCT(($B$2:$B$1001=B756)*1),0)</f>
        <v>0.734006734006734</v>
      </c>
      <c r="Q756" s="25" t="n">
        <f aca="false">(M756*Assumptions!$B$5+N756*Assumptions!$B$6+O756*Assumptions!$B$7+P756*Assumptions!$B$8)*L756</f>
        <v>0.635690235690236</v>
      </c>
      <c r="R756" s="24" t="n">
        <f aca="false">IFERROR(SUMPRODUCT(($B$2:$B$1001=B756)*($Q$2:$Q$1001&lt;=Q756))/SUMPRODUCT(($B$2:$B$1001=B756)*1),0)</f>
        <v>0.824915824915825</v>
      </c>
      <c r="S756" s="24" t="n">
        <f aca="false">IFERROR(SUMPRODUCT(($B$2:$B$1001=B756)*($K$2:$K$1001&lt;=K756))/SUMPRODUCT(($B$2:$B$1001=B756)*1),0)</f>
        <v>0.228956228956229</v>
      </c>
      <c r="T756" s="26" t="n">
        <f aca="false">(R756-S756)*100</f>
        <v>59.5959595959596</v>
      </c>
      <c r="U756" s="21" t="str">
        <f aca="false">'Player Data'!T756</f>
        <v>Yes</v>
      </c>
      <c r="V756" s="27" t="n">
        <f aca="false">'Player Data'!U756</f>
        <v>2026</v>
      </c>
      <c r="W756" s="21" t="str">
        <f aca="false">IF(AND(T756&gt;=Assumptions!$B$19,U756="No"),"High Priority - Unrepresented",IF(T756&gt;=Assumptions!$B$19,"High Priority",IF(AND(T756&gt;=Assumptions!$B$20,U756="No"),"Watchlist - Unrepresented",IF(T756&gt;=Assumptions!$B$20,"Watchlist",""))))</f>
        <v>High Priority</v>
      </c>
      <c r="X756" s="21" t="str">
        <f aca="false">'Player Data'!V756</f>
        <v>info@valenciacity.ve</v>
      </c>
      <c r="Y756" s="28" t="str">
        <f aca="false">'Player Data'!W756</f>
        <v>Go through the player's agent - ask the club to confirm representation first</v>
      </c>
      <c r="Z756" s="28" t="str">
        <f aca="false">'Player Data'!X756</f>
        <v>FVF (Venezuelan Football Federation) player registry</v>
      </c>
      <c r="AA756" s="19" t="str">
        <f aca="false">HYPERLINK("https://www.transfermarkt.com/schnellsuche/ergebnis/schnellsuche?query="&amp;SUBSTITUTE(A756," ","+"),"Search Transfermarkt")</f>
        <v>Search Transfermarkt</v>
      </c>
      <c r="AB756" s="29" t="n">
        <f aca="false">IFERROR('Player Data'!K756/('Player Data'!K756+'Player Data'!L756),0)</f>
        <v>0.731404958677686</v>
      </c>
      <c r="AC756" s="21" t="str">
        <f aca="false">IF(B756="GK",IF(AND(O756&gt;=Assumptions!$B$23,N756&gt;=Assumptions!$B$23),"Sweeper-Keeper / Build-from-the-Back",IF(O756&gt;=Assumptions!$B$23,"Sweeper-Keeper / High Line",IF(M756&gt;=Assumptions!$B$23,"Shot-Stopper / Traditional","Flexible / Multi-System"))),IF(AND(O756&gt;=Assumptions!$B$23,P756&gt;=Assumptions!$B$24),"High Press / Gegenpressing",IF(AND(N756&gt;=Assumptions!$B$23,AB756&gt;=Assumptions!$B$25),"Possession / Build-from-the-Back",IF(N756&gt;=Assumptions!$B$23,"Counter-Attack / Transition",IF(AND(O756&gt;=Assumptions!$B$23,N756&lt;Assumptions!$B$26),"Low Block / Park the Bus",IF(AND(B756="FW",M756&gt;=Assumptions!$B$23,N756&lt;Assumptions!$B$26),"Direct / Target Approach","Flexible / Multi-System"))))))</f>
        <v>High Press / Gegenpressing</v>
      </c>
      <c r="AD756" s="21" t="str">
        <f aca="false">'Player Data'!Y756</f>
        <v>2026-07-17</v>
      </c>
      <c r="AE756" s="21" t="str">
        <f aca="false">'Player Data'!Z756</f>
        <v>2026-07-17</v>
      </c>
      <c r="AF756" s="28" t="str">
        <f aca="false">IFERROR(INDEX(Assumptions!$B$30:$B$61,MATCH(C756,Assumptions!$A$30:$A$61,0)),"--")</f>
        <v>Argentina, Portugal</v>
      </c>
      <c r="AG756" s="30" t="str">
        <f aca="false">IF(R756&gt;=0.7,"Step-Up Candidate",IF(R756&gt;=0.4,"Lateral Move","Stay &amp; Develop"))</f>
        <v>Step-Up Candidate</v>
      </c>
    </row>
    <row r="757" customFormat="false" ht="23.85" hidden="false" customHeight="false" outlineLevel="0" collapsed="false">
      <c r="A757" s="21" t="str">
        <f aca="false">'Player Data'!A757</f>
        <v>Sardor Tashkentov</v>
      </c>
      <c r="B757" s="21" t="str">
        <f aca="false">'Player Data'!F757</f>
        <v>MF</v>
      </c>
      <c r="C757" s="21" t="str">
        <f aca="false">'Player Data'!B757</f>
        <v>Uzbekistan</v>
      </c>
      <c r="D757" s="21" t="str">
        <f aca="false">'Player Data'!C757</f>
        <v>Uzbekistan Amateur League</v>
      </c>
      <c r="E757" s="21" t="n">
        <f aca="false">'Player Data'!D757</f>
        <v>4</v>
      </c>
      <c r="F757" s="21" t="n">
        <f aca="false">'Player Data'!G757</f>
        <v>22</v>
      </c>
      <c r="G757" s="21" t="n">
        <f aca="false">'Player Data'!H757</f>
        <v>2110</v>
      </c>
      <c r="H757" s="22" t="n">
        <f aca="false">IF(B757="GK",IFERROR(('Player Data'!N757-1.5*'Player Data'!O757)/'Player Data'!H757*90,0),IFERROR(('Player Data'!I757+'Player Data'!J757)/'Player Data'!H757*90,0))</f>
        <v>0.81042654028436</v>
      </c>
      <c r="I757" s="22" t="n">
        <f aca="false">IF(B757="GK",'Player Data'!P757,IFERROR(('Player Data'!K757+'Player Data'!L757)/'Player Data'!H757*90,0))</f>
        <v>10.0236966824645</v>
      </c>
      <c r="J757" s="22" t="n">
        <f aca="false">IF(B757="GK",IFERROR('Player Data'!Q757/'Player Data'!H757*90,0),IFERROR('Player Data'!M757/'Player Data'!H757*90,0))</f>
        <v>1.74881516587678</v>
      </c>
      <c r="K757" s="23" t="n">
        <f aca="false">'Player Data'!S757</f>
        <v>0</v>
      </c>
      <c r="L757" s="22" t="n">
        <f aca="false">INDEX(Assumptions!$B$13:$B$15,MATCH(E757,Assumptions!$A$13:$A$15,0))</f>
        <v>0.7</v>
      </c>
      <c r="M757" s="24" t="n">
        <f aca="false">IFERROR(SUMPRODUCT(($B$2:$B$1001=B757)*($H$2:$H$1001&lt;=H757))/SUMPRODUCT(($B$2:$B$1001=B757)*1),0)</f>
        <v>0.609427609427609</v>
      </c>
      <c r="N757" s="24" t="n">
        <f aca="false">IFERROR(SUMPRODUCT(($B$2:$B$1001=B757)*($I$2:$I$1001&lt;=I757))/SUMPRODUCT(($B$2:$B$1001=B757)*1),0)</f>
        <v>0.424242424242424</v>
      </c>
      <c r="O757" s="24" t="n">
        <f aca="false">IFERROR(SUMPRODUCT(($B$2:$B$1001=B757)*($J$2:$J$1001&lt;=J757))/SUMPRODUCT(($B$2:$B$1001=B757)*1),0)</f>
        <v>0.292929292929293</v>
      </c>
      <c r="P757" s="24" t="n">
        <f aca="false">IFERROR(SUMPRODUCT(($B$2:$B$1001=B757)*((0-$F$2:$F$1001)&lt;=(0-F757)))/SUMPRODUCT(($B$2:$B$1001=B757)*1),0)</f>
        <v>0.515151515151515</v>
      </c>
      <c r="Q757" s="25" t="n">
        <f aca="false">(M757*Assumptions!$B$5+N757*Assumptions!$B$6+O757*Assumptions!$B$7+P757*Assumptions!$B$8)*L757</f>
        <v>0.323720538720539</v>
      </c>
      <c r="R757" s="24" t="n">
        <f aca="false">IFERROR(SUMPRODUCT(($B$2:$B$1001=B757)*($Q$2:$Q$1001&lt;=Q757))/SUMPRODUCT(($B$2:$B$1001=B757)*1),0)</f>
        <v>0.296296296296296</v>
      </c>
      <c r="S757" s="24" t="n">
        <f aca="false">IFERROR(SUMPRODUCT(($B$2:$B$1001=B757)*($K$2:$K$1001&lt;=K757))/SUMPRODUCT(($B$2:$B$1001=B757)*1),0)</f>
        <v>0.228956228956229</v>
      </c>
      <c r="T757" s="26" t="n">
        <f aca="false">(R757-S757)*100</f>
        <v>6.73400673400673</v>
      </c>
      <c r="U757" s="21" t="str">
        <f aca="false">'Player Data'!T757</f>
        <v>No</v>
      </c>
      <c r="V757" s="27" t="n">
        <f aca="false">'Player Data'!U757</f>
        <v>2027</v>
      </c>
      <c r="W757" s="21" t="str">
        <f aca="false">IF(AND(T757&gt;=Assumptions!$B$19,U757="No"),"High Priority - Unrepresented",IF(T757&gt;=Assumptions!$B$19,"High Priority",IF(AND(T757&gt;=Assumptions!$B$20,U757="No"),"Watchlist - Unrepresented",IF(T757&gt;=Assumptions!$B$20,"Watchlist",""))))</f>
        <v/>
      </c>
      <c r="X757" s="21" t="str">
        <f aca="false">'Player Data'!V757</f>
        <v>info@bukharafc.uz</v>
      </c>
      <c r="Y757" s="28" t="str">
        <f aca="false">'Player Data'!W757</f>
        <v>Club sporting director / first-team office</v>
      </c>
      <c r="Z757" s="28" t="str">
        <f aca="false">'Player Data'!X757</f>
        <v>UFF (Uzbekistan Football Federation) player registry</v>
      </c>
      <c r="AA757" s="19" t="str">
        <f aca="false">HYPERLINK("https://www.transfermarkt.com/schnellsuche/ergebnis/schnellsuche?query="&amp;SUBSTITUTE(A757," ","+"),"Search Transfermarkt")</f>
        <v>Search Transfermarkt</v>
      </c>
      <c r="AB757" s="29" t="n">
        <f aca="false">IFERROR('Player Data'!K757/('Player Data'!K757+'Player Data'!L757),0)</f>
        <v>0.634042553191489</v>
      </c>
      <c r="AC757" s="21" t="str">
        <f aca="false">IF(B757="GK",IF(AND(O757&gt;=Assumptions!$B$23,N757&gt;=Assumptions!$B$23),"Sweeper-Keeper / Build-from-the-Back",IF(O757&gt;=Assumptions!$B$23,"Sweeper-Keeper / High Line",IF(M757&gt;=Assumptions!$B$23,"Shot-Stopper / Traditional","Flexible / Multi-System"))),IF(AND(O757&gt;=Assumptions!$B$23,P757&gt;=Assumptions!$B$24),"High Press / Gegenpressing",IF(AND(N757&gt;=Assumptions!$B$23,AB757&gt;=Assumptions!$B$25),"Possession / Build-from-the-Back",IF(N757&gt;=Assumptions!$B$23,"Counter-Attack / Transition",IF(AND(O757&gt;=Assumptions!$B$23,N757&lt;Assumptions!$B$26),"Low Block / Park the Bus",IF(AND(B757="FW",M757&gt;=Assumptions!$B$23,N757&lt;Assumptions!$B$26),"Direct / Target Approach","Flexible / Multi-System"))))))</f>
        <v>Flexible / Multi-System</v>
      </c>
      <c r="AD757" s="21" t="str">
        <f aca="false">'Player Data'!Y757</f>
        <v>2026-07-17</v>
      </c>
      <c r="AE757" s="21" t="str">
        <f aca="false">'Player Data'!Z757</f>
        <v>2026-07-17</v>
      </c>
      <c r="AF757" s="28" t="str">
        <f aca="false">IFERROR(INDEX(Assumptions!$B$30:$B$61,MATCH(C757,Assumptions!$A$30:$A$61,0)),"--")</f>
        <v>Turkey, Saudi Arabia</v>
      </c>
      <c r="AG757" s="30" t="str">
        <f aca="false">IF(R757&gt;=0.7,"Step-Up Candidate",IF(R757&gt;=0.4,"Lateral Move","Stay &amp; Develop"))</f>
        <v>Stay &amp; Develop</v>
      </c>
    </row>
    <row r="758" customFormat="false" ht="23.85" hidden="false" customHeight="false" outlineLevel="0" collapsed="false">
      <c r="A758" s="21" t="str">
        <f aca="false">'Player Data'!A758</f>
        <v>Souleymane Coulibaly</v>
      </c>
      <c r="B758" s="21" t="str">
        <f aca="false">'Player Data'!F758</f>
        <v>GK</v>
      </c>
      <c r="C758" s="21" t="str">
        <f aca="false">'Player Data'!B758</f>
        <v>Mali</v>
      </c>
      <c r="D758" s="21" t="str">
        <f aca="false">'Player Data'!C758</f>
        <v>Mali Second Division - West</v>
      </c>
      <c r="E758" s="21" t="n">
        <f aca="false">'Player Data'!D758</f>
        <v>2</v>
      </c>
      <c r="F758" s="21" t="n">
        <f aca="false">'Player Data'!G758</f>
        <v>22</v>
      </c>
      <c r="G758" s="21" t="n">
        <f aca="false">'Player Data'!H758</f>
        <v>2328</v>
      </c>
      <c r="H758" s="22" t="n">
        <f aca="false">IF(B758="GK",IFERROR(('Player Data'!N758-1.5*'Player Data'!O758)/'Player Data'!H758*90,0),IFERROR(('Player Data'!I758+'Player Data'!J758)/'Player Data'!H758*90,0))</f>
        <v>-0.637886597938144</v>
      </c>
      <c r="I758" s="22" t="n">
        <f aca="false">IF(B758="GK",'Player Data'!P758,IFERROR(('Player Data'!K758+'Player Data'!L758)/'Player Data'!H758*90,0))</f>
        <v>83.7</v>
      </c>
      <c r="J758" s="22" t="n">
        <f aca="false">IF(B758="GK",IFERROR('Player Data'!Q758/'Player Data'!H758*90,0),IFERROR('Player Data'!M758/'Player Data'!H758*90,0))</f>
        <v>0.487113402061856</v>
      </c>
      <c r="K758" s="23" t="n">
        <f aca="false">'Player Data'!S758</f>
        <v>0</v>
      </c>
      <c r="L758" s="22" t="n">
        <f aca="false">INDEX(Assumptions!$B$13:$B$15,MATCH(E758,Assumptions!$A$13:$A$15,0))</f>
        <v>1</v>
      </c>
      <c r="M758" s="24" t="n">
        <f aca="false">IFERROR(SUMPRODUCT(($B$2:$B$1001=B758)*($H$2:$H$1001&lt;=H758))/SUMPRODUCT(($B$2:$B$1001=B758)*1),0)</f>
        <v>0.0491803278688525</v>
      </c>
      <c r="N758" s="24" t="n">
        <f aca="false">IFERROR(SUMPRODUCT(($B$2:$B$1001=B758)*($I$2:$I$1001&lt;=I758))/SUMPRODUCT(($B$2:$B$1001=B758)*1),0)</f>
        <v>0.814207650273224</v>
      </c>
      <c r="O758" s="24" t="n">
        <f aca="false">IFERROR(SUMPRODUCT(($B$2:$B$1001=B758)*($J$2:$J$1001&lt;=J758))/SUMPRODUCT(($B$2:$B$1001=B758)*1),0)</f>
        <v>0.256830601092896</v>
      </c>
      <c r="P758" s="24" t="n">
        <f aca="false">IFERROR(SUMPRODUCT(($B$2:$B$1001=B758)*((0-$F$2:$F$1001)&lt;=(0-F758)))/SUMPRODUCT(($B$2:$B$1001=B758)*1),0)</f>
        <v>0.530054644808743</v>
      </c>
      <c r="Q758" s="25" t="n">
        <f aca="false">(M758*Assumptions!$B$5+N758*Assumptions!$B$6+O758*Assumptions!$B$7+P758*Assumptions!$B$8)*L758</f>
        <v>0.454644808743169</v>
      </c>
      <c r="R758" s="24" t="n">
        <f aca="false">IFERROR(SUMPRODUCT(($B$2:$B$1001=B758)*($Q$2:$Q$1001&lt;=Q758))/SUMPRODUCT(($B$2:$B$1001=B758)*1),0)</f>
        <v>0.469945355191257</v>
      </c>
      <c r="S758" s="24" t="n">
        <f aca="false">IFERROR(SUMPRODUCT(($B$2:$B$1001=B758)*($K$2:$K$1001&lt;=K758))/SUMPRODUCT(($B$2:$B$1001=B758)*1),0)</f>
        <v>0.218579234972678</v>
      </c>
      <c r="T758" s="26" t="n">
        <f aca="false">(R758-S758)*100</f>
        <v>25.1366120218579</v>
      </c>
      <c r="U758" s="21" t="str">
        <f aca="false">'Player Data'!T758</f>
        <v>No</v>
      </c>
      <c r="V758" s="27" t="n">
        <f aca="false">'Player Data'!U758</f>
        <v>2026</v>
      </c>
      <c r="W758" s="21" t="str">
        <f aca="false">IF(AND(T758&gt;=Assumptions!$B$19,U758="No"),"High Priority - Unrepresented",IF(T758&gt;=Assumptions!$B$19,"High Priority",IF(AND(T758&gt;=Assumptions!$B$20,U758="No"),"Watchlist - Unrepresented",IF(T758&gt;=Assumptions!$B$20,"Watchlist",""))))</f>
        <v>Watchlist - Unrepresented</v>
      </c>
      <c r="X758" s="21" t="str">
        <f aca="false">'Player Data'!V758</f>
        <v>info@sikassocity.ml</v>
      </c>
      <c r="Y758" s="28" t="str">
        <f aca="false">'Player Data'!W758</f>
        <v>Club sporting director / first-team office</v>
      </c>
      <c r="Z758" s="28" t="str">
        <f aca="false">'Player Data'!X758</f>
        <v>FEMAFOOT (Malian Football Federation) player registry</v>
      </c>
      <c r="AA758" s="19" t="str">
        <f aca="false">HYPERLINK("https://www.transfermarkt.com/schnellsuche/ergebnis/schnellsuche?query="&amp;SUBSTITUTE(A758," ","+"),"Search Transfermarkt")</f>
        <v>Search Transfermarkt</v>
      </c>
      <c r="AB758" s="29" t="n">
        <f aca="false">IFERROR('Player Data'!K758/('Player Data'!K758+'Player Data'!L758),0)</f>
        <v>0.888888888888889</v>
      </c>
      <c r="AC758" s="21" t="str">
        <f aca="false">IF(B758="GK",IF(AND(O758&gt;=Assumptions!$B$23,N758&gt;=Assumptions!$B$23),"Sweeper-Keeper / Build-from-the-Back",IF(O758&gt;=Assumptions!$B$23,"Sweeper-Keeper / High Line",IF(M758&gt;=Assumptions!$B$23,"Shot-Stopper / Traditional","Flexible / Multi-System"))),IF(AND(O758&gt;=Assumptions!$B$23,P758&gt;=Assumptions!$B$24),"High Press / Gegenpressing",IF(AND(N758&gt;=Assumptions!$B$23,AB758&gt;=Assumptions!$B$25),"Possession / Build-from-the-Back",IF(N758&gt;=Assumptions!$B$23,"Counter-Attack / Transition",IF(AND(O758&gt;=Assumptions!$B$23,N758&lt;Assumptions!$B$26),"Low Block / Park the Bus",IF(AND(B758="FW",M758&gt;=Assumptions!$B$23,N758&lt;Assumptions!$B$26),"Direct / Target Approach","Flexible / Multi-System"))))))</f>
        <v>Flexible / Multi-System</v>
      </c>
      <c r="AD758" s="21" t="str">
        <f aca="false">'Player Data'!Y758</f>
        <v>2026-07-17</v>
      </c>
      <c r="AE758" s="21" t="str">
        <f aca="false">'Player Data'!Z758</f>
        <v>2026-07-17</v>
      </c>
      <c r="AF758" s="28" t="str">
        <f aca="false">IFERROR(INDEX(Assumptions!$B$30:$B$61,MATCH(C758,Assumptions!$A$30:$A$61,0)),"--")</f>
        <v>Belgium, Portugal</v>
      </c>
      <c r="AG758" s="30" t="str">
        <f aca="false">IF(R758&gt;=0.7,"Step-Up Candidate",IF(R758&gt;=0.4,"Lateral Move","Stay &amp; Develop"))</f>
        <v>Lateral Move</v>
      </c>
    </row>
    <row r="759" customFormat="false" ht="23.85" hidden="false" customHeight="false" outlineLevel="0" collapsed="false">
      <c r="A759" s="21" t="str">
        <f aca="false">'Player Data'!A759</f>
        <v>Abdoulaye Diallo</v>
      </c>
      <c r="B759" s="21" t="str">
        <f aca="false">'Player Data'!F759</f>
        <v>DF</v>
      </c>
      <c r="C759" s="21" t="str">
        <f aca="false">'Player Data'!B759</f>
        <v>Senegal</v>
      </c>
      <c r="D759" s="21" t="str">
        <f aca="false">'Player Data'!C759</f>
        <v>Senegal Regional League</v>
      </c>
      <c r="E759" s="21" t="n">
        <f aca="false">'Player Data'!D759</f>
        <v>2</v>
      </c>
      <c r="F759" s="21" t="n">
        <f aca="false">'Player Data'!G759</f>
        <v>23</v>
      </c>
      <c r="G759" s="21" t="n">
        <f aca="false">'Player Data'!H759</f>
        <v>1989</v>
      </c>
      <c r="H759" s="22" t="n">
        <f aca="false">IF(B759="GK",IFERROR(('Player Data'!N759-1.5*'Player Data'!O759)/'Player Data'!H759*90,0),IFERROR(('Player Data'!I759+'Player Data'!J759)/'Player Data'!H759*90,0))</f>
        <v>0.0452488687782805</v>
      </c>
      <c r="I759" s="22" t="n">
        <f aca="false">IF(B759="GK",'Player Data'!P759,IFERROR(('Player Data'!K759+'Player Data'!L759)/'Player Data'!H759*90,0))</f>
        <v>3.710407239819</v>
      </c>
      <c r="J759" s="22" t="n">
        <f aca="false">IF(B759="GK",IFERROR('Player Data'!Q759/'Player Data'!H759*90,0),IFERROR('Player Data'!M759/'Player Data'!H759*90,0))</f>
        <v>5.61085972850679</v>
      </c>
      <c r="K759" s="23" t="n">
        <f aca="false">'Player Data'!S759</f>
        <v>100830</v>
      </c>
      <c r="L759" s="22" t="n">
        <f aca="false">INDEX(Assumptions!$B$13:$B$15,MATCH(E759,Assumptions!$A$13:$A$15,0))</f>
        <v>1</v>
      </c>
      <c r="M759" s="24" t="n">
        <f aca="false">IFERROR(SUMPRODUCT(($B$2:$B$1001=B759)*($H$2:$H$1001&lt;=H759))/SUMPRODUCT(($B$2:$B$1001=B759)*1),0)</f>
        <v>0.0578231292517007</v>
      </c>
      <c r="N759" s="24" t="n">
        <f aca="false">IFERROR(SUMPRODUCT(($B$2:$B$1001=B759)*($I$2:$I$1001&lt;=I759))/SUMPRODUCT(($B$2:$B$1001=B759)*1),0)</f>
        <v>0.32312925170068</v>
      </c>
      <c r="O759" s="24" t="n">
        <f aca="false">IFERROR(SUMPRODUCT(($B$2:$B$1001=B759)*($J$2:$J$1001&lt;=J759))/SUMPRODUCT(($B$2:$B$1001=B759)*1),0)</f>
        <v>0.54421768707483</v>
      </c>
      <c r="P759" s="24" t="n">
        <f aca="false">IFERROR(SUMPRODUCT(($B$2:$B$1001=B759)*((0-$F$2:$F$1001)&lt;=(0-F759)))/SUMPRODUCT(($B$2:$B$1001=B759)*1),0)</f>
        <v>0.374149659863946</v>
      </c>
      <c r="Q759" s="25" t="n">
        <f aca="false">(M759*Assumptions!$B$5+N759*Assumptions!$B$6+O759*Assumptions!$B$7+P759*Assumptions!$B$8)*L759</f>
        <v>0.311224489795918</v>
      </c>
      <c r="R759" s="24" t="n">
        <f aca="false">IFERROR(SUMPRODUCT(($B$2:$B$1001=B759)*($Q$2:$Q$1001&lt;=Q759))/SUMPRODUCT(($B$2:$B$1001=B759)*1),0)</f>
        <v>0.27891156462585</v>
      </c>
      <c r="S759" s="24" t="n">
        <f aca="false">IFERROR(SUMPRODUCT(($B$2:$B$1001=B759)*($K$2:$K$1001&lt;=K759))/SUMPRODUCT(($B$2:$B$1001=B759)*1),0)</f>
        <v>0.744897959183674</v>
      </c>
      <c r="T759" s="26" t="n">
        <f aca="false">(R759-S759)*100</f>
        <v>-46.5986394557823</v>
      </c>
      <c r="U759" s="21" t="str">
        <f aca="false">'Player Data'!T759</f>
        <v>No</v>
      </c>
      <c r="V759" s="27" t="n">
        <f aca="false">'Player Data'!U759</f>
        <v>2029</v>
      </c>
      <c r="W759" s="21" t="str">
        <f aca="false">IF(AND(T759&gt;=Assumptions!$B$19,U759="No"),"High Priority - Unrepresented",IF(T759&gt;=Assumptions!$B$19,"High Priority",IF(AND(T759&gt;=Assumptions!$B$20,U759="No"),"Watchlist - Unrepresented",IF(T759&gt;=Assumptions!$B$20,"Watchlist",""))))</f>
        <v/>
      </c>
      <c r="X759" s="21" t="str">
        <f aca="false">'Player Data'!V759</f>
        <v>info@ziguinchortown.sn</v>
      </c>
      <c r="Y759" s="28" t="str">
        <f aca="false">'Player Data'!W759</f>
        <v>Club sporting director / first-team office</v>
      </c>
      <c r="Z759" s="28" t="str">
        <f aca="false">'Player Data'!X759</f>
        <v>FSF (Senegalese Football Federation) player registry</v>
      </c>
      <c r="AA759" s="19" t="str">
        <f aca="false">HYPERLINK("https://www.transfermarkt.com/schnellsuche/ergebnis/schnellsuche?query="&amp;SUBSTITUTE(A759," ","+"),"Search Transfermarkt")</f>
        <v>Search Transfermarkt</v>
      </c>
      <c r="AB759" s="29" t="n">
        <f aca="false">IFERROR('Player Data'!K759/('Player Data'!K759+'Player Data'!L759),0)</f>
        <v>0.585365853658537</v>
      </c>
      <c r="AC759" s="21" t="str">
        <f aca="false">IF(B759="GK",IF(AND(O759&gt;=Assumptions!$B$23,N759&gt;=Assumptions!$B$23),"Sweeper-Keeper / Build-from-the-Back",IF(O759&gt;=Assumptions!$B$23,"Sweeper-Keeper / High Line",IF(M759&gt;=Assumptions!$B$23,"Shot-Stopper / Traditional","Flexible / Multi-System"))),IF(AND(O759&gt;=Assumptions!$B$23,P759&gt;=Assumptions!$B$24),"High Press / Gegenpressing",IF(AND(N759&gt;=Assumptions!$B$23,AB759&gt;=Assumptions!$B$25),"Possession / Build-from-the-Back",IF(N759&gt;=Assumptions!$B$23,"Counter-Attack / Transition",IF(AND(O759&gt;=Assumptions!$B$23,N759&lt;Assumptions!$B$26),"Low Block / Park the Bus",IF(AND(B759="FW",M759&gt;=Assumptions!$B$23,N759&lt;Assumptions!$B$26),"Direct / Target Approach","Flexible / Multi-System"))))))</f>
        <v>Flexible / Multi-System</v>
      </c>
      <c r="AD759" s="21" t="str">
        <f aca="false">'Player Data'!Y759</f>
        <v>2026-07-17</v>
      </c>
      <c r="AE759" s="21" t="str">
        <f aca="false">'Player Data'!Z759</f>
        <v>2026-07-17</v>
      </c>
      <c r="AF759" s="28" t="str">
        <f aca="false">IFERROR(INDEX(Assumptions!$B$30:$B$61,MATCH(C759,Assumptions!$A$30:$A$61,0)),"--")</f>
        <v>Belgium, Portugal</v>
      </c>
      <c r="AG759" s="30" t="str">
        <f aca="false">IF(R759&gt;=0.7,"Step-Up Candidate",IF(R759&gt;=0.4,"Lateral Move","Stay &amp; Develop"))</f>
        <v>Stay &amp; Develop</v>
      </c>
    </row>
    <row r="760" customFormat="false" ht="23.85" hidden="false" customHeight="false" outlineLevel="0" collapsed="false">
      <c r="A760" s="21" t="str">
        <f aca="false">'Player Data'!A760</f>
        <v>Marek Kask</v>
      </c>
      <c r="B760" s="21" t="str">
        <f aca="false">'Player Data'!F760</f>
        <v>MF</v>
      </c>
      <c r="C760" s="21" t="str">
        <f aca="false">'Player Data'!B760</f>
        <v>Estonia</v>
      </c>
      <c r="D760" s="21" t="str">
        <f aca="false">'Player Data'!C760</f>
        <v>Estonia Regional League</v>
      </c>
      <c r="E760" s="21" t="n">
        <f aca="false">'Player Data'!D760</f>
        <v>2</v>
      </c>
      <c r="F760" s="21" t="n">
        <f aca="false">'Player Data'!G760</f>
        <v>21</v>
      </c>
      <c r="G760" s="21" t="n">
        <f aca="false">'Player Data'!H760</f>
        <v>1149</v>
      </c>
      <c r="H760" s="22" t="n">
        <f aca="false">IF(B760="GK",IFERROR(('Player Data'!N760-1.5*'Player Data'!O760)/'Player Data'!H760*90,0),IFERROR(('Player Data'!I760+'Player Data'!J760)/'Player Data'!H760*90,0))</f>
        <v>1.80156657963446</v>
      </c>
      <c r="I760" s="22" t="n">
        <f aca="false">IF(B760="GK",'Player Data'!P760,IFERROR(('Player Data'!K760+'Player Data'!L760)/'Player Data'!H760*90,0))</f>
        <v>17.3107049608355</v>
      </c>
      <c r="J760" s="22" t="n">
        <f aca="false">IF(B760="GK",IFERROR('Player Data'!Q760/'Player Data'!H760*90,0),IFERROR('Player Data'!M760/'Player Data'!H760*90,0))</f>
        <v>2.27154046997389</v>
      </c>
      <c r="K760" s="23" t="n">
        <f aca="false">'Player Data'!S760</f>
        <v>149159</v>
      </c>
      <c r="L760" s="22" t="n">
        <f aca="false">INDEX(Assumptions!$B$13:$B$15,MATCH(E760,Assumptions!$A$13:$A$15,0))</f>
        <v>1</v>
      </c>
      <c r="M760" s="24" t="n">
        <f aca="false">IFERROR(SUMPRODUCT(($B$2:$B$1001=B760)*($H$2:$H$1001&lt;=H760))/SUMPRODUCT(($B$2:$B$1001=B760)*1),0)</f>
        <v>0.97979797979798</v>
      </c>
      <c r="N760" s="24" t="n">
        <f aca="false">IFERROR(SUMPRODUCT(($B$2:$B$1001=B760)*($I$2:$I$1001&lt;=I760))/SUMPRODUCT(($B$2:$B$1001=B760)*1),0)</f>
        <v>0.835016835016835</v>
      </c>
      <c r="O760" s="24" t="n">
        <f aca="false">IFERROR(SUMPRODUCT(($B$2:$B$1001=B760)*($J$2:$J$1001&lt;=J760))/SUMPRODUCT(($B$2:$B$1001=B760)*1),0)</f>
        <v>0.538720538720539</v>
      </c>
      <c r="P760" s="24" t="n">
        <f aca="false">IFERROR(SUMPRODUCT(($B$2:$B$1001=B760)*((0-$F$2:$F$1001)&lt;=(0-F760)))/SUMPRODUCT(($B$2:$B$1001=B760)*1),0)</f>
        <v>0.61952861952862</v>
      </c>
      <c r="Q760" s="25" t="n">
        <f aca="false">(M760*Assumptions!$B$5+N760*Assumptions!$B$6+O760*Assumptions!$B$7+P760*Assumptions!$B$8)*L760</f>
        <v>0.768855218855219</v>
      </c>
      <c r="R760" s="24" t="n">
        <f aca="false">IFERROR(SUMPRODUCT(($B$2:$B$1001=B760)*($Q$2:$Q$1001&lt;=Q760))/SUMPRODUCT(($B$2:$B$1001=B760)*1),0)</f>
        <v>0.912457912457912</v>
      </c>
      <c r="S760" s="24" t="n">
        <f aca="false">IFERROR(SUMPRODUCT(($B$2:$B$1001=B760)*($K$2:$K$1001&lt;=K760))/SUMPRODUCT(($B$2:$B$1001=B760)*1),0)</f>
        <v>0.993265993265993</v>
      </c>
      <c r="T760" s="26" t="n">
        <f aca="false">(R760-S760)*100</f>
        <v>-8.08080808080809</v>
      </c>
      <c r="U760" s="21" t="str">
        <f aca="false">'Player Data'!T760</f>
        <v>Unknown</v>
      </c>
      <c r="V760" s="27" t="n">
        <f aca="false">'Player Data'!U760</f>
        <v>2026</v>
      </c>
      <c r="W760" s="21" t="str">
        <f aca="false">IF(AND(T760&gt;=Assumptions!$B$19,U760="No"),"High Priority - Unrepresented",IF(T760&gt;=Assumptions!$B$19,"High Priority",IF(AND(T760&gt;=Assumptions!$B$20,U760="No"),"Watchlist - Unrepresented",IF(T760&gt;=Assumptions!$B$20,"Watchlist",""))))</f>
        <v/>
      </c>
      <c r="X760" s="21" t="str">
        <f aca="false">'Player Data'!V760</f>
        <v>info@narvatown.ee</v>
      </c>
      <c r="Y760" s="28" t="str">
        <f aca="false">'Player Data'!W760</f>
        <v>Club sporting director / first-team office</v>
      </c>
      <c r="Z760" s="28" t="str">
        <f aca="false">'Player Data'!X760</f>
        <v>EJL (Estonian Football Association) player registry</v>
      </c>
      <c r="AA760" s="19" t="str">
        <f aca="false">HYPERLINK("https://www.transfermarkt.com/schnellsuche/ergebnis/schnellsuche?query="&amp;SUBSTITUTE(A760," ","+"),"Search Transfermarkt")</f>
        <v>Search Transfermarkt</v>
      </c>
      <c r="AB760" s="29" t="n">
        <f aca="false">IFERROR('Player Data'!K760/('Player Data'!K760+'Player Data'!L760),0)</f>
        <v>0.6289592760181</v>
      </c>
      <c r="AC760" s="21" t="str">
        <f aca="false">IF(B760="GK",IF(AND(O760&gt;=Assumptions!$B$23,N760&gt;=Assumptions!$B$23),"Sweeper-Keeper / Build-from-the-Back",IF(O760&gt;=Assumptions!$B$23,"Sweeper-Keeper / High Line",IF(M760&gt;=Assumptions!$B$23,"Shot-Stopper / Traditional","Flexible / Multi-System"))),IF(AND(O760&gt;=Assumptions!$B$23,P760&gt;=Assumptions!$B$24),"High Press / Gegenpressing",IF(AND(N760&gt;=Assumptions!$B$23,AB760&gt;=Assumptions!$B$25),"Possession / Build-from-the-Back",IF(N760&gt;=Assumptions!$B$23,"Counter-Attack / Transition",IF(AND(O760&gt;=Assumptions!$B$23,N760&lt;Assumptions!$B$26),"Low Block / Park the Bus",IF(AND(B760="FW",M760&gt;=Assumptions!$B$23,N760&lt;Assumptions!$B$26),"Direct / Target Approach","Flexible / Multi-System"))))))</f>
        <v>Possession / Build-from-the-Back</v>
      </c>
      <c r="AD760" s="21" t="str">
        <f aca="false">'Player Data'!Y760</f>
        <v>2026-07-17</v>
      </c>
      <c r="AE760" s="21" t="str">
        <f aca="false">'Player Data'!Z760</f>
        <v>2026-07-17</v>
      </c>
      <c r="AF760" s="28" t="str">
        <f aca="false">IFERROR(INDEX(Assumptions!$B$30:$B$61,MATCH(C760,Assumptions!$A$30:$A$61,0)),"--")</f>
        <v>Poland, Norway</v>
      </c>
      <c r="AG760" s="30" t="str">
        <f aca="false">IF(R760&gt;=0.7,"Step-Up Candidate",IF(R760&gt;=0.4,"Lateral Move","Stay &amp; Develop"))</f>
        <v>Step-Up Candidate</v>
      </c>
    </row>
    <row r="761" customFormat="false" ht="23.85" hidden="false" customHeight="false" outlineLevel="0" collapsed="false">
      <c r="A761" s="21" t="str">
        <f aca="false">'Player Data'!A761</f>
        <v>Seo-jun Kang</v>
      </c>
      <c r="B761" s="21" t="str">
        <f aca="false">'Player Data'!F761</f>
        <v>MF</v>
      </c>
      <c r="C761" s="21" t="str">
        <f aca="false">'Player Data'!B761</f>
        <v>South Korea</v>
      </c>
      <c r="D761" s="21" t="str">
        <f aca="false">'Player Data'!C761</f>
        <v>South Korea Regional League</v>
      </c>
      <c r="E761" s="21" t="n">
        <f aca="false">'Player Data'!D761</f>
        <v>4</v>
      </c>
      <c r="F761" s="21" t="n">
        <f aca="false">'Player Data'!G761</f>
        <v>25</v>
      </c>
      <c r="G761" s="21" t="n">
        <f aca="false">'Player Data'!H761</f>
        <v>1043</v>
      </c>
      <c r="H761" s="22" t="n">
        <f aca="false">IF(B761="GK",IFERROR(('Player Data'!N761-1.5*'Player Data'!O761)/'Player Data'!H761*90,0),IFERROR(('Player Data'!I761+'Player Data'!J761)/'Player Data'!H761*90,0))</f>
        <v>1.12176414189837</v>
      </c>
      <c r="I761" s="22" t="n">
        <f aca="false">IF(B761="GK",'Player Data'!P761,IFERROR(('Player Data'!K761+'Player Data'!L761)/'Player Data'!H761*90,0))</f>
        <v>18.5522531160115</v>
      </c>
      <c r="J761" s="22" t="n">
        <f aca="false">IF(B761="GK",IFERROR('Player Data'!Q761/'Player Data'!H761*90,0),IFERROR('Player Data'!M761/'Player Data'!H761*90,0))</f>
        <v>3.45158197507191</v>
      </c>
      <c r="K761" s="23" t="n">
        <f aca="false">'Player Data'!S761</f>
        <v>0</v>
      </c>
      <c r="L761" s="22" t="n">
        <f aca="false">INDEX(Assumptions!$B$13:$B$15,MATCH(E761,Assumptions!$A$13:$A$15,0))</f>
        <v>0.7</v>
      </c>
      <c r="M761" s="24" t="n">
        <f aca="false">IFERROR(SUMPRODUCT(($B$2:$B$1001=B761)*($H$2:$H$1001&lt;=H761))/SUMPRODUCT(($B$2:$B$1001=B761)*1),0)</f>
        <v>0.821548821548822</v>
      </c>
      <c r="N761" s="24" t="n">
        <f aca="false">IFERROR(SUMPRODUCT(($B$2:$B$1001=B761)*($I$2:$I$1001&lt;=I761))/SUMPRODUCT(($B$2:$B$1001=B761)*1),0)</f>
        <v>0.878787878787879</v>
      </c>
      <c r="O761" s="24" t="n">
        <f aca="false">IFERROR(SUMPRODUCT(($B$2:$B$1001=B761)*($J$2:$J$1001&lt;=J761))/SUMPRODUCT(($B$2:$B$1001=B761)*1),0)</f>
        <v>0.845117845117845</v>
      </c>
      <c r="P761" s="24" t="n">
        <f aca="false">IFERROR(SUMPRODUCT(($B$2:$B$1001=B761)*((0-$F$2:$F$1001)&lt;=(0-F761)))/SUMPRODUCT(($B$2:$B$1001=B761)*1),0)</f>
        <v>0.202020202020202</v>
      </c>
      <c r="Q761" s="25" t="n">
        <f aca="false">(M761*Assumptions!$B$5+N761*Assumptions!$B$6+O761*Assumptions!$B$7+P761*Assumptions!$B$8)*L761</f>
        <v>0.505673400673401</v>
      </c>
      <c r="R761" s="24" t="n">
        <f aca="false">IFERROR(SUMPRODUCT(($B$2:$B$1001=B761)*($Q$2:$Q$1001&lt;=Q761))/SUMPRODUCT(($B$2:$B$1001=B761)*1),0)</f>
        <v>0.616161616161616</v>
      </c>
      <c r="S761" s="24" t="n">
        <f aca="false">IFERROR(SUMPRODUCT(($B$2:$B$1001=B761)*($K$2:$K$1001&lt;=K761))/SUMPRODUCT(($B$2:$B$1001=B761)*1),0)</f>
        <v>0.228956228956229</v>
      </c>
      <c r="T761" s="26" t="n">
        <f aca="false">(R761-S761)*100</f>
        <v>38.7205387205387</v>
      </c>
      <c r="U761" s="21" t="str">
        <f aca="false">'Player Data'!T761</f>
        <v>Yes</v>
      </c>
      <c r="V761" s="27" t="n">
        <f aca="false">'Player Data'!U761</f>
        <v>2027</v>
      </c>
      <c r="W761" s="21" t="str">
        <f aca="false">IF(AND(T761&gt;=Assumptions!$B$19,U761="No"),"High Priority - Unrepresented",IF(T761&gt;=Assumptions!$B$19,"High Priority",IF(AND(T761&gt;=Assumptions!$B$20,U761="No"),"Watchlist - Unrepresented",IF(T761&gt;=Assumptions!$B$20,"Watchlist",""))))</f>
        <v>Watchlist</v>
      </c>
      <c r="X761" s="21" t="str">
        <f aca="false">'Player Data'!V761</f>
        <v>info@daejeonsc.kr</v>
      </c>
      <c r="Y761" s="28" t="str">
        <f aca="false">'Player Data'!W761</f>
        <v>Go through the player's agent - ask the club to confirm representation first</v>
      </c>
      <c r="Z761" s="28" t="str">
        <f aca="false">'Player Data'!X761</f>
        <v>KFA (Korea Football Association) player registry</v>
      </c>
      <c r="AA761" s="19" t="str">
        <f aca="false">HYPERLINK("https://www.transfermarkt.com/schnellsuche/ergebnis/schnellsuche?query="&amp;SUBSTITUTE(A761," ","+"),"Search Transfermarkt")</f>
        <v>Search Transfermarkt</v>
      </c>
      <c r="AB761" s="29" t="n">
        <f aca="false">IFERROR('Player Data'!K761/('Player Data'!K761+'Player Data'!L761),0)</f>
        <v>0.753488372093023</v>
      </c>
      <c r="AC761" s="21" t="str">
        <f aca="false">IF(B761="GK",IF(AND(O761&gt;=Assumptions!$B$23,N761&gt;=Assumptions!$B$23),"Sweeper-Keeper / Build-from-the-Back",IF(O761&gt;=Assumptions!$B$23,"Sweeper-Keeper / High Line",IF(M761&gt;=Assumptions!$B$23,"Shot-Stopper / Traditional","Flexible / Multi-System"))),IF(AND(O761&gt;=Assumptions!$B$23,P761&gt;=Assumptions!$B$24),"High Press / Gegenpressing",IF(AND(N761&gt;=Assumptions!$B$23,AB761&gt;=Assumptions!$B$25),"Possession / Build-from-the-Back",IF(N761&gt;=Assumptions!$B$23,"Counter-Attack / Transition",IF(AND(O761&gt;=Assumptions!$B$23,N761&lt;Assumptions!$B$26),"Low Block / Park the Bus",IF(AND(B761="FW",M761&gt;=Assumptions!$B$23,N761&lt;Assumptions!$B$26),"Direct / Target Approach","Flexible / Multi-System"))))))</f>
        <v>Possession / Build-from-the-Back</v>
      </c>
      <c r="AD761" s="21" t="str">
        <f aca="false">'Player Data'!Y761</f>
        <v>2026-07-17</v>
      </c>
      <c r="AE761" s="21" t="str">
        <f aca="false">'Player Data'!Z761</f>
        <v>2026-07-17</v>
      </c>
      <c r="AF761" s="28" t="str">
        <f aca="false">IFERROR(INDEX(Assumptions!$B$30:$B$61,MATCH(C761,Assumptions!$A$30:$A$61,0)),"--")</f>
        <v>Belgium, Saudi Arabia</v>
      </c>
      <c r="AG761" s="30" t="str">
        <f aca="false">IF(R761&gt;=0.7,"Step-Up Candidate",IF(R761&gt;=0.4,"Lateral Move","Stay &amp; Develop"))</f>
        <v>Lateral Move</v>
      </c>
    </row>
    <row r="762" customFormat="false" ht="23.85" hidden="false" customHeight="false" outlineLevel="0" collapsed="false">
      <c r="A762" s="21" t="str">
        <f aca="false">'Player Data'!A762</f>
        <v>Aleksandar Stankovic</v>
      </c>
      <c r="B762" s="21" t="str">
        <f aca="false">'Player Data'!F762</f>
        <v>DF</v>
      </c>
      <c r="C762" s="21" t="str">
        <f aca="false">'Player Data'!B762</f>
        <v>Serbia</v>
      </c>
      <c r="D762" s="21" t="str">
        <f aca="false">'Player Data'!C762</f>
        <v>Serbia Second Division</v>
      </c>
      <c r="E762" s="21" t="n">
        <f aca="false">'Player Data'!D762</f>
        <v>3</v>
      </c>
      <c r="F762" s="21" t="n">
        <f aca="false">'Player Data'!G762</f>
        <v>20</v>
      </c>
      <c r="G762" s="21" t="n">
        <f aca="false">'Player Data'!H762</f>
        <v>2204</v>
      </c>
      <c r="H762" s="22" t="n">
        <f aca="false">IF(B762="GK",IFERROR(('Player Data'!N762-1.5*'Player Data'!O762)/'Player Data'!H762*90,0),IFERROR(('Player Data'!I762+'Player Data'!J762)/'Player Data'!H762*90,0))</f>
        <v>0.163339382940109</v>
      </c>
      <c r="I762" s="22" t="n">
        <f aca="false">IF(B762="GK",'Player Data'!P762,IFERROR(('Player Data'!K762+'Player Data'!L762)/'Player Data'!H762*90,0))</f>
        <v>4.6551724137931</v>
      </c>
      <c r="J762" s="22" t="n">
        <f aca="false">IF(B762="GK",IFERROR('Player Data'!Q762/'Player Data'!H762*90,0),IFERROR('Player Data'!M762/'Player Data'!H762*90,0))</f>
        <v>3.92014519056261</v>
      </c>
      <c r="K762" s="23" t="n">
        <f aca="false">'Player Data'!S762</f>
        <v>94833</v>
      </c>
      <c r="L762" s="22" t="n">
        <f aca="false">INDEX(Assumptions!$B$13:$B$15,MATCH(E762,Assumptions!$A$13:$A$15,0))</f>
        <v>0.85</v>
      </c>
      <c r="M762" s="24" t="n">
        <f aca="false">IFERROR(SUMPRODUCT(($B$2:$B$1001=B762)*($H$2:$H$1001&lt;=H762))/SUMPRODUCT(($B$2:$B$1001=B762)*1),0)</f>
        <v>0.401360544217687</v>
      </c>
      <c r="N762" s="24" t="n">
        <f aca="false">IFERROR(SUMPRODUCT(($B$2:$B$1001=B762)*($I$2:$I$1001&lt;=I762))/SUMPRODUCT(($B$2:$B$1001=B762)*1),0)</f>
        <v>0.540816326530612</v>
      </c>
      <c r="O762" s="24" t="n">
        <f aca="false">IFERROR(SUMPRODUCT(($B$2:$B$1001=B762)*($J$2:$J$1001&lt;=J762))/SUMPRODUCT(($B$2:$B$1001=B762)*1),0)</f>
        <v>0.207482993197279</v>
      </c>
      <c r="P762" s="24" t="n">
        <f aca="false">IFERROR(SUMPRODUCT(($B$2:$B$1001=B762)*((0-$F$2:$F$1001)&lt;=(0-F762)))/SUMPRODUCT(($B$2:$B$1001=B762)*1),0)</f>
        <v>0.656462585034014</v>
      </c>
      <c r="Q762" s="25" t="n">
        <f aca="false">(M762*Assumptions!$B$5+N762*Assumptions!$B$6+O762*Assumptions!$B$7+P762*Assumptions!$B$8)*L762</f>
        <v>0.393052721088435</v>
      </c>
      <c r="R762" s="24" t="n">
        <f aca="false">IFERROR(SUMPRODUCT(($B$2:$B$1001=B762)*($Q$2:$Q$1001&lt;=Q762))/SUMPRODUCT(($B$2:$B$1001=B762)*1),0)</f>
        <v>0.438775510204082</v>
      </c>
      <c r="S762" s="24" t="n">
        <f aca="false">IFERROR(SUMPRODUCT(($B$2:$B$1001=B762)*($K$2:$K$1001&lt;=K762))/SUMPRODUCT(($B$2:$B$1001=B762)*1),0)</f>
        <v>0.704081632653061</v>
      </c>
      <c r="T762" s="26" t="n">
        <f aca="false">(R762-S762)*100</f>
        <v>-26.530612244898</v>
      </c>
      <c r="U762" s="21" t="str">
        <f aca="false">'Player Data'!T762</f>
        <v>Unknown</v>
      </c>
      <c r="V762" s="27" t="n">
        <f aca="false">'Player Data'!U762</f>
        <v>2026</v>
      </c>
      <c r="W762" s="21" t="str">
        <f aca="false">IF(AND(T762&gt;=Assumptions!$B$19,U762="No"),"High Priority - Unrepresented",IF(T762&gt;=Assumptions!$B$19,"High Priority",IF(AND(T762&gt;=Assumptions!$B$20,U762="No"),"Watchlist - Unrepresented",IF(T762&gt;=Assumptions!$B$20,"Watchlist",""))))</f>
        <v/>
      </c>
      <c r="X762" s="21" t="str">
        <f aca="false">'Player Data'!V762</f>
        <v>info@cacaktown.rs</v>
      </c>
      <c r="Y762" s="28" t="str">
        <f aca="false">'Player Data'!W762</f>
        <v>Club sporting director / first-team office</v>
      </c>
      <c r="Z762" s="28" t="str">
        <f aca="false">'Player Data'!X762</f>
        <v>FSS (Football Association of Serbia) player registry</v>
      </c>
      <c r="AA762" s="19" t="str">
        <f aca="false">HYPERLINK("https://www.transfermarkt.com/schnellsuche/ergebnis/schnellsuche?query="&amp;SUBSTITUTE(A762," ","+"),"Search Transfermarkt")</f>
        <v>Search Transfermarkt</v>
      </c>
      <c r="AB762" s="29" t="n">
        <f aca="false">IFERROR('Player Data'!K762/('Player Data'!K762+'Player Data'!L762),0)</f>
        <v>0.578947368421053</v>
      </c>
      <c r="AC762" s="21" t="str">
        <f aca="false">IF(B762="GK",IF(AND(O762&gt;=Assumptions!$B$23,N762&gt;=Assumptions!$B$23),"Sweeper-Keeper / Build-from-the-Back",IF(O762&gt;=Assumptions!$B$23,"Sweeper-Keeper / High Line",IF(M762&gt;=Assumptions!$B$23,"Shot-Stopper / Traditional","Flexible / Multi-System"))),IF(AND(O762&gt;=Assumptions!$B$23,P762&gt;=Assumptions!$B$24),"High Press / Gegenpressing",IF(AND(N762&gt;=Assumptions!$B$23,AB762&gt;=Assumptions!$B$25),"Possession / Build-from-the-Back",IF(N762&gt;=Assumptions!$B$23,"Counter-Attack / Transition",IF(AND(O762&gt;=Assumptions!$B$23,N762&lt;Assumptions!$B$26),"Low Block / Park the Bus",IF(AND(B762="FW",M762&gt;=Assumptions!$B$23,N762&lt;Assumptions!$B$26),"Direct / Target Approach","Flexible / Multi-System"))))))</f>
        <v>Flexible / Multi-System</v>
      </c>
      <c r="AD762" s="21" t="str">
        <f aca="false">'Player Data'!Y762</f>
        <v>2026-07-17</v>
      </c>
      <c r="AE762" s="21" t="str">
        <f aca="false">'Player Data'!Z762</f>
        <v>2026-07-17</v>
      </c>
      <c r="AF762" s="28" t="str">
        <f aca="false">IFERROR(INDEX(Assumptions!$B$30:$B$61,MATCH(C762,Assumptions!$A$30:$A$61,0)),"--")</f>
        <v>Austria, Turkey</v>
      </c>
      <c r="AG762" s="30" t="str">
        <f aca="false">IF(R762&gt;=0.7,"Step-Up Candidate",IF(R762&gt;=0.4,"Lateral Move","Stay &amp; Develop"))</f>
        <v>Lateral Move</v>
      </c>
    </row>
    <row r="763" customFormat="false" ht="23.85" hidden="false" customHeight="false" outlineLevel="0" collapsed="false">
      <c r="A763" s="21" t="str">
        <f aca="false">'Player Data'!A763</f>
        <v>Tim Novak</v>
      </c>
      <c r="B763" s="21" t="str">
        <f aca="false">'Player Data'!F763</f>
        <v>MF</v>
      </c>
      <c r="C763" s="21" t="str">
        <f aca="false">'Player Data'!B763</f>
        <v>Slovenia</v>
      </c>
      <c r="D763" s="21" t="str">
        <f aca="false">'Player Data'!C763</f>
        <v>Slovenia Second Division - East</v>
      </c>
      <c r="E763" s="21" t="n">
        <f aca="false">'Player Data'!D763</f>
        <v>2</v>
      </c>
      <c r="F763" s="21" t="n">
        <f aca="false">'Player Data'!G763</f>
        <v>25</v>
      </c>
      <c r="G763" s="21" t="n">
        <f aca="false">'Player Data'!H763</f>
        <v>2376</v>
      </c>
      <c r="H763" s="22" t="n">
        <f aca="false">IF(B763="GK",IFERROR(('Player Data'!N763-1.5*'Player Data'!O763)/'Player Data'!H763*90,0),IFERROR(('Player Data'!I763+'Player Data'!J763)/'Player Data'!H763*90,0))</f>
        <v>0.416666666666667</v>
      </c>
      <c r="I763" s="22" t="n">
        <f aca="false">IF(B763="GK",'Player Data'!P763,IFERROR(('Player Data'!K763+'Player Data'!L763)/'Player Data'!H763*90,0))</f>
        <v>8.67424242424242</v>
      </c>
      <c r="J763" s="22" t="n">
        <f aca="false">IF(B763="GK",IFERROR('Player Data'!Q763/'Player Data'!H763*90,0),IFERROR('Player Data'!M763/'Player Data'!H763*90,0))</f>
        <v>1.40151515151515</v>
      </c>
      <c r="K763" s="23" t="n">
        <f aca="false">'Player Data'!S763</f>
        <v>111366</v>
      </c>
      <c r="L763" s="22" t="n">
        <f aca="false">INDEX(Assumptions!$B$13:$B$15,MATCH(E763,Assumptions!$A$13:$A$15,0))</f>
        <v>1</v>
      </c>
      <c r="M763" s="24" t="n">
        <f aca="false">IFERROR(SUMPRODUCT(($B$2:$B$1001=B763)*($H$2:$H$1001&lt;=H763))/SUMPRODUCT(($B$2:$B$1001=B763)*1),0)</f>
        <v>0.117845117845118</v>
      </c>
      <c r="N763" s="24" t="n">
        <f aca="false">IFERROR(SUMPRODUCT(($B$2:$B$1001=B763)*($I$2:$I$1001&lt;=I763))/SUMPRODUCT(($B$2:$B$1001=B763)*1),0)</f>
        <v>0.222222222222222</v>
      </c>
      <c r="O763" s="24" t="n">
        <f aca="false">IFERROR(SUMPRODUCT(($B$2:$B$1001=B763)*($J$2:$J$1001&lt;=J763))/SUMPRODUCT(($B$2:$B$1001=B763)*1),0)</f>
        <v>0.141414141414141</v>
      </c>
      <c r="P763" s="24" t="n">
        <f aca="false">IFERROR(SUMPRODUCT(($B$2:$B$1001=B763)*((0-$F$2:$F$1001)&lt;=(0-F763)))/SUMPRODUCT(($B$2:$B$1001=B763)*1),0)</f>
        <v>0.202020202020202</v>
      </c>
      <c r="Q763" s="25" t="n">
        <f aca="false">(M763*Assumptions!$B$5+N763*Assumptions!$B$6+O763*Assumptions!$B$7+P763*Assumptions!$B$8)*L763</f>
        <v>0.175925925925926</v>
      </c>
      <c r="R763" s="24" t="n">
        <f aca="false">IFERROR(SUMPRODUCT(($B$2:$B$1001=B763)*($Q$2:$Q$1001&lt;=Q763))/SUMPRODUCT(($B$2:$B$1001=B763)*1),0)</f>
        <v>0.0538720538720539</v>
      </c>
      <c r="S763" s="24" t="n">
        <f aca="false">IFERROR(SUMPRODUCT(($B$2:$B$1001=B763)*($K$2:$K$1001&lt;=K763))/SUMPRODUCT(($B$2:$B$1001=B763)*1),0)</f>
        <v>0.804713804713805</v>
      </c>
      <c r="T763" s="26" t="n">
        <f aca="false">(R763-S763)*100</f>
        <v>-75.0841750841751</v>
      </c>
      <c r="U763" s="21" t="str">
        <f aca="false">'Player Data'!T763</f>
        <v>Unknown</v>
      </c>
      <c r="V763" s="27" t="n">
        <f aca="false">'Player Data'!U763</f>
        <v>2026</v>
      </c>
      <c r="W763" s="21" t="str">
        <f aca="false">IF(AND(T763&gt;=Assumptions!$B$19,U763="No"),"High Priority - Unrepresented",IF(T763&gt;=Assumptions!$B$19,"High Priority",IF(AND(T763&gt;=Assumptions!$B$20,U763="No"),"Watchlist - Unrepresented",IF(T763&gt;=Assumptions!$B$20,"Watchlist",""))))</f>
        <v/>
      </c>
      <c r="X763" s="21" t="str">
        <f aca="false">'Player Data'!V763</f>
        <v>info@kranjrangers.si</v>
      </c>
      <c r="Y763" s="28" t="str">
        <f aca="false">'Player Data'!W763</f>
        <v>Club sporting director / first-team office</v>
      </c>
      <c r="Z763" s="28" t="str">
        <f aca="false">'Player Data'!X763</f>
        <v>NZS (Football Association of Slovenia) player registry</v>
      </c>
      <c r="AA763" s="19" t="str">
        <f aca="false">HYPERLINK("https://www.transfermarkt.com/schnellsuche/ergebnis/schnellsuche?query="&amp;SUBSTITUTE(A763," ","+"),"Search Transfermarkt")</f>
        <v>Search Transfermarkt</v>
      </c>
      <c r="AB763" s="29" t="n">
        <f aca="false">IFERROR('Player Data'!K763/('Player Data'!K763+'Player Data'!L763),0)</f>
        <v>0.729257641921397</v>
      </c>
      <c r="AC763" s="21" t="str">
        <f aca="false">IF(B763="GK",IF(AND(O763&gt;=Assumptions!$B$23,N763&gt;=Assumptions!$B$23),"Sweeper-Keeper / Build-from-the-Back",IF(O763&gt;=Assumptions!$B$23,"Sweeper-Keeper / High Line",IF(M763&gt;=Assumptions!$B$23,"Shot-Stopper / Traditional","Flexible / Multi-System"))),IF(AND(O763&gt;=Assumptions!$B$23,P763&gt;=Assumptions!$B$24),"High Press / Gegenpressing",IF(AND(N763&gt;=Assumptions!$B$23,AB763&gt;=Assumptions!$B$25),"Possession / Build-from-the-Back",IF(N763&gt;=Assumptions!$B$23,"Counter-Attack / Transition",IF(AND(O763&gt;=Assumptions!$B$23,N763&lt;Assumptions!$B$26),"Low Block / Park the Bus",IF(AND(B763="FW",M763&gt;=Assumptions!$B$23,N763&lt;Assumptions!$B$26),"Direct / Target Approach","Flexible / Multi-System"))))))</f>
        <v>Flexible / Multi-System</v>
      </c>
      <c r="AD763" s="21" t="str">
        <f aca="false">'Player Data'!Y763</f>
        <v>2026-07-17</v>
      </c>
      <c r="AE763" s="21" t="str">
        <f aca="false">'Player Data'!Z763</f>
        <v>2026-07-17</v>
      </c>
      <c r="AF763" s="28" t="str">
        <f aca="false">IFERROR(INDEX(Assumptions!$B$30:$B$61,MATCH(C763,Assumptions!$A$30:$A$61,0)),"--")</f>
        <v>Austria, Poland</v>
      </c>
      <c r="AG763" s="30" t="str">
        <f aca="false">IF(R763&gt;=0.7,"Step-Up Candidate",IF(R763&gt;=0.4,"Lateral Move","Stay &amp; Develop"))</f>
        <v>Stay &amp; Develop</v>
      </c>
    </row>
    <row r="764" customFormat="false" ht="23.85" hidden="false" customHeight="false" outlineLevel="0" collapsed="false">
      <c r="A764" s="21" t="str">
        <f aca="false">'Player Data'!A764</f>
        <v>Serge Kouassi</v>
      </c>
      <c r="B764" s="21" t="str">
        <f aca="false">'Player Data'!F764</f>
        <v>MF</v>
      </c>
      <c r="C764" s="21" t="str">
        <f aca="false">'Player Data'!B764</f>
        <v>Ivory Coast</v>
      </c>
      <c r="D764" s="21" t="str">
        <f aca="false">'Player Data'!C764</f>
        <v>Ivory Coast Second Division - West</v>
      </c>
      <c r="E764" s="21" t="n">
        <f aca="false">'Player Data'!D764</f>
        <v>2</v>
      </c>
      <c r="F764" s="21" t="n">
        <f aca="false">'Player Data'!G764</f>
        <v>21</v>
      </c>
      <c r="G764" s="21" t="n">
        <f aca="false">'Player Data'!H764</f>
        <v>2147</v>
      </c>
      <c r="H764" s="22" t="n">
        <f aca="false">IF(B764="GK",IFERROR(('Player Data'!N764-1.5*'Player Data'!O764)/'Player Data'!H764*90,0),IFERROR(('Player Data'!I764+'Player Data'!J764)/'Player Data'!H764*90,0))</f>
        <v>0.670703306939916</v>
      </c>
      <c r="I764" s="22" t="n">
        <f aca="false">IF(B764="GK",'Player Data'!P764,IFERROR(('Player Data'!K764+'Player Data'!L764)/'Player Data'!H764*90,0))</f>
        <v>9.43176525384257</v>
      </c>
      <c r="J764" s="22" t="n">
        <f aca="false">IF(B764="GK",IFERROR('Player Data'!Q764/'Player Data'!H764*90,0),IFERROR('Player Data'!M764/'Player Data'!H764*90,0))</f>
        <v>1.34140661387983</v>
      </c>
      <c r="K764" s="23" t="n">
        <f aca="false">'Player Data'!S764</f>
        <v>77969</v>
      </c>
      <c r="L764" s="22" t="n">
        <f aca="false">INDEX(Assumptions!$B$13:$B$15,MATCH(E764,Assumptions!$A$13:$A$15,0))</f>
        <v>1</v>
      </c>
      <c r="M764" s="24" t="n">
        <f aca="false">IFERROR(SUMPRODUCT(($B$2:$B$1001=B764)*($H$2:$H$1001&lt;=H764))/SUMPRODUCT(($B$2:$B$1001=B764)*1),0)</f>
        <v>0.424242424242424</v>
      </c>
      <c r="N764" s="24" t="n">
        <f aca="false">IFERROR(SUMPRODUCT(($B$2:$B$1001=B764)*($I$2:$I$1001&lt;=I764))/SUMPRODUCT(($B$2:$B$1001=B764)*1),0)</f>
        <v>0.36026936026936</v>
      </c>
      <c r="O764" s="24" t="n">
        <f aca="false">IFERROR(SUMPRODUCT(($B$2:$B$1001=B764)*($J$2:$J$1001&lt;=J764))/SUMPRODUCT(($B$2:$B$1001=B764)*1),0)</f>
        <v>0.117845117845118</v>
      </c>
      <c r="P764" s="24" t="n">
        <f aca="false">IFERROR(SUMPRODUCT(($B$2:$B$1001=B764)*((0-$F$2:$F$1001)&lt;=(0-F764)))/SUMPRODUCT(($B$2:$B$1001=B764)*1),0)</f>
        <v>0.61952861952862</v>
      </c>
      <c r="Q764" s="25" t="n">
        <f aca="false">(M764*Assumptions!$B$5+N764*Assumptions!$B$6+O764*Assumptions!$B$7+P764*Assumptions!$B$8)*L764</f>
        <v>0.37962962962963</v>
      </c>
      <c r="R764" s="24" t="n">
        <f aca="false">IFERROR(SUMPRODUCT(($B$2:$B$1001=B764)*($Q$2:$Q$1001&lt;=Q764))/SUMPRODUCT(($B$2:$B$1001=B764)*1),0)</f>
        <v>0.390572390572391</v>
      </c>
      <c r="S764" s="24" t="n">
        <f aca="false">IFERROR(SUMPRODUCT(($B$2:$B$1001=B764)*($K$2:$K$1001&lt;=K764))/SUMPRODUCT(($B$2:$B$1001=B764)*1),0)</f>
        <v>0.612794612794613</v>
      </c>
      <c r="T764" s="26" t="n">
        <f aca="false">(R764-S764)*100</f>
        <v>-22.2222222222222</v>
      </c>
      <c r="U764" s="21" t="str">
        <f aca="false">'Player Data'!T764</f>
        <v>Unknown</v>
      </c>
      <c r="V764" s="27" t="n">
        <f aca="false">'Player Data'!U764</f>
        <v>2027</v>
      </c>
      <c r="W764" s="21" t="str">
        <f aca="false">IF(AND(T764&gt;=Assumptions!$B$19,U764="No"),"High Priority - Unrepresented",IF(T764&gt;=Assumptions!$B$19,"High Priority",IF(AND(T764&gt;=Assumptions!$B$20,U764="No"),"Watchlist - Unrepresented",IF(T764&gt;=Assumptions!$B$20,"Watchlist",""))))</f>
        <v/>
      </c>
      <c r="X764" s="21" t="str">
        <f aca="false">'Player Data'!V764</f>
        <v>info@yamoussoukrorovers.ci</v>
      </c>
      <c r="Y764" s="28" t="str">
        <f aca="false">'Player Data'!W764</f>
        <v>Club sporting director / first-team office</v>
      </c>
      <c r="Z764" s="28" t="str">
        <f aca="false">'Player Data'!X764</f>
        <v>FIF (Ivorian Football Federation) player registry</v>
      </c>
      <c r="AA764" s="19" t="str">
        <f aca="false">HYPERLINK("https://www.transfermarkt.com/schnellsuche/ergebnis/schnellsuche?query="&amp;SUBSTITUTE(A764," ","+"),"Search Transfermarkt")</f>
        <v>Search Transfermarkt</v>
      </c>
      <c r="AB764" s="29" t="n">
        <f aca="false">IFERROR('Player Data'!K764/('Player Data'!K764+'Player Data'!L764),0)</f>
        <v>0.573333333333333</v>
      </c>
      <c r="AC764" s="21" t="str">
        <f aca="false">IF(B764="GK",IF(AND(O764&gt;=Assumptions!$B$23,N764&gt;=Assumptions!$B$23),"Sweeper-Keeper / Build-from-the-Back",IF(O764&gt;=Assumptions!$B$23,"Sweeper-Keeper / High Line",IF(M764&gt;=Assumptions!$B$23,"Shot-Stopper / Traditional","Flexible / Multi-System"))),IF(AND(O764&gt;=Assumptions!$B$23,P764&gt;=Assumptions!$B$24),"High Press / Gegenpressing",IF(AND(N764&gt;=Assumptions!$B$23,AB764&gt;=Assumptions!$B$25),"Possession / Build-from-the-Back",IF(N764&gt;=Assumptions!$B$23,"Counter-Attack / Transition",IF(AND(O764&gt;=Assumptions!$B$23,N764&lt;Assumptions!$B$26),"Low Block / Park the Bus",IF(AND(B764="FW",M764&gt;=Assumptions!$B$23,N764&lt;Assumptions!$B$26),"Direct / Target Approach","Flexible / Multi-System"))))))</f>
        <v>Flexible / Multi-System</v>
      </c>
      <c r="AD764" s="21" t="str">
        <f aca="false">'Player Data'!Y764</f>
        <v>2026-07-17</v>
      </c>
      <c r="AE764" s="21" t="str">
        <f aca="false">'Player Data'!Z764</f>
        <v>2026-07-17</v>
      </c>
      <c r="AF764" s="28" t="str">
        <f aca="false">IFERROR(INDEX(Assumptions!$B$30:$B$61,MATCH(C764,Assumptions!$A$30:$A$61,0)),"--")</f>
        <v>Belgium, Portugal</v>
      </c>
      <c r="AG764" s="30" t="str">
        <f aca="false">IF(R764&gt;=0.7,"Step-Up Candidate",IF(R764&gt;=0.4,"Lateral Move","Stay &amp; Develop"))</f>
        <v>Stay &amp; Develop</v>
      </c>
    </row>
    <row r="765" customFormat="false" ht="23.85" hidden="false" customHeight="false" outlineLevel="0" collapsed="false">
      <c r="A765" s="21" t="str">
        <f aca="false">'Player Data'!A765</f>
        <v>Petar Vukotic</v>
      </c>
      <c r="B765" s="21" t="str">
        <f aca="false">'Player Data'!F765</f>
        <v>GK</v>
      </c>
      <c r="C765" s="21" t="str">
        <f aca="false">'Player Data'!B765</f>
        <v>Montenegro</v>
      </c>
      <c r="D765" s="21" t="str">
        <f aca="false">'Player Data'!C765</f>
        <v>Montenegro Second Division - East</v>
      </c>
      <c r="E765" s="21" t="n">
        <f aca="false">'Player Data'!D765</f>
        <v>3</v>
      </c>
      <c r="F765" s="21" t="n">
        <f aca="false">'Player Data'!G765</f>
        <v>17</v>
      </c>
      <c r="G765" s="21" t="n">
        <f aca="false">'Player Data'!H765</f>
        <v>1353</v>
      </c>
      <c r="H765" s="22" t="n">
        <f aca="false">IF(B765="GK",IFERROR(('Player Data'!N765-1.5*'Player Data'!O765)/'Player Data'!H765*90,0),IFERROR(('Player Data'!I765+'Player Data'!J765)/'Player Data'!H765*90,0))</f>
        <v>-0.0332594235033259</v>
      </c>
      <c r="I765" s="22" t="n">
        <f aca="false">IF(B765="GK",'Player Data'!P765,IFERROR(('Player Data'!K765+'Player Data'!L765)/'Player Data'!H765*90,0))</f>
        <v>57.7</v>
      </c>
      <c r="J765" s="22" t="n">
        <f aca="false">IF(B765="GK",IFERROR('Player Data'!Q765/'Player Data'!H765*90,0),IFERROR('Player Data'!M765/'Player Data'!H765*90,0))</f>
        <v>0.745011086474501</v>
      </c>
      <c r="K765" s="23" t="n">
        <f aca="false">'Player Data'!S765</f>
        <v>0</v>
      </c>
      <c r="L765" s="22" t="n">
        <f aca="false">INDEX(Assumptions!$B$13:$B$15,MATCH(E765,Assumptions!$A$13:$A$15,0))</f>
        <v>0.85</v>
      </c>
      <c r="M765" s="24" t="n">
        <f aca="false">IFERROR(SUMPRODUCT(($B$2:$B$1001=B765)*($H$2:$H$1001&lt;=H765))/SUMPRODUCT(($B$2:$B$1001=B765)*1),0)</f>
        <v>0.180327868852459</v>
      </c>
      <c r="N765" s="24" t="n">
        <f aca="false">IFERROR(SUMPRODUCT(($B$2:$B$1001=B765)*($I$2:$I$1001&lt;=I765))/SUMPRODUCT(($B$2:$B$1001=B765)*1),0)</f>
        <v>0.0655737704918033</v>
      </c>
      <c r="O765" s="24" t="n">
        <f aca="false">IFERROR(SUMPRODUCT(($B$2:$B$1001=B765)*($J$2:$J$1001&lt;=J765))/SUMPRODUCT(($B$2:$B$1001=B765)*1),0)</f>
        <v>0.415300546448087</v>
      </c>
      <c r="P765" s="24" t="n">
        <f aca="false">IFERROR(SUMPRODUCT(($B$2:$B$1001=B765)*((0-$F$2:$F$1001)&lt;=(0-F765)))/SUMPRODUCT(($B$2:$B$1001=B765)*1),0)</f>
        <v>1</v>
      </c>
      <c r="Q765" s="25" t="n">
        <f aca="false">(M765*Assumptions!$B$5+N765*Assumptions!$B$6+O765*Assumptions!$B$7+P765*Assumptions!$B$8)*L765</f>
        <v>0.298428961748634</v>
      </c>
      <c r="R765" s="24" t="n">
        <f aca="false">IFERROR(SUMPRODUCT(($B$2:$B$1001=B765)*($Q$2:$Q$1001&lt;=Q765))/SUMPRODUCT(($B$2:$B$1001=B765)*1),0)</f>
        <v>0.12568306010929</v>
      </c>
      <c r="S765" s="24" t="n">
        <f aca="false">IFERROR(SUMPRODUCT(($B$2:$B$1001=B765)*($K$2:$K$1001&lt;=K765))/SUMPRODUCT(($B$2:$B$1001=B765)*1),0)</f>
        <v>0.218579234972678</v>
      </c>
      <c r="T765" s="26" t="n">
        <f aca="false">(R765-S765)*100</f>
        <v>-9.2896174863388</v>
      </c>
      <c r="U765" s="21" t="str">
        <f aca="false">'Player Data'!T765</f>
        <v>No</v>
      </c>
      <c r="V765" s="27" t="n">
        <f aca="false">'Player Data'!U765</f>
        <v>2029</v>
      </c>
      <c r="W765" s="21" t="str">
        <f aca="false">IF(AND(T765&gt;=Assumptions!$B$19,U765="No"),"High Priority - Unrepresented",IF(T765&gt;=Assumptions!$B$19,"High Priority",IF(AND(T765&gt;=Assumptions!$B$20,U765="No"),"Watchlist - Unrepresented",IF(T765&gt;=Assumptions!$B$20,"Watchlist",""))))</f>
        <v/>
      </c>
      <c r="X765" s="21" t="str">
        <f aca="false">'Player Data'!V765</f>
        <v>info@budvacity.me</v>
      </c>
      <c r="Y765" s="28" t="str">
        <f aca="false">'Player Data'!W765</f>
        <v>Club youth/academy office ONLY - player is a minor, do not contact directly</v>
      </c>
      <c r="Z765" s="28" t="str">
        <f aca="false">'Player Data'!X765</f>
        <v>FSCG (Football Association of Montenegro) player registry</v>
      </c>
      <c r="AA765" s="19" t="str">
        <f aca="false">HYPERLINK("https://www.transfermarkt.com/schnellsuche/ergebnis/schnellsuche?query="&amp;SUBSTITUTE(A765," ","+"),"Search Transfermarkt")</f>
        <v>Search Transfermarkt</v>
      </c>
      <c r="AB765" s="29" t="n">
        <f aca="false">IFERROR('Player Data'!K765/('Player Data'!K765+'Player Data'!L765),0)</f>
        <v>0.777777777777778</v>
      </c>
      <c r="AC765" s="21" t="str">
        <f aca="false">IF(B765="GK",IF(AND(O765&gt;=Assumptions!$B$23,N765&gt;=Assumptions!$B$23),"Sweeper-Keeper / Build-from-the-Back",IF(O765&gt;=Assumptions!$B$23,"Sweeper-Keeper / High Line",IF(M765&gt;=Assumptions!$B$23,"Shot-Stopper / Traditional","Flexible / Multi-System"))),IF(AND(O765&gt;=Assumptions!$B$23,P765&gt;=Assumptions!$B$24),"High Press / Gegenpressing",IF(AND(N765&gt;=Assumptions!$B$23,AB765&gt;=Assumptions!$B$25),"Possession / Build-from-the-Back",IF(N765&gt;=Assumptions!$B$23,"Counter-Attack / Transition",IF(AND(O765&gt;=Assumptions!$B$23,N765&lt;Assumptions!$B$26),"Low Block / Park the Bus",IF(AND(B765="FW",M765&gt;=Assumptions!$B$23,N765&lt;Assumptions!$B$26),"Direct / Target Approach","Flexible / Multi-System"))))))</f>
        <v>Flexible / Multi-System</v>
      </c>
      <c r="AD765" s="21" t="str">
        <f aca="false">'Player Data'!Y765</f>
        <v>2026-07-17</v>
      </c>
      <c r="AE765" s="21" t="str">
        <f aca="false">'Player Data'!Z765</f>
        <v>2026-07-17</v>
      </c>
      <c r="AF765" s="28" t="str">
        <f aca="false">IFERROR(INDEX(Assumptions!$B$30:$B$61,MATCH(C765,Assumptions!$A$30:$A$61,0)),"--")</f>
        <v>Austria, Turkey</v>
      </c>
      <c r="AG765" s="30" t="str">
        <f aca="false">IF(R765&gt;=0.7,"Step-Up Candidate",IF(R765&gt;=0.4,"Lateral Move","Stay &amp; Develop"))</f>
        <v>Stay &amp; Develop</v>
      </c>
    </row>
    <row r="766" customFormat="false" ht="23.85" hidden="false" customHeight="false" outlineLevel="0" collapsed="false">
      <c r="A766" s="21" t="str">
        <f aca="false">'Player Data'!A766</f>
        <v>Kaito Takahashi</v>
      </c>
      <c r="B766" s="21" t="str">
        <f aca="false">'Player Data'!F766</f>
        <v>DF</v>
      </c>
      <c r="C766" s="21" t="str">
        <f aca="false">'Player Data'!B766</f>
        <v>Japan</v>
      </c>
      <c r="D766" s="21" t="str">
        <f aca="false">'Player Data'!C766</f>
        <v>Japan Reserve League</v>
      </c>
      <c r="E766" s="21" t="n">
        <f aca="false">'Player Data'!D766</f>
        <v>2</v>
      </c>
      <c r="F766" s="21" t="n">
        <f aca="false">'Player Data'!G766</f>
        <v>17</v>
      </c>
      <c r="G766" s="21" t="n">
        <f aca="false">'Player Data'!H766</f>
        <v>962</v>
      </c>
      <c r="H766" s="22" t="n">
        <f aca="false">IF(B766="GK",IFERROR(('Player Data'!N766-1.5*'Player Data'!O766)/'Player Data'!H766*90,0),IFERROR(('Player Data'!I766+'Player Data'!J766)/'Player Data'!H766*90,0))</f>
        <v>0.280665280665281</v>
      </c>
      <c r="I766" s="22" t="n">
        <f aca="false">IF(B766="GK",'Player Data'!P766,IFERROR(('Player Data'!K766+'Player Data'!L766)/'Player Data'!H766*90,0))</f>
        <v>9.63617463617464</v>
      </c>
      <c r="J766" s="22" t="n">
        <f aca="false">IF(B766="GK",IFERROR('Player Data'!Q766/'Player Data'!H766*90,0),IFERROR('Player Data'!M766/'Player Data'!H766*90,0))</f>
        <v>12.1621621621622</v>
      </c>
      <c r="K766" s="23" t="n">
        <f aca="false">'Player Data'!S766</f>
        <v>129212</v>
      </c>
      <c r="L766" s="22" t="n">
        <f aca="false">INDEX(Assumptions!$B$13:$B$15,MATCH(E766,Assumptions!$A$13:$A$15,0))</f>
        <v>1</v>
      </c>
      <c r="M766" s="24" t="n">
        <f aca="false">IFERROR(SUMPRODUCT(($B$2:$B$1001=B766)*($H$2:$H$1001&lt;=H766))/SUMPRODUCT(($B$2:$B$1001=B766)*1),0)</f>
        <v>0.72108843537415</v>
      </c>
      <c r="N766" s="24" t="n">
        <f aca="false">IFERROR(SUMPRODUCT(($B$2:$B$1001=B766)*($I$2:$I$1001&lt;=I766))/SUMPRODUCT(($B$2:$B$1001=B766)*1),0)</f>
        <v>0.972789115646259</v>
      </c>
      <c r="O766" s="24" t="n">
        <f aca="false">IFERROR(SUMPRODUCT(($B$2:$B$1001=B766)*($J$2:$J$1001&lt;=J766))/SUMPRODUCT(($B$2:$B$1001=B766)*1),0)</f>
        <v>0.982993197278912</v>
      </c>
      <c r="P766" s="24" t="n">
        <f aca="false">IFERROR(SUMPRODUCT(($B$2:$B$1001=B766)*((0-$F$2:$F$1001)&lt;=(0-F766)))/SUMPRODUCT(($B$2:$B$1001=B766)*1),0)</f>
        <v>1</v>
      </c>
      <c r="Q766" s="25" t="n">
        <f aca="false">(M766*Assumptions!$B$5+N766*Assumptions!$B$6+O766*Assumptions!$B$7+P766*Assumptions!$B$8)*L766</f>
        <v>0.91734693877551</v>
      </c>
      <c r="R766" s="24" t="n">
        <f aca="false">IFERROR(SUMPRODUCT(($B$2:$B$1001=B766)*($Q$2:$Q$1001&lt;=Q766))/SUMPRODUCT(($B$2:$B$1001=B766)*1),0)</f>
        <v>0.996598639455782</v>
      </c>
      <c r="S766" s="24" t="n">
        <f aca="false">IFERROR(SUMPRODUCT(($B$2:$B$1001=B766)*($K$2:$K$1001&lt;=K766))/SUMPRODUCT(($B$2:$B$1001=B766)*1),0)</f>
        <v>0.908163265306123</v>
      </c>
      <c r="T766" s="26" t="n">
        <f aca="false">(R766-S766)*100</f>
        <v>8.84353741496599</v>
      </c>
      <c r="U766" s="21" t="str">
        <f aca="false">'Player Data'!T766</f>
        <v>Unknown</v>
      </c>
      <c r="V766" s="27" t="n">
        <f aca="false">'Player Data'!U766</f>
        <v>2026</v>
      </c>
      <c r="W766" s="21" t="str">
        <f aca="false">IF(AND(T766&gt;=Assumptions!$B$19,U766="No"),"High Priority - Unrepresented",IF(T766&gt;=Assumptions!$B$19,"High Priority",IF(AND(T766&gt;=Assumptions!$B$20,U766="No"),"Watchlist - Unrepresented",IF(T766&gt;=Assumptions!$B$20,"Watchlist",""))))</f>
        <v/>
      </c>
      <c r="X766" s="21" t="str">
        <f aca="false">'Player Data'!V766</f>
        <v>info@nagoyatown.jp</v>
      </c>
      <c r="Y766" s="28" t="str">
        <f aca="false">'Player Data'!W766</f>
        <v>Club youth/academy office ONLY - player is a minor, do not contact directly</v>
      </c>
      <c r="Z766" s="28" t="str">
        <f aca="false">'Player Data'!X766</f>
        <v>JFA (Japan Football Association) player registry</v>
      </c>
      <c r="AA766" s="19" t="str">
        <f aca="false">HYPERLINK("https://www.transfermarkt.com/schnellsuche/ergebnis/schnellsuche?query="&amp;SUBSTITUTE(A766," ","+"),"Search Transfermarkt")</f>
        <v>Search Transfermarkt</v>
      </c>
      <c r="AB766" s="29" t="n">
        <f aca="false">IFERROR('Player Data'!K766/('Player Data'!K766+'Player Data'!L766),0)</f>
        <v>0.611650485436893</v>
      </c>
      <c r="AC766" s="21" t="str">
        <f aca="false">IF(B766="GK",IF(AND(O766&gt;=Assumptions!$B$23,N766&gt;=Assumptions!$B$23),"Sweeper-Keeper / Build-from-the-Back",IF(O766&gt;=Assumptions!$B$23,"Sweeper-Keeper / High Line",IF(M766&gt;=Assumptions!$B$23,"Shot-Stopper / Traditional","Flexible / Multi-System"))),IF(AND(O766&gt;=Assumptions!$B$23,P766&gt;=Assumptions!$B$24),"High Press / Gegenpressing",IF(AND(N766&gt;=Assumptions!$B$23,AB766&gt;=Assumptions!$B$25),"Possession / Build-from-the-Back",IF(N766&gt;=Assumptions!$B$23,"Counter-Attack / Transition",IF(AND(O766&gt;=Assumptions!$B$23,N766&lt;Assumptions!$B$26),"Low Block / Park the Bus",IF(AND(B766="FW",M766&gt;=Assumptions!$B$23,N766&lt;Assumptions!$B$26),"Direct / Target Approach","Flexible / Multi-System"))))))</f>
        <v>High Press / Gegenpressing</v>
      </c>
      <c r="AD766" s="21" t="str">
        <f aca="false">'Player Data'!Y766</f>
        <v>2026-07-17</v>
      </c>
      <c r="AE766" s="21" t="str">
        <f aca="false">'Player Data'!Z766</f>
        <v>2026-07-17</v>
      </c>
      <c r="AF766" s="28" t="str">
        <f aca="false">IFERROR(INDEX(Assumptions!$B$30:$B$61,MATCH(C766,Assumptions!$A$30:$A$61,0)),"--")</f>
        <v>Belgium, Australia</v>
      </c>
      <c r="AG766" s="30" t="str">
        <f aca="false">IF(R766&gt;=0.7,"Step-Up Candidate",IF(R766&gt;=0.4,"Lateral Move","Stay &amp; Develop"))</f>
        <v>Step-Up Candidate</v>
      </c>
    </row>
    <row r="767" customFormat="false" ht="23.85" hidden="false" customHeight="false" outlineLevel="0" collapsed="false">
      <c r="A767" s="21" t="str">
        <f aca="false">'Player Data'!A767</f>
        <v>Josip Matic</v>
      </c>
      <c r="B767" s="21" t="str">
        <f aca="false">'Player Data'!F767</f>
        <v>MF</v>
      </c>
      <c r="C767" s="21" t="str">
        <f aca="false">'Player Data'!B767</f>
        <v>Croatia</v>
      </c>
      <c r="D767" s="21" t="str">
        <f aca="false">'Player Data'!C767</f>
        <v>Croatia Reserve League</v>
      </c>
      <c r="E767" s="21" t="n">
        <f aca="false">'Player Data'!D767</f>
        <v>4</v>
      </c>
      <c r="F767" s="21" t="n">
        <f aca="false">'Player Data'!G767</f>
        <v>19</v>
      </c>
      <c r="G767" s="21" t="n">
        <f aca="false">'Player Data'!H767</f>
        <v>2599</v>
      </c>
      <c r="H767" s="22" t="n">
        <f aca="false">IF(B767="GK",IFERROR(('Player Data'!N767-1.5*'Player Data'!O767)/'Player Data'!H767*90,0),IFERROR(('Player Data'!I767+'Player Data'!J767)/'Player Data'!H767*90,0))</f>
        <v>0.450173143516737</v>
      </c>
      <c r="I767" s="22" t="n">
        <f aca="false">IF(B767="GK",'Player Data'!P767,IFERROR(('Player Data'!K767+'Player Data'!L767)/'Player Data'!H767*90,0))</f>
        <v>5.95613697575991</v>
      </c>
      <c r="J767" s="22" t="n">
        <f aca="false">IF(B767="GK",IFERROR('Player Data'!Q767/'Player Data'!H767*90,0),IFERROR('Player Data'!M767/'Player Data'!H767*90,0))</f>
        <v>1.86994998076183</v>
      </c>
      <c r="K767" s="23" t="n">
        <f aca="false">'Player Data'!S767</f>
        <v>92305</v>
      </c>
      <c r="L767" s="22" t="n">
        <f aca="false">INDEX(Assumptions!$B$13:$B$15,MATCH(E767,Assumptions!$A$13:$A$15,0))</f>
        <v>0.7</v>
      </c>
      <c r="M767" s="24" t="n">
        <f aca="false">IFERROR(SUMPRODUCT(($B$2:$B$1001=B767)*($H$2:$H$1001&lt;=H767))/SUMPRODUCT(($B$2:$B$1001=B767)*1),0)</f>
        <v>0.154882154882155</v>
      </c>
      <c r="N767" s="24" t="n">
        <f aca="false">IFERROR(SUMPRODUCT(($B$2:$B$1001=B767)*($I$2:$I$1001&lt;=I767))/SUMPRODUCT(($B$2:$B$1001=B767)*1),0)</f>
        <v>0.00673400673400673</v>
      </c>
      <c r="O767" s="24" t="n">
        <f aca="false">IFERROR(SUMPRODUCT(($B$2:$B$1001=B767)*($J$2:$J$1001&lt;=J767))/SUMPRODUCT(($B$2:$B$1001=B767)*1),0)</f>
        <v>0.36026936026936</v>
      </c>
      <c r="P767" s="24" t="n">
        <f aca="false">IFERROR(SUMPRODUCT(($B$2:$B$1001=B767)*((0-$F$2:$F$1001)&lt;=(0-F767)))/SUMPRODUCT(($B$2:$B$1001=B767)*1),0)</f>
        <v>0.868686868686869</v>
      </c>
      <c r="Q767" s="25" t="n">
        <f aca="false">(M767*Assumptions!$B$5+N767*Assumptions!$B$6+O767*Assumptions!$B$7+P767*Assumptions!$B$8)*L767</f>
        <v>0.200808080808081</v>
      </c>
      <c r="R767" s="24" t="n">
        <f aca="false">IFERROR(SUMPRODUCT(($B$2:$B$1001=B767)*($Q$2:$Q$1001&lt;=Q767))/SUMPRODUCT(($B$2:$B$1001=B767)*1),0)</f>
        <v>0.0875420875420876</v>
      </c>
      <c r="S767" s="24" t="n">
        <f aca="false">IFERROR(SUMPRODUCT(($B$2:$B$1001=B767)*($K$2:$K$1001&lt;=K767))/SUMPRODUCT(($B$2:$B$1001=B767)*1),0)</f>
        <v>0.703703703703704</v>
      </c>
      <c r="T767" s="26" t="n">
        <f aca="false">(R767-S767)*100</f>
        <v>-61.6161616161616</v>
      </c>
      <c r="U767" s="21" t="str">
        <f aca="false">'Player Data'!T767</f>
        <v>No</v>
      </c>
      <c r="V767" s="27" t="n">
        <f aca="false">'Player Data'!U767</f>
        <v>2029</v>
      </c>
      <c r="W767" s="21" t="str">
        <f aca="false">IF(AND(T767&gt;=Assumptions!$B$19,U767="No"),"High Priority - Unrepresented",IF(T767&gt;=Assumptions!$B$19,"High Priority",IF(AND(T767&gt;=Assumptions!$B$20,U767="No"),"Watchlist - Unrepresented",IF(T767&gt;=Assumptions!$B$20,"Watchlist",""))))</f>
        <v/>
      </c>
      <c r="X767" s="21" t="str">
        <f aca="false">'Player Data'!V767</f>
        <v>info@medimurjesc.hr</v>
      </c>
      <c r="Y767" s="28" t="str">
        <f aca="false">'Player Data'!W767</f>
        <v>Club sporting director / first-team office</v>
      </c>
      <c r="Z767" s="28" t="str">
        <f aca="false">'Player Data'!X767</f>
        <v>HNS (Croatian Football Federation) player registry</v>
      </c>
      <c r="AA767" s="19" t="str">
        <f aca="false">HYPERLINK("https://www.transfermarkt.com/schnellsuche/ergebnis/schnellsuche?query="&amp;SUBSTITUTE(A767," ","+"),"Search Transfermarkt")</f>
        <v>Search Transfermarkt</v>
      </c>
      <c r="AB767" s="29" t="n">
        <f aca="false">IFERROR('Player Data'!K767/('Player Data'!K767+'Player Data'!L767),0)</f>
        <v>0.691860465116279</v>
      </c>
      <c r="AC767" s="21" t="str">
        <f aca="false">IF(B767="GK",IF(AND(O767&gt;=Assumptions!$B$23,N767&gt;=Assumptions!$B$23),"Sweeper-Keeper / Build-from-the-Back",IF(O767&gt;=Assumptions!$B$23,"Sweeper-Keeper / High Line",IF(M767&gt;=Assumptions!$B$23,"Shot-Stopper / Traditional","Flexible / Multi-System"))),IF(AND(O767&gt;=Assumptions!$B$23,P767&gt;=Assumptions!$B$24),"High Press / Gegenpressing",IF(AND(N767&gt;=Assumptions!$B$23,AB767&gt;=Assumptions!$B$25),"Possession / Build-from-the-Back",IF(N767&gt;=Assumptions!$B$23,"Counter-Attack / Transition",IF(AND(O767&gt;=Assumptions!$B$23,N767&lt;Assumptions!$B$26),"Low Block / Park the Bus",IF(AND(B767="FW",M767&gt;=Assumptions!$B$23,N767&lt;Assumptions!$B$26),"Direct / Target Approach","Flexible / Multi-System"))))))</f>
        <v>Flexible / Multi-System</v>
      </c>
      <c r="AD767" s="21" t="str">
        <f aca="false">'Player Data'!Y767</f>
        <v>2026-07-17</v>
      </c>
      <c r="AE767" s="21" t="str">
        <f aca="false">'Player Data'!Z767</f>
        <v>2026-07-17</v>
      </c>
      <c r="AF767" s="28" t="str">
        <f aca="false">IFERROR(INDEX(Assumptions!$B$30:$B$61,MATCH(C767,Assumptions!$A$30:$A$61,0)),"--")</f>
        <v>Austria, Turkey</v>
      </c>
      <c r="AG767" s="30" t="str">
        <f aca="false">IF(R767&gt;=0.7,"Step-Up Candidate",IF(R767&gt;=0.4,"Lateral Move","Stay &amp; Develop"))</f>
        <v>Stay &amp; Develop</v>
      </c>
    </row>
    <row r="768" customFormat="false" ht="23.85" hidden="false" customHeight="false" outlineLevel="0" collapsed="false">
      <c r="A768" s="21" t="str">
        <f aca="false">'Player Data'!A768</f>
        <v>Gonzalo Flores</v>
      </c>
      <c r="B768" s="21" t="str">
        <f aca="false">'Player Data'!F768</f>
        <v>MF</v>
      </c>
      <c r="C768" s="21" t="str">
        <f aca="false">'Player Data'!B768</f>
        <v>Bolivia</v>
      </c>
      <c r="D768" s="21" t="str">
        <f aca="false">'Player Data'!C768</f>
        <v>Bolivia Regional League</v>
      </c>
      <c r="E768" s="21" t="n">
        <f aca="false">'Player Data'!D768</f>
        <v>4</v>
      </c>
      <c r="F768" s="21" t="n">
        <f aca="false">'Player Data'!G768</f>
        <v>20</v>
      </c>
      <c r="G768" s="21" t="n">
        <f aca="false">'Player Data'!H768</f>
        <v>2360</v>
      </c>
      <c r="H768" s="22" t="n">
        <f aca="false">IF(B768="GK",IFERROR(('Player Data'!N768-1.5*'Player Data'!O768)/'Player Data'!H768*90,0),IFERROR(('Player Data'!I768+'Player Data'!J768)/'Player Data'!H768*90,0))</f>
        <v>0.686440677966102</v>
      </c>
      <c r="I768" s="22" t="n">
        <f aca="false">IF(B768="GK",'Player Data'!P768,IFERROR(('Player Data'!K768+'Player Data'!L768)/'Player Data'!H768*90,0))</f>
        <v>7.39830508474576</v>
      </c>
      <c r="J768" s="22" t="n">
        <f aca="false">IF(B768="GK",IFERROR('Player Data'!Q768/'Player Data'!H768*90,0),IFERROR('Player Data'!M768/'Player Data'!H768*90,0))</f>
        <v>2.21186440677966</v>
      </c>
      <c r="K768" s="23" t="n">
        <f aca="false">'Player Data'!S768</f>
        <v>8747</v>
      </c>
      <c r="L768" s="22" t="n">
        <f aca="false">INDEX(Assumptions!$B$13:$B$15,MATCH(E768,Assumptions!$A$13:$A$15,0))</f>
        <v>0.7</v>
      </c>
      <c r="M768" s="24" t="n">
        <f aca="false">IFERROR(SUMPRODUCT(($B$2:$B$1001=B768)*($H$2:$H$1001&lt;=H768))/SUMPRODUCT(($B$2:$B$1001=B768)*1),0)</f>
        <v>0.441077441077441</v>
      </c>
      <c r="N768" s="24" t="n">
        <f aca="false">IFERROR(SUMPRODUCT(($B$2:$B$1001=B768)*($I$2:$I$1001&lt;=I768))/SUMPRODUCT(($B$2:$B$1001=B768)*1),0)</f>
        <v>0.0942760942760943</v>
      </c>
      <c r="O768" s="24" t="n">
        <f aca="false">IFERROR(SUMPRODUCT(($B$2:$B$1001=B768)*($J$2:$J$1001&lt;=J768))/SUMPRODUCT(($B$2:$B$1001=B768)*1),0)</f>
        <v>0.511784511784512</v>
      </c>
      <c r="P768" s="24" t="n">
        <f aca="false">IFERROR(SUMPRODUCT(($B$2:$B$1001=B768)*((0-$F$2:$F$1001)&lt;=(0-F768)))/SUMPRODUCT(($B$2:$B$1001=B768)*1),0)</f>
        <v>0.734006734006734</v>
      </c>
      <c r="Q768" s="25" t="n">
        <f aca="false">(M768*Assumptions!$B$5+N768*Assumptions!$B$6+O768*Assumptions!$B$7+P768*Assumptions!$B$8)*L768</f>
        <v>0.27469696969697</v>
      </c>
      <c r="R768" s="24" t="n">
        <f aca="false">IFERROR(SUMPRODUCT(($B$2:$B$1001=B768)*($Q$2:$Q$1001&lt;=Q768))/SUMPRODUCT(($B$2:$B$1001=B768)*1),0)</f>
        <v>0.228956228956229</v>
      </c>
      <c r="S768" s="24" t="n">
        <f aca="false">IFERROR(SUMPRODUCT(($B$2:$B$1001=B768)*($K$2:$K$1001&lt;=K768))/SUMPRODUCT(($B$2:$B$1001=B768)*1),0)</f>
        <v>0.232323232323232</v>
      </c>
      <c r="T768" s="26" t="n">
        <f aca="false">(R768-S768)*100</f>
        <v>-0.336700336700335</v>
      </c>
      <c r="U768" s="21" t="str">
        <f aca="false">'Player Data'!T768</f>
        <v>Yes</v>
      </c>
      <c r="V768" s="27" t="n">
        <f aca="false">'Player Data'!U768</f>
        <v>2028</v>
      </c>
      <c r="W768" s="21" t="str">
        <f aca="false">IF(AND(T768&gt;=Assumptions!$B$19,U768="No"),"High Priority - Unrepresented",IF(T768&gt;=Assumptions!$B$19,"High Priority",IF(AND(T768&gt;=Assumptions!$B$20,U768="No"),"Watchlist - Unrepresented",IF(T768&gt;=Assumptions!$B$20,"Watchlist",""))))</f>
        <v/>
      </c>
      <c r="X768" s="21" t="str">
        <f aca="false">'Player Data'!V768</f>
        <v>info@orurofc.bo</v>
      </c>
      <c r="Y768" s="28" t="str">
        <f aca="false">'Player Data'!W768</f>
        <v>Go through the player's agent - ask the club to confirm representation first</v>
      </c>
      <c r="Z768" s="28" t="str">
        <f aca="false">'Player Data'!X768</f>
        <v>FBF (Bolivian Football Federation) player registry</v>
      </c>
      <c r="AA768" s="19" t="str">
        <f aca="false">HYPERLINK("https://www.transfermarkt.com/schnellsuche/ergebnis/schnellsuche?query="&amp;SUBSTITUTE(A768," ","+"),"Search Transfermarkt")</f>
        <v>Search Transfermarkt</v>
      </c>
      <c r="AB768" s="29" t="n">
        <f aca="false">IFERROR('Player Data'!K768/('Player Data'!K768+'Player Data'!L768),0)</f>
        <v>0.582474226804124</v>
      </c>
      <c r="AC768" s="21" t="str">
        <f aca="false">IF(B768="GK",IF(AND(O768&gt;=Assumptions!$B$23,N768&gt;=Assumptions!$B$23),"Sweeper-Keeper / Build-from-the-Back",IF(O768&gt;=Assumptions!$B$23,"Sweeper-Keeper / High Line",IF(M768&gt;=Assumptions!$B$23,"Shot-Stopper / Traditional","Flexible / Multi-System"))),IF(AND(O768&gt;=Assumptions!$B$23,P768&gt;=Assumptions!$B$24),"High Press / Gegenpressing",IF(AND(N768&gt;=Assumptions!$B$23,AB768&gt;=Assumptions!$B$25),"Possession / Build-from-the-Back",IF(N768&gt;=Assumptions!$B$23,"Counter-Attack / Transition",IF(AND(O768&gt;=Assumptions!$B$23,N768&lt;Assumptions!$B$26),"Low Block / Park the Bus",IF(AND(B768="FW",M768&gt;=Assumptions!$B$23,N768&lt;Assumptions!$B$26),"Direct / Target Approach","Flexible / Multi-System"))))))</f>
        <v>Flexible / Multi-System</v>
      </c>
      <c r="AD768" s="21" t="str">
        <f aca="false">'Player Data'!Y768</f>
        <v>2026-07-17</v>
      </c>
      <c r="AE768" s="21" t="str">
        <f aca="false">'Player Data'!Z768</f>
        <v>2026-07-17</v>
      </c>
      <c r="AF768" s="28" t="str">
        <f aca="false">IFERROR(INDEX(Assumptions!$B$30:$B$61,MATCH(C768,Assumptions!$A$30:$A$61,0)),"--")</f>
        <v>Argentina, Portugal</v>
      </c>
      <c r="AG768" s="30" t="str">
        <f aca="false">IF(R768&gt;=0.7,"Step-Up Candidate",IF(R768&gt;=0.4,"Lateral Move","Stay &amp; Develop"))</f>
        <v>Stay &amp; Develop</v>
      </c>
    </row>
    <row r="769" customFormat="false" ht="23.85" hidden="false" customHeight="false" outlineLevel="0" collapsed="false">
      <c r="A769" s="21" t="str">
        <f aca="false">'Player Data'!A769</f>
        <v>Roberts Vitols 19</v>
      </c>
      <c r="B769" s="21" t="str">
        <f aca="false">'Player Data'!F769</f>
        <v>GK</v>
      </c>
      <c r="C769" s="21" t="str">
        <f aca="false">'Player Data'!B769</f>
        <v>Latvia</v>
      </c>
      <c r="D769" s="21" t="str">
        <f aca="false">'Player Data'!C769</f>
        <v>Latvia Third Tier - North</v>
      </c>
      <c r="E769" s="21" t="n">
        <f aca="false">'Player Data'!D769</f>
        <v>3</v>
      </c>
      <c r="F769" s="21" t="n">
        <f aca="false">'Player Data'!G769</f>
        <v>19</v>
      </c>
      <c r="G769" s="21" t="n">
        <f aca="false">'Player Data'!H769</f>
        <v>899</v>
      </c>
      <c r="H769" s="22" t="n">
        <f aca="false">IF(B769="GK",IFERROR(('Player Data'!N769-1.5*'Player Data'!O769)/'Player Data'!H769*90,0),IFERROR(('Player Data'!I769+'Player Data'!J769)/'Player Data'!H769*90,0))</f>
        <v>-0.951056729699666</v>
      </c>
      <c r="I769" s="22" t="n">
        <f aca="false">IF(B769="GK",'Player Data'!P769,IFERROR(('Player Data'!K769+'Player Data'!L769)/'Player Data'!H769*90,0))</f>
        <v>81.2</v>
      </c>
      <c r="J769" s="22" t="n">
        <f aca="false">IF(B769="GK",IFERROR('Player Data'!Q769/'Player Data'!H769*90,0),IFERROR('Player Data'!M769/'Player Data'!H769*90,0))</f>
        <v>1.40155728587319</v>
      </c>
      <c r="K769" s="23" t="n">
        <f aca="false">'Player Data'!S769</f>
        <v>0</v>
      </c>
      <c r="L769" s="22" t="n">
        <f aca="false">INDEX(Assumptions!$B$13:$B$15,MATCH(E769,Assumptions!$A$13:$A$15,0))</f>
        <v>0.85</v>
      </c>
      <c r="M769" s="24" t="n">
        <f aca="false">IFERROR(SUMPRODUCT(($B$2:$B$1001=B769)*($H$2:$H$1001&lt;=H769))/SUMPRODUCT(($B$2:$B$1001=B769)*1),0)</f>
        <v>0.0163934426229508</v>
      </c>
      <c r="N769" s="24" t="n">
        <f aca="false">IFERROR(SUMPRODUCT(($B$2:$B$1001=B769)*($I$2:$I$1001&lt;=I769))/SUMPRODUCT(($B$2:$B$1001=B769)*1),0)</f>
        <v>0.699453551912568</v>
      </c>
      <c r="O769" s="24" t="n">
        <f aca="false">IFERROR(SUMPRODUCT(($B$2:$B$1001=B769)*($J$2:$J$1001&lt;=J769))/SUMPRODUCT(($B$2:$B$1001=B769)*1),0)</f>
        <v>0.901639344262295</v>
      </c>
      <c r="P769" s="24" t="n">
        <f aca="false">IFERROR(SUMPRODUCT(($B$2:$B$1001=B769)*((0-$F$2:$F$1001)&lt;=(0-F769)))/SUMPRODUCT(($B$2:$B$1001=B769)*1),0)</f>
        <v>0.770491803278689</v>
      </c>
      <c r="Q769" s="25" t="n">
        <f aca="false">(M769*Assumptions!$B$5+N769*Assumptions!$B$6+O769*Assumptions!$B$7+P769*Assumptions!$B$8)*L769</f>
        <v>0.495833333333333</v>
      </c>
      <c r="R769" s="24" t="n">
        <f aca="false">IFERROR(SUMPRODUCT(($B$2:$B$1001=B769)*($Q$2:$Q$1001&lt;=Q769))/SUMPRODUCT(($B$2:$B$1001=B769)*1),0)</f>
        <v>0.617486338797814</v>
      </c>
      <c r="S769" s="24" t="n">
        <f aca="false">IFERROR(SUMPRODUCT(($B$2:$B$1001=B769)*($K$2:$K$1001&lt;=K769))/SUMPRODUCT(($B$2:$B$1001=B769)*1),0)</f>
        <v>0.218579234972678</v>
      </c>
      <c r="T769" s="26" t="n">
        <f aca="false">(R769-S769)*100</f>
        <v>39.8907103825137</v>
      </c>
      <c r="U769" s="21" t="str">
        <f aca="false">'Player Data'!T769</f>
        <v>No</v>
      </c>
      <c r="V769" s="27" t="n">
        <f aca="false">'Player Data'!U769</f>
        <v>2029</v>
      </c>
      <c r="W769" s="21" t="str">
        <f aca="false">IF(AND(T769&gt;=Assumptions!$B$19,U769="No"),"High Priority - Unrepresented",IF(T769&gt;=Assumptions!$B$19,"High Priority",IF(AND(T769&gt;=Assumptions!$B$20,U769="No"),"Watchlist - Unrepresented",IF(T769&gt;=Assumptions!$B$20,"Watchlist",""))))</f>
        <v>Watchlist - Unrepresented</v>
      </c>
      <c r="X769" s="21" t="str">
        <f aca="false">'Player Data'!V769</f>
        <v>info@liepajasc.lv</v>
      </c>
      <c r="Y769" s="28" t="str">
        <f aca="false">'Player Data'!W769</f>
        <v>Club sporting director / first-team office</v>
      </c>
      <c r="Z769" s="28" t="str">
        <f aca="false">'Player Data'!X769</f>
        <v>LFF (Latvian Football Federation) player registry</v>
      </c>
      <c r="AA769" s="19" t="str">
        <f aca="false">HYPERLINK("https://www.transfermarkt.com/schnellsuche/ergebnis/schnellsuche?query="&amp;SUBSTITUTE(A769," ","+"),"Search Transfermarkt")</f>
        <v>Search Transfermarkt</v>
      </c>
      <c r="AB769" s="29" t="n">
        <f aca="false">IFERROR('Player Data'!K769/('Player Data'!K769+'Player Data'!L769),0)</f>
        <v>0.818181818181818</v>
      </c>
      <c r="AC769" s="21" t="str">
        <f aca="false">IF(B769="GK",IF(AND(O769&gt;=Assumptions!$B$23,N769&gt;=Assumptions!$B$23),"Sweeper-Keeper / Build-from-the-Back",IF(O769&gt;=Assumptions!$B$23,"Sweeper-Keeper / High Line",IF(M769&gt;=Assumptions!$B$23,"Shot-Stopper / Traditional","Flexible / Multi-System"))),IF(AND(O769&gt;=Assumptions!$B$23,P769&gt;=Assumptions!$B$24),"High Press / Gegenpressing",IF(AND(N769&gt;=Assumptions!$B$23,AB769&gt;=Assumptions!$B$25),"Possession / Build-from-the-Back",IF(N769&gt;=Assumptions!$B$23,"Counter-Attack / Transition",IF(AND(O769&gt;=Assumptions!$B$23,N769&lt;Assumptions!$B$26),"Low Block / Park the Bus",IF(AND(B769="FW",M769&gt;=Assumptions!$B$23,N769&lt;Assumptions!$B$26),"Direct / Target Approach","Flexible / Multi-System"))))))</f>
        <v>Sweeper-Keeper / Build-from-the-Back</v>
      </c>
      <c r="AD769" s="21" t="str">
        <f aca="false">'Player Data'!Y769</f>
        <v>2026-07-17</v>
      </c>
      <c r="AE769" s="21" t="str">
        <f aca="false">'Player Data'!Z769</f>
        <v>2026-07-17</v>
      </c>
      <c r="AF769" s="28" t="str">
        <f aca="false">IFERROR(INDEX(Assumptions!$B$30:$B$61,MATCH(C769,Assumptions!$A$30:$A$61,0)),"--")</f>
        <v>Poland, Norway</v>
      </c>
      <c r="AG769" s="30" t="str">
        <f aca="false">IF(R769&gt;=0.7,"Step-Up Candidate",IF(R769&gt;=0.4,"Lateral Move","Stay &amp; Develop"))</f>
        <v>Lateral Move</v>
      </c>
    </row>
    <row r="770" customFormat="false" ht="23.85" hidden="false" customHeight="false" outlineLevel="0" collapsed="false">
      <c r="A770" s="21" t="str">
        <f aca="false">'Player Data'!A770</f>
        <v>Anthony Elvir</v>
      </c>
      <c r="B770" s="21" t="str">
        <f aca="false">'Player Data'!F770</f>
        <v>DF</v>
      </c>
      <c r="C770" s="21" t="str">
        <f aca="false">'Player Data'!B770</f>
        <v>Honduras</v>
      </c>
      <c r="D770" s="21" t="str">
        <f aca="false">'Player Data'!C770</f>
        <v>Honduras Second Division</v>
      </c>
      <c r="E770" s="21" t="n">
        <f aca="false">'Player Data'!D770</f>
        <v>3</v>
      </c>
      <c r="F770" s="21" t="n">
        <f aca="false">'Player Data'!G770</f>
        <v>20</v>
      </c>
      <c r="G770" s="21" t="n">
        <f aca="false">'Player Data'!H770</f>
        <v>2520</v>
      </c>
      <c r="H770" s="22" t="n">
        <f aca="false">IF(B770="GK",IFERROR(('Player Data'!N770-1.5*'Player Data'!O770)/'Player Data'!H770*90,0),IFERROR(('Player Data'!I770+'Player Data'!J770)/'Player Data'!H770*90,0))</f>
        <v>0.0714285714285714</v>
      </c>
      <c r="I770" s="22" t="n">
        <f aca="false">IF(B770="GK",'Player Data'!P770,IFERROR(('Player Data'!K770+'Player Data'!L770)/'Player Data'!H770*90,0))</f>
        <v>3.57142857142857</v>
      </c>
      <c r="J770" s="22" t="n">
        <f aca="false">IF(B770="GK",IFERROR('Player Data'!Q770/'Player Data'!H770*90,0),IFERROR('Player Data'!M770/'Player Data'!H770*90,0))</f>
        <v>4.14285714285714</v>
      </c>
      <c r="K770" s="23" t="n">
        <f aca="false">'Player Data'!S770</f>
        <v>119137</v>
      </c>
      <c r="L770" s="22" t="n">
        <f aca="false">INDEX(Assumptions!$B$13:$B$15,MATCH(E770,Assumptions!$A$13:$A$15,0))</f>
        <v>0.85</v>
      </c>
      <c r="M770" s="24" t="n">
        <f aca="false">IFERROR(SUMPRODUCT(($B$2:$B$1001=B770)*($H$2:$H$1001&lt;=H770))/SUMPRODUCT(($B$2:$B$1001=B770)*1),0)</f>
        <v>0.105442176870748</v>
      </c>
      <c r="N770" s="24" t="n">
        <f aca="false">IFERROR(SUMPRODUCT(($B$2:$B$1001=B770)*($I$2:$I$1001&lt;=I770))/SUMPRODUCT(($B$2:$B$1001=B770)*1),0)</f>
        <v>0.258503401360544</v>
      </c>
      <c r="O770" s="24" t="n">
        <f aca="false">IFERROR(SUMPRODUCT(($B$2:$B$1001=B770)*($J$2:$J$1001&lt;=J770))/SUMPRODUCT(($B$2:$B$1001=B770)*1),0)</f>
        <v>0.26530612244898</v>
      </c>
      <c r="P770" s="24" t="n">
        <f aca="false">IFERROR(SUMPRODUCT(($B$2:$B$1001=B770)*((0-$F$2:$F$1001)&lt;=(0-F770)))/SUMPRODUCT(($B$2:$B$1001=B770)*1),0)</f>
        <v>0.656462585034014</v>
      </c>
      <c r="Q770" s="25" t="n">
        <f aca="false">(M770*Assumptions!$B$5+N770*Assumptions!$B$6+O770*Assumptions!$B$7+P770*Assumptions!$B$8)*L770</f>
        <v>0.256011904761905</v>
      </c>
      <c r="R770" s="24" t="n">
        <f aca="false">IFERROR(SUMPRODUCT(($B$2:$B$1001=B770)*($Q$2:$Q$1001&lt;=Q770))/SUMPRODUCT(($B$2:$B$1001=B770)*1),0)</f>
        <v>0.17687074829932</v>
      </c>
      <c r="S770" s="24" t="n">
        <f aca="false">IFERROR(SUMPRODUCT(($B$2:$B$1001=B770)*($K$2:$K$1001&lt;=K770))/SUMPRODUCT(($B$2:$B$1001=B770)*1),0)</f>
        <v>0.843537414965986</v>
      </c>
      <c r="T770" s="26" t="n">
        <f aca="false">(R770-S770)*100</f>
        <v>-66.6666666666667</v>
      </c>
      <c r="U770" s="21" t="str">
        <f aca="false">'Player Data'!T770</f>
        <v>Unknown</v>
      </c>
      <c r="V770" s="27" t="n">
        <f aca="false">'Player Data'!U770</f>
        <v>2027</v>
      </c>
      <c r="W770" s="21" t="str">
        <f aca="false">IF(AND(T770&gt;=Assumptions!$B$19,U770="No"),"High Priority - Unrepresented",IF(T770&gt;=Assumptions!$B$19,"High Priority",IF(AND(T770&gt;=Assumptions!$B$20,U770="No"),"Watchlist - Unrepresented",IF(T770&gt;=Assumptions!$B$20,"Watchlist",""))))</f>
        <v/>
      </c>
      <c r="X770" s="21" t="str">
        <f aca="false">'Player Data'!V770</f>
        <v>info@cholutecarovers.hn</v>
      </c>
      <c r="Y770" s="28" t="str">
        <f aca="false">'Player Data'!W770</f>
        <v>Club sporting director / first-team office</v>
      </c>
      <c r="Z770" s="28" t="str">
        <f aca="false">'Player Data'!X770</f>
        <v>FENAFUTH (Honduran Football Federation) player registry</v>
      </c>
      <c r="AA770" s="19" t="str">
        <f aca="false">HYPERLINK("https://www.transfermarkt.com/schnellsuche/ergebnis/schnellsuche?query="&amp;SUBSTITUTE(A770," ","+"),"Search Transfermarkt")</f>
        <v>Search Transfermarkt</v>
      </c>
      <c r="AB770" s="29" t="n">
        <f aca="false">IFERROR('Player Data'!K770/('Player Data'!K770+'Player Data'!L770),0)</f>
        <v>0.71</v>
      </c>
      <c r="AC770" s="21" t="str">
        <f aca="false">IF(B770="GK",IF(AND(O770&gt;=Assumptions!$B$23,N770&gt;=Assumptions!$B$23),"Sweeper-Keeper / Build-from-the-Back",IF(O770&gt;=Assumptions!$B$23,"Sweeper-Keeper / High Line",IF(M770&gt;=Assumptions!$B$23,"Shot-Stopper / Traditional","Flexible / Multi-System"))),IF(AND(O770&gt;=Assumptions!$B$23,P770&gt;=Assumptions!$B$24),"High Press / Gegenpressing",IF(AND(N770&gt;=Assumptions!$B$23,AB770&gt;=Assumptions!$B$25),"Possession / Build-from-the-Back",IF(N770&gt;=Assumptions!$B$23,"Counter-Attack / Transition",IF(AND(O770&gt;=Assumptions!$B$23,N770&lt;Assumptions!$B$26),"Low Block / Park the Bus",IF(AND(B770="FW",M770&gt;=Assumptions!$B$23,N770&lt;Assumptions!$B$26),"Direct / Target Approach","Flexible / Multi-System"))))))</f>
        <v>Flexible / Multi-System</v>
      </c>
      <c r="AD770" s="21" t="str">
        <f aca="false">'Player Data'!Y770</f>
        <v>2026-07-17</v>
      </c>
      <c r="AE770" s="21" t="str">
        <f aca="false">'Player Data'!Z770</f>
        <v>2026-07-17</v>
      </c>
      <c r="AF770" s="28" t="str">
        <f aca="false">IFERROR(INDEX(Assumptions!$B$30:$B$61,MATCH(C770,Assumptions!$A$30:$A$61,0)),"--")</f>
        <v>Mexico, United States</v>
      </c>
      <c r="AG770" s="30" t="str">
        <f aca="false">IF(R770&gt;=0.7,"Step-Up Candidate",IF(R770&gt;=0.4,"Lateral Move","Stay &amp; Develop"))</f>
        <v>Stay &amp; Develop</v>
      </c>
    </row>
    <row r="771" customFormat="false" ht="23.85" hidden="false" customHeight="false" outlineLevel="0" collapsed="false">
      <c r="A771" s="21" t="str">
        <f aca="false">'Player Data'!A771</f>
        <v>Ahmed Kareem</v>
      </c>
      <c r="B771" s="21" t="str">
        <f aca="false">'Player Data'!F771</f>
        <v>MF</v>
      </c>
      <c r="C771" s="21" t="str">
        <f aca="false">'Player Data'!B771</f>
        <v>Iraq</v>
      </c>
      <c r="D771" s="21" t="str">
        <f aca="false">'Player Data'!C771</f>
        <v>Iraq Second Division - East</v>
      </c>
      <c r="E771" s="21" t="n">
        <f aca="false">'Player Data'!D771</f>
        <v>2</v>
      </c>
      <c r="F771" s="21" t="n">
        <f aca="false">'Player Data'!G771</f>
        <v>22</v>
      </c>
      <c r="G771" s="21" t="n">
        <f aca="false">'Player Data'!H771</f>
        <v>1282</v>
      </c>
      <c r="H771" s="22" t="n">
        <f aca="false">IF(B771="GK",IFERROR(('Player Data'!N771-1.5*'Player Data'!O771)/'Player Data'!H771*90,0),IFERROR(('Player Data'!I771+'Player Data'!J771)/'Player Data'!H771*90,0))</f>
        <v>1.12324492979719</v>
      </c>
      <c r="I771" s="22" t="n">
        <f aca="false">IF(B771="GK",'Player Data'!P771,IFERROR(('Player Data'!K771+'Player Data'!L771)/'Player Data'!H771*90,0))</f>
        <v>12.4960998439938</v>
      </c>
      <c r="J771" s="22" t="n">
        <f aca="false">IF(B771="GK",IFERROR('Player Data'!Q771/'Player Data'!H771*90,0),IFERROR('Player Data'!M771/'Player Data'!H771*90,0))</f>
        <v>2.59750390015601</v>
      </c>
      <c r="K771" s="23" t="n">
        <f aca="false">'Player Data'!S771</f>
        <v>0</v>
      </c>
      <c r="L771" s="22" t="n">
        <f aca="false">INDEX(Assumptions!$B$13:$B$15,MATCH(E771,Assumptions!$A$13:$A$15,0))</f>
        <v>1</v>
      </c>
      <c r="M771" s="24" t="n">
        <f aca="false">IFERROR(SUMPRODUCT(($B$2:$B$1001=B771)*($H$2:$H$1001&lt;=H771))/SUMPRODUCT(($B$2:$B$1001=B771)*1),0)</f>
        <v>0.824915824915825</v>
      </c>
      <c r="N771" s="24" t="n">
        <f aca="false">IFERROR(SUMPRODUCT(($B$2:$B$1001=B771)*($I$2:$I$1001&lt;=I771))/SUMPRODUCT(($B$2:$B$1001=B771)*1),0)</f>
        <v>0.62962962962963</v>
      </c>
      <c r="O771" s="24" t="n">
        <f aca="false">IFERROR(SUMPRODUCT(($B$2:$B$1001=B771)*($J$2:$J$1001&lt;=J771))/SUMPRODUCT(($B$2:$B$1001=B771)*1),0)</f>
        <v>0.666666666666667</v>
      </c>
      <c r="P771" s="24" t="n">
        <f aca="false">IFERROR(SUMPRODUCT(($B$2:$B$1001=B771)*((0-$F$2:$F$1001)&lt;=(0-F771)))/SUMPRODUCT(($B$2:$B$1001=B771)*1),0)</f>
        <v>0.515151515151515</v>
      </c>
      <c r="Q771" s="25" t="n">
        <f aca="false">(M771*Assumptions!$B$5+N771*Assumptions!$B$6+O771*Assumptions!$B$7+P771*Assumptions!$B$8)*L771</f>
        <v>0.662962962962963</v>
      </c>
      <c r="R771" s="24" t="n">
        <f aca="false">IFERROR(SUMPRODUCT(($B$2:$B$1001=B771)*($Q$2:$Q$1001&lt;=Q771))/SUMPRODUCT(($B$2:$B$1001=B771)*1),0)</f>
        <v>0.851851851851852</v>
      </c>
      <c r="S771" s="24" t="n">
        <f aca="false">IFERROR(SUMPRODUCT(($B$2:$B$1001=B771)*($K$2:$K$1001&lt;=K771))/SUMPRODUCT(($B$2:$B$1001=B771)*1),0)</f>
        <v>0.228956228956229</v>
      </c>
      <c r="T771" s="26" t="n">
        <f aca="false">(R771-S771)*100</f>
        <v>62.2895622895623</v>
      </c>
      <c r="U771" s="21" t="str">
        <f aca="false">'Player Data'!T771</f>
        <v>Yes</v>
      </c>
      <c r="V771" s="27" t="n">
        <f aca="false">'Player Data'!U771</f>
        <v>2026</v>
      </c>
      <c r="W771" s="21" t="str">
        <f aca="false">IF(AND(T771&gt;=Assumptions!$B$19,U771="No"),"High Priority - Unrepresented",IF(T771&gt;=Assumptions!$B$19,"High Priority",IF(AND(T771&gt;=Assumptions!$B$20,U771="No"),"Watchlist - Unrepresented",IF(T771&gt;=Assumptions!$B$20,"Watchlist",""))))</f>
        <v>High Priority</v>
      </c>
      <c r="X771" s="21" t="str">
        <f aca="false">'Player Data'!V771</f>
        <v>info@erbilcity.iq</v>
      </c>
      <c r="Y771" s="28" t="str">
        <f aca="false">'Player Data'!W771</f>
        <v>Go through the player's agent - ask the club to confirm representation first</v>
      </c>
      <c r="Z771" s="28" t="str">
        <f aca="false">'Player Data'!X771</f>
        <v>IFA (Iraq Football Association) player registry</v>
      </c>
      <c r="AA771" s="19" t="str">
        <f aca="false">HYPERLINK("https://www.transfermarkt.com/schnellsuche/ergebnis/schnellsuche?query="&amp;SUBSTITUTE(A771," ","+"),"Search Transfermarkt")</f>
        <v>Search Transfermarkt</v>
      </c>
      <c r="AB771" s="29" t="n">
        <f aca="false">IFERROR('Player Data'!K771/('Player Data'!K771+'Player Data'!L771),0)</f>
        <v>0.651685393258427</v>
      </c>
      <c r="AC771" s="21" t="str">
        <f aca="false">IF(B771="GK",IF(AND(O771&gt;=Assumptions!$B$23,N771&gt;=Assumptions!$B$23),"Sweeper-Keeper / Build-from-the-Back",IF(O771&gt;=Assumptions!$B$23,"Sweeper-Keeper / High Line",IF(M771&gt;=Assumptions!$B$23,"Shot-Stopper / Traditional","Flexible / Multi-System"))),IF(AND(O771&gt;=Assumptions!$B$23,P771&gt;=Assumptions!$B$24),"High Press / Gegenpressing",IF(AND(N771&gt;=Assumptions!$B$23,AB771&gt;=Assumptions!$B$25),"Possession / Build-from-the-Back",IF(N771&gt;=Assumptions!$B$23,"Counter-Attack / Transition",IF(AND(O771&gt;=Assumptions!$B$23,N771&lt;Assumptions!$B$26),"Low Block / Park the Bus",IF(AND(B771="FW",M771&gt;=Assumptions!$B$23,N771&lt;Assumptions!$B$26),"Direct / Target Approach","Flexible / Multi-System"))))))</f>
        <v>Flexible / Multi-System</v>
      </c>
      <c r="AD771" s="21" t="str">
        <f aca="false">'Player Data'!Y771</f>
        <v>2026-07-17</v>
      </c>
      <c r="AE771" s="21" t="str">
        <f aca="false">'Player Data'!Z771</f>
        <v>2026-07-17</v>
      </c>
      <c r="AF771" s="28" t="str">
        <f aca="false">IFERROR(INDEX(Assumptions!$B$30:$B$61,MATCH(C771,Assumptions!$A$30:$A$61,0)),"--")</f>
        <v>Turkey, Saudi Arabia</v>
      </c>
      <c r="AG771" s="30" t="str">
        <f aca="false">IF(R771&gt;=0.7,"Step-Up Candidate",IF(R771&gt;=0.4,"Lateral Move","Stay &amp; Develop"))</f>
        <v>Step-Up Candidate</v>
      </c>
    </row>
    <row r="772" customFormat="false" ht="23.85" hidden="false" customHeight="false" outlineLevel="0" collapsed="false">
      <c r="A772" s="21" t="str">
        <f aca="false">'Player Data'!A772</f>
        <v>Kelvin Banda</v>
      </c>
      <c r="B772" s="21" t="str">
        <f aca="false">'Player Data'!F772</f>
        <v>MF</v>
      </c>
      <c r="C772" s="21" t="str">
        <f aca="false">'Player Data'!B772</f>
        <v>Zambia</v>
      </c>
      <c r="D772" s="21" t="str">
        <f aca="false">'Player Data'!C772</f>
        <v>Zambia Reserve League</v>
      </c>
      <c r="E772" s="21" t="n">
        <f aca="false">'Player Data'!D772</f>
        <v>4</v>
      </c>
      <c r="F772" s="21" t="n">
        <f aca="false">'Player Data'!G772</f>
        <v>24</v>
      </c>
      <c r="G772" s="21" t="n">
        <f aca="false">'Player Data'!H772</f>
        <v>2600</v>
      </c>
      <c r="H772" s="22" t="n">
        <f aca="false">IF(B772="GK",IFERROR(('Player Data'!N772-1.5*'Player Data'!O772)/'Player Data'!H772*90,0),IFERROR(('Player Data'!I772+'Player Data'!J772)/'Player Data'!H772*90,0))</f>
        <v>0.692307692307692</v>
      </c>
      <c r="I772" s="22" t="n">
        <f aca="false">IF(B772="GK",'Player Data'!P772,IFERROR(('Player Data'!K772+'Player Data'!L772)/'Player Data'!H772*90,0))</f>
        <v>6.95769230769231</v>
      </c>
      <c r="J772" s="22" t="n">
        <f aca="false">IF(B772="GK",IFERROR('Player Data'!Q772/'Player Data'!H772*90,0),IFERROR('Player Data'!M772/'Player Data'!H772*90,0))</f>
        <v>1.62692307692308</v>
      </c>
      <c r="K772" s="23" t="n">
        <f aca="false">'Player Data'!S772</f>
        <v>123242</v>
      </c>
      <c r="L772" s="22" t="n">
        <f aca="false">INDEX(Assumptions!$B$13:$B$15,MATCH(E772,Assumptions!$A$13:$A$15,0))</f>
        <v>0.7</v>
      </c>
      <c r="M772" s="24" t="n">
        <f aca="false">IFERROR(SUMPRODUCT(($B$2:$B$1001=B772)*($H$2:$H$1001&lt;=H772))/SUMPRODUCT(($B$2:$B$1001=B772)*1),0)</f>
        <v>0.447811447811448</v>
      </c>
      <c r="N772" s="24" t="n">
        <f aca="false">IFERROR(SUMPRODUCT(($B$2:$B$1001=B772)*($I$2:$I$1001&lt;=I772))/SUMPRODUCT(($B$2:$B$1001=B772)*1),0)</f>
        <v>0.0572390572390572</v>
      </c>
      <c r="O772" s="24" t="n">
        <f aca="false">IFERROR(SUMPRODUCT(($B$2:$B$1001=B772)*($J$2:$J$1001&lt;=J772))/SUMPRODUCT(($B$2:$B$1001=B772)*1),0)</f>
        <v>0.242424242424242</v>
      </c>
      <c r="P772" s="24" t="n">
        <f aca="false">IFERROR(SUMPRODUCT(($B$2:$B$1001=B772)*((0-$F$2:$F$1001)&lt;=(0-F772)))/SUMPRODUCT(($B$2:$B$1001=B772)*1),0)</f>
        <v>0.326599326599327</v>
      </c>
      <c r="Q772" s="25" t="n">
        <f aca="false">(M772*Assumptions!$B$5+N772*Assumptions!$B$6+O772*Assumptions!$B$7+P772*Assumptions!$B$8)*L772</f>
        <v>0.172053872053872</v>
      </c>
      <c r="R772" s="24" t="n">
        <f aca="false">IFERROR(SUMPRODUCT(($B$2:$B$1001=B772)*($Q$2:$Q$1001&lt;=Q772))/SUMPRODUCT(($B$2:$B$1001=B772)*1),0)</f>
        <v>0.0505050505050505</v>
      </c>
      <c r="S772" s="24" t="n">
        <f aca="false">IFERROR(SUMPRODUCT(($B$2:$B$1001=B772)*($K$2:$K$1001&lt;=K772))/SUMPRODUCT(($B$2:$B$1001=B772)*1),0)</f>
        <v>0.878787878787879</v>
      </c>
      <c r="T772" s="26" t="n">
        <f aca="false">(R772-S772)*100</f>
        <v>-82.8282828282828</v>
      </c>
      <c r="U772" s="21" t="str">
        <f aca="false">'Player Data'!T772</f>
        <v>Yes</v>
      </c>
      <c r="V772" s="27" t="n">
        <f aca="false">'Player Data'!U772</f>
        <v>2029</v>
      </c>
      <c r="W772" s="21" t="str">
        <f aca="false">IF(AND(T772&gt;=Assumptions!$B$19,U772="No"),"High Priority - Unrepresented",IF(T772&gt;=Assumptions!$B$19,"High Priority",IF(AND(T772&gt;=Assumptions!$B$20,U772="No"),"Watchlist - Unrepresented",IF(T772&gt;=Assumptions!$B$20,"Watchlist",""))))</f>
        <v/>
      </c>
      <c r="X772" s="21" t="str">
        <f aca="false">'Player Data'!V772</f>
        <v>info@lusakatown.zm</v>
      </c>
      <c r="Y772" s="28" t="str">
        <f aca="false">'Player Data'!W772</f>
        <v>Go through the player's agent - ask the club to confirm representation first</v>
      </c>
      <c r="Z772" s="28" t="str">
        <f aca="false">'Player Data'!X772</f>
        <v>FAZ (Football Association of Zambia) player registry</v>
      </c>
      <c r="AA772" s="19" t="str">
        <f aca="false">HYPERLINK("https://www.transfermarkt.com/schnellsuche/ergebnis/schnellsuche?query="&amp;SUBSTITUTE(A772," ","+"),"Search Transfermarkt")</f>
        <v>Search Transfermarkt</v>
      </c>
      <c r="AB772" s="29" t="n">
        <f aca="false">IFERROR('Player Data'!K772/('Player Data'!K772+'Player Data'!L772),0)</f>
        <v>0.63681592039801</v>
      </c>
      <c r="AC772" s="21" t="str">
        <f aca="false">IF(B772="GK",IF(AND(O772&gt;=Assumptions!$B$23,N772&gt;=Assumptions!$B$23),"Sweeper-Keeper / Build-from-the-Back",IF(O772&gt;=Assumptions!$B$23,"Sweeper-Keeper / High Line",IF(M772&gt;=Assumptions!$B$23,"Shot-Stopper / Traditional","Flexible / Multi-System"))),IF(AND(O772&gt;=Assumptions!$B$23,P772&gt;=Assumptions!$B$24),"High Press / Gegenpressing",IF(AND(N772&gt;=Assumptions!$B$23,AB772&gt;=Assumptions!$B$25),"Possession / Build-from-the-Back",IF(N772&gt;=Assumptions!$B$23,"Counter-Attack / Transition",IF(AND(O772&gt;=Assumptions!$B$23,N772&lt;Assumptions!$B$26),"Low Block / Park the Bus",IF(AND(B772="FW",M772&gt;=Assumptions!$B$23,N772&lt;Assumptions!$B$26),"Direct / Target Approach","Flexible / Multi-System"))))))</f>
        <v>Flexible / Multi-System</v>
      </c>
      <c r="AD772" s="21" t="str">
        <f aca="false">'Player Data'!Y772</f>
        <v>2026-07-17</v>
      </c>
      <c r="AE772" s="21" t="str">
        <f aca="false">'Player Data'!Z772</f>
        <v>2026-07-17</v>
      </c>
      <c r="AF772" s="28" t="str">
        <f aca="false">IFERROR(INDEX(Assumptions!$B$30:$B$61,MATCH(C772,Assumptions!$A$30:$A$61,0)),"--")</f>
        <v>Belgium, Portugal</v>
      </c>
      <c r="AG772" s="30" t="str">
        <f aca="false">IF(R772&gt;=0.7,"Step-Up Candidate",IF(R772&gt;=0.4,"Lateral Move","Stay &amp; Develop"))</f>
        <v>Stay &amp; Develop</v>
      </c>
    </row>
    <row r="773" customFormat="false" ht="23.85" hidden="false" customHeight="false" outlineLevel="0" collapsed="false">
      <c r="A773" s="21" t="str">
        <f aca="false">'Player Data'!A773</f>
        <v>Wilfried Toure</v>
      </c>
      <c r="B773" s="21" t="str">
        <f aca="false">'Player Data'!F773</f>
        <v>FW</v>
      </c>
      <c r="C773" s="21" t="str">
        <f aca="false">'Player Data'!B773</f>
        <v>Ivory Coast</v>
      </c>
      <c r="D773" s="21" t="str">
        <f aca="false">'Player Data'!C773</f>
        <v>Ivory Coast Third Tier - North</v>
      </c>
      <c r="E773" s="21" t="n">
        <f aca="false">'Player Data'!D773</f>
        <v>4</v>
      </c>
      <c r="F773" s="21" t="n">
        <f aca="false">'Player Data'!G773</f>
        <v>23</v>
      </c>
      <c r="G773" s="21" t="n">
        <f aca="false">'Player Data'!H773</f>
        <v>1743</v>
      </c>
      <c r="H773" s="22" t="n">
        <f aca="false">IF(B773="GK",IFERROR(('Player Data'!N773-1.5*'Player Data'!O773)/'Player Data'!H773*90,0),IFERROR(('Player Data'!I773+'Player Data'!J773)/'Player Data'!H773*90,0))</f>
        <v>1.18760757314974</v>
      </c>
      <c r="I773" s="22" t="n">
        <f aca="false">IF(B773="GK",'Player Data'!P773,IFERROR(('Player Data'!K773+'Player Data'!L773)/'Player Data'!H773*90,0))</f>
        <v>5.67986230636833</v>
      </c>
      <c r="J773" s="22" t="n">
        <f aca="false">IF(B773="GK",IFERROR('Player Data'!Q773/'Player Data'!H773*90,0),IFERROR('Player Data'!M773/'Player Data'!H773*90,0))</f>
        <v>0.826161790017212</v>
      </c>
      <c r="K773" s="23" t="n">
        <f aca="false">'Player Data'!S773</f>
        <v>0</v>
      </c>
      <c r="L773" s="22" t="n">
        <f aca="false">INDEX(Assumptions!$B$13:$B$15,MATCH(E773,Assumptions!$A$13:$A$15,0))</f>
        <v>0.7</v>
      </c>
      <c r="M773" s="24" t="n">
        <f aca="false">IFERROR(SUMPRODUCT(($B$2:$B$1001=B773)*($H$2:$H$1001&lt;=H773))/SUMPRODUCT(($B$2:$B$1001=B773)*1),0)</f>
        <v>0.685840707964602</v>
      </c>
      <c r="N773" s="24" t="n">
        <f aca="false">IFERROR(SUMPRODUCT(($B$2:$B$1001=B773)*($I$2:$I$1001&lt;=I773))/SUMPRODUCT(($B$2:$B$1001=B773)*1),0)</f>
        <v>0.36283185840708</v>
      </c>
      <c r="O773" s="24" t="n">
        <f aca="false">IFERROR(SUMPRODUCT(($B$2:$B$1001=B773)*($J$2:$J$1001&lt;=J773))/SUMPRODUCT(($B$2:$B$1001=B773)*1),0)</f>
        <v>0.809734513274336</v>
      </c>
      <c r="P773" s="24" t="n">
        <f aca="false">IFERROR(SUMPRODUCT(($B$2:$B$1001=B773)*((0-$F$2:$F$1001)&lt;=(0-F773)))/SUMPRODUCT(($B$2:$B$1001=B773)*1),0)</f>
        <v>0.389380530973451</v>
      </c>
      <c r="Q773" s="25" t="n">
        <f aca="false">(M773*Assumptions!$B$5+N773*Assumptions!$B$6+O773*Assumptions!$B$7+P773*Assumptions!$B$8)*L773</f>
        <v>0.37679203539823</v>
      </c>
      <c r="R773" s="24" t="n">
        <f aca="false">IFERROR(SUMPRODUCT(($B$2:$B$1001=B773)*($Q$2:$Q$1001&lt;=Q773))/SUMPRODUCT(($B$2:$B$1001=B773)*1),0)</f>
        <v>0.398230088495575</v>
      </c>
      <c r="S773" s="24" t="n">
        <f aca="false">IFERROR(SUMPRODUCT(($B$2:$B$1001=B773)*($K$2:$K$1001&lt;=K773))/SUMPRODUCT(($B$2:$B$1001=B773)*1),0)</f>
        <v>0.261061946902655</v>
      </c>
      <c r="T773" s="26" t="n">
        <f aca="false">(R773-S773)*100</f>
        <v>13.716814159292</v>
      </c>
      <c r="U773" s="21" t="str">
        <f aca="false">'Player Data'!T773</f>
        <v>No</v>
      </c>
      <c r="V773" s="27" t="n">
        <f aca="false">'Player Data'!U773</f>
        <v>2027</v>
      </c>
      <c r="W773" s="21" t="str">
        <f aca="false">IF(AND(T773&gt;=Assumptions!$B$19,U773="No"),"High Priority - Unrepresented",IF(T773&gt;=Assumptions!$B$19,"High Priority",IF(AND(T773&gt;=Assumptions!$B$20,U773="No"),"Watchlist - Unrepresented",IF(T773&gt;=Assumptions!$B$20,"Watchlist",""))))</f>
        <v/>
      </c>
      <c r="X773" s="21" t="str">
        <f aca="false">'Player Data'!V773</f>
        <v>info@sanpedroathletic.ci</v>
      </c>
      <c r="Y773" s="28" t="str">
        <f aca="false">'Player Data'!W773</f>
        <v>Club sporting director / first-team office</v>
      </c>
      <c r="Z773" s="28" t="str">
        <f aca="false">'Player Data'!X773</f>
        <v>FIF (Ivorian Football Federation) player registry</v>
      </c>
      <c r="AA773" s="19" t="str">
        <f aca="false">HYPERLINK("https://www.transfermarkt.com/schnellsuche/ergebnis/schnellsuche?query="&amp;SUBSTITUTE(A773," ","+"),"Search Transfermarkt")</f>
        <v>Search Transfermarkt</v>
      </c>
      <c r="AB773" s="29" t="n">
        <f aca="false">IFERROR('Player Data'!K773/('Player Data'!K773+'Player Data'!L773),0)</f>
        <v>0.372727272727273</v>
      </c>
      <c r="AC773" s="21" t="str">
        <f aca="false">IF(B773="GK",IF(AND(O773&gt;=Assumptions!$B$23,N773&gt;=Assumptions!$B$23),"Sweeper-Keeper / Build-from-the-Back",IF(O773&gt;=Assumptions!$B$23,"Sweeper-Keeper / High Line",IF(M773&gt;=Assumptions!$B$23,"Shot-Stopper / Traditional","Flexible / Multi-System"))),IF(AND(O773&gt;=Assumptions!$B$23,P773&gt;=Assumptions!$B$24),"High Press / Gegenpressing",IF(AND(N773&gt;=Assumptions!$B$23,AB773&gt;=Assumptions!$B$25),"Possession / Build-from-the-Back",IF(N773&gt;=Assumptions!$B$23,"Counter-Attack / Transition",IF(AND(O773&gt;=Assumptions!$B$23,N773&lt;Assumptions!$B$26),"Low Block / Park the Bus",IF(AND(B773="FW",M773&gt;=Assumptions!$B$23,N773&lt;Assumptions!$B$26),"Direct / Target Approach","Flexible / Multi-System"))))))</f>
        <v>Low Block / Park the Bus</v>
      </c>
      <c r="AD773" s="21" t="str">
        <f aca="false">'Player Data'!Y773</f>
        <v>2026-07-17</v>
      </c>
      <c r="AE773" s="21" t="str">
        <f aca="false">'Player Data'!Z773</f>
        <v>2026-07-17</v>
      </c>
      <c r="AF773" s="28" t="str">
        <f aca="false">IFERROR(INDEX(Assumptions!$B$30:$B$61,MATCH(C773,Assumptions!$A$30:$A$61,0)),"--")</f>
        <v>Belgium, Portugal</v>
      </c>
      <c r="AG773" s="30" t="str">
        <f aca="false">IF(R773&gt;=0.7,"Step-Up Candidate",IF(R773&gt;=0.4,"Lateral Move","Stay &amp; Develop"))</f>
        <v>Stay &amp; Develop</v>
      </c>
    </row>
    <row r="774" customFormat="false" ht="23.85" hidden="false" customHeight="false" outlineLevel="0" collapsed="false">
      <c r="A774" s="21" t="str">
        <f aca="false">'Player Data'!A774</f>
        <v>Cole Smith</v>
      </c>
      <c r="B774" s="21" t="str">
        <f aca="false">'Player Data'!F774</f>
        <v>MF</v>
      </c>
      <c r="C774" s="21" t="str">
        <f aca="false">'Player Data'!B774</f>
        <v>New Zealand</v>
      </c>
      <c r="D774" s="21" t="str">
        <f aca="false">'Player Data'!C774</f>
        <v>New Zealand Second Division - West</v>
      </c>
      <c r="E774" s="21" t="n">
        <f aca="false">'Player Data'!D774</f>
        <v>3</v>
      </c>
      <c r="F774" s="21" t="n">
        <f aca="false">'Player Data'!G774</f>
        <v>25</v>
      </c>
      <c r="G774" s="21" t="n">
        <f aca="false">'Player Data'!H774</f>
        <v>1978</v>
      </c>
      <c r="H774" s="22" t="n">
        <f aca="false">IF(B774="GK",IFERROR(('Player Data'!N774-1.5*'Player Data'!O774)/'Player Data'!H774*90,0),IFERROR(('Player Data'!I774+'Player Data'!J774)/'Player Data'!H774*90,0))</f>
        <v>0.546006066734075</v>
      </c>
      <c r="I774" s="22" t="n">
        <f aca="false">IF(B774="GK",'Player Data'!P774,IFERROR(('Player Data'!K774+'Player Data'!L774)/'Player Data'!H774*90,0))</f>
        <v>11.1931243680485</v>
      </c>
      <c r="J774" s="22" t="n">
        <f aca="false">IF(B774="GK",IFERROR('Player Data'!Q774/'Player Data'!H774*90,0),IFERROR('Player Data'!M774/'Player Data'!H774*90,0))</f>
        <v>2.00202224469161</v>
      </c>
      <c r="K774" s="23" t="n">
        <f aca="false">'Player Data'!S774</f>
        <v>0</v>
      </c>
      <c r="L774" s="22" t="n">
        <f aca="false">INDEX(Assumptions!$B$13:$B$15,MATCH(E774,Assumptions!$A$13:$A$15,0))</f>
        <v>0.85</v>
      </c>
      <c r="M774" s="24" t="n">
        <f aca="false">IFERROR(SUMPRODUCT(($B$2:$B$1001=B774)*($H$2:$H$1001&lt;=H774))/SUMPRODUCT(($B$2:$B$1001=B774)*1),0)</f>
        <v>0.265993265993266</v>
      </c>
      <c r="N774" s="24" t="n">
        <f aca="false">IFERROR(SUMPRODUCT(($B$2:$B$1001=B774)*($I$2:$I$1001&lt;=I774))/SUMPRODUCT(($B$2:$B$1001=B774)*1),0)</f>
        <v>0.518518518518519</v>
      </c>
      <c r="O774" s="24" t="n">
        <f aca="false">IFERROR(SUMPRODUCT(($B$2:$B$1001=B774)*($J$2:$J$1001&lt;=J774))/SUMPRODUCT(($B$2:$B$1001=B774)*1),0)</f>
        <v>0.420875420875421</v>
      </c>
      <c r="P774" s="24" t="n">
        <f aca="false">IFERROR(SUMPRODUCT(($B$2:$B$1001=B774)*((0-$F$2:$F$1001)&lt;=(0-F774)))/SUMPRODUCT(($B$2:$B$1001=B774)*1),0)</f>
        <v>0.202020202020202</v>
      </c>
      <c r="Q774" s="25" t="n">
        <f aca="false">(M774*Assumptions!$B$5+N774*Assumptions!$B$6+O774*Assumptions!$B$7+P774*Assumptions!$B$8)*L774</f>
        <v>0.316675084175084</v>
      </c>
      <c r="R774" s="24" t="n">
        <f aca="false">IFERROR(SUMPRODUCT(($B$2:$B$1001=B774)*($Q$2:$Q$1001&lt;=Q774))/SUMPRODUCT(($B$2:$B$1001=B774)*1),0)</f>
        <v>0.279461279461279</v>
      </c>
      <c r="S774" s="24" t="n">
        <f aca="false">IFERROR(SUMPRODUCT(($B$2:$B$1001=B774)*($K$2:$K$1001&lt;=K774))/SUMPRODUCT(($B$2:$B$1001=B774)*1),0)</f>
        <v>0.228956228956229</v>
      </c>
      <c r="T774" s="26" t="n">
        <f aca="false">(R774-S774)*100</f>
        <v>5.05050505050505</v>
      </c>
      <c r="U774" s="21" t="str">
        <f aca="false">'Player Data'!T774</f>
        <v>Unknown</v>
      </c>
      <c r="V774" s="27" t="n">
        <f aca="false">'Player Data'!U774</f>
        <v>2027</v>
      </c>
      <c r="W774" s="21" t="str">
        <f aca="false">IF(AND(T774&gt;=Assumptions!$B$19,U774="No"),"High Priority - Unrepresented",IF(T774&gt;=Assumptions!$B$19,"High Priority",IF(AND(T774&gt;=Assumptions!$B$20,U774="No"),"Watchlist - Unrepresented",IF(T774&gt;=Assumptions!$B$20,"Watchlist",""))))</f>
        <v/>
      </c>
      <c r="X774" s="21" t="str">
        <f aca="false">'Player Data'!V774</f>
        <v>info@christchurchtown.nz</v>
      </c>
      <c r="Y774" s="28" t="str">
        <f aca="false">'Player Data'!W774</f>
        <v>Club sporting director / first-team office</v>
      </c>
      <c r="Z774" s="28" t="str">
        <f aca="false">'Player Data'!X774</f>
        <v>NZF (New Zealand Football) player registry</v>
      </c>
      <c r="AA774" s="19" t="str">
        <f aca="false">HYPERLINK("https://www.transfermarkt.com/schnellsuche/ergebnis/schnellsuche?query="&amp;SUBSTITUTE(A774," ","+"),"Search Transfermarkt")</f>
        <v>Search Transfermarkt</v>
      </c>
      <c r="AB774" s="29" t="n">
        <f aca="false">IFERROR('Player Data'!K774/('Player Data'!K774+'Player Data'!L774),0)</f>
        <v>0.601626016260163</v>
      </c>
      <c r="AC774" s="21" t="str">
        <f aca="false">IF(B774="GK",IF(AND(O774&gt;=Assumptions!$B$23,N774&gt;=Assumptions!$B$23),"Sweeper-Keeper / Build-from-the-Back",IF(O774&gt;=Assumptions!$B$23,"Sweeper-Keeper / High Line",IF(M774&gt;=Assumptions!$B$23,"Shot-Stopper / Traditional","Flexible / Multi-System"))),IF(AND(O774&gt;=Assumptions!$B$23,P774&gt;=Assumptions!$B$24),"High Press / Gegenpressing",IF(AND(N774&gt;=Assumptions!$B$23,AB774&gt;=Assumptions!$B$25),"Possession / Build-from-the-Back",IF(N774&gt;=Assumptions!$B$23,"Counter-Attack / Transition",IF(AND(O774&gt;=Assumptions!$B$23,N774&lt;Assumptions!$B$26),"Low Block / Park the Bus",IF(AND(B774="FW",M774&gt;=Assumptions!$B$23,N774&lt;Assumptions!$B$26),"Direct / Target Approach","Flexible / Multi-System"))))))</f>
        <v>Flexible / Multi-System</v>
      </c>
      <c r="AD774" s="21" t="str">
        <f aca="false">'Player Data'!Y774</f>
        <v>2026-07-17</v>
      </c>
      <c r="AE774" s="21" t="str">
        <f aca="false">'Player Data'!Z774</f>
        <v>2026-07-17</v>
      </c>
      <c r="AF774" s="28" t="str">
        <f aca="false">IFERROR(INDEX(Assumptions!$B$30:$B$61,MATCH(C774,Assumptions!$A$30:$A$61,0)),"--")</f>
        <v>Australia, United States</v>
      </c>
      <c r="AG774" s="30" t="str">
        <f aca="false">IF(R774&gt;=0.7,"Step-Up Candidate",IF(R774&gt;=0.4,"Lateral Move","Stay &amp; Develop"))</f>
        <v>Stay &amp; Develop</v>
      </c>
    </row>
    <row r="775" customFormat="false" ht="23.85" hidden="false" customHeight="false" outlineLevel="0" collapsed="false">
      <c r="A775" s="21" t="str">
        <f aca="false">'Player Data'!A775</f>
        <v>Callum Smith</v>
      </c>
      <c r="B775" s="21" t="str">
        <f aca="false">'Player Data'!F775</f>
        <v>FW</v>
      </c>
      <c r="C775" s="21" t="str">
        <f aca="false">'Player Data'!B775</f>
        <v>New Zealand</v>
      </c>
      <c r="D775" s="21" t="str">
        <f aca="false">'Player Data'!C775</f>
        <v>New Zealand Reserve League</v>
      </c>
      <c r="E775" s="21" t="n">
        <f aca="false">'Player Data'!D775</f>
        <v>2</v>
      </c>
      <c r="F775" s="21" t="n">
        <f aca="false">'Player Data'!G775</f>
        <v>24</v>
      </c>
      <c r="G775" s="21" t="n">
        <f aca="false">'Player Data'!H775</f>
        <v>2612</v>
      </c>
      <c r="H775" s="22" t="n">
        <f aca="false">IF(B775="GK",IFERROR(('Player Data'!N775-1.5*'Player Data'!O775)/'Player Data'!H775*90,0),IFERROR(('Player Data'!I775+'Player Data'!J775)/'Player Data'!H775*90,0))</f>
        <v>0.516845329249617</v>
      </c>
      <c r="I775" s="22" t="n">
        <f aca="false">IF(B775="GK",'Player Data'!P775,IFERROR(('Player Data'!K775+'Player Data'!L775)/'Player Data'!H775*90,0))</f>
        <v>5.51301684532925</v>
      </c>
      <c r="J775" s="22" t="n">
        <f aca="false">IF(B775="GK",IFERROR('Player Data'!Q775/'Player Data'!H775*90,0),IFERROR('Player Data'!M775/'Player Data'!H775*90,0))</f>
        <v>0.172281776416539</v>
      </c>
      <c r="K775" s="23" t="n">
        <f aca="false">'Player Data'!S775</f>
        <v>59009</v>
      </c>
      <c r="L775" s="22" t="n">
        <f aca="false">INDEX(Assumptions!$B$13:$B$15,MATCH(E775,Assumptions!$A$13:$A$15,0))</f>
        <v>1</v>
      </c>
      <c r="M775" s="24" t="n">
        <f aca="false">IFERROR(SUMPRODUCT(($B$2:$B$1001=B775)*($H$2:$H$1001&lt;=H775))/SUMPRODUCT(($B$2:$B$1001=B775)*1),0)</f>
        <v>0.0973451327433628</v>
      </c>
      <c r="N775" s="24" t="n">
        <f aca="false">IFERROR(SUMPRODUCT(($B$2:$B$1001=B775)*($I$2:$I$1001&lt;=I775))/SUMPRODUCT(($B$2:$B$1001=B775)*1),0)</f>
        <v>0.314159292035398</v>
      </c>
      <c r="O775" s="24" t="n">
        <f aca="false">IFERROR(SUMPRODUCT(($B$2:$B$1001=B775)*($J$2:$J$1001&lt;=J775))/SUMPRODUCT(($B$2:$B$1001=B775)*1),0)</f>
        <v>0.0221238938053097</v>
      </c>
      <c r="P775" s="24" t="n">
        <f aca="false">IFERROR(SUMPRODUCT(($B$2:$B$1001=B775)*((0-$F$2:$F$1001)&lt;=(0-F775)))/SUMPRODUCT(($B$2:$B$1001=B775)*1),0)</f>
        <v>0.305309734513274</v>
      </c>
      <c r="Q775" s="25" t="n">
        <f aca="false">(M775*Assumptions!$B$5+N775*Assumptions!$B$6+O775*Assumptions!$B$7+P775*Assumptions!$B$8)*L775</f>
        <v>0.199778761061947</v>
      </c>
      <c r="R775" s="24" t="n">
        <f aca="false">IFERROR(SUMPRODUCT(($B$2:$B$1001=B775)*($Q$2:$Q$1001&lt;=Q775))/SUMPRODUCT(($B$2:$B$1001=B775)*1),0)</f>
        <v>0.079646017699115</v>
      </c>
      <c r="S775" s="24" t="n">
        <f aca="false">IFERROR(SUMPRODUCT(($B$2:$B$1001=B775)*($K$2:$K$1001&lt;=K775))/SUMPRODUCT(($B$2:$B$1001=B775)*1),0)</f>
        <v>0.5</v>
      </c>
      <c r="T775" s="26" t="n">
        <f aca="false">(R775-S775)*100</f>
        <v>-42.0353982300885</v>
      </c>
      <c r="U775" s="21" t="str">
        <f aca="false">'Player Data'!T775</f>
        <v>No</v>
      </c>
      <c r="V775" s="27" t="n">
        <f aca="false">'Player Data'!U775</f>
        <v>2026</v>
      </c>
      <c r="W775" s="21" t="str">
        <f aca="false">IF(AND(T775&gt;=Assumptions!$B$19,U775="No"),"High Priority - Unrepresented",IF(T775&gt;=Assumptions!$B$19,"High Priority",IF(AND(T775&gt;=Assumptions!$B$20,U775="No"),"Watchlist - Unrepresented",IF(T775&gt;=Assumptions!$B$20,"Watchlist",""))))</f>
        <v/>
      </c>
      <c r="X775" s="21" t="str">
        <f aca="false">'Player Data'!V775</f>
        <v>info@aucklandtown.nz</v>
      </c>
      <c r="Y775" s="28" t="str">
        <f aca="false">'Player Data'!W775</f>
        <v>Club sporting director / first-team office</v>
      </c>
      <c r="Z775" s="28" t="str">
        <f aca="false">'Player Data'!X775</f>
        <v>NZF (New Zealand Football) player registry</v>
      </c>
      <c r="AA775" s="19" t="str">
        <f aca="false">HYPERLINK("https://www.transfermarkt.com/schnellsuche/ergebnis/schnellsuche?query="&amp;SUBSTITUTE(A775," ","+"),"Search Transfermarkt")</f>
        <v>Search Transfermarkt</v>
      </c>
      <c r="AB775" s="29" t="n">
        <f aca="false">IFERROR('Player Data'!K775/('Player Data'!K775+'Player Data'!L775),0)</f>
        <v>0.39375</v>
      </c>
      <c r="AC775" s="21" t="str">
        <f aca="false">IF(B775="GK",IF(AND(O775&gt;=Assumptions!$B$23,N775&gt;=Assumptions!$B$23),"Sweeper-Keeper / Build-from-the-Back",IF(O775&gt;=Assumptions!$B$23,"Sweeper-Keeper / High Line",IF(M775&gt;=Assumptions!$B$23,"Shot-Stopper / Traditional","Flexible / Multi-System"))),IF(AND(O775&gt;=Assumptions!$B$23,P775&gt;=Assumptions!$B$24),"High Press / Gegenpressing",IF(AND(N775&gt;=Assumptions!$B$23,AB775&gt;=Assumptions!$B$25),"Possession / Build-from-the-Back",IF(N775&gt;=Assumptions!$B$23,"Counter-Attack / Transition",IF(AND(O775&gt;=Assumptions!$B$23,N775&lt;Assumptions!$B$26),"Low Block / Park the Bus",IF(AND(B775="FW",M775&gt;=Assumptions!$B$23,N775&lt;Assumptions!$B$26),"Direct / Target Approach","Flexible / Multi-System"))))))</f>
        <v>Flexible / Multi-System</v>
      </c>
      <c r="AD775" s="21" t="str">
        <f aca="false">'Player Data'!Y775</f>
        <v>2026-07-17</v>
      </c>
      <c r="AE775" s="21" t="str">
        <f aca="false">'Player Data'!Z775</f>
        <v>2026-07-17</v>
      </c>
      <c r="AF775" s="28" t="str">
        <f aca="false">IFERROR(INDEX(Assumptions!$B$30:$B$61,MATCH(C775,Assumptions!$A$30:$A$61,0)),"--")</f>
        <v>Australia, United States</v>
      </c>
      <c r="AG775" s="30" t="str">
        <f aca="false">IF(R775&gt;=0.7,"Step-Up Candidate",IF(R775&gt;=0.4,"Lateral Move","Stay &amp; Develop"))</f>
        <v>Stay &amp; Develop</v>
      </c>
    </row>
    <row r="776" customFormat="false" ht="23.85" hidden="false" customHeight="false" outlineLevel="0" collapsed="false">
      <c r="A776" s="21" t="str">
        <f aca="false">'Player Data'!A776</f>
        <v>Devon Bailey</v>
      </c>
      <c r="B776" s="21" t="str">
        <f aca="false">'Player Data'!F776</f>
        <v>MF</v>
      </c>
      <c r="C776" s="21" t="str">
        <f aca="false">'Player Data'!B776</f>
        <v>Jamaica</v>
      </c>
      <c r="D776" s="21" t="str">
        <f aca="false">'Player Data'!C776</f>
        <v>Jamaica Reserve League</v>
      </c>
      <c r="E776" s="21" t="n">
        <f aca="false">'Player Data'!D776</f>
        <v>3</v>
      </c>
      <c r="F776" s="21" t="n">
        <f aca="false">'Player Data'!G776</f>
        <v>19</v>
      </c>
      <c r="G776" s="21" t="n">
        <f aca="false">'Player Data'!H776</f>
        <v>2394</v>
      </c>
      <c r="H776" s="22" t="n">
        <f aca="false">IF(B776="GK",IFERROR(('Player Data'!N776-1.5*'Player Data'!O776)/'Player Data'!H776*90,0),IFERROR(('Player Data'!I776+'Player Data'!J776)/'Player Data'!H776*90,0))</f>
        <v>0.827067669172932</v>
      </c>
      <c r="I776" s="22" t="n">
        <f aca="false">IF(B776="GK",'Player Data'!P776,IFERROR(('Player Data'!K776+'Player Data'!L776)/'Player Data'!H776*90,0))</f>
        <v>9.06015037593985</v>
      </c>
      <c r="J776" s="22" t="n">
        <f aca="false">IF(B776="GK",IFERROR('Player Data'!Q776/'Player Data'!H776*90,0),IFERROR('Player Data'!M776/'Player Data'!H776*90,0))</f>
        <v>1.57894736842105</v>
      </c>
      <c r="K776" s="23" t="n">
        <f aca="false">'Player Data'!S776</f>
        <v>112185</v>
      </c>
      <c r="L776" s="22" t="n">
        <f aca="false">INDEX(Assumptions!$B$13:$B$15,MATCH(E776,Assumptions!$A$13:$A$15,0))</f>
        <v>0.85</v>
      </c>
      <c r="M776" s="24" t="n">
        <f aca="false">IFERROR(SUMPRODUCT(($B$2:$B$1001=B776)*($H$2:$H$1001&lt;=H776))/SUMPRODUCT(($B$2:$B$1001=B776)*1),0)</f>
        <v>0.62962962962963</v>
      </c>
      <c r="N776" s="24" t="n">
        <f aca="false">IFERROR(SUMPRODUCT(($B$2:$B$1001=B776)*($I$2:$I$1001&lt;=I776))/SUMPRODUCT(($B$2:$B$1001=B776)*1),0)</f>
        <v>0.292929292929293</v>
      </c>
      <c r="O776" s="24" t="n">
        <f aca="false">IFERROR(SUMPRODUCT(($B$2:$B$1001=B776)*($J$2:$J$1001&lt;=J776))/SUMPRODUCT(($B$2:$B$1001=B776)*1),0)</f>
        <v>0.208754208754209</v>
      </c>
      <c r="P776" s="24" t="n">
        <f aca="false">IFERROR(SUMPRODUCT(($B$2:$B$1001=B776)*((0-$F$2:$F$1001)&lt;=(0-F776)))/SUMPRODUCT(($B$2:$B$1001=B776)*1),0)</f>
        <v>0.868686868686869</v>
      </c>
      <c r="Q776" s="25" t="n">
        <f aca="false">(M776*Assumptions!$B$5+N776*Assumptions!$B$6+O776*Assumptions!$B$7+P776*Assumptions!$B$8)*L776</f>
        <v>0.404107744107744</v>
      </c>
      <c r="R776" s="24" t="n">
        <f aca="false">IFERROR(SUMPRODUCT(($B$2:$B$1001=B776)*($Q$2:$Q$1001&lt;=Q776))/SUMPRODUCT(($B$2:$B$1001=B776)*1),0)</f>
        <v>0.430976430976431</v>
      </c>
      <c r="S776" s="24" t="n">
        <f aca="false">IFERROR(SUMPRODUCT(($B$2:$B$1001=B776)*($K$2:$K$1001&lt;=K776))/SUMPRODUCT(($B$2:$B$1001=B776)*1),0)</f>
        <v>0.808080808080808</v>
      </c>
      <c r="T776" s="26" t="n">
        <f aca="false">(R776-S776)*100</f>
        <v>-37.7104377104377</v>
      </c>
      <c r="U776" s="21" t="str">
        <f aca="false">'Player Data'!T776</f>
        <v>Unknown</v>
      </c>
      <c r="V776" s="27" t="n">
        <f aca="false">'Player Data'!U776</f>
        <v>2028</v>
      </c>
      <c r="W776" s="21" t="str">
        <f aca="false">IF(AND(T776&gt;=Assumptions!$B$19,U776="No"),"High Priority - Unrepresented",IF(T776&gt;=Assumptions!$B$19,"High Priority",IF(AND(T776&gt;=Assumptions!$B$20,U776="No"),"Watchlist - Unrepresented",IF(T776&gt;=Assumptions!$B$20,"Watchlist",""))))</f>
        <v/>
      </c>
      <c r="X776" s="21" t="str">
        <f aca="false">'Player Data'!V776</f>
        <v>info@kingstontown.jm</v>
      </c>
      <c r="Y776" s="28" t="str">
        <f aca="false">'Player Data'!W776</f>
        <v>Club sporting director / first-team office</v>
      </c>
      <c r="Z776" s="28" t="str">
        <f aca="false">'Player Data'!X776</f>
        <v>JFF (Jamaica Football Federation) player registry</v>
      </c>
      <c r="AA776" s="19" t="str">
        <f aca="false">HYPERLINK("https://www.transfermarkt.com/schnellsuche/ergebnis/schnellsuche?query="&amp;SUBSTITUTE(A776," ","+"),"Search Transfermarkt")</f>
        <v>Search Transfermarkt</v>
      </c>
      <c r="AB776" s="29" t="n">
        <f aca="false">IFERROR('Player Data'!K776/('Player Data'!K776+'Player Data'!L776),0)</f>
        <v>0.726141078838174</v>
      </c>
      <c r="AC776" s="21" t="str">
        <f aca="false">IF(B776="GK",IF(AND(O776&gt;=Assumptions!$B$23,N776&gt;=Assumptions!$B$23),"Sweeper-Keeper / Build-from-the-Back",IF(O776&gt;=Assumptions!$B$23,"Sweeper-Keeper / High Line",IF(M776&gt;=Assumptions!$B$23,"Shot-Stopper / Traditional","Flexible / Multi-System"))),IF(AND(O776&gt;=Assumptions!$B$23,P776&gt;=Assumptions!$B$24),"High Press / Gegenpressing",IF(AND(N776&gt;=Assumptions!$B$23,AB776&gt;=Assumptions!$B$25),"Possession / Build-from-the-Back",IF(N776&gt;=Assumptions!$B$23,"Counter-Attack / Transition",IF(AND(O776&gt;=Assumptions!$B$23,N776&lt;Assumptions!$B$26),"Low Block / Park the Bus",IF(AND(B776="FW",M776&gt;=Assumptions!$B$23,N776&lt;Assumptions!$B$26),"Direct / Target Approach","Flexible / Multi-System"))))))</f>
        <v>Flexible / Multi-System</v>
      </c>
      <c r="AD776" s="21" t="str">
        <f aca="false">'Player Data'!Y776</f>
        <v>2026-07-17</v>
      </c>
      <c r="AE776" s="21" t="str">
        <f aca="false">'Player Data'!Z776</f>
        <v>2026-07-17</v>
      </c>
      <c r="AF776" s="28" t="str">
        <f aca="false">IFERROR(INDEX(Assumptions!$B$30:$B$61,MATCH(C776,Assumptions!$A$30:$A$61,0)),"--")</f>
        <v>United States, Mexico</v>
      </c>
      <c r="AG776" s="30" t="str">
        <f aca="false">IF(R776&gt;=0.7,"Step-Up Candidate",IF(R776&gt;=0.4,"Lateral Move","Stay &amp; Develop"))</f>
        <v>Lateral Move</v>
      </c>
    </row>
    <row r="777" customFormat="false" ht="23.85" hidden="false" customHeight="false" outlineLevel="0" collapsed="false">
      <c r="A777" s="21" t="str">
        <f aca="false">'Player Data'!A777</f>
        <v>Andre Murillo</v>
      </c>
      <c r="B777" s="21" t="str">
        <f aca="false">'Player Data'!F777</f>
        <v>DF</v>
      </c>
      <c r="C777" s="21" t="str">
        <f aca="false">'Player Data'!B777</f>
        <v>Panama</v>
      </c>
      <c r="D777" s="21" t="str">
        <f aca="false">'Player Data'!C777</f>
        <v>Panama Second Division - East</v>
      </c>
      <c r="E777" s="21" t="n">
        <f aca="false">'Player Data'!D777</f>
        <v>3</v>
      </c>
      <c r="F777" s="21" t="n">
        <f aca="false">'Player Data'!G777</f>
        <v>18</v>
      </c>
      <c r="G777" s="21" t="n">
        <f aca="false">'Player Data'!H777</f>
        <v>2420</v>
      </c>
      <c r="H777" s="22" t="n">
        <f aca="false">IF(B777="GK",IFERROR(('Player Data'!N777-1.5*'Player Data'!O777)/'Player Data'!H777*90,0),IFERROR(('Player Data'!I777+'Player Data'!J777)/'Player Data'!H777*90,0))</f>
        <v>0.111570247933884</v>
      </c>
      <c r="I777" s="22" t="n">
        <f aca="false">IF(B777="GK",'Player Data'!P777,IFERROR(('Player Data'!K777+'Player Data'!L777)/'Player Data'!H777*90,0))</f>
        <v>3.68181818181818</v>
      </c>
      <c r="J777" s="22" t="n">
        <f aca="false">IF(B777="GK",IFERROR('Player Data'!Q777/'Player Data'!H777*90,0),IFERROR('Player Data'!M777/'Player Data'!H777*90,0))</f>
        <v>3.68181818181818</v>
      </c>
      <c r="K777" s="23" t="n">
        <f aca="false">'Player Data'!S777</f>
        <v>89013</v>
      </c>
      <c r="L777" s="22" t="n">
        <f aca="false">INDEX(Assumptions!$B$13:$B$15,MATCH(E777,Assumptions!$A$13:$A$15,0))</f>
        <v>0.85</v>
      </c>
      <c r="M777" s="24" t="n">
        <f aca="false">IFERROR(SUMPRODUCT(($B$2:$B$1001=B777)*($H$2:$H$1001&lt;=H777))/SUMPRODUCT(($B$2:$B$1001=B777)*1),0)</f>
        <v>0.241496598639456</v>
      </c>
      <c r="N777" s="24" t="n">
        <f aca="false">IFERROR(SUMPRODUCT(($B$2:$B$1001=B777)*($I$2:$I$1001&lt;=I777))/SUMPRODUCT(($B$2:$B$1001=B777)*1),0)</f>
        <v>0.306122448979592</v>
      </c>
      <c r="O777" s="24" t="n">
        <f aca="false">IFERROR(SUMPRODUCT(($B$2:$B$1001=B777)*($J$2:$J$1001&lt;=J777))/SUMPRODUCT(($B$2:$B$1001=B777)*1),0)</f>
        <v>0.159863945578231</v>
      </c>
      <c r="P777" s="24" t="n">
        <f aca="false">IFERROR(SUMPRODUCT(($B$2:$B$1001=B777)*((0-$F$2:$F$1001)&lt;=(0-F777)))/SUMPRODUCT(($B$2:$B$1001=B777)*1),0)</f>
        <v>0.863945578231293</v>
      </c>
      <c r="Q777" s="25" t="n">
        <f aca="false">(M777*Assumptions!$B$5+N777*Assumptions!$B$6+O777*Assumptions!$B$7+P777*Assumptions!$B$8)*L777</f>
        <v>0.316437074829932</v>
      </c>
      <c r="R777" s="24" t="n">
        <f aca="false">IFERROR(SUMPRODUCT(($B$2:$B$1001=B777)*($Q$2:$Q$1001&lt;=Q777))/SUMPRODUCT(($B$2:$B$1001=B777)*1),0)</f>
        <v>0.289115646258503</v>
      </c>
      <c r="S777" s="24" t="n">
        <f aca="false">IFERROR(SUMPRODUCT(($B$2:$B$1001=B777)*($K$2:$K$1001&lt;=K777))/SUMPRODUCT(($B$2:$B$1001=B777)*1),0)</f>
        <v>0.670068027210884</v>
      </c>
      <c r="T777" s="26" t="n">
        <f aca="false">(R777-S777)*100</f>
        <v>-38.0952380952381</v>
      </c>
      <c r="U777" s="21" t="str">
        <f aca="false">'Player Data'!T777</f>
        <v>Yes</v>
      </c>
      <c r="V777" s="27" t="n">
        <f aca="false">'Player Data'!U777</f>
        <v>2029</v>
      </c>
      <c r="W777" s="21" t="str">
        <f aca="false">IF(AND(T777&gt;=Assumptions!$B$19,U777="No"),"High Priority - Unrepresented",IF(T777&gt;=Assumptions!$B$19,"High Priority",IF(AND(T777&gt;=Assumptions!$B$20,U777="No"),"Watchlist - Unrepresented",IF(T777&gt;=Assumptions!$B$20,"Watchlist",""))))</f>
        <v/>
      </c>
      <c r="X777" s="21" t="str">
        <f aca="false">'Player Data'!V777</f>
        <v>info@santiagotown.pa</v>
      </c>
      <c r="Y777" s="28" t="str">
        <f aca="false">'Player Data'!W777</f>
        <v>Go through the player's agent - ask the club to confirm representation first</v>
      </c>
      <c r="Z777" s="28" t="str">
        <f aca="false">'Player Data'!X777</f>
        <v>FEPAFUT (Panamanian Football Federation) player registry</v>
      </c>
      <c r="AA777" s="19" t="str">
        <f aca="false">HYPERLINK("https://www.transfermarkt.com/schnellsuche/ergebnis/schnellsuche?query="&amp;SUBSTITUTE(A777," ","+"),"Search Transfermarkt")</f>
        <v>Search Transfermarkt</v>
      </c>
      <c r="AB777" s="29" t="n">
        <f aca="false">IFERROR('Player Data'!K777/('Player Data'!K777+'Player Data'!L777),0)</f>
        <v>0.717171717171717</v>
      </c>
      <c r="AC777" s="21" t="str">
        <f aca="false">IF(B777="GK",IF(AND(O777&gt;=Assumptions!$B$23,N777&gt;=Assumptions!$B$23),"Sweeper-Keeper / Build-from-the-Back",IF(O777&gt;=Assumptions!$B$23,"Sweeper-Keeper / High Line",IF(M777&gt;=Assumptions!$B$23,"Shot-Stopper / Traditional","Flexible / Multi-System"))),IF(AND(O777&gt;=Assumptions!$B$23,P777&gt;=Assumptions!$B$24),"High Press / Gegenpressing",IF(AND(N777&gt;=Assumptions!$B$23,AB777&gt;=Assumptions!$B$25),"Possession / Build-from-the-Back",IF(N777&gt;=Assumptions!$B$23,"Counter-Attack / Transition",IF(AND(O777&gt;=Assumptions!$B$23,N777&lt;Assumptions!$B$26),"Low Block / Park the Bus",IF(AND(B777="FW",M777&gt;=Assumptions!$B$23,N777&lt;Assumptions!$B$26),"Direct / Target Approach","Flexible / Multi-System"))))))</f>
        <v>Flexible / Multi-System</v>
      </c>
      <c r="AD777" s="21" t="str">
        <f aca="false">'Player Data'!Y777</f>
        <v>2026-07-17</v>
      </c>
      <c r="AE777" s="21" t="str">
        <f aca="false">'Player Data'!Z777</f>
        <v>2026-07-17</v>
      </c>
      <c r="AF777" s="28" t="str">
        <f aca="false">IFERROR(INDEX(Assumptions!$B$30:$B$61,MATCH(C777,Assumptions!$A$30:$A$61,0)),"--")</f>
        <v>Mexico, United States</v>
      </c>
      <c r="AG777" s="30" t="str">
        <f aca="false">IF(R777&gt;=0.7,"Step-Up Candidate",IF(R777&gt;=0.4,"Lateral Move","Stay &amp; Develop"))</f>
        <v>Stay &amp; Develop</v>
      </c>
    </row>
    <row r="778" customFormat="false" ht="23.85" hidden="false" customHeight="false" outlineLevel="0" collapsed="false">
      <c r="A778" s="21" t="str">
        <f aca="false">'Player Data'!A778</f>
        <v>Yves Traore</v>
      </c>
      <c r="B778" s="21" t="str">
        <f aca="false">'Player Data'!F778</f>
        <v>FW</v>
      </c>
      <c r="C778" s="21" t="str">
        <f aca="false">'Player Data'!B778</f>
        <v>Ivory Coast</v>
      </c>
      <c r="D778" s="21" t="str">
        <f aca="false">'Player Data'!C778</f>
        <v>Ivory Coast Regional League</v>
      </c>
      <c r="E778" s="21" t="n">
        <f aca="false">'Player Data'!D778</f>
        <v>2</v>
      </c>
      <c r="F778" s="21" t="n">
        <f aca="false">'Player Data'!G778</f>
        <v>22</v>
      </c>
      <c r="G778" s="21" t="n">
        <f aca="false">'Player Data'!H778</f>
        <v>952</v>
      </c>
      <c r="H778" s="22" t="n">
        <f aca="false">IF(B778="GK",IFERROR(('Player Data'!N778-1.5*'Player Data'!O778)/'Player Data'!H778*90,0),IFERROR(('Player Data'!I778+'Player Data'!J778)/'Player Data'!H778*90,0))</f>
        <v>1.41806722689076</v>
      </c>
      <c r="I778" s="22" t="n">
        <f aca="false">IF(B778="GK",'Player Data'!P778,IFERROR(('Player Data'!K778+'Player Data'!L778)/'Player Data'!H778*90,0))</f>
        <v>10.8718487394958</v>
      </c>
      <c r="J778" s="22" t="n">
        <f aca="false">IF(B778="GK",IFERROR('Player Data'!Q778/'Player Data'!H778*90,0),IFERROR('Player Data'!M778/'Player Data'!H778*90,0))</f>
        <v>0.378151260504202</v>
      </c>
      <c r="K778" s="23" t="n">
        <f aca="false">'Player Data'!S778</f>
        <v>0</v>
      </c>
      <c r="L778" s="22" t="n">
        <f aca="false">INDEX(Assumptions!$B$13:$B$15,MATCH(E778,Assumptions!$A$13:$A$15,0))</f>
        <v>1</v>
      </c>
      <c r="M778" s="24" t="n">
        <f aca="false">IFERROR(SUMPRODUCT(($B$2:$B$1001=B778)*($H$2:$H$1001&lt;=H778))/SUMPRODUCT(($B$2:$B$1001=B778)*1),0)</f>
        <v>0.800884955752212</v>
      </c>
      <c r="N778" s="24" t="n">
        <f aca="false">IFERROR(SUMPRODUCT(($B$2:$B$1001=B778)*($I$2:$I$1001&lt;=I778))/SUMPRODUCT(($B$2:$B$1001=B778)*1),0)</f>
        <v>0.871681415929204</v>
      </c>
      <c r="O778" s="24" t="n">
        <f aca="false">IFERROR(SUMPRODUCT(($B$2:$B$1001=B778)*($J$2:$J$1001&lt;=J778))/SUMPRODUCT(($B$2:$B$1001=B778)*1),0)</f>
        <v>0.305309734513274</v>
      </c>
      <c r="P778" s="24" t="n">
        <f aca="false">IFERROR(SUMPRODUCT(($B$2:$B$1001=B778)*((0-$F$2:$F$1001)&lt;=(0-F778)))/SUMPRODUCT(($B$2:$B$1001=B778)*1),0)</f>
        <v>0.504424778761062</v>
      </c>
      <c r="Q778" s="25" t="n">
        <f aca="false">(M778*Assumptions!$B$5+N778*Assumptions!$B$6+O778*Assumptions!$B$7+P778*Assumptions!$B$8)*L778</f>
        <v>0.667256637168142</v>
      </c>
      <c r="R778" s="24" t="n">
        <f aca="false">IFERROR(SUMPRODUCT(($B$2:$B$1001=B778)*($Q$2:$Q$1001&lt;=Q778))/SUMPRODUCT(($B$2:$B$1001=B778)*1),0)</f>
        <v>0.845132743362832</v>
      </c>
      <c r="S778" s="24" t="n">
        <f aca="false">IFERROR(SUMPRODUCT(($B$2:$B$1001=B778)*($K$2:$K$1001&lt;=K778))/SUMPRODUCT(($B$2:$B$1001=B778)*1),0)</f>
        <v>0.261061946902655</v>
      </c>
      <c r="T778" s="26" t="n">
        <f aca="false">(R778-S778)*100</f>
        <v>58.4070796460177</v>
      </c>
      <c r="U778" s="21" t="str">
        <f aca="false">'Player Data'!T778</f>
        <v>No</v>
      </c>
      <c r="V778" s="27" t="n">
        <f aca="false">'Player Data'!U778</f>
        <v>2026</v>
      </c>
      <c r="W778" s="21" t="str">
        <f aca="false">IF(AND(T778&gt;=Assumptions!$B$19,U778="No"),"High Priority - Unrepresented",IF(T778&gt;=Assumptions!$B$19,"High Priority",IF(AND(T778&gt;=Assumptions!$B$20,U778="No"),"Watchlist - Unrepresented",IF(T778&gt;=Assumptions!$B$20,"Watchlist",""))))</f>
        <v>High Priority - Unrepresented</v>
      </c>
      <c r="X778" s="21" t="str">
        <f aca="false">'Player Data'!V778</f>
        <v>info@sanpedrounited.ci</v>
      </c>
      <c r="Y778" s="28" t="str">
        <f aca="false">'Player Data'!W778</f>
        <v>Club sporting director / first-team office</v>
      </c>
      <c r="Z778" s="28" t="str">
        <f aca="false">'Player Data'!X778</f>
        <v>FIF (Ivorian Football Federation) player registry</v>
      </c>
      <c r="AA778" s="19" t="str">
        <f aca="false">HYPERLINK("https://www.transfermarkt.com/schnellsuche/ergebnis/schnellsuche?query="&amp;SUBSTITUTE(A778," ","+"),"Search Transfermarkt")</f>
        <v>Search Transfermarkt</v>
      </c>
      <c r="AB778" s="29" t="n">
        <f aca="false">IFERROR('Player Data'!K778/('Player Data'!K778+'Player Data'!L778),0)</f>
        <v>0.373913043478261</v>
      </c>
      <c r="AC778" s="21" t="str">
        <f aca="false">IF(B778="GK",IF(AND(O778&gt;=Assumptions!$B$23,N778&gt;=Assumptions!$B$23),"Sweeper-Keeper / Build-from-the-Back",IF(O778&gt;=Assumptions!$B$23,"Sweeper-Keeper / High Line",IF(M778&gt;=Assumptions!$B$23,"Shot-Stopper / Traditional","Flexible / Multi-System"))),IF(AND(O778&gt;=Assumptions!$B$23,P778&gt;=Assumptions!$B$24),"High Press / Gegenpressing",IF(AND(N778&gt;=Assumptions!$B$23,AB778&gt;=Assumptions!$B$25),"Possession / Build-from-the-Back",IF(N778&gt;=Assumptions!$B$23,"Counter-Attack / Transition",IF(AND(O778&gt;=Assumptions!$B$23,N778&lt;Assumptions!$B$26),"Low Block / Park the Bus",IF(AND(B778="FW",M778&gt;=Assumptions!$B$23,N778&lt;Assumptions!$B$26),"Direct / Target Approach","Flexible / Multi-System"))))))</f>
        <v>Counter-Attack / Transition</v>
      </c>
      <c r="AD778" s="21" t="str">
        <f aca="false">'Player Data'!Y778</f>
        <v>2026-07-17</v>
      </c>
      <c r="AE778" s="21" t="str">
        <f aca="false">'Player Data'!Z778</f>
        <v>2026-07-17</v>
      </c>
      <c r="AF778" s="28" t="str">
        <f aca="false">IFERROR(INDEX(Assumptions!$B$30:$B$61,MATCH(C778,Assumptions!$A$30:$A$61,0)),"--")</f>
        <v>Belgium, Portugal</v>
      </c>
      <c r="AG778" s="30" t="str">
        <f aca="false">IF(R778&gt;=0.7,"Step-Up Candidate",IF(R778&gt;=0.4,"Lateral Move","Stay &amp; Develop"))</f>
        <v>Step-Up Candidate</v>
      </c>
    </row>
    <row r="779" customFormat="false" ht="23.85" hidden="false" customHeight="false" outlineLevel="0" collapsed="false">
      <c r="A779" s="21" t="str">
        <f aca="false">'Player Data'!A779</f>
        <v>Mateo Fernandez</v>
      </c>
      <c r="B779" s="21" t="str">
        <f aca="false">'Player Data'!F779</f>
        <v>FW</v>
      </c>
      <c r="C779" s="21" t="str">
        <f aca="false">'Player Data'!B779</f>
        <v>Bolivia</v>
      </c>
      <c r="D779" s="21" t="str">
        <f aca="false">'Player Data'!C779</f>
        <v>Bolivia Reserve League</v>
      </c>
      <c r="E779" s="21" t="n">
        <f aca="false">'Player Data'!D779</f>
        <v>3</v>
      </c>
      <c r="F779" s="21" t="n">
        <f aca="false">'Player Data'!G779</f>
        <v>25</v>
      </c>
      <c r="G779" s="21" t="n">
        <f aca="false">'Player Data'!H779</f>
        <v>940</v>
      </c>
      <c r="H779" s="22" t="n">
        <f aca="false">IF(B779="GK",IFERROR(('Player Data'!N779-1.5*'Player Data'!O779)/'Player Data'!H779*90,0),IFERROR(('Player Data'!I779+'Player Data'!J779)/'Player Data'!H779*90,0))</f>
        <v>1.53191489361702</v>
      </c>
      <c r="I779" s="22" t="n">
        <f aca="false">IF(B779="GK",'Player Data'!P779,IFERROR(('Player Data'!K779+'Player Data'!L779)/'Player Data'!H779*90,0))</f>
        <v>10.0531914893617</v>
      </c>
      <c r="J779" s="22" t="n">
        <f aca="false">IF(B779="GK",IFERROR('Player Data'!Q779/'Player Data'!H779*90,0),IFERROR('Player Data'!M779/'Player Data'!H779*90,0))</f>
        <v>0.765957446808511</v>
      </c>
      <c r="K779" s="23" t="n">
        <f aca="false">'Player Data'!S779</f>
        <v>9553</v>
      </c>
      <c r="L779" s="22" t="n">
        <f aca="false">INDEX(Assumptions!$B$13:$B$15,MATCH(E779,Assumptions!$A$13:$A$15,0))</f>
        <v>0.85</v>
      </c>
      <c r="M779" s="24" t="n">
        <f aca="false">IFERROR(SUMPRODUCT(($B$2:$B$1001=B779)*($H$2:$H$1001&lt;=H779))/SUMPRODUCT(($B$2:$B$1001=B779)*1),0)</f>
        <v>0.853982300884956</v>
      </c>
      <c r="N779" s="24" t="n">
        <f aca="false">IFERROR(SUMPRODUCT(($B$2:$B$1001=B779)*($I$2:$I$1001&lt;=I779))/SUMPRODUCT(($B$2:$B$1001=B779)*1),0)</f>
        <v>0.845132743362832</v>
      </c>
      <c r="O779" s="24" t="n">
        <f aca="false">IFERROR(SUMPRODUCT(($B$2:$B$1001=B779)*($J$2:$J$1001&lt;=J779))/SUMPRODUCT(($B$2:$B$1001=B779)*1),0)</f>
        <v>0.769911504424779</v>
      </c>
      <c r="P779" s="24" t="n">
        <f aca="false">IFERROR(SUMPRODUCT(($B$2:$B$1001=B779)*((0-$F$2:$F$1001)&lt;=(0-F779)))/SUMPRODUCT(($B$2:$B$1001=B779)*1),0)</f>
        <v>0.194690265486726</v>
      </c>
      <c r="Q779" s="25" t="n">
        <f aca="false">(M779*Assumptions!$B$5+N779*Assumptions!$B$6+O779*Assumptions!$B$7+P779*Assumptions!$B$8)*L779</f>
        <v>0.596880530973451</v>
      </c>
      <c r="R779" s="24" t="n">
        <f aca="false">IFERROR(SUMPRODUCT(($B$2:$B$1001=B779)*($Q$2:$Q$1001&lt;=Q779))/SUMPRODUCT(($B$2:$B$1001=B779)*1),0)</f>
        <v>0.747787610619469</v>
      </c>
      <c r="S779" s="24" t="n">
        <f aca="false">IFERROR(SUMPRODUCT(($B$2:$B$1001=B779)*($K$2:$K$1001&lt;=K779))/SUMPRODUCT(($B$2:$B$1001=B779)*1),0)</f>
        <v>0.269911504424779</v>
      </c>
      <c r="T779" s="26" t="n">
        <f aca="false">(R779-S779)*100</f>
        <v>47.787610619469</v>
      </c>
      <c r="U779" s="21" t="str">
        <f aca="false">'Player Data'!T779</f>
        <v>Unknown</v>
      </c>
      <c r="V779" s="27" t="n">
        <f aca="false">'Player Data'!U779</f>
        <v>2027</v>
      </c>
      <c r="W779" s="21" t="str">
        <f aca="false">IF(AND(T779&gt;=Assumptions!$B$19,U779="No"),"High Priority - Unrepresented",IF(T779&gt;=Assumptions!$B$19,"High Priority",IF(AND(T779&gt;=Assumptions!$B$20,U779="No"),"Watchlist - Unrepresented",IF(T779&gt;=Assumptions!$B$20,"Watchlist",""))))</f>
        <v>High Priority</v>
      </c>
      <c r="X779" s="21" t="str">
        <f aca="false">'Player Data'!V779</f>
        <v>info@santacruzsc.bo</v>
      </c>
      <c r="Y779" s="28" t="str">
        <f aca="false">'Player Data'!W779</f>
        <v>Club sporting director / first-team office</v>
      </c>
      <c r="Z779" s="28" t="str">
        <f aca="false">'Player Data'!X779</f>
        <v>FBF (Bolivian Football Federation) player registry</v>
      </c>
      <c r="AA779" s="19" t="str">
        <f aca="false">HYPERLINK("https://www.transfermarkt.com/schnellsuche/ergebnis/schnellsuche?query="&amp;SUBSTITUTE(A779," ","+"),"Search Transfermarkt")</f>
        <v>Search Transfermarkt</v>
      </c>
      <c r="AB779" s="29" t="n">
        <f aca="false">IFERROR('Player Data'!K779/('Player Data'!K779+'Player Data'!L779),0)</f>
        <v>0.323809523809524</v>
      </c>
      <c r="AC779" s="21" t="str">
        <f aca="false">IF(B779="GK",IF(AND(O779&gt;=Assumptions!$B$23,N779&gt;=Assumptions!$B$23),"Sweeper-Keeper / Build-from-the-Back",IF(O779&gt;=Assumptions!$B$23,"Sweeper-Keeper / High Line",IF(M779&gt;=Assumptions!$B$23,"Shot-Stopper / Traditional","Flexible / Multi-System"))),IF(AND(O779&gt;=Assumptions!$B$23,P779&gt;=Assumptions!$B$24),"High Press / Gegenpressing",IF(AND(N779&gt;=Assumptions!$B$23,AB779&gt;=Assumptions!$B$25),"Possession / Build-from-the-Back",IF(N779&gt;=Assumptions!$B$23,"Counter-Attack / Transition",IF(AND(O779&gt;=Assumptions!$B$23,N779&lt;Assumptions!$B$26),"Low Block / Park the Bus",IF(AND(B779="FW",M779&gt;=Assumptions!$B$23,N779&lt;Assumptions!$B$26),"Direct / Target Approach","Flexible / Multi-System"))))))</f>
        <v>Counter-Attack / Transition</v>
      </c>
      <c r="AD779" s="21" t="str">
        <f aca="false">'Player Data'!Y779</f>
        <v>2026-07-17</v>
      </c>
      <c r="AE779" s="21" t="str">
        <f aca="false">'Player Data'!Z779</f>
        <v>2026-07-17</v>
      </c>
      <c r="AF779" s="28" t="str">
        <f aca="false">IFERROR(INDEX(Assumptions!$B$30:$B$61,MATCH(C779,Assumptions!$A$30:$A$61,0)),"--")</f>
        <v>Argentina, Portugal</v>
      </c>
      <c r="AG779" s="30" t="str">
        <f aca="false">IF(R779&gt;=0.7,"Step-Up Candidate",IF(R779&gt;=0.4,"Lateral Move","Stay &amp; Develop"))</f>
        <v>Step-Up Candidate</v>
      </c>
    </row>
    <row r="780" customFormat="false" ht="23.85" hidden="false" customHeight="false" outlineLevel="0" collapsed="false">
      <c r="A780" s="21" t="str">
        <f aca="false">'Player Data'!A780</f>
        <v>Milos Petrovic</v>
      </c>
      <c r="B780" s="21" t="str">
        <f aca="false">'Player Data'!F780</f>
        <v>MF</v>
      </c>
      <c r="C780" s="21" t="str">
        <f aca="false">'Player Data'!B780</f>
        <v>Serbia</v>
      </c>
      <c r="D780" s="21" t="str">
        <f aca="false">'Player Data'!C780</f>
        <v>Serbia Amateur League</v>
      </c>
      <c r="E780" s="21" t="n">
        <f aca="false">'Player Data'!D780</f>
        <v>3</v>
      </c>
      <c r="F780" s="21" t="n">
        <f aca="false">'Player Data'!G780</f>
        <v>24</v>
      </c>
      <c r="G780" s="21" t="n">
        <f aca="false">'Player Data'!H780</f>
        <v>1296</v>
      </c>
      <c r="H780" s="22" t="n">
        <f aca="false">IF(B780="GK",IFERROR(('Player Data'!N780-1.5*'Player Data'!O780)/'Player Data'!H780*90,0),IFERROR(('Player Data'!I780+'Player Data'!J780)/'Player Data'!H780*90,0))</f>
        <v>1.31944444444444</v>
      </c>
      <c r="I780" s="22" t="n">
        <f aca="false">IF(B780="GK",'Player Data'!P780,IFERROR(('Player Data'!K780+'Player Data'!L780)/'Player Data'!H780*90,0))</f>
        <v>12.1527777777778</v>
      </c>
      <c r="J780" s="22" t="n">
        <f aca="false">IF(B780="GK",IFERROR('Player Data'!Q780/'Player Data'!H780*90,0),IFERROR('Player Data'!M780/'Player Data'!H780*90,0))</f>
        <v>2.56944444444444</v>
      </c>
      <c r="K780" s="23" t="n">
        <f aca="false">'Player Data'!S780</f>
        <v>131545</v>
      </c>
      <c r="L780" s="22" t="n">
        <f aca="false">INDEX(Assumptions!$B$13:$B$15,MATCH(E780,Assumptions!$A$13:$A$15,0))</f>
        <v>0.85</v>
      </c>
      <c r="M780" s="24" t="n">
        <f aca="false">IFERROR(SUMPRODUCT(($B$2:$B$1001=B780)*($H$2:$H$1001&lt;=H780))/SUMPRODUCT(($B$2:$B$1001=B780)*1),0)</f>
        <v>0.885521885521886</v>
      </c>
      <c r="N780" s="24" t="n">
        <f aca="false">IFERROR(SUMPRODUCT(($B$2:$B$1001=B780)*($I$2:$I$1001&lt;=I780))/SUMPRODUCT(($B$2:$B$1001=B780)*1),0)</f>
        <v>0.606060606060606</v>
      </c>
      <c r="O780" s="24" t="n">
        <f aca="false">IFERROR(SUMPRODUCT(($B$2:$B$1001=B780)*($J$2:$J$1001&lt;=J780))/SUMPRODUCT(($B$2:$B$1001=B780)*1),0)</f>
        <v>0.663299663299663</v>
      </c>
      <c r="P780" s="24" t="n">
        <f aca="false">IFERROR(SUMPRODUCT(($B$2:$B$1001=B780)*((0-$F$2:$F$1001)&lt;=(0-F780)))/SUMPRODUCT(($B$2:$B$1001=B780)*1),0)</f>
        <v>0.326599326599327</v>
      </c>
      <c r="Q780" s="25" t="n">
        <f aca="false">(M780*Assumptions!$B$5+N780*Assumptions!$B$6+O780*Assumptions!$B$7+P780*Assumptions!$B$8)*L780</f>
        <v>0.536759259259259</v>
      </c>
      <c r="R780" s="24" t="n">
        <f aca="false">IFERROR(SUMPRODUCT(($B$2:$B$1001=B780)*($Q$2:$Q$1001&lt;=Q780))/SUMPRODUCT(($B$2:$B$1001=B780)*1),0)</f>
        <v>0.683501683501684</v>
      </c>
      <c r="S780" s="24" t="n">
        <f aca="false">IFERROR(SUMPRODUCT(($B$2:$B$1001=B780)*($K$2:$K$1001&lt;=K780))/SUMPRODUCT(($B$2:$B$1001=B780)*1),0)</f>
        <v>0.925925925925926</v>
      </c>
      <c r="T780" s="26" t="n">
        <f aca="false">(R780-S780)*100</f>
        <v>-24.2424242424242</v>
      </c>
      <c r="U780" s="21" t="str">
        <f aca="false">'Player Data'!T780</f>
        <v>No</v>
      </c>
      <c r="V780" s="27" t="n">
        <f aca="false">'Player Data'!U780</f>
        <v>2029</v>
      </c>
      <c r="W780" s="21" t="str">
        <f aca="false">IF(AND(T780&gt;=Assumptions!$B$19,U780="No"),"High Priority - Unrepresented",IF(T780&gt;=Assumptions!$B$19,"High Priority",IF(AND(T780&gt;=Assumptions!$B$20,U780="No"),"Watchlist - Unrepresented",IF(T780&gt;=Assumptions!$B$20,"Watchlist",""))))</f>
        <v/>
      </c>
      <c r="X780" s="21" t="str">
        <f aca="false">'Player Data'!V780</f>
        <v>info@backatopolaunited.rs</v>
      </c>
      <c r="Y780" s="28" t="str">
        <f aca="false">'Player Data'!W780</f>
        <v>Club sporting director / first-team office</v>
      </c>
      <c r="Z780" s="28" t="str">
        <f aca="false">'Player Data'!X780</f>
        <v>FSS (Football Association of Serbia) player registry</v>
      </c>
      <c r="AA780" s="19" t="str">
        <f aca="false">HYPERLINK("https://www.transfermarkt.com/schnellsuche/ergebnis/schnellsuche?query="&amp;SUBSTITUTE(A780," ","+"),"Search Transfermarkt")</f>
        <v>Search Transfermarkt</v>
      </c>
      <c r="AB780" s="29" t="n">
        <f aca="false">IFERROR('Player Data'!K780/('Player Data'!K780+'Player Data'!L780),0)</f>
        <v>0.68</v>
      </c>
      <c r="AC780" s="21" t="str">
        <f aca="false">IF(B780="GK",IF(AND(O780&gt;=Assumptions!$B$23,N780&gt;=Assumptions!$B$23),"Sweeper-Keeper / Build-from-the-Back",IF(O780&gt;=Assumptions!$B$23,"Sweeper-Keeper / High Line",IF(M780&gt;=Assumptions!$B$23,"Shot-Stopper / Traditional","Flexible / Multi-System"))),IF(AND(O780&gt;=Assumptions!$B$23,P780&gt;=Assumptions!$B$24),"High Press / Gegenpressing",IF(AND(N780&gt;=Assumptions!$B$23,AB780&gt;=Assumptions!$B$25),"Possession / Build-from-the-Back",IF(N780&gt;=Assumptions!$B$23,"Counter-Attack / Transition",IF(AND(O780&gt;=Assumptions!$B$23,N780&lt;Assumptions!$B$26),"Low Block / Park the Bus",IF(AND(B780="FW",M780&gt;=Assumptions!$B$23,N780&lt;Assumptions!$B$26),"Direct / Target Approach","Flexible / Multi-System"))))))</f>
        <v>Flexible / Multi-System</v>
      </c>
      <c r="AD780" s="21" t="str">
        <f aca="false">'Player Data'!Y780</f>
        <v>2026-07-17</v>
      </c>
      <c r="AE780" s="21" t="str">
        <f aca="false">'Player Data'!Z780</f>
        <v>2026-07-17</v>
      </c>
      <c r="AF780" s="28" t="str">
        <f aca="false">IFERROR(INDEX(Assumptions!$B$30:$B$61,MATCH(C780,Assumptions!$A$30:$A$61,0)),"--")</f>
        <v>Austria, Turkey</v>
      </c>
      <c r="AG780" s="30" t="str">
        <f aca="false">IF(R780&gt;=0.7,"Step-Up Candidate",IF(R780&gt;=0.4,"Lateral Move","Stay &amp; Develop"))</f>
        <v>Lateral Move</v>
      </c>
    </row>
    <row r="781" customFormat="false" ht="23.85" hidden="false" customHeight="false" outlineLevel="0" collapsed="false">
      <c r="A781" s="21" t="str">
        <f aca="false">'Player Data'!A781</f>
        <v>Kittipong Charoensuk</v>
      </c>
      <c r="B781" s="21" t="str">
        <f aca="false">'Player Data'!F781</f>
        <v>FW</v>
      </c>
      <c r="C781" s="21" t="str">
        <f aca="false">'Player Data'!B781</f>
        <v>Thailand</v>
      </c>
      <c r="D781" s="21" t="str">
        <f aca="false">'Player Data'!C781</f>
        <v>Thailand Second Division</v>
      </c>
      <c r="E781" s="21" t="n">
        <f aca="false">'Player Data'!D781</f>
        <v>4</v>
      </c>
      <c r="F781" s="21" t="n">
        <f aca="false">'Player Data'!G781</f>
        <v>23</v>
      </c>
      <c r="G781" s="21" t="n">
        <f aca="false">'Player Data'!H781</f>
        <v>2548</v>
      </c>
      <c r="H781" s="22" t="n">
        <f aca="false">IF(B781="GK",IFERROR(('Player Data'!N781-1.5*'Player Data'!O781)/'Player Data'!H781*90,0),IFERROR(('Player Data'!I781+'Player Data'!J781)/'Player Data'!H781*90,0))</f>
        <v>0.635792778649922</v>
      </c>
      <c r="I781" s="22" t="n">
        <f aca="false">IF(B781="GK",'Player Data'!P781,IFERROR(('Player Data'!K781+'Player Data'!L781)/'Player Data'!H781*90,0))</f>
        <v>4.34458398744113</v>
      </c>
      <c r="J781" s="22" t="n">
        <f aca="false">IF(B781="GK",IFERROR('Player Data'!Q781/'Player Data'!H781*90,0),IFERROR('Player Data'!M781/'Player Data'!H781*90,0))</f>
        <v>0.459183673469388</v>
      </c>
      <c r="K781" s="23" t="n">
        <f aca="false">'Player Data'!S781</f>
        <v>0</v>
      </c>
      <c r="L781" s="22" t="n">
        <f aca="false">INDEX(Assumptions!$B$13:$B$15,MATCH(E781,Assumptions!$A$13:$A$15,0))</f>
        <v>0.7</v>
      </c>
      <c r="M781" s="24" t="n">
        <f aca="false">IFERROR(SUMPRODUCT(($B$2:$B$1001=B781)*($H$2:$H$1001&lt;=H781))/SUMPRODUCT(($B$2:$B$1001=B781)*1),0)</f>
        <v>0.176991150442478</v>
      </c>
      <c r="N781" s="24" t="n">
        <f aca="false">IFERROR(SUMPRODUCT(($B$2:$B$1001=B781)*($I$2:$I$1001&lt;=I781))/SUMPRODUCT(($B$2:$B$1001=B781)*1),0)</f>
        <v>0.101769911504425</v>
      </c>
      <c r="O781" s="24" t="n">
        <f aca="false">IFERROR(SUMPRODUCT(($B$2:$B$1001=B781)*($J$2:$J$1001&lt;=J781))/SUMPRODUCT(($B$2:$B$1001=B781)*1),0)</f>
        <v>0.420353982300885</v>
      </c>
      <c r="P781" s="24" t="n">
        <f aca="false">IFERROR(SUMPRODUCT(($B$2:$B$1001=B781)*((0-$F$2:$F$1001)&lt;=(0-F781)))/SUMPRODUCT(($B$2:$B$1001=B781)*1),0)</f>
        <v>0.389380530973451</v>
      </c>
      <c r="Q781" s="25" t="n">
        <f aca="false">(M781*Assumptions!$B$5+N781*Assumptions!$B$6+O781*Assumptions!$B$7+P781*Assumptions!$B$8)*L781</f>
        <v>0.169269911504425</v>
      </c>
      <c r="R781" s="24" t="n">
        <f aca="false">IFERROR(SUMPRODUCT(($B$2:$B$1001=B781)*($Q$2:$Q$1001&lt;=Q781))/SUMPRODUCT(($B$2:$B$1001=B781)*1),0)</f>
        <v>0.0575221238938053</v>
      </c>
      <c r="S781" s="24" t="n">
        <f aca="false">IFERROR(SUMPRODUCT(($B$2:$B$1001=B781)*($K$2:$K$1001&lt;=K781))/SUMPRODUCT(($B$2:$B$1001=B781)*1),0)</f>
        <v>0.261061946902655</v>
      </c>
      <c r="T781" s="26" t="n">
        <f aca="false">(R781-S781)*100</f>
        <v>-20.353982300885</v>
      </c>
      <c r="U781" s="21" t="str">
        <f aca="false">'Player Data'!T781</f>
        <v>Unknown</v>
      </c>
      <c r="V781" s="27" t="n">
        <f aca="false">'Player Data'!U781</f>
        <v>2029</v>
      </c>
      <c r="W781" s="21" t="str">
        <f aca="false">IF(AND(T781&gt;=Assumptions!$B$19,U781="No"),"High Priority - Unrepresented",IF(T781&gt;=Assumptions!$B$19,"High Priority",IF(AND(T781&gt;=Assumptions!$B$20,U781="No"),"Watchlist - Unrepresented",IF(T781&gt;=Assumptions!$B$20,"Watchlist",""))))</f>
        <v/>
      </c>
      <c r="X781" s="21" t="str">
        <f aca="false">'Player Data'!V781</f>
        <v>info@khonkaenrangers.th</v>
      </c>
      <c r="Y781" s="28" t="str">
        <f aca="false">'Player Data'!W781</f>
        <v>Club sporting director / first-team office</v>
      </c>
      <c r="Z781" s="28" t="str">
        <f aca="false">'Player Data'!X781</f>
        <v>FAT (Football Association of Thailand) player registry</v>
      </c>
      <c r="AA781" s="19" t="str">
        <f aca="false">HYPERLINK("https://www.transfermarkt.com/schnellsuche/ergebnis/schnellsuche?query="&amp;SUBSTITUTE(A781," ","+"),"Search Transfermarkt")</f>
        <v>Search Transfermarkt</v>
      </c>
      <c r="AB781" s="29" t="n">
        <f aca="false">IFERROR('Player Data'!K781/('Player Data'!K781+'Player Data'!L781),0)</f>
        <v>0.284552845528455</v>
      </c>
      <c r="AC781" s="21" t="str">
        <f aca="false">IF(B781="GK",IF(AND(O781&gt;=Assumptions!$B$23,N781&gt;=Assumptions!$B$23),"Sweeper-Keeper / Build-from-the-Back",IF(O781&gt;=Assumptions!$B$23,"Sweeper-Keeper / High Line",IF(M781&gt;=Assumptions!$B$23,"Shot-Stopper / Traditional","Flexible / Multi-System"))),IF(AND(O781&gt;=Assumptions!$B$23,P781&gt;=Assumptions!$B$24),"High Press / Gegenpressing",IF(AND(N781&gt;=Assumptions!$B$23,AB781&gt;=Assumptions!$B$25),"Possession / Build-from-the-Back",IF(N781&gt;=Assumptions!$B$23,"Counter-Attack / Transition",IF(AND(O781&gt;=Assumptions!$B$23,N781&lt;Assumptions!$B$26),"Low Block / Park the Bus",IF(AND(B781="FW",M781&gt;=Assumptions!$B$23,N781&lt;Assumptions!$B$26),"Direct / Target Approach","Flexible / Multi-System"))))))</f>
        <v>Flexible / Multi-System</v>
      </c>
      <c r="AD781" s="21" t="str">
        <f aca="false">'Player Data'!Y781</f>
        <v>2026-07-17</v>
      </c>
      <c r="AE781" s="21" t="str">
        <f aca="false">'Player Data'!Z781</f>
        <v>2026-07-17</v>
      </c>
      <c r="AF781" s="28" t="str">
        <f aca="false">IFERROR(INDEX(Assumptions!$B$30:$B$61,MATCH(C781,Assumptions!$A$30:$A$61,0)),"--")</f>
        <v>Australia, Saudi Arabia</v>
      </c>
      <c r="AG781" s="30" t="str">
        <f aca="false">IF(R781&gt;=0.7,"Step-Up Candidate",IF(R781&gt;=0.4,"Lateral Move","Stay &amp; Develop"))</f>
        <v>Stay &amp; Develop</v>
      </c>
    </row>
    <row r="782" customFormat="false" ht="23.85" hidden="false" customHeight="false" outlineLevel="0" collapsed="false">
      <c r="A782" s="21" t="str">
        <f aca="false">'Player Data'!A782</f>
        <v>Moussa Sow</v>
      </c>
      <c r="B782" s="21" t="str">
        <f aca="false">'Player Data'!F782</f>
        <v>DF</v>
      </c>
      <c r="C782" s="21" t="str">
        <f aca="false">'Player Data'!B782</f>
        <v>Senegal</v>
      </c>
      <c r="D782" s="21" t="str">
        <f aca="false">'Player Data'!C782</f>
        <v>Senegal Second Division</v>
      </c>
      <c r="E782" s="21" t="n">
        <f aca="false">'Player Data'!D782</f>
        <v>4</v>
      </c>
      <c r="F782" s="21" t="n">
        <f aca="false">'Player Data'!G782</f>
        <v>24</v>
      </c>
      <c r="G782" s="21" t="n">
        <f aca="false">'Player Data'!H782</f>
        <v>1851</v>
      </c>
      <c r="H782" s="22" t="n">
        <f aca="false">IF(B782="GK",IFERROR(('Player Data'!N782-1.5*'Player Data'!O782)/'Player Data'!H782*90,0),IFERROR(('Player Data'!I782+'Player Data'!J782)/'Player Data'!H782*90,0))</f>
        <v>0.243111831442464</v>
      </c>
      <c r="I782" s="22" t="n">
        <f aca="false">IF(B782="GK",'Player Data'!P782,IFERROR(('Player Data'!K782+'Player Data'!L782)/'Player Data'!H782*90,0))</f>
        <v>5.20259319286872</v>
      </c>
      <c r="J782" s="22" t="n">
        <f aca="false">IF(B782="GK",IFERROR('Player Data'!Q782/'Player Data'!H782*90,0),IFERROR('Player Data'!M782/'Player Data'!H782*90,0))</f>
        <v>4.18152350081037</v>
      </c>
      <c r="K782" s="23" t="n">
        <f aca="false">'Player Data'!S782</f>
        <v>144168</v>
      </c>
      <c r="L782" s="22" t="n">
        <f aca="false">INDEX(Assumptions!$B$13:$B$15,MATCH(E782,Assumptions!$A$13:$A$15,0))</f>
        <v>0.7</v>
      </c>
      <c r="M782" s="24" t="n">
        <f aca="false">IFERROR(SUMPRODUCT(($B$2:$B$1001=B782)*($H$2:$H$1001&lt;=H782))/SUMPRODUCT(($B$2:$B$1001=B782)*1),0)</f>
        <v>0.646258503401361</v>
      </c>
      <c r="N782" s="24" t="n">
        <f aca="false">IFERROR(SUMPRODUCT(($B$2:$B$1001=B782)*($I$2:$I$1001&lt;=I782))/SUMPRODUCT(($B$2:$B$1001=B782)*1),0)</f>
        <v>0.619047619047619</v>
      </c>
      <c r="O782" s="24" t="n">
        <f aca="false">IFERROR(SUMPRODUCT(($B$2:$B$1001=B782)*($J$2:$J$1001&lt;=J782))/SUMPRODUCT(($B$2:$B$1001=B782)*1),0)</f>
        <v>0.285714285714286</v>
      </c>
      <c r="P782" s="24" t="n">
        <f aca="false">IFERROR(SUMPRODUCT(($B$2:$B$1001=B782)*((0-$F$2:$F$1001)&lt;=(0-F782)))/SUMPRODUCT(($B$2:$B$1001=B782)*1),0)</f>
        <v>0.275510204081633</v>
      </c>
      <c r="Q782" s="25" t="n">
        <f aca="false">(M782*Assumptions!$B$5+N782*Assumptions!$B$6+O782*Assumptions!$B$7+P782*Assumptions!$B$8)*L782</f>
        <v>0.343333333333333</v>
      </c>
      <c r="R782" s="24" t="n">
        <f aca="false">IFERROR(SUMPRODUCT(($B$2:$B$1001=B782)*($Q$2:$Q$1001&lt;=Q782))/SUMPRODUCT(($B$2:$B$1001=B782)*1),0)</f>
        <v>0.343537414965986</v>
      </c>
      <c r="S782" s="24" t="n">
        <f aca="false">IFERROR(SUMPRODUCT(($B$2:$B$1001=B782)*($K$2:$K$1001&lt;=K782))/SUMPRODUCT(($B$2:$B$1001=B782)*1),0)</f>
        <v>0.969387755102041</v>
      </c>
      <c r="T782" s="26" t="n">
        <f aca="false">(R782-S782)*100</f>
        <v>-62.5850340136054</v>
      </c>
      <c r="U782" s="21" t="str">
        <f aca="false">'Player Data'!T782</f>
        <v>No</v>
      </c>
      <c r="V782" s="27" t="n">
        <f aca="false">'Player Data'!U782</f>
        <v>2029</v>
      </c>
      <c r="W782" s="21" t="str">
        <f aca="false">IF(AND(T782&gt;=Assumptions!$B$19,U782="No"),"High Priority - Unrepresented",IF(T782&gt;=Assumptions!$B$19,"High Priority",IF(AND(T782&gt;=Assumptions!$B$20,U782="No"),"Watchlist - Unrepresented",IF(T782&gt;=Assumptions!$B$20,"Watchlist",""))))</f>
        <v/>
      </c>
      <c r="X782" s="21" t="str">
        <f aca="false">'Player Data'!V782</f>
        <v>info@saintlouisrangers.sn</v>
      </c>
      <c r="Y782" s="28" t="str">
        <f aca="false">'Player Data'!W782</f>
        <v>Club sporting director / first-team office</v>
      </c>
      <c r="Z782" s="28" t="str">
        <f aca="false">'Player Data'!X782</f>
        <v>FSF (Senegalese Football Federation) player registry</v>
      </c>
      <c r="AA782" s="19" t="str">
        <f aca="false">HYPERLINK("https://www.transfermarkt.com/schnellsuche/ergebnis/schnellsuche?query="&amp;SUBSTITUTE(A782," ","+"),"Search Transfermarkt")</f>
        <v>Search Transfermarkt</v>
      </c>
      <c r="AB782" s="29" t="n">
        <f aca="false">IFERROR('Player Data'!K782/('Player Data'!K782+'Player Data'!L782),0)</f>
        <v>0.672897196261682</v>
      </c>
      <c r="AC782" s="21" t="str">
        <f aca="false">IF(B782="GK",IF(AND(O782&gt;=Assumptions!$B$23,N782&gt;=Assumptions!$B$23),"Sweeper-Keeper / Build-from-the-Back",IF(O782&gt;=Assumptions!$B$23,"Sweeper-Keeper / High Line",IF(M782&gt;=Assumptions!$B$23,"Shot-Stopper / Traditional","Flexible / Multi-System"))),IF(AND(O782&gt;=Assumptions!$B$23,P782&gt;=Assumptions!$B$24),"High Press / Gegenpressing",IF(AND(N782&gt;=Assumptions!$B$23,AB782&gt;=Assumptions!$B$25),"Possession / Build-from-the-Back",IF(N782&gt;=Assumptions!$B$23,"Counter-Attack / Transition",IF(AND(O782&gt;=Assumptions!$B$23,N782&lt;Assumptions!$B$26),"Low Block / Park the Bus",IF(AND(B782="FW",M782&gt;=Assumptions!$B$23,N782&lt;Assumptions!$B$26),"Direct / Target Approach","Flexible / Multi-System"))))))</f>
        <v>Flexible / Multi-System</v>
      </c>
      <c r="AD782" s="21" t="str">
        <f aca="false">'Player Data'!Y782</f>
        <v>2026-07-17</v>
      </c>
      <c r="AE782" s="21" t="str">
        <f aca="false">'Player Data'!Z782</f>
        <v>2026-07-17</v>
      </c>
      <c r="AF782" s="28" t="str">
        <f aca="false">IFERROR(INDEX(Assumptions!$B$30:$B$61,MATCH(C782,Assumptions!$A$30:$A$61,0)),"--")</f>
        <v>Belgium, Portugal</v>
      </c>
      <c r="AG782" s="30" t="str">
        <f aca="false">IF(R782&gt;=0.7,"Step-Up Candidate",IF(R782&gt;=0.4,"Lateral Move","Stay &amp; Develop"))</f>
        <v>Stay &amp; Develop</v>
      </c>
    </row>
    <row r="783" customFormat="false" ht="23.85" hidden="false" customHeight="false" outlineLevel="0" collapsed="false">
      <c r="A783" s="21" t="str">
        <f aca="false">'Player Data'!A783</f>
        <v>Irakli Kiknadze</v>
      </c>
      <c r="B783" s="21" t="str">
        <f aca="false">'Player Data'!F783</f>
        <v>FW</v>
      </c>
      <c r="C783" s="21" t="str">
        <f aca="false">'Player Data'!B783</f>
        <v>Georgia</v>
      </c>
      <c r="D783" s="21" t="str">
        <f aca="false">'Player Data'!C783</f>
        <v>Georgia Second Division - West</v>
      </c>
      <c r="E783" s="21" t="n">
        <f aca="false">'Player Data'!D783</f>
        <v>4</v>
      </c>
      <c r="F783" s="21" t="n">
        <f aca="false">'Player Data'!G783</f>
        <v>21</v>
      </c>
      <c r="G783" s="21" t="n">
        <f aca="false">'Player Data'!H783</f>
        <v>1852</v>
      </c>
      <c r="H783" s="22" t="n">
        <f aca="false">IF(B783="GK",IFERROR(('Player Data'!N783-1.5*'Player Data'!O783)/'Player Data'!H783*90,0),IFERROR(('Player Data'!I783+'Player Data'!J783)/'Player Data'!H783*90,0))</f>
        <v>1.16630669546436</v>
      </c>
      <c r="I783" s="22" t="n">
        <f aca="false">IF(B783="GK",'Player Data'!P783,IFERROR(('Player Data'!K783+'Player Data'!L783)/'Player Data'!H783*90,0))</f>
        <v>5.34557235421166</v>
      </c>
      <c r="J783" s="22" t="n">
        <f aca="false">IF(B783="GK",IFERROR('Player Data'!Q783/'Player Data'!H783*90,0),IFERROR('Player Data'!M783/'Player Data'!H783*90,0))</f>
        <v>0.728941684665227</v>
      </c>
      <c r="K783" s="23" t="n">
        <f aca="false">'Player Data'!S783</f>
        <v>38215</v>
      </c>
      <c r="L783" s="22" t="n">
        <f aca="false">INDEX(Assumptions!$B$13:$B$15,MATCH(E783,Assumptions!$A$13:$A$15,0))</f>
        <v>0.7</v>
      </c>
      <c r="M783" s="24" t="n">
        <f aca="false">IFERROR(SUMPRODUCT(($B$2:$B$1001=B783)*($H$2:$H$1001&lt;=H783))/SUMPRODUCT(($B$2:$B$1001=B783)*1),0)</f>
        <v>0.676991150442478</v>
      </c>
      <c r="N783" s="24" t="n">
        <f aca="false">IFERROR(SUMPRODUCT(($B$2:$B$1001=B783)*($I$2:$I$1001&lt;=I783))/SUMPRODUCT(($B$2:$B$1001=B783)*1),0)</f>
        <v>0.283185840707965</v>
      </c>
      <c r="O783" s="24" t="n">
        <f aca="false">IFERROR(SUMPRODUCT(($B$2:$B$1001=B783)*($J$2:$J$1001&lt;=J783))/SUMPRODUCT(($B$2:$B$1001=B783)*1),0)</f>
        <v>0.752212389380531</v>
      </c>
      <c r="P783" s="24" t="n">
        <f aca="false">IFERROR(SUMPRODUCT(($B$2:$B$1001=B783)*((0-$F$2:$F$1001)&lt;=(0-F783)))/SUMPRODUCT(($B$2:$B$1001=B783)*1),0)</f>
        <v>0.579646017699115</v>
      </c>
      <c r="Q783" s="25" t="n">
        <f aca="false">(M783*Assumptions!$B$5+N783*Assumptions!$B$6+O783*Assumptions!$B$7+P783*Assumptions!$B$8)*L783</f>
        <v>0.374314159292035</v>
      </c>
      <c r="R783" s="24" t="n">
        <f aca="false">IFERROR(SUMPRODUCT(($B$2:$B$1001=B783)*($Q$2:$Q$1001&lt;=Q783))/SUMPRODUCT(($B$2:$B$1001=B783)*1),0)</f>
        <v>0.384955752212389</v>
      </c>
      <c r="S783" s="24" t="n">
        <f aca="false">IFERROR(SUMPRODUCT(($B$2:$B$1001=B783)*($K$2:$K$1001&lt;=K783))/SUMPRODUCT(($B$2:$B$1001=B783)*1),0)</f>
        <v>0.420353982300885</v>
      </c>
      <c r="T783" s="26" t="n">
        <f aca="false">(R783-S783)*100</f>
        <v>-3.53982300884956</v>
      </c>
      <c r="U783" s="21" t="str">
        <f aca="false">'Player Data'!T783</f>
        <v>Unknown</v>
      </c>
      <c r="V783" s="27" t="n">
        <f aca="false">'Player Data'!U783</f>
        <v>2026</v>
      </c>
      <c r="W783" s="21" t="str">
        <f aca="false">IF(AND(T783&gt;=Assumptions!$B$19,U783="No"),"High Priority - Unrepresented",IF(T783&gt;=Assumptions!$B$19,"High Priority",IF(AND(T783&gt;=Assumptions!$B$20,U783="No"),"Watchlist - Unrepresented",IF(T783&gt;=Assumptions!$B$20,"Watchlist",""))))</f>
        <v/>
      </c>
      <c r="X783" s="21" t="str">
        <f aca="false">'Player Data'!V783</f>
        <v>info@tbilisiunited.ge</v>
      </c>
      <c r="Y783" s="28" t="str">
        <f aca="false">'Player Data'!W783</f>
        <v>Club sporting director / first-team office</v>
      </c>
      <c r="Z783" s="28" t="str">
        <f aca="false">'Player Data'!X783</f>
        <v>GFF (Georgian Football Federation) player registry</v>
      </c>
      <c r="AA783" s="19" t="str">
        <f aca="false">HYPERLINK("https://www.transfermarkt.com/schnellsuche/ergebnis/schnellsuche?query="&amp;SUBSTITUTE(A783," ","+"),"Search Transfermarkt")</f>
        <v>Search Transfermarkt</v>
      </c>
      <c r="AB783" s="29" t="n">
        <f aca="false">IFERROR('Player Data'!K783/('Player Data'!K783+'Player Data'!L783),0)</f>
        <v>0.4</v>
      </c>
      <c r="AC783" s="21" t="str">
        <f aca="false">IF(B783="GK",IF(AND(O783&gt;=Assumptions!$B$23,N783&gt;=Assumptions!$B$23),"Sweeper-Keeper / Build-from-the-Back",IF(O783&gt;=Assumptions!$B$23,"Sweeper-Keeper / High Line",IF(M783&gt;=Assumptions!$B$23,"Shot-Stopper / Traditional","Flexible / Multi-System"))),IF(AND(O783&gt;=Assumptions!$B$23,P783&gt;=Assumptions!$B$24),"High Press / Gegenpressing",IF(AND(N783&gt;=Assumptions!$B$23,AB783&gt;=Assumptions!$B$25),"Possession / Build-from-the-Back",IF(N783&gt;=Assumptions!$B$23,"Counter-Attack / Transition",IF(AND(O783&gt;=Assumptions!$B$23,N783&lt;Assumptions!$B$26),"Low Block / Park the Bus",IF(AND(B783="FW",M783&gt;=Assumptions!$B$23,N783&lt;Assumptions!$B$26),"Direct / Target Approach","Flexible / Multi-System"))))))</f>
        <v>High Press / Gegenpressing</v>
      </c>
      <c r="AD783" s="21" t="str">
        <f aca="false">'Player Data'!Y783</f>
        <v>2026-07-17</v>
      </c>
      <c r="AE783" s="21" t="str">
        <f aca="false">'Player Data'!Z783</f>
        <v>2026-07-17</v>
      </c>
      <c r="AF783" s="28" t="str">
        <f aca="false">IFERROR(INDEX(Assumptions!$B$30:$B$61,MATCH(C783,Assumptions!$A$30:$A$61,0)),"--")</f>
        <v>Turkey, Poland</v>
      </c>
      <c r="AG783" s="30" t="str">
        <f aca="false">IF(R783&gt;=0.7,"Step-Up Candidate",IF(R783&gt;=0.4,"Lateral Move","Stay &amp; Develop"))</f>
        <v>Stay &amp; Develop</v>
      </c>
    </row>
    <row r="784" customFormat="false" ht="23.85" hidden="false" customHeight="false" outlineLevel="0" collapsed="false">
      <c r="A784" s="21" t="str">
        <f aca="false">'Player Data'!A784</f>
        <v>Souleymane Keita</v>
      </c>
      <c r="B784" s="21" t="str">
        <f aca="false">'Player Data'!F784</f>
        <v>MF</v>
      </c>
      <c r="C784" s="21" t="str">
        <f aca="false">'Player Data'!B784</f>
        <v>Mali</v>
      </c>
      <c r="D784" s="21" t="str">
        <f aca="false">'Player Data'!C784</f>
        <v>Mali Regional League</v>
      </c>
      <c r="E784" s="21" t="n">
        <f aca="false">'Player Data'!D784</f>
        <v>3</v>
      </c>
      <c r="F784" s="21" t="n">
        <f aca="false">'Player Data'!G784</f>
        <v>24</v>
      </c>
      <c r="G784" s="21" t="n">
        <f aca="false">'Player Data'!H784</f>
        <v>974</v>
      </c>
      <c r="H784" s="22" t="n">
        <f aca="false">IF(B784="GK",IFERROR(('Player Data'!N784-1.5*'Player Data'!O784)/'Player Data'!H784*90,0),IFERROR(('Player Data'!I784+'Player Data'!J784)/'Player Data'!H784*90,0))</f>
        <v>1.47843942505133</v>
      </c>
      <c r="I784" s="22" t="n">
        <f aca="false">IF(B784="GK",'Player Data'!P784,IFERROR(('Player Data'!K784+'Player Data'!L784)/'Player Data'!H784*90,0))</f>
        <v>18.2956878850103</v>
      </c>
      <c r="J784" s="22" t="n">
        <f aca="false">IF(B784="GK",IFERROR('Player Data'!Q784/'Player Data'!H784*90,0),IFERROR('Player Data'!M784/'Player Data'!H784*90,0))</f>
        <v>2.77207392197125</v>
      </c>
      <c r="K784" s="23" t="n">
        <f aca="false">'Player Data'!S784</f>
        <v>0</v>
      </c>
      <c r="L784" s="22" t="n">
        <f aca="false">INDEX(Assumptions!$B$13:$B$15,MATCH(E784,Assumptions!$A$13:$A$15,0))</f>
        <v>0.85</v>
      </c>
      <c r="M784" s="24" t="n">
        <f aca="false">IFERROR(SUMPRODUCT(($B$2:$B$1001=B784)*($H$2:$H$1001&lt;=H784))/SUMPRODUCT(($B$2:$B$1001=B784)*1),0)</f>
        <v>0.936026936026936</v>
      </c>
      <c r="N784" s="24" t="n">
        <f aca="false">IFERROR(SUMPRODUCT(($B$2:$B$1001=B784)*($I$2:$I$1001&lt;=I784))/SUMPRODUCT(($B$2:$B$1001=B784)*1),0)</f>
        <v>0.861952861952862</v>
      </c>
      <c r="O784" s="24" t="n">
        <f aca="false">IFERROR(SUMPRODUCT(($B$2:$B$1001=B784)*($J$2:$J$1001&lt;=J784))/SUMPRODUCT(($B$2:$B$1001=B784)*1),0)</f>
        <v>0.730639730639731</v>
      </c>
      <c r="P784" s="24" t="n">
        <f aca="false">IFERROR(SUMPRODUCT(($B$2:$B$1001=B784)*((0-$F$2:$F$1001)&lt;=(0-F784)))/SUMPRODUCT(($B$2:$B$1001=B784)*1),0)</f>
        <v>0.326599326599327</v>
      </c>
      <c r="Q784" s="25" t="n">
        <f aca="false">(M784*Assumptions!$B$5+N784*Assumptions!$B$6+O784*Assumptions!$B$7+P784*Assumptions!$B$8)*L784</f>
        <v>0.63506734006734</v>
      </c>
      <c r="R784" s="24" t="n">
        <f aca="false">IFERROR(SUMPRODUCT(($B$2:$B$1001=B784)*($Q$2:$Q$1001&lt;=Q784))/SUMPRODUCT(($B$2:$B$1001=B784)*1),0)</f>
        <v>0.821548821548822</v>
      </c>
      <c r="S784" s="24" t="n">
        <f aca="false">IFERROR(SUMPRODUCT(($B$2:$B$1001=B784)*($K$2:$K$1001&lt;=K784))/SUMPRODUCT(($B$2:$B$1001=B784)*1),0)</f>
        <v>0.228956228956229</v>
      </c>
      <c r="T784" s="26" t="n">
        <f aca="false">(R784-S784)*100</f>
        <v>59.2592592592593</v>
      </c>
      <c r="U784" s="21" t="str">
        <f aca="false">'Player Data'!T784</f>
        <v>Unknown</v>
      </c>
      <c r="V784" s="27" t="n">
        <f aca="false">'Player Data'!U784</f>
        <v>2028</v>
      </c>
      <c r="W784" s="21" t="str">
        <f aca="false">IF(AND(T784&gt;=Assumptions!$B$19,U784="No"),"High Priority - Unrepresented",IF(T784&gt;=Assumptions!$B$19,"High Priority",IF(AND(T784&gt;=Assumptions!$B$20,U784="No"),"Watchlist - Unrepresented",IF(T784&gt;=Assumptions!$B$20,"Watchlist",""))))</f>
        <v>High Priority</v>
      </c>
      <c r="X784" s="21" t="str">
        <f aca="false">'Player Data'!V784</f>
        <v>info@bamakorovers.ml</v>
      </c>
      <c r="Y784" s="28" t="str">
        <f aca="false">'Player Data'!W784</f>
        <v>Club sporting director / first-team office</v>
      </c>
      <c r="Z784" s="28" t="str">
        <f aca="false">'Player Data'!X784</f>
        <v>FEMAFOOT (Malian Football Federation) player registry</v>
      </c>
      <c r="AA784" s="19" t="str">
        <f aca="false">HYPERLINK("https://www.transfermarkt.com/schnellsuche/ergebnis/schnellsuche?query="&amp;SUBSTITUTE(A784," ","+"),"Search Transfermarkt")</f>
        <v>Search Transfermarkt</v>
      </c>
      <c r="AB784" s="29" t="n">
        <f aca="false">IFERROR('Player Data'!K784/('Player Data'!K784+'Player Data'!L784),0)</f>
        <v>0.606060606060606</v>
      </c>
      <c r="AC784" s="21" t="str">
        <f aca="false">IF(B784="GK",IF(AND(O784&gt;=Assumptions!$B$23,N784&gt;=Assumptions!$B$23),"Sweeper-Keeper / Build-from-the-Back",IF(O784&gt;=Assumptions!$B$23,"Sweeper-Keeper / High Line",IF(M784&gt;=Assumptions!$B$23,"Shot-Stopper / Traditional","Flexible / Multi-System"))),IF(AND(O784&gt;=Assumptions!$B$23,P784&gt;=Assumptions!$B$24),"High Press / Gegenpressing",IF(AND(N784&gt;=Assumptions!$B$23,AB784&gt;=Assumptions!$B$25),"Possession / Build-from-the-Back",IF(N784&gt;=Assumptions!$B$23,"Counter-Attack / Transition",IF(AND(O784&gt;=Assumptions!$B$23,N784&lt;Assumptions!$B$26),"Low Block / Park the Bus",IF(AND(B784="FW",M784&gt;=Assumptions!$B$23,N784&lt;Assumptions!$B$26),"Direct / Target Approach","Flexible / Multi-System"))))))</f>
        <v>Counter-Attack / Transition</v>
      </c>
      <c r="AD784" s="21" t="str">
        <f aca="false">'Player Data'!Y784</f>
        <v>2026-07-17</v>
      </c>
      <c r="AE784" s="21" t="str">
        <f aca="false">'Player Data'!Z784</f>
        <v>2026-07-17</v>
      </c>
      <c r="AF784" s="28" t="str">
        <f aca="false">IFERROR(INDEX(Assumptions!$B$30:$B$61,MATCH(C784,Assumptions!$A$30:$A$61,0)),"--")</f>
        <v>Belgium, Portugal</v>
      </c>
      <c r="AG784" s="30" t="str">
        <f aca="false">IF(R784&gt;=0.7,"Step-Up Candidate",IF(R784&gt;=0.4,"Lateral Move","Stay &amp; Develop"))</f>
        <v>Step-Up Candidate</v>
      </c>
    </row>
    <row r="785" customFormat="false" ht="23.85" hidden="false" customHeight="false" outlineLevel="0" collapsed="false">
      <c r="A785" s="21" t="str">
        <f aca="false">'Player Data'!A785</f>
        <v>Omar Hassan</v>
      </c>
      <c r="B785" s="21" t="str">
        <f aca="false">'Player Data'!F785</f>
        <v>FW</v>
      </c>
      <c r="C785" s="21" t="str">
        <f aca="false">'Player Data'!B785</f>
        <v>Iraq</v>
      </c>
      <c r="D785" s="21" t="str">
        <f aca="false">'Player Data'!C785</f>
        <v>Iraq Reserve League</v>
      </c>
      <c r="E785" s="21" t="n">
        <f aca="false">'Player Data'!D785</f>
        <v>2</v>
      </c>
      <c r="F785" s="21" t="n">
        <f aca="false">'Player Data'!G785</f>
        <v>22</v>
      </c>
      <c r="G785" s="21" t="n">
        <f aca="false">'Player Data'!H785</f>
        <v>814</v>
      </c>
      <c r="H785" s="22" t="n">
        <f aca="false">IF(B785="GK",IFERROR(('Player Data'!N785-1.5*'Player Data'!O785)/'Player Data'!H785*90,0),IFERROR(('Player Data'!I785+'Player Data'!J785)/'Player Data'!H785*90,0))</f>
        <v>1.76904176904177</v>
      </c>
      <c r="I785" s="22" t="n">
        <f aca="false">IF(B785="GK",'Player Data'!P785,IFERROR(('Player Data'!K785+'Player Data'!L785)/'Player Data'!H785*90,0))</f>
        <v>14.9262899262899</v>
      </c>
      <c r="J785" s="22" t="n">
        <f aca="false">IF(B785="GK",IFERROR('Player Data'!Q785/'Player Data'!H785*90,0),IFERROR('Player Data'!M785/'Player Data'!H785*90,0))</f>
        <v>1.54791154791155</v>
      </c>
      <c r="K785" s="23" t="n">
        <f aca="false">'Player Data'!S785</f>
        <v>57891</v>
      </c>
      <c r="L785" s="22" t="n">
        <f aca="false">INDEX(Assumptions!$B$13:$B$15,MATCH(E785,Assumptions!$A$13:$A$15,0))</f>
        <v>1</v>
      </c>
      <c r="M785" s="24" t="n">
        <f aca="false">IFERROR(SUMPRODUCT(($B$2:$B$1001=B785)*($H$2:$H$1001&lt;=H785))/SUMPRODUCT(($B$2:$B$1001=B785)*1),0)</f>
        <v>0.915929203539823</v>
      </c>
      <c r="N785" s="24" t="n">
        <f aca="false">IFERROR(SUMPRODUCT(($B$2:$B$1001=B785)*($I$2:$I$1001&lt;=I785))/SUMPRODUCT(($B$2:$B$1001=B785)*1),0)</f>
        <v>0.982300884955752</v>
      </c>
      <c r="O785" s="24" t="n">
        <f aca="false">IFERROR(SUMPRODUCT(($B$2:$B$1001=B785)*($J$2:$J$1001&lt;=J785))/SUMPRODUCT(($B$2:$B$1001=B785)*1),0)</f>
        <v>0.991150442477876</v>
      </c>
      <c r="P785" s="24" t="n">
        <f aca="false">IFERROR(SUMPRODUCT(($B$2:$B$1001=B785)*((0-$F$2:$F$1001)&lt;=(0-F785)))/SUMPRODUCT(($B$2:$B$1001=B785)*1),0)</f>
        <v>0.504424778761062</v>
      </c>
      <c r="Q785" s="25" t="n">
        <f aca="false">(M785*Assumptions!$B$5+N785*Assumptions!$B$6+O785*Assumptions!$B$7+P785*Assumptions!$B$8)*L785</f>
        <v>0.871902654867257</v>
      </c>
      <c r="R785" s="24" t="n">
        <f aca="false">IFERROR(SUMPRODUCT(($B$2:$B$1001=B785)*($Q$2:$Q$1001&lt;=Q785))/SUMPRODUCT(($B$2:$B$1001=B785)*1),0)</f>
        <v>0.973451327433628</v>
      </c>
      <c r="S785" s="24" t="n">
        <f aca="false">IFERROR(SUMPRODUCT(($B$2:$B$1001=B785)*($K$2:$K$1001&lt;=K785))/SUMPRODUCT(($B$2:$B$1001=B785)*1),0)</f>
        <v>0.495575221238938</v>
      </c>
      <c r="T785" s="26" t="n">
        <f aca="false">(R785-S785)*100</f>
        <v>47.787610619469</v>
      </c>
      <c r="U785" s="21" t="str">
        <f aca="false">'Player Data'!T785</f>
        <v>No</v>
      </c>
      <c r="V785" s="27" t="n">
        <f aca="false">'Player Data'!U785</f>
        <v>2026</v>
      </c>
      <c r="W785" s="21" t="str">
        <f aca="false">IF(AND(T785&gt;=Assumptions!$B$19,U785="No"),"High Priority - Unrepresented",IF(T785&gt;=Assumptions!$B$19,"High Priority",IF(AND(T785&gt;=Assumptions!$B$20,U785="No"),"Watchlist - Unrepresented",IF(T785&gt;=Assumptions!$B$20,"Watchlist",""))))</f>
        <v>High Priority - Unrepresented</v>
      </c>
      <c r="X785" s="21" t="str">
        <f aca="false">'Player Data'!V785</f>
        <v>info@baghdadrangers.iq</v>
      </c>
      <c r="Y785" s="28" t="str">
        <f aca="false">'Player Data'!W785</f>
        <v>Club sporting director / first-team office</v>
      </c>
      <c r="Z785" s="28" t="str">
        <f aca="false">'Player Data'!X785</f>
        <v>IFA (Iraq Football Association) player registry</v>
      </c>
      <c r="AA785" s="19" t="str">
        <f aca="false">HYPERLINK("https://www.transfermarkt.com/schnellsuche/ergebnis/schnellsuche?query="&amp;SUBSTITUTE(A785," ","+"),"Search Transfermarkt")</f>
        <v>Search Transfermarkt</v>
      </c>
      <c r="AB785" s="29" t="n">
        <f aca="false">IFERROR('Player Data'!K785/('Player Data'!K785+'Player Data'!L785),0)</f>
        <v>0.385185185185185</v>
      </c>
      <c r="AC785" s="21" t="str">
        <f aca="false">IF(B785="GK",IF(AND(O785&gt;=Assumptions!$B$23,N785&gt;=Assumptions!$B$23),"Sweeper-Keeper / Build-from-the-Back",IF(O785&gt;=Assumptions!$B$23,"Sweeper-Keeper / High Line",IF(M785&gt;=Assumptions!$B$23,"Shot-Stopper / Traditional","Flexible / Multi-System"))),IF(AND(O785&gt;=Assumptions!$B$23,P785&gt;=Assumptions!$B$24),"High Press / Gegenpressing",IF(AND(N785&gt;=Assumptions!$B$23,AB785&gt;=Assumptions!$B$25),"Possession / Build-from-the-Back",IF(N785&gt;=Assumptions!$B$23,"Counter-Attack / Transition",IF(AND(O785&gt;=Assumptions!$B$23,N785&lt;Assumptions!$B$26),"Low Block / Park the Bus",IF(AND(B785="FW",M785&gt;=Assumptions!$B$23,N785&lt;Assumptions!$B$26),"Direct / Target Approach","Flexible / Multi-System"))))))</f>
        <v>Counter-Attack / Transition</v>
      </c>
      <c r="AD785" s="21" t="str">
        <f aca="false">'Player Data'!Y785</f>
        <v>2026-07-17</v>
      </c>
      <c r="AE785" s="21" t="str">
        <f aca="false">'Player Data'!Z785</f>
        <v>2026-07-17</v>
      </c>
      <c r="AF785" s="28" t="str">
        <f aca="false">IFERROR(INDEX(Assumptions!$B$30:$B$61,MATCH(C785,Assumptions!$A$30:$A$61,0)),"--")</f>
        <v>Turkey, Saudi Arabia</v>
      </c>
      <c r="AG785" s="30" t="str">
        <f aca="false">IF(R785&gt;=0.7,"Step-Up Candidate",IF(R785&gt;=0.4,"Lateral Move","Stay &amp; Develop"))</f>
        <v>Step-Up Candidate</v>
      </c>
    </row>
    <row r="786" customFormat="false" ht="23.85" hidden="false" customHeight="false" outlineLevel="0" collapsed="false">
      <c r="A786" s="21" t="str">
        <f aca="false">'Player Data'!A786</f>
        <v>Milos Radovic</v>
      </c>
      <c r="B786" s="21" t="str">
        <f aca="false">'Player Data'!F786</f>
        <v>MF</v>
      </c>
      <c r="C786" s="21" t="str">
        <f aca="false">'Player Data'!B786</f>
        <v>Montenegro</v>
      </c>
      <c r="D786" s="21" t="str">
        <f aca="false">'Player Data'!C786</f>
        <v>Montenegro Second Division</v>
      </c>
      <c r="E786" s="21" t="n">
        <f aca="false">'Player Data'!D786</f>
        <v>2</v>
      </c>
      <c r="F786" s="21" t="n">
        <f aca="false">'Player Data'!G786</f>
        <v>26</v>
      </c>
      <c r="G786" s="21" t="n">
        <f aca="false">'Player Data'!H786</f>
        <v>2402</v>
      </c>
      <c r="H786" s="22" t="n">
        <f aca="false">IF(B786="GK",IFERROR(('Player Data'!N786-1.5*'Player Data'!O786)/'Player Data'!H786*90,0),IFERROR(('Player Data'!I786+'Player Data'!J786)/'Player Data'!H786*90,0))</f>
        <v>0.33721898417985</v>
      </c>
      <c r="I786" s="22" t="n">
        <f aca="false">IF(B786="GK",'Player Data'!P786,IFERROR(('Player Data'!K786+'Player Data'!L786)/'Player Data'!H786*90,0))</f>
        <v>8.16819317235637</v>
      </c>
      <c r="J786" s="22" t="n">
        <f aca="false">IF(B786="GK",IFERROR('Player Data'!Q786/'Player Data'!H786*90,0),IFERROR('Player Data'!M786/'Player Data'!H786*90,0))</f>
        <v>1.76103247293922</v>
      </c>
      <c r="K786" s="23" t="n">
        <f aca="false">'Player Data'!S786</f>
        <v>0</v>
      </c>
      <c r="L786" s="22" t="n">
        <f aca="false">INDEX(Assumptions!$B$13:$B$15,MATCH(E786,Assumptions!$A$13:$A$15,0))</f>
        <v>1</v>
      </c>
      <c r="M786" s="24" t="n">
        <f aca="false">IFERROR(SUMPRODUCT(($B$2:$B$1001=B786)*($H$2:$H$1001&lt;=H786))/SUMPRODUCT(($B$2:$B$1001=B786)*1),0)</f>
        <v>0.0572390572390572</v>
      </c>
      <c r="N786" s="24" t="n">
        <f aca="false">IFERROR(SUMPRODUCT(($B$2:$B$1001=B786)*($I$2:$I$1001&lt;=I786))/SUMPRODUCT(($B$2:$B$1001=B786)*1),0)</f>
        <v>0.175084175084175</v>
      </c>
      <c r="O786" s="24" t="n">
        <f aca="false">IFERROR(SUMPRODUCT(($B$2:$B$1001=B786)*($J$2:$J$1001&lt;=J786))/SUMPRODUCT(($B$2:$B$1001=B786)*1),0)</f>
        <v>0.2996632996633</v>
      </c>
      <c r="P786" s="24" t="n">
        <f aca="false">IFERROR(SUMPRODUCT(($B$2:$B$1001=B786)*((0-$F$2:$F$1001)&lt;=(0-F786)))/SUMPRODUCT(($B$2:$B$1001=B786)*1),0)</f>
        <v>0.0909090909090909</v>
      </c>
      <c r="Q786" s="25" t="n">
        <f aca="false">(M786*Assumptions!$B$5+N786*Assumptions!$B$6+O786*Assumptions!$B$7+P786*Assumptions!$B$8)*L786</f>
        <v>0.153703703703704</v>
      </c>
      <c r="R786" s="24" t="n">
        <f aca="false">IFERROR(SUMPRODUCT(($B$2:$B$1001=B786)*($Q$2:$Q$1001&lt;=Q786))/SUMPRODUCT(($B$2:$B$1001=B786)*1),0)</f>
        <v>0.037037037037037</v>
      </c>
      <c r="S786" s="24" t="n">
        <f aca="false">IFERROR(SUMPRODUCT(($B$2:$B$1001=B786)*($K$2:$K$1001&lt;=K786))/SUMPRODUCT(($B$2:$B$1001=B786)*1),0)</f>
        <v>0.228956228956229</v>
      </c>
      <c r="T786" s="26" t="n">
        <f aca="false">(R786-S786)*100</f>
        <v>-19.1919191919192</v>
      </c>
      <c r="U786" s="21" t="str">
        <f aca="false">'Player Data'!T786</f>
        <v>No</v>
      </c>
      <c r="V786" s="27" t="n">
        <f aca="false">'Player Data'!U786</f>
        <v>2026</v>
      </c>
      <c r="W786" s="21" t="str">
        <f aca="false">IF(AND(T786&gt;=Assumptions!$B$19,U786="No"),"High Priority - Unrepresented",IF(T786&gt;=Assumptions!$B$19,"High Priority",IF(AND(T786&gt;=Assumptions!$B$20,U786="No"),"Watchlist - Unrepresented",IF(T786&gt;=Assumptions!$B$20,"Watchlist",""))))</f>
        <v/>
      </c>
      <c r="X786" s="21" t="str">
        <f aca="false">'Player Data'!V786</f>
        <v>info@budvarovers.me</v>
      </c>
      <c r="Y786" s="28" t="str">
        <f aca="false">'Player Data'!W786</f>
        <v>Club sporting director / first-team office</v>
      </c>
      <c r="Z786" s="28" t="str">
        <f aca="false">'Player Data'!X786</f>
        <v>FSCG (Football Association of Montenegro) player registry</v>
      </c>
      <c r="AA786" s="19" t="str">
        <f aca="false">HYPERLINK("https://www.transfermarkt.com/schnellsuche/ergebnis/schnellsuche?query="&amp;SUBSTITUTE(A786," ","+"),"Search Transfermarkt")</f>
        <v>Search Transfermarkt</v>
      </c>
      <c r="AB786" s="29" t="n">
        <f aca="false">IFERROR('Player Data'!K786/('Player Data'!K786+'Player Data'!L786),0)</f>
        <v>0.738532110091743</v>
      </c>
      <c r="AC786" s="21" t="str">
        <f aca="false">IF(B786="GK",IF(AND(O786&gt;=Assumptions!$B$23,N786&gt;=Assumptions!$B$23),"Sweeper-Keeper / Build-from-the-Back",IF(O786&gt;=Assumptions!$B$23,"Sweeper-Keeper / High Line",IF(M786&gt;=Assumptions!$B$23,"Shot-Stopper / Traditional","Flexible / Multi-System"))),IF(AND(O786&gt;=Assumptions!$B$23,P786&gt;=Assumptions!$B$24),"High Press / Gegenpressing",IF(AND(N786&gt;=Assumptions!$B$23,AB786&gt;=Assumptions!$B$25),"Possession / Build-from-the-Back",IF(N786&gt;=Assumptions!$B$23,"Counter-Attack / Transition",IF(AND(O786&gt;=Assumptions!$B$23,N786&lt;Assumptions!$B$26),"Low Block / Park the Bus",IF(AND(B786="FW",M786&gt;=Assumptions!$B$23,N786&lt;Assumptions!$B$26),"Direct / Target Approach","Flexible / Multi-System"))))))</f>
        <v>Flexible / Multi-System</v>
      </c>
      <c r="AD786" s="21" t="str">
        <f aca="false">'Player Data'!Y786</f>
        <v>2026-07-17</v>
      </c>
      <c r="AE786" s="21" t="str">
        <f aca="false">'Player Data'!Z786</f>
        <v>2026-07-17</v>
      </c>
      <c r="AF786" s="28" t="str">
        <f aca="false">IFERROR(INDEX(Assumptions!$B$30:$B$61,MATCH(C786,Assumptions!$A$30:$A$61,0)),"--")</f>
        <v>Austria, Turkey</v>
      </c>
      <c r="AG786" s="30" t="str">
        <f aca="false">IF(R786&gt;=0.7,"Step-Up Candidate",IF(R786&gt;=0.4,"Lateral Move","Stay &amp; Develop"))</f>
        <v>Stay &amp; Develop</v>
      </c>
    </row>
    <row r="787" customFormat="false" ht="23.85" hidden="false" customHeight="false" outlineLevel="0" collapsed="false">
      <c r="A787" s="21" t="str">
        <f aca="false">'Player Data'!A787</f>
        <v>Jean Mbia</v>
      </c>
      <c r="B787" s="21" t="str">
        <f aca="false">'Player Data'!F787</f>
        <v>FW</v>
      </c>
      <c r="C787" s="21" t="str">
        <f aca="false">'Player Data'!B787</f>
        <v>Cameroon</v>
      </c>
      <c r="D787" s="21" t="str">
        <f aca="false">'Player Data'!C787</f>
        <v>Cameroon Second Division</v>
      </c>
      <c r="E787" s="21" t="n">
        <f aca="false">'Player Data'!D787</f>
        <v>4</v>
      </c>
      <c r="F787" s="21" t="n">
        <f aca="false">'Player Data'!G787</f>
        <v>19</v>
      </c>
      <c r="G787" s="21" t="n">
        <f aca="false">'Player Data'!H787</f>
        <v>1784</v>
      </c>
      <c r="H787" s="22" t="n">
        <f aca="false">IF(B787="GK",IFERROR(('Player Data'!N787-1.5*'Player Data'!O787)/'Player Data'!H787*90,0),IFERROR(('Player Data'!I787+'Player Data'!J787)/'Player Data'!H787*90,0))</f>
        <v>1.16031390134529</v>
      </c>
      <c r="I787" s="22" t="n">
        <f aca="false">IF(B787="GK",'Player Data'!P787,IFERROR(('Player Data'!K787+'Player Data'!L787)/'Player Data'!H787*90,0))</f>
        <v>8.42488789237668</v>
      </c>
      <c r="J787" s="22" t="n">
        <f aca="false">IF(B787="GK",IFERROR('Player Data'!Q787/'Player Data'!H787*90,0),IFERROR('Player Data'!M787/'Player Data'!H787*90,0))</f>
        <v>0.403587443946188</v>
      </c>
      <c r="K787" s="23" t="n">
        <f aca="false">'Player Data'!S787</f>
        <v>107714</v>
      </c>
      <c r="L787" s="22" t="n">
        <f aca="false">INDEX(Assumptions!$B$13:$B$15,MATCH(E787,Assumptions!$A$13:$A$15,0))</f>
        <v>0.7</v>
      </c>
      <c r="M787" s="24" t="n">
        <f aca="false">IFERROR(SUMPRODUCT(($B$2:$B$1001=B787)*($H$2:$H$1001&lt;=H787))/SUMPRODUCT(($B$2:$B$1001=B787)*1),0)</f>
        <v>0.668141592920354</v>
      </c>
      <c r="N787" s="24" t="n">
        <f aca="false">IFERROR(SUMPRODUCT(($B$2:$B$1001=B787)*($I$2:$I$1001&lt;=I787))/SUMPRODUCT(($B$2:$B$1001=B787)*1),0)</f>
        <v>0.70353982300885</v>
      </c>
      <c r="O787" s="24" t="n">
        <f aca="false">IFERROR(SUMPRODUCT(($B$2:$B$1001=B787)*($J$2:$J$1001&lt;=J787))/SUMPRODUCT(($B$2:$B$1001=B787)*1),0)</f>
        <v>0.345132743362832</v>
      </c>
      <c r="P787" s="24" t="n">
        <f aca="false">IFERROR(SUMPRODUCT(($B$2:$B$1001=B787)*((0-$F$2:$F$1001)&lt;=(0-F787)))/SUMPRODUCT(($B$2:$B$1001=B787)*1),0)</f>
        <v>0.831858407079646</v>
      </c>
      <c r="Q787" s="25" t="n">
        <f aca="false">(M787*Assumptions!$B$5+N787*Assumptions!$B$6+O787*Assumptions!$B$7+P787*Assumptions!$B$8)*L787</f>
        <v>0.454070796460177</v>
      </c>
      <c r="R787" s="24" t="n">
        <f aca="false">IFERROR(SUMPRODUCT(($B$2:$B$1001=B787)*($Q$2:$Q$1001&lt;=Q787))/SUMPRODUCT(($B$2:$B$1001=B787)*1),0)</f>
        <v>0.517699115044248</v>
      </c>
      <c r="S787" s="24" t="n">
        <f aca="false">IFERROR(SUMPRODUCT(($B$2:$B$1001=B787)*($K$2:$K$1001&lt;=K787))/SUMPRODUCT(($B$2:$B$1001=B787)*1),0)</f>
        <v>0.769911504424779</v>
      </c>
      <c r="T787" s="26" t="n">
        <f aca="false">(R787-S787)*100</f>
        <v>-25.2212389380531</v>
      </c>
      <c r="U787" s="21" t="str">
        <f aca="false">'Player Data'!T787</f>
        <v>Yes</v>
      </c>
      <c r="V787" s="27" t="n">
        <f aca="false">'Player Data'!U787</f>
        <v>2029</v>
      </c>
      <c r="W787" s="21" t="str">
        <f aca="false">IF(AND(T787&gt;=Assumptions!$B$19,U787="No"),"High Priority - Unrepresented",IF(T787&gt;=Assumptions!$B$19,"High Priority",IF(AND(T787&gt;=Assumptions!$B$20,U787="No"),"Watchlist - Unrepresented",IF(T787&gt;=Assumptions!$B$20,"Watchlist",""))))</f>
        <v/>
      </c>
      <c r="X787" s="21" t="str">
        <f aca="false">'Player Data'!V787</f>
        <v>info@doualasc.cm</v>
      </c>
      <c r="Y787" s="28" t="str">
        <f aca="false">'Player Data'!W787</f>
        <v>Go through the player's agent - ask the club to confirm representation first</v>
      </c>
      <c r="Z787" s="28" t="str">
        <f aca="false">'Player Data'!X787</f>
        <v>FECAFOOT (Cameroonian Football Federation) player registry</v>
      </c>
      <c r="AA787" s="19" t="str">
        <f aca="false">HYPERLINK("https://www.transfermarkt.com/schnellsuche/ergebnis/schnellsuche?query="&amp;SUBSTITUTE(A787," ","+"),"Search Transfermarkt")</f>
        <v>Search Transfermarkt</v>
      </c>
      <c r="AB787" s="29" t="n">
        <f aca="false">IFERROR('Player Data'!K787/('Player Data'!K787+'Player Data'!L787),0)</f>
        <v>0.389221556886228</v>
      </c>
      <c r="AC787" s="21" t="str">
        <f aca="false">IF(B787="GK",IF(AND(O787&gt;=Assumptions!$B$23,N787&gt;=Assumptions!$B$23),"Sweeper-Keeper / Build-from-the-Back",IF(O787&gt;=Assumptions!$B$23,"Sweeper-Keeper / High Line",IF(M787&gt;=Assumptions!$B$23,"Shot-Stopper / Traditional","Flexible / Multi-System"))),IF(AND(O787&gt;=Assumptions!$B$23,P787&gt;=Assumptions!$B$24),"High Press / Gegenpressing",IF(AND(N787&gt;=Assumptions!$B$23,AB787&gt;=Assumptions!$B$25),"Possession / Build-from-the-Back",IF(N787&gt;=Assumptions!$B$23,"Counter-Attack / Transition",IF(AND(O787&gt;=Assumptions!$B$23,N787&lt;Assumptions!$B$26),"Low Block / Park the Bus",IF(AND(B787="FW",M787&gt;=Assumptions!$B$23,N787&lt;Assumptions!$B$26),"Direct / Target Approach","Flexible / Multi-System"))))))</f>
        <v>Counter-Attack / Transition</v>
      </c>
      <c r="AD787" s="21" t="str">
        <f aca="false">'Player Data'!Y787</f>
        <v>2026-07-17</v>
      </c>
      <c r="AE787" s="21" t="str">
        <f aca="false">'Player Data'!Z787</f>
        <v>2026-07-17</v>
      </c>
      <c r="AF787" s="28" t="str">
        <f aca="false">IFERROR(INDEX(Assumptions!$B$30:$B$61,MATCH(C787,Assumptions!$A$30:$A$61,0)),"--")</f>
        <v>Belgium, Portugal</v>
      </c>
      <c r="AG787" s="30" t="str">
        <f aca="false">IF(R787&gt;=0.7,"Step-Up Candidate",IF(R787&gt;=0.4,"Lateral Move","Stay &amp; Develop"))</f>
        <v>Lateral Move</v>
      </c>
    </row>
    <row r="788" customFormat="false" ht="23.85" hidden="false" customHeight="false" outlineLevel="0" collapsed="false">
      <c r="A788" s="21" t="str">
        <f aca="false">'Player Data'!A788</f>
        <v>Anon Wongsa</v>
      </c>
      <c r="B788" s="21" t="str">
        <f aca="false">'Player Data'!F788</f>
        <v>GK</v>
      </c>
      <c r="C788" s="21" t="str">
        <f aca="false">'Player Data'!B788</f>
        <v>Thailand</v>
      </c>
      <c r="D788" s="21" t="str">
        <f aca="false">'Player Data'!C788</f>
        <v>Thailand Amateur League</v>
      </c>
      <c r="E788" s="21" t="n">
        <f aca="false">'Player Data'!D788</f>
        <v>2</v>
      </c>
      <c r="F788" s="21" t="n">
        <f aca="false">'Player Data'!G788</f>
        <v>18</v>
      </c>
      <c r="G788" s="21" t="n">
        <f aca="false">'Player Data'!H788</f>
        <v>2408</v>
      </c>
      <c r="H788" s="22" t="n">
        <f aca="false">IF(B788="GK",IFERROR(('Player Data'!N788-1.5*'Player Data'!O788)/'Player Data'!H788*90,0),IFERROR(('Player Data'!I788+'Player Data'!J788)/'Player Data'!H788*90,0))</f>
        <v>1.45764119601329</v>
      </c>
      <c r="I788" s="22" t="n">
        <f aca="false">IF(B788="GK",'Player Data'!P788,IFERROR(('Player Data'!K788+'Player Data'!L788)/'Player Data'!H788*90,0))</f>
        <v>78.7</v>
      </c>
      <c r="J788" s="22" t="n">
        <f aca="false">IF(B788="GK",IFERROR('Player Data'!Q788/'Player Data'!H788*90,0),IFERROR('Player Data'!M788/'Player Data'!H788*90,0))</f>
        <v>0.205564784053156</v>
      </c>
      <c r="K788" s="23" t="n">
        <f aca="false">'Player Data'!S788</f>
        <v>99073</v>
      </c>
      <c r="L788" s="22" t="n">
        <f aca="false">INDEX(Assumptions!$B$13:$B$15,MATCH(E788,Assumptions!$A$13:$A$15,0))</f>
        <v>1</v>
      </c>
      <c r="M788" s="24" t="n">
        <f aca="false">IFERROR(SUMPRODUCT(($B$2:$B$1001=B788)*($H$2:$H$1001&lt;=H788))/SUMPRODUCT(($B$2:$B$1001=B788)*1),0)</f>
        <v>0.666666666666667</v>
      </c>
      <c r="N788" s="24" t="n">
        <f aca="false">IFERROR(SUMPRODUCT(($B$2:$B$1001=B788)*($I$2:$I$1001&lt;=I788))/SUMPRODUCT(($B$2:$B$1001=B788)*1),0)</f>
        <v>0.617486338797814</v>
      </c>
      <c r="O788" s="24" t="n">
        <f aca="false">IFERROR(SUMPRODUCT(($B$2:$B$1001=B788)*($J$2:$J$1001&lt;=J788))/SUMPRODUCT(($B$2:$B$1001=B788)*1),0)</f>
        <v>0.0546448087431694</v>
      </c>
      <c r="P788" s="24" t="n">
        <f aca="false">IFERROR(SUMPRODUCT(($B$2:$B$1001=B788)*((0-$F$2:$F$1001)&lt;=(0-F788)))/SUMPRODUCT(($B$2:$B$1001=B788)*1),0)</f>
        <v>0.907103825136612</v>
      </c>
      <c r="Q788" s="25" t="n">
        <f aca="false">(M788*Assumptions!$B$5+N788*Assumptions!$B$6+O788*Assumptions!$B$7+P788*Assumptions!$B$8)*L788</f>
        <v>0.575136612021858</v>
      </c>
      <c r="R788" s="24" t="n">
        <f aca="false">IFERROR(SUMPRODUCT(($B$2:$B$1001=B788)*($Q$2:$Q$1001&lt;=Q788))/SUMPRODUCT(($B$2:$B$1001=B788)*1),0)</f>
        <v>0.80327868852459</v>
      </c>
      <c r="S788" s="24" t="n">
        <f aca="false">IFERROR(SUMPRODUCT(($B$2:$B$1001=B788)*($K$2:$K$1001&lt;=K788))/SUMPRODUCT(($B$2:$B$1001=B788)*1),0)</f>
        <v>0.710382513661202</v>
      </c>
      <c r="T788" s="26" t="n">
        <f aca="false">(R788-S788)*100</f>
        <v>9.2896174863388</v>
      </c>
      <c r="U788" s="21" t="str">
        <f aca="false">'Player Data'!T788</f>
        <v>Unknown</v>
      </c>
      <c r="V788" s="27" t="n">
        <f aca="false">'Player Data'!U788</f>
        <v>2028</v>
      </c>
      <c r="W788" s="21" t="str">
        <f aca="false">IF(AND(T788&gt;=Assumptions!$B$19,U788="No"),"High Priority - Unrepresented",IF(T788&gt;=Assumptions!$B$19,"High Priority",IF(AND(T788&gt;=Assumptions!$B$20,U788="No"),"Watchlist - Unrepresented",IF(T788&gt;=Assumptions!$B$20,"Watchlist",""))))</f>
        <v/>
      </c>
      <c r="X788" s="21" t="str">
        <f aca="false">'Player Data'!V788</f>
        <v>info@nonthaburiunited.th</v>
      </c>
      <c r="Y788" s="28" t="str">
        <f aca="false">'Player Data'!W788</f>
        <v>Club sporting director / first-team office</v>
      </c>
      <c r="Z788" s="28" t="str">
        <f aca="false">'Player Data'!X788</f>
        <v>FAT (Football Association of Thailand) player registry</v>
      </c>
      <c r="AA788" s="19" t="str">
        <f aca="false">HYPERLINK("https://www.transfermarkt.com/schnellsuche/ergebnis/schnellsuche?query="&amp;SUBSTITUTE(A788," ","+"),"Search Transfermarkt")</f>
        <v>Search Transfermarkt</v>
      </c>
      <c r="AB788" s="29" t="n">
        <f aca="false">IFERROR('Player Data'!K788/('Player Data'!K788+'Player Data'!L788),0)</f>
        <v>0.9</v>
      </c>
      <c r="AC788" s="21" t="str">
        <f aca="false">IF(B788="GK",IF(AND(O788&gt;=Assumptions!$B$23,N788&gt;=Assumptions!$B$23),"Sweeper-Keeper / Build-from-the-Back",IF(O788&gt;=Assumptions!$B$23,"Sweeper-Keeper / High Line",IF(M788&gt;=Assumptions!$B$23,"Shot-Stopper / Traditional","Flexible / Multi-System"))),IF(AND(O788&gt;=Assumptions!$B$23,P788&gt;=Assumptions!$B$24),"High Press / Gegenpressing",IF(AND(N788&gt;=Assumptions!$B$23,AB788&gt;=Assumptions!$B$25),"Possession / Build-from-the-Back",IF(N788&gt;=Assumptions!$B$23,"Counter-Attack / Transition",IF(AND(O788&gt;=Assumptions!$B$23,N788&lt;Assumptions!$B$26),"Low Block / Park the Bus",IF(AND(B788="FW",M788&gt;=Assumptions!$B$23,N788&lt;Assumptions!$B$26),"Direct / Target Approach","Flexible / Multi-System"))))))</f>
        <v>Shot-Stopper / Traditional</v>
      </c>
      <c r="AD788" s="21" t="str">
        <f aca="false">'Player Data'!Y788</f>
        <v>2026-07-17</v>
      </c>
      <c r="AE788" s="21" t="str">
        <f aca="false">'Player Data'!Z788</f>
        <v>2026-07-17</v>
      </c>
      <c r="AF788" s="28" t="str">
        <f aca="false">IFERROR(INDEX(Assumptions!$B$30:$B$61,MATCH(C788,Assumptions!$A$30:$A$61,0)),"--")</f>
        <v>Australia, Saudi Arabia</v>
      </c>
      <c r="AG788" s="30" t="str">
        <f aca="false">IF(R788&gt;=0.7,"Step-Up Candidate",IF(R788&gt;=0.4,"Lateral Move","Stay &amp; Develop"))</f>
        <v>Step-Up Candidate</v>
      </c>
    </row>
    <row r="789" customFormat="false" ht="23.85" hidden="false" customHeight="false" outlineLevel="0" collapsed="false">
      <c r="A789" s="21" t="str">
        <f aca="false">'Player Data'!A789</f>
        <v>Damion Brown</v>
      </c>
      <c r="B789" s="21" t="str">
        <f aca="false">'Player Data'!F789</f>
        <v>FW</v>
      </c>
      <c r="C789" s="21" t="str">
        <f aca="false">'Player Data'!B789</f>
        <v>Jamaica</v>
      </c>
      <c r="D789" s="21" t="str">
        <f aca="false">'Player Data'!C789</f>
        <v>Jamaica Reserve League</v>
      </c>
      <c r="E789" s="21" t="n">
        <f aca="false">'Player Data'!D789</f>
        <v>2</v>
      </c>
      <c r="F789" s="21" t="n">
        <f aca="false">'Player Data'!G789</f>
        <v>17</v>
      </c>
      <c r="G789" s="21" t="n">
        <f aca="false">'Player Data'!H789</f>
        <v>2081</v>
      </c>
      <c r="H789" s="22" t="n">
        <f aca="false">IF(B789="GK",IFERROR(('Player Data'!N789-1.5*'Player Data'!O789)/'Player Data'!H789*90,0),IFERROR(('Player Data'!I789+'Player Data'!J789)/'Player Data'!H789*90,0))</f>
        <v>0.691975012013455</v>
      </c>
      <c r="I789" s="22" t="n">
        <f aca="false">IF(B789="GK",'Player Data'!P789,IFERROR(('Player Data'!K789+'Player Data'!L789)/'Player Data'!H789*90,0))</f>
        <v>4.36809226333494</v>
      </c>
      <c r="J789" s="22" t="n">
        <f aca="false">IF(B789="GK",IFERROR('Player Data'!Q789/'Player Data'!H789*90,0),IFERROR('Player Data'!M789/'Player Data'!H789*90,0))</f>
        <v>0.691975012013455</v>
      </c>
      <c r="K789" s="23" t="n">
        <f aca="false">'Player Data'!S789</f>
        <v>125986</v>
      </c>
      <c r="L789" s="22" t="n">
        <f aca="false">INDEX(Assumptions!$B$13:$B$15,MATCH(E789,Assumptions!$A$13:$A$15,0))</f>
        <v>1</v>
      </c>
      <c r="M789" s="24" t="n">
        <f aca="false">IFERROR(SUMPRODUCT(($B$2:$B$1001=B789)*($H$2:$H$1001&lt;=H789))/SUMPRODUCT(($B$2:$B$1001=B789)*1),0)</f>
        <v>0.230088495575221</v>
      </c>
      <c r="N789" s="24" t="n">
        <f aca="false">IFERROR(SUMPRODUCT(($B$2:$B$1001=B789)*($I$2:$I$1001&lt;=I789))/SUMPRODUCT(($B$2:$B$1001=B789)*1),0)</f>
        <v>0.110619469026549</v>
      </c>
      <c r="O789" s="24" t="n">
        <f aca="false">IFERROR(SUMPRODUCT(($B$2:$B$1001=B789)*($J$2:$J$1001&lt;=J789))/SUMPRODUCT(($B$2:$B$1001=B789)*1),0)</f>
        <v>0.725663716814159</v>
      </c>
      <c r="P789" s="24" t="n">
        <f aca="false">IFERROR(SUMPRODUCT(($B$2:$B$1001=B789)*((0-$F$2:$F$1001)&lt;=(0-F789)))/SUMPRODUCT(($B$2:$B$1001=B789)*1),0)</f>
        <v>1</v>
      </c>
      <c r="Q789" s="25" t="n">
        <f aca="false">(M789*Assumptions!$B$5+N789*Assumptions!$B$6+O789*Assumptions!$B$7+P789*Assumptions!$B$8)*L789</f>
        <v>0.441371681415929</v>
      </c>
      <c r="R789" s="24" t="n">
        <f aca="false">IFERROR(SUMPRODUCT(($B$2:$B$1001=B789)*($Q$2:$Q$1001&lt;=Q789))/SUMPRODUCT(($B$2:$B$1001=B789)*1),0)</f>
        <v>0.5</v>
      </c>
      <c r="S789" s="24" t="n">
        <f aca="false">IFERROR(SUMPRODUCT(($B$2:$B$1001=B789)*($K$2:$K$1001&lt;=K789))/SUMPRODUCT(($B$2:$B$1001=B789)*1),0)</f>
        <v>0.876106194690266</v>
      </c>
      <c r="T789" s="26" t="n">
        <f aca="false">(R789-S789)*100</f>
        <v>-37.6106194690266</v>
      </c>
      <c r="U789" s="21" t="str">
        <f aca="false">'Player Data'!T789</f>
        <v>Unknown</v>
      </c>
      <c r="V789" s="27" t="n">
        <f aca="false">'Player Data'!U789</f>
        <v>2026</v>
      </c>
      <c r="W789" s="21" t="str">
        <f aca="false">IF(AND(T789&gt;=Assumptions!$B$19,U789="No"),"High Priority - Unrepresented",IF(T789&gt;=Assumptions!$B$19,"High Priority",IF(AND(T789&gt;=Assumptions!$B$20,U789="No"),"Watchlist - Unrepresented",IF(T789&gt;=Assumptions!$B$20,"Watchlist",""))))</f>
        <v/>
      </c>
      <c r="X789" s="21" t="str">
        <f aca="false">'Player Data'!V789</f>
        <v>info@montegobayfc.jm</v>
      </c>
      <c r="Y789" s="28" t="str">
        <f aca="false">'Player Data'!W789</f>
        <v>Club youth/academy office ONLY - player is a minor, do not contact directly</v>
      </c>
      <c r="Z789" s="28" t="str">
        <f aca="false">'Player Data'!X789</f>
        <v>JFF (Jamaica Football Federation) player registry</v>
      </c>
      <c r="AA789" s="19" t="str">
        <f aca="false">HYPERLINK("https://www.transfermarkt.com/schnellsuche/ergebnis/schnellsuche?query="&amp;SUBSTITUTE(A789," ","+"),"Search Transfermarkt")</f>
        <v>Search Transfermarkt</v>
      </c>
      <c r="AB789" s="29" t="n">
        <f aca="false">IFERROR('Player Data'!K789/('Player Data'!K789+'Player Data'!L789),0)</f>
        <v>0.306930693069307</v>
      </c>
      <c r="AC789" s="21" t="str">
        <f aca="false">IF(B789="GK",IF(AND(O789&gt;=Assumptions!$B$23,N789&gt;=Assumptions!$B$23),"Sweeper-Keeper / Build-from-the-Back",IF(O789&gt;=Assumptions!$B$23,"Sweeper-Keeper / High Line",IF(M789&gt;=Assumptions!$B$23,"Shot-Stopper / Traditional","Flexible / Multi-System"))),IF(AND(O789&gt;=Assumptions!$B$23,P789&gt;=Assumptions!$B$24),"High Press / Gegenpressing",IF(AND(N789&gt;=Assumptions!$B$23,AB789&gt;=Assumptions!$B$25),"Possession / Build-from-the-Back",IF(N789&gt;=Assumptions!$B$23,"Counter-Attack / Transition",IF(AND(O789&gt;=Assumptions!$B$23,N789&lt;Assumptions!$B$26),"Low Block / Park the Bus",IF(AND(B789="FW",M789&gt;=Assumptions!$B$23,N789&lt;Assumptions!$B$26),"Direct / Target Approach","Flexible / Multi-System"))))))</f>
        <v>High Press / Gegenpressing</v>
      </c>
      <c r="AD789" s="21" t="str">
        <f aca="false">'Player Data'!Y789</f>
        <v>2026-07-17</v>
      </c>
      <c r="AE789" s="21" t="str">
        <f aca="false">'Player Data'!Z789</f>
        <v>2026-07-17</v>
      </c>
      <c r="AF789" s="28" t="str">
        <f aca="false">IFERROR(INDEX(Assumptions!$B$30:$B$61,MATCH(C789,Assumptions!$A$30:$A$61,0)),"--")</f>
        <v>United States, Mexico</v>
      </c>
      <c r="AG789" s="30" t="str">
        <f aca="false">IF(R789&gt;=0.7,"Step-Up Candidate",IF(R789&gt;=0.4,"Lateral Move","Stay &amp; Develop"))</f>
        <v>Lateral Move</v>
      </c>
    </row>
    <row r="790" customFormat="false" ht="23.85" hidden="false" customHeight="false" outlineLevel="0" collapsed="false">
      <c r="A790" s="21" t="str">
        <f aca="false">'Player Data'!A790</f>
        <v>Sekou Traore</v>
      </c>
      <c r="B790" s="21" t="str">
        <f aca="false">'Player Data'!F790</f>
        <v>DF</v>
      </c>
      <c r="C790" s="21" t="str">
        <f aca="false">'Player Data'!B790</f>
        <v>Mali</v>
      </c>
      <c r="D790" s="21" t="str">
        <f aca="false">'Player Data'!C790</f>
        <v>Mali Second Division - West</v>
      </c>
      <c r="E790" s="21" t="n">
        <f aca="false">'Player Data'!D790</f>
        <v>3</v>
      </c>
      <c r="F790" s="21" t="n">
        <f aca="false">'Player Data'!G790</f>
        <v>17</v>
      </c>
      <c r="G790" s="21" t="n">
        <f aca="false">'Player Data'!H790</f>
        <v>1159</v>
      </c>
      <c r="H790" s="22" t="n">
        <f aca="false">IF(B790="GK",IFERROR(('Player Data'!N790-1.5*'Player Data'!O790)/'Player Data'!H790*90,0),IFERROR(('Player Data'!I790+'Player Data'!J790)/'Player Data'!H790*90,0))</f>
        <v>0.465918895599655</v>
      </c>
      <c r="I790" s="22" t="n">
        <f aca="false">IF(B790="GK",'Player Data'!P790,IFERROR(('Player Data'!K790+'Player Data'!L790)/'Player Data'!H790*90,0))</f>
        <v>8.93011216566005</v>
      </c>
      <c r="J790" s="22" t="n">
        <f aca="false">IF(B790="GK",IFERROR('Player Data'!Q790/'Player Data'!H790*90,0),IFERROR('Player Data'!M790/'Player Data'!H790*90,0))</f>
        <v>6.98878343399482</v>
      </c>
      <c r="K790" s="23" t="n">
        <f aca="false">'Player Data'!S790</f>
        <v>23519</v>
      </c>
      <c r="L790" s="22" t="n">
        <f aca="false">INDEX(Assumptions!$B$13:$B$15,MATCH(E790,Assumptions!$A$13:$A$15,0))</f>
        <v>0.85</v>
      </c>
      <c r="M790" s="24" t="n">
        <f aca="false">IFERROR(SUMPRODUCT(($B$2:$B$1001=B790)*($H$2:$H$1001&lt;=H790))/SUMPRODUCT(($B$2:$B$1001=B790)*1),0)</f>
        <v>0.938775510204082</v>
      </c>
      <c r="N790" s="24" t="n">
        <f aca="false">IFERROR(SUMPRODUCT(($B$2:$B$1001=B790)*($I$2:$I$1001&lt;=I790))/SUMPRODUCT(($B$2:$B$1001=B790)*1),0)</f>
        <v>0.935374149659864</v>
      </c>
      <c r="O790" s="24" t="n">
        <f aca="false">IFERROR(SUMPRODUCT(($B$2:$B$1001=B790)*($J$2:$J$1001&lt;=J790))/SUMPRODUCT(($B$2:$B$1001=B790)*1),0)</f>
        <v>0.741496598639456</v>
      </c>
      <c r="P790" s="24" t="n">
        <f aca="false">IFERROR(SUMPRODUCT(($B$2:$B$1001=B790)*((0-$F$2:$F$1001)&lt;=(0-F790)))/SUMPRODUCT(($B$2:$B$1001=B790)*1),0)</f>
        <v>1</v>
      </c>
      <c r="Q790" s="25" t="n">
        <f aca="false">(M790*Assumptions!$B$5+N790*Assumptions!$B$6+O790*Assumptions!$B$7+P790*Assumptions!$B$8)*L790</f>
        <v>0.773818027210884</v>
      </c>
      <c r="R790" s="24" t="n">
        <f aca="false">IFERROR(SUMPRODUCT(($B$2:$B$1001=B790)*($Q$2:$Q$1001&lt;=Q790))/SUMPRODUCT(($B$2:$B$1001=B790)*1),0)</f>
        <v>0.931972789115646</v>
      </c>
      <c r="S790" s="24" t="n">
        <f aca="false">IFERROR(SUMPRODUCT(($B$2:$B$1001=B790)*($K$2:$K$1001&lt;=K790))/SUMPRODUCT(($B$2:$B$1001=B790)*1),0)</f>
        <v>0.32312925170068</v>
      </c>
      <c r="T790" s="26" t="n">
        <f aca="false">(R790-S790)*100</f>
        <v>60.8843537414966</v>
      </c>
      <c r="U790" s="21" t="str">
        <f aca="false">'Player Data'!T790</f>
        <v>No</v>
      </c>
      <c r="V790" s="27" t="n">
        <f aca="false">'Player Data'!U790</f>
        <v>2028</v>
      </c>
      <c r="W790" s="21" t="str">
        <f aca="false">IF(AND(T790&gt;=Assumptions!$B$19,U790="No"),"High Priority - Unrepresented",IF(T790&gt;=Assumptions!$B$19,"High Priority",IF(AND(T790&gt;=Assumptions!$B$20,U790="No"),"Watchlist - Unrepresented",IF(T790&gt;=Assumptions!$B$20,"Watchlist",""))))</f>
        <v>High Priority - Unrepresented</v>
      </c>
      <c r="X790" s="21" t="str">
        <f aca="false">'Player Data'!V790</f>
        <v>info@sikassoathletic.ml</v>
      </c>
      <c r="Y790" s="28" t="str">
        <f aca="false">'Player Data'!W790</f>
        <v>Club youth/academy office ONLY - player is a minor, do not contact directly</v>
      </c>
      <c r="Z790" s="28" t="str">
        <f aca="false">'Player Data'!X790</f>
        <v>FEMAFOOT (Malian Football Federation) player registry</v>
      </c>
      <c r="AA790" s="19" t="str">
        <f aca="false">HYPERLINK("https://www.transfermarkt.com/schnellsuche/ergebnis/schnellsuche?query="&amp;SUBSTITUTE(A790," ","+"),"Search Transfermarkt")</f>
        <v>Search Transfermarkt</v>
      </c>
      <c r="AB790" s="29" t="n">
        <f aca="false">IFERROR('Player Data'!K790/('Player Data'!K790+'Player Data'!L790),0)</f>
        <v>0.608695652173913</v>
      </c>
      <c r="AC790" s="21" t="str">
        <f aca="false">IF(B790="GK",IF(AND(O790&gt;=Assumptions!$B$23,N790&gt;=Assumptions!$B$23),"Sweeper-Keeper / Build-from-the-Back",IF(O790&gt;=Assumptions!$B$23,"Sweeper-Keeper / High Line",IF(M790&gt;=Assumptions!$B$23,"Shot-Stopper / Traditional","Flexible / Multi-System"))),IF(AND(O790&gt;=Assumptions!$B$23,P790&gt;=Assumptions!$B$24),"High Press / Gegenpressing",IF(AND(N790&gt;=Assumptions!$B$23,AB790&gt;=Assumptions!$B$25),"Possession / Build-from-the-Back",IF(N790&gt;=Assumptions!$B$23,"Counter-Attack / Transition",IF(AND(O790&gt;=Assumptions!$B$23,N790&lt;Assumptions!$B$26),"Low Block / Park the Bus",IF(AND(B790="FW",M790&gt;=Assumptions!$B$23,N790&lt;Assumptions!$B$26),"Direct / Target Approach","Flexible / Multi-System"))))))</f>
        <v>High Press / Gegenpressing</v>
      </c>
      <c r="AD790" s="21" t="str">
        <f aca="false">'Player Data'!Y790</f>
        <v>2026-07-17</v>
      </c>
      <c r="AE790" s="21" t="str">
        <f aca="false">'Player Data'!Z790</f>
        <v>2026-07-17</v>
      </c>
      <c r="AF790" s="28" t="str">
        <f aca="false">IFERROR(INDEX(Assumptions!$B$30:$B$61,MATCH(C790,Assumptions!$A$30:$A$61,0)),"--")</f>
        <v>Belgium, Portugal</v>
      </c>
      <c r="AG790" s="30" t="str">
        <f aca="false">IF(R790&gt;=0.7,"Step-Up Candidate",IF(R790&gt;=0.4,"Lateral Move","Stay &amp; Develop"))</f>
        <v>Step-Up Candidate</v>
      </c>
    </row>
    <row r="791" customFormat="false" ht="23.85" hidden="false" customHeight="false" outlineLevel="0" collapsed="false">
      <c r="A791" s="21" t="str">
        <f aca="false">'Player Data'!A791</f>
        <v>Max Toure</v>
      </c>
      <c r="B791" s="21" t="str">
        <f aca="false">'Player Data'!F791</f>
        <v>DF</v>
      </c>
      <c r="C791" s="21" t="str">
        <f aca="false">'Player Data'!B791</f>
        <v>Ivory Coast</v>
      </c>
      <c r="D791" s="21" t="str">
        <f aca="false">'Player Data'!C791</f>
        <v>Ivory Coast Provincial League</v>
      </c>
      <c r="E791" s="21" t="n">
        <f aca="false">'Player Data'!D791</f>
        <v>2</v>
      </c>
      <c r="F791" s="21" t="n">
        <f aca="false">'Player Data'!G791</f>
        <v>17</v>
      </c>
      <c r="G791" s="21" t="n">
        <f aca="false">'Player Data'!H791</f>
        <v>1862</v>
      </c>
      <c r="H791" s="22" t="n">
        <f aca="false">IF(B791="GK",IFERROR(('Player Data'!N791-1.5*'Player Data'!O791)/'Player Data'!H791*90,0),IFERROR(('Player Data'!I791+'Player Data'!J791)/'Player Data'!H791*90,0))</f>
        <v>0.14500537056928</v>
      </c>
      <c r="I791" s="22" t="n">
        <f aca="false">IF(B791="GK",'Player Data'!P791,IFERROR(('Player Data'!K791+'Player Data'!L791)/'Player Data'!H791*90,0))</f>
        <v>3.86680988184748</v>
      </c>
      <c r="J791" s="22" t="n">
        <f aca="false">IF(B791="GK",IFERROR('Player Data'!Q791/'Player Data'!H791*90,0),IFERROR('Player Data'!M791/'Player Data'!H791*90,0))</f>
        <v>4.49516648764769</v>
      </c>
      <c r="K791" s="23" t="n">
        <f aca="false">'Player Data'!S791</f>
        <v>103308</v>
      </c>
      <c r="L791" s="22" t="n">
        <f aca="false">INDEX(Assumptions!$B$13:$B$15,MATCH(E791,Assumptions!$A$13:$A$15,0))</f>
        <v>1</v>
      </c>
      <c r="M791" s="24" t="n">
        <f aca="false">IFERROR(SUMPRODUCT(($B$2:$B$1001=B791)*($H$2:$H$1001&lt;=H791))/SUMPRODUCT(($B$2:$B$1001=B791)*1),0)</f>
        <v>0.346938775510204</v>
      </c>
      <c r="N791" s="24" t="n">
        <f aca="false">IFERROR(SUMPRODUCT(($B$2:$B$1001=B791)*($I$2:$I$1001&lt;=I791))/SUMPRODUCT(($B$2:$B$1001=B791)*1),0)</f>
        <v>0.36734693877551</v>
      </c>
      <c r="O791" s="24" t="n">
        <f aca="false">IFERROR(SUMPRODUCT(($B$2:$B$1001=B791)*($J$2:$J$1001&lt;=J791))/SUMPRODUCT(($B$2:$B$1001=B791)*1),0)</f>
        <v>0.360544217687075</v>
      </c>
      <c r="P791" s="24" t="n">
        <f aca="false">IFERROR(SUMPRODUCT(($B$2:$B$1001=B791)*((0-$F$2:$F$1001)&lt;=(0-F791)))/SUMPRODUCT(($B$2:$B$1001=B791)*1),0)</f>
        <v>1</v>
      </c>
      <c r="Q791" s="25" t="n">
        <f aca="false">(M791*Assumptions!$B$5+N791*Assumptions!$B$6+O791*Assumptions!$B$7+P791*Assumptions!$B$8)*L791</f>
        <v>0.487414965986395</v>
      </c>
      <c r="R791" s="24" t="n">
        <f aca="false">IFERROR(SUMPRODUCT(($B$2:$B$1001=B791)*($Q$2:$Q$1001&lt;=Q791))/SUMPRODUCT(($B$2:$B$1001=B791)*1),0)</f>
        <v>0.615646258503401</v>
      </c>
      <c r="S791" s="24" t="n">
        <f aca="false">IFERROR(SUMPRODUCT(($B$2:$B$1001=B791)*($K$2:$K$1001&lt;=K791))/SUMPRODUCT(($B$2:$B$1001=B791)*1),0)</f>
        <v>0.761904761904762</v>
      </c>
      <c r="T791" s="26" t="n">
        <f aca="false">(R791-S791)*100</f>
        <v>-14.625850340136</v>
      </c>
      <c r="U791" s="21" t="str">
        <f aca="false">'Player Data'!T791</f>
        <v>No</v>
      </c>
      <c r="V791" s="27" t="n">
        <f aca="false">'Player Data'!U791</f>
        <v>2028</v>
      </c>
      <c r="W791" s="21" t="str">
        <f aca="false">IF(AND(T791&gt;=Assumptions!$B$19,U791="No"),"High Priority - Unrepresented",IF(T791&gt;=Assumptions!$B$19,"High Priority",IF(AND(T791&gt;=Assumptions!$B$20,U791="No"),"Watchlist - Unrepresented",IF(T791&gt;=Assumptions!$B$20,"Watchlist",""))))</f>
        <v/>
      </c>
      <c r="X791" s="21" t="str">
        <f aca="false">'Player Data'!V791</f>
        <v>info@yamoussoukroathletic.ci</v>
      </c>
      <c r="Y791" s="28" t="str">
        <f aca="false">'Player Data'!W791</f>
        <v>Club youth/academy office ONLY - player is a minor, do not contact directly</v>
      </c>
      <c r="Z791" s="28" t="str">
        <f aca="false">'Player Data'!X791</f>
        <v>FIF (Ivorian Football Federation) player registry</v>
      </c>
      <c r="AA791" s="19" t="str">
        <f aca="false">HYPERLINK("https://www.transfermarkt.com/schnellsuche/ergebnis/schnellsuche?query="&amp;SUBSTITUTE(A791," ","+"),"Search Transfermarkt")</f>
        <v>Search Transfermarkt</v>
      </c>
      <c r="AB791" s="29" t="n">
        <f aca="false">IFERROR('Player Data'!K791/('Player Data'!K791+'Player Data'!L791),0)</f>
        <v>0.6625</v>
      </c>
      <c r="AC791" s="21" t="str">
        <f aca="false">IF(B791="GK",IF(AND(O791&gt;=Assumptions!$B$23,N791&gt;=Assumptions!$B$23),"Sweeper-Keeper / Build-from-the-Back",IF(O791&gt;=Assumptions!$B$23,"Sweeper-Keeper / High Line",IF(M791&gt;=Assumptions!$B$23,"Shot-Stopper / Traditional","Flexible / Multi-System"))),IF(AND(O791&gt;=Assumptions!$B$23,P791&gt;=Assumptions!$B$24),"High Press / Gegenpressing",IF(AND(N791&gt;=Assumptions!$B$23,AB791&gt;=Assumptions!$B$25),"Possession / Build-from-the-Back",IF(N791&gt;=Assumptions!$B$23,"Counter-Attack / Transition",IF(AND(O791&gt;=Assumptions!$B$23,N791&lt;Assumptions!$B$26),"Low Block / Park the Bus",IF(AND(B791="FW",M791&gt;=Assumptions!$B$23,N791&lt;Assumptions!$B$26),"Direct / Target Approach","Flexible / Multi-System"))))))</f>
        <v>Flexible / Multi-System</v>
      </c>
      <c r="AD791" s="21" t="str">
        <f aca="false">'Player Data'!Y791</f>
        <v>2026-07-17</v>
      </c>
      <c r="AE791" s="21" t="str">
        <f aca="false">'Player Data'!Z791</f>
        <v>2026-07-17</v>
      </c>
      <c r="AF791" s="28" t="str">
        <f aca="false">IFERROR(INDEX(Assumptions!$B$30:$B$61,MATCH(C791,Assumptions!$A$30:$A$61,0)),"--")</f>
        <v>Belgium, Portugal</v>
      </c>
      <c r="AG791" s="30" t="str">
        <f aca="false">IF(R791&gt;=0.7,"Step-Up Candidate",IF(R791&gt;=0.4,"Lateral Move","Stay &amp; Develop"))</f>
        <v>Lateral Move</v>
      </c>
    </row>
    <row r="792" customFormat="false" ht="23.85" hidden="false" customHeight="false" outlineLevel="0" collapsed="false">
      <c r="A792" s="21" t="str">
        <f aca="false">'Player Data'!A792</f>
        <v>Patrick Njie</v>
      </c>
      <c r="B792" s="21" t="str">
        <f aca="false">'Player Data'!F792</f>
        <v>FW</v>
      </c>
      <c r="C792" s="21" t="str">
        <f aca="false">'Player Data'!B792</f>
        <v>Cameroon</v>
      </c>
      <c r="D792" s="21" t="str">
        <f aca="false">'Player Data'!C792</f>
        <v>Cameroon Third Tier - North</v>
      </c>
      <c r="E792" s="21" t="n">
        <f aca="false">'Player Data'!D792</f>
        <v>3</v>
      </c>
      <c r="F792" s="21" t="n">
        <f aca="false">'Player Data'!G792</f>
        <v>19</v>
      </c>
      <c r="G792" s="21" t="n">
        <f aca="false">'Player Data'!H792</f>
        <v>2298</v>
      </c>
      <c r="H792" s="22" t="n">
        <f aca="false">IF(B792="GK",IFERROR(('Player Data'!N792-1.5*'Player Data'!O792)/'Player Data'!H792*90,0),IFERROR(('Player Data'!I792+'Player Data'!J792)/'Player Data'!H792*90,0))</f>
        <v>0.861618798955614</v>
      </c>
      <c r="I792" s="22" t="n">
        <f aca="false">IF(B792="GK",'Player Data'!P792,IFERROR(('Player Data'!K792+'Player Data'!L792)/'Player Data'!H792*90,0))</f>
        <v>5.01305483028721</v>
      </c>
      <c r="J792" s="22" t="n">
        <f aca="false">IF(B792="GK",IFERROR('Player Data'!Q792/'Player Data'!H792*90,0),IFERROR('Player Data'!M792/'Player Data'!H792*90,0))</f>
        <v>0.274151436031332</v>
      </c>
      <c r="K792" s="23" t="n">
        <f aca="false">'Player Data'!S792</f>
        <v>132724</v>
      </c>
      <c r="L792" s="22" t="n">
        <f aca="false">INDEX(Assumptions!$B$13:$B$15,MATCH(E792,Assumptions!$A$13:$A$15,0))</f>
        <v>0.85</v>
      </c>
      <c r="M792" s="24" t="n">
        <f aca="false">IFERROR(SUMPRODUCT(($B$2:$B$1001=B792)*($H$2:$H$1001&lt;=H792))/SUMPRODUCT(($B$2:$B$1001=B792)*1),0)</f>
        <v>0.380530973451327</v>
      </c>
      <c r="N792" s="24" t="n">
        <f aca="false">IFERROR(SUMPRODUCT(($B$2:$B$1001=B792)*($I$2:$I$1001&lt;=I792))/SUMPRODUCT(($B$2:$B$1001=B792)*1),0)</f>
        <v>0.225663716814159</v>
      </c>
      <c r="O792" s="24" t="n">
        <f aca="false">IFERROR(SUMPRODUCT(($B$2:$B$1001=B792)*($J$2:$J$1001&lt;=J792))/SUMPRODUCT(($B$2:$B$1001=B792)*1),0)</f>
        <v>0.13716814159292</v>
      </c>
      <c r="P792" s="24" t="n">
        <f aca="false">IFERROR(SUMPRODUCT(($B$2:$B$1001=B792)*((0-$F$2:$F$1001)&lt;=(0-F792)))/SUMPRODUCT(($B$2:$B$1001=B792)*1),0)</f>
        <v>0.831858407079646</v>
      </c>
      <c r="Q792" s="25" t="n">
        <f aca="false">(M792*Assumptions!$B$5+N792*Assumptions!$B$6+O792*Assumptions!$B$7+P792*Assumptions!$B$8)*L792</f>
        <v>0.312732300884956</v>
      </c>
      <c r="R792" s="24" t="n">
        <f aca="false">IFERROR(SUMPRODUCT(($B$2:$B$1001=B792)*($Q$2:$Q$1001&lt;=Q792))/SUMPRODUCT(($B$2:$B$1001=B792)*1),0)</f>
        <v>0.29646017699115</v>
      </c>
      <c r="S792" s="24" t="n">
        <f aca="false">IFERROR(SUMPRODUCT(($B$2:$B$1001=B792)*($K$2:$K$1001&lt;=K792))/SUMPRODUCT(($B$2:$B$1001=B792)*1),0)</f>
        <v>0.907079646017699</v>
      </c>
      <c r="T792" s="26" t="n">
        <f aca="false">(R792-S792)*100</f>
        <v>-61.0619469026549</v>
      </c>
      <c r="U792" s="21" t="str">
        <f aca="false">'Player Data'!T792</f>
        <v>Unknown</v>
      </c>
      <c r="V792" s="27" t="n">
        <f aca="false">'Player Data'!U792</f>
        <v>2029</v>
      </c>
      <c r="W792" s="21" t="str">
        <f aca="false">IF(AND(T792&gt;=Assumptions!$B$19,U792="No"),"High Priority - Unrepresented",IF(T792&gt;=Assumptions!$B$19,"High Priority",IF(AND(T792&gt;=Assumptions!$B$20,U792="No"),"Watchlist - Unrepresented",IF(T792&gt;=Assumptions!$B$20,"Watchlist",""))))</f>
        <v/>
      </c>
      <c r="X792" s="21" t="str">
        <f aca="false">'Player Data'!V792</f>
        <v>info@bafoussamrangers.cm</v>
      </c>
      <c r="Y792" s="28" t="str">
        <f aca="false">'Player Data'!W792</f>
        <v>Club sporting director / first-team office</v>
      </c>
      <c r="Z792" s="28" t="str">
        <f aca="false">'Player Data'!X792</f>
        <v>FECAFOOT (Cameroonian Football Federation) player registry</v>
      </c>
      <c r="AA792" s="19" t="str">
        <f aca="false">HYPERLINK("https://www.transfermarkt.com/schnellsuche/ergebnis/schnellsuche?query="&amp;SUBSTITUTE(A792," ","+"),"Search Transfermarkt")</f>
        <v>Search Transfermarkt</v>
      </c>
      <c r="AB792" s="29" t="n">
        <f aca="false">IFERROR('Player Data'!K792/('Player Data'!K792+'Player Data'!L792),0)</f>
        <v>0.359375</v>
      </c>
      <c r="AC792" s="21" t="str">
        <f aca="false">IF(B792="GK",IF(AND(O792&gt;=Assumptions!$B$23,N792&gt;=Assumptions!$B$23),"Sweeper-Keeper / Build-from-the-Back",IF(O792&gt;=Assumptions!$B$23,"Sweeper-Keeper / High Line",IF(M792&gt;=Assumptions!$B$23,"Shot-Stopper / Traditional","Flexible / Multi-System"))),IF(AND(O792&gt;=Assumptions!$B$23,P792&gt;=Assumptions!$B$24),"High Press / Gegenpressing",IF(AND(N792&gt;=Assumptions!$B$23,AB792&gt;=Assumptions!$B$25),"Possession / Build-from-the-Back",IF(N792&gt;=Assumptions!$B$23,"Counter-Attack / Transition",IF(AND(O792&gt;=Assumptions!$B$23,N792&lt;Assumptions!$B$26),"Low Block / Park the Bus",IF(AND(B792="FW",M792&gt;=Assumptions!$B$23,N792&lt;Assumptions!$B$26),"Direct / Target Approach","Flexible / Multi-System"))))))</f>
        <v>Flexible / Multi-System</v>
      </c>
      <c r="AD792" s="21" t="str">
        <f aca="false">'Player Data'!Y792</f>
        <v>2026-07-17</v>
      </c>
      <c r="AE792" s="21" t="str">
        <f aca="false">'Player Data'!Z792</f>
        <v>2026-07-17</v>
      </c>
      <c r="AF792" s="28" t="str">
        <f aca="false">IFERROR(INDEX(Assumptions!$B$30:$B$61,MATCH(C792,Assumptions!$A$30:$A$61,0)),"--")</f>
        <v>Belgium, Portugal</v>
      </c>
      <c r="AG792" s="30" t="str">
        <f aca="false">IF(R792&gt;=0.7,"Step-Up Candidate",IF(R792&gt;=0.4,"Lateral Move","Stay &amp; Develop"))</f>
        <v>Stay &amp; Develop</v>
      </c>
    </row>
    <row r="793" customFormat="false" ht="23.85" hidden="false" customHeight="false" outlineLevel="0" collapsed="false">
      <c r="A793" s="21" t="str">
        <f aca="false">'Player Data'!A793</f>
        <v>Michael Torres</v>
      </c>
      <c r="B793" s="21" t="str">
        <f aca="false">'Player Data'!F793</f>
        <v>GK</v>
      </c>
      <c r="C793" s="21" t="str">
        <f aca="false">'Player Data'!B793</f>
        <v>Panama</v>
      </c>
      <c r="D793" s="21" t="str">
        <f aca="false">'Player Data'!C793</f>
        <v>Panama Provincial League</v>
      </c>
      <c r="E793" s="21" t="n">
        <f aca="false">'Player Data'!D793</f>
        <v>3</v>
      </c>
      <c r="F793" s="21" t="n">
        <f aca="false">'Player Data'!G793</f>
        <v>23</v>
      </c>
      <c r="G793" s="21" t="n">
        <f aca="false">'Player Data'!H793</f>
        <v>1877</v>
      </c>
      <c r="H793" s="22" t="n">
        <f aca="false">IF(B793="GK",IFERROR(('Player Data'!N793-1.5*'Player Data'!O793)/'Player Data'!H793*90,0),IFERROR(('Player Data'!I793+'Player Data'!J793)/'Player Data'!H793*90,0))</f>
        <v>1.72615876398508</v>
      </c>
      <c r="I793" s="22" t="n">
        <f aca="false">IF(B793="GK",'Player Data'!P793,IFERROR(('Player Data'!K793+'Player Data'!L793)/'Player Data'!H793*90,0))</f>
        <v>69.6</v>
      </c>
      <c r="J793" s="22" t="n">
        <f aca="false">IF(B793="GK",IFERROR('Player Data'!Q793/'Player Data'!H793*90,0),IFERROR('Player Data'!M793/'Player Data'!H793*90,0))</f>
        <v>0.393180607352158</v>
      </c>
      <c r="K793" s="23" t="n">
        <f aca="false">'Player Data'!S793</f>
        <v>83434</v>
      </c>
      <c r="L793" s="22" t="n">
        <f aca="false">INDEX(Assumptions!$B$13:$B$15,MATCH(E793,Assumptions!$A$13:$A$15,0))</f>
        <v>0.85</v>
      </c>
      <c r="M793" s="24" t="n">
        <f aca="false">IFERROR(SUMPRODUCT(($B$2:$B$1001=B793)*($H$2:$H$1001&lt;=H793))/SUMPRODUCT(($B$2:$B$1001=B793)*1),0)</f>
        <v>0.781420765027322</v>
      </c>
      <c r="N793" s="24" t="n">
        <f aca="false">IFERROR(SUMPRODUCT(($B$2:$B$1001=B793)*($I$2:$I$1001&lt;=I793))/SUMPRODUCT(($B$2:$B$1001=B793)*1),0)</f>
        <v>0.39344262295082</v>
      </c>
      <c r="O793" s="24" t="n">
        <f aca="false">IFERROR(SUMPRODUCT(($B$2:$B$1001=B793)*($J$2:$J$1001&lt;=J793))/SUMPRODUCT(($B$2:$B$1001=B793)*1),0)</f>
        <v>0.174863387978142</v>
      </c>
      <c r="P793" s="24" t="n">
        <f aca="false">IFERROR(SUMPRODUCT(($B$2:$B$1001=B793)*((0-$F$2:$F$1001)&lt;=(0-F793)))/SUMPRODUCT(($B$2:$B$1001=B793)*1),0)</f>
        <v>0.431693989071038</v>
      </c>
      <c r="Q793" s="25" t="n">
        <f aca="false">(M793*Assumptions!$B$5+N793*Assumptions!$B$6+O793*Assumptions!$B$7+P793*Assumptions!$B$8)*L793</f>
        <v>0.386215846994536</v>
      </c>
      <c r="R793" s="24" t="n">
        <f aca="false">IFERROR(SUMPRODUCT(($B$2:$B$1001=B793)*($Q$2:$Q$1001&lt;=Q793))/SUMPRODUCT(($B$2:$B$1001=B793)*1),0)</f>
        <v>0.33879781420765</v>
      </c>
      <c r="S793" s="24" t="n">
        <f aca="false">IFERROR(SUMPRODUCT(($B$2:$B$1001=B793)*($K$2:$K$1001&lt;=K793))/SUMPRODUCT(($B$2:$B$1001=B793)*1),0)</f>
        <v>0.59016393442623</v>
      </c>
      <c r="T793" s="26" t="n">
        <f aca="false">(R793-S793)*100</f>
        <v>-25.1366120218579</v>
      </c>
      <c r="U793" s="21" t="str">
        <f aca="false">'Player Data'!T793</f>
        <v>No</v>
      </c>
      <c r="V793" s="27" t="n">
        <f aca="false">'Player Data'!U793</f>
        <v>2028</v>
      </c>
      <c r="W793" s="21" t="str">
        <f aca="false">IF(AND(T793&gt;=Assumptions!$B$19,U793="No"),"High Priority - Unrepresented",IF(T793&gt;=Assumptions!$B$19,"High Priority",IF(AND(T793&gt;=Assumptions!$B$20,U793="No"),"Watchlist - Unrepresented",IF(T793&gt;=Assumptions!$B$20,"Watchlist",""))))</f>
        <v/>
      </c>
      <c r="X793" s="21" t="str">
        <f aca="false">'Player Data'!V793</f>
        <v>info@colonunited.pa</v>
      </c>
      <c r="Y793" s="28" t="str">
        <f aca="false">'Player Data'!W793</f>
        <v>Club sporting director / first-team office</v>
      </c>
      <c r="Z793" s="28" t="str">
        <f aca="false">'Player Data'!X793</f>
        <v>FEPAFUT (Panamanian Football Federation) player registry</v>
      </c>
      <c r="AA793" s="19" t="str">
        <f aca="false">HYPERLINK("https://www.transfermarkt.com/schnellsuche/ergebnis/schnellsuche?query="&amp;SUBSTITUTE(A793," ","+"),"Search Transfermarkt")</f>
        <v>Search Transfermarkt</v>
      </c>
      <c r="AB793" s="29" t="n">
        <f aca="false">IFERROR('Player Data'!K793/('Player Data'!K793+'Player Data'!L793),0)</f>
        <v>0.75</v>
      </c>
      <c r="AC793" s="21" t="str">
        <f aca="false">IF(B793="GK",IF(AND(O793&gt;=Assumptions!$B$23,N793&gt;=Assumptions!$B$23),"Sweeper-Keeper / Build-from-the-Back",IF(O793&gt;=Assumptions!$B$23,"Sweeper-Keeper / High Line",IF(M793&gt;=Assumptions!$B$23,"Shot-Stopper / Traditional","Flexible / Multi-System"))),IF(AND(O793&gt;=Assumptions!$B$23,P793&gt;=Assumptions!$B$24),"High Press / Gegenpressing",IF(AND(N793&gt;=Assumptions!$B$23,AB793&gt;=Assumptions!$B$25),"Possession / Build-from-the-Back",IF(N793&gt;=Assumptions!$B$23,"Counter-Attack / Transition",IF(AND(O793&gt;=Assumptions!$B$23,N793&lt;Assumptions!$B$26),"Low Block / Park the Bus",IF(AND(B793="FW",M793&gt;=Assumptions!$B$23,N793&lt;Assumptions!$B$26),"Direct / Target Approach","Flexible / Multi-System"))))))</f>
        <v>Shot-Stopper / Traditional</v>
      </c>
      <c r="AD793" s="21" t="str">
        <f aca="false">'Player Data'!Y793</f>
        <v>2026-07-17</v>
      </c>
      <c r="AE793" s="21" t="str">
        <f aca="false">'Player Data'!Z793</f>
        <v>2026-07-17</v>
      </c>
      <c r="AF793" s="28" t="str">
        <f aca="false">IFERROR(INDEX(Assumptions!$B$30:$B$61,MATCH(C793,Assumptions!$A$30:$A$61,0)),"--")</f>
        <v>Mexico, United States</v>
      </c>
      <c r="AG793" s="30" t="str">
        <f aca="false">IF(R793&gt;=0.7,"Step-Up Candidate",IF(R793&gt;=0.4,"Lateral Move","Stay &amp; Develop"))</f>
        <v>Stay &amp; Develop</v>
      </c>
    </row>
    <row r="794" customFormat="false" ht="23.85" hidden="false" customHeight="false" outlineLevel="0" collapsed="false">
      <c r="A794" s="21" t="str">
        <f aca="false">'Player Data'!A794</f>
        <v>Otabek Karimov</v>
      </c>
      <c r="B794" s="21" t="str">
        <f aca="false">'Player Data'!F794</f>
        <v>DF</v>
      </c>
      <c r="C794" s="21" t="str">
        <f aca="false">'Player Data'!B794</f>
        <v>Uzbekistan</v>
      </c>
      <c r="D794" s="21" t="str">
        <f aca="false">'Player Data'!C794</f>
        <v>Uzbekistan Reserve League</v>
      </c>
      <c r="E794" s="21" t="n">
        <f aca="false">'Player Data'!D794</f>
        <v>4</v>
      </c>
      <c r="F794" s="21" t="n">
        <f aca="false">'Player Data'!G794</f>
        <v>22</v>
      </c>
      <c r="G794" s="21" t="n">
        <f aca="false">'Player Data'!H794</f>
        <v>2422</v>
      </c>
      <c r="H794" s="22" t="n">
        <f aca="false">IF(B794="GK",IFERROR(('Player Data'!N794-1.5*'Player Data'!O794)/'Player Data'!H794*90,0),IFERROR(('Player Data'!I794+'Player Data'!J794)/'Player Data'!H794*90,0))</f>
        <v>0.037159372419488</v>
      </c>
      <c r="I794" s="22" t="n">
        <f aca="false">IF(B794="GK",'Player Data'!P794,IFERROR(('Player Data'!K794+'Player Data'!L794)/'Player Data'!H794*90,0))</f>
        <v>3.27002477291495</v>
      </c>
      <c r="J794" s="22" t="n">
        <f aca="false">IF(B794="GK",IFERROR('Player Data'!Q794/'Player Data'!H794*90,0),IFERROR('Player Data'!M794/'Player Data'!H794*90,0))</f>
        <v>3.60445912469034</v>
      </c>
      <c r="K794" s="23" t="n">
        <f aca="false">'Player Data'!S794</f>
        <v>124098</v>
      </c>
      <c r="L794" s="22" t="n">
        <f aca="false">INDEX(Assumptions!$B$13:$B$15,MATCH(E794,Assumptions!$A$13:$A$15,0))</f>
        <v>0.7</v>
      </c>
      <c r="M794" s="24" t="n">
        <f aca="false">IFERROR(SUMPRODUCT(($B$2:$B$1001=B794)*($H$2:$H$1001&lt;=H794))/SUMPRODUCT(($B$2:$B$1001=B794)*1),0)</f>
        <v>0.0442176870748299</v>
      </c>
      <c r="N794" s="24" t="n">
        <f aca="false">IFERROR(SUMPRODUCT(($B$2:$B$1001=B794)*($I$2:$I$1001&lt;=I794))/SUMPRODUCT(($B$2:$B$1001=B794)*1),0)</f>
        <v>0.173469387755102</v>
      </c>
      <c r="O794" s="24" t="n">
        <f aca="false">IFERROR(SUMPRODUCT(($B$2:$B$1001=B794)*($J$2:$J$1001&lt;=J794))/SUMPRODUCT(($B$2:$B$1001=B794)*1),0)</f>
        <v>0.122448979591837</v>
      </c>
      <c r="P794" s="24" t="n">
        <f aca="false">IFERROR(SUMPRODUCT(($B$2:$B$1001=B794)*((0-$F$2:$F$1001)&lt;=(0-F794)))/SUMPRODUCT(($B$2:$B$1001=B794)*1),0)</f>
        <v>0.493197278911565</v>
      </c>
      <c r="Q794" s="25" t="n">
        <f aca="false">(M794*Assumptions!$B$5+N794*Assumptions!$B$6+O794*Assumptions!$B$7+P794*Assumptions!$B$8)*L794</f>
        <v>0.136428571428571</v>
      </c>
      <c r="R794" s="24" t="n">
        <f aca="false">IFERROR(SUMPRODUCT(($B$2:$B$1001=B794)*($Q$2:$Q$1001&lt;=Q794))/SUMPRODUCT(($B$2:$B$1001=B794)*1),0)</f>
        <v>0.0238095238095238</v>
      </c>
      <c r="S794" s="24" t="n">
        <f aca="false">IFERROR(SUMPRODUCT(($B$2:$B$1001=B794)*($K$2:$K$1001&lt;=K794))/SUMPRODUCT(($B$2:$B$1001=B794)*1),0)</f>
        <v>0.884353741496599</v>
      </c>
      <c r="T794" s="26" t="n">
        <f aca="false">(R794-S794)*100</f>
        <v>-86.0544217687075</v>
      </c>
      <c r="U794" s="21" t="str">
        <f aca="false">'Player Data'!T794</f>
        <v>No</v>
      </c>
      <c r="V794" s="27" t="n">
        <f aca="false">'Player Data'!U794</f>
        <v>2027</v>
      </c>
      <c r="W794" s="21" t="str">
        <f aca="false">IF(AND(T794&gt;=Assumptions!$B$19,U794="No"),"High Priority - Unrepresented",IF(T794&gt;=Assumptions!$B$19,"High Priority",IF(AND(T794&gt;=Assumptions!$B$20,U794="No"),"Watchlist - Unrepresented",IF(T794&gt;=Assumptions!$B$20,"Watchlist",""))))</f>
        <v/>
      </c>
      <c r="X794" s="21" t="str">
        <f aca="false">'Player Data'!V794</f>
        <v>info@bukharasc.uz</v>
      </c>
      <c r="Y794" s="28" t="str">
        <f aca="false">'Player Data'!W794</f>
        <v>Club sporting director / first-team office</v>
      </c>
      <c r="Z794" s="28" t="str">
        <f aca="false">'Player Data'!X794</f>
        <v>UFF (Uzbekistan Football Federation) player registry</v>
      </c>
      <c r="AA794" s="19" t="str">
        <f aca="false">HYPERLINK("https://www.transfermarkt.com/schnellsuche/ergebnis/schnellsuche?query="&amp;SUBSTITUTE(A794," ","+"),"Search Transfermarkt")</f>
        <v>Search Transfermarkt</v>
      </c>
      <c r="AB794" s="29" t="n">
        <f aca="false">IFERROR('Player Data'!K794/('Player Data'!K794+'Player Data'!L794),0)</f>
        <v>0.5</v>
      </c>
      <c r="AC794" s="21" t="str">
        <f aca="false">IF(B794="GK",IF(AND(O794&gt;=Assumptions!$B$23,N794&gt;=Assumptions!$B$23),"Sweeper-Keeper / Build-from-the-Back",IF(O794&gt;=Assumptions!$B$23,"Sweeper-Keeper / High Line",IF(M794&gt;=Assumptions!$B$23,"Shot-Stopper / Traditional","Flexible / Multi-System"))),IF(AND(O794&gt;=Assumptions!$B$23,P794&gt;=Assumptions!$B$24),"High Press / Gegenpressing",IF(AND(N794&gt;=Assumptions!$B$23,AB794&gt;=Assumptions!$B$25),"Possession / Build-from-the-Back",IF(N794&gt;=Assumptions!$B$23,"Counter-Attack / Transition",IF(AND(O794&gt;=Assumptions!$B$23,N794&lt;Assumptions!$B$26),"Low Block / Park the Bus",IF(AND(B794="FW",M794&gt;=Assumptions!$B$23,N794&lt;Assumptions!$B$26),"Direct / Target Approach","Flexible / Multi-System"))))))</f>
        <v>Flexible / Multi-System</v>
      </c>
      <c r="AD794" s="21" t="str">
        <f aca="false">'Player Data'!Y794</f>
        <v>2026-07-17</v>
      </c>
      <c r="AE794" s="21" t="str">
        <f aca="false">'Player Data'!Z794</f>
        <v>2026-07-17</v>
      </c>
      <c r="AF794" s="28" t="str">
        <f aca="false">IFERROR(INDEX(Assumptions!$B$30:$B$61,MATCH(C794,Assumptions!$A$30:$A$61,0)),"--")</f>
        <v>Turkey, Saudi Arabia</v>
      </c>
      <c r="AG794" s="30" t="str">
        <f aca="false">IF(R794&gt;=0.7,"Step-Up Candidate",IF(R794&gt;=0.4,"Lateral Move","Stay &amp; Develop"))</f>
        <v>Stay &amp; Develop</v>
      </c>
    </row>
    <row r="795" customFormat="false" ht="23.85" hidden="false" customHeight="false" outlineLevel="0" collapsed="false">
      <c r="A795" s="21" t="str">
        <f aca="false">'Player Data'!A795</f>
        <v>Chai Boonmee</v>
      </c>
      <c r="B795" s="21" t="str">
        <f aca="false">'Player Data'!F795</f>
        <v>FW</v>
      </c>
      <c r="C795" s="21" t="str">
        <f aca="false">'Player Data'!B795</f>
        <v>Thailand</v>
      </c>
      <c r="D795" s="21" t="str">
        <f aca="false">'Player Data'!C795</f>
        <v>Thailand Reserve League</v>
      </c>
      <c r="E795" s="21" t="n">
        <f aca="false">'Player Data'!D795</f>
        <v>2</v>
      </c>
      <c r="F795" s="21" t="n">
        <f aca="false">'Player Data'!G795</f>
        <v>26</v>
      </c>
      <c r="G795" s="21" t="n">
        <f aca="false">'Player Data'!H795</f>
        <v>1607</v>
      </c>
      <c r="H795" s="22" t="n">
        <f aca="false">IF(B795="GK",IFERROR(('Player Data'!N795-1.5*'Player Data'!O795)/'Player Data'!H795*90,0),IFERROR(('Player Data'!I795+'Player Data'!J795)/'Player Data'!H795*90,0))</f>
        <v>1.00808960796515</v>
      </c>
      <c r="I795" s="22" t="n">
        <f aca="false">IF(B795="GK",'Player Data'!P795,IFERROR(('Player Data'!K795+'Player Data'!L795)/'Player Data'!H795*90,0))</f>
        <v>8.23273179838208</v>
      </c>
      <c r="J795" s="22" t="n">
        <f aca="false">IF(B795="GK",IFERROR('Player Data'!Q795/'Player Data'!H795*90,0),IFERROR('Player Data'!M795/'Player Data'!H795*90,0))</f>
        <v>0.44803982576229</v>
      </c>
      <c r="K795" s="23" t="n">
        <f aca="false">'Player Data'!S795</f>
        <v>78843</v>
      </c>
      <c r="L795" s="22" t="n">
        <f aca="false">INDEX(Assumptions!$B$13:$B$15,MATCH(E795,Assumptions!$A$13:$A$15,0))</f>
        <v>1</v>
      </c>
      <c r="M795" s="24" t="n">
        <f aca="false">IFERROR(SUMPRODUCT(($B$2:$B$1001=B795)*($H$2:$H$1001&lt;=H795))/SUMPRODUCT(($B$2:$B$1001=B795)*1),0)</f>
        <v>0.535398230088496</v>
      </c>
      <c r="N795" s="24" t="n">
        <f aca="false">IFERROR(SUMPRODUCT(($B$2:$B$1001=B795)*($I$2:$I$1001&lt;=I795))/SUMPRODUCT(($B$2:$B$1001=B795)*1),0)</f>
        <v>0.68141592920354</v>
      </c>
      <c r="O795" s="24" t="n">
        <f aca="false">IFERROR(SUMPRODUCT(($B$2:$B$1001=B795)*($J$2:$J$1001&lt;=J795))/SUMPRODUCT(($B$2:$B$1001=B795)*1),0)</f>
        <v>0.407079646017699</v>
      </c>
      <c r="P795" s="24" t="n">
        <f aca="false">IFERROR(SUMPRODUCT(($B$2:$B$1001=B795)*((0-$F$2:$F$1001)&lt;=(0-F795)))/SUMPRODUCT(($B$2:$B$1001=B795)*1),0)</f>
        <v>0.0929203539823009</v>
      </c>
      <c r="Q795" s="25" t="n">
        <f aca="false">(M795*Assumptions!$B$5+N795*Assumptions!$B$6+O795*Assumptions!$B$7+P795*Assumptions!$B$8)*L795</f>
        <v>0.472345132743363</v>
      </c>
      <c r="R795" s="24" t="n">
        <f aca="false">IFERROR(SUMPRODUCT(($B$2:$B$1001=B795)*($Q$2:$Q$1001&lt;=Q795))/SUMPRODUCT(($B$2:$B$1001=B795)*1),0)</f>
        <v>0.561946902654867</v>
      </c>
      <c r="S795" s="24" t="n">
        <f aca="false">IFERROR(SUMPRODUCT(($B$2:$B$1001=B795)*($K$2:$K$1001&lt;=K795))/SUMPRODUCT(($B$2:$B$1001=B795)*1),0)</f>
        <v>0.601769911504425</v>
      </c>
      <c r="T795" s="26" t="n">
        <f aca="false">(R795-S795)*100</f>
        <v>-3.98230088495576</v>
      </c>
      <c r="U795" s="21" t="str">
        <f aca="false">'Player Data'!T795</f>
        <v>Yes</v>
      </c>
      <c r="V795" s="27" t="n">
        <f aca="false">'Player Data'!U795</f>
        <v>2026</v>
      </c>
      <c r="W795" s="21" t="str">
        <f aca="false">IF(AND(T795&gt;=Assumptions!$B$19,U795="No"),"High Priority - Unrepresented",IF(T795&gt;=Assumptions!$B$19,"High Priority",IF(AND(T795&gt;=Assumptions!$B$20,U795="No"),"Watchlist - Unrepresented",IF(T795&gt;=Assumptions!$B$20,"Watchlist",""))))</f>
        <v/>
      </c>
      <c r="X795" s="21" t="str">
        <f aca="false">'Player Data'!V795</f>
        <v>info@bangkokrangers.th</v>
      </c>
      <c r="Y795" s="28" t="str">
        <f aca="false">'Player Data'!W795</f>
        <v>Go through the player's agent - ask the club to confirm representation first</v>
      </c>
      <c r="Z795" s="28" t="str">
        <f aca="false">'Player Data'!X795</f>
        <v>FAT (Football Association of Thailand) player registry</v>
      </c>
      <c r="AA795" s="19" t="str">
        <f aca="false">HYPERLINK("https://www.transfermarkt.com/schnellsuche/ergebnis/schnellsuche?query="&amp;SUBSTITUTE(A795," ","+"),"Search Transfermarkt")</f>
        <v>Search Transfermarkt</v>
      </c>
      <c r="AB795" s="29" t="n">
        <f aca="false">IFERROR('Player Data'!K795/('Player Data'!K795+'Player Data'!L795),0)</f>
        <v>0.462585034013605</v>
      </c>
      <c r="AC795" s="21" t="str">
        <f aca="false">IF(B795="GK",IF(AND(O795&gt;=Assumptions!$B$23,N795&gt;=Assumptions!$B$23),"Sweeper-Keeper / Build-from-the-Back",IF(O795&gt;=Assumptions!$B$23,"Sweeper-Keeper / High Line",IF(M795&gt;=Assumptions!$B$23,"Shot-Stopper / Traditional","Flexible / Multi-System"))),IF(AND(O795&gt;=Assumptions!$B$23,P795&gt;=Assumptions!$B$24),"High Press / Gegenpressing",IF(AND(N795&gt;=Assumptions!$B$23,AB795&gt;=Assumptions!$B$25),"Possession / Build-from-the-Back",IF(N795&gt;=Assumptions!$B$23,"Counter-Attack / Transition",IF(AND(O795&gt;=Assumptions!$B$23,N795&lt;Assumptions!$B$26),"Low Block / Park the Bus",IF(AND(B795="FW",M795&gt;=Assumptions!$B$23,N795&lt;Assumptions!$B$26),"Direct / Target Approach","Flexible / Multi-System"))))))</f>
        <v>Counter-Attack / Transition</v>
      </c>
      <c r="AD795" s="21" t="str">
        <f aca="false">'Player Data'!Y795</f>
        <v>2026-07-17</v>
      </c>
      <c r="AE795" s="21" t="str">
        <f aca="false">'Player Data'!Z795</f>
        <v>2026-07-17</v>
      </c>
      <c r="AF795" s="28" t="str">
        <f aca="false">IFERROR(INDEX(Assumptions!$B$30:$B$61,MATCH(C795,Assumptions!$A$30:$A$61,0)),"--")</f>
        <v>Australia, Saudi Arabia</v>
      </c>
      <c r="AG795" s="30" t="str">
        <f aca="false">IF(R795&gt;=0.7,"Step-Up Candidate",IF(R795&gt;=0.4,"Lateral Move","Stay &amp; Develop"))</f>
        <v>Lateral Move</v>
      </c>
    </row>
    <row r="796" customFormat="false" ht="23.85" hidden="false" customHeight="false" outlineLevel="0" collapsed="false">
      <c r="A796" s="21" t="str">
        <f aca="false">'Player Data'!A796</f>
        <v>Rok Kranjc</v>
      </c>
      <c r="B796" s="21" t="str">
        <f aca="false">'Player Data'!F796</f>
        <v>FW</v>
      </c>
      <c r="C796" s="21" t="str">
        <f aca="false">'Player Data'!B796</f>
        <v>Slovenia</v>
      </c>
      <c r="D796" s="21" t="str">
        <f aca="false">'Player Data'!C796</f>
        <v>Slovenia Regional League</v>
      </c>
      <c r="E796" s="21" t="n">
        <f aca="false">'Player Data'!D796</f>
        <v>3</v>
      </c>
      <c r="F796" s="21" t="n">
        <f aca="false">'Player Data'!G796</f>
        <v>20</v>
      </c>
      <c r="G796" s="21" t="n">
        <f aca="false">'Player Data'!H796</f>
        <v>1222</v>
      </c>
      <c r="H796" s="22" t="n">
        <f aca="false">IF(B796="GK",IFERROR(('Player Data'!N796-1.5*'Player Data'!O796)/'Player Data'!H796*90,0),IFERROR(('Player Data'!I796+'Player Data'!J796)/'Player Data'!H796*90,0))</f>
        <v>0.957446808510638</v>
      </c>
      <c r="I796" s="22" t="n">
        <f aca="false">IF(B796="GK",'Player Data'!P796,IFERROR(('Player Data'!K796+'Player Data'!L796)/'Player Data'!H796*90,0))</f>
        <v>6.55482815057283</v>
      </c>
      <c r="J796" s="22" t="n">
        <f aca="false">IF(B796="GK",IFERROR('Player Data'!Q796/'Player Data'!H796*90,0),IFERROR('Player Data'!M796/'Player Data'!H796*90,0))</f>
        <v>0.88379705400982</v>
      </c>
      <c r="K796" s="23" t="n">
        <f aca="false">'Player Data'!S796</f>
        <v>0</v>
      </c>
      <c r="L796" s="22" t="n">
        <f aca="false">INDEX(Assumptions!$B$13:$B$15,MATCH(E796,Assumptions!$A$13:$A$15,0))</f>
        <v>0.85</v>
      </c>
      <c r="M796" s="24" t="n">
        <f aca="false">IFERROR(SUMPRODUCT(($B$2:$B$1001=B796)*($H$2:$H$1001&lt;=H796))/SUMPRODUCT(($B$2:$B$1001=B796)*1),0)</f>
        <v>0.473451327433628</v>
      </c>
      <c r="N796" s="24" t="n">
        <f aca="false">IFERROR(SUMPRODUCT(($B$2:$B$1001=B796)*($I$2:$I$1001&lt;=I796))/SUMPRODUCT(($B$2:$B$1001=B796)*1),0)</f>
        <v>0.504424778761062</v>
      </c>
      <c r="O796" s="24" t="n">
        <f aca="false">IFERROR(SUMPRODUCT(($B$2:$B$1001=B796)*($J$2:$J$1001&lt;=J796))/SUMPRODUCT(($B$2:$B$1001=B796)*1),0)</f>
        <v>0.849557522123894</v>
      </c>
      <c r="P796" s="24" t="n">
        <f aca="false">IFERROR(SUMPRODUCT(($B$2:$B$1001=B796)*((0-$F$2:$F$1001)&lt;=(0-F796)))/SUMPRODUCT(($B$2:$B$1001=B796)*1),0)</f>
        <v>0.712389380530973</v>
      </c>
      <c r="Q796" s="25" t="n">
        <f aca="false">(M796*Assumptions!$B$5+N796*Assumptions!$B$6+O796*Assumptions!$B$7+P796*Assumptions!$B$8)*L796</f>
        <v>0.516205752212389</v>
      </c>
      <c r="R796" s="24" t="n">
        <f aca="false">IFERROR(SUMPRODUCT(($B$2:$B$1001=B796)*($Q$2:$Q$1001&lt;=Q796))/SUMPRODUCT(($B$2:$B$1001=B796)*1),0)</f>
        <v>0.641592920353982</v>
      </c>
      <c r="S796" s="24" t="n">
        <f aca="false">IFERROR(SUMPRODUCT(($B$2:$B$1001=B796)*($K$2:$K$1001&lt;=K796))/SUMPRODUCT(($B$2:$B$1001=B796)*1),0)</f>
        <v>0.261061946902655</v>
      </c>
      <c r="T796" s="26" t="n">
        <f aca="false">(R796-S796)*100</f>
        <v>38.0530973451327</v>
      </c>
      <c r="U796" s="21" t="str">
        <f aca="false">'Player Data'!T796</f>
        <v>No</v>
      </c>
      <c r="V796" s="27" t="n">
        <f aca="false">'Player Data'!U796</f>
        <v>2026</v>
      </c>
      <c r="W796" s="21" t="str">
        <f aca="false">IF(AND(T796&gt;=Assumptions!$B$19,U796="No"),"High Priority - Unrepresented",IF(T796&gt;=Assumptions!$B$19,"High Priority",IF(AND(T796&gt;=Assumptions!$B$20,U796="No"),"Watchlist - Unrepresented",IF(T796&gt;=Assumptions!$B$20,"Watchlist",""))))</f>
        <v>Watchlist - Unrepresented</v>
      </c>
      <c r="X796" s="21" t="str">
        <f aca="false">'Player Data'!V796</f>
        <v>info@koperfc.si</v>
      </c>
      <c r="Y796" s="28" t="str">
        <f aca="false">'Player Data'!W796</f>
        <v>Club sporting director / first-team office</v>
      </c>
      <c r="Z796" s="28" t="str">
        <f aca="false">'Player Data'!X796</f>
        <v>NZS (Football Association of Slovenia) player registry</v>
      </c>
      <c r="AA796" s="19" t="str">
        <f aca="false">HYPERLINK("https://www.transfermarkt.com/schnellsuche/ergebnis/schnellsuche?query="&amp;SUBSTITUTE(A796," ","+"),"Search Transfermarkt")</f>
        <v>Search Transfermarkt</v>
      </c>
      <c r="AB796" s="29" t="n">
        <f aca="false">IFERROR('Player Data'!K796/('Player Data'!K796+'Player Data'!L796),0)</f>
        <v>0.337078651685393</v>
      </c>
      <c r="AC796" s="21" t="str">
        <f aca="false">IF(B796="GK",IF(AND(O796&gt;=Assumptions!$B$23,N796&gt;=Assumptions!$B$23),"Sweeper-Keeper / Build-from-the-Back",IF(O796&gt;=Assumptions!$B$23,"Sweeper-Keeper / High Line",IF(M796&gt;=Assumptions!$B$23,"Shot-Stopper / Traditional","Flexible / Multi-System"))),IF(AND(O796&gt;=Assumptions!$B$23,P796&gt;=Assumptions!$B$24),"High Press / Gegenpressing",IF(AND(N796&gt;=Assumptions!$B$23,AB796&gt;=Assumptions!$B$25),"Possession / Build-from-the-Back",IF(N796&gt;=Assumptions!$B$23,"Counter-Attack / Transition",IF(AND(O796&gt;=Assumptions!$B$23,N796&lt;Assumptions!$B$26),"Low Block / Park the Bus",IF(AND(B796="FW",M796&gt;=Assumptions!$B$23,N796&lt;Assumptions!$B$26),"Direct / Target Approach","Flexible / Multi-System"))))))</f>
        <v>High Press / Gegenpressing</v>
      </c>
      <c r="AD796" s="21" t="str">
        <f aca="false">'Player Data'!Y796</f>
        <v>2026-07-17</v>
      </c>
      <c r="AE796" s="21" t="str">
        <f aca="false">'Player Data'!Z796</f>
        <v>2026-07-17</v>
      </c>
      <c r="AF796" s="28" t="str">
        <f aca="false">IFERROR(INDEX(Assumptions!$B$30:$B$61,MATCH(C796,Assumptions!$A$30:$A$61,0)),"--")</f>
        <v>Austria, Poland</v>
      </c>
      <c r="AG796" s="30" t="str">
        <f aca="false">IF(R796&gt;=0.7,"Step-Up Candidate",IF(R796&gt;=0.4,"Lateral Move","Stay &amp; Develop"))</f>
        <v>Lateral Move</v>
      </c>
    </row>
    <row r="797" customFormat="false" ht="23.85" hidden="false" customHeight="false" outlineLevel="0" collapsed="false">
      <c r="A797" s="21" t="str">
        <f aca="false">'Player Data'!A797</f>
        <v>Kwabena Appiah</v>
      </c>
      <c r="B797" s="21" t="str">
        <f aca="false">'Player Data'!F797</f>
        <v>MF</v>
      </c>
      <c r="C797" s="21" t="str">
        <f aca="false">'Player Data'!B797</f>
        <v>Ghana</v>
      </c>
      <c r="D797" s="21" t="str">
        <f aca="false">'Player Data'!C797</f>
        <v>Ghana Reserve League</v>
      </c>
      <c r="E797" s="21" t="n">
        <f aca="false">'Player Data'!D797</f>
        <v>2</v>
      </c>
      <c r="F797" s="21" t="n">
        <f aca="false">'Player Data'!G797</f>
        <v>22</v>
      </c>
      <c r="G797" s="21" t="n">
        <f aca="false">'Player Data'!H797</f>
        <v>1447</v>
      </c>
      <c r="H797" s="22" t="n">
        <f aca="false">IF(B797="GK",IFERROR(('Player Data'!N797-1.5*'Player Data'!O797)/'Player Data'!H797*90,0),IFERROR(('Player Data'!I797+'Player Data'!J797)/'Player Data'!H797*90,0))</f>
        <v>0.684174153420871</v>
      </c>
      <c r="I797" s="22" t="n">
        <f aca="false">IF(B797="GK",'Player Data'!P797,IFERROR(('Player Data'!K797+'Player Data'!L797)/'Player Data'!H797*90,0))</f>
        <v>12.2529371112647</v>
      </c>
      <c r="J797" s="22" t="n">
        <f aca="false">IF(B797="GK",IFERROR('Player Data'!Q797/'Player Data'!H797*90,0),IFERROR('Player Data'!M797/'Player Data'!H797*90,0))</f>
        <v>3.29647546648238</v>
      </c>
      <c r="K797" s="23" t="n">
        <f aca="false">'Player Data'!S797</f>
        <v>45329</v>
      </c>
      <c r="L797" s="22" t="n">
        <f aca="false">INDEX(Assumptions!$B$13:$B$15,MATCH(E797,Assumptions!$A$13:$A$15,0))</f>
        <v>1</v>
      </c>
      <c r="M797" s="24" t="n">
        <f aca="false">IFERROR(SUMPRODUCT(($B$2:$B$1001=B797)*($H$2:$H$1001&lt;=H797))/SUMPRODUCT(($B$2:$B$1001=B797)*1),0)</f>
        <v>0.437710437710438</v>
      </c>
      <c r="N797" s="24" t="n">
        <f aca="false">IFERROR(SUMPRODUCT(($B$2:$B$1001=B797)*($I$2:$I$1001&lt;=I797))/SUMPRODUCT(($B$2:$B$1001=B797)*1),0)</f>
        <v>0.612794612794613</v>
      </c>
      <c r="O797" s="24" t="n">
        <f aca="false">IFERROR(SUMPRODUCT(($B$2:$B$1001=B797)*($J$2:$J$1001&lt;=J797))/SUMPRODUCT(($B$2:$B$1001=B797)*1),0)</f>
        <v>0.811447811447811</v>
      </c>
      <c r="P797" s="24" t="n">
        <f aca="false">IFERROR(SUMPRODUCT(($B$2:$B$1001=B797)*((0-$F$2:$F$1001)&lt;=(0-F797)))/SUMPRODUCT(($B$2:$B$1001=B797)*1),0)</f>
        <v>0.515151515151515</v>
      </c>
      <c r="Q797" s="25" t="n">
        <f aca="false">(M797*Assumptions!$B$5+N797*Assumptions!$B$6+O797*Assumptions!$B$7+P797*Assumptions!$B$8)*L797</f>
        <v>0.589225589225589</v>
      </c>
      <c r="R797" s="24" t="n">
        <f aca="false">IFERROR(SUMPRODUCT(($B$2:$B$1001=B797)*($Q$2:$Q$1001&lt;=Q797))/SUMPRODUCT(($B$2:$B$1001=B797)*1),0)</f>
        <v>0.737373737373737</v>
      </c>
      <c r="S797" s="24" t="n">
        <f aca="false">IFERROR(SUMPRODUCT(($B$2:$B$1001=B797)*($K$2:$K$1001&lt;=K797))/SUMPRODUCT(($B$2:$B$1001=B797)*1),0)</f>
        <v>0.407407407407407</v>
      </c>
      <c r="T797" s="26" t="n">
        <f aca="false">(R797-S797)*100</f>
        <v>32.996632996633</v>
      </c>
      <c r="U797" s="21" t="str">
        <f aca="false">'Player Data'!T797</f>
        <v>Yes</v>
      </c>
      <c r="V797" s="27" t="n">
        <f aca="false">'Player Data'!U797</f>
        <v>2026</v>
      </c>
      <c r="W797" s="21" t="str">
        <f aca="false">IF(AND(T797&gt;=Assumptions!$B$19,U797="No"),"High Priority - Unrepresented",IF(T797&gt;=Assumptions!$B$19,"High Priority",IF(AND(T797&gt;=Assumptions!$B$20,U797="No"),"Watchlist - Unrepresented",IF(T797&gt;=Assumptions!$B$20,"Watchlist",""))))</f>
        <v>Watchlist</v>
      </c>
      <c r="X797" s="21" t="str">
        <f aca="false">'Player Data'!V797</f>
        <v>info@sekondisc.gh</v>
      </c>
      <c r="Y797" s="28" t="str">
        <f aca="false">'Player Data'!W797</f>
        <v>Go through the player's agent - ask the club to confirm representation first</v>
      </c>
      <c r="Z797" s="28" t="str">
        <f aca="false">'Player Data'!X797</f>
        <v>GFA (Ghana Football Association) player registry</v>
      </c>
      <c r="AA797" s="19" t="str">
        <f aca="false">HYPERLINK("https://www.transfermarkt.com/schnellsuche/ergebnis/schnellsuche?query="&amp;SUBSTITUTE(A797," ","+"),"Search Transfermarkt")</f>
        <v>Search Transfermarkt</v>
      </c>
      <c r="AB797" s="29" t="n">
        <f aca="false">IFERROR('Player Data'!K797/('Player Data'!K797+'Player Data'!L797),0)</f>
        <v>0.639593908629442</v>
      </c>
      <c r="AC797" s="21" t="str">
        <f aca="false">IF(B797="GK",IF(AND(O797&gt;=Assumptions!$B$23,N797&gt;=Assumptions!$B$23),"Sweeper-Keeper / Build-from-the-Back",IF(O797&gt;=Assumptions!$B$23,"Sweeper-Keeper / High Line",IF(M797&gt;=Assumptions!$B$23,"Shot-Stopper / Traditional","Flexible / Multi-System"))),IF(AND(O797&gt;=Assumptions!$B$23,P797&gt;=Assumptions!$B$24),"High Press / Gegenpressing",IF(AND(N797&gt;=Assumptions!$B$23,AB797&gt;=Assumptions!$B$25),"Possession / Build-from-the-Back",IF(N797&gt;=Assumptions!$B$23,"Counter-Attack / Transition",IF(AND(O797&gt;=Assumptions!$B$23,N797&lt;Assumptions!$B$26),"Low Block / Park the Bus",IF(AND(B797="FW",M797&gt;=Assumptions!$B$23,N797&lt;Assumptions!$B$26),"Direct / Target Approach","Flexible / Multi-System"))))))</f>
        <v>Flexible / Multi-System</v>
      </c>
      <c r="AD797" s="21" t="str">
        <f aca="false">'Player Data'!Y797</f>
        <v>2026-07-17</v>
      </c>
      <c r="AE797" s="21" t="str">
        <f aca="false">'Player Data'!Z797</f>
        <v>2026-07-17</v>
      </c>
      <c r="AF797" s="28" t="str">
        <f aca="false">IFERROR(INDEX(Assumptions!$B$30:$B$61,MATCH(C797,Assumptions!$A$30:$A$61,0)),"--")</f>
        <v>Belgium, Portugal</v>
      </c>
      <c r="AG797" s="30" t="str">
        <f aca="false">IF(R797&gt;=0.7,"Step-Up Candidate",IF(R797&gt;=0.4,"Lateral Move","Stay &amp; Develop"))</f>
        <v>Step-Up Candidate</v>
      </c>
    </row>
    <row r="798" customFormat="false" ht="23.85" hidden="false" customHeight="false" outlineLevel="0" collapsed="false">
      <c r="A798" s="21" t="str">
        <f aca="false">'Player Data'!A798</f>
        <v>Ronaldo Rondon</v>
      </c>
      <c r="B798" s="21" t="str">
        <f aca="false">'Player Data'!F798</f>
        <v>GK</v>
      </c>
      <c r="C798" s="21" t="str">
        <f aca="false">'Player Data'!B798</f>
        <v>Venezuela</v>
      </c>
      <c r="D798" s="21" t="str">
        <f aca="false">'Player Data'!C798</f>
        <v>Venezuela Amateur League</v>
      </c>
      <c r="E798" s="21" t="n">
        <f aca="false">'Player Data'!D798</f>
        <v>4</v>
      </c>
      <c r="F798" s="21" t="n">
        <f aca="false">'Player Data'!G798</f>
        <v>22</v>
      </c>
      <c r="G798" s="21" t="n">
        <f aca="false">'Player Data'!H798</f>
        <v>2577</v>
      </c>
      <c r="H798" s="22" t="n">
        <f aca="false">IF(B798="GK",IFERROR(('Player Data'!N798-1.5*'Player Data'!O798)/'Player Data'!H798*90,0),IFERROR(('Player Data'!I798+'Player Data'!J798)/'Player Data'!H798*90,0))</f>
        <v>1.37951105937136</v>
      </c>
      <c r="I798" s="22" t="n">
        <f aca="false">IF(B798="GK",'Player Data'!P798,IFERROR(('Player Data'!K798+'Player Data'!L798)/'Player Data'!H798*90,0))</f>
        <v>67.7</v>
      </c>
      <c r="J798" s="22" t="n">
        <f aca="false">IF(B798="GK",IFERROR('Player Data'!Q798/'Player Data'!H798*90,0),IFERROR('Player Data'!M798/'Player Data'!H798*90,0))</f>
        <v>0.740395809080326</v>
      </c>
      <c r="K798" s="23" t="n">
        <f aca="false">'Player Data'!S798</f>
        <v>141183</v>
      </c>
      <c r="L798" s="22" t="n">
        <f aca="false">INDEX(Assumptions!$B$13:$B$15,MATCH(E798,Assumptions!$A$13:$A$15,0))</f>
        <v>0.7</v>
      </c>
      <c r="M798" s="24" t="n">
        <f aca="false">IFERROR(SUMPRODUCT(($B$2:$B$1001=B798)*($H$2:$H$1001&lt;=H798))/SUMPRODUCT(($B$2:$B$1001=B798)*1),0)</f>
        <v>0.60655737704918</v>
      </c>
      <c r="N798" s="24" t="n">
        <f aca="false">IFERROR(SUMPRODUCT(($B$2:$B$1001=B798)*($I$2:$I$1001&lt;=I798))/SUMPRODUCT(($B$2:$B$1001=B798)*1),0)</f>
        <v>0.355191256830601</v>
      </c>
      <c r="O798" s="24" t="n">
        <f aca="false">IFERROR(SUMPRODUCT(($B$2:$B$1001=B798)*($J$2:$J$1001&lt;=J798))/SUMPRODUCT(($B$2:$B$1001=B798)*1),0)</f>
        <v>0.404371584699454</v>
      </c>
      <c r="P798" s="24" t="n">
        <f aca="false">IFERROR(SUMPRODUCT(($B$2:$B$1001=B798)*((0-$F$2:$F$1001)&lt;=(0-F798)))/SUMPRODUCT(($B$2:$B$1001=B798)*1),0)</f>
        <v>0.530054644808743</v>
      </c>
      <c r="Q798" s="25" t="n">
        <f aca="false">(M798*Assumptions!$B$5+N798*Assumptions!$B$6+O798*Assumptions!$B$7+P798*Assumptions!$B$8)*L798</f>
        <v>0.323989071038251</v>
      </c>
      <c r="R798" s="24" t="n">
        <f aca="false">IFERROR(SUMPRODUCT(($B$2:$B$1001=B798)*($Q$2:$Q$1001&lt;=Q798))/SUMPRODUCT(($B$2:$B$1001=B798)*1),0)</f>
        <v>0.169398907103825</v>
      </c>
      <c r="S798" s="24" t="n">
        <f aca="false">IFERROR(SUMPRODUCT(($B$2:$B$1001=B798)*($K$2:$K$1001&lt;=K798))/SUMPRODUCT(($B$2:$B$1001=B798)*1),0)</f>
        <v>0.956284153005464</v>
      </c>
      <c r="T798" s="26" t="n">
        <f aca="false">(R798-S798)*100</f>
        <v>-78.6885245901639</v>
      </c>
      <c r="U798" s="21" t="str">
        <f aca="false">'Player Data'!T798</f>
        <v>Unknown</v>
      </c>
      <c r="V798" s="27" t="n">
        <f aca="false">'Player Data'!U798</f>
        <v>2028</v>
      </c>
      <c r="W798" s="21" t="str">
        <f aca="false">IF(AND(T798&gt;=Assumptions!$B$19,U798="No"),"High Priority - Unrepresented",IF(T798&gt;=Assumptions!$B$19,"High Priority",IF(AND(T798&gt;=Assumptions!$B$20,U798="No"),"Watchlist - Unrepresented",IF(T798&gt;=Assumptions!$B$20,"Watchlist",""))))</f>
        <v/>
      </c>
      <c r="X798" s="21" t="str">
        <f aca="false">'Player Data'!V798</f>
        <v>info@valenciatown.ve</v>
      </c>
      <c r="Y798" s="28" t="str">
        <f aca="false">'Player Data'!W798</f>
        <v>Club sporting director / first-team office</v>
      </c>
      <c r="Z798" s="28" t="str">
        <f aca="false">'Player Data'!X798</f>
        <v>FVF (Venezuelan Football Federation) player registry</v>
      </c>
      <c r="AA798" s="19" t="str">
        <f aca="false">HYPERLINK("https://www.transfermarkt.com/schnellsuche/ergebnis/schnellsuche?query="&amp;SUBSTITUTE(A798," ","+"),"Search Transfermarkt")</f>
        <v>Search Transfermarkt</v>
      </c>
      <c r="AB798" s="29" t="n">
        <f aca="false">IFERROR('Player Data'!K798/('Player Data'!K798+'Player Data'!L798),0)</f>
        <v>0.722222222222222</v>
      </c>
      <c r="AC798" s="21" t="str">
        <f aca="false">IF(B798="GK",IF(AND(O798&gt;=Assumptions!$B$23,N798&gt;=Assumptions!$B$23),"Sweeper-Keeper / Build-from-the-Back",IF(O798&gt;=Assumptions!$B$23,"Sweeper-Keeper / High Line",IF(M798&gt;=Assumptions!$B$23,"Shot-Stopper / Traditional","Flexible / Multi-System"))),IF(AND(O798&gt;=Assumptions!$B$23,P798&gt;=Assumptions!$B$24),"High Press / Gegenpressing",IF(AND(N798&gt;=Assumptions!$B$23,AB798&gt;=Assumptions!$B$25),"Possession / Build-from-the-Back",IF(N798&gt;=Assumptions!$B$23,"Counter-Attack / Transition",IF(AND(O798&gt;=Assumptions!$B$23,N798&lt;Assumptions!$B$26),"Low Block / Park the Bus",IF(AND(B798="FW",M798&gt;=Assumptions!$B$23,N798&lt;Assumptions!$B$26),"Direct / Target Approach","Flexible / Multi-System"))))))</f>
        <v>Flexible / Multi-System</v>
      </c>
      <c r="AD798" s="21" t="str">
        <f aca="false">'Player Data'!Y798</f>
        <v>2026-07-17</v>
      </c>
      <c r="AE798" s="21" t="str">
        <f aca="false">'Player Data'!Z798</f>
        <v>2026-07-17</v>
      </c>
      <c r="AF798" s="28" t="str">
        <f aca="false">IFERROR(INDEX(Assumptions!$B$30:$B$61,MATCH(C798,Assumptions!$A$30:$A$61,0)),"--")</f>
        <v>Argentina, Portugal</v>
      </c>
      <c r="AG798" s="30" t="str">
        <f aca="false">IF(R798&gt;=0.7,"Step-Up Candidate",IF(R798&gt;=0.4,"Lateral Move","Stay &amp; Develop"))</f>
        <v>Stay &amp; Develop</v>
      </c>
    </row>
    <row r="799" customFormat="false" ht="23.85" hidden="false" customHeight="false" outlineLevel="0" collapsed="false">
      <c r="A799" s="21" t="str">
        <f aca="false">'Player Data'!A799</f>
        <v>Petar Radovic</v>
      </c>
      <c r="B799" s="21" t="str">
        <f aca="false">'Player Data'!F799</f>
        <v>MF</v>
      </c>
      <c r="C799" s="21" t="str">
        <f aca="false">'Player Data'!B799</f>
        <v>Montenegro</v>
      </c>
      <c r="D799" s="21" t="str">
        <f aca="false">'Player Data'!C799</f>
        <v>Montenegro Second Division</v>
      </c>
      <c r="E799" s="21" t="n">
        <f aca="false">'Player Data'!D799</f>
        <v>2</v>
      </c>
      <c r="F799" s="21" t="n">
        <f aca="false">'Player Data'!G799</f>
        <v>19</v>
      </c>
      <c r="G799" s="21" t="n">
        <f aca="false">'Player Data'!H799</f>
        <v>1651</v>
      </c>
      <c r="H799" s="22" t="n">
        <f aca="false">IF(B799="GK",IFERROR(('Player Data'!N799-1.5*'Player Data'!O799)/'Player Data'!H799*90,0),IFERROR(('Player Data'!I799+'Player Data'!J799)/'Player Data'!H799*90,0))</f>
        <v>0.436099333737129</v>
      </c>
      <c r="I799" s="22" t="n">
        <f aca="false">IF(B799="GK",'Player Data'!P799,IFERROR(('Player Data'!K799+'Player Data'!L799)/'Player Data'!H799*90,0))</f>
        <v>11.4476075105996</v>
      </c>
      <c r="J799" s="22" t="n">
        <f aca="false">IF(B799="GK",IFERROR('Player Data'!Q799/'Player Data'!H799*90,0),IFERROR('Player Data'!M799/'Player Data'!H799*90,0))</f>
        <v>2.28952150211993</v>
      </c>
      <c r="K799" s="23" t="n">
        <f aca="false">'Player Data'!S799</f>
        <v>135378</v>
      </c>
      <c r="L799" s="22" t="n">
        <f aca="false">INDEX(Assumptions!$B$13:$B$15,MATCH(E799,Assumptions!$A$13:$A$15,0))</f>
        <v>1</v>
      </c>
      <c r="M799" s="24" t="n">
        <f aca="false">IFERROR(SUMPRODUCT(($B$2:$B$1001=B799)*($H$2:$H$1001&lt;=H799))/SUMPRODUCT(($B$2:$B$1001=B799)*1),0)</f>
        <v>0.138047138047138</v>
      </c>
      <c r="N799" s="24" t="n">
        <f aca="false">IFERROR(SUMPRODUCT(($B$2:$B$1001=B799)*($I$2:$I$1001&lt;=I799))/SUMPRODUCT(($B$2:$B$1001=B799)*1),0)</f>
        <v>0.538720538720539</v>
      </c>
      <c r="O799" s="24" t="n">
        <f aca="false">IFERROR(SUMPRODUCT(($B$2:$B$1001=B799)*($J$2:$J$1001&lt;=J799))/SUMPRODUCT(($B$2:$B$1001=B799)*1),0)</f>
        <v>0.558922558922559</v>
      </c>
      <c r="P799" s="24" t="n">
        <f aca="false">IFERROR(SUMPRODUCT(($B$2:$B$1001=B799)*((0-$F$2:$F$1001)&lt;=(0-F799)))/SUMPRODUCT(($B$2:$B$1001=B799)*1),0)</f>
        <v>0.868686868686869</v>
      </c>
      <c r="Q799" s="25" t="n">
        <f aca="false">(M799*Assumptions!$B$5+N799*Assumptions!$B$6+O799*Assumptions!$B$7+P799*Assumptions!$B$8)*L799</f>
        <v>0.508585858585859</v>
      </c>
      <c r="R799" s="24" t="n">
        <f aca="false">IFERROR(SUMPRODUCT(($B$2:$B$1001=B799)*($Q$2:$Q$1001&lt;=Q799))/SUMPRODUCT(($B$2:$B$1001=B799)*1),0)</f>
        <v>0.626262626262626</v>
      </c>
      <c r="S799" s="24" t="n">
        <f aca="false">IFERROR(SUMPRODUCT(($B$2:$B$1001=B799)*($K$2:$K$1001&lt;=K799))/SUMPRODUCT(($B$2:$B$1001=B799)*1),0)</f>
        <v>0.946127946127946</v>
      </c>
      <c r="T799" s="26" t="n">
        <f aca="false">(R799-S799)*100</f>
        <v>-31.986531986532</v>
      </c>
      <c r="U799" s="21" t="str">
        <f aca="false">'Player Data'!T799</f>
        <v>No</v>
      </c>
      <c r="V799" s="27" t="n">
        <f aca="false">'Player Data'!U799</f>
        <v>2028</v>
      </c>
      <c r="W799" s="21" t="str">
        <f aca="false">IF(AND(T799&gt;=Assumptions!$B$19,U799="No"),"High Priority - Unrepresented",IF(T799&gt;=Assumptions!$B$19,"High Priority",IF(AND(T799&gt;=Assumptions!$B$20,U799="No"),"Watchlist - Unrepresented",IF(T799&gt;=Assumptions!$B$20,"Watchlist",""))))</f>
        <v/>
      </c>
      <c r="X799" s="21" t="str">
        <f aca="false">'Player Data'!V799</f>
        <v>info@beranetown.me</v>
      </c>
      <c r="Y799" s="28" t="str">
        <f aca="false">'Player Data'!W799</f>
        <v>Club sporting director / first-team office</v>
      </c>
      <c r="Z799" s="28" t="str">
        <f aca="false">'Player Data'!X799</f>
        <v>FSCG (Football Association of Montenegro) player registry</v>
      </c>
      <c r="AA799" s="19" t="str">
        <f aca="false">HYPERLINK("https://www.transfermarkt.com/schnellsuche/ergebnis/schnellsuche?query="&amp;SUBSTITUTE(A799," ","+"),"Search Transfermarkt")</f>
        <v>Search Transfermarkt</v>
      </c>
      <c r="AB799" s="29" t="n">
        <f aca="false">IFERROR('Player Data'!K799/('Player Data'!K799+'Player Data'!L799),0)</f>
        <v>0.685714285714286</v>
      </c>
      <c r="AC799" s="21" t="str">
        <f aca="false">IF(B799="GK",IF(AND(O799&gt;=Assumptions!$B$23,N799&gt;=Assumptions!$B$23),"Sweeper-Keeper / Build-from-the-Back",IF(O799&gt;=Assumptions!$B$23,"Sweeper-Keeper / High Line",IF(M799&gt;=Assumptions!$B$23,"Shot-Stopper / Traditional","Flexible / Multi-System"))),IF(AND(O799&gt;=Assumptions!$B$23,P799&gt;=Assumptions!$B$24),"High Press / Gegenpressing",IF(AND(N799&gt;=Assumptions!$B$23,AB799&gt;=Assumptions!$B$25),"Possession / Build-from-the-Back",IF(N799&gt;=Assumptions!$B$23,"Counter-Attack / Transition",IF(AND(O799&gt;=Assumptions!$B$23,N799&lt;Assumptions!$B$26),"Low Block / Park the Bus",IF(AND(B799="FW",M799&gt;=Assumptions!$B$23,N799&lt;Assumptions!$B$26),"Direct / Target Approach","Flexible / Multi-System"))))))</f>
        <v>Flexible / Multi-System</v>
      </c>
      <c r="AD799" s="21" t="str">
        <f aca="false">'Player Data'!Y799</f>
        <v>2026-07-17</v>
      </c>
      <c r="AE799" s="21" t="str">
        <f aca="false">'Player Data'!Z799</f>
        <v>2026-07-17</v>
      </c>
      <c r="AF799" s="28" t="str">
        <f aca="false">IFERROR(INDEX(Assumptions!$B$30:$B$61,MATCH(C799,Assumptions!$A$30:$A$61,0)),"--")</f>
        <v>Austria, Turkey</v>
      </c>
      <c r="AG799" s="30" t="str">
        <f aca="false">IF(R799&gt;=0.7,"Step-Up Candidate",IF(R799&gt;=0.4,"Lateral Move","Stay &amp; Develop"))</f>
        <v>Lateral Move</v>
      </c>
    </row>
    <row r="800" customFormat="false" ht="23.85" hidden="false" customHeight="false" outlineLevel="0" collapsed="false">
      <c r="A800" s="21" t="str">
        <f aca="false">'Player Data'!A800</f>
        <v>Somchai Boonmee</v>
      </c>
      <c r="B800" s="21" t="str">
        <f aca="false">'Player Data'!F800</f>
        <v>GK</v>
      </c>
      <c r="C800" s="21" t="str">
        <f aca="false">'Player Data'!B800</f>
        <v>Thailand</v>
      </c>
      <c r="D800" s="21" t="str">
        <f aca="false">'Player Data'!C800</f>
        <v>Thailand Second Division - West</v>
      </c>
      <c r="E800" s="21" t="n">
        <f aca="false">'Player Data'!D800</f>
        <v>4</v>
      </c>
      <c r="F800" s="21" t="n">
        <f aca="false">'Player Data'!G800</f>
        <v>17</v>
      </c>
      <c r="G800" s="21" t="n">
        <f aca="false">'Player Data'!H800</f>
        <v>1046</v>
      </c>
      <c r="H800" s="22" t="n">
        <f aca="false">IF(B800="GK",IFERROR(('Player Data'!N800-1.5*'Player Data'!O800)/'Player Data'!H800*90,0),IFERROR(('Player Data'!I800+'Player Data'!J800)/'Player Data'!H800*90,0))</f>
        <v>1.59177820267686</v>
      </c>
      <c r="I800" s="22" t="n">
        <f aca="false">IF(B800="GK",'Player Data'!P800,IFERROR(('Player Data'!K800+'Player Data'!L800)/'Player Data'!H800*90,0))</f>
        <v>85.8</v>
      </c>
      <c r="J800" s="22" t="n">
        <f aca="false">IF(B800="GK",IFERROR('Player Data'!Q800/'Player Data'!H800*90,0),IFERROR('Player Data'!M800/'Player Data'!H800*90,0))</f>
        <v>0.920650095602295</v>
      </c>
      <c r="K800" s="23" t="n">
        <f aca="false">'Player Data'!S800</f>
        <v>54788</v>
      </c>
      <c r="L800" s="22" t="n">
        <f aca="false">INDEX(Assumptions!$B$13:$B$15,MATCH(E800,Assumptions!$A$13:$A$15,0))</f>
        <v>0.7</v>
      </c>
      <c r="M800" s="24" t="n">
        <f aca="false">IFERROR(SUMPRODUCT(($B$2:$B$1001=B800)*($H$2:$H$1001&lt;=H800))/SUMPRODUCT(($B$2:$B$1001=B800)*1),0)</f>
        <v>0.737704918032787</v>
      </c>
      <c r="N800" s="24" t="n">
        <f aca="false">IFERROR(SUMPRODUCT(($B$2:$B$1001=B800)*($I$2:$I$1001&lt;=I800))/SUMPRODUCT(($B$2:$B$1001=B800)*1),0)</f>
        <v>0.879781420765027</v>
      </c>
      <c r="O800" s="24" t="n">
        <f aca="false">IFERROR(SUMPRODUCT(($B$2:$B$1001=B800)*($J$2:$J$1001&lt;=J800))/SUMPRODUCT(($B$2:$B$1001=B800)*1),0)</f>
        <v>0.568306010928962</v>
      </c>
      <c r="P800" s="24" t="n">
        <f aca="false">IFERROR(SUMPRODUCT(($B$2:$B$1001=B800)*((0-$F$2:$F$1001)&lt;=(0-F800)))/SUMPRODUCT(($B$2:$B$1001=B800)*1),0)</f>
        <v>1</v>
      </c>
      <c r="Q800" s="25" t="n">
        <f aca="false">(M800*Assumptions!$B$5+N800*Assumptions!$B$6+O800*Assumptions!$B$7+P800*Assumptions!$B$8)*L800</f>
        <v>0.564207650273224</v>
      </c>
      <c r="R800" s="24" t="n">
        <f aca="false">IFERROR(SUMPRODUCT(($B$2:$B$1001=B800)*($Q$2:$Q$1001&lt;=Q800))/SUMPRODUCT(($B$2:$B$1001=B800)*1),0)</f>
        <v>0.786885245901639</v>
      </c>
      <c r="S800" s="24" t="n">
        <f aca="false">IFERROR(SUMPRODUCT(($B$2:$B$1001=B800)*($K$2:$K$1001&lt;=K800))/SUMPRODUCT(($B$2:$B$1001=B800)*1),0)</f>
        <v>0.420765027322404</v>
      </c>
      <c r="T800" s="26" t="n">
        <f aca="false">(R800-S800)*100</f>
        <v>36.6120218579235</v>
      </c>
      <c r="U800" s="21" t="str">
        <f aca="false">'Player Data'!T800</f>
        <v>No</v>
      </c>
      <c r="V800" s="27" t="n">
        <f aca="false">'Player Data'!U800</f>
        <v>2029</v>
      </c>
      <c r="W800" s="21" t="str">
        <f aca="false">IF(AND(T800&gt;=Assumptions!$B$19,U800="No"),"High Priority - Unrepresented",IF(T800&gt;=Assumptions!$B$19,"High Priority",IF(AND(T800&gt;=Assumptions!$B$20,U800="No"),"Watchlist - Unrepresented",IF(T800&gt;=Assumptions!$B$20,"Watchlist",""))))</f>
        <v>Watchlist - Unrepresented</v>
      </c>
      <c r="X800" s="21" t="str">
        <f aca="false">'Player Data'!V800</f>
        <v>info@bangkokunited.th</v>
      </c>
      <c r="Y800" s="28" t="str">
        <f aca="false">'Player Data'!W800</f>
        <v>Club youth/academy office ONLY - player is a minor, do not contact directly</v>
      </c>
      <c r="Z800" s="28" t="str">
        <f aca="false">'Player Data'!X800</f>
        <v>FAT (Football Association of Thailand) player registry</v>
      </c>
      <c r="AA800" s="19" t="str">
        <f aca="false">HYPERLINK("https://www.transfermarkt.com/schnellsuche/ergebnis/schnellsuche?query="&amp;SUBSTITUTE(A800," ","+"),"Search Transfermarkt")</f>
        <v>Search Transfermarkt</v>
      </c>
      <c r="AB800" s="29" t="n">
        <f aca="false">IFERROR('Player Data'!K800/('Player Data'!K800+'Player Data'!L800),0)</f>
        <v>0.6875</v>
      </c>
      <c r="AC800" s="21" t="str">
        <f aca="false">IF(B800="GK",IF(AND(O800&gt;=Assumptions!$B$23,N800&gt;=Assumptions!$B$23),"Sweeper-Keeper / Build-from-the-Back",IF(O800&gt;=Assumptions!$B$23,"Sweeper-Keeper / High Line",IF(M800&gt;=Assumptions!$B$23,"Shot-Stopper / Traditional","Flexible / Multi-System"))),IF(AND(O800&gt;=Assumptions!$B$23,P800&gt;=Assumptions!$B$24),"High Press / Gegenpressing",IF(AND(N800&gt;=Assumptions!$B$23,AB800&gt;=Assumptions!$B$25),"Possession / Build-from-the-Back",IF(N800&gt;=Assumptions!$B$23,"Counter-Attack / Transition",IF(AND(O800&gt;=Assumptions!$B$23,N800&lt;Assumptions!$B$26),"Low Block / Park the Bus",IF(AND(B800="FW",M800&gt;=Assumptions!$B$23,N800&lt;Assumptions!$B$26),"Direct / Target Approach","Flexible / Multi-System"))))))</f>
        <v>Shot-Stopper / Traditional</v>
      </c>
      <c r="AD800" s="21" t="str">
        <f aca="false">'Player Data'!Y800</f>
        <v>2026-07-17</v>
      </c>
      <c r="AE800" s="21" t="str">
        <f aca="false">'Player Data'!Z800</f>
        <v>2026-07-17</v>
      </c>
      <c r="AF800" s="28" t="str">
        <f aca="false">IFERROR(INDEX(Assumptions!$B$30:$B$61,MATCH(C800,Assumptions!$A$30:$A$61,0)),"--")</f>
        <v>Australia, Saudi Arabia</v>
      </c>
      <c r="AG800" s="30" t="str">
        <f aca="false">IF(R800&gt;=0.7,"Step-Up Candidate",IF(R800&gt;=0.4,"Lateral Move","Stay &amp; Develop"))</f>
        <v>Step-Up Candidate</v>
      </c>
    </row>
    <row r="801" customFormat="false" ht="23.85" hidden="false" customHeight="false" outlineLevel="0" collapsed="false">
      <c r="A801" s="21" t="str">
        <f aca="false">'Player Data'!A801</f>
        <v>Abdoulaye Sow</v>
      </c>
      <c r="B801" s="21" t="str">
        <f aca="false">'Player Data'!F801</f>
        <v>MF</v>
      </c>
      <c r="C801" s="21" t="str">
        <f aca="false">'Player Data'!B801</f>
        <v>Senegal</v>
      </c>
      <c r="D801" s="21" t="str">
        <f aca="false">'Player Data'!C801</f>
        <v>Senegal Provincial League</v>
      </c>
      <c r="E801" s="21" t="n">
        <f aca="false">'Player Data'!D801</f>
        <v>2</v>
      </c>
      <c r="F801" s="21" t="n">
        <f aca="false">'Player Data'!G801</f>
        <v>26</v>
      </c>
      <c r="G801" s="21" t="n">
        <f aca="false">'Player Data'!H801</f>
        <v>1917</v>
      </c>
      <c r="H801" s="22" t="n">
        <f aca="false">IF(B801="GK",IFERROR(('Player Data'!N801-1.5*'Player Data'!O801)/'Player Data'!H801*90,0),IFERROR(('Player Data'!I801+'Player Data'!J801)/'Player Data'!H801*90,0))</f>
        <v>0.7981220657277</v>
      </c>
      <c r="I801" s="22" t="n">
        <f aca="false">IF(B801="GK",'Player Data'!P801,IFERROR(('Player Data'!K801+'Player Data'!L801)/'Player Data'!H801*90,0))</f>
        <v>10.18779342723</v>
      </c>
      <c r="J801" s="22" t="n">
        <f aca="false">IF(B801="GK",IFERROR('Player Data'!Q801/'Player Data'!H801*90,0),IFERROR('Player Data'!M801/'Player Data'!H801*90,0))</f>
        <v>1.5962441314554</v>
      </c>
      <c r="K801" s="23" t="n">
        <f aca="false">'Player Data'!S801</f>
        <v>52416</v>
      </c>
      <c r="L801" s="22" t="n">
        <f aca="false">INDEX(Assumptions!$B$13:$B$15,MATCH(E801,Assumptions!$A$13:$A$15,0))</f>
        <v>1</v>
      </c>
      <c r="M801" s="24" t="n">
        <f aca="false">IFERROR(SUMPRODUCT(($B$2:$B$1001=B801)*($H$2:$H$1001&lt;=H801))/SUMPRODUCT(($B$2:$B$1001=B801)*1),0)</f>
        <v>0.592592592592593</v>
      </c>
      <c r="N801" s="24" t="n">
        <f aca="false">IFERROR(SUMPRODUCT(($B$2:$B$1001=B801)*($I$2:$I$1001&lt;=I801))/SUMPRODUCT(($B$2:$B$1001=B801)*1),0)</f>
        <v>0.434343434343434</v>
      </c>
      <c r="O801" s="24" t="n">
        <f aca="false">IFERROR(SUMPRODUCT(($B$2:$B$1001=B801)*($J$2:$J$1001&lt;=J801))/SUMPRODUCT(($B$2:$B$1001=B801)*1),0)</f>
        <v>0.232323232323232</v>
      </c>
      <c r="P801" s="24" t="n">
        <f aca="false">IFERROR(SUMPRODUCT(($B$2:$B$1001=B801)*((0-$F$2:$F$1001)&lt;=(0-F801)))/SUMPRODUCT(($B$2:$B$1001=B801)*1),0)</f>
        <v>0.0909090909090909</v>
      </c>
      <c r="Q801" s="25" t="n">
        <f aca="false">(M801*Assumptions!$B$5+N801*Assumptions!$B$6+O801*Assumptions!$B$7+P801*Assumptions!$B$8)*L801</f>
        <v>0.364814814814815</v>
      </c>
      <c r="R801" s="24" t="n">
        <f aca="false">IFERROR(SUMPRODUCT(($B$2:$B$1001=B801)*($Q$2:$Q$1001&lt;=Q801))/SUMPRODUCT(($B$2:$B$1001=B801)*1),0)</f>
        <v>0.36026936026936</v>
      </c>
      <c r="S801" s="24" t="n">
        <f aca="false">IFERROR(SUMPRODUCT(($B$2:$B$1001=B801)*($K$2:$K$1001&lt;=K801))/SUMPRODUCT(($B$2:$B$1001=B801)*1),0)</f>
        <v>0.471380471380471</v>
      </c>
      <c r="T801" s="26" t="n">
        <f aca="false">(R801-S801)*100</f>
        <v>-11.1111111111111</v>
      </c>
      <c r="U801" s="21" t="str">
        <f aca="false">'Player Data'!T801</f>
        <v>Unknown</v>
      </c>
      <c r="V801" s="27" t="n">
        <f aca="false">'Player Data'!U801</f>
        <v>2027</v>
      </c>
      <c r="W801" s="21" t="str">
        <f aca="false">IF(AND(T801&gt;=Assumptions!$B$19,U801="No"),"High Priority - Unrepresented",IF(T801&gt;=Assumptions!$B$19,"High Priority",IF(AND(T801&gt;=Assumptions!$B$20,U801="No"),"Watchlist - Unrepresented",IF(T801&gt;=Assumptions!$B$20,"Watchlist",""))))</f>
        <v/>
      </c>
      <c r="X801" s="21" t="str">
        <f aca="false">'Player Data'!V801</f>
        <v>info@dakarrangers.sn</v>
      </c>
      <c r="Y801" s="28" t="str">
        <f aca="false">'Player Data'!W801</f>
        <v>Club sporting director / first-team office</v>
      </c>
      <c r="Z801" s="28" t="str">
        <f aca="false">'Player Data'!X801</f>
        <v>FSF (Senegalese Football Federation) player registry</v>
      </c>
      <c r="AA801" s="19" t="str">
        <f aca="false">HYPERLINK("https://www.transfermarkt.com/schnellsuche/ergebnis/schnellsuche?query="&amp;SUBSTITUTE(A801," ","+"),"Search Transfermarkt")</f>
        <v>Search Transfermarkt</v>
      </c>
      <c r="AB801" s="29" t="n">
        <f aca="false">IFERROR('Player Data'!K801/('Player Data'!K801+'Player Data'!L801),0)</f>
        <v>0.691244239631336</v>
      </c>
      <c r="AC801" s="21" t="str">
        <f aca="false">IF(B801="GK",IF(AND(O801&gt;=Assumptions!$B$23,N801&gt;=Assumptions!$B$23),"Sweeper-Keeper / Build-from-the-Back",IF(O801&gt;=Assumptions!$B$23,"Sweeper-Keeper / High Line",IF(M801&gt;=Assumptions!$B$23,"Shot-Stopper / Traditional","Flexible / Multi-System"))),IF(AND(O801&gt;=Assumptions!$B$23,P801&gt;=Assumptions!$B$24),"High Press / Gegenpressing",IF(AND(N801&gt;=Assumptions!$B$23,AB801&gt;=Assumptions!$B$25),"Possession / Build-from-the-Back",IF(N801&gt;=Assumptions!$B$23,"Counter-Attack / Transition",IF(AND(O801&gt;=Assumptions!$B$23,N801&lt;Assumptions!$B$26),"Low Block / Park the Bus",IF(AND(B801="FW",M801&gt;=Assumptions!$B$23,N801&lt;Assumptions!$B$26),"Direct / Target Approach","Flexible / Multi-System"))))))</f>
        <v>Flexible / Multi-System</v>
      </c>
      <c r="AD801" s="21" t="str">
        <f aca="false">'Player Data'!Y801</f>
        <v>2026-07-17</v>
      </c>
      <c r="AE801" s="21" t="str">
        <f aca="false">'Player Data'!Z801</f>
        <v>2026-07-17</v>
      </c>
      <c r="AF801" s="28" t="str">
        <f aca="false">IFERROR(INDEX(Assumptions!$B$30:$B$61,MATCH(C801,Assumptions!$A$30:$A$61,0)),"--")</f>
        <v>Belgium, Portugal</v>
      </c>
      <c r="AG801" s="30" t="str">
        <f aca="false">IF(R801&gt;=0.7,"Step-Up Candidate",IF(R801&gt;=0.4,"Lateral Move","Stay &amp; Develop"))</f>
        <v>Stay &amp; Develop</v>
      </c>
    </row>
    <row r="802" customFormat="false" ht="23.85" hidden="false" customHeight="false" outlineLevel="0" collapsed="false">
      <c r="A802" s="21" t="str">
        <f aca="false">'Player Data'!A802</f>
        <v>Noah Clarke</v>
      </c>
      <c r="B802" s="21" t="str">
        <f aca="false">'Player Data'!F802</f>
        <v>MF</v>
      </c>
      <c r="C802" s="21" t="str">
        <f aca="false">'Player Data'!B802</f>
        <v>New Zealand</v>
      </c>
      <c r="D802" s="21" t="str">
        <f aca="false">'Player Data'!C802</f>
        <v>New Zealand Third Tier - North</v>
      </c>
      <c r="E802" s="21" t="n">
        <f aca="false">'Player Data'!D802</f>
        <v>3</v>
      </c>
      <c r="F802" s="21" t="n">
        <f aca="false">'Player Data'!G802</f>
        <v>21</v>
      </c>
      <c r="G802" s="21" t="n">
        <f aca="false">'Player Data'!H802</f>
        <v>1455</v>
      </c>
      <c r="H802" s="22" t="n">
        <f aca="false">IF(B802="GK",IFERROR(('Player Data'!N802-1.5*'Player Data'!O802)/'Player Data'!H802*90,0),IFERROR(('Player Data'!I802+'Player Data'!J802)/'Player Data'!H802*90,0))</f>
        <v>0.556701030927835</v>
      </c>
      <c r="I802" s="22" t="n">
        <f aca="false">IF(B802="GK",'Player Data'!P802,IFERROR(('Player Data'!K802+'Player Data'!L802)/'Player Data'!H802*90,0))</f>
        <v>12.5567010309278</v>
      </c>
      <c r="J802" s="22" t="n">
        <f aca="false">IF(B802="GK",IFERROR('Player Data'!Q802/'Player Data'!H802*90,0),IFERROR('Player Data'!M802/'Player Data'!H802*90,0))</f>
        <v>2.65979381443299</v>
      </c>
      <c r="K802" s="23" t="n">
        <f aca="false">'Player Data'!S802</f>
        <v>12846</v>
      </c>
      <c r="L802" s="22" t="n">
        <f aca="false">INDEX(Assumptions!$B$13:$B$15,MATCH(E802,Assumptions!$A$13:$A$15,0))</f>
        <v>0.85</v>
      </c>
      <c r="M802" s="24" t="n">
        <f aca="false">IFERROR(SUMPRODUCT(($B$2:$B$1001=B802)*($H$2:$H$1001&lt;=H802))/SUMPRODUCT(($B$2:$B$1001=B802)*1),0)</f>
        <v>0.276094276094276</v>
      </c>
      <c r="N802" s="24" t="n">
        <f aca="false">IFERROR(SUMPRODUCT(($B$2:$B$1001=B802)*($I$2:$I$1001&lt;=I802))/SUMPRODUCT(($B$2:$B$1001=B802)*1),0)</f>
        <v>0.636363636363636</v>
      </c>
      <c r="O802" s="24" t="n">
        <f aca="false">IFERROR(SUMPRODUCT(($B$2:$B$1001=B802)*($J$2:$J$1001&lt;=J802))/SUMPRODUCT(($B$2:$B$1001=B802)*1),0)</f>
        <v>0.686868686868687</v>
      </c>
      <c r="P802" s="24" t="n">
        <f aca="false">IFERROR(SUMPRODUCT(($B$2:$B$1001=B802)*((0-$F$2:$F$1001)&lt;=(0-F802)))/SUMPRODUCT(($B$2:$B$1001=B802)*1),0)</f>
        <v>0.61952861952862</v>
      </c>
      <c r="Q802" s="25" t="n">
        <f aca="false">(M802*Assumptions!$B$5+N802*Assumptions!$B$6+O802*Assumptions!$B$7+P802*Assumptions!$B$8)*L802</f>
        <v>0.470075757575758</v>
      </c>
      <c r="R802" s="24" t="n">
        <f aca="false">IFERROR(SUMPRODUCT(($B$2:$B$1001=B802)*($Q$2:$Q$1001&lt;=Q802))/SUMPRODUCT(($B$2:$B$1001=B802)*1),0)</f>
        <v>0.572390572390572</v>
      </c>
      <c r="S802" s="24" t="n">
        <f aca="false">IFERROR(SUMPRODUCT(($B$2:$B$1001=B802)*($K$2:$K$1001&lt;=K802))/SUMPRODUCT(($B$2:$B$1001=B802)*1),0)</f>
        <v>0.242424242424242</v>
      </c>
      <c r="T802" s="26" t="n">
        <f aca="false">(R802-S802)*100</f>
        <v>32.996632996633</v>
      </c>
      <c r="U802" s="21" t="str">
        <f aca="false">'Player Data'!T802</f>
        <v>No</v>
      </c>
      <c r="V802" s="27" t="n">
        <f aca="false">'Player Data'!U802</f>
        <v>2028</v>
      </c>
      <c r="W802" s="21" t="str">
        <f aca="false">IF(AND(T802&gt;=Assumptions!$B$19,U802="No"),"High Priority - Unrepresented",IF(T802&gt;=Assumptions!$B$19,"High Priority",IF(AND(T802&gt;=Assumptions!$B$20,U802="No"),"Watchlist - Unrepresented",IF(T802&gt;=Assumptions!$B$20,"Watchlist",""))))</f>
        <v>Watchlist - Unrepresented</v>
      </c>
      <c r="X802" s="21" t="str">
        <f aca="false">'Player Data'!V802</f>
        <v>info@aucklandsc.nz</v>
      </c>
      <c r="Y802" s="28" t="str">
        <f aca="false">'Player Data'!W802</f>
        <v>Club sporting director / first-team office</v>
      </c>
      <c r="Z802" s="28" t="str">
        <f aca="false">'Player Data'!X802</f>
        <v>NZF (New Zealand Football) player registry</v>
      </c>
      <c r="AA802" s="19" t="str">
        <f aca="false">HYPERLINK("https://www.transfermarkt.com/schnellsuche/ergebnis/schnellsuche?query="&amp;SUBSTITUTE(A802," ","+"),"Search Transfermarkt")</f>
        <v>Search Transfermarkt</v>
      </c>
      <c r="AB802" s="29" t="n">
        <f aca="false">IFERROR('Player Data'!K802/('Player Data'!K802+'Player Data'!L802),0)</f>
        <v>0.694581280788177</v>
      </c>
      <c r="AC802" s="21" t="str">
        <f aca="false">IF(B802="GK",IF(AND(O802&gt;=Assumptions!$B$23,N802&gt;=Assumptions!$B$23),"Sweeper-Keeper / Build-from-the-Back",IF(O802&gt;=Assumptions!$B$23,"Sweeper-Keeper / High Line",IF(M802&gt;=Assumptions!$B$23,"Shot-Stopper / Traditional","Flexible / Multi-System"))),IF(AND(O802&gt;=Assumptions!$B$23,P802&gt;=Assumptions!$B$24),"High Press / Gegenpressing",IF(AND(N802&gt;=Assumptions!$B$23,AB802&gt;=Assumptions!$B$25),"Possession / Build-from-the-Back",IF(N802&gt;=Assumptions!$B$23,"Counter-Attack / Transition",IF(AND(O802&gt;=Assumptions!$B$23,N802&lt;Assumptions!$B$26),"Low Block / Park the Bus",IF(AND(B802="FW",M802&gt;=Assumptions!$B$23,N802&lt;Assumptions!$B$26),"Direct / Target Approach","Flexible / Multi-System"))))))</f>
        <v>High Press / Gegenpressing</v>
      </c>
      <c r="AD802" s="21" t="str">
        <f aca="false">'Player Data'!Y802</f>
        <v>2026-07-17</v>
      </c>
      <c r="AE802" s="21" t="str">
        <f aca="false">'Player Data'!Z802</f>
        <v>2026-07-17</v>
      </c>
      <c r="AF802" s="28" t="str">
        <f aca="false">IFERROR(INDEX(Assumptions!$B$30:$B$61,MATCH(C802,Assumptions!$A$30:$A$61,0)),"--")</f>
        <v>Australia, United States</v>
      </c>
      <c r="AG802" s="30" t="str">
        <f aca="false">IF(R802&gt;=0.7,"Step-Up Candidate",IF(R802&gt;=0.4,"Lateral Move","Stay &amp; Develop"))</f>
        <v>Lateral Move</v>
      </c>
    </row>
    <row r="803" customFormat="false" ht="23.85" hidden="false" customHeight="false" outlineLevel="0" collapsed="false">
      <c r="A803" s="21" t="str">
        <f aca="false">'Player Data'!A803</f>
        <v>Sekou Diarra</v>
      </c>
      <c r="B803" s="21" t="str">
        <f aca="false">'Player Data'!F803</f>
        <v>FW</v>
      </c>
      <c r="C803" s="21" t="str">
        <f aca="false">'Player Data'!B803</f>
        <v>Mali</v>
      </c>
      <c r="D803" s="21" t="str">
        <f aca="false">'Player Data'!C803</f>
        <v>Mali Amateur League</v>
      </c>
      <c r="E803" s="21" t="n">
        <f aca="false">'Player Data'!D803</f>
        <v>3</v>
      </c>
      <c r="F803" s="21" t="n">
        <f aca="false">'Player Data'!G803</f>
        <v>19</v>
      </c>
      <c r="G803" s="21" t="n">
        <f aca="false">'Player Data'!H803</f>
        <v>1692</v>
      </c>
      <c r="H803" s="22" t="n">
        <f aca="false">IF(B803="GK",IFERROR(('Player Data'!N803-1.5*'Player Data'!O803)/'Player Data'!H803*90,0),IFERROR(('Player Data'!I803+'Player Data'!J803)/'Player Data'!H803*90,0))</f>
        <v>0.904255319148936</v>
      </c>
      <c r="I803" s="22" t="n">
        <f aca="false">IF(B803="GK",'Player Data'!P803,IFERROR(('Player Data'!K803+'Player Data'!L803)/'Player Data'!H803*90,0))</f>
        <v>8.03191489361702</v>
      </c>
      <c r="J803" s="22" t="n">
        <f aca="false">IF(B803="GK",IFERROR('Player Data'!Q803/'Player Data'!H803*90,0),IFERROR('Player Data'!M803/'Player Data'!H803*90,0))</f>
        <v>0.319148936170213</v>
      </c>
      <c r="K803" s="23" t="n">
        <f aca="false">'Player Data'!S803</f>
        <v>17573</v>
      </c>
      <c r="L803" s="22" t="n">
        <f aca="false">INDEX(Assumptions!$B$13:$B$15,MATCH(E803,Assumptions!$A$13:$A$15,0))</f>
        <v>0.85</v>
      </c>
      <c r="M803" s="24" t="n">
        <f aca="false">IFERROR(SUMPRODUCT(($B$2:$B$1001=B803)*($H$2:$H$1001&lt;=H803))/SUMPRODUCT(($B$2:$B$1001=B803)*1),0)</f>
        <v>0.411504424778761</v>
      </c>
      <c r="N803" s="24" t="n">
        <f aca="false">IFERROR(SUMPRODUCT(($B$2:$B$1001=B803)*($I$2:$I$1001&lt;=I803))/SUMPRODUCT(($B$2:$B$1001=B803)*1),0)</f>
        <v>0.663716814159292</v>
      </c>
      <c r="O803" s="24" t="n">
        <f aca="false">IFERROR(SUMPRODUCT(($B$2:$B$1001=B803)*($J$2:$J$1001&lt;=J803))/SUMPRODUCT(($B$2:$B$1001=B803)*1),0)</f>
        <v>0.199115044247788</v>
      </c>
      <c r="P803" s="24" t="n">
        <f aca="false">IFERROR(SUMPRODUCT(($B$2:$B$1001=B803)*((0-$F$2:$F$1001)&lt;=(0-F803)))/SUMPRODUCT(($B$2:$B$1001=B803)*1),0)</f>
        <v>0.831858407079646</v>
      </c>
      <c r="Q803" s="25" t="n">
        <f aca="false">(M803*Assumptions!$B$5+N803*Assumptions!$B$6+O803*Assumptions!$B$7+P803*Assumptions!$B$8)*L803</f>
        <v>0.46016592920354</v>
      </c>
      <c r="R803" s="24" t="n">
        <f aca="false">IFERROR(SUMPRODUCT(($B$2:$B$1001=B803)*($Q$2:$Q$1001&lt;=Q803))/SUMPRODUCT(($B$2:$B$1001=B803)*1),0)</f>
        <v>0.535398230088496</v>
      </c>
      <c r="S803" s="24" t="n">
        <f aca="false">IFERROR(SUMPRODUCT(($B$2:$B$1001=B803)*($K$2:$K$1001&lt;=K803))/SUMPRODUCT(($B$2:$B$1001=B803)*1),0)</f>
        <v>0.309734513274336</v>
      </c>
      <c r="T803" s="26" t="n">
        <f aca="false">(R803-S803)*100</f>
        <v>22.5663716814159</v>
      </c>
      <c r="U803" s="21" t="str">
        <f aca="false">'Player Data'!T803</f>
        <v>No</v>
      </c>
      <c r="V803" s="27" t="n">
        <f aca="false">'Player Data'!U803</f>
        <v>2028</v>
      </c>
      <c r="W803" s="21" t="str">
        <f aca="false">IF(AND(T803&gt;=Assumptions!$B$19,U803="No"),"High Priority - Unrepresented",IF(T803&gt;=Assumptions!$B$19,"High Priority",IF(AND(T803&gt;=Assumptions!$B$20,U803="No"),"Watchlist - Unrepresented",IF(T803&gt;=Assumptions!$B$20,"Watchlist",""))))</f>
        <v>Watchlist - Unrepresented</v>
      </c>
      <c r="X803" s="21" t="str">
        <f aca="false">'Player Data'!V803</f>
        <v>info@kayesunited.ml</v>
      </c>
      <c r="Y803" s="28" t="str">
        <f aca="false">'Player Data'!W803</f>
        <v>Club sporting director / first-team office</v>
      </c>
      <c r="Z803" s="28" t="str">
        <f aca="false">'Player Data'!X803</f>
        <v>FEMAFOOT (Malian Football Federation) player registry</v>
      </c>
      <c r="AA803" s="19" t="str">
        <f aca="false">HYPERLINK("https://www.transfermarkt.com/schnellsuche/ergebnis/schnellsuche?query="&amp;SUBSTITUTE(A803," ","+"),"Search Transfermarkt")</f>
        <v>Search Transfermarkt</v>
      </c>
      <c r="AB803" s="29" t="n">
        <f aca="false">IFERROR('Player Data'!K803/('Player Data'!K803+'Player Data'!L803),0)</f>
        <v>0.443708609271523</v>
      </c>
      <c r="AC803" s="21" t="str">
        <f aca="false">IF(B803="GK",IF(AND(O803&gt;=Assumptions!$B$23,N803&gt;=Assumptions!$B$23),"Sweeper-Keeper / Build-from-the-Back",IF(O803&gt;=Assumptions!$B$23,"Sweeper-Keeper / High Line",IF(M803&gt;=Assumptions!$B$23,"Shot-Stopper / Traditional","Flexible / Multi-System"))),IF(AND(O803&gt;=Assumptions!$B$23,P803&gt;=Assumptions!$B$24),"High Press / Gegenpressing",IF(AND(N803&gt;=Assumptions!$B$23,AB803&gt;=Assumptions!$B$25),"Possession / Build-from-the-Back",IF(N803&gt;=Assumptions!$B$23,"Counter-Attack / Transition",IF(AND(O803&gt;=Assumptions!$B$23,N803&lt;Assumptions!$B$26),"Low Block / Park the Bus",IF(AND(B803="FW",M803&gt;=Assumptions!$B$23,N803&lt;Assumptions!$B$26),"Direct / Target Approach","Flexible / Multi-System"))))))</f>
        <v>Counter-Attack / Transition</v>
      </c>
      <c r="AD803" s="21" t="str">
        <f aca="false">'Player Data'!Y803</f>
        <v>2026-07-17</v>
      </c>
      <c r="AE803" s="21" t="str">
        <f aca="false">'Player Data'!Z803</f>
        <v>2026-07-17</v>
      </c>
      <c r="AF803" s="28" t="str">
        <f aca="false">IFERROR(INDEX(Assumptions!$B$30:$B$61,MATCH(C803,Assumptions!$A$30:$A$61,0)),"--")</f>
        <v>Belgium, Portugal</v>
      </c>
      <c r="AG803" s="30" t="str">
        <f aca="false">IF(R803&gt;=0.7,"Step-Up Candidate",IF(R803&gt;=0.4,"Lateral Move","Stay &amp; Develop"))</f>
        <v>Lateral Move</v>
      </c>
    </row>
    <row r="804" customFormat="false" ht="23.85" hidden="false" customHeight="false" outlineLevel="0" collapsed="false">
      <c r="A804" s="21" t="str">
        <f aca="false">'Player Data'!A804</f>
        <v>Saba Kapanadze 13</v>
      </c>
      <c r="B804" s="21" t="str">
        <f aca="false">'Player Data'!F804</f>
        <v>MF</v>
      </c>
      <c r="C804" s="21" t="str">
        <f aca="false">'Player Data'!B804</f>
        <v>Georgia</v>
      </c>
      <c r="D804" s="21" t="str">
        <f aca="false">'Player Data'!C804</f>
        <v>Georgia Second Division</v>
      </c>
      <c r="E804" s="21" t="n">
        <f aca="false">'Player Data'!D804</f>
        <v>4</v>
      </c>
      <c r="F804" s="21" t="n">
        <f aca="false">'Player Data'!G804</f>
        <v>26</v>
      </c>
      <c r="G804" s="21" t="n">
        <f aca="false">'Player Data'!H804</f>
        <v>2552</v>
      </c>
      <c r="H804" s="22" t="n">
        <f aca="false">IF(B804="GK",IFERROR(('Player Data'!N804-1.5*'Player Data'!O804)/'Player Data'!H804*90,0),IFERROR(('Player Data'!I804+'Player Data'!J804)/'Player Data'!H804*90,0))</f>
        <v>0.45846394984326</v>
      </c>
      <c r="I804" s="22" t="n">
        <f aca="false">IF(B804="GK",'Player Data'!P804,IFERROR(('Player Data'!K804+'Player Data'!L804)/'Player Data'!H804*90,0))</f>
        <v>7.79388714733542</v>
      </c>
      <c r="J804" s="22" t="n">
        <f aca="false">IF(B804="GK",IFERROR('Player Data'!Q804/'Player Data'!H804*90,0),IFERROR('Player Data'!M804/'Player Data'!H804*90,0))</f>
        <v>1.48119122257053</v>
      </c>
      <c r="K804" s="23" t="n">
        <f aca="false">'Player Data'!S804</f>
        <v>51342</v>
      </c>
      <c r="L804" s="22" t="n">
        <f aca="false">INDEX(Assumptions!$B$13:$B$15,MATCH(E804,Assumptions!$A$13:$A$15,0))</f>
        <v>0.7</v>
      </c>
      <c r="M804" s="24" t="n">
        <f aca="false">IFERROR(SUMPRODUCT(($B$2:$B$1001=B804)*($H$2:$H$1001&lt;=H804))/SUMPRODUCT(($B$2:$B$1001=B804)*1),0)</f>
        <v>0.164983164983165</v>
      </c>
      <c r="N804" s="24" t="n">
        <f aca="false">IFERROR(SUMPRODUCT(($B$2:$B$1001=B804)*($I$2:$I$1001&lt;=I804))/SUMPRODUCT(($B$2:$B$1001=B804)*1),0)</f>
        <v>0.127946127946128</v>
      </c>
      <c r="O804" s="24" t="n">
        <f aca="false">IFERROR(SUMPRODUCT(($B$2:$B$1001=B804)*($J$2:$J$1001&lt;=J804))/SUMPRODUCT(($B$2:$B$1001=B804)*1),0)</f>
        <v>0.168350168350168</v>
      </c>
      <c r="P804" s="24" t="n">
        <f aca="false">IFERROR(SUMPRODUCT(($B$2:$B$1001=B804)*((0-$F$2:$F$1001)&lt;=(0-F804)))/SUMPRODUCT(($B$2:$B$1001=B804)*1),0)</f>
        <v>0.0909090909090909</v>
      </c>
      <c r="Q804" s="25" t="n">
        <f aca="false">(M804*Assumptions!$B$5+N804*Assumptions!$B$6+O804*Assumptions!$B$7+P804*Assumptions!$B$8)*L804</f>
        <v>0.0965151515151515</v>
      </c>
      <c r="R804" s="24" t="n">
        <f aca="false">IFERROR(SUMPRODUCT(($B$2:$B$1001=B804)*($Q$2:$Q$1001&lt;=Q804))/SUMPRODUCT(($B$2:$B$1001=B804)*1),0)</f>
        <v>0.00673400673400673</v>
      </c>
      <c r="S804" s="24" t="n">
        <f aca="false">IFERROR(SUMPRODUCT(($B$2:$B$1001=B804)*($K$2:$K$1001&lt;=K804))/SUMPRODUCT(($B$2:$B$1001=B804)*1),0)</f>
        <v>0.468013468013468</v>
      </c>
      <c r="T804" s="26" t="n">
        <f aca="false">(R804-S804)*100</f>
        <v>-46.1279461279461</v>
      </c>
      <c r="U804" s="21" t="str">
        <f aca="false">'Player Data'!T804</f>
        <v>Unknown</v>
      </c>
      <c r="V804" s="27" t="n">
        <f aca="false">'Player Data'!U804</f>
        <v>2028</v>
      </c>
      <c r="W804" s="21" t="str">
        <f aca="false">IF(AND(T804&gt;=Assumptions!$B$19,U804="No"),"High Priority - Unrepresented",IF(T804&gt;=Assumptions!$B$19,"High Priority",IF(AND(T804&gt;=Assumptions!$B$20,U804="No"),"Watchlist - Unrepresented",IF(T804&gt;=Assumptions!$B$20,"Watchlist",""))))</f>
        <v/>
      </c>
      <c r="X804" s="21" t="str">
        <f aca="false">'Player Data'!V804</f>
        <v>info@rustaviunited.ge</v>
      </c>
      <c r="Y804" s="28" t="str">
        <f aca="false">'Player Data'!W804</f>
        <v>Club sporting director / first-team office</v>
      </c>
      <c r="Z804" s="28" t="str">
        <f aca="false">'Player Data'!X804</f>
        <v>GFF (Georgian Football Federation) player registry</v>
      </c>
      <c r="AA804" s="19" t="str">
        <f aca="false">HYPERLINK("https://www.transfermarkt.com/schnellsuche/ergebnis/schnellsuche?query="&amp;SUBSTITUTE(A804," ","+"),"Search Transfermarkt")</f>
        <v>Search Transfermarkt</v>
      </c>
      <c r="AB804" s="29" t="n">
        <f aca="false">IFERROR('Player Data'!K804/('Player Data'!K804+'Player Data'!L804),0)</f>
        <v>0.561085972850679</v>
      </c>
      <c r="AC804" s="21" t="str">
        <f aca="false">IF(B804="GK",IF(AND(O804&gt;=Assumptions!$B$23,N804&gt;=Assumptions!$B$23),"Sweeper-Keeper / Build-from-the-Back",IF(O804&gt;=Assumptions!$B$23,"Sweeper-Keeper / High Line",IF(M804&gt;=Assumptions!$B$23,"Shot-Stopper / Traditional","Flexible / Multi-System"))),IF(AND(O804&gt;=Assumptions!$B$23,P804&gt;=Assumptions!$B$24),"High Press / Gegenpressing",IF(AND(N804&gt;=Assumptions!$B$23,AB804&gt;=Assumptions!$B$25),"Possession / Build-from-the-Back",IF(N804&gt;=Assumptions!$B$23,"Counter-Attack / Transition",IF(AND(O804&gt;=Assumptions!$B$23,N804&lt;Assumptions!$B$26),"Low Block / Park the Bus",IF(AND(B804="FW",M804&gt;=Assumptions!$B$23,N804&lt;Assumptions!$B$26),"Direct / Target Approach","Flexible / Multi-System"))))))</f>
        <v>Flexible / Multi-System</v>
      </c>
      <c r="AD804" s="21" t="str">
        <f aca="false">'Player Data'!Y804</f>
        <v>2026-07-17</v>
      </c>
      <c r="AE804" s="21" t="str">
        <f aca="false">'Player Data'!Z804</f>
        <v>2026-07-17</v>
      </c>
      <c r="AF804" s="28" t="str">
        <f aca="false">IFERROR(INDEX(Assumptions!$B$30:$B$61,MATCH(C804,Assumptions!$A$30:$A$61,0)),"--")</f>
        <v>Turkey, Poland</v>
      </c>
      <c r="AG804" s="30" t="str">
        <f aca="false">IF(R804&gt;=0.7,"Step-Up Candidate",IF(R804&gt;=0.4,"Lateral Move","Stay &amp; Develop"))</f>
        <v>Stay &amp; Develop</v>
      </c>
    </row>
    <row r="805" customFormat="false" ht="23.85" hidden="false" customHeight="false" outlineLevel="0" collapsed="false">
      <c r="A805" s="21" t="str">
        <f aca="false">'Player Data'!A805</f>
        <v>Emmanuel Asante</v>
      </c>
      <c r="B805" s="21" t="str">
        <f aca="false">'Player Data'!F805</f>
        <v>GK</v>
      </c>
      <c r="C805" s="21" t="str">
        <f aca="false">'Player Data'!B805</f>
        <v>Ghana</v>
      </c>
      <c r="D805" s="21" t="str">
        <f aca="false">'Player Data'!C805</f>
        <v>Ghana Third Tier - South</v>
      </c>
      <c r="E805" s="21" t="n">
        <f aca="false">'Player Data'!D805</f>
        <v>3</v>
      </c>
      <c r="F805" s="21" t="n">
        <f aca="false">'Player Data'!G805</f>
        <v>25</v>
      </c>
      <c r="G805" s="21" t="n">
        <f aca="false">'Player Data'!H805</f>
        <v>1944</v>
      </c>
      <c r="H805" s="22" t="n">
        <f aca="false">IF(B805="GK",IFERROR(('Player Data'!N805-1.5*'Player Data'!O805)/'Player Data'!H805*90,0),IFERROR(('Player Data'!I805+'Player Data'!J805)/'Player Data'!H805*90,0))</f>
        <v>0.162037037037037</v>
      </c>
      <c r="I805" s="22" t="n">
        <f aca="false">IF(B805="GK",'Player Data'!P805,IFERROR(('Player Data'!K805+'Player Data'!L805)/'Player Data'!H805*90,0))</f>
        <v>80.9</v>
      </c>
      <c r="J805" s="22" t="n">
        <f aca="false">IF(B805="GK",IFERROR('Player Data'!Q805/'Player Data'!H805*90,0),IFERROR('Player Data'!M805/'Player Data'!H805*90,0))</f>
        <v>0.439814814814815</v>
      </c>
      <c r="K805" s="23" t="n">
        <f aca="false">'Player Data'!S805</f>
        <v>14646</v>
      </c>
      <c r="L805" s="22" t="n">
        <f aca="false">INDEX(Assumptions!$B$13:$B$15,MATCH(E805,Assumptions!$A$13:$A$15,0))</f>
        <v>0.85</v>
      </c>
      <c r="M805" s="24" t="n">
        <f aca="false">IFERROR(SUMPRODUCT(($B$2:$B$1001=B805)*($H$2:$H$1001&lt;=H805))/SUMPRODUCT(($B$2:$B$1001=B805)*1),0)</f>
        <v>0.218579234972678</v>
      </c>
      <c r="N805" s="24" t="n">
        <f aca="false">IFERROR(SUMPRODUCT(($B$2:$B$1001=B805)*($I$2:$I$1001&lt;=I805))/SUMPRODUCT(($B$2:$B$1001=B805)*1),0)</f>
        <v>0.688524590163934</v>
      </c>
      <c r="O805" s="24" t="n">
        <f aca="false">IFERROR(SUMPRODUCT(($B$2:$B$1001=B805)*($J$2:$J$1001&lt;=J805))/SUMPRODUCT(($B$2:$B$1001=B805)*1),0)</f>
        <v>0.202185792349727</v>
      </c>
      <c r="P805" s="24" t="n">
        <f aca="false">IFERROR(SUMPRODUCT(($B$2:$B$1001=B805)*((0-$F$2:$F$1001)&lt;=(0-F805)))/SUMPRODUCT(($B$2:$B$1001=B805)*1),0)</f>
        <v>0.240437158469945</v>
      </c>
      <c r="Q805" s="25" t="n">
        <f aca="false">(M805*Assumptions!$B$5+N805*Assumptions!$B$6+O805*Assumptions!$B$7+P805*Assumptions!$B$8)*L805</f>
        <v>0.326530054644809</v>
      </c>
      <c r="R805" s="24" t="n">
        <f aca="false">IFERROR(SUMPRODUCT(($B$2:$B$1001=B805)*($Q$2:$Q$1001&lt;=Q805))/SUMPRODUCT(($B$2:$B$1001=B805)*1),0)</f>
        <v>0.185792349726776</v>
      </c>
      <c r="S805" s="24" t="n">
        <f aca="false">IFERROR(SUMPRODUCT(($B$2:$B$1001=B805)*($K$2:$K$1001&lt;=K805))/SUMPRODUCT(($B$2:$B$1001=B805)*1),0)</f>
        <v>0.251366120218579</v>
      </c>
      <c r="T805" s="26" t="n">
        <f aca="false">(R805-S805)*100</f>
        <v>-6.55737704918033</v>
      </c>
      <c r="U805" s="21" t="str">
        <f aca="false">'Player Data'!T805</f>
        <v>Yes</v>
      </c>
      <c r="V805" s="27" t="n">
        <f aca="false">'Player Data'!U805</f>
        <v>2026</v>
      </c>
      <c r="W805" s="21" t="str">
        <f aca="false">IF(AND(T805&gt;=Assumptions!$B$19,U805="No"),"High Priority - Unrepresented",IF(T805&gt;=Assumptions!$B$19,"High Priority",IF(AND(T805&gt;=Assumptions!$B$20,U805="No"),"Watchlist - Unrepresented",IF(T805&gt;=Assumptions!$B$20,"Watchlist",""))))</f>
        <v/>
      </c>
      <c r="X805" s="21" t="str">
        <f aca="false">'Player Data'!V805</f>
        <v>info@accracity.gh</v>
      </c>
      <c r="Y805" s="28" t="str">
        <f aca="false">'Player Data'!W805</f>
        <v>Go through the player's agent - ask the club to confirm representation first</v>
      </c>
      <c r="Z805" s="28" t="str">
        <f aca="false">'Player Data'!X805</f>
        <v>GFA (Ghana Football Association) player registry</v>
      </c>
      <c r="AA805" s="19" t="str">
        <f aca="false">HYPERLINK("https://www.transfermarkt.com/schnellsuche/ergebnis/schnellsuche?query="&amp;SUBSTITUTE(A805," ","+"),"Search Transfermarkt")</f>
        <v>Search Transfermarkt</v>
      </c>
      <c r="AB805" s="29" t="n">
        <f aca="false">IFERROR('Player Data'!K805/('Player Data'!K805+'Player Data'!L805),0)</f>
        <v>0.923076923076923</v>
      </c>
      <c r="AC805" s="21" t="str">
        <f aca="false">IF(B805="GK",IF(AND(O805&gt;=Assumptions!$B$23,N805&gt;=Assumptions!$B$23),"Sweeper-Keeper / Build-from-the-Back",IF(O805&gt;=Assumptions!$B$23,"Sweeper-Keeper / High Line",IF(M805&gt;=Assumptions!$B$23,"Shot-Stopper / Traditional","Flexible / Multi-System"))),IF(AND(O805&gt;=Assumptions!$B$23,P805&gt;=Assumptions!$B$24),"High Press / Gegenpressing",IF(AND(N805&gt;=Assumptions!$B$23,AB805&gt;=Assumptions!$B$25),"Possession / Build-from-the-Back",IF(N805&gt;=Assumptions!$B$23,"Counter-Attack / Transition",IF(AND(O805&gt;=Assumptions!$B$23,N805&lt;Assumptions!$B$26),"Low Block / Park the Bus",IF(AND(B805="FW",M805&gt;=Assumptions!$B$23,N805&lt;Assumptions!$B$26),"Direct / Target Approach","Flexible / Multi-System"))))))</f>
        <v>Flexible / Multi-System</v>
      </c>
      <c r="AD805" s="21" t="str">
        <f aca="false">'Player Data'!Y805</f>
        <v>2026-07-17</v>
      </c>
      <c r="AE805" s="21" t="str">
        <f aca="false">'Player Data'!Z805</f>
        <v>2026-07-17</v>
      </c>
      <c r="AF805" s="28" t="str">
        <f aca="false">IFERROR(INDEX(Assumptions!$B$30:$B$61,MATCH(C805,Assumptions!$A$30:$A$61,0)),"--")</f>
        <v>Belgium, Portugal</v>
      </c>
      <c r="AG805" s="30" t="str">
        <f aca="false">IF(R805&gt;=0.7,"Step-Up Candidate",IF(R805&gt;=0.4,"Lateral Move","Stay &amp; Develop"))</f>
        <v>Stay &amp; Develop</v>
      </c>
    </row>
    <row r="806" customFormat="false" ht="23.85" hidden="false" customHeight="false" outlineLevel="0" collapsed="false">
      <c r="A806" s="21" t="str">
        <f aca="false">'Player Data'!A806</f>
        <v>Given Sakala</v>
      </c>
      <c r="B806" s="21" t="str">
        <f aca="false">'Player Data'!F806</f>
        <v>MF</v>
      </c>
      <c r="C806" s="21" t="str">
        <f aca="false">'Player Data'!B806</f>
        <v>Zambia</v>
      </c>
      <c r="D806" s="21" t="str">
        <f aca="false">'Player Data'!C806</f>
        <v>Zambia Second Division - East</v>
      </c>
      <c r="E806" s="21" t="n">
        <f aca="false">'Player Data'!D806</f>
        <v>2</v>
      </c>
      <c r="F806" s="21" t="n">
        <f aca="false">'Player Data'!G806</f>
        <v>19</v>
      </c>
      <c r="G806" s="21" t="n">
        <f aca="false">'Player Data'!H806</f>
        <v>2581</v>
      </c>
      <c r="H806" s="22" t="n">
        <f aca="false">IF(B806="GK",IFERROR(('Player Data'!N806-1.5*'Player Data'!O806)/'Player Data'!H806*90,0),IFERROR(('Player Data'!I806+'Player Data'!J806)/'Player Data'!H806*90,0))</f>
        <v>0.523053080201472</v>
      </c>
      <c r="I806" s="22" t="n">
        <f aca="false">IF(B806="GK",'Player Data'!P806,IFERROR(('Player Data'!K806+'Player Data'!L806)/'Player Data'!H806*90,0))</f>
        <v>9.27547462223944</v>
      </c>
      <c r="J806" s="22" t="n">
        <f aca="false">IF(B806="GK",IFERROR('Player Data'!Q806/'Player Data'!H806*90,0),IFERROR('Player Data'!M806/'Player Data'!H806*90,0))</f>
        <v>1.91786129407207</v>
      </c>
      <c r="K806" s="23" t="n">
        <f aca="false">'Player Data'!S806</f>
        <v>69491</v>
      </c>
      <c r="L806" s="22" t="n">
        <f aca="false">INDEX(Assumptions!$B$13:$B$15,MATCH(E806,Assumptions!$A$13:$A$15,0))</f>
        <v>1</v>
      </c>
      <c r="M806" s="24" t="n">
        <f aca="false">IFERROR(SUMPRODUCT(($B$2:$B$1001=B806)*($H$2:$H$1001&lt;=H806))/SUMPRODUCT(($B$2:$B$1001=B806)*1),0)</f>
        <v>0.239057239057239</v>
      </c>
      <c r="N806" s="24" t="n">
        <f aca="false">IFERROR(SUMPRODUCT(($B$2:$B$1001=B806)*($I$2:$I$1001&lt;=I806))/SUMPRODUCT(($B$2:$B$1001=B806)*1),0)</f>
        <v>0.333333333333333</v>
      </c>
      <c r="O806" s="24" t="n">
        <f aca="false">IFERROR(SUMPRODUCT(($B$2:$B$1001=B806)*($J$2:$J$1001&lt;=J806))/SUMPRODUCT(($B$2:$B$1001=B806)*1),0)</f>
        <v>0.38047138047138</v>
      </c>
      <c r="P806" s="24" t="n">
        <f aca="false">IFERROR(SUMPRODUCT(($B$2:$B$1001=B806)*((0-$F$2:$F$1001)&lt;=(0-F806)))/SUMPRODUCT(($B$2:$B$1001=B806)*1),0)</f>
        <v>0.868686868686869</v>
      </c>
      <c r="Q806" s="25" t="n">
        <f aca="false">(M806*Assumptions!$B$5+N806*Assumptions!$B$6+O806*Assumptions!$B$7+P806*Assumptions!$B$8)*L806</f>
        <v>0.426262626262626</v>
      </c>
      <c r="R806" s="24" t="n">
        <f aca="false">IFERROR(SUMPRODUCT(($B$2:$B$1001=B806)*($Q$2:$Q$1001&lt;=Q806))/SUMPRODUCT(($B$2:$B$1001=B806)*1),0)</f>
        <v>0.478114478114478</v>
      </c>
      <c r="S806" s="24" t="n">
        <f aca="false">IFERROR(SUMPRODUCT(($B$2:$B$1001=B806)*($K$2:$K$1001&lt;=K806))/SUMPRODUCT(($B$2:$B$1001=B806)*1),0)</f>
        <v>0.565656565656566</v>
      </c>
      <c r="T806" s="26" t="n">
        <f aca="false">(R806-S806)*100</f>
        <v>-8.75420875420875</v>
      </c>
      <c r="U806" s="21" t="str">
        <f aca="false">'Player Data'!T806</f>
        <v>Unknown</v>
      </c>
      <c r="V806" s="27" t="n">
        <f aca="false">'Player Data'!U806</f>
        <v>2026</v>
      </c>
      <c r="W806" s="21" t="str">
        <f aca="false">IF(AND(T806&gt;=Assumptions!$B$19,U806="No"),"High Priority - Unrepresented",IF(T806&gt;=Assumptions!$B$19,"High Priority",IF(AND(T806&gt;=Assumptions!$B$20,U806="No"),"Watchlist - Unrepresented",IF(T806&gt;=Assumptions!$B$20,"Watchlist",""))))</f>
        <v/>
      </c>
      <c r="X806" s="21" t="str">
        <f aca="false">'Player Data'!V806</f>
        <v>info@kitwerangers.zm</v>
      </c>
      <c r="Y806" s="28" t="str">
        <f aca="false">'Player Data'!W806</f>
        <v>Club sporting director / first-team office</v>
      </c>
      <c r="Z806" s="28" t="str">
        <f aca="false">'Player Data'!X806</f>
        <v>FAZ (Football Association of Zambia) player registry</v>
      </c>
      <c r="AA806" s="19" t="str">
        <f aca="false">HYPERLINK("https://www.transfermarkt.com/schnellsuche/ergebnis/schnellsuche?query="&amp;SUBSTITUTE(A806," ","+"),"Search Transfermarkt")</f>
        <v>Search Transfermarkt</v>
      </c>
      <c r="AB806" s="29" t="n">
        <f aca="false">IFERROR('Player Data'!K806/('Player Data'!K806+'Player Data'!L806),0)</f>
        <v>0.631578947368421</v>
      </c>
      <c r="AC806" s="21" t="str">
        <f aca="false">IF(B806="GK",IF(AND(O806&gt;=Assumptions!$B$23,N806&gt;=Assumptions!$B$23),"Sweeper-Keeper / Build-from-the-Back",IF(O806&gt;=Assumptions!$B$23,"Sweeper-Keeper / High Line",IF(M806&gt;=Assumptions!$B$23,"Shot-Stopper / Traditional","Flexible / Multi-System"))),IF(AND(O806&gt;=Assumptions!$B$23,P806&gt;=Assumptions!$B$24),"High Press / Gegenpressing",IF(AND(N806&gt;=Assumptions!$B$23,AB806&gt;=Assumptions!$B$25),"Possession / Build-from-the-Back",IF(N806&gt;=Assumptions!$B$23,"Counter-Attack / Transition",IF(AND(O806&gt;=Assumptions!$B$23,N806&lt;Assumptions!$B$26),"Low Block / Park the Bus",IF(AND(B806="FW",M806&gt;=Assumptions!$B$23,N806&lt;Assumptions!$B$26),"Direct / Target Approach","Flexible / Multi-System"))))))</f>
        <v>Flexible / Multi-System</v>
      </c>
      <c r="AD806" s="21" t="str">
        <f aca="false">'Player Data'!Y806</f>
        <v>2026-07-17</v>
      </c>
      <c r="AE806" s="21" t="str">
        <f aca="false">'Player Data'!Z806</f>
        <v>2026-07-17</v>
      </c>
      <c r="AF806" s="28" t="str">
        <f aca="false">IFERROR(INDEX(Assumptions!$B$30:$B$61,MATCH(C806,Assumptions!$A$30:$A$61,0)),"--")</f>
        <v>Belgium, Portugal</v>
      </c>
      <c r="AG806" s="30" t="str">
        <f aca="false">IF(R806&gt;=0.7,"Step-Up Candidate",IF(R806&gt;=0.4,"Lateral Move","Stay &amp; Develop"))</f>
        <v>Lateral Move</v>
      </c>
    </row>
    <row r="807" customFormat="false" ht="23.85" hidden="false" customHeight="false" outlineLevel="0" collapsed="false">
      <c r="A807" s="21" t="str">
        <f aca="false">'Player Data'!A807</f>
        <v>Somchai Sanguan</v>
      </c>
      <c r="B807" s="21" t="str">
        <f aca="false">'Player Data'!F807</f>
        <v>MF</v>
      </c>
      <c r="C807" s="21" t="str">
        <f aca="false">'Player Data'!B807</f>
        <v>Thailand</v>
      </c>
      <c r="D807" s="21" t="str">
        <f aca="false">'Player Data'!C807</f>
        <v>Thailand Third Tier - North</v>
      </c>
      <c r="E807" s="21" t="n">
        <f aca="false">'Player Data'!D807</f>
        <v>2</v>
      </c>
      <c r="F807" s="21" t="n">
        <f aca="false">'Player Data'!G807</f>
        <v>19</v>
      </c>
      <c r="G807" s="21" t="n">
        <f aca="false">'Player Data'!H807</f>
        <v>1188</v>
      </c>
      <c r="H807" s="22" t="n">
        <f aca="false">IF(B807="GK",IFERROR(('Player Data'!N807-1.5*'Player Data'!O807)/'Player Data'!H807*90,0),IFERROR(('Player Data'!I807+'Player Data'!J807)/'Player Data'!H807*90,0))</f>
        <v>1.28787878787879</v>
      </c>
      <c r="I807" s="22" t="n">
        <f aca="false">IF(B807="GK",'Player Data'!P807,IFERROR(('Player Data'!K807+'Player Data'!L807)/'Player Data'!H807*90,0))</f>
        <v>16.4393939393939</v>
      </c>
      <c r="J807" s="22" t="n">
        <f aca="false">IF(B807="GK",IFERROR('Player Data'!Q807/'Player Data'!H807*90,0),IFERROR('Player Data'!M807/'Player Data'!H807*90,0))</f>
        <v>3.33333333333333</v>
      </c>
      <c r="K807" s="23" t="n">
        <f aca="false">'Player Data'!S807</f>
        <v>65982</v>
      </c>
      <c r="L807" s="22" t="n">
        <f aca="false">INDEX(Assumptions!$B$13:$B$15,MATCH(E807,Assumptions!$A$13:$A$15,0))</f>
        <v>1</v>
      </c>
      <c r="M807" s="24" t="n">
        <f aca="false">IFERROR(SUMPRODUCT(($B$2:$B$1001=B807)*($H$2:$H$1001&lt;=H807))/SUMPRODUCT(($B$2:$B$1001=B807)*1),0)</f>
        <v>0.872053872053872</v>
      </c>
      <c r="N807" s="24" t="n">
        <f aca="false">IFERROR(SUMPRODUCT(($B$2:$B$1001=B807)*($I$2:$I$1001&lt;=I807))/SUMPRODUCT(($B$2:$B$1001=B807)*1),0)</f>
        <v>0.821548821548822</v>
      </c>
      <c r="O807" s="24" t="n">
        <f aca="false">IFERROR(SUMPRODUCT(($B$2:$B$1001=B807)*($J$2:$J$1001&lt;=J807))/SUMPRODUCT(($B$2:$B$1001=B807)*1),0)</f>
        <v>0.818181818181818</v>
      </c>
      <c r="P807" s="24" t="n">
        <f aca="false">IFERROR(SUMPRODUCT(($B$2:$B$1001=B807)*((0-$F$2:$F$1001)&lt;=(0-F807)))/SUMPRODUCT(($B$2:$B$1001=B807)*1),0)</f>
        <v>0.868686868686869</v>
      </c>
      <c r="Q807" s="25" t="n">
        <f aca="false">(M807*Assumptions!$B$5+N807*Assumptions!$B$6+O807*Assumptions!$B$7+P807*Assumptions!$B$8)*L807</f>
        <v>0.842929292929293</v>
      </c>
      <c r="R807" s="24" t="n">
        <f aca="false">IFERROR(SUMPRODUCT(($B$2:$B$1001=B807)*($Q$2:$Q$1001&lt;=Q807))/SUMPRODUCT(($B$2:$B$1001=B807)*1),0)</f>
        <v>0.966329966329966</v>
      </c>
      <c r="S807" s="24" t="n">
        <f aca="false">IFERROR(SUMPRODUCT(($B$2:$B$1001=B807)*($K$2:$K$1001&lt;=K807))/SUMPRODUCT(($B$2:$B$1001=B807)*1),0)</f>
        <v>0.548821548821549</v>
      </c>
      <c r="T807" s="26" t="n">
        <f aca="false">(R807-S807)*100</f>
        <v>41.7508417508418</v>
      </c>
      <c r="U807" s="21" t="str">
        <f aca="false">'Player Data'!T807</f>
        <v>Yes</v>
      </c>
      <c r="V807" s="27" t="n">
        <f aca="false">'Player Data'!U807</f>
        <v>2027</v>
      </c>
      <c r="W807" s="21" t="str">
        <f aca="false">IF(AND(T807&gt;=Assumptions!$B$19,U807="No"),"High Priority - Unrepresented",IF(T807&gt;=Assumptions!$B$19,"High Priority",IF(AND(T807&gt;=Assumptions!$B$20,U807="No"),"Watchlist - Unrepresented",IF(T807&gt;=Assumptions!$B$20,"Watchlist",""))))</f>
        <v>High Priority</v>
      </c>
      <c r="X807" s="21" t="str">
        <f aca="false">'Player Data'!V807</f>
        <v>info@chiangmaifc.th</v>
      </c>
      <c r="Y807" s="28" t="str">
        <f aca="false">'Player Data'!W807</f>
        <v>Go through the player's agent - ask the club to confirm representation first</v>
      </c>
      <c r="Z807" s="28" t="str">
        <f aca="false">'Player Data'!X807</f>
        <v>FAT (Football Association of Thailand) player registry</v>
      </c>
      <c r="AA807" s="19" t="str">
        <f aca="false">HYPERLINK("https://www.transfermarkt.com/schnellsuche/ergebnis/schnellsuche?query="&amp;SUBSTITUTE(A807," ","+"),"Search Transfermarkt")</f>
        <v>Search Transfermarkt</v>
      </c>
      <c r="AB807" s="29" t="n">
        <f aca="false">IFERROR('Player Data'!K807/('Player Data'!K807+'Player Data'!L807),0)</f>
        <v>0.755760368663594</v>
      </c>
      <c r="AC807" s="21" t="str">
        <f aca="false">IF(B807="GK",IF(AND(O807&gt;=Assumptions!$B$23,N807&gt;=Assumptions!$B$23),"Sweeper-Keeper / Build-from-the-Back",IF(O807&gt;=Assumptions!$B$23,"Sweeper-Keeper / High Line",IF(M807&gt;=Assumptions!$B$23,"Shot-Stopper / Traditional","Flexible / Multi-System"))),IF(AND(O807&gt;=Assumptions!$B$23,P807&gt;=Assumptions!$B$24),"High Press / Gegenpressing",IF(AND(N807&gt;=Assumptions!$B$23,AB807&gt;=Assumptions!$B$25),"Possession / Build-from-the-Back",IF(N807&gt;=Assumptions!$B$23,"Counter-Attack / Transition",IF(AND(O807&gt;=Assumptions!$B$23,N807&lt;Assumptions!$B$26),"Low Block / Park the Bus",IF(AND(B807="FW",M807&gt;=Assumptions!$B$23,N807&lt;Assumptions!$B$26),"Direct / Target Approach","Flexible / Multi-System"))))))</f>
        <v>High Press / Gegenpressing</v>
      </c>
      <c r="AD807" s="21" t="str">
        <f aca="false">'Player Data'!Y807</f>
        <v>2026-07-17</v>
      </c>
      <c r="AE807" s="21" t="str">
        <f aca="false">'Player Data'!Z807</f>
        <v>2026-07-17</v>
      </c>
      <c r="AF807" s="28" t="str">
        <f aca="false">IFERROR(INDEX(Assumptions!$B$30:$B$61,MATCH(C807,Assumptions!$A$30:$A$61,0)),"--")</f>
        <v>Australia, Saudi Arabia</v>
      </c>
      <c r="AG807" s="30" t="str">
        <f aca="false">IF(R807&gt;=0.7,"Step-Up Candidate",IF(R807&gt;=0.4,"Lateral Move","Stay &amp; Develop"))</f>
        <v>Step-Up Candidate</v>
      </c>
    </row>
    <row r="808" customFormat="false" ht="23.85" hidden="false" customHeight="false" outlineLevel="0" collapsed="false">
      <c r="A808" s="21" t="str">
        <f aca="false">'Player Data'!A808</f>
        <v>Rok Zupan</v>
      </c>
      <c r="B808" s="21" t="str">
        <f aca="false">'Player Data'!F808</f>
        <v>DF</v>
      </c>
      <c r="C808" s="21" t="str">
        <f aca="false">'Player Data'!B808</f>
        <v>Slovenia</v>
      </c>
      <c r="D808" s="21" t="str">
        <f aca="false">'Player Data'!C808</f>
        <v>Slovenia Second Division - West</v>
      </c>
      <c r="E808" s="21" t="n">
        <f aca="false">'Player Data'!D808</f>
        <v>2</v>
      </c>
      <c r="F808" s="21" t="n">
        <f aca="false">'Player Data'!G808</f>
        <v>18</v>
      </c>
      <c r="G808" s="21" t="n">
        <f aca="false">'Player Data'!H808</f>
        <v>2199</v>
      </c>
      <c r="H808" s="22" t="n">
        <f aca="false">IF(B808="GK",IFERROR(('Player Data'!N808-1.5*'Player Data'!O808)/'Player Data'!H808*90,0),IFERROR(('Player Data'!I808+'Player Data'!J808)/'Player Data'!H808*90,0))</f>
        <v>0.286493860845839</v>
      </c>
      <c r="I808" s="22" t="n">
        <f aca="false">IF(B808="GK",'Player Data'!P808,IFERROR(('Player Data'!K808+'Player Data'!L808)/'Player Data'!H808*90,0))</f>
        <v>3.47885402455662</v>
      </c>
      <c r="J808" s="22" t="n">
        <f aca="false">IF(B808="GK",IFERROR('Player Data'!Q808/'Player Data'!H808*90,0),IFERROR('Player Data'!M808/'Player Data'!H808*90,0))</f>
        <v>4.17462482946794</v>
      </c>
      <c r="K808" s="23" t="n">
        <f aca="false">'Player Data'!S808</f>
        <v>144182</v>
      </c>
      <c r="L808" s="22" t="n">
        <f aca="false">INDEX(Assumptions!$B$13:$B$15,MATCH(E808,Assumptions!$A$13:$A$15,0))</f>
        <v>1</v>
      </c>
      <c r="M808" s="24" t="n">
        <f aca="false">IFERROR(SUMPRODUCT(($B$2:$B$1001=B808)*($H$2:$H$1001&lt;=H808))/SUMPRODUCT(($B$2:$B$1001=B808)*1),0)</f>
        <v>0.748299319727891</v>
      </c>
      <c r="N808" s="24" t="n">
        <f aca="false">IFERROR(SUMPRODUCT(($B$2:$B$1001=B808)*($I$2:$I$1001&lt;=I808))/SUMPRODUCT(($B$2:$B$1001=B808)*1),0)</f>
        <v>0.224489795918367</v>
      </c>
      <c r="O808" s="24" t="n">
        <f aca="false">IFERROR(SUMPRODUCT(($B$2:$B$1001=B808)*($J$2:$J$1001&lt;=J808))/SUMPRODUCT(($B$2:$B$1001=B808)*1),0)</f>
        <v>0.27891156462585</v>
      </c>
      <c r="P808" s="24" t="n">
        <f aca="false">IFERROR(SUMPRODUCT(($B$2:$B$1001=B808)*((0-$F$2:$F$1001)&lt;=(0-F808)))/SUMPRODUCT(($B$2:$B$1001=B808)*1),0)</f>
        <v>0.863945578231293</v>
      </c>
      <c r="Q808" s="25" t="n">
        <f aca="false">(M808*Assumptions!$B$5+N808*Assumptions!$B$6+O808*Assumptions!$B$7+P808*Assumptions!$B$8)*L808</f>
        <v>0.49421768707483</v>
      </c>
      <c r="R808" s="24" t="n">
        <f aca="false">IFERROR(SUMPRODUCT(($B$2:$B$1001=B808)*($Q$2:$Q$1001&lt;=Q808))/SUMPRODUCT(($B$2:$B$1001=B808)*1),0)</f>
        <v>0.625850340136055</v>
      </c>
      <c r="S808" s="24" t="n">
        <f aca="false">IFERROR(SUMPRODUCT(($B$2:$B$1001=B808)*($K$2:$K$1001&lt;=K808))/SUMPRODUCT(($B$2:$B$1001=B808)*1),0)</f>
        <v>0.972789115646259</v>
      </c>
      <c r="T808" s="26" t="n">
        <f aca="false">(R808-S808)*100</f>
        <v>-34.6938775510204</v>
      </c>
      <c r="U808" s="21" t="str">
        <f aca="false">'Player Data'!T808</f>
        <v>Unknown</v>
      </c>
      <c r="V808" s="27" t="n">
        <f aca="false">'Player Data'!U808</f>
        <v>2026</v>
      </c>
      <c r="W808" s="21" t="str">
        <f aca="false">IF(AND(T808&gt;=Assumptions!$B$19,U808="No"),"High Priority - Unrepresented",IF(T808&gt;=Assumptions!$B$19,"High Priority",IF(AND(T808&gt;=Assumptions!$B$20,U808="No"),"Watchlist - Unrepresented",IF(T808&gt;=Assumptions!$B$20,"Watchlist",""))))</f>
        <v/>
      </c>
      <c r="X808" s="21" t="str">
        <f aca="false">'Player Data'!V808</f>
        <v>info@kranjunited.si</v>
      </c>
      <c r="Y808" s="28" t="str">
        <f aca="false">'Player Data'!W808</f>
        <v>Club sporting director / first-team office</v>
      </c>
      <c r="Z808" s="28" t="str">
        <f aca="false">'Player Data'!X808</f>
        <v>NZS (Football Association of Slovenia) player registry</v>
      </c>
      <c r="AA808" s="19" t="str">
        <f aca="false">HYPERLINK("https://www.transfermarkt.com/schnellsuche/ergebnis/schnellsuche?query="&amp;SUBSTITUTE(A808," ","+"),"Search Transfermarkt")</f>
        <v>Search Transfermarkt</v>
      </c>
      <c r="AB808" s="29" t="n">
        <f aca="false">IFERROR('Player Data'!K808/('Player Data'!K808+'Player Data'!L808),0)</f>
        <v>0.505882352941176</v>
      </c>
      <c r="AC808" s="21" t="str">
        <f aca="false">IF(B808="GK",IF(AND(O808&gt;=Assumptions!$B$23,N808&gt;=Assumptions!$B$23),"Sweeper-Keeper / Build-from-the-Back",IF(O808&gt;=Assumptions!$B$23,"Sweeper-Keeper / High Line",IF(M808&gt;=Assumptions!$B$23,"Shot-Stopper / Traditional","Flexible / Multi-System"))),IF(AND(O808&gt;=Assumptions!$B$23,P808&gt;=Assumptions!$B$24),"High Press / Gegenpressing",IF(AND(N808&gt;=Assumptions!$B$23,AB808&gt;=Assumptions!$B$25),"Possession / Build-from-the-Back",IF(N808&gt;=Assumptions!$B$23,"Counter-Attack / Transition",IF(AND(O808&gt;=Assumptions!$B$23,N808&lt;Assumptions!$B$26),"Low Block / Park the Bus",IF(AND(B808="FW",M808&gt;=Assumptions!$B$23,N808&lt;Assumptions!$B$26),"Direct / Target Approach","Flexible / Multi-System"))))))</f>
        <v>Flexible / Multi-System</v>
      </c>
      <c r="AD808" s="21" t="str">
        <f aca="false">'Player Data'!Y808</f>
        <v>2026-07-17</v>
      </c>
      <c r="AE808" s="21" t="str">
        <f aca="false">'Player Data'!Z808</f>
        <v>2026-07-17</v>
      </c>
      <c r="AF808" s="28" t="str">
        <f aca="false">IFERROR(INDEX(Assumptions!$B$30:$B$61,MATCH(C808,Assumptions!$A$30:$A$61,0)),"--")</f>
        <v>Austria, Poland</v>
      </c>
      <c r="AG808" s="30" t="str">
        <f aca="false">IF(R808&gt;=0.7,"Step-Up Candidate",IF(R808&gt;=0.4,"Lateral Move","Stay &amp; Develop"))</f>
        <v>Lateral Move</v>
      </c>
    </row>
    <row r="809" customFormat="false" ht="23.85" hidden="false" customHeight="false" outlineLevel="0" collapsed="false">
      <c r="A809" s="21" t="str">
        <f aca="false">'Player Data'!A809</f>
        <v>Diego Martinez</v>
      </c>
      <c r="B809" s="21" t="str">
        <f aca="false">'Player Data'!F809</f>
        <v>FW</v>
      </c>
      <c r="C809" s="21" t="str">
        <f aca="false">'Player Data'!B809</f>
        <v>Bolivia</v>
      </c>
      <c r="D809" s="21" t="str">
        <f aca="false">'Player Data'!C809</f>
        <v>Bolivia Second Division</v>
      </c>
      <c r="E809" s="21" t="n">
        <f aca="false">'Player Data'!D809</f>
        <v>2</v>
      </c>
      <c r="F809" s="21" t="n">
        <f aca="false">'Player Data'!G809</f>
        <v>21</v>
      </c>
      <c r="G809" s="21" t="n">
        <f aca="false">'Player Data'!H809</f>
        <v>1392</v>
      </c>
      <c r="H809" s="22" t="n">
        <f aca="false">IF(B809="GK",IFERROR(('Player Data'!N809-1.5*'Player Data'!O809)/'Player Data'!H809*90,0),IFERROR(('Player Data'!I809+'Player Data'!J809)/'Player Data'!H809*90,0))</f>
        <v>1.35775862068966</v>
      </c>
      <c r="I809" s="22" t="n">
        <f aca="false">IF(B809="GK",'Player Data'!P809,IFERROR(('Player Data'!K809+'Player Data'!L809)/'Player Data'!H809*90,0))</f>
        <v>8.53448275862069</v>
      </c>
      <c r="J809" s="22" t="n">
        <f aca="false">IF(B809="GK",IFERROR('Player Data'!Q809/'Player Data'!H809*90,0),IFERROR('Player Data'!M809/'Player Data'!H809*90,0))</f>
        <v>0.84051724137931</v>
      </c>
      <c r="K809" s="23" t="n">
        <f aca="false">'Player Data'!S809</f>
        <v>105031</v>
      </c>
      <c r="L809" s="22" t="n">
        <f aca="false">INDEX(Assumptions!$B$13:$B$15,MATCH(E809,Assumptions!$A$13:$A$15,0))</f>
        <v>1</v>
      </c>
      <c r="M809" s="24" t="n">
        <f aca="false">IFERROR(SUMPRODUCT(($B$2:$B$1001=B809)*($H$2:$H$1001&lt;=H809))/SUMPRODUCT(($B$2:$B$1001=B809)*1),0)</f>
        <v>0.769911504424779</v>
      </c>
      <c r="N809" s="24" t="n">
        <f aca="false">IFERROR(SUMPRODUCT(($B$2:$B$1001=B809)*($I$2:$I$1001&lt;=I809))/SUMPRODUCT(($B$2:$B$1001=B809)*1),0)</f>
        <v>0.712389380530973</v>
      </c>
      <c r="O809" s="24" t="n">
        <f aca="false">IFERROR(SUMPRODUCT(($B$2:$B$1001=B809)*($J$2:$J$1001&lt;=J809))/SUMPRODUCT(($B$2:$B$1001=B809)*1),0)</f>
        <v>0.823008849557522</v>
      </c>
      <c r="P809" s="24" t="n">
        <f aca="false">IFERROR(SUMPRODUCT(($B$2:$B$1001=B809)*((0-$F$2:$F$1001)&lt;=(0-F809)))/SUMPRODUCT(($B$2:$B$1001=B809)*1),0)</f>
        <v>0.579646017699115</v>
      </c>
      <c r="Q809" s="25" t="n">
        <f aca="false">(M809*Assumptions!$B$5+N809*Assumptions!$B$6+O809*Assumptions!$B$7+P809*Assumptions!$B$8)*L809</f>
        <v>0.722345132743363</v>
      </c>
      <c r="R809" s="24" t="n">
        <f aca="false">IFERROR(SUMPRODUCT(($B$2:$B$1001=B809)*($Q$2:$Q$1001&lt;=Q809))/SUMPRODUCT(($B$2:$B$1001=B809)*1),0)</f>
        <v>0.898230088495575</v>
      </c>
      <c r="S809" s="24" t="n">
        <f aca="false">IFERROR(SUMPRODUCT(($B$2:$B$1001=B809)*($K$2:$K$1001&lt;=K809))/SUMPRODUCT(($B$2:$B$1001=B809)*1),0)</f>
        <v>0.734513274336283</v>
      </c>
      <c r="T809" s="26" t="n">
        <f aca="false">(R809-S809)*100</f>
        <v>16.3716814159292</v>
      </c>
      <c r="U809" s="21" t="str">
        <f aca="false">'Player Data'!T809</f>
        <v>Yes</v>
      </c>
      <c r="V809" s="27" t="n">
        <f aca="false">'Player Data'!U809</f>
        <v>2027</v>
      </c>
      <c r="W809" s="21" t="str">
        <f aca="false">IF(AND(T809&gt;=Assumptions!$B$19,U809="No"),"High Priority - Unrepresented",IF(T809&gt;=Assumptions!$B$19,"High Priority",IF(AND(T809&gt;=Assumptions!$B$20,U809="No"),"Watchlist - Unrepresented",IF(T809&gt;=Assumptions!$B$20,"Watchlist",""))))</f>
        <v/>
      </c>
      <c r="X809" s="21" t="str">
        <f aca="false">'Player Data'!V809</f>
        <v>info@sucrerovers.bo</v>
      </c>
      <c r="Y809" s="28" t="str">
        <f aca="false">'Player Data'!W809</f>
        <v>Go through the player's agent - ask the club to confirm representation first</v>
      </c>
      <c r="Z809" s="28" t="str">
        <f aca="false">'Player Data'!X809</f>
        <v>FBF (Bolivian Football Federation) player registry</v>
      </c>
      <c r="AA809" s="19" t="str">
        <f aca="false">HYPERLINK("https://www.transfermarkt.com/schnellsuche/ergebnis/schnellsuche?query="&amp;SUBSTITUTE(A809," ","+"),"Search Transfermarkt")</f>
        <v>Search Transfermarkt</v>
      </c>
      <c r="AB809" s="29" t="n">
        <f aca="false">IFERROR('Player Data'!K809/('Player Data'!K809+'Player Data'!L809),0)</f>
        <v>0.492424242424242</v>
      </c>
      <c r="AC809" s="21" t="str">
        <f aca="false">IF(B809="GK",IF(AND(O809&gt;=Assumptions!$B$23,N809&gt;=Assumptions!$B$23),"Sweeper-Keeper / Build-from-the-Back",IF(O809&gt;=Assumptions!$B$23,"Sweeper-Keeper / High Line",IF(M809&gt;=Assumptions!$B$23,"Shot-Stopper / Traditional","Flexible / Multi-System"))),IF(AND(O809&gt;=Assumptions!$B$23,P809&gt;=Assumptions!$B$24),"High Press / Gegenpressing",IF(AND(N809&gt;=Assumptions!$B$23,AB809&gt;=Assumptions!$B$25),"Possession / Build-from-the-Back",IF(N809&gt;=Assumptions!$B$23,"Counter-Attack / Transition",IF(AND(O809&gt;=Assumptions!$B$23,N809&lt;Assumptions!$B$26),"Low Block / Park the Bus",IF(AND(B809="FW",M809&gt;=Assumptions!$B$23,N809&lt;Assumptions!$B$26),"Direct / Target Approach","Flexible / Multi-System"))))))</f>
        <v>High Press / Gegenpressing</v>
      </c>
      <c r="AD809" s="21" t="str">
        <f aca="false">'Player Data'!Y809</f>
        <v>2026-07-17</v>
      </c>
      <c r="AE809" s="21" t="str">
        <f aca="false">'Player Data'!Z809</f>
        <v>2026-07-17</v>
      </c>
      <c r="AF809" s="28" t="str">
        <f aca="false">IFERROR(INDEX(Assumptions!$B$30:$B$61,MATCH(C809,Assumptions!$A$30:$A$61,0)),"--")</f>
        <v>Argentina, Portugal</v>
      </c>
      <c r="AG809" s="30" t="str">
        <f aca="false">IF(R809&gt;=0.7,"Step-Up Candidate",IF(R809&gt;=0.4,"Lateral Move","Stay &amp; Develop"))</f>
        <v>Step-Up Candidate</v>
      </c>
    </row>
    <row r="810" customFormat="false" ht="23.85" hidden="false" customHeight="false" outlineLevel="0" collapsed="false">
      <c r="A810" s="21" t="str">
        <f aca="false">'Player Data'!A810</f>
        <v>Damion Campbell</v>
      </c>
      <c r="B810" s="21" t="str">
        <f aca="false">'Player Data'!F810</f>
        <v>FW</v>
      </c>
      <c r="C810" s="21" t="str">
        <f aca="false">'Player Data'!B810</f>
        <v>Jamaica</v>
      </c>
      <c r="D810" s="21" t="str">
        <f aca="false">'Player Data'!C810</f>
        <v>Jamaica Second Division - East</v>
      </c>
      <c r="E810" s="21" t="n">
        <f aca="false">'Player Data'!D810</f>
        <v>4</v>
      </c>
      <c r="F810" s="21" t="n">
        <f aca="false">'Player Data'!G810</f>
        <v>18</v>
      </c>
      <c r="G810" s="21" t="n">
        <f aca="false">'Player Data'!H810</f>
        <v>2315</v>
      </c>
      <c r="H810" s="22" t="n">
        <f aca="false">IF(B810="GK",IFERROR(('Player Data'!N810-1.5*'Player Data'!O810)/'Player Data'!H810*90,0),IFERROR(('Player Data'!I810+'Player Data'!J810)/'Player Data'!H810*90,0))</f>
        <v>0.777537796976242</v>
      </c>
      <c r="I810" s="22" t="n">
        <f aca="false">IF(B810="GK",'Player Data'!P810,IFERROR(('Player Data'!K810+'Player Data'!L810)/'Player Data'!H810*90,0))</f>
        <v>4.85961123110151</v>
      </c>
      <c r="J810" s="22" t="n">
        <f aca="false">IF(B810="GK",IFERROR('Player Data'!Q810/'Player Data'!H810*90,0),IFERROR('Player Data'!M810/'Player Data'!H810*90,0))</f>
        <v>0.466522678185745</v>
      </c>
      <c r="K810" s="23" t="n">
        <f aca="false">'Player Data'!S810</f>
        <v>127735</v>
      </c>
      <c r="L810" s="22" t="n">
        <f aca="false">INDEX(Assumptions!$B$13:$B$15,MATCH(E810,Assumptions!$A$13:$A$15,0))</f>
        <v>0.7</v>
      </c>
      <c r="M810" s="24" t="n">
        <f aca="false">IFERROR(SUMPRODUCT(($B$2:$B$1001=B810)*($H$2:$H$1001&lt;=H810))/SUMPRODUCT(($B$2:$B$1001=B810)*1),0)</f>
        <v>0.283185840707965</v>
      </c>
      <c r="N810" s="24" t="n">
        <f aca="false">IFERROR(SUMPRODUCT(($B$2:$B$1001=B810)*($I$2:$I$1001&lt;=I810))/SUMPRODUCT(($B$2:$B$1001=B810)*1),0)</f>
        <v>0.18141592920354</v>
      </c>
      <c r="O810" s="24" t="n">
        <f aca="false">IFERROR(SUMPRODUCT(($B$2:$B$1001=B810)*($J$2:$J$1001&lt;=J810))/SUMPRODUCT(($B$2:$B$1001=B810)*1),0)</f>
        <v>0.442477876106195</v>
      </c>
      <c r="P810" s="24" t="n">
        <f aca="false">IFERROR(SUMPRODUCT(($B$2:$B$1001=B810)*((0-$F$2:$F$1001)&lt;=(0-F810)))/SUMPRODUCT(($B$2:$B$1001=B810)*1),0)</f>
        <v>0.915929203539823</v>
      </c>
      <c r="Q810" s="25" t="n">
        <f aca="false">(M810*Assumptions!$B$5+N810*Assumptions!$B$6+O810*Assumptions!$B$7+P810*Assumptions!$B$8)*L810</f>
        <v>0.284181415929204</v>
      </c>
      <c r="R810" s="24" t="n">
        <f aca="false">IFERROR(SUMPRODUCT(($B$2:$B$1001=B810)*($Q$2:$Q$1001&lt;=Q810))/SUMPRODUCT(($B$2:$B$1001=B810)*1),0)</f>
        <v>0.252212389380531</v>
      </c>
      <c r="S810" s="24" t="n">
        <f aca="false">IFERROR(SUMPRODUCT(($B$2:$B$1001=B810)*($K$2:$K$1001&lt;=K810))/SUMPRODUCT(($B$2:$B$1001=B810)*1),0)</f>
        <v>0.889380530973451</v>
      </c>
      <c r="T810" s="26" t="n">
        <f aca="false">(R810-S810)*100</f>
        <v>-63.716814159292</v>
      </c>
      <c r="U810" s="21" t="str">
        <f aca="false">'Player Data'!T810</f>
        <v>Yes</v>
      </c>
      <c r="V810" s="27" t="n">
        <f aca="false">'Player Data'!U810</f>
        <v>2026</v>
      </c>
      <c r="W810" s="21" t="str">
        <f aca="false">IF(AND(T810&gt;=Assumptions!$B$19,U810="No"),"High Priority - Unrepresented",IF(T810&gt;=Assumptions!$B$19,"High Priority",IF(AND(T810&gt;=Assumptions!$B$20,U810="No"),"Watchlist - Unrepresented",IF(T810&gt;=Assumptions!$B$20,"Watchlist",""))))</f>
        <v/>
      </c>
      <c r="X810" s="21" t="str">
        <f aca="false">'Player Data'!V810</f>
        <v>info@maypensc.jm</v>
      </c>
      <c r="Y810" s="28" t="str">
        <f aca="false">'Player Data'!W810</f>
        <v>Go through the player's agent - ask the club to confirm representation first</v>
      </c>
      <c r="Z810" s="28" t="str">
        <f aca="false">'Player Data'!X810</f>
        <v>JFF (Jamaica Football Federation) player registry</v>
      </c>
      <c r="AA810" s="19" t="str">
        <f aca="false">HYPERLINK("https://www.transfermarkt.com/schnellsuche/ergebnis/schnellsuche?query="&amp;SUBSTITUTE(A810," ","+"),"Search Transfermarkt")</f>
        <v>Search Transfermarkt</v>
      </c>
      <c r="AB810" s="29" t="n">
        <f aca="false">IFERROR('Player Data'!K810/('Player Data'!K810+'Player Data'!L810),0)</f>
        <v>0.496</v>
      </c>
      <c r="AC810" s="21" t="str">
        <f aca="false">IF(B810="GK",IF(AND(O810&gt;=Assumptions!$B$23,N810&gt;=Assumptions!$B$23),"Sweeper-Keeper / Build-from-the-Back",IF(O810&gt;=Assumptions!$B$23,"Sweeper-Keeper / High Line",IF(M810&gt;=Assumptions!$B$23,"Shot-Stopper / Traditional","Flexible / Multi-System"))),IF(AND(O810&gt;=Assumptions!$B$23,P810&gt;=Assumptions!$B$24),"High Press / Gegenpressing",IF(AND(N810&gt;=Assumptions!$B$23,AB810&gt;=Assumptions!$B$25),"Possession / Build-from-the-Back",IF(N810&gt;=Assumptions!$B$23,"Counter-Attack / Transition",IF(AND(O810&gt;=Assumptions!$B$23,N810&lt;Assumptions!$B$26),"Low Block / Park the Bus",IF(AND(B810="FW",M810&gt;=Assumptions!$B$23,N810&lt;Assumptions!$B$26),"Direct / Target Approach","Flexible / Multi-System"))))))</f>
        <v>Flexible / Multi-System</v>
      </c>
      <c r="AD810" s="21" t="str">
        <f aca="false">'Player Data'!Y810</f>
        <v>2026-07-17</v>
      </c>
      <c r="AE810" s="21" t="str">
        <f aca="false">'Player Data'!Z810</f>
        <v>2026-07-17</v>
      </c>
      <c r="AF810" s="28" t="str">
        <f aca="false">IFERROR(INDEX(Assumptions!$B$30:$B$61,MATCH(C810,Assumptions!$A$30:$A$61,0)),"--")</f>
        <v>United States, Mexico</v>
      </c>
      <c r="AG810" s="30" t="str">
        <f aca="false">IF(R810&gt;=0.7,"Step-Up Candidate",IF(R810&gt;=0.4,"Lateral Move","Stay &amp; Develop"))</f>
        <v>Stay &amp; Develop</v>
      </c>
    </row>
    <row r="811" customFormat="false" ht="23.85" hidden="false" customHeight="false" outlineLevel="0" collapsed="false">
      <c r="A811" s="21" t="str">
        <f aca="false">'Player Data'!A811</f>
        <v>Uros Krstic</v>
      </c>
      <c r="B811" s="21" t="str">
        <f aca="false">'Player Data'!F811</f>
        <v>DF</v>
      </c>
      <c r="C811" s="21" t="str">
        <f aca="false">'Player Data'!B811</f>
        <v>Serbia</v>
      </c>
      <c r="D811" s="21" t="str">
        <f aca="false">'Player Data'!C811</f>
        <v>Serbia Amateur League</v>
      </c>
      <c r="E811" s="21" t="n">
        <f aca="false">'Player Data'!D811</f>
        <v>4</v>
      </c>
      <c r="F811" s="21" t="n">
        <f aca="false">'Player Data'!G811</f>
        <v>24</v>
      </c>
      <c r="G811" s="21" t="n">
        <f aca="false">'Player Data'!H811</f>
        <v>2002</v>
      </c>
      <c r="H811" s="22" t="n">
        <f aca="false">IF(B811="GK",IFERROR(('Player Data'!N811-1.5*'Player Data'!O811)/'Player Data'!H811*90,0),IFERROR(('Player Data'!I811+'Player Data'!J811)/'Player Data'!H811*90,0))</f>
        <v>0.26973026973027</v>
      </c>
      <c r="I811" s="22" t="n">
        <f aca="false">IF(B811="GK",'Player Data'!P811,IFERROR(('Player Data'!K811+'Player Data'!L811)/'Player Data'!H811*90,0))</f>
        <v>2.78721278721279</v>
      </c>
      <c r="J811" s="22" t="n">
        <f aca="false">IF(B811="GK",IFERROR('Player Data'!Q811/'Player Data'!H811*90,0),IFERROR('Player Data'!M811/'Player Data'!H811*90,0))</f>
        <v>5.75424575424575</v>
      </c>
      <c r="K811" s="23" t="n">
        <f aca="false">'Player Data'!S811</f>
        <v>67745</v>
      </c>
      <c r="L811" s="22" t="n">
        <f aca="false">INDEX(Assumptions!$B$13:$B$15,MATCH(E811,Assumptions!$A$13:$A$15,0))</f>
        <v>0.7</v>
      </c>
      <c r="M811" s="24" t="n">
        <f aca="false">IFERROR(SUMPRODUCT(($B$2:$B$1001=B811)*($H$2:$H$1001&lt;=H811))/SUMPRODUCT(($B$2:$B$1001=B811)*1),0)</f>
        <v>0.700680272108844</v>
      </c>
      <c r="N811" s="24" t="n">
        <f aca="false">IFERROR(SUMPRODUCT(($B$2:$B$1001=B811)*($I$2:$I$1001&lt;=I811))/SUMPRODUCT(($B$2:$B$1001=B811)*1),0)</f>
        <v>0.0476190476190476</v>
      </c>
      <c r="O811" s="24" t="n">
        <f aca="false">IFERROR(SUMPRODUCT(($B$2:$B$1001=B811)*($J$2:$J$1001&lt;=J811))/SUMPRODUCT(($B$2:$B$1001=B811)*1),0)</f>
        <v>0.568027210884354</v>
      </c>
      <c r="P811" s="24" t="n">
        <f aca="false">IFERROR(SUMPRODUCT(($B$2:$B$1001=B811)*((0-$F$2:$F$1001)&lt;=(0-F811)))/SUMPRODUCT(($B$2:$B$1001=B811)*1),0)</f>
        <v>0.275510204081633</v>
      </c>
      <c r="Q811" s="25" t="n">
        <f aca="false">(M811*Assumptions!$B$5+N811*Assumptions!$B$6+O811*Assumptions!$B$7+P811*Assumptions!$B$8)*L811</f>
        <v>0.252380952380952</v>
      </c>
      <c r="R811" s="24" t="n">
        <f aca="false">IFERROR(SUMPRODUCT(($B$2:$B$1001=B811)*($Q$2:$Q$1001&lt;=Q811))/SUMPRODUCT(($B$2:$B$1001=B811)*1),0)</f>
        <v>0.166666666666667</v>
      </c>
      <c r="S811" s="24" t="n">
        <f aca="false">IFERROR(SUMPRODUCT(($B$2:$B$1001=B811)*($K$2:$K$1001&lt;=K811))/SUMPRODUCT(($B$2:$B$1001=B811)*1),0)</f>
        <v>0.527210884353742</v>
      </c>
      <c r="T811" s="26" t="n">
        <f aca="false">(R811-S811)*100</f>
        <v>-36.0544217687075</v>
      </c>
      <c r="U811" s="21" t="str">
        <f aca="false">'Player Data'!T811</f>
        <v>Unknown</v>
      </c>
      <c r="V811" s="27" t="n">
        <f aca="false">'Player Data'!U811</f>
        <v>2028</v>
      </c>
      <c r="W811" s="21" t="str">
        <f aca="false">IF(AND(T811&gt;=Assumptions!$B$19,U811="No"),"High Priority - Unrepresented",IF(T811&gt;=Assumptions!$B$19,"High Priority",IF(AND(T811&gt;=Assumptions!$B$20,U811="No"),"Watchlist - Unrepresented",IF(T811&gt;=Assumptions!$B$20,"Watchlist",""))))</f>
        <v/>
      </c>
      <c r="X811" s="21" t="str">
        <f aca="false">'Player Data'!V811</f>
        <v>info@nisrangers.rs</v>
      </c>
      <c r="Y811" s="28" t="str">
        <f aca="false">'Player Data'!W811</f>
        <v>Club sporting director / first-team office</v>
      </c>
      <c r="Z811" s="28" t="str">
        <f aca="false">'Player Data'!X811</f>
        <v>FSS (Football Association of Serbia) player registry</v>
      </c>
      <c r="AA811" s="19" t="str">
        <f aca="false">HYPERLINK("https://www.transfermarkt.com/schnellsuche/ergebnis/schnellsuche?query="&amp;SUBSTITUTE(A811," ","+"),"Search Transfermarkt")</f>
        <v>Search Transfermarkt</v>
      </c>
      <c r="AB811" s="29" t="n">
        <f aca="false">IFERROR('Player Data'!K811/('Player Data'!K811+'Player Data'!L811),0)</f>
        <v>0.661290322580645</v>
      </c>
      <c r="AC811" s="21" t="str">
        <f aca="false">IF(B811="GK",IF(AND(O811&gt;=Assumptions!$B$23,N811&gt;=Assumptions!$B$23),"Sweeper-Keeper / Build-from-the-Back",IF(O811&gt;=Assumptions!$B$23,"Sweeper-Keeper / High Line",IF(M811&gt;=Assumptions!$B$23,"Shot-Stopper / Traditional","Flexible / Multi-System"))),IF(AND(O811&gt;=Assumptions!$B$23,P811&gt;=Assumptions!$B$24),"High Press / Gegenpressing",IF(AND(N811&gt;=Assumptions!$B$23,AB811&gt;=Assumptions!$B$25),"Possession / Build-from-the-Back",IF(N811&gt;=Assumptions!$B$23,"Counter-Attack / Transition",IF(AND(O811&gt;=Assumptions!$B$23,N811&lt;Assumptions!$B$26),"Low Block / Park the Bus",IF(AND(B811="FW",M811&gt;=Assumptions!$B$23,N811&lt;Assumptions!$B$26),"Direct / Target Approach","Flexible / Multi-System"))))))</f>
        <v>Flexible / Multi-System</v>
      </c>
      <c r="AD811" s="21" t="str">
        <f aca="false">'Player Data'!Y811</f>
        <v>2026-07-17</v>
      </c>
      <c r="AE811" s="21" t="str">
        <f aca="false">'Player Data'!Z811</f>
        <v>2026-07-17</v>
      </c>
      <c r="AF811" s="28" t="str">
        <f aca="false">IFERROR(INDEX(Assumptions!$B$30:$B$61,MATCH(C811,Assumptions!$A$30:$A$61,0)),"--")</f>
        <v>Austria, Turkey</v>
      </c>
      <c r="AG811" s="30" t="str">
        <f aca="false">IF(R811&gt;=0.7,"Step-Up Candidate",IF(R811&gt;=0.4,"Lateral Move","Stay &amp; Develop"))</f>
        <v>Stay &amp; Develop</v>
      </c>
    </row>
    <row r="812" customFormat="false" ht="23.85" hidden="false" customHeight="false" outlineLevel="0" collapsed="false">
      <c r="A812" s="21" t="str">
        <f aca="false">'Player Data'!A812</f>
        <v>Wuilker Rondon</v>
      </c>
      <c r="B812" s="21" t="str">
        <f aca="false">'Player Data'!F812</f>
        <v>DF</v>
      </c>
      <c r="C812" s="21" t="str">
        <f aca="false">'Player Data'!B812</f>
        <v>Venezuela</v>
      </c>
      <c r="D812" s="21" t="str">
        <f aca="false">'Player Data'!C812</f>
        <v>Venezuela Regional League</v>
      </c>
      <c r="E812" s="21" t="n">
        <f aca="false">'Player Data'!D812</f>
        <v>4</v>
      </c>
      <c r="F812" s="21" t="n">
        <f aca="false">'Player Data'!G812</f>
        <v>26</v>
      </c>
      <c r="G812" s="21" t="n">
        <f aca="false">'Player Data'!H812</f>
        <v>2065</v>
      </c>
      <c r="H812" s="22" t="n">
        <f aca="false">IF(B812="GK",IFERROR(('Player Data'!N812-1.5*'Player Data'!O812)/'Player Data'!H812*90,0),IFERROR(('Player Data'!I812+'Player Data'!J812)/'Player Data'!H812*90,0))</f>
        <v>0.130750605326877</v>
      </c>
      <c r="I812" s="22" t="n">
        <f aca="false">IF(B812="GK",'Player Data'!P812,IFERROR(('Player Data'!K812+'Player Data'!L812)/'Player Data'!H812*90,0))</f>
        <v>3.61743341404358</v>
      </c>
      <c r="J812" s="22" t="n">
        <f aca="false">IF(B812="GK",IFERROR('Player Data'!Q812/'Player Data'!H812*90,0),IFERROR('Player Data'!M812/'Player Data'!H812*90,0))</f>
        <v>3.74818401937046</v>
      </c>
      <c r="K812" s="23" t="n">
        <f aca="false">'Player Data'!S812</f>
        <v>133705</v>
      </c>
      <c r="L812" s="22" t="n">
        <f aca="false">INDEX(Assumptions!$B$13:$B$15,MATCH(E812,Assumptions!$A$13:$A$15,0))</f>
        <v>0.7</v>
      </c>
      <c r="M812" s="24" t="n">
        <f aca="false">IFERROR(SUMPRODUCT(($B$2:$B$1001=B812)*($H$2:$H$1001&lt;=H812))/SUMPRODUCT(($B$2:$B$1001=B812)*1),0)</f>
        <v>0.299319727891156</v>
      </c>
      <c r="N812" s="24" t="n">
        <f aca="false">IFERROR(SUMPRODUCT(($B$2:$B$1001=B812)*($I$2:$I$1001&lt;=I812))/SUMPRODUCT(($B$2:$B$1001=B812)*1),0)</f>
        <v>0.27891156462585</v>
      </c>
      <c r="O812" s="24" t="n">
        <f aca="false">IFERROR(SUMPRODUCT(($B$2:$B$1001=B812)*($J$2:$J$1001&lt;=J812))/SUMPRODUCT(($B$2:$B$1001=B812)*1),0)</f>
        <v>0.180272108843537</v>
      </c>
      <c r="P812" s="24" t="n">
        <f aca="false">IFERROR(SUMPRODUCT(($B$2:$B$1001=B812)*((0-$F$2:$F$1001)&lt;=(0-F812)))/SUMPRODUCT(($B$2:$B$1001=B812)*1),0)</f>
        <v>0.0748299319727891</v>
      </c>
      <c r="Q812" s="25" t="n">
        <f aca="false">(M812*Assumptions!$B$5+N812*Assumptions!$B$6+O812*Assumptions!$B$7+P812*Assumptions!$B$8)*L812</f>
        <v>0.156428571428571</v>
      </c>
      <c r="R812" s="24" t="n">
        <f aca="false">IFERROR(SUMPRODUCT(($B$2:$B$1001=B812)*($Q$2:$Q$1001&lt;=Q812))/SUMPRODUCT(($B$2:$B$1001=B812)*1),0)</f>
        <v>0.0340136054421769</v>
      </c>
      <c r="S812" s="24" t="n">
        <f aca="false">IFERROR(SUMPRODUCT(($B$2:$B$1001=B812)*($K$2:$K$1001&lt;=K812))/SUMPRODUCT(($B$2:$B$1001=B812)*1),0)</f>
        <v>0.925170068027211</v>
      </c>
      <c r="T812" s="26" t="n">
        <f aca="false">(R812-S812)*100</f>
        <v>-89.1156462585034</v>
      </c>
      <c r="U812" s="21" t="str">
        <f aca="false">'Player Data'!T812</f>
        <v>No</v>
      </c>
      <c r="V812" s="27" t="n">
        <f aca="false">'Player Data'!U812</f>
        <v>2028</v>
      </c>
      <c r="W812" s="21" t="str">
        <f aca="false">IF(AND(T812&gt;=Assumptions!$B$19,U812="No"),"High Priority - Unrepresented",IF(T812&gt;=Assumptions!$B$19,"High Priority",IF(AND(T812&gt;=Assumptions!$B$20,U812="No"),"Watchlist - Unrepresented",IF(T812&gt;=Assumptions!$B$20,"Watchlist",""))))</f>
        <v/>
      </c>
      <c r="X812" s="21" t="str">
        <f aca="false">'Player Data'!V812</f>
        <v>info@valenciaunited.ve</v>
      </c>
      <c r="Y812" s="28" t="str">
        <f aca="false">'Player Data'!W812</f>
        <v>Club sporting director / first-team office</v>
      </c>
      <c r="Z812" s="28" t="str">
        <f aca="false">'Player Data'!X812</f>
        <v>FVF (Venezuelan Football Federation) player registry</v>
      </c>
      <c r="AA812" s="19" t="str">
        <f aca="false">HYPERLINK("https://www.transfermarkt.com/schnellsuche/ergebnis/schnellsuche?query="&amp;SUBSTITUTE(A812," ","+"),"Search Transfermarkt")</f>
        <v>Search Transfermarkt</v>
      </c>
      <c r="AB812" s="29" t="n">
        <f aca="false">IFERROR('Player Data'!K812/('Player Data'!K812+'Player Data'!L812),0)</f>
        <v>0.662650602409639</v>
      </c>
      <c r="AC812" s="21" t="str">
        <f aca="false">IF(B812="GK",IF(AND(O812&gt;=Assumptions!$B$23,N812&gt;=Assumptions!$B$23),"Sweeper-Keeper / Build-from-the-Back",IF(O812&gt;=Assumptions!$B$23,"Sweeper-Keeper / High Line",IF(M812&gt;=Assumptions!$B$23,"Shot-Stopper / Traditional","Flexible / Multi-System"))),IF(AND(O812&gt;=Assumptions!$B$23,P812&gt;=Assumptions!$B$24),"High Press / Gegenpressing",IF(AND(N812&gt;=Assumptions!$B$23,AB812&gt;=Assumptions!$B$25),"Possession / Build-from-the-Back",IF(N812&gt;=Assumptions!$B$23,"Counter-Attack / Transition",IF(AND(O812&gt;=Assumptions!$B$23,N812&lt;Assumptions!$B$26),"Low Block / Park the Bus",IF(AND(B812="FW",M812&gt;=Assumptions!$B$23,N812&lt;Assumptions!$B$26),"Direct / Target Approach","Flexible / Multi-System"))))))</f>
        <v>Flexible / Multi-System</v>
      </c>
      <c r="AD812" s="21" t="str">
        <f aca="false">'Player Data'!Y812</f>
        <v>2026-07-17</v>
      </c>
      <c r="AE812" s="21" t="str">
        <f aca="false">'Player Data'!Z812</f>
        <v>2026-07-17</v>
      </c>
      <c r="AF812" s="28" t="str">
        <f aca="false">IFERROR(INDEX(Assumptions!$B$30:$B$61,MATCH(C812,Assumptions!$A$30:$A$61,0)),"--")</f>
        <v>Argentina, Portugal</v>
      </c>
      <c r="AG812" s="30" t="str">
        <f aca="false">IF(R812&gt;=0.7,"Step-Up Candidate",IF(R812&gt;=0.4,"Lateral Move","Stay &amp; Develop"))</f>
        <v>Stay &amp; Develop</v>
      </c>
    </row>
    <row r="813" customFormat="false" ht="23.85" hidden="false" customHeight="false" outlineLevel="0" collapsed="false">
      <c r="A813" s="21" t="str">
        <f aca="false">'Player Data'!A813</f>
        <v>Moussa Faye</v>
      </c>
      <c r="B813" s="21" t="str">
        <f aca="false">'Player Data'!F813</f>
        <v>DF</v>
      </c>
      <c r="C813" s="21" t="str">
        <f aca="false">'Player Data'!B813</f>
        <v>Senegal</v>
      </c>
      <c r="D813" s="21" t="str">
        <f aca="false">'Player Data'!C813</f>
        <v>Senegal Second Division - West</v>
      </c>
      <c r="E813" s="21" t="n">
        <f aca="false">'Player Data'!D813</f>
        <v>3</v>
      </c>
      <c r="F813" s="21" t="n">
        <f aca="false">'Player Data'!G813</f>
        <v>25</v>
      </c>
      <c r="G813" s="21" t="n">
        <f aca="false">'Player Data'!H813</f>
        <v>2563</v>
      </c>
      <c r="H813" s="22" t="n">
        <f aca="false">IF(B813="GK",IFERROR(('Player Data'!N813-1.5*'Player Data'!O813)/'Player Data'!H813*90,0),IFERROR(('Player Data'!I813+'Player Data'!J813)/'Player Data'!H813*90,0))</f>
        <v>0.245805696449473</v>
      </c>
      <c r="I813" s="22" t="n">
        <f aca="false">IF(B813="GK",'Player Data'!P813,IFERROR(('Player Data'!K813+'Player Data'!L813)/'Player Data'!H813*90,0))</f>
        <v>3.47639484978541</v>
      </c>
      <c r="J813" s="22" t="n">
        <f aca="false">IF(B813="GK",IFERROR('Player Data'!Q813/'Player Data'!H813*90,0),IFERROR('Player Data'!M813/'Player Data'!H813*90,0))</f>
        <v>3.58174014826375</v>
      </c>
      <c r="K813" s="23" t="n">
        <f aca="false">'Player Data'!S813</f>
        <v>116235</v>
      </c>
      <c r="L813" s="22" t="n">
        <f aca="false">INDEX(Assumptions!$B$13:$B$15,MATCH(E813,Assumptions!$A$13:$A$15,0))</f>
        <v>0.85</v>
      </c>
      <c r="M813" s="24" t="n">
        <f aca="false">IFERROR(SUMPRODUCT(($B$2:$B$1001=B813)*($H$2:$H$1001&lt;=H813))/SUMPRODUCT(($B$2:$B$1001=B813)*1),0)</f>
        <v>0.649659863945578</v>
      </c>
      <c r="N813" s="24" t="n">
        <f aca="false">IFERROR(SUMPRODUCT(($B$2:$B$1001=B813)*($I$2:$I$1001&lt;=I813))/SUMPRODUCT(($B$2:$B$1001=B813)*1),0)</f>
        <v>0.22108843537415</v>
      </c>
      <c r="O813" s="24" t="n">
        <f aca="false">IFERROR(SUMPRODUCT(($B$2:$B$1001=B813)*($J$2:$J$1001&lt;=J813))/SUMPRODUCT(($B$2:$B$1001=B813)*1),0)</f>
        <v>0.115646258503401</v>
      </c>
      <c r="P813" s="24" t="n">
        <f aca="false">IFERROR(SUMPRODUCT(($B$2:$B$1001=B813)*((0-$F$2:$F$1001)&lt;=(0-F813)))/SUMPRODUCT(($B$2:$B$1001=B813)*1),0)</f>
        <v>0.146258503401361</v>
      </c>
      <c r="Q813" s="25" t="n">
        <f aca="false">(M813*Assumptions!$B$5+N813*Assumptions!$B$6+O813*Assumptions!$B$7+P813*Assumptions!$B$8)*L813</f>
        <v>0.248350340136054</v>
      </c>
      <c r="R813" s="24" t="n">
        <f aca="false">IFERROR(SUMPRODUCT(($B$2:$B$1001=B813)*($Q$2:$Q$1001&lt;=Q813))/SUMPRODUCT(($B$2:$B$1001=B813)*1),0)</f>
        <v>0.156462585034014</v>
      </c>
      <c r="S813" s="24" t="n">
        <f aca="false">IFERROR(SUMPRODUCT(($B$2:$B$1001=B813)*($K$2:$K$1001&lt;=K813))/SUMPRODUCT(($B$2:$B$1001=B813)*1),0)</f>
        <v>0.826530612244898</v>
      </c>
      <c r="T813" s="26" t="n">
        <f aca="false">(R813-S813)*100</f>
        <v>-67.0068027210884</v>
      </c>
      <c r="U813" s="21" t="str">
        <f aca="false">'Player Data'!T813</f>
        <v>Yes</v>
      </c>
      <c r="V813" s="27" t="n">
        <f aca="false">'Player Data'!U813</f>
        <v>2029</v>
      </c>
      <c r="W813" s="21" t="str">
        <f aca="false">IF(AND(T813&gt;=Assumptions!$B$19,U813="No"),"High Priority - Unrepresented",IF(T813&gt;=Assumptions!$B$19,"High Priority",IF(AND(T813&gt;=Assumptions!$B$20,U813="No"),"Watchlist - Unrepresented",IF(T813&gt;=Assumptions!$B$20,"Watchlist",""))))</f>
        <v/>
      </c>
      <c r="X813" s="21" t="str">
        <f aca="false">'Player Data'!V813</f>
        <v>info@dakarrangers.sn</v>
      </c>
      <c r="Y813" s="28" t="str">
        <f aca="false">'Player Data'!W813</f>
        <v>Go through the player's agent - ask the club to confirm representation first</v>
      </c>
      <c r="Z813" s="28" t="str">
        <f aca="false">'Player Data'!X813</f>
        <v>FSF (Senegalese Football Federation) player registry</v>
      </c>
      <c r="AA813" s="19" t="str">
        <f aca="false">HYPERLINK("https://www.transfermarkt.com/schnellsuche/ergebnis/schnellsuche?query="&amp;SUBSTITUTE(A813," ","+"),"Search Transfermarkt")</f>
        <v>Search Transfermarkt</v>
      </c>
      <c r="AB813" s="29" t="n">
        <f aca="false">IFERROR('Player Data'!K813/('Player Data'!K813+'Player Data'!L813),0)</f>
        <v>0.545454545454545</v>
      </c>
      <c r="AC813" s="21" t="str">
        <f aca="false">IF(B813="GK",IF(AND(O813&gt;=Assumptions!$B$23,N813&gt;=Assumptions!$B$23),"Sweeper-Keeper / Build-from-the-Back",IF(O813&gt;=Assumptions!$B$23,"Sweeper-Keeper / High Line",IF(M813&gt;=Assumptions!$B$23,"Shot-Stopper / Traditional","Flexible / Multi-System"))),IF(AND(O813&gt;=Assumptions!$B$23,P813&gt;=Assumptions!$B$24),"High Press / Gegenpressing",IF(AND(N813&gt;=Assumptions!$B$23,AB813&gt;=Assumptions!$B$25),"Possession / Build-from-the-Back",IF(N813&gt;=Assumptions!$B$23,"Counter-Attack / Transition",IF(AND(O813&gt;=Assumptions!$B$23,N813&lt;Assumptions!$B$26),"Low Block / Park the Bus",IF(AND(B813="FW",M813&gt;=Assumptions!$B$23,N813&lt;Assumptions!$B$26),"Direct / Target Approach","Flexible / Multi-System"))))))</f>
        <v>Flexible / Multi-System</v>
      </c>
      <c r="AD813" s="21" t="str">
        <f aca="false">'Player Data'!Y813</f>
        <v>2026-07-17</v>
      </c>
      <c r="AE813" s="21" t="str">
        <f aca="false">'Player Data'!Z813</f>
        <v>2026-07-17</v>
      </c>
      <c r="AF813" s="28" t="str">
        <f aca="false">IFERROR(INDEX(Assumptions!$B$30:$B$61,MATCH(C813,Assumptions!$A$30:$A$61,0)),"--")</f>
        <v>Belgium, Portugal</v>
      </c>
      <c r="AG813" s="30" t="str">
        <f aca="false">IF(R813&gt;=0.7,"Step-Up Candidate",IF(R813&gt;=0.4,"Lateral Move","Stay &amp; Develop"))</f>
        <v>Stay &amp; Develop</v>
      </c>
    </row>
    <row r="814" customFormat="false" ht="23.85" hidden="false" customHeight="false" outlineLevel="0" collapsed="false">
      <c r="A814" s="21" t="str">
        <f aca="false">'Player Data'!A814</f>
        <v>Anthony Mendoza</v>
      </c>
      <c r="B814" s="21" t="str">
        <f aca="false">'Player Data'!F814</f>
        <v>DF</v>
      </c>
      <c r="C814" s="21" t="str">
        <f aca="false">'Player Data'!B814</f>
        <v>Ecuador</v>
      </c>
      <c r="D814" s="21" t="str">
        <f aca="false">'Player Data'!C814</f>
        <v>Ecuador Reserve League</v>
      </c>
      <c r="E814" s="21" t="n">
        <f aca="false">'Player Data'!D814</f>
        <v>3</v>
      </c>
      <c r="F814" s="21" t="n">
        <f aca="false">'Player Data'!G814</f>
        <v>26</v>
      </c>
      <c r="G814" s="21" t="n">
        <f aca="false">'Player Data'!H814</f>
        <v>1210</v>
      </c>
      <c r="H814" s="22" t="n">
        <f aca="false">IF(B814="GK",IFERROR(('Player Data'!N814-1.5*'Player Data'!O814)/'Player Data'!H814*90,0),IFERROR(('Player Data'!I814+'Player Data'!J814)/'Player Data'!H814*90,0))</f>
        <v>0.297520661157025</v>
      </c>
      <c r="I814" s="22" t="n">
        <f aca="false">IF(B814="GK",'Player Data'!P814,IFERROR(('Player Data'!K814+'Player Data'!L814)/'Player Data'!H814*90,0))</f>
        <v>6.99173553719008</v>
      </c>
      <c r="J814" s="22" t="n">
        <f aca="false">IF(B814="GK",IFERROR('Player Data'!Q814/'Player Data'!H814*90,0),IFERROR('Player Data'!M814/'Player Data'!H814*90,0))</f>
        <v>6.84297520661157</v>
      </c>
      <c r="K814" s="23" t="n">
        <f aca="false">'Player Data'!S814</f>
        <v>145859</v>
      </c>
      <c r="L814" s="22" t="n">
        <f aca="false">INDEX(Assumptions!$B$13:$B$15,MATCH(E814,Assumptions!$A$13:$A$15,0))</f>
        <v>0.85</v>
      </c>
      <c r="M814" s="24" t="n">
        <f aca="false">IFERROR(SUMPRODUCT(($B$2:$B$1001=B814)*($H$2:$H$1001&lt;=H814))/SUMPRODUCT(($B$2:$B$1001=B814)*1),0)</f>
        <v>0.761904761904762</v>
      </c>
      <c r="N814" s="24" t="n">
        <f aca="false">IFERROR(SUMPRODUCT(($B$2:$B$1001=B814)*($I$2:$I$1001&lt;=I814))/SUMPRODUCT(($B$2:$B$1001=B814)*1),0)</f>
        <v>0.82312925170068</v>
      </c>
      <c r="O814" s="24" t="n">
        <f aca="false">IFERROR(SUMPRODUCT(($B$2:$B$1001=B814)*($J$2:$J$1001&lt;=J814))/SUMPRODUCT(($B$2:$B$1001=B814)*1),0)</f>
        <v>0.724489795918367</v>
      </c>
      <c r="P814" s="24" t="n">
        <f aca="false">IFERROR(SUMPRODUCT(($B$2:$B$1001=B814)*((0-$F$2:$F$1001)&lt;=(0-F814)))/SUMPRODUCT(($B$2:$B$1001=B814)*1),0)</f>
        <v>0.0748299319727891</v>
      </c>
      <c r="Q814" s="25" t="n">
        <f aca="false">(M814*Assumptions!$B$5+N814*Assumptions!$B$6+O814*Assumptions!$B$7+P814*Assumptions!$B$8)*L814</f>
        <v>0.542670068027211</v>
      </c>
      <c r="R814" s="24" t="n">
        <f aca="false">IFERROR(SUMPRODUCT(($B$2:$B$1001=B814)*($Q$2:$Q$1001&lt;=Q814))/SUMPRODUCT(($B$2:$B$1001=B814)*1),0)</f>
        <v>0.683673469387755</v>
      </c>
      <c r="S814" s="24" t="n">
        <f aca="false">IFERROR(SUMPRODUCT(($B$2:$B$1001=B814)*($K$2:$K$1001&lt;=K814))/SUMPRODUCT(($B$2:$B$1001=B814)*1),0)</f>
        <v>0.986394557823129</v>
      </c>
      <c r="T814" s="26" t="n">
        <f aca="false">(R814-S814)*100</f>
        <v>-30.2721088435374</v>
      </c>
      <c r="U814" s="21" t="str">
        <f aca="false">'Player Data'!T814</f>
        <v>Unknown</v>
      </c>
      <c r="V814" s="27" t="n">
        <f aca="false">'Player Data'!U814</f>
        <v>2026</v>
      </c>
      <c r="W814" s="21" t="str">
        <f aca="false">IF(AND(T814&gt;=Assumptions!$B$19,U814="No"),"High Priority - Unrepresented",IF(T814&gt;=Assumptions!$B$19,"High Priority",IF(AND(T814&gt;=Assumptions!$B$20,U814="No"),"Watchlist - Unrepresented",IF(T814&gt;=Assumptions!$B$20,"Watchlist",""))))</f>
        <v/>
      </c>
      <c r="X814" s="21" t="str">
        <f aca="false">'Player Data'!V814</f>
        <v>info@mantarangers.ec</v>
      </c>
      <c r="Y814" s="28" t="str">
        <f aca="false">'Player Data'!W814</f>
        <v>Club sporting director / first-team office</v>
      </c>
      <c r="Z814" s="28" t="str">
        <f aca="false">'Player Data'!X814</f>
        <v>FEF (Ecuadorian Football Federation) player registry</v>
      </c>
      <c r="AA814" s="19" t="str">
        <f aca="false">HYPERLINK("https://www.transfermarkt.com/schnellsuche/ergebnis/schnellsuche?query="&amp;SUBSTITUTE(A814," ","+"),"Search Transfermarkt")</f>
        <v>Search Transfermarkt</v>
      </c>
      <c r="AB814" s="29" t="n">
        <f aca="false">IFERROR('Player Data'!K814/('Player Data'!K814+'Player Data'!L814),0)</f>
        <v>0.5</v>
      </c>
      <c r="AC814" s="21" t="str">
        <f aca="false">IF(B814="GK",IF(AND(O814&gt;=Assumptions!$B$23,N814&gt;=Assumptions!$B$23),"Sweeper-Keeper / Build-from-the-Back",IF(O814&gt;=Assumptions!$B$23,"Sweeper-Keeper / High Line",IF(M814&gt;=Assumptions!$B$23,"Shot-Stopper / Traditional","Flexible / Multi-System"))),IF(AND(O814&gt;=Assumptions!$B$23,P814&gt;=Assumptions!$B$24),"High Press / Gegenpressing",IF(AND(N814&gt;=Assumptions!$B$23,AB814&gt;=Assumptions!$B$25),"Possession / Build-from-the-Back",IF(N814&gt;=Assumptions!$B$23,"Counter-Attack / Transition",IF(AND(O814&gt;=Assumptions!$B$23,N814&lt;Assumptions!$B$26),"Low Block / Park the Bus",IF(AND(B814="FW",M814&gt;=Assumptions!$B$23,N814&lt;Assumptions!$B$26),"Direct / Target Approach","Flexible / Multi-System"))))))</f>
        <v>Counter-Attack / Transition</v>
      </c>
      <c r="AD814" s="21" t="str">
        <f aca="false">'Player Data'!Y814</f>
        <v>2026-07-17</v>
      </c>
      <c r="AE814" s="21" t="str">
        <f aca="false">'Player Data'!Z814</f>
        <v>2026-07-17</v>
      </c>
      <c r="AF814" s="28" t="str">
        <f aca="false">IFERROR(INDEX(Assumptions!$B$30:$B$61,MATCH(C814,Assumptions!$A$30:$A$61,0)),"--")</f>
        <v>Argentina, Portugal</v>
      </c>
      <c r="AG814" s="30" t="str">
        <f aca="false">IF(R814&gt;=0.7,"Step-Up Candidate",IF(R814&gt;=0.4,"Lateral Move","Stay &amp; Develop"))</f>
        <v>Lateral Move</v>
      </c>
    </row>
    <row r="815" customFormat="false" ht="23.85" hidden="false" customHeight="false" outlineLevel="0" collapsed="false">
      <c r="A815" s="21" t="str">
        <f aca="false">'Player Data'!A815</f>
        <v>Nicolas Ferreira</v>
      </c>
      <c r="B815" s="21" t="str">
        <f aca="false">'Player Data'!F815</f>
        <v>FW</v>
      </c>
      <c r="C815" s="21" t="str">
        <f aca="false">'Player Data'!B815</f>
        <v>Uruguay</v>
      </c>
      <c r="D815" s="21" t="str">
        <f aca="false">'Player Data'!C815</f>
        <v>Uruguay Regional League</v>
      </c>
      <c r="E815" s="21" t="n">
        <f aca="false">'Player Data'!D815</f>
        <v>4</v>
      </c>
      <c r="F815" s="21" t="n">
        <f aca="false">'Player Data'!G815</f>
        <v>26</v>
      </c>
      <c r="G815" s="21" t="n">
        <f aca="false">'Player Data'!H815</f>
        <v>2032</v>
      </c>
      <c r="H815" s="22" t="n">
        <f aca="false">IF(B815="GK",IFERROR(('Player Data'!N815-1.5*'Player Data'!O815)/'Player Data'!H815*90,0),IFERROR(('Player Data'!I815+'Player Data'!J815)/'Player Data'!H815*90,0))</f>
        <v>0.974409448818898</v>
      </c>
      <c r="I815" s="22" t="n">
        <f aca="false">IF(B815="GK",'Player Data'!P815,IFERROR(('Player Data'!K815+'Player Data'!L815)/'Player Data'!H815*90,0))</f>
        <v>6.2007874015748</v>
      </c>
      <c r="J815" s="22" t="n">
        <f aca="false">IF(B815="GK",IFERROR('Player Data'!Q815/'Player Data'!H815*90,0),IFERROR('Player Data'!M815/'Player Data'!H815*90,0))</f>
        <v>0.177165354330709</v>
      </c>
      <c r="K815" s="23" t="n">
        <f aca="false">'Player Data'!S815</f>
        <v>73947</v>
      </c>
      <c r="L815" s="22" t="n">
        <f aca="false">INDEX(Assumptions!$B$13:$B$15,MATCH(E815,Assumptions!$A$13:$A$15,0))</f>
        <v>0.7</v>
      </c>
      <c r="M815" s="24" t="n">
        <f aca="false">IFERROR(SUMPRODUCT(($B$2:$B$1001=B815)*($H$2:$H$1001&lt;=H815))/SUMPRODUCT(($B$2:$B$1001=B815)*1),0)</f>
        <v>0.504424778761062</v>
      </c>
      <c r="N815" s="24" t="n">
        <f aca="false">IFERROR(SUMPRODUCT(($B$2:$B$1001=B815)*($I$2:$I$1001&lt;=I815))/SUMPRODUCT(($B$2:$B$1001=B815)*1),0)</f>
        <v>0.455752212389381</v>
      </c>
      <c r="O815" s="24" t="n">
        <f aca="false">IFERROR(SUMPRODUCT(($B$2:$B$1001=B815)*($J$2:$J$1001&lt;=J815))/SUMPRODUCT(($B$2:$B$1001=B815)*1),0)</f>
        <v>0.0265486725663717</v>
      </c>
      <c r="P815" s="24" t="n">
        <f aca="false">IFERROR(SUMPRODUCT(($B$2:$B$1001=B815)*((0-$F$2:$F$1001)&lt;=(0-F815)))/SUMPRODUCT(($B$2:$B$1001=B815)*1),0)</f>
        <v>0.0929203539823009</v>
      </c>
      <c r="Q815" s="25" t="n">
        <f aca="false">(M815*Assumptions!$B$5+N815*Assumptions!$B$6+O815*Assumptions!$B$7+P815*Assumptions!$B$8)*L815</f>
        <v>0.216659292035398</v>
      </c>
      <c r="R815" s="24" t="n">
        <f aca="false">IFERROR(SUMPRODUCT(($B$2:$B$1001=B815)*($Q$2:$Q$1001&lt;=Q815))/SUMPRODUCT(($B$2:$B$1001=B815)*1),0)</f>
        <v>0.110619469026549</v>
      </c>
      <c r="S815" s="24" t="n">
        <f aca="false">IFERROR(SUMPRODUCT(($B$2:$B$1001=B815)*($K$2:$K$1001&lt;=K815))/SUMPRODUCT(($B$2:$B$1001=B815)*1),0)</f>
        <v>0.575221238938053</v>
      </c>
      <c r="T815" s="26" t="n">
        <f aca="false">(R815-S815)*100</f>
        <v>-46.4601769911504</v>
      </c>
      <c r="U815" s="21" t="str">
        <f aca="false">'Player Data'!T815</f>
        <v>Yes</v>
      </c>
      <c r="V815" s="27" t="n">
        <f aca="false">'Player Data'!U815</f>
        <v>2028</v>
      </c>
      <c r="W815" s="21" t="str">
        <f aca="false">IF(AND(T815&gt;=Assumptions!$B$19,U815="No"),"High Priority - Unrepresented",IF(T815&gt;=Assumptions!$B$19,"High Priority",IF(AND(T815&gt;=Assumptions!$B$20,U815="No"),"Watchlist - Unrepresented",IF(T815&gt;=Assumptions!$B$20,"Watchlist",""))))</f>
        <v/>
      </c>
      <c r="X815" s="21" t="str">
        <f aca="false">'Player Data'!V815</f>
        <v>info@montevideotown.uy</v>
      </c>
      <c r="Y815" s="28" t="str">
        <f aca="false">'Player Data'!W815</f>
        <v>Go through the player's agent - ask the club to confirm representation first</v>
      </c>
      <c r="Z815" s="28" t="str">
        <f aca="false">'Player Data'!X815</f>
        <v>AUF (Uruguayan Football Association) player registry</v>
      </c>
      <c r="AA815" s="19" t="str">
        <f aca="false">HYPERLINK("https://www.transfermarkt.com/schnellsuche/ergebnis/schnellsuche?query="&amp;SUBSTITUTE(A815," ","+"),"Search Transfermarkt")</f>
        <v>Search Transfermarkt</v>
      </c>
      <c r="AB815" s="29" t="n">
        <f aca="false">IFERROR('Player Data'!K815/('Player Data'!K815+'Player Data'!L815),0)</f>
        <v>0.435714285714286</v>
      </c>
      <c r="AC815" s="21" t="str">
        <f aca="false">IF(B815="GK",IF(AND(O815&gt;=Assumptions!$B$23,N815&gt;=Assumptions!$B$23),"Sweeper-Keeper / Build-from-the-Back",IF(O815&gt;=Assumptions!$B$23,"Sweeper-Keeper / High Line",IF(M815&gt;=Assumptions!$B$23,"Shot-Stopper / Traditional","Flexible / Multi-System"))),IF(AND(O815&gt;=Assumptions!$B$23,P815&gt;=Assumptions!$B$24),"High Press / Gegenpressing",IF(AND(N815&gt;=Assumptions!$B$23,AB815&gt;=Assumptions!$B$25),"Possession / Build-from-the-Back",IF(N815&gt;=Assumptions!$B$23,"Counter-Attack / Transition",IF(AND(O815&gt;=Assumptions!$B$23,N815&lt;Assumptions!$B$26),"Low Block / Park the Bus",IF(AND(B815="FW",M815&gt;=Assumptions!$B$23,N815&lt;Assumptions!$B$26),"Direct / Target Approach","Flexible / Multi-System"))))))</f>
        <v>Flexible / Multi-System</v>
      </c>
      <c r="AD815" s="21" t="str">
        <f aca="false">'Player Data'!Y815</f>
        <v>2026-07-17</v>
      </c>
      <c r="AE815" s="21" t="str">
        <f aca="false">'Player Data'!Z815</f>
        <v>2026-07-17</v>
      </c>
      <c r="AF815" s="28" t="str">
        <f aca="false">IFERROR(INDEX(Assumptions!$B$30:$B$61,MATCH(C815,Assumptions!$A$30:$A$61,0)),"--")</f>
        <v>Argentina, Portugal</v>
      </c>
      <c r="AG815" s="30" t="str">
        <f aca="false">IF(R815&gt;=0.7,"Step-Up Candidate",IF(R815&gt;=0.4,"Lateral Move","Stay &amp; Develop"))</f>
        <v>Stay &amp; Develop</v>
      </c>
    </row>
    <row r="816" customFormat="false" ht="23.85" hidden="false" customHeight="false" outlineLevel="0" collapsed="false">
      <c r="A816" s="21" t="str">
        <f aca="false">'Player Data'!A816</f>
        <v>Kevin Chavez</v>
      </c>
      <c r="B816" s="21" t="str">
        <f aca="false">'Player Data'!F816</f>
        <v>FW</v>
      </c>
      <c r="C816" s="21" t="str">
        <f aca="false">'Player Data'!B816</f>
        <v>Ecuador</v>
      </c>
      <c r="D816" s="21" t="str">
        <f aca="false">'Player Data'!C816</f>
        <v>Ecuador Second Division - East</v>
      </c>
      <c r="E816" s="21" t="n">
        <f aca="false">'Player Data'!D816</f>
        <v>4</v>
      </c>
      <c r="F816" s="21" t="n">
        <f aca="false">'Player Data'!G816</f>
        <v>25</v>
      </c>
      <c r="G816" s="21" t="n">
        <f aca="false">'Player Data'!H816</f>
        <v>2275</v>
      </c>
      <c r="H816" s="22" t="n">
        <f aca="false">IF(B816="GK",IFERROR(('Player Data'!N816-1.5*'Player Data'!O816)/'Player Data'!H816*90,0),IFERROR(('Player Data'!I816+'Player Data'!J816)/'Player Data'!H816*90,0))</f>
        <v>0.474725274725275</v>
      </c>
      <c r="I816" s="22" t="n">
        <f aca="false">IF(B816="GK",'Player Data'!P816,IFERROR(('Player Data'!K816+'Player Data'!L816)/'Player Data'!H816*90,0))</f>
        <v>4.15384615384615</v>
      </c>
      <c r="J816" s="22" t="n">
        <f aca="false">IF(B816="GK",IFERROR('Player Data'!Q816/'Player Data'!H816*90,0),IFERROR('Player Data'!M816/'Player Data'!H816*90,0))</f>
        <v>0.435164835164835</v>
      </c>
      <c r="K816" s="23" t="n">
        <f aca="false">'Player Data'!S816</f>
        <v>124453</v>
      </c>
      <c r="L816" s="22" t="n">
        <f aca="false">INDEX(Assumptions!$B$13:$B$15,MATCH(E816,Assumptions!$A$13:$A$15,0))</f>
        <v>0.7</v>
      </c>
      <c r="M816" s="24" t="n">
        <f aca="false">IFERROR(SUMPRODUCT(($B$2:$B$1001=B816)*($H$2:$H$1001&lt;=H816))/SUMPRODUCT(($B$2:$B$1001=B816)*1),0)</f>
        <v>0.0486725663716814</v>
      </c>
      <c r="N816" s="24" t="n">
        <f aca="false">IFERROR(SUMPRODUCT(($B$2:$B$1001=B816)*($I$2:$I$1001&lt;=I816))/SUMPRODUCT(($B$2:$B$1001=B816)*1),0)</f>
        <v>0.0663716814159292</v>
      </c>
      <c r="O816" s="24" t="n">
        <f aca="false">IFERROR(SUMPRODUCT(($B$2:$B$1001=B816)*($J$2:$J$1001&lt;=J816))/SUMPRODUCT(($B$2:$B$1001=B816)*1),0)</f>
        <v>0.380530973451327</v>
      </c>
      <c r="P816" s="24" t="n">
        <f aca="false">IFERROR(SUMPRODUCT(($B$2:$B$1001=B816)*((0-$F$2:$F$1001)&lt;=(0-F816)))/SUMPRODUCT(($B$2:$B$1001=B816)*1),0)</f>
        <v>0.194690265486726</v>
      </c>
      <c r="Q816" s="25" t="n">
        <f aca="false">(M816*Assumptions!$B$5+N816*Assumptions!$B$6+O816*Assumptions!$B$7+P816*Assumptions!$B$8)*L816</f>
        <v>0.105309734513274</v>
      </c>
      <c r="R816" s="24" t="n">
        <f aca="false">IFERROR(SUMPRODUCT(($B$2:$B$1001=B816)*($Q$2:$Q$1001&lt;=Q816))/SUMPRODUCT(($B$2:$B$1001=B816)*1),0)</f>
        <v>0.00884955752212389</v>
      </c>
      <c r="S816" s="24" t="n">
        <f aca="false">IFERROR(SUMPRODUCT(($B$2:$B$1001=B816)*($K$2:$K$1001&lt;=K816))/SUMPRODUCT(($B$2:$B$1001=B816)*1),0)</f>
        <v>0.867256637168142</v>
      </c>
      <c r="T816" s="26" t="n">
        <f aca="false">(R816-S816)*100</f>
        <v>-85.8407079646018</v>
      </c>
      <c r="U816" s="21" t="str">
        <f aca="false">'Player Data'!T816</f>
        <v>No</v>
      </c>
      <c r="V816" s="27" t="n">
        <f aca="false">'Player Data'!U816</f>
        <v>2027</v>
      </c>
      <c r="W816" s="21" t="str">
        <f aca="false">IF(AND(T816&gt;=Assumptions!$B$19,U816="No"),"High Priority - Unrepresented",IF(T816&gt;=Assumptions!$B$19,"High Priority",IF(AND(T816&gt;=Assumptions!$B$20,U816="No"),"Watchlist - Unrepresented",IF(T816&gt;=Assumptions!$B$20,"Watchlist",""))))</f>
        <v/>
      </c>
      <c r="X816" s="21" t="str">
        <f aca="false">'Player Data'!V816</f>
        <v>info@guayaquilrovers.ec</v>
      </c>
      <c r="Y816" s="28" t="str">
        <f aca="false">'Player Data'!W816</f>
        <v>Club sporting director / first-team office</v>
      </c>
      <c r="Z816" s="28" t="str">
        <f aca="false">'Player Data'!X816</f>
        <v>FEF (Ecuadorian Football Federation) player registry</v>
      </c>
      <c r="AA816" s="19" t="str">
        <f aca="false">HYPERLINK("https://www.transfermarkt.com/schnellsuche/ergebnis/schnellsuche?query="&amp;SUBSTITUTE(A816," ","+"),"Search Transfermarkt")</f>
        <v>Search Transfermarkt</v>
      </c>
      <c r="AB816" s="29" t="n">
        <f aca="false">IFERROR('Player Data'!K816/('Player Data'!K816+'Player Data'!L816),0)</f>
        <v>0.371428571428571</v>
      </c>
      <c r="AC816" s="21" t="str">
        <f aca="false">IF(B816="GK",IF(AND(O816&gt;=Assumptions!$B$23,N816&gt;=Assumptions!$B$23),"Sweeper-Keeper / Build-from-the-Back",IF(O816&gt;=Assumptions!$B$23,"Sweeper-Keeper / High Line",IF(M816&gt;=Assumptions!$B$23,"Shot-Stopper / Traditional","Flexible / Multi-System"))),IF(AND(O816&gt;=Assumptions!$B$23,P816&gt;=Assumptions!$B$24),"High Press / Gegenpressing",IF(AND(N816&gt;=Assumptions!$B$23,AB816&gt;=Assumptions!$B$25),"Possession / Build-from-the-Back",IF(N816&gt;=Assumptions!$B$23,"Counter-Attack / Transition",IF(AND(O816&gt;=Assumptions!$B$23,N816&lt;Assumptions!$B$26),"Low Block / Park the Bus",IF(AND(B816="FW",M816&gt;=Assumptions!$B$23,N816&lt;Assumptions!$B$26),"Direct / Target Approach","Flexible / Multi-System"))))))</f>
        <v>Flexible / Multi-System</v>
      </c>
      <c r="AD816" s="21" t="str">
        <f aca="false">'Player Data'!Y816</f>
        <v>2026-07-17</v>
      </c>
      <c r="AE816" s="21" t="str">
        <f aca="false">'Player Data'!Z816</f>
        <v>2026-07-17</v>
      </c>
      <c r="AF816" s="28" t="str">
        <f aca="false">IFERROR(INDEX(Assumptions!$B$30:$B$61,MATCH(C816,Assumptions!$A$30:$A$61,0)),"--")</f>
        <v>Argentina, Portugal</v>
      </c>
      <c r="AG816" s="30" t="str">
        <f aca="false">IF(R816&gt;=0.7,"Step-Up Candidate",IF(R816&gt;=0.4,"Lateral Move","Stay &amp; Develop"))</f>
        <v>Stay &amp; Develop</v>
      </c>
    </row>
    <row r="817" customFormat="false" ht="23.85" hidden="false" customHeight="false" outlineLevel="0" collapsed="false">
      <c r="A817" s="21" t="str">
        <f aca="false">'Player Data'!A817</f>
        <v>Eric Ngoy</v>
      </c>
      <c r="B817" s="21" t="str">
        <f aca="false">'Player Data'!F817</f>
        <v>FW</v>
      </c>
      <c r="C817" s="21" t="str">
        <f aca="false">'Player Data'!B817</f>
        <v>Cameroon</v>
      </c>
      <c r="D817" s="21" t="str">
        <f aca="false">'Player Data'!C817</f>
        <v>Cameroon Second Division - East</v>
      </c>
      <c r="E817" s="21" t="n">
        <f aca="false">'Player Data'!D817</f>
        <v>4</v>
      </c>
      <c r="F817" s="21" t="n">
        <f aca="false">'Player Data'!G817</f>
        <v>20</v>
      </c>
      <c r="G817" s="21" t="n">
        <f aca="false">'Player Data'!H817</f>
        <v>863</v>
      </c>
      <c r="H817" s="22" t="n">
        <f aca="false">IF(B817="GK",IFERROR(('Player Data'!N817-1.5*'Player Data'!O817)/'Player Data'!H817*90,0),IFERROR(('Player Data'!I817+'Player Data'!J817)/'Player Data'!H817*90,0))</f>
        <v>2.19003476245655</v>
      </c>
      <c r="I817" s="22" t="n">
        <f aca="false">IF(B817="GK",'Player Data'!P817,IFERROR(('Player Data'!K817+'Player Data'!L817)/'Player Data'!H817*90,0))</f>
        <v>11.5758980301275</v>
      </c>
      <c r="J817" s="22" t="n">
        <f aca="false">IF(B817="GK",IFERROR('Player Data'!Q817/'Player Data'!H817*90,0),IFERROR('Player Data'!M817/'Player Data'!H817*90,0))</f>
        <v>0.938586326767092</v>
      </c>
      <c r="K817" s="23" t="n">
        <f aca="false">'Player Data'!S817</f>
        <v>103736</v>
      </c>
      <c r="L817" s="22" t="n">
        <f aca="false">INDEX(Assumptions!$B$13:$B$15,MATCH(E817,Assumptions!$A$13:$A$15,0))</f>
        <v>0.7</v>
      </c>
      <c r="M817" s="24" t="n">
        <f aca="false">IFERROR(SUMPRODUCT(($B$2:$B$1001=B817)*($H$2:$H$1001&lt;=H817))/SUMPRODUCT(($B$2:$B$1001=B817)*1),0)</f>
        <v>0.969026548672566</v>
      </c>
      <c r="N817" s="24" t="n">
        <f aca="false">IFERROR(SUMPRODUCT(($B$2:$B$1001=B817)*($I$2:$I$1001&lt;=I817))/SUMPRODUCT(($B$2:$B$1001=B817)*1),0)</f>
        <v>0.902654867256637</v>
      </c>
      <c r="O817" s="24" t="n">
        <f aca="false">IFERROR(SUMPRODUCT(($B$2:$B$1001=B817)*($J$2:$J$1001&lt;=J817))/SUMPRODUCT(($B$2:$B$1001=B817)*1),0)</f>
        <v>0.867256637168142</v>
      </c>
      <c r="P817" s="24" t="n">
        <f aca="false">IFERROR(SUMPRODUCT(($B$2:$B$1001=B817)*((0-$F$2:$F$1001)&lt;=(0-F817)))/SUMPRODUCT(($B$2:$B$1001=B817)*1),0)</f>
        <v>0.712389380530973</v>
      </c>
      <c r="Q817" s="25" t="n">
        <f aca="false">(M817*Assumptions!$B$5+N817*Assumptions!$B$6+O817*Assumptions!$B$7+P817*Assumptions!$B$8)*L817</f>
        <v>0.611880530973451</v>
      </c>
      <c r="R817" s="24" t="n">
        <f aca="false">IFERROR(SUMPRODUCT(($B$2:$B$1001=B817)*($Q$2:$Q$1001&lt;=Q817))/SUMPRODUCT(($B$2:$B$1001=B817)*1),0)</f>
        <v>0.769911504424779</v>
      </c>
      <c r="S817" s="24" t="n">
        <f aca="false">IFERROR(SUMPRODUCT(($B$2:$B$1001=B817)*($K$2:$K$1001&lt;=K817))/SUMPRODUCT(($B$2:$B$1001=B817)*1),0)</f>
        <v>0.716814159292035</v>
      </c>
      <c r="T817" s="26" t="n">
        <f aca="false">(R817-S817)*100</f>
        <v>5.30973451327433</v>
      </c>
      <c r="U817" s="21" t="str">
        <f aca="false">'Player Data'!T817</f>
        <v>Yes</v>
      </c>
      <c r="V817" s="27" t="n">
        <f aca="false">'Player Data'!U817</f>
        <v>2029</v>
      </c>
      <c r="W817" s="21" t="str">
        <f aca="false">IF(AND(T817&gt;=Assumptions!$B$19,U817="No"),"High Priority - Unrepresented",IF(T817&gt;=Assumptions!$B$19,"High Priority",IF(AND(T817&gt;=Assumptions!$B$20,U817="No"),"Watchlist - Unrepresented",IF(T817&gt;=Assumptions!$B$20,"Watchlist",""))))</f>
        <v/>
      </c>
      <c r="X817" s="21" t="str">
        <f aca="false">'Player Data'!V817</f>
        <v>info@garouasc.cm</v>
      </c>
      <c r="Y817" s="28" t="str">
        <f aca="false">'Player Data'!W817</f>
        <v>Go through the player's agent - ask the club to confirm representation first</v>
      </c>
      <c r="Z817" s="28" t="str">
        <f aca="false">'Player Data'!X817</f>
        <v>FECAFOOT (Cameroonian Football Federation) player registry</v>
      </c>
      <c r="AA817" s="19" t="str">
        <f aca="false">HYPERLINK("https://www.transfermarkt.com/schnellsuche/ergebnis/schnellsuche?query="&amp;SUBSTITUTE(A817," ","+"),"Search Transfermarkt")</f>
        <v>Search Transfermarkt</v>
      </c>
      <c r="AB817" s="29" t="n">
        <f aca="false">IFERROR('Player Data'!K817/('Player Data'!K817+'Player Data'!L817),0)</f>
        <v>0.45045045045045</v>
      </c>
      <c r="AC817" s="21" t="str">
        <f aca="false">IF(B817="GK",IF(AND(O817&gt;=Assumptions!$B$23,N817&gt;=Assumptions!$B$23),"Sweeper-Keeper / Build-from-the-Back",IF(O817&gt;=Assumptions!$B$23,"Sweeper-Keeper / High Line",IF(M817&gt;=Assumptions!$B$23,"Shot-Stopper / Traditional","Flexible / Multi-System"))),IF(AND(O817&gt;=Assumptions!$B$23,P817&gt;=Assumptions!$B$24),"High Press / Gegenpressing",IF(AND(N817&gt;=Assumptions!$B$23,AB817&gt;=Assumptions!$B$25),"Possession / Build-from-the-Back",IF(N817&gt;=Assumptions!$B$23,"Counter-Attack / Transition",IF(AND(O817&gt;=Assumptions!$B$23,N817&lt;Assumptions!$B$26),"Low Block / Park the Bus",IF(AND(B817="FW",M817&gt;=Assumptions!$B$23,N817&lt;Assumptions!$B$26),"Direct / Target Approach","Flexible / Multi-System"))))))</f>
        <v>High Press / Gegenpressing</v>
      </c>
      <c r="AD817" s="21" t="str">
        <f aca="false">'Player Data'!Y817</f>
        <v>2026-07-17</v>
      </c>
      <c r="AE817" s="21" t="str">
        <f aca="false">'Player Data'!Z817</f>
        <v>2026-07-17</v>
      </c>
      <c r="AF817" s="28" t="str">
        <f aca="false">IFERROR(INDEX(Assumptions!$B$30:$B$61,MATCH(C817,Assumptions!$A$30:$A$61,0)),"--")</f>
        <v>Belgium, Portugal</v>
      </c>
      <c r="AG817" s="30" t="str">
        <f aca="false">IF(R817&gt;=0.7,"Step-Up Candidate",IF(R817&gt;=0.4,"Lateral Move","Stay &amp; Develop"))</f>
        <v>Step-Up Candidate</v>
      </c>
    </row>
    <row r="818" customFormat="false" ht="23.85" hidden="false" customHeight="false" outlineLevel="0" collapsed="false">
      <c r="A818" s="21" t="str">
        <f aca="false">'Player Data'!A818</f>
        <v>Wilfried Diabate</v>
      </c>
      <c r="B818" s="21" t="str">
        <f aca="false">'Player Data'!F818</f>
        <v>DF</v>
      </c>
      <c r="C818" s="21" t="str">
        <f aca="false">'Player Data'!B818</f>
        <v>Ivory Coast</v>
      </c>
      <c r="D818" s="21" t="str">
        <f aca="false">'Player Data'!C818</f>
        <v>Ivory Coast Provincial League</v>
      </c>
      <c r="E818" s="21" t="n">
        <f aca="false">'Player Data'!D818</f>
        <v>2</v>
      </c>
      <c r="F818" s="21" t="n">
        <f aca="false">'Player Data'!G818</f>
        <v>17</v>
      </c>
      <c r="G818" s="21" t="n">
        <f aca="false">'Player Data'!H818</f>
        <v>1420</v>
      </c>
      <c r="H818" s="22" t="n">
        <f aca="false">IF(B818="GK",IFERROR(('Player Data'!N818-1.5*'Player Data'!O818)/'Player Data'!H818*90,0),IFERROR(('Player Data'!I818+'Player Data'!J818)/'Player Data'!H818*90,0))</f>
        <v>0.380281690140845</v>
      </c>
      <c r="I818" s="22" t="n">
        <f aca="false">IF(B818="GK",'Player Data'!P818,IFERROR(('Player Data'!K818+'Player Data'!L818)/'Player Data'!H818*90,0))</f>
        <v>5.26056338028169</v>
      </c>
      <c r="J818" s="22" t="n">
        <f aca="false">IF(B818="GK",IFERROR('Player Data'!Q818/'Player Data'!H818*90,0),IFERROR('Player Data'!M818/'Player Data'!H818*90,0))</f>
        <v>7.6056338028169</v>
      </c>
      <c r="K818" s="23" t="n">
        <f aca="false">'Player Data'!S818</f>
        <v>41630</v>
      </c>
      <c r="L818" s="22" t="n">
        <f aca="false">INDEX(Assumptions!$B$13:$B$15,MATCH(E818,Assumptions!$A$13:$A$15,0))</f>
        <v>1</v>
      </c>
      <c r="M818" s="24" t="n">
        <f aca="false">IFERROR(SUMPRODUCT(($B$2:$B$1001=B818)*($H$2:$H$1001&lt;=H818))/SUMPRODUCT(($B$2:$B$1001=B818)*1),0)</f>
        <v>0.884353741496599</v>
      </c>
      <c r="N818" s="24" t="n">
        <f aca="false">IFERROR(SUMPRODUCT(($B$2:$B$1001=B818)*($I$2:$I$1001&lt;=I818))/SUMPRODUCT(($B$2:$B$1001=B818)*1),0)</f>
        <v>0.625850340136055</v>
      </c>
      <c r="O818" s="24" t="n">
        <f aca="false">IFERROR(SUMPRODUCT(($B$2:$B$1001=B818)*($J$2:$J$1001&lt;=J818))/SUMPRODUCT(($B$2:$B$1001=B818)*1),0)</f>
        <v>0.816326530612245</v>
      </c>
      <c r="P818" s="24" t="n">
        <f aca="false">IFERROR(SUMPRODUCT(($B$2:$B$1001=B818)*((0-$F$2:$F$1001)&lt;=(0-F818)))/SUMPRODUCT(($B$2:$B$1001=B818)*1),0)</f>
        <v>1</v>
      </c>
      <c r="Q818" s="25" t="n">
        <f aca="false">(M818*Assumptions!$B$5+N818*Assumptions!$B$6+O818*Assumptions!$B$7+P818*Assumptions!$B$8)*L818</f>
        <v>0.803401360544218</v>
      </c>
      <c r="R818" s="24" t="n">
        <f aca="false">IFERROR(SUMPRODUCT(($B$2:$B$1001=B818)*($Q$2:$Q$1001&lt;=Q818))/SUMPRODUCT(($B$2:$B$1001=B818)*1),0)</f>
        <v>0.959183673469388</v>
      </c>
      <c r="S818" s="24" t="n">
        <f aca="false">IFERROR(SUMPRODUCT(($B$2:$B$1001=B818)*($K$2:$K$1001&lt;=K818))/SUMPRODUCT(($B$2:$B$1001=B818)*1),0)</f>
        <v>0.401360544217687</v>
      </c>
      <c r="T818" s="26" t="n">
        <f aca="false">(R818-S818)*100</f>
        <v>55.7823129251701</v>
      </c>
      <c r="U818" s="21" t="str">
        <f aca="false">'Player Data'!T818</f>
        <v>Yes</v>
      </c>
      <c r="V818" s="27" t="n">
        <f aca="false">'Player Data'!U818</f>
        <v>2028</v>
      </c>
      <c r="W818" s="21" t="str">
        <f aca="false">IF(AND(T818&gt;=Assumptions!$B$19,U818="No"),"High Priority - Unrepresented",IF(T818&gt;=Assumptions!$B$19,"High Priority",IF(AND(T818&gt;=Assumptions!$B$20,U818="No"),"Watchlist - Unrepresented",IF(T818&gt;=Assumptions!$B$20,"Watchlist",""))))</f>
        <v>High Priority</v>
      </c>
      <c r="X818" s="21" t="str">
        <f aca="false">'Player Data'!V818</f>
        <v>info@sanpedrofc.ci</v>
      </c>
      <c r="Y818" s="28" t="str">
        <f aca="false">'Player Data'!W818</f>
        <v>Club youth/academy office ONLY - player is a minor, do not contact directly</v>
      </c>
      <c r="Z818" s="28" t="str">
        <f aca="false">'Player Data'!X818</f>
        <v>FIF (Ivorian Football Federation) player registry</v>
      </c>
      <c r="AA818" s="19" t="str">
        <f aca="false">HYPERLINK("https://www.transfermarkt.com/schnellsuche/ergebnis/schnellsuche?query="&amp;SUBSTITUTE(A818," ","+"),"Search Transfermarkt")</f>
        <v>Search Transfermarkt</v>
      </c>
      <c r="AB818" s="29" t="n">
        <f aca="false">IFERROR('Player Data'!K818/('Player Data'!K818+'Player Data'!L818),0)</f>
        <v>0.72289156626506</v>
      </c>
      <c r="AC818" s="21" t="str">
        <f aca="false">IF(B818="GK",IF(AND(O818&gt;=Assumptions!$B$23,N818&gt;=Assumptions!$B$23),"Sweeper-Keeper / Build-from-the-Back",IF(O818&gt;=Assumptions!$B$23,"Sweeper-Keeper / High Line",IF(M818&gt;=Assumptions!$B$23,"Shot-Stopper / Traditional","Flexible / Multi-System"))),IF(AND(O818&gt;=Assumptions!$B$23,P818&gt;=Assumptions!$B$24),"High Press / Gegenpressing",IF(AND(N818&gt;=Assumptions!$B$23,AB818&gt;=Assumptions!$B$25),"Possession / Build-from-the-Back",IF(N818&gt;=Assumptions!$B$23,"Counter-Attack / Transition",IF(AND(O818&gt;=Assumptions!$B$23,N818&lt;Assumptions!$B$26),"Low Block / Park the Bus",IF(AND(B818="FW",M818&gt;=Assumptions!$B$23,N818&lt;Assumptions!$B$26),"Direct / Target Approach","Flexible / Multi-System"))))))</f>
        <v>High Press / Gegenpressing</v>
      </c>
      <c r="AD818" s="21" t="str">
        <f aca="false">'Player Data'!Y818</f>
        <v>2026-07-17</v>
      </c>
      <c r="AE818" s="21" t="str">
        <f aca="false">'Player Data'!Z818</f>
        <v>2026-07-17</v>
      </c>
      <c r="AF818" s="28" t="str">
        <f aca="false">IFERROR(INDEX(Assumptions!$B$30:$B$61,MATCH(C818,Assumptions!$A$30:$A$61,0)),"--")</f>
        <v>Belgium, Portugal</v>
      </c>
      <c r="AG818" s="30" t="str">
        <f aca="false">IF(R818&gt;=0.7,"Step-Up Candidate",IF(R818&gt;=0.4,"Lateral Move","Stay &amp; Develop"))</f>
        <v>Step-Up Candidate</v>
      </c>
    </row>
    <row r="819" customFormat="false" ht="23.85" hidden="false" customHeight="false" outlineLevel="0" collapsed="false">
      <c r="A819" s="21" t="str">
        <f aca="false">'Player Data'!A819</f>
        <v>Janis Vitols 21</v>
      </c>
      <c r="B819" s="21" t="str">
        <f aca="false">'Player Data'!F819</f>
        <v>GK</v>
      </c>
      <c r="C819" s="21" t="str">
        <f aca="false">'Player Data'!B819</f>
        <v>Latvia</v>
      </c>
      <c r="D819" s="21" t="str">
        <f aca="false">'Player Data'!C819</f>
        <v>Latvia Amateur League</v>
      </c>
      <c r="E819" s="21" t="n">
        <f aca="false">'Player Data'!D819</f>
        <v>3</v>
      </c>
      <c r="F819" s="21" t="n">
        <f aca="false">'Player Data'!G819</f>
        <v>26</v>
      </c>
      <c r="G819" s="21" t="n">
        <f aca="false">'Player Data'!H819</f>
        <v>2644</v>
      </c>
      <c r="H819" s="22" t="n">
        <f aca="false">IF(B819="GK",IFERROR(('Player Data'!N819-1.5*'Player Data'!O819)/'Player Data'!H819*90,0),IFERROR(('Player Data'!I819+'Player Data'!J819)/'Player Data'!H819*90,0))</f>
        <v>0.187216338880484</v>
      </c>
      <c r="I819" s="22" t="n">
        <f aca="false">IF(B819="GK",'Player Data'!P819,IFERROR(('Player Data'!K819+'Player Data'!L819)/'Player Data'!H819*90,0))</f>
        <v>65.1</v>
      </c>
      <c r="J819" s="22" t="n">
        <f aca="false">IF(B819="GK",IFERROR('Player Data'!Q819/'Player Data'!H819*90,0),IFERROR('Player Data'!M819/'Player Data'!H819*90,0))</f>
        <v>1.35476550680787</v>
      </c>
      <c r="K819" s="23" t="n">
        <f aca="false">'Player Data'!S819</f>
        <v>130195</v>
      </c>
      <c r="L819" s="22" t="n">
        <f aca="false">INDEX(Assumptions!$B$13:$B$15,MATCH(E819,Assumptions!$A$13:$A$15,0))</f>
        <v>0.85</v>
      </c>
      <c r="M819" s="24" t="n">
        <f aca="false">IFERROR(SUMPRODUCT(($B$2:$B$1001=B819)*($H$2:$H$1001&lt;=H819))/SUMPRODUCT(($B$2:$B$1001=B819)*1),0)</f>
        <v>0.234972677595628</v>
      </c>
      <c r="N819" s="24" t="n">
        <f aca="false">IFERROR(SUMPRODUCT(($B$2:$B$1001=B819)*($I$2:$I$1001&lt;=I819))/SUMPRODUCT(($B$2:$B$1001=B819)*1),0)</f>
        <v>0.289617486338798</v>
      </c>
      <c r="O819" s="24" t="n">
        <f aca="false">IFERROR(SUMPRODUCT(($B$2:$B$1001=B819)*($J$2:$J$1001&lt;=J819))/SUMPRODUCT(($B$2:$B$1001=B819)*1),0)</f>
        <v>0.868852459016393</v>
      </c>
      <c r="P819" s="24" t="n">
        <f aca="false">IFERROR(SUMPRODUCT(($B$2:$B$1001=B819)*((0-$F$2:$F$1001)&lt;=(0-F819)))/SUMPRODUCT(($B$2:$B$1001=B819)*1),0)</f>
        <v>0.131147540983607</v>
      </c>
      <c r="Q819" s="25" t="n">
        <f aca="false">(M819*Assumptions!$B$5+N819*Assumptions!$B$6+O819*Assumptions!$B$7+P819*Assumptions!$B$8)*L819</f>
        <v>0.306092896174863</v>
      </c>
      <c r="R819" s="24" t="n">
        <f aca="false">IFERROR(SUMPRODUCT(($B$2:$B$1001=B819)*($Q$2:$Q$1001&lt;=Q819))/SUMPRODUCT(($B$2:$B$1001=B819)*1),0)</f>
        <v>0.131147540983607</v>
      </c>
      <c r="S819" s="24" t="n">
        <f aca="false">IFERROR(SUMPRODUCT(($B$2:$B$1001=B819)*($K$2:$K$1001&lt;=K819))/SUMPRODUCT(($B$2:$B$1001=B819)*1),0)</f>
        <v>0.879781420765027</v>
      </c>
      <c r="T819" s="26" t="n">
        <f aca="false">(R819-S819)*100</f>
        <v>-74.8633879781421</v>
      </c>
      <c r="U819" s="21" t="str">
        <f aca="false">'Player Data'!T819</f>
        <v>Yes</v>
      </c>
      <c r="V819" s="27" t="n">
        <f aca="false">'Player Data'!U819</f>
        <v>2027</v>
      </c>
      <c r="W819" s="21" t="str">
        <f aca="false">IF(AND(T819&gt;=Assumptions!$B$19,U819="No"),"High Priority - Unrepresented",IF(T819&gt;=Assumptions!$B$19,"High Priority",IF(AND(T819&gt;=Assumptions!$B$20,U819="No"),"Watchlist - Unrepresented",IF(T819&gt;=Assumptions!$B$20,"Watchlist",""))))</f>
        <v/>
      </c>
      <c r="X819" s="21" t="str">
        <f aca="false">'Player Data'!V819</f>
        <v>info@jelgavaathletic.lv</v>
      </c>
      <c r="Y819" s="28" t="str">
        <f aca="false">'Player Data'!W819</f>
        <v>Go through the player's agent - ask the club to confirm representation first</v>
      </c>
      <c r="Z819" s="28" t="str">
        <f aca="false">'Player Data'!X819</f>
        <v>LFF (Latvian Football Federation) player registry</v>
      </c>
      <c r="AA819" s="19" t="str">
        <f aca="false">HYPERLINK("https://www.transfermarkt.com/schnellsuche/ergebnis/schnellsuche?query="&amp;SUBSTITUTE(A819," ","+"),"Search Transfermarkt")</f>
        <v>Search Transfermarkt</v>
      </c>
      <c r="AB819" s="29" t="n">
        <f aca="false">IFERROR('Player Data'!K819/('Player Data'!K819+'Player Data'!L819),0)</f>
        <v>0.863636363636364</v>
      </c>
      <c r="AC819" s="21" t="str">
        <f aca="false">IF(B819="GK",IF(AND(O819&gt;=Assumptions!$B$23,N819&gt;=Assumptions!$B$23),"Sweeper-Keeper / Build-from-the-Back",IF(O819&gt;=Assumptions!$B$23,"Sweeper-Keeper / High Line",IF(M819&gt;=Assumptions!$B$23,"Shot-Stopper / Traditional","Flexible / Multi-System"))),IF(AND(O819&gt;=Assumptions!$B$23,P819&gt;=Assumptions!$B$24),"High Press / Gegenpressing",IF(AND(N819&gt;=Assumptions!$B$23,AB819&gt;=Assumptions!$B$25),"Possession / Build-from-the-Back",IF(N819&gt;=Assumptions!$B$23,"Counter-Attack / Transition",IF(AND(O819&gt;=Assumptions!$B$23,N819&lt;Assumptions!$B$26),"Low Block / Park the Bus",IF(AND(B819="FW",M819&gt;=Assumptions!$B$23,N819&lt;Assumptions!$B$26),"Direct / Target Approach","Flexible / Multi-System"))))))</f>
        <v>Sweeper-Keeper / High Line</v>
      </c>
      <c r="AD819" s="21" t="str">
        <f aca="false">'Player Data'!Y819</f>
        <v>2026-07-17</v>
      </c>
      <c r="AE819" s="21" t="str">
        <f aca="false">'Player Data'!Z819</f>
        <v>2026-07-17</v>
      </c>
      <c r="AF819" s="28" t="str">
        <f aca="false">IFERROR(INDEX(Assumptions!$B$30:$B$61,MATCH(C819,Assumptions!$A$30:$A$61,0)),"--")</f>
        <v>Poland, Norway</v>
      </c>
      <c r="AG819" s="30" t="str">
        <f aca="false">IF(R819&gt;=0.7,"Step-Up Candidate",IF(R819&gt;=0.4,"Lateral Move","Stay &amp; Develop"))</f>
        <v>Stay &amp; Develop</v>
      </c>
    </row>
    <row r="820" customFormat="false" ht="23.85" hidden="false" customHeight="false" outlineLevel="0" collapsed="false">
      <c r="A820" s="21" t="str">
        <f aca="false">'Player Data'!A820</f>
        <v>Hoang Vu</v>
      </c>
      <c r="B820" s="21" t="str">
        <f aca="false">'Player Data'!F820</f>
        <v>DF</v>
      </c>
      <c r="C820" s="21" t="str">
        <f aca="false">'Player Data'!B820</f>
        <v>Vietnam</v>
      </c>
      <c r="D820" s="21" t="str">
        <f aca="false">'Player Data'!C820</f>
        <v>Vietnam Amateur League</v>
      </c>
      <c r="E820" s="21" t="n">
        <f aca="false">'Player Data'!D820</f>
        <v>4</v>
      </c>
      <c r="F820" s="21" t="n">
        <f aca="false">'Player Data'!G820</f>
        <v>19</v>
      </c>
      <c r="G820" s="21" t="n">
        <f aca="false">'Player Data'!H820</f>
        <v>1508</v>
      </c>
      <c r="H820" s="22" t="n">
        <f aca="false">IF(B820="GK",IFERROR(('Player Data'!N820-1.5*'Player Data'!O820)/'Player Data'!H820*90,0),IFERROR(('Player Data'!I820+'Player Data'!J820)/'Player Data'!H820*90,0))</f>
        <v>0.179045092838196</v>
      </c>
      <c r="I820" s="22" t="n">
        <f aca="false">IF(B820="GK",'Player Data'!P820,IFERROR(('Player Data'!K820+'Player Data'!L820)/'Player Data'!H820*90,0))</f>
        <v>4.29708222811671</v>
      </c>
      <c r="J820" s="22" t="n">
        <f aca="false">IF(B820="GK",IFERROR('Player Data'!Q820/'Player Data'!H820*90,0),IFERROR('Player Data'!M820/'Player Data'!H820*90,0))</f>
        <v>6.684350132626</v>
      </c>
      <c r="K820" s="23" t="n">
        <f aca="false">'Player Data'!S820</f>
        <v>45553</v>
      </c>
      <c r="L820" s="22" t="n">
        <f aca="false">INDEX(Assumptions!$B$13:$B$15,MATCH(E820,Assumptions!$A$13:$A$15,0))</f>
        <v>0.7</v>
      </c>
      <c r="M820" s="24" t="n">
        <f aca="false">IFERROR(SUMPRODUCT(($B$2:$B$1001=B820)*($H$2:$H$1001&lt;=H820))/SUMPRODUCT(($B$2:$B$1001=B820)*1),0)</f>
        <v>0.479591836734694</v>
      </c>
      <c r="N820" s="24" t="n">
        <f aca="false">IFERROR(SUMPRODUCT(($B$2:$B$1001=B820)*($I$2:$I$1001&lt;=I820))/SUMPRODUCT(($B$2:$B$1001=B820)*1),0)</f>
        <v>0.45578231292517</v>
      </c>
      <c r="O820" s="24" t="n">
        <f aca="false">IFERROR(SUMPRODUCT(($B$2:$B$1001=B820)*($J$2:$J$1001&lt;=J820))/SUMPRODUCT(($B$2:$B$1001=B820)*1),0)</f>
        <v>0.704081632653061</v>
      </c>
      <c r="P820" s="24" t="n">
        <f aca="false">IFERROR(SUMPRODUCT(($B$2:$B$1001=B820)*((0-$F$2:$F$1001)&lt;=(0-F820)))/SUMPRODUCT(($B$2:$B$1001=B820)*1),0)</f>
        <v>0.738095238095238</v>
      </c>
      <c r="Q820" s="25" t="n">
        <f aca="false">(M820*Assumptions!$B$5+N820*Assumptions!$B$6+O820*Assumptions!$B$7+P820*Assumptions!$B$8)*L820</f>
        <v>0.3975</v>
      </c>
      <c r="R820" s="24" t="n">
        <f aca="false">IFERROR(SUMPRODUCT(($B$2:$B$1001=B820)*($Q$2:$Q$1001&lt;=Q820))/SUMPRODUCT(($B$2:$B$1001=B820)*1),0)</f>
        <v>0.459183673469388</v>
      </c>
      <c r="S820" s="24" t="n">
        <f aca="false">IFERROR(SUMPRODUCT(($B$2:$B$1001=B820)*($K$2:$K$1001&lt;=K820))/SUMPRODUCT(($B$2:$B$1001=B820)*1),0)</f>
        <v>0.431972789115646</v>
      </c>
      <c r="T820" s="26" t="n">
        <f aca="false">(R820-S820)*100</f>
        <v>2.72108843537415</v>
      </c>
      <c r="U820" s="21" t="str">
        <f aca="false">'Player Data'!T820</f>
        <v>No</v>
      </c>
      <c r="V820" s="27" t="n">
        <f aca="false">'Player Data'!U820</f>
        <v>2027</v>
      </c>
      <c r="W820" s="21" t="str">
        <f aca="false">IF(AND(T820&gt;=Assumptions!$B$19,U820="No"),"High Priority - Unrepresented",IF(T820&gt;=Assumptions!$B$19,"High Priority",IF(AND(T820&gt;=Assumptions!$B$20,U820="No"),"Watchlist - Unrepresented",IF(T820&gt;=Assumptions!$B$20,"Watchlist",""))))</f>
        <v/>
      </c>
      <c r="X820" s="21" t="str">
        <f aca="false">'Player Data'!V820</f>
        <v>info@danangcity.vn</v>
      </c>
      <c r="Y820" s="28" t="str">
        <f aca="false">'Player Data'!W820</f>
        <v>Club sporting director / first-team office</v>
      </c>
      <c r="Z820" s="28" t="str">
        <f aca="false">'Player Data'!X820</f>
        <v>VFF (Vietnam Football Federation) player registry</v>
      </c>
      <c r="AA820" s="19" t="str">
        <f aca="false">HYPERLINK("https://www.transfermarkt.com/schnellsuche/ergebnis/schnellsuche?query="&amp;SUBSTITUTE(A820," ","+"),"Search Transfermarkt")</f>
        <v>Search Transfermarkt</v>
      </c>
      <c r="AB820" s="29" t="n">
        <f aca="false">IFERROR('Player Data'!K820/('Player Data'!K820+'Player Data'!L820),0)</f>
        <v>0.625</v>
      </c>
      <c r="AC820" s="21" t="str">
        <f aca="false">IF(B820="GK",IF(AND(O820&gt;=Assumptions!$B$23,N820&gt;=Assumptions!$B$23),"Sweeper-Keeper / Build-from-the-Back",IF(O820&gt;=Assumptions!$B$23,"Sweeper-Keeper / High Line",IF(M820&gt;=Assumptions!$B$23,"Shot-Stopper / Traditional","Flexible / Multi-System"))),IF(AND(O820&gt;=Assumptions!$B$23,P820&gt;=Assumptions!$B$24),"High Press / Gegenpressing",IF(AND(N820&gt;=Assumptions!$B$23,AB820&gt;=Assumptions!$B$25),"Possession / Build-from-the-Back",IF(N820&gt;=Assumptions!$B$23,"Counter-Attack / Transition",IF(AND(O820&gt;=Assumptions!$B$23,N820&lt;Assumptions!$B$26),"Low Block / Park the Bus",IF(AND(B820="FW",M820&gt;=Assumptions!$B$23,N820&lt;Assumptions!$B$26),"Direct / Target Approach","Flexible / Multi-System"))))))</f>
        <v>High Press / Gegenpressing</v>
      </c>
      <c r="AD820" s="21" t="str">
        <f aca="false">'Player Data'!Y820</f>
        <v>2026-07-17</v>
      </c>
      <c r="AE820" s="21" t="str">
        <f aca="false">'Player Data'!Z820</f>
        <v>2026-07-17</v>
      </c>
      <c r="AF820" s="28" t="str">
        <f aca="false">IFERROR(INDEX(Assumptions!$B$30:$B$61,MATCH(C820,Assumptions!$A$30:$A$61,0)),"--")</f>
        <v>Australia, Saudi Arabia</v>
      </c>
      <c r="AG820" s="30" t="str">
        <f aca="false">IF(R820&gt;=0.7,"Step-Up Candidate",IF(R820&gt;=0.4,"Lateral Move","Stay &amp; Develop"))</f>
        <v>Lateral Move</v>
      </c>
    </row>
    <row r="821" customFormat="false" ht="23.85" hidden="false" customHeight="false" outlineLevel="0" collapsed="false">
      <c r="A821" s="21" t="str">
        <f aca="false">'Player Data'!A821</f>
        <v>Luis Campos</v>
      </c>
      <c r="B821" s="21" t="str">
        <f aca="false">'Player Data'!F821</f>
        <v>FW</v>
      </c>
      <c r="C821" s="21" t="str">
        <f aca="false">'Player Data'!B821</f>
        <v>Costa Rica</v>
      </c>
      <c r="D821" s="21" t="str">
        <f aca="false">'Player Data'!C821</f>
        <v>Costa Rica Reserve League</v>
      </c>
      <c r="E821" s="21" t="n">
        <f aca="false">'Player Data'!D821</f>
        <v>2</v>
      </c>
      <c r="F821" s="21" t="n">
        <f aca="false">'Player Data'!G821</f>
        <v>20</v>
      </c>
      <c r="G821" s="21" t="n">
        <f aca="false">'Player Data'!H821</f>
        <v>1893</v>
      </c>
      <c r="H821" s="22" t="n">
        <f aca="false">IF(B821="GK",IFERROR(('Player Data'!N821-1.5*'Player Data'!O821)/'Player Data'!H821*90,0),IFERROR(('Player Data'!I821+'Player Data'!J821)/'Player Data'!H821*90,0))</f>
        <v>1.18858954041204</v>
      </c>
      <c r="I821" s="22" t="n">
        <f aca="false">IF(B821="GK",'Player Data'!P821,IFERROR(('Player Data'!K821+'Player Data'!L821)/'Player Data'!H821*90,0))</f>
        <v>5.61014263074485</v>
      </c>
      <c r="J821" s="22" t="n">
        <f aca="false">IF(B821="GK",IFERROR('Player Data'!Q821/'Player Data'!H821*90,0),IFERROR('Player Data'!M821/'Player Data'!H821*90,0))</f>
        <v>0.618066561014263</v>
      </c>
      <c r="K821" s="23" t="n">
        <f aca="false">'Player Data'!S821</f>
        <v>88088</v>
      </c>
      <c r="L821" s="22" t="n">
        <f aca="false">INDEX(Assumptions!$B$13:$B$15,MATCH(E821,Assumptions!$A$13:$A$15,0))</f>
        <v>1</v>
      </c>
      <c r="M821" s="24" t="n">
        <f aca="false">IFERROR(SUMPRODUCT(($B$2:$B$1001=B821)*($H$2:$H$1001&lt;=H821))/SUMPRODUCT(($B$2:$B$1001=B821)*1),0)</f>
        <v>0.690265486725664</v>
      </c>
      <c r="N821" s="24" t="n">
        <f aca="false">IFERROR(SUMPRODUCT(($B$2:$B$1001=B821)*($I$2:$I$1001&lt;=I821))/SUMPRODUCT(($B$2:$B$1001=B821)*1),0)</f>
        <v>0.34070796460177</v>
      </c>
      <c r="O821" s="24" t="n">
        <f aca="false">IFERROR(SUMPRODUCT(($B$2:$B$1001=B821)*($J$2:$J$1001&lt;=J821))/SUMPRODUCT(($B$2:$B$1001=B821)*1),0)</f>
        <v>0.654867256637168</v>
      </c>
      <c r="P821" s="24" t="n">
        <f aca="false">IFERROR(SUMPRODUCT(($B$2:$B$1001=B821)*((0-$F$2:$F$1001)&lt;=(0-F821)))/SUMPRODUCT(($B$2:$B$1001=B821)*1),0)</f>
        <v>0.712389380530973</v>
      </c>
      <c r="Q821" s="25" t="n">
        <f aca="false">(M821*Assumptions!$B$5+N821*Assumptions!$B$6+O821*Assumptions!$B$7+P821*Assumptions!$B$8)*L821</f>
        <v>0.565265486725664</v>
      </c>
      <c r="R821" s="24" t="n">
        <f aca="false">IFERROR(SUMPRODUCT(($B$2:$B$1001=B821)*($Q$2:$Q$1001&lt;=Q821))/SUMPRODUCT(($B$2:$B$1001=B821)*1),0)</f>
        <v>0.70353982300885</v>
      </c>
      <c r="S821" s="24" t="n">
        <f aca="false">IFERROR(SUMPRODUCT(($B$2:$B$1001=B821)*($K$2:$K$1001&lt;=K821))/SUMPRODUCT(($B$2:$B$1001=B821)*1),0)</f>
        <v>0.628318584070796</v>
      </c>
      <c r="T821" s="26" t="n">
        <f aca="false">(R821-S821)*100</f>
        <v>7.52212389380531</v>
      </c>
      <c r="U821" s="21" t="str">
        <f aca="false">'Player Data'!T821</f>
        <v>Yes</v>
      </c>
      <c r="V821" s="27" t="n">
        <f aca="false">'Player Data'!U821</f>
        <v>2028</v>
      </c>
      <c r="W821" s="21" t="str">
        <f aca="false">IF(AND(T821&gt;=Assumptions!$B$19,U821="No"),"High Priority - Unrepresented",IF(T821&gt;=Assumptions!$B$19,"High Priority",IF(AND(T821&gt;=Assumptions!$B$20,U821="No"),"Watchlist - Unrepresented",IF(T821&gt;=Assumptions!$B$20,"Watchlist",""))))</f>
        <v/>
      </c>
      <c r="X821" s="21" t="str">
        <f aca="false">'Player Data'!V821</f>
        <v>info@alajuelawanderers.cr</v>
      </c>
      <c r="Y821" s="28" t="str">
        <f aca="false">'Player Data'!W821</f>
        <v>Go through the player's agent - ask the club to confirm representation first</v>
      </c>
      <c r="Z821" s="28" t="str">
        <f aca="false">'Player Data'!X821</f>
        <v>FEDEFUTBOL (Costa Rican Football Federation) player registry</v>
      </c>
      <c r="AA821" s="19" t="str">
        <f aca="false">HYPERLINK("https://www.transfermarkt.com/schnellsuche/ergebnis/schnellsuche?query="&amp;SUBSTITUTE(A821," ","+"),"Search Transfermarkt")</f>
        <v>Search Transfermarkt</v>
      </c>
      <c r="AB821" s="29" t="n">
        <f aca="false">IFERROR('Player Data'!K821/('Player Data'!K821+'Player Data'!L821),0)</f>
        <v>0.483050847457627</v>
      </c>
      <c r="AC821" s="21" t="str">
        <f aca="false">IF(B821="GK",IF(AND(O821&gt;=Assumptions!$B$23,N821&gt;=Assumptions!$B$23),"Sweeper-Keeper / Build-from-the-Back",IF(O821&gt;=Assumptions!$B$23,"Sweeper-Keeper / High Line",IF(M821&gt;=Assumptions!$B$23,"Shot-Stopper / Traditional","Flexible / Multi-System"))),IF(AND(O821&gt;=Assumptions!$B$23,P821&gt;=Assumptions!$B$24),"High Press / Gegenpressing",IF(AND(N821&gt;=Assumptions!$B$23,AB821&gt;=Assumptions!$B$25),"Possession / Build-from-the-Back",IF(N821&gt;=Assumptions!$B$23,"Counter-Attack / Transition",IF(AND(O821&gt;=Assumptions!$B$23,N821&lt;Assumptions!$B$26),"Low Block / Park the Bus",IF(AND(B821="FW",M821&gt;=Assumptions!$B$23,N821&lt;Assumptions!$B$26),"Direct / Target Approach","Flexible / Multi-System"))))))</f>
        <v>High Press / Gegenpressing</v>
      </c>
      <c r="AD821" s="21" t="str">
        <f aca="false">'Player Data'!Y821</f>
        <v>2026-07-17</v>
      </c>
      <c r="AE821" s="21" t="str">
        <f aca="false">'Player Data'!Z821</f>
        <v>2026-07-17</v>
      </c>
      <c r="AF821" s="28" t="str">
        <f aca="false">IFERROR(INDEX(Assumptions!$B$30:$B$61,MATCH(C821,Assumptions!$A$30:$A$61,0)),"--")</f>
        <v>Mexico, United States</v>
      </c>
      <c r="AG821" s="30" t="str">
        <f aca="false">IF(R821&gt;=0.7,"Step-Up Candidate",IF(R821&gt;=0.4,"Lateral Move","Stay &amp; Develop"))</f>
        <v>Step-Up Candidate</v>
      </c>
    </row>
    <row r="822" customFormat="false" ht="23.85" hidden="false" customHeight="false" outlineLevel="0" collapsed="false">
      <c r="A822" s="21" t="str">
        <f aca="false">'Player Data'!A822</f>
        <v>Ziga Kovac</v>
      </c>
      <c r="B822" s="21" t="str">
        <f aca="false">'Player Data'!F822</f>
        <v>FW</v>
      </c>
      <c r="C822" s="21" t="str">
        <f aca="false">'Player Data'!B822</f>
        <v>Slovenia</v>
      </c>
      <c r="D822" s="21" t="str">
        <f aca="false">'Player Data'!C822</f>
        <v>Slovenia Second Division - East</v>
      </c>
      <c r="E822" s="21" t="n">
        <f aca="false">'Player Data'!D822</f>
        <v>3</v>
      </c>
      <c r="F822" s="21" t="n">
        <f aca="false">'Player Data'!G822</f>
        <v>20</v>
      </c>
      <c r="G822" s="21" t="n">
        <f aca="false">'Player Data'!H822</f>
        <v>2071</v>
      </c>
      <c r="H822" s="22" t="n">
        <f aca="false">IF(B822="GK",IFERROR(('Player Data'!N822-1.5*'Player Data'!O822)/'Player Data'!H822*90,0),IFERROR(('Player Data'!I822+'Player Data'!J822)/'Player Data'!H822*90,0))</f>
        <v>0.651859005311444</v>
      </c>
      <c r="I822" s="22" t="n">
        <f aca="false">IF(B822="GK",'Player Data'!P822,IFERROR(('Player Data'!K822+'Player Data'!L822)/'Player Data'!H822*90,0))</f>
        <v>5.69290197971994</v>
      </c>
      <c r="J822" s="22" t="n">
        <f aca="false">IF(B822="GK",IFERROR('Player Data'!Q822/'Player Data'!H822*90,0),IFERROR('Player Data'!M822/'Player Data'!H822*90,0))</f>
        <v>0.651859005311444</v>
      </c>
      <c r="K822" s="23" t="n">
        <f aca="false">'Player Data'!S822</f>
        <v>0</v>
      </c>
      <c r="L822" s="22" t="n">
        <f aca="false">INDEX(Assumptions!$B$13:$B$15,MATCH(E822,Assumptions!$A$13:$A$15,0))</f>
        <v>0.85</v>
      </c>
      <c r="M822" s="24" t="n">
        <f aca="false">IFERROR(SUMPRODUCT(($B$2:$B$1001=B822)*($H$2:$H$1001&lt;=H822))/SUMPRODUCT(($B$2:$B$1001=B822)*1),0)</f>
        <v>0.207964601769912</v>
      </c>
      <c r="N822" s="24" t="n">
        <f aca="false">IFERROR(SUMPRODUCT(($B$2:$B$1001=B822)*($I$2:$I$1001&lt;=I822))/SUMPRODUCT(($B$2:$B$1001=B822)*1),0)</f>
        <v>0.371681415929204</v>
      </c>
      <c r="O822" s="24" t="n">
        <f aca="false">IFERROR(SUMPRODUCT(($B$2:$B$1001=B822)*($J$2:$J$1001&lt;=J822))/SUMPRODUCT(($B$2:$B$1001=B822)*1),0)</f>
        <v>0.70353982300885</v>
      </c>
      <c r="P822" s="24" t="n">
        <f aca="false">IFERROR(SUMPRODUCT(($B$2:$B$1001=B822)*((0-$F$2:$F$1001)&lt;=(0-F822)))/SUMPRODUCT(($B$2:$B$1001=B822)*1),0)</f>
        <v>0.712389380530973</v>
      </c>
      <c r="Q822" s="25" t="n">
        <f aca="false">(M822*Assumptions!$B$5+N822*Assumptions!$B$6+O822*Assumptions!$B$7+P822*Assumptions!$B$8)*L822</f>
        <v>0.395475663716814</v>
      </c>
      <c r="R822" s="24" t="n">
        <f aca="false">IFERROR(SUMPRODUCT(($B$2:$B$1001=B822)*($Q$2:$Q$1001&lt;=Q822))/SUMPRODUCT(($B$2:$B$1001=B822)*1),0)</f>
        <v>0.433628318584071</v>
      </c>
      <c r="S822" s="24" t="n">
        <f aca="false">IFERROR(SUMPRODUCT(($B$2:$B$1001=B822)*($K$2:$K$1001&lt;=K822))/SUMPRODUCT(($B$2:$B$1001=B822)*1),0)</f>
        <v>0.261061946902655</v>
      </c>
      <c r="T822" s="26" t="n">
        <f aca="false">(R822-S822)*100</f>
        <v>17.2566371681416</v>
      </c>
      <c r="U822" s="21" t="str">
        <f aca="false">'Player Data'!T822</f>
        <v>No</v>
      </c>
      <c r="V822" s="27" t="n">
        <f aca="false">'Player Data'!U822</f>
        <v>2027</v>
      </c>
      <c r="W822" s="21" t="str">
        <f aca="false">IF(AND(T822&gt;=Assumptions!$B$19,U822="No"),"High Priority - Unrepresented",IF(T822&gt;=Assumptions!$B$19,"High Priority",IF(AND(T822&gt;=Assumptions!$B$20,U822="No"),"Watchlist - Unrepresented",IF(T822&gt;=Assumptions!$B$20,"Watchlist",""))))</f>
        <v/>
      </c>
      <c r="X822" s="21" t="str">
        <f aca="false">'Player Data'!V822</f>
        <v>info@ljubljanasc.si</v>
      </c>
      <c r="Y822" s="28" t="str">
        <f aca="false">'Player Data'!W822</f>
        <v>Club sporting director / first-team office</v>
      </c>
      <c r="Z822" s="28" t="str">
        <f aca="false">'Player Data'!X822</f>
        <v>NZS (Football Association of Slovenia) player registry</v>
      </c>
      <c r="AA822" s="19" t="str">
        <f aca="false">HYPERLINK("https://www.transfermarkt.com/schnellsuche/ergebnis/schnellsuche?query="&amp;SUBSTITUTE(A822," ","+"),"Search Transfermarkt")</f>
        <v>Search Transfermarkt</v>
      </c>
      <c r="AB822" s="29" t="n">
        <f aca="false">IFERROR('Player Data'!K822/('Player Data'!K822+'Player Data'!L822),0)</f>
        <v>0.366412213740458</v>
      </c>
      <c r="AC822" s="21" t="str">
        <f aca="false">IF(B822="GK",IF(AND(O822&gt;=Assumptions!$B$23,N822&gt;=Assumptions!$B$23),"Sweeper-Keeper / Build-from-the-Back",IF(O822&gt;=Assumptions!$B$23,"Sweeper-Keeper / High Line",IF(M822&gt;=Assumptions!$B$23,"Shot-Stopper / Traditional","Flexible / Multi-System"))),IF(AND(O822&gt;=Assumptions!$B$23,P822&gt;=Assumptions!$B$24),"High Press / Gegenpressing",IF(AND(N822&gt;=Assumptions!$B$23,AB822&gt;=Assumptions!$B$25),"Possession / Build-from-the-Back",IF(N822&gt;=Assumptions!$B$23,"Counter-Attack / Transition",IF(AND(O822&gt;=Assumptions!$B$23,N822&lt;Assumptions!$B$26),"Low Block / Park the Bus",IF(AND(B822="FW",M822&gt;=Assumptions!$B$23,N822&lt;Assumptions!$B$26),"Direct / Target Approach","Flexible / Multi-System"))))))</f>
        <v>High Press / Gegenpressing</v>
      </c>
      <c r="AD822" s="21" t="str">
        <f aca="false">'Player Data'!Y822</f>
        <v>2026-07-17</v>
      </c>
      <c r="AE822" s="21" t="str">
        <f aca="false">'Player Data'!Z822</f>
        <v>2026-07-17</v>
      </c>
      <c r="AF822" s="28" t="str">
        <f aca="false">IFERROR(INDEX(Assumptions!$B$30:$B$61,MATCH(C822,Assumptions!$A$30:$A$61,0)),"--")</f>
        <v>Austria, Poland</v>
      </c>
      <c r="AG822" s="30" t="str">
        <f aca="false">IF(R822&gt;=0.7,"Step-Up Candidate",IF(R822&gt;=0.4,"Lateral Move","Stay &amp; Develop"))</f>
        <v>Lateral Move</v>
      </c>
    </row>
    <row r="823" customFormat="false" ht="23.85" hidden="false" customHeight="false" outlineLevel="0" collapsed="false">
      <c r="A823" s="21" t="str">
        <f aca="false">'Player Data'!A823</f>
        <v>Noah Taylor</v>
      </c>
      <c r="B823" s="21" t="str">
        <f aca="false">'Player Data'!F823</f>
        <v>DF</v>
      </c>
      <c r="C823" s="21" t="str">
        <f aca="false">'Player Data'!B823</f>
        <v>New Zealand</v>
      </c>
      <c r="D823" s="21" t="str">
        <f aca="false">'Player Data'!C823</f>
        <v>New Zealand Third Tier - North</v>
      </c>
      <c r="E823" s="21" t="n">
        <f aca="false">'Player Data'!D823</f>
        <v>4</v>
      </c>
      <c r="F823" s="21" t="n">
        <f aca="false">'Player Data'!G823</f>
        <v>25</v>
      </c>
      <c r="G823" s="21" t="n">
        <f aca="false">'Player Data'!H823</f>
        <v>2438</v>
      </c>
      <c r="H823" s="22" t="n">
        <f aca="false">IF(B823="GK",IFERROR(('Player Data'!N823-1.5*'Player Data'!O823)/'Player Data'!H823*90,0),IFERROR(('Player Data'!I823+'Player Data'!J823)/'Player Data'!H823*90,0))</f>
        <v>0.07383100902379</v>
      </c>
      <c r="I823" s="22" t="n">
        <f aca="false">IF(B823="GK",'Player Data'!P823,IFERROR(('Player Data'!K823+'Player Data'!L823)/'Player Data'!H823*90,0))</f>
        <v>3.06398687448728</v>
      </c>
      <c r="J823" s="22" t="n">
        <f aca="false">IF(B823="GK",IFERROR('Player Data'!Q823/'Player Data'!H823*90,0),IFERROR('Player Data'!M823/'Player Data'!H823*90,0))</f>
        <v>3.43314191960623</v>
      </c>
      <c r="K823" s="23" t="n">
        <f aca="false">'Player Data'!S823</f>
        <v>111023</v>
      </c>
      <c r="L823" s="22" t="n">
        <f aca="false">INDEX(Assumptions!$B$13:$B$15,MATCH(E823,Assumptions!$A$13:$A$15,0))</f>
        <v>0.7</v>
      </c>
      <c r="M823" s="24" t="n">
        <f aca="false">IFERROR(SUMPRODUCT(($B$2:$B$1001=B823)*($H$2:$H$1001&lt;=H823))/SUMPRODUCT(($B$2:$B$1001=B823)*1),0)</f>
        <v>0.122448979591837</v>
      </c>
      <c r="N823" s="24" t="n">
        <f aca="false">IFERROR(SUMPRODUCT(($B$2:$B$1001=B823)*($I$2:$I$1001&lt;=I823))/SUMPRODUCT(($B$2:$B$1001=B823)*1),0)</f>
        <v>0.0884353741496599</v>
      </c>
      <c r="O823" s="24" t="n">
        <f aca="false">IFERROR(SUMPRODUCT(($B$2:$B$1001=B823)*($J$2:$J$1001&lt;=J823))/SUMPRODUCT(($B$2:$B$1001=B823)*1),0)</f>
        <v>0.0782312925170068</v>
      </c>
      <c r="P823" s="24" t="n">
        <f aca="false">IFERROR(SUMPRODUCT(($B$2:$B$1001=B823)*((0-$F$2:$F$1001)&lt;=(0-F823)))/SUMPRODUCT(($B$2:$B$1001=B823)*1),0)</f>
        <v>0.146258503401361</v>
      </c>
      <c r="Q823" s="25" t="n">
        <f aca="false">(M823*Assumptions!$B$5+N823*Assumptions!$B$6+O823*Assumptions!$B$7+P823*Assumptions!$B$8)*L823</f>
        <v>0.0745238095238095</v>
      </c>
      <c r="R823" s="24" t="n">
        <f aca="false">IFERROR(SUMPRODUCT(($B$2:$B$1001=B823)*($Q$2:$Q$1001&lt;=Q823))/SUMPRODUCT(($B$2:$B$1001=B823)*1),0)</f>
        <v>0.00340136054421769</v>
      </c>
      <c r="S823" s="24" t="n">
        <f aca="false">IFERROR(SUMPRODUCT(($B$2:$B$1001=B823)*($K$2:$K$1001&lt;=K823))/SUMPRODUCT(($B$2:$B$1001=B823)*1),0)</f>
        <v>0.802721088435374</v>
      </c>
      <c r="T823" s="26" t="n">
        <f aca="false">(R823-S823)*100</f>
        <v>-79.9319727891157</v>
      </c>
      <c r="U823" s="21" t="str">
        <f aca="false">'Player Data'!T823</f>
        <v>No</v>
      </c>
      <c r="V823" s="27" t="n">
        <f aca="false">'Player Data'!U823</f>
        <v>2029</v>
      </c>
      <c r="W823" s="21" t="str">
        <f aca="false">IF(AND(T823&gt;=Assumptions!$B$19,U823="No"),"High Priority - Unrepresented",IF(T823&gt;=Assumptions!$B$19,"High Priority",IF(AND(T823&gt;=Assumptions!$B$20,U823="No"),"Watchlist - Unrepresented",IF(T823&gt;=Assumptions!$B$20,"Watchlist",""))))</f>
        <v/>
      </c>
      <c r="X823" s="21" t="str">
        <f aca="false">'Player Data'!V823</f>
        <v>info@hamiltoncity.nz</v>
      </c>
      <c r="Y823" s="28" t="str">
        <f aca="false">'Player Data'!W823</f>
        <v>Club sporting director / first-team office</v>
      </c>
      <c r="Z823" s="28" t="str">
        <f aca="false">'Player Data'!X823</f>
        <v>NZF (New Zealand Football) player registry</v>
      </c>
      <c r="AA823" s="19" t="str">
        <f aca="false">HYPERLINK("https://www.transfermarkt.com/schnellsuche/ergebnis/schnellsuche?query="&amp;SUBSTITUTE(A823," ","+"),"Search Transfermarkt")</f>
        <v>Search Transfermarkt</v>
      </c>
      <c r="AB823" s="29" t="n">
        <f aca="false">IFERROR('Player Data'!K823/('Player Data'!K823+'Player Data'!L823),0)</f>
        <v>0.457831325301205</v>
      </c>
      <c r="AC823" s="21" t="str">
        <f aca="false">IF(B823="GK",IF(AND(O823&gt;=Assumptions!$B$23,N823&gt;=Assumptions!$B$23),"Sweeper-Keeper / Build-from-the-Back",IF(O823&gt;=Assumptions!$B$23,"Sweeper-Keeper / High Line",IF(M823&gt;=Assumptions!$B$23,"Shot-Stopper / Traditional","Flexible / Multi-System"))),IF(AND(O823&gt;=Assumptions!$B$23,P823&gt;=Assumptions!$B$24),"High Press / Gegenpressing",IF(AND(N823&gt;=Assumptions!$B$23,AB823&gt;=Assumptions!$B$25),"Possession / Build-from-the-Back",IF(N823&gt;=Assumptions!$B$23,"Counter-Attack / Transition",IF(AND(O823&gt;=Assumptions!$B$23,N823&lt;Assumptions!$B$26),"Low Block / Park the Bus",IF(AND(B823="FW",M823&gt;=Assumptions!$B$23,N823&lt;Assumptions!$B$26),"Direct / Target Approach","Flexible / Multi-System"))))))</f>
        <v>Flexible / Multi-System</v>
      </c>
      <c r="AD823" s="21" t="str">
        <f aca="false">'Player Data'!Y823</f>
        <v>2026-07-17</v>
      </c>
      <c r="AE823" s="21" t="str">
        <f aca="false">'Player Data'!Z823</f>
        <v>2026-07-17</v>
      </c>
      <c r="AF823" s="28" t="str">
        <f aca="false">IFERROR(INDEX(Assumptions!$B$30:$B$61,MATCH(C823,Assumptions!$A$30:$A$61,0)),"--")</f>
        <v>Australia, United States</v>
      </c>
      <c r="AG823" s="30" t="str">
        <f aca="false">IF(R823&gt;=0.7,"Step-Up Candidate",IF(R823&gt;=0.4,"Lateral Move","Stay &amp; Develop"))</f>
        <v>Stay &amp; Develop</v>
      </c>
    </row>
    <row r="824" customFormat="false" ht="23.85" hidden="false" customHeight="false" outlineLevel="0" collapsed="false">
      <c r="A824" s="21" t="str">
        <f aca="false">'Player Data'!A824</f>
        <v>Yves Kone</v>
      </c>
      <c r="B824" s="21" t="str">
        <f aca="false">'Player Data'!F824</f>
        <v>DF</v>
      </c>
      <c r="C824" s="21" t="str">
        <f aca="false">'Player Data'!B824</f>
        <v>Ivory Coast</v>
      </c>
      <c r="D824" s="21" t="str">
        <f aca="false">'Player Data'!C824</f>
        <v>Ivory Coast Third Tier - North</v>
      </c>
      <c r="E824" s="21" t="n">
        <f aca="false">'Player Data'!D824</f>
        <v>4</v>
      </c>
      <c r="F824" s="21" t="n">
        <f aca="false">'Player Data'!G824</f>
        <v>17</v>
      </c>
      <c r="G824" s="21" t="n">
        <f aca="false">'Player Data'!H824</f>
        <v>1439</v>
      </c>
      <c r="H824" s="22" t="n">
        <f aca="false">IF(B824="GK",IFERROR(('Player Data'!N824-1.5*'Player Data'!O824)/'Player Data'!H824*90,0),IFERROR(('Player Data'!I824+'Player Data'!J824)/'Player Data'!H824*90,0))</f>
        <v>0.437804030576789</v>
      </c>
      <c r="I824" s="22" t="n">
        <f aca="false">IF(B824="GK",'Player Data'!P824,IFERROR(('Player Data'!K824+'Player Data'!L824)/'Player Data'!H824*90,0))</f>
        <v>6.37943015983322</v>
      </c>
      <c r="J824" s="22" t="n">
        <f aca="false">IF(B824="GK",IFERROR('Player Data'!Q824/'Player Data'!H824*90,0),IFERROR('Player Data'!M824/'Player Data'!H824*90,0))</f>
        <v>5.69145239749826</v>
      </c>
      <c r="K824" s="23" t="n">
        <f aca="false">'Player Data'!S824</f>
        <v>121381</v>
      </c>
      <c r="L824" s="22" t="n">
        <f aca="false">INDEX(Assumptions!$B$13:$B$15,MATCH(E824,Assumptions!$A$13:$A$15,0))</f>
        <v>0.7</v>
      </c>
      <c r="M824" s="24" t="n">
        <f aca="false">IFERROR(SUMPRODUCT(($B$2:$B$1001=B824)*($H$2:$H$1001&lt;=H824))/SUMPRODUCT(($B$2:$B$1001=B824)*1),0)</f>
        <v>0.925170068027211</v>
      </c>
      <c r="N824" s="24" t="n">
        <f aca="false">IFERROR(SUMPRODUCT(($B$2:$B$1001=B824)*($I$2:$I$1001&lt;=I824))/SUMPRODUCT(($B$2:$B$1001=B824)*1),0)</f>
        <v>0.77891156462585</v>
      </c>
      <c r="O824" s="24" t="n">
        <f aca="false">IFERROR(SUMPRODUCT(($B$2:$B$1001=B824)*($J$2:$J$1001&lt;=J824))/SUMPRODUCT(($B$2:$B$1001=B824)*1),0)</f>
        <v>0.554421768707483</v>
      </c>
      <c r="P824" s="24" t="n">
        <f aca="false">IFERROR(SUMPRODUCT(($B$2:$B$1001=B824)*((0-$F$2:$F$1001)&lt;=(0-F824)))/SUMPRODUCT(($B$2:$B$1001=B824)*1),0)</f>
        <v>1</v>
      </c>
      <c r="Q824" s="25" t="n">
        <f aca="false">(M824*Assumptions!$B$5+N824*Assumptions!$B$6+O824*Assumptions!$B$7+P824*Assumptions!$B$8)*L824</f>
        <v>0.570357142857143</v>
      </c>
      <c r="R824" s="24" t="n">
        <f aca="false">IFERROR(SUMPRODUCT(($B$2:$B$1001=B824)*($Q$2:$Q$1001&lt;=Q824))/SUMPRODUCT(($B$2:$B$1001=B824)*1),0)</f>
        <v>0.707482993197279</v>
      </c>
      <c r="S824" s="24" t="n">
        <f aca="false">IFERROR(SUMPRODUCT(($B$2:$B$1001=B824)*($K$2:$K$1001&lt;=K824))/SUMPRODUCT(($B$2:$B$1001=B824)*1),0)</f>
        <v>0.850340136054422</v>
      </c>
      <c r="T824" s="26" t="n">
        <f aca="false">(R824-S824)*100</f>
        <v>-14.2857142857143</v>
      </c>
      <c r="U824" s="21" t="str">
        <f aca="false">'Player Data'!T824</f>
        <v>No</v>
      </c>
      <c r="V824" s="27" t="n">
        <f aca="false">'Player Data'!U824</f>
        <v>2028</v>
      </c>
      <c r="W824" s="21" t="str">
        <f aca="false">IF(AND(T824&gt;=Assumptions!$B$19,U824="No"),"High Priority - Unrepresented",IF(T824&gt;=Assumptions!$B$19,"High Priority",IF(AND(T824&gt;=Assumptions!$B$20,U824="No"),"Watchlist - Unrepresented",IF(T824&gt;=Assumptions!$B$20,"Watchlist",""))))</f>
        <v/>
      </c>
      <c r="X824" s="21" t="str">
        <f aca="false">'Player Data'!V824</f>
        <v>info@bouakeathletic.ci</v>
      </c>
      <c r="Y824" s="28" t="str">
        <f aca="false">'Player Data'!W824</f>
        <v>Club youth/academy office ONLY - player is a minor, do not contact directly</v>
      </c>
      <c r="Z824" s="28" t="str">
        <f aca="false">'Player Data'!X824</f>
        <v>FIF (Ivorian Football Federation) player registry</v>
      </c>
      <c r="AA824" s="19" t="str">
        <f aca="false">HYPERLINK("https://www.transfermarkt.com/schnellsuche/ergebnis/schnellsuche?query="&amp;SUBSTITUTE(A824," ","+"),"Search Transfermarkt")</f>
        <v>Search Transfermarkt</v>
      </c>
      <c r="AB824" s="29" t="n">
        <f aca="false">IFERROR('Player Data'!K824/('Player Data'!K824+'Player Data'!L824),0)</f>
        <v>0.529411764705882</v>
      </c>
      <c r="AC824" s="21" t="str">
        <f aca="false">IF(B824="GK",IF(AND(O824&gt;=Assumptions!$B$23,N824&gt;=Assumptions!$B$23),"Sweeper-Keeper / Build-from-the-Back",IF(O824&gt;=Assumptions!$B$23,"Sweeper-Keeper / High Line",IF(M824&gt;=Assumptions!$B$23,"Shot-Stopper / Traditional","Flexible / Multi-System"))),IF(AND(O824&gt;=Assumptions!$B$23,P824&gt;=Assumptions!$B$24),"High Press / Gegenpressing",IF(AND(N824&gt;=Assumptions!$B$23,AB824&gt;=Assumptions!$B$25),"Possession / Build-from-the-Back",IF(N824&gt;=Assumptions!$B$23,"Counter-Attack / Transition",IF(AND(O824&gt;=Assumptions!$B$23,N824&lt;Assumptions!$B$26),"Low Block / Park the Bus",IF(AND(B824="FW",M824&gt;=Assumptions!$B$23,N824&lt;Assumptions!$B$26),"Direct / Target Approach","Flexible / Multi-System"))))))</f>
        <v>Counter-Attack / Transition</v>
      </c>
      <c r="AD824" s="21" t="str">
        <f aca="false">'Player Data'!Y824</f>
        <v>2026-07-17</v>
      </c>
      <c r="AE824" s="21" t="str">
        <f aca="false">'Player Data'!Z824</f>
        <v>2026-07-17</v>
      </c>
      <c r="AF824" s="28" t="str">
        <f aca="false">IFERROR(INDEX(Assumptions!$B$30:$B$61,MATCH(C824,Assumptions!$A$30:$A$61,0)),"--")</f>
        <v>Belgium, Portugal</v>
      </c>
      <c r="AG824" s="30" t="str">
        <f aca="false">IF(R824&gt;=0.7,"Step-Up Candidate",IF(R824&gt;=0.4,"Lateral Move","Stay &amp; Develop"))</f>
        <v>Step-Up Candidate</v>
      </c>
    </row>
    <row r="825" customFormat="false" ht="23.85" hidden="false" customHeight="false" outlineLevel="0" collapsed="false">
      <c r="A825" s="21" t="str">
        <f aca="false">'Player Data'!A825</f>
        <v>Mustafa Jabbar</v>
      </c>
      <c r="B825" s="21" t="str">
        <f aca="false">'Player Data'!F825</f>
        <v>DF</v>
      </c>
      <c r="C825" s="21" t="str">
        <f aca="false">'Player Data'!B825</f>
        <v>Iraq</v>
      </c>
      <c r="D825" s="21" t="str">
        <f aca="false">'Player Data'!C825</f>
        <v>Iraq Third Tier - North</v>
      </c>
      <c r="E825" s="21" t="n">
        <f aca="false">'Player Data'!D825</f>
        <v>3</v>
      </c>
      <c r="F825" s="21" t="n">
        <f aca="false">'Player Data'!G825</f>
        <v>17</v>
      </c>
      <c r="G825" s="21" t="n">
        <f aca="false">'Player Data'!H825</f>
        <v>1758</v>
      </c>
      <c r="H825" s="22" t="n">
        <f aca="false">IF(B825="GK",IFERROR(('Player Data'!N825-1.5*'Player Data'!O825)/'Player Data'!H825*90,0),IFERROR(('Player Data'!I825+'Player Data'!J825)/'Player Data'!H825*90,0))</f>
        <v>0.102389078498294</v>
      </c>
      <c r="I825" s="22" t="n">
        <f aca="false">IF(B825="GK",'Player Data'!P825,IFERROR(('Player Data'!K825+'Player Data'!L825)/'Player Data'!H825*90,0))</f>
        <v>3.9419795221843</v>
      </c>
      <c r="J825" s="22" t="n">
        <f aca="false">IF(B825="GK",IFERROR('Player Data'!Q825/'Player Data'!H825*90,0),IFERROR('Player Data'!M825/'Player Data'!H825*90,0))</f>
        <v>5.88737201365188</v>
      </c>
      <c r="K825" s="23" t="n">
        <f aca="false">'Player Data'!S825</f>
        <v>0</v>
      </c>
      <c r="L825" s="22" t="n">
        <f aca="false">INDEX(Assumptions!$B$13:$B$15,MATCH(E825,Assumptions!$A$13:$A$15,0))</f>
        <v>0.85</v>
      </c>
      <c r="M825" s="24" t="n">
        <f aca="false">IFERROR(SUMPRODUCT(($B$2:$B$1001=B825)*($H$2:$H$1001&lt;=H825))/SUMPRODUCT(($B$2:$B$1001=B825)*1),0)</f>
        <v>0.200680272108844</v>
      </c>
      <c r="N825" s="24" t="n">
        <f aca="false">IFERROR(SUMPRODUCT(($B$2:$B$1001=B825)*($I$2:$I$1001&lt;=I825))/SUMPRODUCT(($B$2:$B$1001=B825)*1),0)</f>
        <v>0.387755102040816</v>
      </c>
      <c r="O825" s="24" t="n">
        <f aca="false">IFERROR(SUMPRODUCT(($B$2:$B$1001=B825)*($J$2:$J$1001&lt;=J825))/SUMPRODUCT(($B$2:$B$1001=B825)*1),0)</f>
        <v>0.591836734693878</v>
      </c>
      <c r="P825" s="24" t="n">
        <f aca="false">IFERROR(SUMPRODUCT(($B$2:$B$1001=B825)*((0-$F$2:$F$1001)&lt;=(0-F825)))/SUMPRODUCT(($B$2:$B$1001=B825)*1),0)</f>
        <v>1</v>
      </c>
      <c r="Q825" s="25" t="n">
        <f aca="false">(M825*Assumptions!$B$5+N825*Assumptions!$B$6+O825*Assumptions!$B$7+P825*Assumptions!$B$8)*L825</f>
        <v>0.428613945578231</v>
      </c>
      <c r="R825" s="24" t="n">
        <f aca="false">IFERROR(SUMPRODUCT(($B$2:$B$1001=B825)*($Q$2:$Q$1001&lt;=Q825))/SUMPRODUCT(($B$2:$B$1001=B825)*1),0)</f>
        <v>0.530612244897959</v>
      </c>
      <c r="S825" s="24" t="n">
        <f aca="false">IFERROR(SUMPRODUCT(($B$2:$B$1001=B825)*($K$2:$K$1001&lt;=K825))/SUMPRODUCT(($B$2:$B$1001=B825)*1),0)</f>
        <v>0.248299319727891</v>
      </c>
      <c r="T825" s="26" t="n">
        <f aca="false">(R825-S825)*100</f>
        <v>28.2312925170068</v>
      </c>
      <c r="U825" s="21" t="str">
        <f aca="false">'Player Data'!T825</f>
        <v>Yes</v>
      </c>
      <c r="V825" s="27" t="n">
        <f aca="false">'Player Data'!U825</f>
        <v>2029</v>
      </c>
      <c r="W825" s="21" t="str">
        <f aca="false">IF(AND(T825&gt;=Assumptions!$B$19,U825="No"),"High Priority - Unrepresented",IF(T825&gt;=Assumptions!$B$19,"High Priority",IF(AND(T825&gt;=Assumptions!$B$20,U825="No"),"Watchlist - Unrepresented",IF(T825&gt;=Assumptions!$B$20,"Watchlist",""))))</f>
        <v>Watchlist</v>
      </c>
      <c r="X825" s="21" t="str">
        <f aca="false">'Player Data'!V825</f>
        <v>info@najafrangers.iq</v>
      </c>
      <c r="Y825" s="28" t="str">
        <f aca="false">'Player Data'!W825</f>
        <v>Club youth/academy office ONLY - player is a minor, do not contact directly</v>
      </c>
      <c r="Z825" s="28" t="str">
        <f aca="false">'Player Data'!X825</f>
        <v>IFA (Iraq Football Association) player registry</v>
      </c>
      <c r="AA825" s="19" t="str">
        <f aca="false">HYPERLINK("https://www.transfermarkt.com/schnellsuche/ergebnis/schnellsuche?query="&amp;SUBSTITUTE(A825," ","+"),"Search Transfermarkt")</f>
        <v>Search Transfermarkt</v>
      </c>
      <c r="AB825" s="29" t="n">
        <f aca="false">IFERROR('Player Data'!K825/('Player Data'!K825+'Player Data'!L825),0)</f>
        <v>0.74025974025974</v>
      </c>
      <c r="AC825" s="21" t="str">
        <f aca="false">IF(B825="GK",IF(AND(O825&gt;=Assumptions!$B$23,N825&gt;=Assumptions!$B$23),"Sweeper-Keeper / Build-from-the-Back",IF(O825&gt;=Assumptions!$B$23,"Sweeper-Keeper / High Line",IF(M825&gt;=Assumptions!$B$23,"Shot-Stopper / Traditional","Flexible / Multi-System"))),IF(AND(O825&gt;=Assumptions!$B$23,P825&gt;=Assumptions!$B$24),"High Press / Gegenpressing",IF(AND(N825&gt;=Assumptions!$B$23,AB825&gt;=Assumptions!$B$25),"Possession / Build-from-the-Back",IF(N825&gt;=Assumptions!$B$23,"Counter-Attack / Transition",IF(AND(O825&gt;=Assumptions!$B$23,N825&lt;Assumptions!$B$26),"Low Block / Park the Bus",IF(AND(B825="FW",M825&gt;=Assumptions!$B$23,N825&lt;Assumptions!$B$26),"Direct / Target Approach","Flexible / Multi-System"))))))</f>
        <v>Flexible / Multi-System</v>
      </c>
      <c r="AD825" s="21" t="str">
        <f aca="false">'Player Data'!Y825</f>
        <v>2026-07-17</v>
      </c>
      <c r="AE825" s="21" t="str">
        <f aca="false">'Player Data'!Z825</f>
        <v>2026-07-17</v>
      </c>
      <c r="AF825" s="28" t="str">
        <f aca="false">IFERROR(INDEX(Assumptions!$B$30:$B$61,MATCH(C825,Assumptions!$A$30:$A$61,0)),"--")</f>
        <v>Turkey, Saudi Arabia</v>
      </c>
      <c r="AG825" s="30" t="str">
        <f aca="false">IF(R825&gt;=0.7,"Step-Up Candidate",IF(R825&gt;=0.4,"Lateral Move","Stay &amp; Develop"))</f>
        <v>Lateral Move</v>
      </c>
    </row>
    <row r="826" customFormat="false" ht="23.85" hidden="false" customHeight="false" outlineLevel="0" collapsed="false">
      <c r="A826" s="21" t="str">
        <f aca="false">'Player Data'!A826</f>
        <v>Bekzod Yuldashev</v>
      </c>
      <c r="B826" s="21" t="str">
        <f aca="false">'Player Data'!F826</f>
        <v>MF</v>
      </c>
      <c r="C826" s="21" t="str">
        <f aca="false">'Player Data'!B826</f>
        <v>Uzbekistan</v>
      </c>
      <c r="D826" s="21" t="str">
        <f aca="false">'Player Data'!C826</f>
        <v>Uzbekistan Third Tier - North</v>
      </c>
      <c r="E826" s="21" t="n">
        <f aca="false">'Player Data'!D826</f>
        <v>4</v>
      </c>
      <c r="F826" s="21" t="n">
        <f aca="false">'Player Data'!G826</f>
        <v>26</v>
      </c>
      <c r="G826" s="21" t="n">
        <f aca="false">'Player Data'!H826</f>
        <v>1425</v>
      </c>
      <c r="H826" s="22" t="n">
        <f aca="false">IF(B826="GK",IFERROR(('Player Data'!N826-1.5*'Player Data'!O826)/'Player Data'!H826*90,0),IFERROR(('Player Data'!I826+'Player Data'!J826)/'Player Data'!H826*90,0))</f>
        <v>1.01052631578947</v>
      </c>
      <c r="I826" s="22" t="n">
        <f aca="false">IF(B826="GK",'Player Data'!P826,IFERROR(('Player Data'!K826+'Player Data'!L826)/'Player Data'!H826*90,0))</f>
        <v>14.0210526315789</v>
      </c>
      <c r="J826" s="22" t="n">
        <f aca="false">IF(B826="GK",IFERROR('Player Data'!Q826/'Player Data'!H826*90,0),IFERROR('Player Data'!M826/'Player Data'!H826*90,0))</f>
        <v>1.89473684210526</v>
      </c>
      <c r="K826" s="23" t="n">
        <f aca="false">'Player Data'!S826</f>
        <v>64227</v>
      </c>
      <c r="L826" s="22" t="n">
        <f aca="false">INDEX(Assumptions!$B$13:$B$15,MATCH(E826,Assumptions!$A$13:$A$15,0))</f>
        <v>0.7</v>
      </c>
      <c r="M826" s="24" t="n">
        <f aca="false">IFERROR(SUMPRODUCT(($B$2:$B$1001=B826)*($H$2:$H$1001&lt;=H826))/SUMPRODUCT(($B$2:$B$1001=B826)*1),0)</f>
        <v>0.784511784511785</v>
      </c>
      <c r="N826" s="24" t="n">
        <f aca="false">IFERROR(SUMPRODUCT(($B$2:$B$1001=B826)*($I$2:$I$1001&lt;=I826))/SUMPRODUCT(($B$2:$B$1001=B826)*1),0)</f>
        <v>0.707070707070707</v>
      </c>
      <c r="O826" s="24" t="n">
        <f aca="false">IFERROR(SUMPRODUCT(($B$2:$B$1001=B826)*($J$2:$J$1001&lt;=J826))/SUMPRODUCT(($B$2:$B$1001=B826)*1),0)</f>
        <v>0.373737373737374</v>
      </c>
      <c r="P826" s="24" t="n">
        <f aca="false">IFERROR(SUMPRODUCT(($B$2:$B$1001=B826)*((0-$F$2:$F$1001)&lt;=(0-F826)))/SUMPRODUCT(($B$2:$B$1001=B826)*1),0)</f>
        <v>0.0909090909090909</v>
      </c>
      <c r="Q826" s="25" t="n">
        <f aca="false">(M826*Assumptions!$B$5+N826*Assumptions!$B$6+O826*Assumptions!$B$7+P826*Assumptions!$B$8)*L826</f>
        <v>0.375572390572391</v>
      </c>
      <c r="R826" s="24" t="n">
        <f aca="false">IFERROR(SUMPRODUCT(($B$2:$B$1001=B826)*($Q$2:$Q$1001&lt;=Q826))/SUMPRODUCT(($B$2:$B$1001=B826)*1),0)</f>
        <v>0.38047138047138</v>
      </c>
      <c r="S826" s="24" t="n">
        <f aca="false">IFERROR(SUMPRODUCT(($B$2:$B$1001=B826)*($K$2:$K$1001&lt;=K826))/SUMPRODUCT(($B$2:$B$1001=B826)*1),0)</f>
        <v>0.535353535353535</v>
      </c>
      <c r="T826" s="26" t="n">
        <f aca="false">(R826-S826)*100</f>
        <v>-15.4882154882155</v>
      </c>
      <c r="U826" s="21" t="str">
        <f aca="false">'Player Data'!T826</f>
        <v>No</v>
      </c>
      <c r="V826" s="27" t="n">
        <f aca="false">'Player Data'!U826</f>
        <v>2029</v>
      </c>
      <c r="W826" s="21" t="str">
        <f aca="false">IF(AND(T826&gt;=Assumptions!$B$19,U826="No"),"High Priority - Unrepresented",IF(T826&gt;=Assumptions!$B$19,"High Priority",IF(AND(T826&gt;=Assumptions!$B$20,U826="No"),"Watchlist - Unrepresented",IF(T826&gt;=Assumptions!$B$20,"Watchlist",""))))</f>
        <v/>
      </c>
      <c r="X826" s="21" t="str">
        <f aca="false">'Player Data'!V826</f>
        <v>info@tashkentunited.uz</v>
      </c>
      <c r="Y826" s="28" t="str">
        <f aca="false">'Player Data'!W826</f>
        <v>Club sporting director / first-team office</v>
      </c>
      <c r="Z826" s="28" t="str">
        <f aca="false">'Player Data'!X826</f>
        <v>UFF (Uzbekistan Football Federation) player registry</v>
      </c>
      <c r="AA826" s="19" t="str">
        <f aca="false">HYPERLINK("https://www.transfermarkt.com/schnellsuche/ergebnis/schnellsuche?query="&amp;SUBSTITUTE(A826," ","+"),"Search Transfermarkt")</f>
        <v>Search Transfermarkt</v>
      </c>
      <c r="AB826" s="29" t="n">
        <f aca="false">IFERROR('Player Data'!K826/('Player Data'!K826+'Player Data'!L826),0)</f>
        <v>0.630630630630631</v>
      </c>
      <c r="AC826" s="21" t="str">
        <f aca="false">IF(B826="GK",IF(AND(O826&gt;=Assumptions!$B$23,N826&gt;=Assumptions!$B$23),"Sweeper-Keeper / Build-from-the-Back",IF(O826&gt;=Assumptions!$B$23,"Sweeper-Keeper / High Line",IF(M826&gt;=Assumptions!$B$23,"Shot-Stopper / Traditional","Flexible / Multi-System"))),IF(AND(O826&gt;=Assumptions!$B$23,P826&gt;=Assumptions!$B$24),"High Press / Gegenpressing",IF(AND(N826&gt;=Assumptions!$B$23,AB826&gt;=Assumptions!$B$25),"Possession / Build-from-the-Back",IF(N826&gt;=Assumptions!$B$23,"Counter-Attack / Transition",IF(AND(O826&gt;=Assumptions!$B$23,N826&lt;Assumptions!$B$26),"Low Block / Park the Bus",IF(AND(B826="FW",M826&gt;=Assumptions!$B$23,N826&lt;Assumptions!$B$26),"Direct / Target Approach","Flexible / Multi-System"))))))</f>
        <v>Possession / Build-from-the-Back</v>
      </c>
      <c r="AD826" s="21" t="str">
        <f aca="false">'Player Data'!Y826</f>
        <v>2026-07-17</v>
      </c>
      <c r="AE826" s="21" t="str">
        <f aca="false">'Player Data'!Z826</f>
        <v>2026-07-17</v>
      </c>
      <c r="AF826" s="28" t="str">
        <f aca="false">IFERROR(INDEX(Assumptions!$B$30:$B$61,MATCH(C826,Assumptions!$A$30:$A$61,0)),"--")</f>
        <v>Turkey, Saudi Arabia</v>
      </c>
      <c r="AG826" s="30" t="str">
        <f aca="false">IF(R826&gt;=0.7,"Step-Up Candidate",IF(R826&gt;=0.4,"Lateral Move","Stay &amp; Develop"))</f>
        <v>Stay &amp; Develop</v>
      </c>
    </row>
    <row r="827" customFormat="false" ht="23.85" hidden="false" customHeight="false" outlineLevel="0" collapsed="false">
      <c r="A827" s="21" t="str">
        <f aca="false">'Player Data'!A827</f>
        <v>Jon Gudmundsson</v>
      </c>
      <c r="B827" s="21" t="str">
        <f aca="false">'Player Data'!F827</f>
        <v>GK</v>
      </c>
      <c r="C827" s="21" t="str">
        <f aca="false">'Player Data'!B827</f>
        <v>Iceland</v>
      </c>
      <c r="D827" s="21" t="str">
        <f aca="false">'Player Data'!C827</f>
        <v>Iceland Second Division - East</v>
      </c>
      <c r="E827" s="21" t="n">
        <f aca="false">'Player Data'!D827</f>
        <v>3</v>
      </c>
      <c r="F827" s="21" t="n">
        <f aca="false">'Player Data'!G827</f>
        <v>25</v>
      </c>
      <c r="G827" s="21" t="n">
        <f aca="false">'Player Data'!H827</f>
        <v>2053</v>
      </c>
      <c r="H827" s="22" t="n">
        <f aca="false">IF(B827="GK",IFERROR(('Player Data'!N827-1.5*'Player Data'!O827)/'Player Data'!H827*90,0),IFERROR(('Player Data'!I827+'Player Data'!J827)/'Player Data'!H827*90,0))</f>
        <v>-0.964442279590843</v>
      </c>
      <c r="I827" s="22" t="n">
        <f aca="false">IF(B827="GK",'Player Data'!P827,IFERROR(('Player Data'!K827+'Player Data'!L827)/'Player Data'!H827*90,0))</f>
        <v>89.7</v>
      </c>
      <c r="J827" s="22" t="n">
        <f aca="false">IF(B827="GK",IFERROR('Player Data'!Q827/'Player Data'!H827*90,0),IFERROR('Player Data'!M827/'Player Data'!H827*90,0))</f>
        <v>1.42912810521189</v>
      </c>
      <c r="K827" s="23" t="n">
        <f aca="false">'Player Data'!S827</f>
        <v>17388</v>
      </c>
      <c r="L827" s="22" t="n">
        <f aca="false">INDEX(Assumptions!$B$13:$B$15,MATCH(E827,Assumptions!$A$13:$A$15,0))</f>
        <v>0.85</v>
      </c>
      <c r="M827" s="24" t="n">
        <f aca="false">IFERROR(SUMPRODUCT(($B$2:$B$1001=B827)*($H$2:$H$1001&lt;=H827))/SUMPRODUCT(($B$2:$B$1001=B827)*1),0)</f>
        <v>0.0109289617486339</v>
      </c>
      <c r="N827" s="24" t="n">
        <f aca="false">IFERROR(SUMPRODUCT(($B$2:$B$1001=B827)*($I$2:$I$1001&lt;=I827))/SUMPRODUCT(($B$2:$B$1001=B827)*1),0)</f>
        <v>0.950819672131148</v>
      </c>
      <c r="O827" s="24" t="n">
        <f aca="false">IFERROR(SUMPRODUCT(($B$2:$B$1001=B827)*($J$2:$J$1001&lt;=J827))/SUMPRODUCT(($B$2:$B$1001=B827)*1),0)</f>
        <v>0.939890710382514</v>
      </c>
      <c r="P827" s="24" t="n">
        <f aca="false">IFERROR(SUMPRODUCT(($B$2:$B$1001=B827)*((0-$F$2:$F$1001)&lt;=(0-F827)))/SUMPRODUCT(($B$2:$B$1001=B827)*1),0)</f>
        <v>0.240437158469945</v>
      </c>
      <c r="Q827" s="25" t="n">
        <f aca="false">(M827*Assumptions!$B$5+N827*Assumptions!$B$6+O827*Assumptions!$B$7+P827*Assumptions!$B$8)*L827</f>
        <v>0.485846994535519</v>
      </c>
      <c r="R827" s="24" t="n">
        <f aca="false">IFERROR(SUMPRODUCT(($B$2:$B$1001=B827)*($Q$2:$Q$1001&lt;=Q827))/SUMPRODUCT(($B$2:$B$1001=B827)*1),0)</f>
        <v>0.568306010928962</v>
      </c>
      <c r="S827" s="24" t="n">
        <f aca="false">IFERROR(SUMPRODUCT(($B$2:$B$1001=B827)*($K$2:$K$1001&lt;=K827))/SUMPRODUCT(($B$2:$B$1001=B827)*1),0)</f>
        <v>0.262295081967213</v>
      </c>
      <c r="T827" s="26" t="n">
        <f aca="false">(R827-S827)*100</f>
        <v>30.6010928961749</v>
      </c>
      <c r="U827" s="21" t="str">
        <f aca="false">'Player Data'!T827</f>
        <v>Unknown</v>
      </c>
      <c r="V827" s="27" t="n">
        <f aca="false">'Player Data'!U827</f>
        <v>2029</v>
      </c>
      <c r="W827" s="21" t="str">
        <f aca="false">IF(AND(T827&gt;=Assumptions!$B$19,U827="No"),"High Priority - Unrepresented",IF(T827&gt;=Assumptions!$B$19,"High Priority",IF(AND(T827&gt;=Assumptions!$B$20,U827="No"),"Watchlist - Unrepresented",IF(T827&gt;=Assumptions!$B$20,"Watchlist",""))))</f>
        <v>Watchlist</v>
      </c>
      <c r="X827" s="21" t="str">
        <f aca="false">'Player Data'!V827</f>
        <v>info@keflavikrangers.is</v>
      </c>
      <c r="Y827" s="28" t="str">
        <f aca="false">'Player Data'!W827</f>
        <v>Club sporting director / first-team office</v>
      </c>
      <c r="Z827" s="28" t="str">
        <f aca="false">'Player Data'!X827</f>
        <v>KSI (Icelandic Football Association) player registry</v>
      </c>
      <c r="AA827" s="19" t="str">
        <f aca="false">HYPERLINK("https://www.transfermarkt.com/schnellsuche/ergebnis/schnellsuche?query="&amp;SUBSTITUTE(A827," ","+"),"Search Transfermarkt")</f>
        <v>Search Transfermarkt</v>
      </c>
      <c r="AB827" s="29" t="n">
        <f aca="false">IFERROR('Player Data'!K827/('Player Data'!K827+'Player Data'!L827),0)</f>
        <v>0.833333333333333</v>
      </c>
      <c r="AC827" s="21" t="str">
        <f aca="false">IF(B827="GK",IF(AND(O827&gt;=Assumptions!$B$23,N827&gt;=Assumptions!$B$23),"Sweeper-Keeper / Build-from-the-Back",IF(O827&gt;=Assumptions!$B$23,"Sweeper-Keeper / High Line",IF(M827&gt;=Assumptions!$B$23,"Shot-Stopper / Traditional","Flexible / Multi-System"))),IF(AND(O827&gt;=Assumptions!$B$23,P827&gt;=Assumptions!$B$24),"High Press / Gegenpressing",IF(AND(N827&gt;=Assumptions!$B$23,AB827&gt;=Assumptions!$B$25),"Possession / Build-from-the-Back",IF(N827&gt;=Assumptions!$B$23,"Counter-Attack / Transition",IF(AND(O827&gt;=Assumptions!$B$23,N827&lt;Assumptions!$B$26),"Low Block / Park the Bus",IF(AND(B827="FW",M827&gt;=Assumptions!$B$23,N827&lt;Assumptions!$B$26),"Direct / Target Approach","Flexible / Multi-System"))))))</f>
        <v>Sweeper-Keeper / Build-from-the-Back</v>
      </c>
      <c r="AD827" s="21" t="str">
        <f aca="false">'Player Data'!Y827</f>
        <v>2026-07-17</v>
      </c>
      <c r="AE827" s="21" t="str">
        <f aca="false">'Player Data'!Z827</f>
        <v>2026-07-17</v>
      </c>
      <c r="AF827" s="28" t="str">
        <f aca="false">IFERROR(INDEX(Assumptions!$B$30:$B$61,MATCH(C827,Assumptions!$A$30:$A$61,0)),"--")</f>
        <v>Norway, Belgium</v>
      </c>
      <c r="AG827" s="30" t="str">
        <f aca="false">IF(R827&gt;=0.7,"Step-Up Candidate",IF(R827&gt;=0.4,"Lateral Move","Stay &amp; Develop"))</f>
        <v>Lateral Move</v>
      </c>
    </row>
    <row r="828" customFormat="false" ht="23.85" hidden="false" customHeight="false" outlineLevel="0" collapsed="false">
      <c r="A828" s="21" t="str">
        <f aca="false">'Player Data'!A828</f>
        <v>Diego Torres</v>
      </c>
      <c r="B828" s="21" t="str">
        <f aca="false">'Player Data'!F828</f>
        <v>MF</v>
      </c>
      <c r="C828" s="21" t="str">
        <f aca="false">'Player Data'!B828</f>
        <v>Bolivia</v>
      </c>
      <c r="D828" s="21" t="str">
        <f aca="false">'Player Data'!C828</f>
        <v>Bolivia Reserve League</v>
      </c>
      <c r="E828" s="21" t="n">
        <f aca="false">'Player Data'!D828</f>
        <v>4</v>
      </c>
      <c r="F828" s="21" t="n">
        <f aca="false">'Player Data'!G828</f>
        <v>23</v>
      </c>
      <c r="G828" s="21" t="n">
        <f aca="false">'Player Data'!H828</f>
        <v>2143</v>
      </c>
      <c r="H828" s="22" t="n">
        <f aca="false">IF(B828="GK",IFERROR(('Player Data'!N828-1.5*'Player Data'!O828)/'Player Data'!H828*90,0),IFERROR(('Player Data'!I828+'Player Data'!J828)/'Player Data'!H828*90,0))</f>
        <v>0.419972001866542</v>
      </c>
      <c r="I828" s="22" t="n">
        <f aca="false">IF(B828="GK",'Player Data'!P828,IFERROR(('Player Data'!K828+'Player Data'!L828)/'Player Data'!H828*90,0))</f>
        <v>9.78534764349043</v>
      </c>
      <c r="J828" s="22" t="n">
        <f aca="false">IF(B828="GK",IFERROR('Player Data'!Q828/'Player Data'!H828*90,0),IFERROR('Player Data'!M828/'Player Data'!H828*90,0))</f>
        <v>1.63789080727951</v>
      </c>
      <c r="K828" s="23" t="n">
        <f aca="false">'Player Data'!S828</f>
        <v>98692</v>
      </c>
      <c r="L828" s="22" t="n">
        <f aca="false">INDEX(Assumptions!$B$13:$B$15,MATCH(E828,Assumptions!$A$13:$A$15,0))</f>
        <v>0.7</v>
      </c>
      <c r="M828" s="24" t="n">
        <f aca="false">IFERROR(SUMPRODUCT(($B$2:$B$1001=B828)*($H$2:$H$1001&lt;=H828))/SUMPRODUCT(($B$2:$B$1001=B828)*1),0)</f>
        <v>0.124579124579125</v>
      </c>
      <c r="N828" s="24" t="n">
        <f aca="false">IFERROR(SUMPRODUCT(($B$2:$B$1001=B828)*($I$2:$I$1001&lt;=I828))/SUMPRODUCT(($B$2:$B$1001=B828)*1),0)</f>
        <v>0.404040404040404</v>
      </c>
      <c r="O828" s="24" t="n">
        <f aca="false">IFERROR(SUMPRODUCT(($B$2:$B$1001=B828)*($J$2:$J$1001&lt;=J828))/SUMPRODUCT(($B$2:$B$1001=B828)*1),0)</f>
        <v>0.249158249158249</v>
      </c>
      <c r="P828" s="24" t="n">
        <f aca="false">IFERROR(SUMPRODUCT(($B$2:$B$1001=B828)*((0-$F$2:$F$1001)&lt;=(0-F828)))/SUMPRODUCT(($B$2:$B$1001=B828)*1),0)</f>
        <v>0.390572390572391</v>
      </c>
      <c r="Q828" s="25" t="n">
        <f aca="false">(M828*Assumptions!$B$5+N828*Assumptions!$B$6+O828*Assumptions!$B$7+P828*Assumptions!$B$8)*L828</f>
        <v>0.210353535353535</v>
      </c>
      <c r="R828" s="24" t="n">
        <f aca="false">IFERROR(SUMPRODUCT(($B$2:$B$1001=B828)*($Q$2:$Q$1001&lt;=Q828))/SUMPRODUCT(($B$2:$B$1001=B828)*1),0)</f>
        <v>0.104377104377104</v>
      </c>
      <c r="S828" s="24" t="n">
        <f aca="false">IFERROR(SUMPRODUCT(($B$2:$B$1001=B828)*($K$2:$K$1001&lt;=K828))/SUMPRODUCT(($B$2:$B$1001=B828)*1),0)</f>
        <v>0.727272727272727</v>
      </c>
      <c r="T828" s="26" t="n">
        <f aca="false">(R828-S828)*100</f>
        <v>-62.2895622895623</v>
      </c>
      <c r="U828" s="21" t="str">
        <f aca="false">'Player Data'!T828</f>
        <v>Unknown</v>
      </c>
      <c r="V828" s="27" t="n">
        <f aca="false">'Player Data'!U828</f>
        <v>2027</v>
      </c>
      <c r="W828" s="21" t="str">
        <f aca="false">IF(AND(T828&gt;=Assumptions!$B$19,U828="No"),"High Priority - Unrepresented",IF(T828&gt;=Assumptions!$B$19,"High Priority",IF(AND(T828&gt;=Assumptions!$B$20,U828="No"),"Watchlist - Unrepresented",IF(T828&gt;=Assumptions!$B$20,"Watchlist",""))))</f>
        <v/>
      </c>
      <c r="X828" s="21" t="str">
        <f aca="false">'Player Data'!V828</f>
        <v>info@lapazunited.bo</v>
      </c>
      <c r="Y828" s="28" t="str">
        <f aca="false">'Player Data'!W828</f>
        <v>Club sporting director / first-team office</v>
      </c>
      <c r="Z828" s="28" t="str">
        <f aca="false">'Player Data'!X828</f>
        <v>FBF (Bolivian Football Federation) player registry</v>
      </c>
      <c r="AA828" s="19" t="str">
        <f aca="false">HYPERLINK("https://www.transfermarkt.com/schnellsuche/ergebnis/schnellsuche?query="&amp;SUBSTITUTE(A828," ","+"),"Search Transfermarkt")</f>
        <v>Search Transfermarkt</v>
      </c>
      <c r="AB828" s="29" t="n">
        <f aca="false">IFERROR('Player Data'!K828/('Player Data'!K828+'Player Data'!L828),0)</f>
        <v>0.605150214592275</v>
      </c>
      <c r="AC828" s="21" t="str">
        <f aca="false">IF(B828="GK",IF(AND(O828&gt;=Assumptions!$B$23,N828&gt;=Assumptions!$B$23),"Sweeper-Keeper / Build-from-the-Back",IF(O828&gt;=Assumptions!$B$23,"Sweeper-Keeper / High Line",IF(M828&gt;=Assumptions!$B$23,"Shot-Stopper / Traditional","Flexible / Multi-System"))),IF(AND(O828&gt;=Assumptions!$B$23,P828&gt;=Assumptions!$B$24),"High Press / Gegenpressing",IF(AND(N828&gt;=Assumptions!$B$23,AB828&gt;=Assumptions!$B$25),"Possession / Build-from-the-Back",IF(N828&gt;=Assumptions!$B$23,"Counter-Attack / Transition",IF(AND(O828&gt;=Assumptions!$B$23,N828&lt;Assumptions!$B$26),"Low Block / Park the Bus",IF(AND(B828="FW",M828&gt;=Assumptions!$B$23,N828&lt;Assumptions!$B$26),"Direct / Target Approach","Flexible / Multi-System"))))))</f>
        <v>Flexible / Multi-System</v>
      </c>
      <c r="AD828" s="21" t="str">
        <f aca="false">'Player Data'!Y828</f>
        <v>2026-07-17</v>
      </c>
      <c r="AE828" s="21" t="str">
        <f aca="false">'Player Data'!Z828</f>
        <v>2026-07-17</v>
      </c>
      <c r="AF828" s="28" t="str">
        <f aca="false">IFERROR(INDEX(Assumptions!$B$30:$B$61,MATCH(C828,Assumptions!$A$30:$A$61,0)),"--")</f>
        <v>Argentina, Portugal</v>
      </c>
      <c r="AG828" s="30" t="str">
        <f aca="false">IF(R828&gt;=0.7,"Step-Up Candidate",IF(R828&gt;=0.4,"Lateral Move","Stay &amp; Develop"))</f>
        <v>Stay &amp; Develop</v>
      </c>
    </row>
    <row r="829" customFormat="false" ht="23.85" hidden="false" customHeight="false" outlineLevel="0" collapsed="false">
      <c r="A829" s="21" t="str">
        <f aca="false">'Player Data'!A829</f>
        <v>Seo-jun Jung</v>
      </c>
      <c r="B829" s="21" t="str">
        <f aca="false">'Player Data'!F829</f>
        <v>DF</v>
      </c>
      <c r="C829" s="21" t="str">
        <f aca="false">'Player Data'!B829</f>
        <v>South Korea</v>
      </c>
      <c r="D829" s="21" t="str">
        <f aca="false">'Player Data'!C829</f>
        <v>South Korea Second Division - West</v>
      </c>
      <c r="E829" s="21" t="n">
        <f aca="false">'Player Data'!D829</f>
        <v>4</v>
      </c>
      <c r="F829" s="21" t="n">
        <f aca="false">'Player Data'!G829</f>
        <v>18</v>
      </c>
      <c r="G829" s="21" t="n">
        <f aca="false">'Player Data'!H829</f>
        <v>1927</v>
      </c>
      <c r="H829" s="22" t="n">
        <f aca="false">IF(B829="GK",IFERROR(('Player Data'!N829-1.5*'Player Data'!O829)/'Player Data'!H829*90,0),IFERROR(('Player Data'!I829+'Player Data'!J829)/'Player Data'!H829*90,0))</f>
        <v>0.233523611831863</v>
      </c>
      <c r="I829" s="22" t="n">
        <f aca="false">IF(B829="GK",'Player Data'!P829,IFERROR(('Player Data'!K829+'Player Data'!L829)/'Player Data'!H829*90,0))</f>
        <v>4.01660612350804</v>
      </c>
      <c r="J829" s="22" t="n">
        <f aca="false">IF(B829="GK",IFERROR('Player Data'!Q829/'Player Data'!H829*90,0),IFERROR('Player Data'!M829/'Player Data'!H829*90,0))</f>
        <v>6.02490918526207</v>
      </c>
      <c r="K829" s="23" t="n">
        <f aca="false">'Player Data'!S829</f>
        <v>121945</v>
      </c>
      <c r="L829" s="22" t="n">
        <f aca="false">INDEX(Assumptions!$B$13:$B$15,MATCH(E829,Assumptions!$A$13:$A$15,0))</f>
        <v>0.7</v>
      </c>
      <c r="M829" s="24" t="n">
        <f aca="false">IFERROR(SUMPRODUCT(($B$2:$B$1001=B829)*($H$2:$H$1001&lt;=H829))/SUMPRODUCT(($B$2:$B$1001=B829)*1),0)</f>
        <v>0.612244897959184</v>
      </c>
      <c r="N829" s="24" t="n">
        <f aca="false">IFERROR(SUMPRODUCT(($B$2:$B$1001=B829)*($I$2:$I$1001&lt;=I829))/SUMPRODUCT(($B$2:$B$1001=B829)*1),0)</f>
        <v>0.404761904761905</v>
      </c>
      <c r="O829" s="24" t="n">
        <f aca="false">IFERROR(SUMPRODUCT(($B$2:$B$1001=B829)*($J$2:$J$1001&lt;=J829))/SUMPRODUCT(($B$2:$B$1001=B829)*1),0)</f>
        <v>0.629251700680272</v>
      </c>
      <c r="P829" s="24" t="n">
        <f aca="false">IFERROR(SUMPRODUCT(($B$2:$B$1001=B829)*((0-$F$2:$F$1001)&lt;=(0-F829)))/SUMPRODUCT(($B$2:$B$1001=B829)*1),0)</f>
        <v>0.863945578231293</v>
      </c>
      <c r="Q829" s="25" t="n">
        <f aca="false">(M829*Assumptions!$B$5+N829*Assumptions!$B$6+O829*Assumptions!$B$7+P829*Assumptions!$B$8)*L829</f>
        <v>0.415357142857143</v>
      </c>
      <c r="R829" s="24" t="n">
        <f aca="false">IFERROR(SUMPRODUCT(($B$2:$B$1001=B829)*($Q$2:$Q$1001&lt;=Q829))/SUMPRODUCT(($B$2:$B$1001=B829)*1),0)</f>
        <v>0.489795918367347</v>
      </c>
      <c r="S829" s="24" t="n">
        <f aca="false">IFERROR(SUMPRODUCT(($B$2:$B$1001=B829)*($K$2:$K$1001&lt;=K829))/SUMPRODUCT(($B$2:$B$1001=B829)*1),0)</f>
        <v>0.860544217687075</v>
      </c>
      <c r="T829" s="26" t="n">
        <f aca="false">(R829-S829)*100</f>
        <v>-37.0748299319728</v>
      </c>
      <c r="U829" s="21" t="str">
        <f aca="false">'Player Data'!T829</f>
        <v>Unknown</v>
      </c>
      <c r="V829" s="27" t="n">
        <f aca="false">'Player Data'!U829</f>
        <v>2029</v>
      </c>
      <c r="W829" s="21" t="str">
        <f aca="false">IF(AND(T829&gt;=Assumptions!$B$19,U829="No"),"High Priority - Unrepresented",IF(T829&gt;=Assumptions!$B$19,"High Priority",IF(AND(T829&gt;=Assumptions!$B$20,U829="No"),"Watchlist - Unrepresented",IF(T829&gt;=Assumptions!$B$20,"Watchlist",""))))</f>
        <v/>
      </c>
      <c r="X829" s="21" t="str">
        <f aca="false">'Player Data'!V829</f>
        <v>info@busanunited.kr</v>
      </c>
      <c r="Y829" s="28" t="str">
        <f aca="false">'Player Data'!W829</f>
        <v>Club sporting director / first-team office</v>
      </c>
      <c r="Z829" s="28" t="str">
        <f aca="false">'Player Data'!X829</f>
        <v>KFA (Korea Football Association) player registry</v>
      </c>
      <c r="AA829" s="19" t="str">
        <f aca="false">HYPERLINK("https://www.transfermarkt.com/schnellsuche/ergebnis/schnellsuche?query="&amp;SUBSTITUTE(A829," ","+"),"Search Transfermarkt")</f>
        <v>Search Transfermarkt</v>
      </c>
      <c r="AB829" s="29" t="n">
        <f aca="false">IFERROR('Player Data'!K829/('Player Data'!K829+'Player Data'!L829),0)</f>
        <v>0.534883720930233</v>
      </c>
      <c r="AC829" s="21" t="str">
        <f aca="false">IF(B829="GK",IF(AND(O829&gt;=Assumptions!$B$23,N829&gt;=Assumptions!$B$23),"Sweeper-Keeper / Build-from-the-Back",IF(O829&gt;=Assumptions!$B$23,"Sweeper-Keeper / High Line",IF(M829&gt;=Assumptions!$B$23,"Shot-Stopper / Traditional","Flexible / Multi-System"))),IF(AND(O829&gt;=Assumptions!$B$23,P829&gt;=Assumptions!$B$24),"High Press / Gegenpressing",IF(AND(N829&gt;=Assumptions!$B$23,AB829&gt;=Assumptions!$B$25),"Possession / Build-from-the-Back",IF(N829&gt;=Assumptions!$B$23,"Counter-Attack / Transition",IF(AND(O829&gt;=Assumptions!$B$23,N829&lt;Assumptions!$B$26),"Low Block / Park the Bus",IF(AND(B829="FW",M829&gt;=Assumptions!$B$23,N829&lt;Assumptions!$B$26),"Direct / Target Approach","Flexible / Multi-System"))))))</f>
        <v>Flexible / Multi-System</v>
      </c>
      <c r="AD829" s="21" t="str">
        <f aca="false">'Player Data'!Y829</f>
        <v>2026-07-17</v>
      </c>
      <c r="AE829" s="21" t="str">
        <f aca="false">'Player Data'!Z829</f>
        <v>2026-07-17</v>
      </c>
      <c r="AF829" s="28" t="str">
        <f aca="false">IFERROR(INDEX(Assumptions!$B$30:$B$61,MATCH(C829,Assumptions!$A$30:$A$61,0)),"--")</f>
        <v>Belgium, Saudi Arabia</v>
      </c>
      <c r="AG829" s="30" t="str">
        <f aca="false">IF(R829&gt;=0.7,"Step-Up Candidate",IF(R829&gt;=0.4,"Lateral Move","Stay &amp; Develop"))</f>
        <v>Lateral Move</v>
      </c>
    </row>
    <row r="830" customFormat="false" ht="23.85" hidden="false" customHeight="false" outlineLevel="0" collapsed="false">
      <c r="A830" s="21" t="str">
        <f aca="false">'Player Data'!A830</f>
        <v>Marek Kukk</v>
      </c>
      <c r="B830" s="21" t="str">
        <f aca="false">'Player Data'!F830</f>
        <v>DF</v>
      </c>
      <c r="C830" s="21" t="str">
        <f aca="false">'Player Data'!B830</f>
        <v>Estonia</v>
      </c>
      <c r="D830" s="21" t="str">
        <f aca="false">'Player Data'!C830</f>
        <v>Estonia Amateur League</v>
      </c>
      <c r="E830" s="21" t="n">
        <f aca="false">'Player Data'!D830</f>
        <v>3</v>
      </c>
      <c r="F830" s="21" t="n">
        <f aca="false">'Player Data'!G830</f>
        <v>22</v>
      </c>
      <c r="G830" s="21" t="n">
        <f aca="false">'Player Data'!H830</f>
        <v>828</v>
      </c>
      <c r="H830" s="22" t="n">
        <f aca="false">IF(B830="GK",IFERROR(('Player Data'!N830-1.5*'Player Data'!O830)/'Player Data'!H830*90,0),IFERROR(('Player Data'!I830+'Player Data'!J830)/'Player Data'!H830*90,0))</f>
        <v>0.652173913043478</v>
      </c>
      <c r="I830" s="22" t="n">
        <f aca="false">IF(B830="GK",'Player Data'!P830,IFERROR(('Player Data'!K830+'Player Data'!L830)/'Player Data'!H830*90,0))</f>
        <v>9.34782608695652</v>
      </c>
      <c r="J830" s="22" t="n">
        <f aca="false">IF(B830="GK",IFERROR('Player Data'!Q830/'Player Data'!H830*90,0),IFERROR('Player Data'!M830/'Player Data'!H830*90,0))</f>
        <v>13.4782608695652</v>
      </c>
      <c r="K830" s="23" t="n">
        <f aca="false">'Player Data'!S830</f>
        <v>40644</v>
      </c>
      <c r="L830" s="22" t="n">
        <f aca="false">INDEX(Assumptions!$B$13:$B$15,MATCH(E830,Assumptions!$A$13:$A$15,0))</f>
        <v>0.85</v>
      </c>
      <c r="M830" s="24" t="n">
        <f aca="false">IFERROR(SUMPRODUCT(($B$2:$B$1001=B830)*($H$2:$H$1001&lt;=H830))/SUMPRODUCT(($B$2:$B$1001=B830)*1),0)</f>
        <v>0.993197278911565</v>
      </c>
      <c r="N830" s="24" t="n">
        <f aca="false">IFERROR(SUMPRODUCT(($B$2:$B$1001=B830)*($I$2:$I$1001&lt;=I830))/SUMPRODUCT(($B$2:$B$1001=B830)*1),0)</f>
        <v>0.959183673469388</v>
      </c>
      <c r="O830" s="24" t="n">
        <f aca="false">IFERROR(SUMPRODUCT(($B$2:$B$1001=B830)*($J$2:$J$1001&lt;=J830))/SUMPRODUCT(($B$2:$B$1001=B830)*1),0)</f>
        <v>1</v>
      </c>
      <c r="P830" s="24" t="n">
        <f aca="false">IFERROR(SUMPRODUCT(($B$2:$B$1001=B830)*((0-$F$2:$F$1001)&lt;=(0-F830)))/SUMPRODUCT(($B$2:$B$1001=B830)*1),0)</f>
        <v>0.493197278911565</v>
      </c>
      <c r="Q830" s="25" t="n">
        <f aca="false">(M830*Assumptions!$B$5+N830*Assumptions!$B$6+O830*Assumptions!$B$7+P830*Assumptions!$B$8)*L830</f>
        <v>0.750255102040816</v>
      </c>
      <c r="R830" s="24" t="n">
        <f aca="false">IFERROR(SUMPRODUCT(($B$2:$B$1001=B830)*($Q$2:$Q$1001&lt;=Q830))/SUMPRODUCT(($B$2:$B$1001=B830)*1),0)</f>
        <v>0.921768707482993</v>
      </c>
      <c r="S830" s="24" t="n">
        <f aca="false">IFERROR(SUMPRODUCT(($B$2:$B$1001=B830)*($K$2:$K$1001&lt;=K830))/SUMPRODUCT(($B$2:$B$1001=B830)*1),0)</f>
        <v>0.394557823129252</v>
      </c>
      <c r="T830" s="26" t="n">
        <f aca="false">(R830-S830)*100</f>
        <v>52.7210884353742</v>
      </c>
      <c r="U830" s="21" t="str">
        <f aca="false">'Player Data'!T830</f>
        <v>Unknown</v>
      </c>
      <c r="V830" s="27" t="n">
        <f aca="false">'Player Data'!U830</f>
        <v>2028</v>
      </c>
      <c r="W830" s="21" t="str">
        <f aca="false">IF(AND(T830&gt;=Assumptions!$B$19,U830="No"),"High Priority - Unrepresented",IF(T830&gt;=Assumptions!$B$19,"High Priority",IF(AND(T830&gt;=Assumptions!$B$20,U830="No"),"Watchlist - Unrepresented",IF(T830&gt;=Assumptions!$B$20,"Watchlist",""))))</f>
        <v>High Priority</v>
      </c>
      <c r="X830" s="21" t="str">
        <f aca="false">'Player Data'!V830</f>
        <v>info@parnufc.ee</v>
      </c>
      <c r="Y830" s="28" t="str">
        <f aca="false">'Player Data'!W830</f>
        <v>Club sporting director / first-team office</v>
      </c>
      <c r="Z830" s="28" t="str">
        <f aca="false">'Player Data'!X830</f>
        <v>EJL (Estonian Football Association) player registry</v>
      </c>
      <c r="AA830" s="19" t="str">
        <f aca="false">HYPERLINK("https://www.transfermarkt.com/schnellsuche/ergebnis/schnellsuche?query="&amp;SUBSTITUTE(A830," ","+"),"Search Transfermarkt")</f>
        <v>Search Transfermarkt</v>
      </c>
      <c r="AB830" s="29" t="n">
        <f aca="false">IFERROR('Player Data'!K830/('Player Data'!K830+'Player Data'!L830),0)</f>
        <v>0.755813953488372</v>
      </c>
      <c r="AC830" s="21" t="str">
        <f aca="false">IF(B830="GK",IF(AND(O830&gt;=Assumptions!$B$23,N830&gt;=Assumptions!$B$23),"Sweeper-Keeper / Build-from-the-Back",IF(O830&gt;=Assumptions!$B$23,"Sweeper-Keeper / High Line",IF(M830&gt;=Assumptions!$B$23,"Shot-Stopper / Traditional","Flexible / Multi-System"))),IF(AND(O830&gt;=Assumptions!$B$23,P830&gt;=Assumptions!$B$24),"High Press / Gegenpressing",IF(AND(N830&gt;=Assumptions!$B$23,AB830&gt;=Assumptions!$B$25),"Possession / Build-from-the-Back",IF(N830&gt;=Assumptions!$B$23,"Counter-Attack / Transition",IF(AND(O830&gt;=Assumptions!$B$23,N830&lt;Assumptions!$B$26),"Low Block / Park the Bus",IF(AND(B830="FW",M830&gt;=Assumptions!$B$23,N830&lt;Assumptions!$B$26),"Direct / Target Approach","Flexible / Multi-System"))))))</f>
        <v>Possession / Build-from-the-Back</v>
      </c>
      <c r="AD830" s="21" t="str">
        <f aca="false">'Player Data'!Y830</f>
        <v>2026-07-17</v>
      </c>
      <c r="AE830" s="21" t="str">
        <f aca="false">'Player Data'!Z830</f>
        <v>2026-07-17</v>
      </c>
      <c r="AF830" s="28" t="str">
        <f aca="false">IFERROR(INDEX(Assumptions!$B$30:$B$61,MATCH(C830,Assumptions!$A$30:$A$61,0)),"--")</f>
        <v>Poland, Norway</v>
      </c>
      <c r="AG830" s="30" t="str">
        <f aca="false">IF(R830&gt;=0.7,"Step-Up Candidate",IF(R830&gt;=0.4,"Lateral Move","Stay &amp; Develop"))</f>
        <v>Step-Up Candidate</v>
      </c>
    </row>
    <row r="831" customFormat="false" ht="23.85" hidden="false" customHeight="false" outlineLevel="0" collapsed="false">
      <c r="A831" s="21" t="str">
        <f aca="false">'Player Data'!A831</f>
        <v>Ivan Kovacevic</v>
      </c>
      <c r="B831" s="21" t="str">
        <f aca="false">'Player Data'!F831</f>
        <v>DF</v>
      </c>
      <c r="C831" s="21" t="str">
        <f aca="false">'Player Data'!B831</f>
        <v>Croatia</v>
      </c>
      <c r="D831" s="21" t="str">
        <f aca="false">'Player Data'!C831</f>
        <v>Croatia Second Division - East</v>
      </c>
      <c r="E831" s="21" t="n">
        <f aca="false">'Player Data'!D831</f>
        <v>4</v>
      </c>
      <c r="F831" s="21" t="n">
        <f aca="false">'Player Data'!G831</f>
        <v>26</v>
      </c>
      <c r="G831" s="21" t="n">
        <f aca="false">'Player Data'!H831</f>
        <v>1562</v>
      </c>
      <c r="H831" s="22" t="n">
        <f aca="false">IF(B831="GK",IFERROR(('Player Data'!N831-1.5*'Player Data'!O831)/'Player Data'!H831*90,0),IFERROR(('Player Data'!I831+'Player Data'!J831)/'Player Data'!H831*90,0))</f>
        <v>0.115236875800256</v>
      </c>
      <c r="I831" s="22" t="n">
        <f aca="false">IF(B831="GK",'Player Data'!P831,IFERROR(('Player Data'!K831+'Player Data'!L831)/'Player Data'!H831*90,0))</f>
        <v>4.89756722151088</v>
      </c>
      <c r="J831" s="22" t="n">
        <f aca="false">IF(B831="GK",IFERROR('Player Data'!Q831/'Player Data'!H831*90,0),IFERROR('Player Data'!M831/'Player Data'!H831*90,0))</f>
        <v>6.62612035851473</v>
      </c>
      <c r="K831" s="23" t="n">
        <f aca="false">'Player Data'!S831</f>
        <v>145082</v>
      </c>
      <c r="L831" s="22" t="n">
        <f aca="false">INDEX(Assumptions!$B$13:$B$15,MATCH(E831,Assumptions!$A$13:$A$15,0))</f>
        <v>0.7</v>
      </c>
      <c r="M831" s="24" t="n">
        <f aca="false">IFERROR(SUMPRODUCT(($B$2:$B$1001=B831)*($H$2:$H$1001&lt;=H831))/SUMPRODUCT(($B$2:$B$1001=B831)*1),0)</f>
        <v>0.261904761904762</v>
      </c>
      <c r="N831" s="24" t="n">
        <f aca="false">IFERROR(SUMPRODUCT(($B$2:$B$1001=B831)*($I$2:$I$1001&lt;=I831))/SUMPRODUCT(($B$2:$B$1001=B831)*1),0)</f>
        <v>0.578231292517007</v>
      </c>
      <c r="O831" s="24" t="n">
        <f aca="false">IFERROR(SUMPRODUCT(($B$2:$B$1001=B831)*($J$2:$J$1001&lt;=J831))/SUMPRODUCT(($B$2:$B$1001=B831)*1),0)</f>
        <v>0.697278911564626</v>
      </c>
      <c r="P831" s="24" t="n">
        <f aca="false">IFERROR(SUMPRODUCT(($B$2:$B$1001=B831)*((0-$F$2:$F$1001)&lt;=(0-F831)))/SUMPRODUCT(($B$2:$B$1001=B831)*1),0)</f>
        <v>0.0748299319727891</v>
      </c>
      <c r="Q831" s="25" t="n">
        <f aca="false">(M831*Assumptions!$B$5+N831*Assumptions!$B$6+O831*Assumptions!$B$7+P831*Assumptions!$B$8)*L831</f>
        <v>0.295595238095238</v>
      </c>
      <c r="R831" s="24" t="n">
        <f aca="false">IFERROR(SUMPRODUCT(($B$2:$B$1001=B831)*($Q$2:$Q$1001&lt;=Q831))/SUMPRODUCT(($B$2:$B$1001=B831)*1),0)</f>
        <v>0.248299319727891</v>
      </c>
      <c r="S831" s="24" t="n">
        <f aca="false">IFERROR(SUMPRODUCT(($B$2:$B$1001=B831)*($K$2:$K$1001&lt;=K831))/SUMPRODUCT(($B$2:$B$1001=B831)*1),0)</f>
        <v>0.976190476190476</v>
      </c>
      <c r="T831" s="26" t="n">
        <f aca="false">(R831-S831)*100</f>
        <v>-72.7891156462585</v>
      </c>
      <c r="U831" s="21" t="str">
        <f aca="false">'Player Data'!T831</f>
        <v>Yes</v>
      </c>
      <c r="V831" s="27" t="n">
        <f aca="false">'Player Data'!U831</f>
        <v>2026</v>
      </c>
      <c r="W831" s="21" t="str">
        <f aca="false">IF(AND(T831&gt;=Assumptions!$B$19,U831="No"),"High Priority - Unrepresented",IF(T831&gt;=Assumptions!$B$19,"High Priority",IF(AND(T831&gt;=Assumptions!$B$20,U831="No"),"Watchlist - Unrepresented",IF(T831&gt;=Assumptions!$B$20,"Watchlist",""))))</f>
        <v/>
      </c>
      <c r="X831" s="21" t="str">
        <f aca="false">'Player Data'!V831</f>
        <v>info@osijekunited.hr</v>
      </c>
      <c r="Y831" s="28" t="str">
        <f aca="false">'Player Data'!W831</f>
        <v>Go through the player's agent - ask the club to confirm representation first</v>
      </c>
      <c r="Z831" s="28" t="str">
        <f aca="false">'Player Data'!X831</f>
        <v>HNS (Croatian Football Federation) player registry</v>
      </c>
      <c r="AA831" s="19" t="str">
        <f aca="false">HYPERLINK("https://www.transfermarkt.com/schnellsuche/ergebnis/schnellsuche?query="&amp;SUBSTITUTE(A831," ","+"),"Search Transfermarkt")</f>
        <v>Search Transfermarkt</v>
      </c>
      <c r="AB831" s="29" t="n">
        <f aca="false">IFERROR('Player Data'!K831/('Player Data'!K831+'Player Data'!L831),0)</f>
        <v>0.635294117647059</v>
      </c>
      <c r="AC831" s="21" t="str">
        <f aca="false">IF(B831="GK",IF(AND(O831&gt;=Assumptions!$B$23,N831&gt;=Assumptions!$B$23),"Sweeper-Keeper / Build-from-the-Back",IF(O831&gt;=Assumptions!$B$23,"Sweeper-Keeper / High Line",IF(M831&gt;=Assumptions!$B$23,"Shot-Stopper / Traditional","Flexible / Multi-System"))),IF(AND(O831&gt;=Assumptions!$B$23,P831&gt;=Assumptions!$B$24),"High Press / Gegenpressing",IF(AND(N831&gt;=Assumptions!$B$23,AB831&gt;=Assumptions!$B$25),"Possession / Build-from-the-Back",IF(N831&gt;=Assumptions!$B$23,"Counter-Attack / Transition",IF(AND(O831&gt;=Assumptions!$B$23,N831&lt;Assumptions!$B$26),"Low Block / Park the Bus",IF(AND(B831="FW",M831&gt;=Assumptions!$B$23,N831&lt;Assumptions!$B$26),"Direct / Target Approach","Flexible / Multi-System"))))))</f>
        <v>Flexible / Multi-System</v>
      </c>
      <c r="AD831" s="21" t="str">
        <f aca="false">'Player Data'!Y831</f>
        <v>2026-07-17</v>
      </c>
      <c r="AE831" s="21" t="str">
        <f aca="false">'Player Data'!Z831</f>
        <v>2026-07-17</v>
      </c>
      <c r="AF831" s="28" t="str">
        <f aca="false">IFERROR(INDEX(Assumptions!$B$30:$B$61,MATCH(C831,Assumptions!$A$30:$A$61,0)),"--")</f>
        <v>Austria, Turkey</v>
      </c>
      <c r="AG831" s="30" t="str">
        <f aca="false">IF(R831&gt;=0.7,"Step-Up Candidate",IF(R831&gt;=0.4,"Lateral Move","Stay &amp; Develop"))</f>
        <v>Stay &amp; Develop</v>
      </c>
    </row>
    <row r="832" customFormat="false" ht="23.85" hidden="false" customHeight="false" outlineLevel="0" collapsed="false">
      <c r="A832" s="21" t="str">
        <f aca="false">'Player Data'!A832</f>
        <v>Randall Morales</v>
      </c>
      <c r="B832" s="21" t="str">
        <f aca="false">'Player Data'!F832</f>
        <v>MF</v>
      </c>
      <c r="C832" s="21" t="str">
        <f aca="false">'Player Data'!B832</f>
        <v>Costa Rica</v>
      </c>
      <c r="D832" s="21" t="str">
        <f aca="false">'Player Data'!C832</f>
        <v>Costa Rica Second Division - East</v>
      </c>
      <c r="E832" s="21" t="n">
        <f aca="false">'Player Data'!D832</f>
        <v>2</v>
      </c>
      <c r="F832" s="21" t="n">
        <f aca="false">'Player Data'!G832</f>
        <v>22</v>
      </c>
      <c r="G832" s="21" t="n">
        <f aca="false">'Player Data'!H832</f>
        <v>2425</v>
      </c>
      <c r="H832" s="22" t="n">
        <f aca="false">IF(B832="GK",IFERROR(('Player Data'!N832-1.5*'Player Data'!O832)/'Player Data'!H832*90,0),IFERROR(('Player Data'!I832+'Player Data'!J832)/'Player Data'!H832*90,0))</f>
        <v>0.445360824742268</v>
      </c>
      <c r="I832" s="22" t="n">
        <f aca="false">IF(B832="GK",'Player Data'!P832,IFERROR(('Player Data'!K832+'Player Data'!L832)/'Player Data'!H832*90,0))</f>
        <v>7.12577319587629</v>
      </c>
      <c r="J832" s="22" t="n">
        <f aca="false">IF(B832="GK",IFERROR('Player Data'!Q832/'Player Data'!H832*90,0),IFERROR('Player Data'!M832/'Player Data'!H832*90,0))</f>
        <v>1.48453608247423</v>
      </c>
      <c r="K832" s="23" t="n">
        <f aca="false">'Player Data'!S832</f>
        <v>109776</v>
      </c>
      <c r="L832" s="22" t="n">
        <f aca="false">INDEX(Assumptions!$B$13:$B$15,MATCH(E832,Assumptions!$A$13:$A$15,0))</f>
        <v>1</v>
      </c>
      <c r="M832" s="24" t="n">
        <f aca="false">IFERROR(SUMPRODUCT(($B$2:$B$1001=B832)*($H$2:$H$1001&lt;=H832))/SUMPRODUCT(($B$2:$B$1001=B832)*1),0)</f>
        <v>0.151515151515152</v>
      </c>
      <c r="N832" s="24" t="n">
        <f aca="false">IFERROR(SUMPRODUCT(($B$2:$B$1001=B832)*($I$2:$I$1001&lt;=I832))/SUMPRODUCT(($B$2:$B$1001=B832)*1),0)</f>
        <v>0.0774410774410774</v>
      </c>
      <c r="O832" s="24" t="n">
        <f aca="false">IFERROR(SUMPRODUCT(($B$2:$B$1001=B832)*($J$2:$J$1001&lt;=J832))/SUMPRODUCT(($B$2:$B$1001=B832)*1),0)</f>
        <v>0.171717171717172</v>
      </c>
      <c r="P832" s="24" t="n">
        <f aca="false">IFERROR(SUMPRODUCT(($B$2:$B$1001=B832)*((0-$F$2:$F$1001)&lt;=(0-F832)))/SUMPRODUCT(($B$2:$B$1001=B832)*1),0)</f>
        <v>0.515151515151515</v>
      </c>
      <c r="Q832" s="25" t="n">
        <f aca="false">(M832*Assumptions!$B$5+N832*Assumptions!$B$6+O832*Assumptions!$B$7+P832*Assumptions!$B$8)*L832</f>
        <v>0.202356902356902</v>
      </c>
      <c r="R832" s="24" t="n">
        <f aca="false">IFERROR(SUMPRODUCT(($B$2:$B$1001=B832)*($Q$2:$Q$1001&lt;=Q832))/SUMPRODUCT(($B$2:$B$1001=B832)*1),0)</f>
        <v>0.0942760942760943</v>
      </c>
      <c r="S832" s="24" t="n">
        <f aca="false">IFERROR(SUMPRODUCT(($B$2:$B$1001=B832)*($K$2:$K$1001&lt;=K832))/SUMPRODUCT(($B$2:$B$1001=B832)*1),0)</f>
        <v>0.794612794612795</v>
      </c>
      <c r="T832" s="26" t="n">
        <f aca="false">(R832-S832)*100</f>
        <v>-70.03367003367</v>
      </c>
      <c r="U832" s="21" t="str">
        <f aca="false">'Player Data'!T832</f>
        <v>No</v>
      </c>
      <c r="V832" s="27" t="n">
        <f aca="false">'Player Data'!U832</f>
        <v>2029</v>
      </c>
      <c r="W832" s="21" t="str">
        <f aca="false">IF(AND(T832&gt;=Assumptions!$B$19,U832="No"),"High Priority - Unrepresented",IF(T832&gt;=Assumptions!$B$19,"High Priority",IF(AND(T832&gt;=Assumptions!$B$20,U832="No"),"Watchlist - Unrepresented",IF(T832&gt;=Assumptions!$B$20,"Watchlist",""))))</f>
        <v/>
      </c>
      <c r="X832" s="21" t="str">
        <f aca="false">'Player Data'!V832</f>
        <v>info@herediaunited.cr</v>
      </c>
      <c r="Y832" s="28" t="str">
        <f aca="false">'Player Data'!W832</f>
        <v>Club sporting director / first-team office</v>
      </c>
      <c r="Z832" s="28" t="str">
        <f aca="false">'Player Data'!X832</f>
        <v>FEDEFUTBOL (Costa Rican Football Federation) player registry</v>
      </c>
      <c r="AA832" s="19" t="str">
        <f aca="false">HYPERLINK("https://www.transfermarkt.com/schnellsuche/ergebnis/schnellsuche?query="&amp;SUBSTITUTE(A832," ","+"),"Search Transfermarkt")</f>
        <v>Search Transfermarkt</v>
      </c>
      <c r="AB832" s="29" t="n">
        <f aca="false">IFERROR('Player Data'!K832/('Player Data'!K832+'Player Data'!L832),0)</f>
        <v>0.666666666666667</v>
      </c>
      <c r="AC832" s="21" t="str">
        <f aca="false">IF(B832="GK",IF(AND(O832&gt;=Assumptions!$B$23,N832&gt;=Assumptions!$B$23),"Sweeper-Keeper / Build-from-the-Back",IF(O832&gt;=Assumptions!$B$23,"Sweeper-Keeper / High Line",IF(M832&gt;=Assumptions!$B$23,"Shot-Stopper / Traditional","Flexible / Multi-System"))),IF(AND(O832&gt;=Assumptions!$B$23,P832&gt;=Assumptions!$B$24),"High Press / Gegenpressing",IF(AND(N832&gt;=Assumptions!$B$23,AB832&gt;=Assumptions!$B$25),"Possession / Build-from-the-Back",IF(N832&gt;=Assumptions!$B$23,"Counter-Attack / Transition",IF(AND(O832&gt;=Assumptions!$B$23,N832&lt;Assumptions!$B$26),"Low Block / Park the Bus",IF(AND(B832="FW",M832&gt;=Assumptions!$B$23,N832&lt;Assumptions!$B$26),"Direct / Target Approach","Flexible / Multi-System"))))))</f>
        <v>Flexible / Multi-System</v>
      </c>
      <c r="AD832" s="21" t="str">
        <f aca="false">'Player Data'!Y832</f>
        <v>2026-07-17</v>
      </c>
      <c r="AE832" s="21" t="str">
        <f aca="false">'Player Data'!Z832</f>
        <v>2026-07-17</v>
      </c>
      <c r="AF832" s="28" t="str">
        <f aca="false">IFERROR(INDEX(Assumptions!$B$30:$B$61,MATCH(C832,Assumptions!$A$30:$A$61,0)),"--")</f>
        <v>Mexico, United States</v>
      </c>
      <c r="AG832" s="30" t="str">
        <f aca="false">IF(R832&gt;=0.7,"Step-Up Candidate",IF(R832&gt;=0.4,"Lateral Move","Stay &amp; Develop"))</f>
        <v>Stay &amp; Develop</v>
      </c>
    </row>
    <row r="833" customFormat="false" ht="23.85" hidden="false" customHeight="false" outlineLevel="0" collapsed="false">
      <c r="A833" s="21" t="str">
        <f aca="false">'Player Data'!A833</f>
        <v>Otabek Rustamov</v>
      </c>
      <c r="B833" s="21" t="str">
        <f aca="false">'Player Data'!F833</f>
        <v>MF</v>
      </c>
      <c r="C833" s="21" t="str">
        <f aca="false">'Player Data'!B833</f>
        <v>Uzbekistan</v>
      </c>
      <c r="D833" s="21" t="str">
        <f aca="false">'Player Data'!C833</f>
        <v>Uzbekistan Reserve League</v>
      </c>
      <c r="E833" s="21" t="n">
        <f aca="false">'Player Data'!D833</f>
        <v>3</v>
      </c>
      <c r="F833" s="21" t="n">
        <f aca="false">'Player Data'!G833</f>
        <v>22</v>
      </c>
      <c r="G833" s="21" t="n">
        <f aca="false">'Player Data'!H833</f>
        <v>1753</v>
      </c>
      <c r="H833" s="22" t="n">
        <f aca="false">IF(B833="GK",IFERROR(('Player Data'!N833-1.5*'Player Data'!O833)/'Player Data'!H833*90,0),IFERROR(('Player Data'!I833+'Player Data'!J833)/'Player Data'!H833*90,0))</f>
        <v>0.770108385624644</v>
      </c>
      <c r="I833" s="22" t="n">
        <f aca="false">IF(B833="GK",'Player Data'!P833,IFERROR(('Player Data'!K833+'Player Data'!L833)/'Player Data'!H833*90,0))</f>
        <v>10.3194523673702</v>
      </c>
      <c r="J833" s="22" t="n">
        <f aca="false">IF(B833="GK",IFERROR('Player Data'!Q833/'Player Data'!H833*90,0),IFERROR('Player Data'!M833/'Player Data'!H833*90,0))</f>
        <v>2.00228180262407</v>
      </c>
      <c r="K833" s="23" t="n">
        <f aca="false">'Player Data'!S833</f>
        <v>0</v>
      </c>
      <c r="L833" s="22" t="n">
        <f aca="false">INDEX(Assumptions!$B$13:$B$15,MATCH(E833,Assumptions!$A$13:$A$15,0))</f>
        <v>0.85</v>
      </c>
      <c r="M833" s="24" t="n">
        <f aca="false">IFERROR(SUMPRODUCT(($B$2:$B$1001=B833)*($H$2:$H$1001&lt;=H833))/SUMPRODUCT(($B$2:$B$1001=B833)*1),0)</f>
        <v>0.552188552188552</v>
      </c>
      <c r="N833" s="24" t="n">
        <f aca="false">IFERROR(SUMPRODUCT(($B$2:$B$1001=B833)*($I$2:$I$1001&lt;=I833))/SUMPRODUCT(($B$2:$B$1001=B833)*1),0)</f>
        <v>0.451178451178451</v>
      </c>
      <c r="O833" s="24" t="n">
        <f aca="false">IFERROR(SUMPRODUCT(($B$2:$B$1001=B833)*($J$2:$J$1001&lt;=J833))/SUMPRODUCT(($B$2:$B$1001=B833)*1),0)</f>
        <v>0.424242424242424</v>
      </c>
      <c r="P833" s="24" t="n">
        <f aca="false">IFERROR(SUMPRODUCT(($B$2:$B$1001=B833)*((0-$F$2:$F$1001)&lt;=(0-F833)))/SUMPRODUCT(($B$2:$B$1001=B833)*1),0)</f>
        <v>0.515151515151515</v>
      </c>
      <c r="Q833" s="25" t="n">
        <f aca="false">(M833*Assumptions!$B$5+N833*Assumptions!$B$6+O833*Assumptions!$B$7+P833*Assumptions!$B$8)*L833</f>
        <v>0.411262626262626</v>
      </c>
      <c r="R833" s="24" t="n">
        <f aca="false">IFERROR(SUMPRODUCT(($B$2:$B$1001=B833)*($Q$2:$Q$1001&lt;=Q833))/SUMPRODUCT(($B$2:$B$1001=B833)*1),0)</f>
        <v>0.444444444444444</v>
      </c>
      <c r="S833" s="24" t="n">
        <f aca="false">IFERROR(SUMPRODUCT(($B$2:$B$1001=B833)*($K$2:$K$1001&lt;=K833))/SUMPRODUCT(($B$2:$B$1001=B833)*1),0)</f>
        <v>0.228956228956229</v>
      </c>
      <c r="T833" s="26" t="n">
        <f aca="false">(R833-S833)*100</f>
        <v>21.5488215488215</v>
      </c>
      <c r="U833" s="21" t="str">
        <f aca="false">'Player Data'!T833</f>
        <v>Yes</v>
      </c>
      <c r="V833" s="27" t="n">
        <f aca="false">'Player Data'!U833</f>
        <v>2026</v>
      </c>
      <c r="W833" s="21" t="str">
        <f aca="false">IF(AND(T833&gt;=Assumptions!$B$19,U833="No"),"High Priority - Unrepresented",IF(T833&gt;=Assumptions!$B$19,"High Priority",IF(AND(T833&gt;=Assumptions!$B$20,U833="No"),"Watchlist - Unrepresented",IF(T833&gt;=Assumptions!$B$20,"Watchlist",""))))</f>
        <v>Watchlist</v>
      </c>
      <c r="X833" s="21" t="str">
        <f aca="false">'Player Data'!V833</f>
        <v>info@andijanrovers.uz</v>
      </c>
      <c r="Y833" s="28" t="str">
        <f aca="false">'Player Data'!W833</f>
        <v>Go through the player's agent - ask the club to confirm representation first</v>
      </c>
      <c r="Z833" s="28" t="str">
        <f aca="false">'Player Data'!X833</f>
        <v>UFF (Uzbekistan Football Federation) player registry</v>
      </c>
      <c r="AA833" s="19" t="str">
        <f aca="false">HYPERLINK("https://www.transfermarkt.com/schnellsuche/ergebnis/schnellsuche?query="&amp;SUBSTITUTE(A833," ","+"),"Search Transfermarkt")</f>
        <v>Search Transfermarkt</v>
      </c>
      <c r="AB833" s="29" t="n">
        <f aca="false">IFERROR('Player Data'!K833/('Player Data'!K833+'Player Data'!L833),0)</f>
        <v>0.537313432835821</v>
      </c>
      <c r="AC833" s="21" t="str">
        <f aca="false">IF(B833="GK",IF(AND(O833&gt;=Assumptions!$B$23,N833&gt;=Assumptions!$B$23),"Sweeper-Keeper / Build-from-the-Back",IF(O833&gt;=Assumptions!$B$23,"Sweeper-Keeper / High Line",IF(M833&gt;=Assumptions!$B$23,"Shot-Stopper / Traditional","Flexible / Multi-System"))),IF(AND(O833&gt;=Assumptions!$B$23,P833&gt;=Assumptions!$B$24),"High Press / Gegenpressing",IF(AND(N833&gt;=Assumptions!$B$23,AB833&gt;=Assumptions!$B$25),"Possession / Build-from-the-Back",IF(N833&gt;=Assumptions!$B$23,"Counter-Attack / Transition",IF(AND(O833&gt;=Assumptions!$B$23,N833&lt;Assumptions!$B$26),"Low Block / Park the Bus",IF(AND(B833="FW",M833&gt;=Assumptions!$B$23,N833&lt;Assumptions!$B$26),"Direct / Target Approach","Flexible / Multi-System"))))))</f>
        <v>Flexible / Multi-System</v>
      </c>
      <c r="AD833" s="21" t="str">
        <f aca="false">'Player Data'!Y833</f>
        <v>2026-07-17</v>
      </c>
      <c r="AE833" s="21" t="str">
        <f aca="false">'Player Data'!Z833</f>
        <v>2026-07-17</v>
      </c>
      <c r="AF833" s="28" t="str">
        <f aca="false">IFERROR(INDEX(Assumptions!$B$30:$B$61,MATCH(C833,Assumptions!$A$30:$A$61,0)),"--")</f>
        <v>Turkey, Saudi Arabia</v>
      </c>
      <c r="AG833" s="30" t="str">
        <f aca="false">IF(R833&gt;=0.7,"Step-Up Candidate",IF(R833&gt;=0.4,"Lateral Move","Stay &amp; Develop"))</f>
        <v>Lateral Move</v>
      </c>
    </row>
    <row r="834" customFormat="false" ht="23.85" hidden="false" customHeight="false" outlineLevel="0" collapsed="false">
      <c r="A834" s="21" t="str">
        <f aca="false">'Player Data'!A834</f>
        <v>Moussa Gueye</v>
      </c>
      <c r="B834" s="21" t="str">
        <f aca="false">'Player Data'!F834</f>
        <v>MF</v>
      </c>
      <c r="C834" s="21" t="str">
        <f aca="false">'Player Data'!B834</f>
        <v>Senegal</v>
      </c>
      <c r="D834" s="21" t="str">
        <f aca="false">'Player Data'!C834</f>
        <v>Senegal Provincial League</v>
      </c>
      <c r="E834" s="21" t="n">
        <f aca="false">'Player Data'!D834</f>
        <v>2</v>
      </c>
      <c r="F834" s="21" t="n">
        <f aca="false">'Player Data'!G834</f>
        <v>25</v>
      </c>
      <c r="G834" s="21" t="n">
        <f aca="false">'Player Data'!H834</f>
        <v>1330</v>
      </c>
      <c r="H834" s="22" t="n">
        <f aca="false">IF(B834="GK",IFERROR(('Player Data'!N834-1.5*'Player Data'!O834)/'Player Data'!H834*90,0),IFERROR(('Player Data'!I834+'Player Data'!J834)/'Player Data'!H834*90,0))</f>
        <v>0.947368421052632</v>
      </c>
      <c r="I834" s="22" t="n">
        <f aca="false">IF(B834="GK",'Player Data'!P834,IFERROR(('Player Data'!K834+'Player Data'!L834)/'Player Data'!H834*90,0))</f>
        <v>14.7518796992481</v>
      </c>
      <c r="J834" s="22" t="n">
        <f aca="false">IF(B834="GK",IFERROR('Player Data'!Q834/'Player Data'!H834*90,0),IFERROR('Player Data'!M834/'Player Data'!H834*90,0))</f>
        <v>3.31578947368421</v>
      </c>
      <c r="K834" s="23" t="n">
        <f aca="false">'Player Data'!S834</f>
        <v>82195</v>
      </c>
      <c r="L834" s="22" t="n">
        <f aca="false">INDEX(Assumptions!$B$13:$B$15,MATCH(E834,Assumptions!$A$13:$A$15,0))</f>
        <v>1</v>
      </c>
      <c r="M834" s="24" t="n">
        <f aca="false">IFERROR(SUMPRODUCT(($B$2:$B$1001=B834)*($H$2:$H$1001&lt;=H834))/SUMPRODUCT(($B$2:$B$1001=B834)*1),0)</f>
        <v>0.740740740740741</v>
      </c>
      <c r="N834" s="24" t="n">
        <f aca="false">IFERROR(SUMPRODUCT(($B$2:$B$1001=B834)*($I$2:$I$1001&lt;=I834))/SUMPRODUCT(($B$2:$B$1001=B834)*1),0)</f>
        <v>0.734006734006734</v>
      </c>
      <c r="O834" s="24" t="n">
        <f aca="false">IFERROR(SUMPRODUCT(($B$2:$B$1001=B834)*($J$2:$J$1001&lt;=J834))/SUMPRODUCT(($B$2:$B$1001=B834)*1),0)</f>
        <v>0.814814814814815</v>
      </c>
      <c r="P834" s="24" t="n">
        <f aca="false">IFERROR(SUMPRODUCT(($B$2:$B$1001=B834)*((0-$F$2:$F$1001)&lt;=(0-F834)))/SUMPRODUCT(($B$2:$B$1001=B834)*1),0)</f>
        <v>0.202020202020202</v>
      </c>
      <c r="Q834" s="25" t="n">
        <f aca="false">(M834*Assumptions!$B$5+N834*Assumptions!$B$6+O834*Assumptions!$B$7+P834*Assumptions!$B$8)*L834</f>
        <v>0.645454545454546</v>
      </c>
      <c r="R834" s="24" t="n">
        <f aca="false">IFERROR(SUMPRODUCT(($B$2:$B$1001=B834)*($Q$2:$Q$1001&lt;=Q834))/SUMPRODUCT(($B$2:$B$1001=B834)*1),0)</f>
        <v>0.838383838383838</v>
      </c>
      <c r="S834" s="24" t="n">
        <f aca="false">IFERROR(SUMPRODUCT(($B$2:$B$1001=B834)*($K$2:$K$1001&lt;=K834))/SUMPRODUCT(($B$2:$B$1001=B834)*1),0)</f>
        <v>0.653198653198653</v>
      </c>
      <c r="T834" s="26" t="n">
        <f aca="false">(R834-S834)*100</f>
        <v>18.5185185185185</v>
      </c>
      <c r="U834" s="21" t="str">
        <f aca="false">'Player Data'!T834</f>
        <v>Unknown</v>
      </c>
      <c r="V834" s="27" t="n">
        <f aca="false">'Player Data'!U834</f>
        <v>2026</v>
      </c>
      <c r="W834" s="21" t="str">
        <f aca="false">IF(AND(T834&gt;=Assumptions!$B$19,U834="No"),"High Priority - Unrepresented",IF(T834&gt;=Assumptions!$B$19,"High Priority",IF(AND(T834&gt;=Assumptions!$B$20,U834="No"),"Watchlist - Unrepresented",IF(T834&gt;=Assumptions!$B$20,"Watchlist",""))))</f>
        <v/>
      </c>
      <c r="X834" s="21" t="str">
        <f aca="false">'Player Data'!V834</f>
        <v>info@ziguinchorsc.sn</v>
      </c>
      <c r="Y834" s="28" t="str">
        <f aca="false">'Player Data'!W834</f>
        <v>Club sporting director / first-team office</v>
      </c>
      <c r="Z834" s="28" t="str">
        <f aca="false">'Player Data'!X834</f>
        <v>FSF (Senegalese Football Federation) player registry</v>
      </c>
      <c r="AA834" s="19" t="str">
        <f aca="false">HYPERLINK("https://www.transfermarkt.com/schnellsuche/ergebnis/schnellsuche?query="&amp;SUBSTITUTE(A834," ","+"),"Search Transfermarkt")</f>
        <v>Search Transfermarkt</v>
      </c>
      <c r="AB834" s="29" t="n">
        <f aca="false">IFERROR('Player Data'!K834/('Player Data'!K834+'Player Data'!L834),0)</f>
        <v>0.669724770642202</v>
      </c>
      <c r="AC834" s="21" t="str">
        <f aca="false">IF(B834="GK",IF(AND(O834&gt;=Assumptions!$B$23,N834&gt;=Assumptions!$B$23),"Sweeper-Keeper / Build-from-the-Back",IF(O834&gt;=Assumptions!$B$23,"Sweeper-Keeper / High Line",IF(M834&gt;=Assumptions!$B$23,"Shot-Stopper / Traditional","Flexible / Multi-System"))),IF(AND(O834&gt;=Assumptions!$B$23,P834&gt;=Assumptions!$B$24),"High Press / Gegenpressing",IF(AND(N834&gt;=Assumptions!$B$23,AB834&gt;=Assumptions!$B$25),"Possession / Build-from-the-Back",IF(N834&gt;=Assumptions!$B$23,"Counter-Attack / Transition",IF(AND(O834&gt;=Assumptions!$B$23,N834&lt;Assumptions!$B$26),"Low Block / Park the Bus",IF(AND(B834="FW",M834&gt;=Assumptions!$B$23,N834&lt;Assumptions!$B$26),"Direct / Target Approach","Flexible / Multi-System"))))))</f>
        <v>Possession / Build-from-the-Back</v>
      </c>
      <c r="AD834" s="21" t="str">
        <f aca="false">'Player Data'!Y834</f>
        <v>2026-07-17</v>
      </c>
      <c r="AE834" s="21" t="str">
        <f aca="false">'Player Data'!Z834</f>
        <v>2026-07-17</v>
      </c>
      <c r="AF834" s="28" t="str">
        <f aca="false">IFERROR(INDEX(Assumptions!$B$30:$B$61,MATCH(C834,Assumptions!$A$30:$A$61,0)),"--")</f>
        <v>Belgium, Portugal</v>
      </c>
      <c r="AG834" s="30" t="str">
        <f aca="false">IF(R834&gt;=0.7,"Step-Up Candidate",IF(R834&gt;=0.4,"Lateral Move","Stay &amp; Develop"))</f>
        <v>Step-Up Candidate</v>
      </c>
    </row>
    <row r="835" customFormat="false" ht="23.85" hidden="false" customHeight="false" outlineLevel="0" collapsed="false">
      <c r="A835" s="21" t="str">
        <f aca="false">'Player Data'!A835</f>
        <v>Igor Ilic</v>
      </c>
      <c r="B835" s="21" t="str">
        <f aca="false">'Player Data'!F835</f>
        <v>MF</v>
      </c>
      <c r="C835" s="21" t="str">
        <f aca="false">'Player Data'!B835</f>
        <v>Montenegro</v>
      </c>
      <c r="D835" s="21" t="str">
        <f aca="false">'Player Data'!C835</f>
        <v>Montenegro Second Division - East</v>
      </c>
      <c r="E835" s="21" t="n">
        <f aca="false">'Player Data'!D835</f>
        <v>2</v>
      </c>
      <c r="F835" s="21" t="n">
        <f aca="false">'Player Data'!G835</f>
        <v>24</v>
      </c>
      <c r="G835" s="21" t="n">
        <f aca="false">'Player Data'!H835</f>
        <v>1731</v>
      </c>
      <c r="H835" s="22" t="n">
        <f aca="false">IF(B835="GK",IFERROR(('Player Data'!N835-1.5*'Player Data'!O835)/'Player Data'!H835*90,0),IFERROR(('Player Data'!I835+'Player Data'!J835)/'Player Data'!H835*90,0))</f>
        <v>0.467937608318891</v>
      </c>
      <c r="I835" s="22" t="n">
        <f aca="false">IF(B835="GK",'Player Data'!P835,IFERROR(('Player Data'!K835+'Player Data'!L835)/'Player Data'!H835*90,0))</f>
        <v>10.7105719237435</v>
      </c>
      <c r="J835" s="22" t="n">
        <f aca="false">IF(B835="GK",IFERROR('Player Data'!Q835/'Player Data'!H835*90,0),IFERROR('Player Data'!M835/'Player Data'!H835*90,0))</f>
        <v>2.59965337954939</v>
      </c>
      <c r="K835" s="23" t="n">
        <f aca="false">'Player Data'!S835</f>
        <v>54341</v>
      </c>
      <c r="L835" s="22" t="n">
        <f aca="false">INDEX(Assumptions!$B$13:$B$15,MATCH(E835,Assumptions!$A$13:$A$15,0))</f>
        <v>1</v>
      </c>
      <c r="M835" s="24" t="n">
        <f aca="false">IFERROR(SUMPRODUCT(($B$2:$B$1001=B835)*($H$2:$H$1001&lt;=H835))/SUMPRODUCT(($B$2:$B$1001=B835)*1),0)</f>
        <v>0.178451178451178</v>
      </c>
      <c r="N835" s="24" t="n">
        <f aca="false">IFERROR(SUMPRODUCT(($B$2:$B$1001=B835)*($I$2:$I$1001&lt;=I835))/SUMPRODUCT(($B$2:$B$1001=B835)*1),0)</f>
        <v>0.484848484848485</v>
      </c>
      <c r="O835" s="24" t="n">
        <f aca="false">IFERROR(SUMPRODUCT(($B$2:$B$1001=B835)*($J$2:$J$1001&lt;=J835))/SUMPRODUCT(($B$2:$B$1001=B835)*1),0)</f>
        <v>0.67003367003367</v>
      </c>
      <c r="P835" s="24" t="n">
        <f aca="false">IFERROR(SUMPRODUCT(($B$2:$B$1001=B835)*((0-$F$2:$F$1001)&lt;=(0-F835)))/SUMPRODUCT(($B$2:$B$1001=B835)*1),0)</f>
        <v>0.326599326599327</v>
      </c>
      <c r="Q835" s="25" t="n">
        <f aca="false">(M835*Assumptions!$B$5+N835*Assumptions!$B$6+O835*Assumptions!$B$7+P835*Assumptions!$B$8)*L835</f>
        <v>0.413636363636364</v>
      </c>
      <c r="R835" s="24" t="n">
        <f aca="false">IFERROR(SUMPRODUCT(($B$2:$B$1001=B835)*($Q$2:$Q$1001&lt;=Q835))/SUMPRODUCT(($B$2:$B$1001=B835)*1),0)</f>
        <v>0.447811447811448</v>
      </c>
      <c r="S835" s="24" t="n">
        <f aca="false">IFERROR(SUMPRODUCT(($B$2:$B$1001=B835)*($K$2:$K$1001&lt;=K835))/SUMPRODUCT(($B$2:$B$1001=B835)*1),0)</f>
        <v>0.481481481481481</v>
      </c>
      <c r="T835" s="26" t="n">
        <f aca="false">(R835-S835)*100</f>
        <v>-3.36700336700336</v>
      </c>
      <c r="U835" s="21" t="str">
        <f aca="false">'Player Data'!T835</f>
        <v>No</v>
      </c>
      <c r="V835" s="27" t="n">
        <f aca="false">'Player Data'!U835</f>
        <v>2027</v>
      </c>
      <c r="W835" s="21" t="str">
        <f aca="false">IF(AND(T835&gt;=Assumptions!$B$19,U835="No"),"High Priority - Unrepresented",IF(T835&gt;=Assumptions!$B$19,"High Priority",IF(AND(T835&gt;=Assumptions!$B$20,U835="No"),"Watchlist - Unrepresented",IF(T835&gt;=Assumptions!$B$20,"Watchlist",""))))</f>
        <v/>
      </c>
      <c r="X835" s="21" t="str">
        <f aca="false">'Player Data'!V835</f>
        <v>info@bartown.me</v>
      </c>
      <c r="Y835" s="28" t="str">
        <f aca="false">'Player Data'!W835</f>
        <v>Club sporting director / first-team office</v>
      </c>
      <c r="Z835" s="28" t="str">
        <f aca="false">'Player Data'!X835</f>
        <v>FSCG (Football Association of Montenegro) player registry</v>
      </c>
      <c r="AA835" s="19" t="str">
        <f aca="false">HYPERLINK("https://www.transfermarkt.com/schnellsuche/ergebnis/schnellsuche?query="&amp;SUBSTITUTE(A835," ","+"),"Search Transfermarkt")</f>
        <v>Search Transfermarkt</v>
      </c>
      <c r="AB835" s="29" t="n">
        <f aca="false">IFERROR('Player Data'!K835/('Player Data'!K835+'Player Data'!L835),0)</f>
        <v>0.601941747572816</v>
      </c>
      <c r="AC835" s="21" t="str">
        <f aca="false">IF(B835="GK",IF(AND(O835&gt;=Assumptions!$B$23,N835&gt;=Assumptions!$B$23),"Sweeper-Keeper / Build-from-the-Back",IF(O835&gt;=Assumptions!$B$23,"Sweeper-Keeper / High Line",IF(M835&gt;=Assumptions!$B$23,"Shot-Stopper / Traditional","Flexible / Multi-System"))),IF(AND(O835&gt;=Assumptions!$B$23,P835&gt;=Assumptions!$B$24),"High Press / Gegenpressing",IF(AND(N835&gt;=Assumptions!$B$23,AB835&gt;=Assumptions!$B$25),"Possession / Build-from-the-Back",IF(N835&gt;=Assumptions!$B$23,"Counter-Attack / Transition",IF(AND(O835&gt;=Assumptions!$B$23,N835&lt;Assumptions!$B$26),"Low Block / Park the Bus",IF(AND(B835="FW",M835&gt;=Assumptions!$B$23,N835&lt;Assumptions!$B$26),"Direct / Target Approach","Flexible / Multi-System"))))))</f>
        <v>Flexible / Multi-System</v>
      </c>
      <c r="AD835" s="21" t="str">
        <f aca="false">'Player Data'!Y835</f>
        <v>2026-07-17</v>
      </c>
      <c r="AE835" s="21" t="str">
        <f aca="false">'Player Data'!Z835</f>
        <v>2026-07-17</v>
      </c>
      <c r="AF835" s="28" t="str">
        <f aca="false">IFERROR(INDEX(Assumptions!$B$30:$B$61,MATCH(C835,Assumptions!$A$30:$A$61,0)),"--")</f>
        <v>Austria, Turkey</v>
      </c>
      <c r="AG835" s="30" t="str">
        <f aca="false">IF(R835&gt;=0.7,"Step-Up Candidate",IF(R835&gt;=0.4,"Lateral Move","Stay &amp; Develop"))</f>
        <v>Lateral Move</v>
      </c>
    </row>
    <row r="836" customFormat="false" ht="23.85" hidden="false" customHeight="false" outlineLevel="0" collapsed="false">
      <c r="A836" s="21" t="str">
        <f aca="false">'Player Data'!A836</f>
        <v>Kwame Appiah</v>
      </c>
      <c r="B836" s="21" t="str">
        <f aca="false">'Player Data'!F836</f>
        <v>DF</v>
      </c>
      <c r="C836" s="21" t="str">
        <f aca="false">'Player Data'!B836</f>
        <v>Ghana</v>
      </c>
      <c r="D836" s="21" t="str">
        <f aca="false">'Player Data'!C836</f>
        <v>Ghana Reserve League</v>
      </c>
      <c r="E836" s="21" t="n">
        <f aca="false">'Player Data'!D836</f>
        <v>4</v>
      </c>
      <c r="F836" s="21" t="n">
        <f aca="false">'Player Data'!G836</f>
        <v>17</v>
      </c>
      <c r="G836" s="21" t="n">
        <f aca="false">'Player Data'!H836</f>
        <v>1208</v>
      </c>
      <c r="H836" s="22" t="n">
        <f aca="false">IF(B836="GK",IFERROR(('Player Data'!N836-1.5*'Player Data'!O836)/'Player Data'!H836*90,0),IFERROR(('Player Data'!I836+'Player Data'!J836)/'Player Data'!H836*90,0))</f>
        <v>0.372516556291391</v>
      </c>
      <c r="I836" s="22" t="n">
        <f aca="false">IF(B836="GK",'Player Data'!P836,IFERROR(('Player Data'!K836+'Player Data'!L836)/'Player Data'!H836*90,0))</f>
        <v>8.71688741721854</v>
      </c>
      <c r="J836" s="22" t="n">
        <f aca="false">IF(B836="GK",IFERROR('Player Data'!Q836/'Player Data'!H836*90,0),IFERROR('Player Data'!M836/'Player Data'!H836*90,0))</f>
        <v>6.77980132450331</v>
      </c>
      <c r="K836" s="23" t="n">
        <f aca="false">'Player Data'!S836</f>
        <v>0</v>
      </c>
      <c r="L836" s="22" t="n">
        <f aca="false">INDEX(Assumptions!$B$13:$B$15,MATCH(E836,Assumptions!$A$13:$A$15,0))</f>
        <v>0.7</v>
      </c>
      <c r="M836" s="24" t="n">
        <f aca="false">IFERROR(SUMPRODUCT(($B$2:$B$1001=B836)*($H$2:$H$1001&lt;=H836))/SUMPRODUCT(($B$2:$B$1001=B836)*1),0)</f>
        <v>0.877551020408163</v>
      </c>
      <c r="N836" s="24" t="n">
        <f aca="false">IFERROR(SUMPRODUCT(($B$2:$B$1001=B836)*($I$2:$I$1001&lt;=I836))/SUMPRODUCT(($B$2:$B$1001=B836)*1),0)</f>
        <v>0.918367346938776</v>
      </c>
      <c r="O836" s="24" t="n">
        <f aca="false">IFERROR(SUMPRODUCT(($B$2:$B$1001=B836)*($J$2:$J$1001&lt;=J836))/SUMPRODUCT(($B$2:$B$1001=B836)*1),0)</f>
        <v>0.714285714285714</v>
      </c>
      <c r="P836" s="24" t="n">
        <f aca="false">IFERROR(SUMPRODUCT(($B$2:$B$1001=B836)*((0-$F$2:$F$1001)&lt;=(0-F836)))/SUMPRODUCT(($B$2:$B$1001=B836)*1),0)</f>
        <v>1</v>
      </c>
      <c r="Q836" s="25" t="n">
        <f aca="false">(M836*Assumptions!$B$5+N836*Assumptions!$B$6+O836*Assumptions!$B$7+P836*Assumptions!$B$8)*L836</f>
        <v>0.618571428571428</v>
      </c>
      <c r="R836" s="24" t="n">
        <f aca="false">IFERROR(SUMPRODUCT(($B$2:$B$1001=B836)*($Q$2:$Q$1001&lt;=Q836))/SUMPRODUCT(($B$2:$B$1001=B836)*1),0)</f>
        <v>0.799319727891157</v>
      </c>
      <c r="S836" s="24" t="n">
        <f aca="false">IFERROR(SUMPRODUCT(($B$2:$B$1001=B836)*($K$2:$K$1001&lt;=K836))/SUMPRODUCT(($B$2:$B$1001=B836)*1),0)</f>
        <v>0.248299319727891</v>
      </c>
      <c r="T836" s="26" t="n">
        <f aca="false">(R836-S836)*100</f>
        <v>55.1020408163265</v>
      </c>
      <c r="U836" s="21" t="str">
        <f aca="false">'Player Data'!T836</f>
        <v>No</v>
      </c>
      <c r="V836" s="27" t="n">
        <f aca="false">'Player Data'!U836</f>
        <v>2029</v>
      </c>
      <c r="W836" s="21" t="str">
        <f aca="false">IF(AND(T836&gt;=Assumptions!$B$19,U836="No"),"High Priority - Unrepresented",IF(T836&gt;=Assumptions!$B$19,"High Priority",IF(AND(T836&gt;=Assumptions!$B$20,U836="No"),"Watchlist - Unrepresented",IF(T836&gt;=Assumptions!$B$20,"Watchlist",""))))</f>
        <v>High Priority - Unrepresented</v>
      </c>
      <c r="X836" s="21" t="str">
        <f aca="false">'Player Data'!V836</f>
        <v>info@kumasiunited.gh</v>
      </c>
      <c r="Y836" s="28" t="str">
        <f aca="false">'Player Data'!W836</f>
        <v>Club youth/academy office ONLY - player is a minor, do not contact directly</v>
      </c>
      <c r="Z836" s="28" t="str">
        <f aca="false">'Player Data'!X836</f>
        <v>GFA (Ghana Football Association) player registry</v>
      </c>
      <c r="AA836" s="19" t="str">
        <f aca="false">HYPERLINK("https://www.transfermarkt.com/schnellsuche/ergebnis/schnellsuche?query="&amp;SUBSTITUTE(A836," ","+"),"Search Transfermarkt")</f>
        <v>Search Transfermarkt</v>
      </c>
      <c r="AB836" s="29" t="n">
        <f aca="false">IFERROR('Player Data'!K836/('Player Data'!K836+'Player Data'!L836),0)</f>
        <v>0.58974358974359</v>
      </c>
      <c r="AC836" s="21" t="str">
        <f aca="false">IF(B836="GK",IF(AND(O836&gt;=Assumptions!$B$23,N836&gt;=Assumptions!$B$23),"Sweeper-Keeper / Build-from-the-Back",IF(O836&gt;=Assumptions!$B$23,"Sweeper-Keeper / High Line",IF(M836&gt;=Assumptions!$B$23,"Shot-Stopper / Traditional","Flexible / Multi-System"))),IF(AND(O836&gt;=Assumptions!$B$23,P836&gt;=Assumptions!$B$24),"High Press / Gegenpressing",IF(AND(N836&gt;=Assumptions!$B$23,AB836&gt;=Assumptions!$B$25),"Possession / Build-from-the-Back",IF(N836&gt;=Assumptions!$B$23,"Counter-Attack / Transition",IF(AND(O836&gt;=Assumptions!$B$23,N836&lt;Assumptions!$B$26),"Low Block / Park the Bus",IF(AND(B836="FW",M836&gt;=Assumptions!$B$23,N836&lt;Assumptions!$B$26),"Direct / Target Approach","Flexible / Multi-System"))))))</f>
        <v>High Press / Gegenpressing</v>
      </c>
      <c r="AD836" s="21" t="str">
        <f aca="false">'Player Data'!Y836</f>
        <v>2026-07-17</v>
      </c>
      <c r="AE836" s="21" t="str">
        <f aca="false">'Player Data'!Z836</f>
        <v>2026-07-17</v>
      </c>
      <c r="AF836" s="28" t="str">
        <f aca="false">IFERROR(INDEX(Assumptions!$B$30:$B$61,MATCH(C836,Assumptions!$A$30:$A$61,0)),"--")</f>
        <v>Belgium, Portugal</v>
      </c>
      <c r="AG836" s="30" t="str">
        <f aca="false">IF(R836&gt;=0.7,"Step-Up Candidate",IF(R836&gt;=0.4,"Lateral Move","Stay &amp; Develop"))</f>
        <v>Step-Up Candidate</v>
      </c>
    </row>
    <row r="837" customFormat="false" ht="23.85" hidden="false" customHeight="false" outlineLevel="0" collapsed="false">
      <c r="A837" s="21" t="str">
        <f aca="false">'Player Data'!A837</f>
        <v>Min-jun Lee</v>
      </c>
      <c r="B837" s="21" t="str">
        <f aca="false">'Player Data'!F837</f>
        <v>FW</v>
      </c>
      <c r="C837" s="21" t="str">
        <f aca="false">'Player Data'!B837</f>
        <v>South Korea</v>
      </c>
      <c r="D837" s="21" t="str">
        <f aca="false">'Player Data'!C837</f>
        <v>South Korea Third Tier - North</v>
      </c>
      <c r="E837" s="21" t="n">
        <f aca="false">'Player Data'!D837</f>
        <v>4</v>
      </c>
      <c r="F837" s="21" t="n">
        <f aca="false">'Player Data'!G837</f>
        <v>22</v>
      </c>
      <c r="G837" s="21" t="n">
        <f aca="false">'Player Data'!H837</f>
        <v>1785</v>
      </c>
      <c r="H837" s="22" t="n">
        <f aca="false">IF(B837="GK",IFERROR(('Player Data'!N837-1.5*'Player Data'!O837)/'Player Data'!H837*90,0),IFERROR(('Player Data'!I837+'Player Data'!J837)/'Player Data'!H837*90,0))</f>
        <v>1.05882352941176</v>
      </c>
      <c r="I837" s="22" t="n">
        <f aca="false">IF(B837="GK",'Player Data'!P837,IFERROR(('Player Data'!K837+'Player Data'!L837)/'Player Data'!H837*90,0))</f>
        <v>6.90756302521008</v>
      </c>
      <c r="J837" s="22" t="n">
        <f aca="false">IF(B837="GK",IFERROR('Player Data'!Q837/'Player Data'!H837*90,0),IFERROR('Player Data'!M837/'Player Data'!H837*90,0))</f>
        <v>0.252100840336134</v>
      </c>
      <c r="K837" s="23" t="n">
        <f aca="false">'Player Data'!S837</f>
        <v>127422</v>
      </c>
      <c r="L837" s="22" t="n">
        <f aca="false">INDEX(Assumptions!$B$13:$B$15,MATCH(E837,Assumptions!$A$13:$A$15,0))</f>
        <v>0.7</v>
      </c>
      <c r="M837" s="24" t="n">
        <f aca="false">IFERROR(SUMPRODUCT(($B$2:$B$1001=B837)*($H$2:$H$1001&lt;=H837))/SUMPRODUCT(($B$2:$B$1001=B837)*1),0)</f>
        <v>0.579646017699115</v>
      </c>
      <c r="N837" s="24" t="n">
        <f aca="false">IFERROR(SUMPRODUCT(($B$2:$B$1001=B837)*($I$2:$I$1001&lt;=I837))/SUMPRODUCT(($B$2:$B$1001=B837)*1),0)</f>
        <v>0.566371681415929</v>
      </c>
      <c r="O837" s="24" t="n">
        <f aca="false">IFERROR(SUMPRODUCT(($B$2:$B$1001=B837)*($J$2:$J$1001&lt;=J837))/SUMPRODUCT(($B$2:$B$1001=B837)*1),0)</f>
        <v>0.106194690265487</v>
      </c>
      <c r="P837" s="24" t="n">
        <f aca="false">IFERROR(SUMPRODUCT(($B$2:$B$1001=B837)*((0-$F$2:$F$1001)&lt;=(0-F837)))/SUMPRODUCT(($B$2:$B$1001=B837)*1),0)</f>
        <v>0.504424778761062</v>
      </c>
      <c r="Q837" s="25" t="n">
        <f aca="false">(M837*Assumptions!$B$5+N837*Assumptions!$B$6+O837*Assumptions!$B$7+P837*Assumptions!$B$8)*L837</f>
        <v>0.325685840707965</v>
      </c>
      <c r="R837" s="24" t="n">
        <f aca="false">IFERROR(SUMPRODUCT(($B$2:$B$1001=B837)*($Q$2:$Q$1001&lt;=Q837))/SUMPRODUCT(($B$2:$B$1001=B837)*1),0)</f>
        <v>0.323008849557522</v>
      </c>
      <c r="S837" s="24" t="n">
        <f aca="false">IFERROR(SUMPRODUCT(($B$2:$B$1001=B837)*($K$2:$K$1001&lt;=K837))/SUMPRODUCT(($B$2:$B$1001=B837)*1),0)</f>
        <v>0.884955752212389</v>
      </c>
      <c r="T837" s="26" t="n">
        <f aca="false">(R837-S837)*100</f>
        <v>-56.1946902654867</v>
      </c>
      <c r="U837" s="21" t="str">
        <f aca="false">'Player Data'!T837</f>
        <v>Yes</v>
      </c>
      <c r="V837" s="27" t="n">
        <f aca="false">'Player Data'!U837</f>
        <v>2027</v>
      </c>
      <c r="W837" s="21" t="str">
        <f aca="false">IF(AND(T837&gt;=Assumptions!$B$19,U837="No"),"High Priority - Unrepresented",IF(T837&gt;=Assumptions!$B$19,"High Priority",IF(AND(T837&gt;=Assumptions!$B$20,U837="No"),"Watchlist - Unrepresented",IF(T837&gt;=Assumptions!$B$20,"Watchlist",""))))</f>
        <v/>
      </c>
      <c r="X837" s="21" t="str">
        <f aca="false">'Player Data'!V837</f>
        <v>info@incheontown.kr</v>
      </c>
      <c r="Y837" s="28" t="str">
        <f aca="false">'Player Data'!W837</f>
        <v>Go through the player's agent - ask the club to confirm representation first</v>
      </c>
      <c r="Z837" s="28" t="str">
        <f aca="false">'Player Data'!X837</f>
        <v>KFA (Korea Football Association) player registry</v>
      </c>
      <c r="AA837" s="19" t="str">
        <f aca="false">HYPERLINK("https://www.transfermarkt.com/schnellsuche/ergebnis/schnellsuche?query="&amp;SUBSTITUTE(A837," ","+"),"Search Transfermarkt")</f>
        <v>Search Transfermarkt</v>
      </c>
      <c r="AB837" s="29" t="n">
        <f aca="false">IFERROR('Player Data'!K837/('Player Data'!K837+'Player Data'!L837),0)</f>
        <v>0.423357664233577</v>
      </c>
      <c r="AC837" s="21" t="str">
        <f aca="false">IF(B837="GK",IF(AND(O837&gt;=Assumptions!$B$23,N837&gt;=Assumptions!$B$23),"Sweeper-Keeper / Build-from-the-Back",IF(O837&gt;=Assumptions!$B$23,"Sweeper-Keeper / High Line",IF(M837&gt;=Assumptions!$B$23,"Shot-Stopper / Traditional","Flexible / Multi-System"))),IF(AND(O837&gt;=Assumptions!$B$23,P837&gt;=Assumptions!$B$24),"High Press / Gegenpressing",IF(AND(N837&gt;=Assumptions!$B$23,AB837&gt;=Assumptions!$B$25),"Possession / Build-from-the-Back",IF(N837&gt;=Assumptions!$B$23,"Counter-Attack / Transition",IF(AND(O837&gt;=Assumptions!$B$23,N837&lt;Assumptions!$B$26),"Low Block / Park the Bus",IF(AND(B837="FW",M837&gt;=Assumptions!$B$23,N837&lt;Assumptions!$B$26),"Direct / Target Approach","Flexible / Multi-System"))))))</f>
        <v>Flexible / Multi-System</v>
      </c>
      <c r="AD837" s="21" t="str">
        <f aca="false">'Player Data'!Y837</f>
        <v>2026-07-17</v>
      </c>
      <c r="AE837" s="21" t="str">
        <f aca="false">'Player Data'!Z837</f>
        <v>2026-07-17</v>
      </c>
      <c r="AF837" s="28" t="str">
        <f aca="false">IFERROR(INDEX(Assumptions!$B$30:$B$61,MATCH(C837,Assumptions!$A$30:$A$61,0)),"--")</f>
        <v>Belgium, Saudi Arabia</v>
      </c>
      <c r="AG837" s="30" t="str">
        <f aca="false">IF(R837&gt;=0.7,"Step-Up Candidate",IF(R837&gt;=0.4,"Lateral Move","Stay &amp; Develop"))</f>
        <v>Stay &amp; Develop</v>
      </c>
    </row>
    <row r="838" customFormat="false" ht="23.85" hidden="false" customHeight="false" outlineLevel="0" collapsed="false">
      <c r="A838" s="21" t="str">
        <f aca="false">'Player Data'!A838</f>
        <v>Wilfried Traore</v>
      </c>
      <c r="B838" s="21" t="str">
        <f aca="false">'Player Data'!F838</f>
        <v>DF</v>
      </c>
      <c r="C838" s="21" t="str">
        <f aca="false">'Player Data'!B838</f>
        <v>Ivory Coast</v>
      </c>
      <c r="D838" s="21" t="str">
        <f aca="false">'Player Data'!C838</f>
        <v>Ivory Coast Provincial League</v>
      </c>
      <c r="E838" s="21" t="n">
        <f aca="false">'Player Data'!D838</f>
        <v>3</v>
      </c>
      <c r="F838" s="21" t="n">
        <f aca="false">'Player Data'!G838</f>
        <v>23</v>
      </c>
      <c r="G838" s="21" t="n">
        <f aca="false">'Player Data'!H838</f>
        <v>1574</v>
      </c>
      <c r="H838" s="22" t="n">
        <f aca="false">IF(B838="GK",IFERROR(('Player Data'!N838-1.5*'Player Data'!O838)/'Player Data'!H838*90,0),IFERROR(('Player Data'!I838+'Player Data'!J838)/'Player Data'!H838*90,0))</f>
        <v>0.2287166454892</v>
      </c>
      <c r="I838" s="22" t="n">
        <f aca="false">IF(B838="GK",'Player Data'!P838,IFERROR(('Player Data'!K838+'Player Data'!L838)/'Player Data'!H838*90,0))</f>
        <v>5.43202033036849</v>
      </c>
      <c r="J838" s="22" t="n">
        <f aca="false">IF(B838="GK",IFERROR('Player Data'!Q838/'Player Data'!H838*90,0),IFERROR('Player Data'!M838/'Player Data'!H838*90,0))</f>
        <v>6.86149936467599</v>
      </c>
      <c r="K838" s="23" t="n">
        <f aca="false">'Player Data'!S838</f>
        <v>108480</v>
      </c>
      <c r="L838" s="22" t="n">
        <f aca="false">INDEX(Assumptions!$B$13:$B$15,MATCH(E838,Assumptions!$A$13:$A$15,0))</f>
        <v>0.85</v>
      </c>
      <c r="M838" s="24" t="n">
        <f aca="false">IFERROR(SUMPRODUCT(($B$2:$B$1001=B838)*($H$2:$H$1001&lt;=H838))/SUMPRODUCT(($B$2:$B$1001=B838)*1),0)</f>
        <v>0.595238095238095</v>
      </c>
      <c r="N838" s="24" t="n">
        <f aca="false">IFERROR(SUMPRODUCT(($B$2:$B$1001=B838)*($I$2:$I$1001&lt;=I838))/SUMPRODUCT(($B$2:$B$1001=B838)*1),0)</f>
        <v>0.666666666666667</v>
      </c>
      <c r="O838" s="24" t="n">
        <f aca="false">IFERROR(SUMPRODUCT(($B$2:$B$1001=B838)*($J$2:$J$1001&lt;=J838))/SUMPRODUCT(($B$2:$B$1001=B838)*1),0)</f>
        <v>0.727891156462585</v>
      </c>
      <c r="P838" s="24" t="n">
        <f aca="false">IFERROR(SUMPRODUCT(($B$2:$B$1001=B838)*((0-$F$2:$F$1001)&lt;=(0-F838)))/SUMPRODUCT(($B$2:$B$1001=B838)*1),0)</f>
        <v>0.374149659863946</v>
      </c>
      <c r="Q838" s="25" t="n">
        <f aca="false">(M838*Assumptions!$B$5+N838*Assumptions!$B$6+O838*Assumptions!$B$7+P838*Assumptions!$B$8)*L838</f>
        <v>0.512168367346939</v>
      </c>
      <c r="R838" s="24" t="n">
        <f aca="false">IFERROR(SUMPRODUCT(($B$2:$B$1001=B838)*($Q$2:$Q$1001&lt;=Q838))/SUMPRODUCT(($B$2:$B$1001=B838)*1),0)</f>
        <v>0.636054421768708</v>
      </c>
      <c r="S838" s="24" t="n">
        <f aca="false">IFERROR(SUMPRODUCT(($B$2:$B$1001=B838)*($K$2:$K$1001&lt;=K838))/SUMPRODUCT(($B$2:$B$1001=B838)*1),0)</f>
        <v>0.785714285714286</v>
      </c>
      <c r="T838" s="26" t="n">
        <f aca="false">(R838-S838)*100</f>
        <v>-14.9659863945578</v>
      </c>
      <c r="U838" s="21" t="str">
        <f aca="false">'Player Data'!T838</f>
        <v>No</v>
      </c>
      <c r="V838" s="27" t="n">
        <f aca="false">'Player Data'!U838</f>
        <v>2028</v>
      </c>
      <c r="W838" s="21" t="str">
        <f aca="false">IF(AND(T838&gt;=Assumptions!$B$19,U838="No"),"High Priority - Unrepresented",IF(T838&gt;=Assumptions!$B$19,"High Priority",IF(AND(T838&gt;=Assumptions!$B$20,U838="No"),"Watchlist - Unrepresented",IF(T838&gt;=Assumptions!$B$20,"Watchlist",""))))</f>
        <v/>
      </c>
      <c r="X838" s="21" t="str">
        <f aca="false">'Player Data'!V838</f>
        <v>info@yamoussoukrounited.ci</v>
      </c>
      <c r="Y838" s="28" t="str">
        <f aca="false">'Player Data'!W838</f>
        <v>Club sporting director / first-team office</v>
      </c>
      <c r="Z838" s="28" t="str">
        <f aca="false">'Player Data'!X838</f>
        <v>FIF (Ivorian Football Federation) player registry</v>
      </c>
      <c r="AA838" s="19" t="str">
        <f aca="false">HYPERLINK("https://www.transfermarkt.com/schnellsuche/ergebnis/schnellsuche?query="&amp;SUBSTITUTE(A838," ","+"),"Search Transfermarkt")</f>
        <v>Search Transfermarkt</v>
      </c>
      <c r="AB838" s="29" t="n">
        <f aca="false">IFERROR('Player Data'!K838/('Player Data'!K838+'Player Data'!L838),0)</f>
        <v>0.6</v>
      </c>
      <c r="AC838" s="21" t="str">
        <f aca="false">IF(B838="GK",IF(AND(O838&gt;=Assumptions!$B$23,N838&gt;=Assumptions!$B$23),"Sweeper-Keeper / Build-from-the-Back",IF(O838&gt;=Assumptions!$B$23,"Sweeper-Keeper / High Line",IF(M838&gt;=Assumptions!$B$23,"Shot-Stopper / Traditional","Flexible / Multi-System"))),IF(AND(O838&gt;=Assumptions!$B$23,P838&gt;=Assumptions!$B$24),"High Press / Gegenpressing",IF(AND(N838&gt;=Assumptions!$B$23,AB838&gt;=Assumptions!$B$25),"Possession / Build-from-the-Back",IF(N838&gt;=Assumptions!$B$23,"Counter-Attack / Transition",IF(AND(O838&gt;=Assumptions!$B$23,N838&lt;Assumptions!$B$26),"Low Block / Park the Bus",IF(AND(B838="FW",M838&gt;=Assumptions!$B$23,N838&lt;Assumptions!$B$26),"Direct / Target Approach","Flexible / Multi-System"))))))</f>
        <v>Counter-Attack / Transition</v>
      </c>
      <c r="AD838" s="21" t="str">
        <f aca="false">'Player Data'!Y838</f>
        <v>2026-07-17</v>
      </c>
      <c r="AE838" s="21" t="str">
        <f aca="false">'Player Data'!Z838</f>
        <v>2026-07-17</v>
      </c>
      <c r="AF838" s="28" t="str">
        <f aca="false">IFERROR(INDEX(Assumptions!$B$30:$B$61,MATCH(C838,Assumptions!$A$30:$A$61,0)),"--")</f>
        <v>Belgium, Portugal</v>
      </c>
      <c r="AG838" s="30" t="str">
        <f aca="false">IF(R838&gt;=0.7,"Step-Up Candidate",IF(R838&gt;=0.4,"Lateral Move","Stay &amp; Develop"))</f>
        <v>Lateral Move</v>
      </c>
    </row>
    <row r="839" customFormat="false" ht="23.85" hidden="false" customHeight="false" outlineLevel="0" collapsed="false">
      <c r="A839" s="21" t="str">
        <f aca="false">'Player Data'!A839</f>
        <v>Roman Murillo</v>
      </c>
      <c r="B839" s="21" t="str">
        <f aca="false">'Player Data'!F839</f>
        <v>GK</v>
      </c>
      <c r="C839" s="21" t="str">
        <f aca="false">'Player Data'!B839</f>
        <v>Panama</v>
      </c>
      <c r="D839" s="21" t="str">
        <f aca="false">'Player Data'!C839</f>
        <v>Panama Provincial League</v>
      </c>
      <c r="E839" s="21" t="n">
        <f aca="false">'Player Data'!D839</f>
        <v>3</v>
      </c>
      <c r="F839" s="21" t="n">
        <f aca="false">'Player Data'!G839</f>
        <v>23</v>
      </c>
      <c r="G839" s="21" t="n">
        <f aca="false">'Player Data'!H839</f>
        <v>1737</v>
      </c>
      <c r="H839" s="22" t="n">
        <f aca="false">IF(B839="GK",IFERROR(('Player Data'!N839-1.5*'Player Data'!O839)/'Player Data'!H839*90,0),IFERROR(('Player Data'!I839+'Player Data'!J839)/'Player Data'!H839*90,0))</f>
        <v>-0.103626943005181</v>
      </c>
      <c r="I839" s="22" t="n">
        <f aca="false">IF(B839="GK",'Player Data'!P839,IFERROR(('Player Data'!K839+'Player Data'!L839)/'Player Data'!H839*90,0))</f>
        <v>75.7</v>
      </c>
      <c r="J839" s="22" t="n">
        <f aca="false">IF(B839="GK",IFERROR('Player Data'!Q839/'Player Data'!H839*90,0),IFERROR('Player Data'!M839/'Player Data'!H839*90,0))</f>
        <v>0.865284974093264</v>
      </c>
      <c r="K839" s="23" t="n">
        <f aca="false">'Player Data'!S839</f>
        <v>0</v>
      </c>
      <c r="L839" s="22" t="n">
        <f aca="false">INDEX(Assumptions!$B$13:$B$15,MATCH(E839,Assumptions!$A$13:$A$15,0))</f>
        <v>0.85</v>
      </c>
      <c r="M839" s="24" t="n">
        <f aca="false">IFERROR(SUMPRODUCT(($B$2:$B$1001=B839)*($H$2:$H$1001&lt;=H839))/SUMPRODUCT(($B$2:$B$1001=B839)*1),0)</f>
        <v>0.158469945355191</v>
      </c>
      <c r="N839" s="24" t="n">
        <f aca="false">IFERROR(SUMPRODUCT(($B$2:$B$1001=B839)*($I$2:$I$1001&lt;=I839))/SUMPRODUCT(($B$2:$B$1001=B839)*1),0)</f>
        <v>0.573770491803279</v>
      </c>
      <c r="O839" s="24" t="n">
        <f aca="false">IFERROR(SUMPRODUCT(($B$2:$B$1001=B839)*($J$2:$J$1001&lt;=J839))/SUMPRODUCT(($B$2:$B$1001=B839)*1),0)</f>
        <v>0.508196721311475</v>
      </c>
      <c r="P839" s="24" t="n">
        <f aca="false">IFERROR(SUMPRODUCT(($B$2:$B$1001=B839)*((0-$F$2:$F$1001)&lt;=(0-F839)))/SUMPRODUCT(($B$2:$B$1001=B839)*1),0)</f>
        <v>0.431693989071038</v>
      </c>
      <c r="Q839" s="25" t="n">
        <f aca="false">(M839*Assumptions!$B$5+N839*Assumptions!$B$6+O839*Assumptions!$B$7+P839*Assumptions!$B$8)*L839</f>
        <v>0.364153005464481</v>
      </c>
      <c r="R839" s="24" t="n">
        <f aca="false">IFERROR(SUMPRODUCT(($B$2:$B$1001=B839)*($Q$2:$Q$1001&lt;=Q839))/SUMPRODUCT(($B$2:$B$1001=B839)*1),0)</f>
        <v>0.295081967213115</v>
      </c>
      <c r="S839" s="24" t="n">
        <f aca="false">IFERROR(SUMPRODUCT(($B$2:$B$1001=B839)*($K$2:$K$1001&lt;=K839))/SUMPRODUCT(($B$2:$B$1001=B839)*1),0)</f>
        <v>0.218579234972678</v>
      </c>
      <c r="T839" s="26" t="n">
        <f aca="false">(R839-S839)*100</f>
        <v>7.65027322404372</v>
      </c>
      <c r="U839" s="21" t="str">
        <f aca="false">'Player Data'!T839</f>
        <v>No</v>
      </c>
      <c r="V839" s="27" t="n">
        <f aca="false">'Player Data'!U839</f>
        <v>2028</v>
      </c>
      <c r="W839" s="21" t="str">
        <f aca="false">IF(AND(T839&gt;=Assumptions!$B$19,U839="No"),"High Priority - Unrepresented",IF(T839&gt;=Assumptions!$B$19,"High Priority",IF(AND(T839&gt;=Assumptions!$B$20,U839="No"),"Watchlist - Unrepresented",IF(T839&gt;=Assumptions!$B$20,"Watchlist",""))))</f>
        <v/>
      </c>
      <c r="X839" s="21" t="str">
        <f aca="false">'Player Data'!V839</f>
        <v>info@davidsc.pa</v>
      </c>
      <c r="Y839" s="28" t="str">
        <f aca="false">'Player Data'!W839</f>
        <v>Club sporting director / first-team office</v>
      </c>
      <c r="Z839" s="28" t="str">
        <f aca="false">'Player Data'!X839</f>
        <v>FEPAFUT (Panamanian Football Federation) player registry</v>
      </c>
      <c r="AA839" s="19" t="str">
        <f aca="false">HYPERLINK("https://www.transfermarkt.com/schnellsuche/ergebnis/schnellsuche?query="&amp;SUBSTITUTE(A839," ","+"),"Search Transfermarkt")</f>
        <v>Search Transfermarkt</v>
      </c>
      <c r="AB839" s="29" t="n">
        <f aca="false">IFERROR('Player Data'!K839/('Player Data'!K839+'Player Data'!L839),0)</f>
        <v>0.75</v>
      </c>
      <c r="AC839" s="21" t="str">
        <f aca="false">IF(B839="GK",IF(AND(O839&gt;=Assumptions!$B$23,N839&gt;=Assumptions!$B$23),"Sweeper-Keeper / Build-from-the-Back",IF(O839&gt;=Assumptions!$B$23,"Sweeper-Keeper / High Line",IF(M839&gt;=Assumptions!$B$23,"Shot-Stopper / Traditional","Flexible / Multi-System"))),IF(AND(O839&gt;=Assumptions!$B$23,P839&gt;=Assumptions!$B$24),"High Press / Gegenpressing",IF(AND(N839&gt;=Assumptions!$B$23,AB839&gt;=Assumptions!$B$25),"Possession / Build-from-the-Back",IF(N839&gt;=Assumptions!$B$23,"Counter-Attack / Transition",IF(AND(O839&gt;=Assumptions!$B$23,N839&lt;Assumptions!$B$26),"Low Block / Park the Bus",IF(AND(B839="FW",M839&gt;=Assumptions!$B$23,N839&lt;Assumptions!$B$26),"Direct / Target Approach","Flexible / Multi-System"))))))</f>
        <v>Flexible / Multi-System</v>
      </c>
      <c r="AD839" s="21" t="str">
        <f aca="false">'Player Data'!Y839</f>
        <v>2026-07-17</v>
      </c>
      <c r="AE839" s="21" t="str">
        <f aca="false">'Player Data'!Z839</f>
        <v>2026-07-17</v>
      </c>
      <c r="AF839" s="28" t="str">
        <f aca="false">IFERROR(INDEX(Assumptions!$B$30:$B$61,MATCH(C839,Assumptions!$A$30:$A$61,0)),"--")</f>
        <v>Mexico, United States</v>
      </c>
      <c r="AG839" s="30" t="str">
        <f aca="false">IF(R839&gt;=0.7,"Step-Up Candidate",IF(R839&gt;=0.4,"Lateral Move","Stay &amp; Develop"))</f>
        <v>Stay &amp; Develop</v>
      </c>
    </row>
    <row r="840" customFormat="false" ht="23.85" hidden="false" customHeight="false" outlineLevel="0" collapsed="false">
      <c r="A840" s="21" t="str">
        <f aca="false">'Player Data'!A840</f>
        <v>Luka Kovac</v>
      </c>
      <c r="B840" s="21" t="str">
        <f aca="false">'Player Data'!F840</f>
        <v>DF</v>
      </c>
      <c r="C840" s="21" t="str">
        <f aca="false">'Player Data'!B840</f>
        <v>Slovenia</v>
      </c>
      <c r="D840" s="21" t="str">
        <f aca="false">'Player Data'!C840</f>
        <v>Slovenia Third Tier - South</v>
      </c>
      <c r="E840" s="21" t="n">
        <f aca="false">'Player Data'!D840</f>
        <v>2</v>
      </c>
      <c r="F840" s="21" t="n">
        <f aca="false">'Player Data'!G840</f>
        <v>19</v>
      </c>
      <c r="G840" s="21" t="n">
        <f aca="false">'Player Data'!H840</f>
        <v>2687</v>
      </c>
      <c r="H840" s="22" t="n">
        <f aca="false">IF(B840="GK",IFERROR(('Player Data'!N840-1.5*'Player Data'!O840)/'Player Data'!H840*90,0),IFERROR(('Player Data'!I840+'Player Data'!J840)/'Player Data'!H840*90,0))</f>
        <v>0.234462225530331</v>
      </c>
      <c r="I840" s="22" t="n">
        <f aca="false">IF(B840="GK",'Player Data'!P840,IFERROR(('Player Data'!K840+'Player Data'!L840)/'Player Data'!H840*90,0))</f>
        <v>3.11499813918869</v>
      </c>
      <c r="J840" s="22" t="n">
        <f aca="false">IF(B840="GK",IFERROR('Player Data'!Q840/'Player Data'!H840*90,0),IFERROR('Player Data'!M840/'Player Data'!H840*90,0))</f>
        <v>3.04800893189431</v>
      </c>
      <c r="K840" s="23" t="n">
        <f aca="false">'Player Data'!S840</f>
        <v>83190</v>
      </c>
      <c r="L840" s="22" t="n">
        <f aca="false">INDEX(Assumptions!$B$13:$B$15,MATCH(E840,Assumptions!$A$13:$A$15,0))</f>
        <v>1</v>
      </c>
      <c r="M840" s="24" t="n">
        <f aca="false">IFERROR(SUMPRODUCT(($B$2:$B$1001=B840)*($H$2:$H$1001&lt;=H840))/SUMPRODUCT(($B$2:$B$1001=B840)*1),0)</f>
        <v>0.622448979591837</v>
      </c>
      <c r="N840" s="24" t="n">
        <f aca="false">IFERROR(SUMPRODUCT(($B$2:$B$1001=B840)*($I$2:$I$1001&lt;=I840))/SUMPRODUCT(($B$2:$B$1001=B840)*1),0)</f>
        <v>0.102040816326531</v>
      </c>
      <c r="O840" s="24" t="n">
        <f aca="false">IFERROR(SUMPRODUCT(($B$2:$B$1001=B840)*($J$2:$J$1001&lt;=J840))/SUMPRODUCT(($B$2:$B$1001=B840)*1),0)</f>
        <v>0.0340136054421769</v>
      </c>
      <c r="P840" s="24" t="n">
        <f aca="false">IFERROR(SUMPRODUCT(($B$2:$B$1001=B840)*((0-$F$2:$F$1001)&lt;=(0-F840)))/SUMPRODUCT(($B$2:$B$1001=B840)*1),0)</f>
        <v>0.738095238095238</v>
      </c>
      <c r="Q840" s="25" t="n">
        <f aca="false">(M840*Assumptions!$B$5+N840*Assumptions!$B$6+O840*Assumptions!$B$7+P840*Assumptions!$B$8)*L840</f>
        <v>0.345748299319728</v>
      </c>
      <c r="R840" s="24" t="n">
        <f aca="false">IFERROR(SUMPRODUCT(($B$2:$B$1001=B840)*($Q$2:$Q$1001&lt;=Q840))/SUMPRODUCT(($B$2:$B$1001=B840)*1),0)</f>
        <v>0.346938775510204</v>
      </c>
      <c r="S840" s="24" t="n">
        <f aca="false">IFERROR(SUMPRODUCT(($B$2:$B$1001=B840)*($K$2:$K$1001&lt;=K840))/SUMPRODUCT(($B$2:$B$1001=B840)*1),0)</f>
        <v>0.642857142857143</v>
      </c>
      <c r="T840" s="26" t="n">
        <f aca="false">(R840-S840)*100</f>
        <v>-29.5918367346939</v>
      </c>
      <c r="U840" s="21" t="str">
        <f aca="false">'Player Data'!T840</f>
        <v>No</v>
      </c>
      <c r="V840" s="27" t="n">
        <f aca="false">'Player Data'!U840</f>
        <v>2027</v>
      </c>
      <c r="W840" s="21" t="str">
        <f aca="false">IF(AND(T840&gt;=Assumptions!$B$19,U840="No"),"High Priority - Unrepresented",IF(T840&gt;=Assumptions!$B$19,"High Priority",IF(AND(T840&gt;=Assumptions!$B$20,U840="No"),"Watchlist - Unrepresented",IF(T840&gt;=Assumptions!$B$20,"Watchlist",""))))</f>
        <v/>
      </c>
      <c r="X840" s="21" t="str">
        <f aca="false">'Player Data'!V840</f>
        <v>info@kopersc.si</v>
      </c>
      <c r="Y840" s="28" t="str">
        <f aca="false">'Player Data'!W840</f>
        <v>Club sporting director / first-team office</v>
      </c>
      <c r="Z840" s="28" t="str">
        <f aca="false">'Player Data'!X840</f>
        <v>NZS (Football Association of Slovenia) player registry</v>
      </c>
      <c r="AA840" s="19" t="str">
        <f aca="false">HYPERLINK("https://www.transfermarkt.com/schnellsuche/ergebnis/schnellsuche?query="&amp;SUBSTITUTE(A840," ","+"),"Search Transfermarkt")</f>
        <v>Search Transfermarkt</v>
      </c>
      <c r="AB840" s="29" t="n">
        <f aca="false">IFERROR('Player Data'!K840/('Player Data'!K840+'Player Data'!L840),0)</f>
        <v>0.634408602150538</v>
      </c>
      <c r="AC840" s="21" t="str">
        <f aca="false">IF(B840="GK",IF(AND(O840&gt;=Assumptions!$B$23,N840&gt;=Assumptions!$B$23),"Sweeper-Keeper / Build-from-the-Back",IF(O840&gt;=Assumptions!$B$23,"Sweeper-Keeper / High Line",IF(M840&gt;=Assumptions!$B$23,"Shot-Stopper / Traditional","Flexible / Multi-System"))),IF(AND(O840&gt;=Assumptions!$B$23,P840&gt;=Assumptions!$B$24),"High Press / Gegenpressing",IF(AND(N840&gt;=Assumptions!$B$23,AB840&gt;=Assumptions!$B$25),"Possession / Build-from-the-Back",IF(N840&gt;=Assumptions!$B$23,"Counter-Attack / Transition",IF(AND(O840&gt;=Assumptions!$B$23,N840&lt;Assumptions!$B$26),"Low Block / Park the Bus",IF(AND(B840="FW",M840&gt;=Assumptions!$B$23,N840&lt;Assumptions!$B$26),"Direct / Target Approach","Flexible / Multi-System"))))))</f>
        <v>Flexible / Multi-System</v>
      </c>
      <c r="AD840" s="21" t="str">
        <f aca="false">'Player Data'!Y840</f>
        <v>2026-07-17</v>
      </c>
      <c r="AE840" s="21" t="str">
        <f aca="false">'Player Data'!Z840</f>
        <v>2026-07-17</v>
      </c>
      <c r="AF840" s="28" t="str">
        <f aca="false">IFERROR(INDEX(Assumptions!$B$30:$B$61,MATCH(C840,Assumptions!$A$30:$A$61,0)),"--")</f>
        <v>Austria, Poland</v>
      </c>
      <c r="AG840" s="30" t="str">
        <f aca="false">IF(R840&gt;=0.7,"Step-Up Candidate",IF(R840&gt;=0.4,"Lateral Move","Stay &amp; Develop"))</f>
        <v>Stay &amp; Develop</v>
      </c>
    </row>
    <row r="841" customFormat="false" ht="23.85" hidden="false" customHeight="false" outlineLevel="0" collapsed="false">
      <c r="A841" s="21" t="str">
        <f aca="false">'Player Data'!A841</f>
        <v>Jan Kovac</v>
      </c>
      <c r="B841" s="21" t="str">
        <f aca="false">'Player Data'!F841</f>
        <v>MF</v>
      </c>
      <c r="C841" s="21" t="str">
        <f aca="false">'Player Data'!B841</f>
        <v>Slovenia</v>
      </c>
      <c r="D841" s="21" t="str">
        <f aca="false">'Player Data'!C841</f>
        <v>Slovenia Regional League</v>
      </c>
      <c r="E841" s="21" t="n">
        <f aca="false">'Player Data'!D841</f>
        <v>3</v>
      </c>
      <c r="F841" s="21" t="n">
        <f aca="false">'Player Data'!G841</f>
        <v>23</v>
      </c>
      <c r="G841" s="21" t="n">
        <f aca="false">'Player Data'!H841</f>
        <v>1011</v>
      </c>
      <c r="H841" s="22" t="n">
        <f aca="false">IF(B841="GK",IFERROR(('Player Data'!N841-1.5*'Player Data'!O841)/'Player Data'!H841*90,0),IFERROR(('Player Data'!I841+'Player Data'!J841)/'Player Data'!H841*90,0))</f>
        <v>1.3353115727003</v>
      </c>
      <c r="I841" s="22" t="n">
        <f aca="false">IF(B841="GK",'Player Data'!P841,IFERROR(('Player Data'!K841+'Player Data'!L841)/'Player Data'!H841*90,0))</f>
        <v>16.2017804154303</v>
      </c>
      <c r="J841" s="22" t="n">
        <f aca="false">IF(B841="GK",IFERROR('Player Data'!Q841/'Player Data'!H841*90,0),IFERROR('Player Data'!M841/'Player Data'!H841*90,0))</f>
        <v>3.47181008902077</v>
      </c>
      <c r="K841" s="23" t="n">
        <f aca="false">'Player Data'!S841</f>
        <v>44342</v>
      </c>
      <c r="L841" s="22" t="n">
        <f aca="false">INDEX(Assumptions!$B$13:$B$15,MATCH(E841,Assumptions!$A$13:$A$15,0))</f>
        <v>0.85</v>
      </c>
      <c r="M841" s="24" t="n">
        <f aca="false">IFERROR(SUMPRODUCT(($B$2:$B$1001=B841)*($H$2:$H$1001&lt;=H841))/SUMPRODUCT(($B$2:$B$1001=B841)*1),0)</f>
        <v>0.892255892255892</v>
      </c>
      <c r="N841" s="24" t="n">
        <f aca="false">IFERROR(SUMPRODUCT(($B$2:$B$1001=B841)*($I$2:$I$1001&lt;=I841))/SUMPRODUCT(($B$2:$B$1001=B841)*1),0)</f>
        <v>0.804713804713805</v>
      </c>
      <c r="O841" s="24" t="n">
        <f aca="false">IFERROR(SUMPRODUCT(($B$2:$B$1001=B841)*($J$2:$J$1001&lt;=J841))/SUMPRODUCT(($B$2:$B$1001=B841)*1),0)</f>
        <v>0.865319865319865</v>
      </c>
      <c r="P841" s="24" t="n">
        <f aca="false">IFERROR(SUMPRODUCT(($B$2:$B$1001=B841)*((0-$F$2:$F$1001)&lt;=(0-F841)))/SUMPRODUCT(($B$2:$B$1001=B841)*1),0)</f>
        <v>0.390572390572391</v>
      </c>
      <c r="Q841" s="25" t="n">
        <f aca="false">(M841*Assumptions!$B$5+N841*Assumptions!$B$6+O841*Assumptions!$B$7+P841*Assumptions!$B$8)*L841</f>
        <v>0.642508417508418</v>
      </c>
      <c r="R841" s="24" t="n">
        <f aca="false">IFERROR(SUMPRODUCT(($B$2:$B$1001=B841)*($Q$2:$Q$1001&lt;=Q841))/SUMPRODUCT(($B$2:$B$1001=B841)*1),0)</f>
        <v>0.835016835016835</v>
      </c>
      <c r="S841" s="24" t="n">
        <f aca="false">IFERROR(SUMPRODUCT(($B$2:$B$1001=B841)*($K$2:$K$1001&lt;=K841))/SUMPRODUCT(($B$2:$B$1001=B841)*1),0)</f>
        <v>0.397306397306397</v>
      </c>
      <c r="T841" s="26" t="n">
        <f aca="false">(R841-S841)*100</f>
        <v>43.7710437710438</v>
      </c>
      <c r="U841" s="21" t="str">
        <f aca="false">'Player Data'!T841</f>
        <v>Unknown</v>
      </c>
      <c r="V841" s="27" t="n">
        <f aca="false">'Player Data'!U841</f>
        <v>2029</v>
      </c>
      <c r="W841" s="21" t="str">
        <f aca="false">IF(AND(T841&gt;=Assumptions!$B$19,U841="No"),"High Priority - Unrepresented",IF(T841&gt;=Assumptions!$B$19,"High Priority",IF(AND(T841&gt;=Assumptions!$B$20,U841="No"),"Watchlist - Unrepresented",IF(T841&gt;=Assumptions!$B$20,"Watchlist",""))))</f>
        <v>High Priority</v>
      </c>
      <c r="X841" s="21" t="str">
        <f aca="false">'Player Data'!V841</f>
        <v>info@koperrangers.si</v>
      </c>
      <c r="Y841" s="28" t="str">
        <f aca="false">'Player Data'!W841</f>
        <v>Club sporting director / first-team office</v>
      </c>
      <c r="Z841" s="28" t="str">
        <f aca="false">'Player Data'!X841</f>
        <v>NZS (Football Association of Slovenia) player registry</v>
      </c>
      <c r="AA841" s="19" t="str">
        <f aca="false">HYPERLINK("https://www.transfermarkt.com/schnellsuche/ergebnis/schnellsuche?query="&amp;SUBSTITUTE(A841," ","+"),"Search Transfermarkt")</f>
        <v>Search Transfermarkt</v>
      </c>
      <c r="AB841" s="29" t="n">
        <f aca="false">IFERROR('Player Data'!K841/('Player Data'!K841+'Player Data'!L841),0)</f>
        <v>0.659340659340659</v>
      </c>
      <c r="AC841" s="21" t="str">
        <f aca="false">IF(B841="GK",IF(AND(O841&gt;=Assumptions!$B$23,N841&gt;=Assumptions!$B$23),"Sweeper-Keeper / Build-from-the-Back",IF(O841&gt;=Assumptions!$B$23,"Sweeper-Keeper / High Line",IF(M841&gt;=Assumptions!$B$23,"Shot-Stopper / Traditional","Flexible / Multi-System"))),IF(AND(O841&gt;=Assumptions!$B$23,P841&gt;=Assumptions!$B$24),"High Press / Gegenpressing",IF(AND(N841&gt;=Assumptions!$B$23,AB841&gt;=Assumptions!$B$25),"Possession / Build-from-the-Back",IF(N841&gt;=Assumptions!$B$23,"Counter-Attack / Transition",IF(AND(O841&gt;=Assumptions!$B$23,N841&lt;Assumptions!$B$26),"Low Block / Park the Bus",IF(AND(B841="FW",M841&gt;=Assumptions!$B$23,N841&lt;Assumptions!$B$26),"Direct / Target Approach","Flexible / Multi-System"))))))</f>
        <v>Possession / Build-from-the-Back</v>
      </c>
      <c r="AD841" s="21" t="str">
        <f aca="false">'Player Data'!Y841</f>
        <v>2026-07-17</v>
      </c>
      <c r="AE841" s="21" t="str">
        <f aca="false">'Player Data'!Z841</f>
        <v>2026-07-17</v>
      </c>
      <c r="AF841" s="28" t="str">
        <f aca="false">IFERROR(INDEX(Assumptions!$B$30:$B$61,MATCH(C841,Assumptions!$A$30:$A$61,0)),"--")</f>
        <v>Austria, Poland</v>
      </c>
      <c r="AG841" s="30" t="str">
        <f aca="false">IF(R841&gt;=0.7,"Step-Up Candidate",IF(R841&gt;=0.4,"Lateral Move","Stay &amp; Develop"))</f>
        <v>Step-Up Candidate</v>
      </c>
    </row>
    <row r="842" customFormat="false" ht="23.85" hidden="false" customHeight="false" outlineLevel="0" collapsed="false">
      <c r="A842" s="21" t="str">
        <f aca="false">'Player Data'!A842</f>
        <v>Igor Perovic</v>
      </c>
      <c r="B842" s="21" t="str">
        <f aca="false">'Player Data'!F842</f>
        <v>MF</v>
      </c>
      <c r="C842" s="21" t="str">
        <f aca="false">'Player Data'!B842</f>
        <v>Montenegro</v>
      </c>
      <c r="D842" s="21" t="str">
        <f aca="false">'Player Data'!C842</f>
        <v>Montenegro Third Tier - North</v>
      </c>
      <c r="E842" s="21" t="n">
        <f aca="false">'Player Data'!D842</f>
        <v>4</v>
      </c>
      <c r="F842" s="21" t="n">
        <f aca="false">'Player Data'!G842</f>
        <v>21</v>
      </c>
      <c r="G842" s="21" t="n">
        <f aca="false">'Player Data'!H842</f>
        <v>1361</v>
      </c>
      <c r="H842" s="22" t="n">
        <f aca="false">IF(B842="GK",IFERROR(('Player Data'!N842-1.5*'Player Data'!O842)/'Player Data'!H842*90,0),IFERROR(('Player Data'!I842+'Player Data'!J842)/'Player Data'!H842*90,0))</f>
        <v>0.925789860396767</v>
      </c>
      <c r="I842" s="22" t="n">
        <f aca="false">IF(B842="GK",'Player Data'!P842,IFERROR(('Player Data'!K842+'Player Data'!L842)/'Player Data'!H842*90,0))</f>
        <v>12.8288023512123</v>
      </c>
      <c r="J842" s="22" t="n">
        <f aca="false">IF(B842="GK",IFERROR('Player Data'!Q842/'Player Data'!H842*90,0),IFERROR('Player Data'!M842/'Player Data'!H842*90,0))</f>
        <v>2.31447465099192</v>
      </c>
      <c r="K842" s="23" t="n">
        <f aca="false">'Player Data'!S842</f>
        <v>78394</v>
      </c>
      <c r="L842" s="22" t="n">
        <f aca="false">INDEX(Assumptions!$B$13:$B$15,MATCH(E842,Assumptions!$A$13:$A$15,0))</f>
        <v>0.7</v>
      </c>
      <c r="M842" s="24" t="n">
        <f aca="false">IFERROR(SUMPRODUCT(($B$2:$B$1001=B842)*($H$2:$H$1001&lt;=H842))/SUMPRODUCT(($B$2:$B$1001=B842)*1),0)</f>
        <v>0.71043771043771</v>
      </c>
      <c r="N842" s="24" t="n">
        <f aca="false">IFERROR(SUMPRODUCT(($B$2:$B$1001=B842)*($I$2:$I$1001&lt;=I842))/SUMPRODUCT(($B$2:$B$1001=B842)*1),0)</f>
        <v>0.646464646464647</v>
      </c>
      <c r="O842" s="24" t="n">
        <f aca="false">IFERROR(SUMPRODUCT(($B$2:$B$1001=B842)*($J$2:$J$1001&lt;=J842))/SUMPRODUCT(($B$2:$B$1001=B842)*1),0)</f>
        <v>0.572390572390572</v>
      </c>
      <c r="P842" s="24" t="n">
        <f aca="false">IFERROR(SUMPRODUCT(($B$2:$B$1001=B842)*((0-$F$2:$F$1001)&lt;=(0-F842)))/SUMPRODUCT(($B$2:$B$1001=B842)*1),0)</f>
        <v>0.61952861952862</v>
      </c>
      <c r="Q842" s="25" t="n">
        <f aca="false">(M842*Assumptions!$B$5+N842*Assumptions!$B$6+O842*Assumptions!$B$7+P842*Assumptions!$B$8)*L842</f>
        <v>0.449579124579125</v>
      </c>
      <c r="R842" s="24" t="n">
        <f aca="false">IFERROR(SUMPRODUCT(($B$2:$B$1001=B842)*($Q$2:$Q$1001&lt;=Q842))/SUMPRODUCT(($B$2:$B$1001=B842)*1),0)</f>
        <v>0.531986531986532</v>
      </c>
      <c r="S842" s="24" t="n">
        <f aca="false">IFERROR(SUMPRODUCT(($B$2:$B$1001=B842)*($K$2:$K$1001&lt;=K842))/SUMPRODUCT(($B$2:$B$1001=B842)*1),0)</f>
        <v>0.616161616161616</v>
      </c>
      <c r="T842" s="26" t="n">
        <f aca="false">(R842-S842)*100</f>
        <v>-8.41750841750841</v>
      </c>
      <c r="U842" s="21" t="str">
        <f aca="false">'Player Data'!T842</f>
        <v>No</v>
      </c>
      <c r="V842" s="27" t="n">
        <f aca="false">'Player Data'!U842</f>
        <v>2026</v>
      </c>
      <c r="W842" s="21" t="str">
        <f aca="false">IF(AND(T842&gt;=Assumptions!$B$19,U842="No"),"High Priority - Unrepresented",IF(T842&gt;=Assumptions!$B$19,"High Priority",IF(AND(T842&gt;=Assumptions!$B$20,U842="No"),"Watchlist - Unrepresented",IF(T842&gt;=Assumptions!$B$20,"Watchlist",""))))</f>
        <v/>
      </c>
      <c r="X842" s="21" t="str">
        <f aca="false">'Player Data'!V842</f>
        <v>info@beraneunited.me</v>
      </c>
      <c r="Y842" s="28" t="str">
        <f aca="false">'Player Data'!W842</f>
        <v>Club sporting director / first-team office</v>
      </c>
      <c r="Z842" s="28" t="str">
        <f aca="false">'Player Data'!X842</f>
        <v>FSCG (Football Association of Montenegro) player registry</v>
      </c>
      <c r="AA842" s="19" t="str">
        <f aca="false">HYPERLINK("https://www.transfermarkt.com/schnellsuche/ergebnis/schnellsuche?query="&amp;SUBSTITUTE(A842," ","+"),"Search Transfermarkt")</f>
        <v>Search Transfermarkt</v>
      </c>
      <c r="AB842" s="29" t="n">
        <f aca="false">IFERROR('Player Data'!K842/('Player Data'!K842+'Player Data'!L842),0)</f>
        <v>0.664948453608247</v>
      </c>
      <c r="AC842" s="21" t="str">
        <f aca="false">IF(B842="GK",IF(AND(O842&gt;=Assumptions!$B$23,N842&gt;=Assumptions!$B$23),"Sweeper-Keeper / Build-from-the-Back",IF(O842&gt;=Assumptions!$B$23,"Sweeper-Keeper / High Line",IF(M842&gt;=Assumptions!$B$23,"Shot-Stopper / Traditional","Flexible / Multi-System"))),IF(AND(O842&gt;=Assumptions!$B$23,P842&gt;=Assumptions!$B$24),"High Press / Gegenpressing",IF(AND(N842&gt;=Assumptions!$B$23,AB842&gt;=Assumptions!$B$25),"Possession / Build-from-the-Back",IF(N842&gt;=Assumptions!$B$23,"Counter-Attack / Transition",IF(AND(O842&gt;=Assumptions!$B$23,N842&lt;Assumptions!$B$26),"Low Block / Park the Bus",IF(AND(B842="FW",M842&gt;=Assumptions!$B$23,N842&lt;Assumptions!$B$26),"Direct / Target Approach","Flexible / Multi-System"))))))</f>
        <v>Flexible / Multi-System</v>
      </c>
      <c r="AD842" s="21" t="str">
        <f aca="false">'Player Data'!Y842</f>
        <v>2026-07-17</v>
      </c>
      <c r="AE842" s="21" t="str">
        <f aca="false">'Player Data'!Z842</f>
        <v>2026-07-17</v>
      </c>
      <c r="AF842" s="28" t="str">
        <f aca="false">IFERROR(INDEX(Assumptions!$B$30:$B$61,MATCH(C842,Assumptions!$A$30:$A$61,0)),"--")</f>
        <v>Austria, Turkey</v>
      </c>
      <c r="AG842" s="30" t="str">
        <f aca="false">IF(R842&gt;=0.7,"Step-Up Candidate",IF(R842&gt;=0.4,"Lateral Move","Stay &amp; Develop"))</f>
        <v>Lateral Move</v>
      </c>
    </row>
    <row r="843" customFormat="false" ht="23.85" hidden="false" customHeight="false" outlineLevel="0" collapsed="false">
      <c r="A843" s="21" t="str">
        <f aca="false">'Player Data'!A843</f>
        <v>Haruto Suzuki</v>
      </c>
      <c r="B843" s="21" t="str">
        <f aca="false">'Player Data'!F843</f>
        <v>GK</v>
      </c>
      <c r="C843" s="21" t="str">
        <f aca="false">'Player Data'!B843</f>
        <v>Japan</v>
      </c>
      <c r="D843" s="21" t="str">
        <f aca="false">'Player Data'!C843</f>
        <v>Japan Third Tier - South</v>
      </c>
      <c r="E843" s="21" t="n">
        <f aca="false">'Player Data'!D843</f>
        <v>2</v>
      </c>
      <c r="F843" s="21" t="n">
        <f aca="false">'Player Data'!G843</f>
        <v>26</v>
      </c>
      <c r="G843" s="21" t="n">
        <f aca="false">'Player Data'!H843</f>
        <v>1404</v>
      </c>
      <c r="H843" s="22" t="n">
        <f aca="false">IF(B843="GK",IFERROR(('Player Data'!N843-1.5*'Player Data'!O843)/'Player Data'!H843*90,0),IFERROR(('Player Data'!I843+'Player Data'!J843)/'Player Data'!H843*90,0))</f>
        <v>1.15384615384615</v>
      </c>
      <c r="I843" s="22" t="n">
        <f aca="false">IF(B843="GK",'Player Data'!P843,IFERROR(('Player Data'!K843+'Player Data'!L843)/'Player Data'!H843*90,0))</f>
        <v>70.8</v>
      </c>
      <c r="J843" s="22" t="n">
        <f aca="false">IF(B843="GK",IFERROR('Player Data'!Q843/'Player Data'!H843*90,0),IFERROR('Player Data'!M843/'Player Data'!H843*90,0))</f>
        <v>1.46153846153846</v>
      </c>
      <c r="K843" s="23" t="n">
        <f aca="false">'Player Data'!S843</f>
        <v>58220</v>
      </c>
      <c r="L843" s="22" t="n">
        <f aca="false">INDEX(Assumptions!$B$13:$B$15,MATCH(E843,Assumptions!$A$13:$A$15,0))</f>
        <v>1</v>
      </c>
      <c r="M843" s="24" t="n">
        <f aca="false">IFERROR(SUMPRODUCT(($B$2:$B$1001=B843)*($H$2:$H$1001&lt;=H843))/SUMPRODUCT(($B$2:$B$1001=B843)*1),0)</f>
        <v>0.502732240437159</v>
      </c>
      <c r="N843" s="24" t="n">
        <f aca="false">IFERROR(SUMPRODUCT(($B$2:$B$1001=B843)*($I$2:$I$1001&lt;=I843))/SUMPRODUCT(($B$2:$B$1001=B843)*1),0)</f>
        <v>0.426229508196721</v>
      </c>
      <c r="O843" s="24" t="n">
        <f aca="false">IFERROR(SUMPRODUCT(($B$2:$B$1001=B843)*($J$2:$J$1001&lt;=J843))/SUMPRODUCT(($B$2:$B$1001=B843)*1),0)</f>
        <v>0.972677595628415</v>
      </c>
      <c r="P843" s="24" t="n">
        <f aca="false">IFERROR(SUMPRODUCT(($B$2:$B$1001=B843)*((0-$F$2:$F$1001)&lt;=(0-F843)))/SUMPRODUCT(($B$2:$B$1001=B843)*1),0)</f>
        <v>0.131147540983607</v>
      </c>
      <c r="Q843" s="25" t="n">
        <f aca="false">(M843*Assumptions!$B$5+N843*Assumptions!$B$6+O843*Assumptions!$B$7+P843*Assumptions!$B$8)*L843</f>
        <v>0.495628415300546</v>
      </c>
      <c r="R843" s="24" t="n">
        <f aca="false">IFERROR(SUMPRODUCT(($B$2:$B$1001=B843)*($Q$2:$Q$1001&lt;=Q843))/SUMPRODUCT(($B$2:$B$1001=B843)*1),0)</f>
        <v>0.612021857923497</v>
      </c>
      <c r="S843" s="24" t="n">
        <f aca="false">IFERROR(SUMPRODUCT(($B$2:$B$1001=B843)*($K$2:$K$1001&lt;=K843))/SUMPRODUCT(($B$2:$B$1001=B843)*1),0)</f>
        <v>0.448087431693989</v>
      </c>
      <c r="T843" s="26" t="n">
        <f aca="false">(R843-S843)*100</f>
        <v>16.3934426229508</v>
      </c>
      <c r="U843" s="21" t="str">
        <f aca="false">'Player Data'!T843</f>
        <v>No</v>
      </c>
      <c r="V843" s="27" t="n">
        <f aca="false">'Player Data'!U843</f>
        <v>2026</v>
      </c>
      <c r="W843" s="21" t="str">
        <f aca="false">IF(AND(T843&gt;=Assumptions!$B$19,U843="No"),"High Priority - Unrepresented",IF(T843&gt;=Assumptions!$B$19,"High Priority",IF(AND(T843&gt;=Assumptions!$B$20,U843="No"),"Watchlist - Unrepresented",IF(T843&gt;=Assumptions!$B$20,"Watchlist",""))))</f>
        <v/>
      </c>
      <c r="X843" s="21" t="str">
        <f aca="false">'Player Data'!V843</f>
        <v>info@sappororovers.jp</v>
      </c>
      <c r="Y843" s="28" t="str">
        <f aca="false">'Player Data'!W843</f>
        <v>Club sporting director / first-team office</v>
      </c>
      <c r="Z843" s="28" t="str">
        <f aca="false">'Player Data'!X843</f>
        <v>JFA (Japan Football Association) player registry</v>
      </c>
      <c r="AA843" s="19" t="str">
        <f aca="false">HYPERLINK("https://www.transfermarkt.com/schnellsuche/ergebnis/schnellsuche?query="&amp;SUBSTITUTE(A843," ","+"),"Search Transfermarkt")</f>
        <v>Search Transfermarkt</v>
      </c>
      <c r="AB843" s="29" t="n">
        <f aca="false">IFERROR('Player Data'!K843/('Player Data'!K843+'Player Data'!L843),0)</f>
        <v>1</v>
      </c>
      <c r="AC843" s="21" t="str">
        <f aca="false">IF(B843="GK",IF(AND(O843&gt;=Assumptions!$B$23,N843&gt;=Assumptions!$B$23),"Sweeper-Keeper / Build-from-the-Back",IF(O843&gt;=Assumptions!$B$23,"Sweeper-Keeper / High Line",IF(M843&gt;=Assumptions!$B$23,"Shot-Stopper / Traditional","Flexible / Multi-System"))),IF(AND(O843&gt;=Assumptions!$B$23,P843&gt;=Assumptions!$B$24),"High Press / Gegenpressing",IF(AND(N843&gt;=Assumptions!$B$23,AB843&gt;=Assumptions!$B$25),"Possession / Build-from-the-Back",IF(N843&gt;=Assumptions!$B$23,"Counter-Attack / Transition",IF(AND(O843&gt;=Assumptions!$B$23,N843&lt;Assumptions!$B$26),"Low Block / Park the Bus",IF(AND(B843="FW",M843&gt;=Assumptions!$B$23,N843&lt;Assumptions!$B$26),"Direct / Target Approach","Flexible / Multi-System"))))))</f>
        <v>Sweeper-Keeper / High Line</v>
      </c>
      <c r="AD843" s="21" t="str">
        <f aca="false">'Player Data'!Y843</f>
        <v>2026-07-17</v>
      </c>
      <c r="AE843" s="21" t="str">
        <f aca="false">'Player Data'!Z843</f>
        <v>2026-07-17</v>
      </c>
      <c r="AF843" s="28" t="str">
        <f aca="false">IFERROR(INDEX(Assumptions!$B$30:$B$61,MATCH(C843,Assumptions!$A$30:$A$61,0)),"--")</f>
        <v>Belgium, Australia</v>
      </c>
      <c r="AG843" s="30" t="str">
        <f aca="false">IF(R843&gt;=0.7,"Step-Up Candidate",IF(R843&gt;=0.4,"Lateral Move","Stay &amp; Develop"))</f>
        <v>Lateral Move</v>
      </c>
    </row>
    <row r="844" customFormat="false" ht="23.85" hidden="false" customHeight="false" outlineLevel="0" collapsed="false">
      <c r="A844" s="21" t="str">
        <f aca="false">'Player Data'!A844</f>
        <v>Devon Powell</v>
      </c>
      <c r="B844" s="21" t="str">
        <f aca="false">'Player Data'!F844</f>
        <v>DF</v>
      </c>
      <c r="C844" s="21" t="str">
        <f aca="false">'Player Data'!B844</f>
        <v>Jamaica</v>
      </c>
      <c r="D844" s="21" t="str">
        <f aca="false">'Player Data'!C844</f>
        <v>Jamaica Second Division - East</v>
      </c>
      <c r="E844" s="21" t="n">
        <f aca="false">'Player Data'!D844</f>
        <v>2</v>
      </c>
      <c r="F844" s="21" t="n">
        <f aca="false">'Player Data'!G844</f>
        <v>23</v>
      </c>
      <c r="G844" s="21" t="n">
        <f aca="false">'Player Data'!H844</f>
        <v>2162</v>
      </c>
      <c r="H844" s="22" t="n">
        <f aca="false">IF(B844="GK",IFERROR(('Player Data'!N844-1.5*'Player Data'!O844)/'Player Data'!H844*90,0),IFERROR(('Player Data'!I844+'Player Data'!J844)/'Player Data'!H844*90,0))</f>
        <v>0.166512488436633</v>
      </c>
      <c r="I844" s="22" t="n">
        <f aca="false">IF(B844="GK",'Player Data'!P844,IFERROR(('Player Data'!K844+'Player Data'!L844)/'Player Data'!H844*90,0))</f>
        <v>3.70490286771508</v>
      </c>
      <c r="J844" s="22" t="n">
        <f aca="false">IF(B844="GK",IFERROR('Player Data'!Q844/'Player Data'!H844*90,0),IFERROR('Player Data'!M844/'Player Data'!H844*90,0))</f>
        <v>3.62164662349676</v>
      </c>
      <c r="K844" s="23" t="n">
        <f aca="false">'Player Data'!S844</f>
        <v>82976</v>
      </c>
      <c r="L844" s="22" t="n">
        <f aca="false">INDEX(Assumptions!$B$13:$B$15,MATCH(E844,Assumptions!$A$13:$A$15,0))</f>
        <v>1</v>
      </c>
      <c r="M844" s="24" t="n">
        <f aca="false">IFERROR(SUMPRODUCT(($B$2:$B$1001=B844)*($H$2:$H$1001&lt;=H844))/SUMPRODUCT(($B$2:$B$1001=B844)*1),0)</f>
        <v>0.408163265306122</v>
      </c>
      <c r="N844" s="24" t="n">
        <f aca="false">IFERROR(SUMPRODUCT(($B$2:$B$1001=B844)*($I$2:$I$1001&lt;=I844))/SUMPRODUCT(($B$2:$B$1001=B844)*1),0)</f>
        <v>0.319727891156463</v>
      </c>
      <c r="O844" s="24" t="n">
        <f aca="false">IFERROR(SUMPRODUCT(($B$2:$B$1001=B844)*($J$2:$J$1001&lt;=J844))/SUMPRODUCT(($B$2:$B$1001=B844)*1),0)</f>
        <v>0.125850340136054</v>
      </c>
      <c r="P844" s="24" t="n">
        <f aca="false">IFERROR(SUMPRODUCT(($B$2:$B$1001=B844)*((0-$F$2:$F$1001)&lt;=(0-F844)))/SUMPRODUCT(($B$2:$B$1001=B844)*1),0)</f>
        <v>0.374149659863946</v>
      </c>
      <c r="Q844" s="25" t="n">
        <f aca="false">(M844*Assumptions!$B$5+N844*Assumptions!$B$6+O844*Assumptions!$B$7+P844*Assumptions!$B$8)*L844</f>
        <v>0.313945578231293</v>
      </c>
      <c r="R844" s="24" t="n">
        <f aca="false">IFERROR(SUMPRODUCT(($B$2:$B$1001=B844)*($Q$2:$Q$1001&lt;=Q844))/SUMPRODUCT(($B$2:$B$1001=B844)*1),0)</f>
        <v>0.285714285714286</v>
      </c>
      <c r="S844" s="24" t="n">
        <f aca="false">IFERROR(SUMPRODUCT(($B$2:$B$1001=B844)*($K$2:$K$1001&lt;=K844))/SUMPRODUCT(($B$2:$B$1001=B844)*1),0)</f>
        <v>0.636054421768708</v>
      </c>
      <c r="T844" s="26" t="n">
        <f aca="false">(R844-S844)*100</f>
        <v>-35.0340136054422</v>
      </c>
      <c r="U844" s="21" t="str">
        <f aca="false">'Player Data'!T844</f>
        <v>No</v>
      </c>
      <c r="V844" s="27" t="n">
        <f aca="false">'Player Data'!U844</f>
        <v>2028</v>
      </c>
      <c r="W844" s="21" t="str">
        <f aca="false">IF(AND(T844&gt;=Assumptions!$B$19,U844="No"),"High Priority - Unrepresented",IF(T844&gt;=Assumptions!$B$19,"High Priority",IF(AND(T844&gt;=Assumptions!$B$20,U844="No"),"Watchlist - Unrepresented",IF(T844&gt;=Assumptions!$B$20,"Watchlist",""))))</f>
        <v/>
      </c>
      <c r="X844" s="21" t="str">
        <f aca="false">'Player Data'!V844</f>
        <v>info@spanishtowncity.jm</v>
      </c>
      <c r="Y844" s="28" t="str">
        <f aca="false">'Player Data'!W844</f>
        <v>Club sporting director / first-team office</v>
      </c>
      <c r="Z844" s="28" t="str">
        <f aca="false">'Player Data'!X844</f>
        <v>JFF (Jamaica Football Federation) player registry</v>
      </c>
      <c r="AA844" s="19" t="str">
        <f aca="false">HYPERLINK("https://www.transfermarkt.com/schnellsuche/ergebnis/schnellsuche?query="&amp;SUBSTITUTE(A844," ","+"),"Search Transfermarkt")</f>
        <v>Search Transfermarkt</v>
      </c>
      <c r="AB844" s="29" t="n">
        <f aca="false">IFERROR('Player Data'!K844/('Player Data'!K844+'Player Data'!L844),0)</f>
        <v>0.730337078651685</v>
      </c>
      <c r="AC844" s="21" t="str">
        <f aca="false">IF(B844="GK",IF(AND(O844&gt;=Assumptions!$B$23,N844&gt;=Assumptions!$B$23),"Sweeper-Keeper / Build-from-the-Back",IF(O844&gt;=Assumptions!$B$23,"Sweeper-Keeper / High Line",IF(M844&gt;=Assumptions!$B$23,"Shot-Stopper / Traditional","Flexible / Multi-System"))),IF(AND(O844&gt;=Assumptions!$B$23,P844&gt;=Assumptions!$B$24),"High Press / Gegenpressing",IF(AND(N844&gt;=Assumptions!$B$23,AB844&gt;=Assumptions!$B$25),"Possession / Build-from-the-Back",IF(N844&gt;=Assumptions!$B$23,"Counter-Attack / Transition",IF(AND(O844&gt;=Assumptions!$B$23,N844&lt;Assumptions!$B$26),"Low Block / Park the Bus",IF(AND(B844="FW",M844&gt;=Assumptions!$B$23,N844&lt;Assumptions!$B$26),"Direct / Target Approach","Flexible / Multi-System"))))))</f>
        <v>Flexible / Multi-System</v>
      </c>
      <c r="AD844" s="21" t="str">
        <f aca="false">'Player Data'!Y844</f>
        <v>2026-07-17</v>
      </c>
      <c r="AE844" s="21" t="str">
        <f aca="false">'Player Data'!Z844</f>
        <v>2026-07-17</v>
      </c>
      <c r="AF844" s="28" t="str">
        <f aca="false">IFERROR(INDEX(Assumptions!$B$30:$B$61,MATCH(C844,Assumptions!$A$30:$A$61,0)),"--")</f>
        <v>United States, Mexico</v>
      </c>
      <c r="AG844" s="30" t="str">
        <f aca="false">IF(R844&gt;=0.7,"Step-Up Candidate",IF(R844&gt;=0.4,"Lateral Move","Stay &amp; Develop"))</f>
        <v>Stay &amp; Develop</v>
      </c>
    </row>
    <row r="845" customFormat="false" ht="23.85" hidden="false" customHeight="false" outlineLevel="0" collapsed="false">
      <c r="A845" s="21" t="str">
        <f aca="false">'Player Data'!A845</f>
        <v>Agustin Silva</v>
      </c>
      <c r="B845" s="21" t="str">
        <f aca="false">'Player Data'!F845</f>
        <v>FW</v>
      </c>
      <c r="C845" s="21" t="str">
        <f aca="false">'Player Data'!B845</f>
        <v>Uruguay</v>
      </c>
      <c r="D845" s="21" t="str">
        <f aca="false">'Player Data'!C845</f>
        <v>Uruguay Second Division - East</v>
      </c>
      <c r="E845" s="21" t="n">
        <f aca="false">'Player Data'!D845</f>
        <v>4</v>
      </c>
      <c r="F845" s="21" t="n">
        <f aca="false">'Player Data'!G845</f>
        <v>19</v>
      </c>
      <c r="G845" s="21" t="n">
        <f aca="false">'Player Data'!H845</f>
        <v>2597</v>
      </c>
      <c r="H845" s="22" t="n">
        <f aca="false">IF(B845="GK",IFERROR(('Player Data'!N845-1.5*'Player Data'!O845)/'Player Data'!H845*90,0),IFERROR(('Player Data'!I845+'Player Data'!J845)/'Player Data'!H845*90,0))</f>
        <v>0.346553715825953</v>
      </c>
      <c r="I845" s="22" t="n">
        <f aca="false">IF(B845="GK",'Player Data'!P845,IFERROR(('Player Data'!K845+'Player Data'!L845)/'Player Data'!H845*90,0))</f>
        <v>3.81209087408548</v>
      </c>
      <c r="J845" s="22" t="n">
        <f aca="false">IF(B845="GK",IFERROR('Player Data'!Q845/'Player Data'!H845*90,0),IFERROR('Player Data'!M845/'Player Data'!H845*90,0))</f>
        <v>0.381209087408548</v>
      </c>
      <c r="K845" s="23" t="n">
        <f aca="false">'Player Data'!S845</f>
        <v>0</v>
      </c>
      <c r="L845" s="22" t="n">
        <f aca="false">INDEX(Assumptions!$B$13:$B$15,MATCH(E845,Assumptions!$A$13:$A$15,0))</f>
        <v>0.7</v>
      </c>
      <c r="M845" s="24" t="n">
        <f aca="false">IFERROR(SUMPRODUCT(($B$2:$B$1001=B845)*($H$2:$H$1001&lt;=H845))/SUMPRODUCT(($B$2:$B$1001=B845)*1),0)</f>
        <v>0.00884955752212389</v>
      </c>
      <c r="N845" s="24" t="n">
        <f aca="false">IFERROR(SUMPRODUCT(($B$2:$B$1001=B845)*($I$2:$I$1001&lt;=I845))/SUMPRODUCT(($B$2:$B$1001=B845)*1),0)</f>
        <v>0.0132743362831858</v>
      </c>
      <c r="O845" s="24" t="n">
        <f aca="false">IFERROR(SUMPRODUCT(($B$2:$B$1001=B845)*($J$2:$J$1001&lt;=J845))/SUMPRODUCT(($B$2:$B$1001=B845)*1),0)</f>
        <v>0.314159292035398</v>
      </c>
      <c r="P845" s="24" t="n">
        <f aca="false">IFERROR(SUMPRODUCT(($B$2:$B$1001=B845)*((0-$F$2:$F$1001)&lt;=(0-F845)))/SUMPRODUCT(($B$2:$B$1001=B845)*1),0)</f>
        <v>0.831858407079646</v>
      </c>
      <c r="Q845" s="25" t="n">
        <f aca="false">(M845*Assumptions!$B$5+N845*Assumptions!$B$6+O845*Assumptions!$B$7+P845*Assumptions!$B$8)*L845</f>
        <v>0.165243362831858</v>
      </c>
      <c r="R845" s="24" t="n">
        <f aca="false">IFERROR(SUMPRODUCT(($B$2:$B$1001=B845)*($Q$2:$Q$1001&lt;=Q845))/SUMPRODUCT(($B$2:$B$1001=B845)*1),0)</f>
        <v>0.0486725663716814</v>
      </c>
      <c r="S845" s="24" t="n">
        <f aca="false">IFERROR(SUMPRODUCT(($B$2:$B$1001=B845)*($K$2:$K$1001&lt;=K845))/SUMPRODUCT(($B$2:$B$1001=B845)*1),0)</f>
        <v>0.261061946902655</v>
      </c>
      <c r="T845" s="26" t="n">
        <f aca="false">(R845-S845)*100</f>
        <v>-21.2389380530973</v>
      </c>
      <c r="U845" s="21" t="str">
        <f aca="false">'Player Data'!T845</f>
        <v>Unknown</v>
      </c>
      <c r="V845" s="27" t="n">
        <f aca="false">'Player Data'!U845</f>
        <v>2028</v>
      </c>
      <c r="W845" s="21" t="str">
        <f aca="false">IF(AND(T845&gt;=Assumptions!$B$19,U845="No"),"High Priority - Unrepresented",IF(T845&gt;=Assumptions!$B$19,"High Priority",IF(AND(T845&gt;=Assumptions!$B$20,U845="No"),"Watchlist - Unrepresented",IF(T845&gt;=Assumptions!$B$20,"Watchlist",""))))</f>
        <v/>
      </c>
      <c r="X845" s="21" t="str">
        <f aca="false">'Player Data'!V845</f>
        <v>info@saltosc.uy</v>
      </c>
      <c r="Y845" s="28" t="str">
        <f aca="false">'Player Data'!W845</f>
        <v>Club sporting director / first-team office</v>
      </c>
      <c r="Z845" s="28" t="str">
        <f aca="false">'Player Data'!X845</f>
        <v>AUF (Uruguayan Football Association) player registry</v>
      </c>
      <c r="AA845" s="19" t="str">
        <f aca="false">HYPERLINK("https://www.transfermarkt.com/schnellsuche/ergebnis/schnellsuche?query="&amp;SUBSTITUTE(A845," ","+"),"Search Transfermarkt")</f>
        <v>Search Transfermarkt</v>
      </c>
      <c r="AB845" s="29" t="n">
        <f aca="false">IFERROR('Player Data'!K845/('Player Data'!K845+'Player Data'!L845),0)</f>
        <v>0.263636363636364</v>
      </c>
      <c r="AC845" s="21" t="str">
        <f aca="false">IF(B845="GK",IF(AND(O845&gt;=Assumptions!$B$23,N845&gt;=Assumptions!$B$23),"Sweeper-Keeper / Build-from-the-Back",IF(O845&gt;=Assumptions!$B$23,"Sweeper-Keeper / High Line",IF(M845&gt;=Assumptions!$B$23,"Shot-Stopper / Traditional","Flexible / Multi-System"))),IF(AND(O845&gt;=Assumptions!$B$23,P845&gt;=Assumptions!$B$24),"High Press / Gegenpressing",IF(AND(N845&gt;=Assumptions!$B$23,AB845&gt;=Assumptions!$B$25),"Possession / Build-from-the-Back",IF(N845&gt;=Assumptions!$B$23,"Counter-Attack / Transition",IF(AND(O845&gt;=Assumptions!$B$23,N845&lt;Assumptions!$B$26),"Low Block / Park the Bus",IF(AND(B845="FW",M845&gt;=Assumptions!$B$23,N845&lt;Assumptions!$B$26),"Direct / Target Approach","Flexible / Multi-System"))))))</f>
        <v>Flexible / Multi-System</v>
      </c>
      <c r="AD845" s="21" t="str">
        <f aca="false">'Player Data'!Y845</f>
        <v>2026-07-17</v>
      </c>
      <c r="AE845" s="21" t="str">
        <f aca="false">'Player Data'!Z845</f>
        <v>2026-07-17</v>
      </c>
      <c r="AF845" s="28" t="str">
        <f aca="false">IFERROR(INDEX(Assumptions!$B$30:$B$61,MATCH(C845,Assumptions!$A$30:$A$61,0)),"--")</f>
        <v>Argentina, Portugal</v>
      </c>
      <c r="AG845" s="30" t="str">
        <f aca="false">IF(R845&gt;=0.7,"Step-Up Candidate",IF(R845&gt;=0.4,"Lateral Move","Stay &amp; Develop"))</f>
        <v>Stay &amp; Develop</v>
      </c>
    </row>
    <row r="846" customFormat="false" ht="23.85" hidden="false" customHeight="false" outlineLevel="0" collapsed="false">
      <c r="A846" s="21" t="str">
        <f aca="false">'Player Data'!A846</f>
        <v>Bojan Krstic</v>
      </c>
      <c r="B846" s="21" t="str">
        <f aca="false">'Player Data'!F846</f>
        <v>DF</v>
      </c>
      <c r="C846" s="21" t="str">
        <f aca="false">'Player Data'!B846</f>
        <v>Serbia</v>
      </c>
      <c r="D846" s="21" t="str">
        <f aca="false">'Player Data'!C846</f>
        <v>Serbia Third Tier - North</v>
      </c>
      <c r="E846" s="21" t="n">
        <f aca="false">'Player Data'!D846</f>
        <v>4</v>
      </c>
      <c r="F846" s="21" t="n">
        <f aca="false">'Player Data'!G846</f>
        <v>21</v>
      </c>
      <c r="G846" s="21" t="n">
        <f aca="false">'Player Data'!H846</f>
        <v>2604</v>
      </c>
      <c r="H846" s="22" t="n">
        <f aca="false">IF(B846="GK",IFERROR(('Player Data'!N846-1.5*'Player Data'!O846)/'Player Data'!H846*90,0),IFERROR(('Player Data'!I846+'Player Data'!J846)/'Player Data'!H846*90,0))</f>
        <v>0.138248847926267</v>
      </c>
      <c r="I846" s="22" t="n">
        <f aca="false">IF(B846="GK",'Player Data'!P846,IFERROR(('Player Data'!K846+'Player Data'!L846)/'Player Data'!H846*90,0))</f>
        <v>2.62672811059908</v>
      </c>
      <c r="J846" s="22" t="n">
        <f aca="false">IF(B846="GK",IFERROR('Player Data'!Q846/'Player Data'!H846*90,0),IFERROR('Player Data'!M846/'Player Data'!H846*90,0))</f>
        <v>3.55990783410138</v>
      </c>
      <c r="K846" s="23" t="n">
        <f aca="false">'Player Data'!S846</f>
        <v>83334</v>
      </c>
      <c r="L846" s="22" t="n">
        <f aca="false">INDEX(Assumptions!$B$13:$B$15,MATCH(E846,Assumptions!$A$13:$A$15,0))</f>
        <v>0.7</v>
      </c>
      <c r="M846" s="24" t="n">
        <f aca="false">IFERROR(SUMPRODUCT(($B$2:$B$1001=B846)*($H$2:$H$1001&lt;=H846))/SUMPRODUCT(($B$2:$B$1001=B846)*1),0)</f>
        <v>0.326530612244898</v>
      </c>
      <c r="N846" s="24" t="n">
        <f aca="false">IFERROR(SUMPRODUCT(($B$2:$B$1001=B846)*($I$2:$I$1001&lt;=I846))/SUMPRODUCT(($B$2:$B$1001=B846)*1),0)</f>
        <v>0.0306122448979592</v>
      </c>
      <c r="O846" s="24" t="n">
        <f aca="false">IFERROR(SUMPRODUCT(($B$2:$B$1001=B846)*($J$2:$J$1001&lt;=J846))/SUMPRODUCT(($B$2:$B$1001=B846)*1),0)</f>
        <v>0.108843537414966</v>
      </c>
      <c r="P846" s="24" t="n">
        <f aca="false">IFERROR(SUMPRODUCT(($B$2:$B$1001=B846)*((0-$F$2:$F$1001)&lt;=(0-F846)))/SUMPRODUCT(($B$2:$B$1001=B846)*1),0)</f>
        <v>0.568027210884354</v>
      </c>
      <c r="Q846" s="25" t="n">
        <f aca="false">(M846*Assumptions!$B$5+N846*Assumptions!$B$6+O846*Assumptions!$B$7+P846*Assumptions!$B$8)*L846</f>
        <v>0.159404761904762</v>
      </c>
      <c r="R846" s="24" t="n">
        <f aca="false">IFERROR(SUMPRODUCT(($B$2:$B$1001=B846)*($Q$2:$Q$1001&lt;=Q846))/SUMPRODUCT(($B$2:$B$1001=B846)*1),0)</f>
        <v>0.0374149659863946</v>
      </c>
      <c r="S846" s="24" t="n">
        <f aca="false">IFERROR(SUMPRODUCT(($B$2:$B$1001=B846)*($K$2:$K$1001&lt;=K846))/SUMPRODUCT(($B$2:$B$1001=B846)*1),0)</f>
        <v>0.646258503401361</v>
      </c>
      <c r="T846" s="26" t="n">
        <f aca="false">(R846-S846)*100</f>
        <v>-60.8843537414966</v>
      </c>
      <c r="U846" s="21" t="str">
        <f aca="false">'Player Data'!T846</f>
        <v>No</v>
      </c>
      <c r="V846" s="27" t="n">
        <f aca="false">'Player Data'!U846</f>
        <v>2029</v>
      </c>
      <c r="W846" s="21" t="str">
        <f aca="false">IF(AND(T846&gt;=Assumptions!$B$19,U846="No"),"High Priority - Unrepresented",IF(T846&gt;=Assumptions!$B$19,"High Priority",IF(AND(T846&gt;=Assumptions!$B$20,U846="No"),"Watchlist - Unrepresented",IF(T846&gt;=Assumptions!$B$20,"Watchlist",""))))</f>
        <v/>
      </c>
      <c r="X846" s="21" t="str">
        <f aca="false">'Player Data'!V846</f>
        <v>info@nisrovers.rs</v>
      </c>
      <c r="Y846" s="28" t="str">
        <f aca="false">'Player Data'!W846</f>
        <v>Club sporting director / first-team office</v>
      </c>
      <c r="Z846" s="28" t="str">
        <f aca="false">'Player Data'!X846</f>
        <v>FSS (Football Association of Serbia) player registry</v>
      </c>
      <c r="AA846" s="19" t="str">
        <f aca="false">HYPERLINK("https://www.transfermarkt.com/schnellsuche/ergebnis/schnellsuche?query="&amp;SUBSTITUTE(A846," ","+"),"Search Transfermarkt")</f>
        <v>Search Transfermarkt</v>
      </c>
      <c r="AB846" s="29" t="n">
        <f aca="false">IFERROR('Player Data'!K846/('Player Data'!K846+'Player Data'!L846),0)</f>
        <v>0.526315789473684</v>
      </c>
      <c r="AC846" s="21" t="str">
        <f aca="false">IF(B846="GK",IF(AND(O846&gt;=Assumptions!$B$23,N846&gt;=Assumptions!$B$23),"Sweeper-Keeper / Build-from-the-Back",IF(O846&gt;=Assumptions!$B$23,"Sweeper-Keeper / High Line",IF(M846&gt;=Assumptions!$B$23,"Shot-Stopper / Traditional","Flexible / Multi-System"))),IF(AND(O846&gt;=Assumptions!$B$23,P846&gt;=Assumptions!$B$24),"High Press / Gegenpressing",IF(AND(N846&gt;=Assumptions!$B$23,AB846&gt;=Assumptions!$B$25),"Possession / Build-from-the-Back",IF(N846&gt;=Assumptions!$B$23,"Counter-Attack / Transition",IF(AND(O846&gt;=Assumptions!$B$23,N846&lt;Assumptions!$B$26),"Low Block / Park the Bus",IF(AND(B846="FW",M846&gt;=Assumptions!$B$23,N846&lt;Assumptions!$B$26),"Direct / Target Approach","Flexible / Multi-System"))))))</f>
        <v>Flexible / Multi-System</v>
      </c>
      <c r="AD846" s="21" t="str">
        <f aca="false">'Player Data'!Y846</f>
        <v>2026-07-17</v>
      </c>
      <c r="AE846" s="21" t="str">
        <f aca="false">'Player Data'!Z846</f>
        <v>2026-07-17</v>
      </c>
      <c r="AF846" s="28" t="str">
        <f aca="false">IFERROR(INDEX(Assumptions!$B$30:$B$61,MATCH(C846,Assumptions!$A$30:$A$61,0)),"--")</f>
        <v>Austria, Turkey</v>
      </c>
      <c r="AG846" s="30" t="str">
        <f aca="false">IF(R846&gt;=0.7,"Step-Up Candidate",IF(R846&gt;=0.4,"Lateral Move","Stay &amp; Develop"))</f>
        <v>Stay &amp; Develop</v>
      </c>
    </row>
    <row r="847" customFormat="false" ht="23.85" hidden="false" customHeight="false" outlineLevel="0" collapsed="false">
      <c r="A847" s="21" t="str">
        <f aca="false">'Player Data'!A847</f>
        <v>Klodian Hoxha</v>
      </c>
      <c r="B847" s="21" t="str">
        <f aca="false">'Player Data'!F847</f>
        <v>MF</v>
      </c>
      <c r="C847" s="21" t="str">
        <f aca="false">'Player Data'!B847</f>
        <v>Albania</v>
      </c>
      <c r="D847" s="21" t="str">
        <f aca="false">'Player Data'!C847</f>
        <v>Albania Second Division - West</v>
      </c>
      <c r="E847" s="21" t="n">
        <f aca="false">'Player Data'!D847</f>
        <v>3</v>
      </c>
      <c r="F847" s="21" t="n">
        <f aca="false">'Player Data'!G847</f>
        <v>18</v>
      </c>
      <c r="G847" s="21" t="n">
        <f aca="false">'Player Data'!H847</f>
        <v>1550</v>
      </c>
      <c r="H847" s="22" t="n">
        <f aca="false">IF(B847="GK",IFERROR(('Player Data'!N847-1.5*'Player Data'!O847)/'Player Data'!H847*90,0),IFERROR(('Player Data'!I847+'Player Data'!J847)/'Player Data'!H847*90,0))</f>
        <v>0.929032258064516</v>
      </c>
      <c r="I847" s="22" t="n">
        <f aca="false">IF(B847="GK",'Player Data'!P847,IFERROR(('Player Data'!K847+'Player Data'!L847)/'Player Data'!H847*90,0))</f>
        <v>13.0064516129032</v>
      </c>
      <c r="J847" s="22" t="n">
        <f aca="false">IF(B847="GK",IFERROR('Player Data'!Q847/'Player Data'!H847*90,0),IFERROR('Player Data'!M847/'Player Data'!H847*90,0))</f>
        <v>2.78709677419355</v>
      </c>
      <c r="K847" s="23" t="n">
        <f aca="false">'Player Data'!S847</f>
        <v>120359</v>
      </c>
      <c r="L847" s="22" t="n">
        <f aca="false">INDEX(Assumptions!$B$13:$B$15,MATCH(E847,Assumptions!$A$13:$A$15,0))</f>
        <v>0.85</v>
      </c>
      <c r="M847" s="24" t="n">
        <f aca="false">IFERROR(SUMPRODUCT(($B$2:$B$1001=B847)*($H$2:$H$1001&lt;=H847))/SUMPRODUCT(($B$2:$B$1001=B847)*1),0)</f>
        <v>0.720538720538721</v>
      </c>
      <c r="N847" s="24" t="n">
        <f aca="false">IFERROR(SUMPRODUCT(($B$2:$B$1001=B847)*($I$2:$I$1001&lt;=I847))/SUMPRODUCT(($B$2:$B$1001=B847)*1),0)</f>
        <v>0.663299663299663</v>
      </c>
      <c r="O847" s="24" t="n">
        <f aca="false">IFERROR(SUMPRODUCT(($B$2:$B$1001=B847)*($J$2:$J$1001&lt;=J847))/SUMPRODUCT(($B$2:$B$1001=B847)*1),0)</f>
        <v>0.737373737373737</v>
      </c>
      <c r="P847" s="24" t="n">
        <f aca="false">IFERROR(SUMPRODUCT(($B$2:$B$1001=B847)*((0-$F$2:$F$1001)&lt;=(0-F847)))/SUMPRODUCT(($B$2:$B$1001=B847)*1),0)</f>
        <v>0.929292929292929</v>
      </c>
      <c r="Q847" s="25" t="n">
        <f aca="false">(M847*Assumptions!$B$5+N847*Assumptions!$B$6+O847*Assumptions!$B$7+P847*Assumptions!$B$8)*L847</f>
        <v>0.633779461279461</v>
      </c>
      <c r="R847" s="24" t="n">
        <f aca="false">IFERROR(SUMPRODUCT(($B$2:$B$1001=B847)*($Q$2:$Q$1001&lt;=Q847))/SUMPRODUCT(($B$2:$B$1001=B847)*1),0)</f>
        <v>0.814814814814815</v>
      </c>
      <c r="S847" s="24" t="n">
        <f aca="false">IFERROR(SUMPRODUCT(($B$2:$B$1001=B847)*($K$2:$K$1001&lt;=K847))/SUMPRODUCT(($B$2:$B$1001=B847)*1),0)</f>
        <v>0.855218855218855</v>
      </c>
      <c r="T847" s="26" t="n">
        <f aca="false">(R847-S847)*100</f>
        <v>-4.04040404040404</v>
      </c>
      <c r="U847" s="21" t="str">
        <f aca="false">'Player Data'!T847</f>
        <v>No</v>
      </c>
      <c r="V847" s="27" t="n">
        <f aca="false">'Player Data'!U847</f>
        <v>2028</v>
      </c>
      <c r="W847" s="21" t="str">
        <f aca="false">IF(AND(T847&gt;=Assumptions!$B$19,U847="No"),"High Priority - Unrepresented",IF(T847&gt;=Assumptions!$B$19,"High Priority",IF(AND(T847&gt;=Assumptions!$B$20,U847="No"),"Watchlist - Unrepresented",IF(T847&gt;=Assumptions!$B$20,"Watchlist",""))))</f>
        <v/>
      </c>
      <c r="X847" s="21" t="str">
        <f aca="false">'Player Data'!V847</f>
        <v>info@tiranaathletic.al</v>
      </c>
      <c r="Y847" s="28" t="str">
        <f aca="false">'Player Data'!W847</f>
        <v>Club sporting director / first-team office</v>
      </c>
      <c r="Z847" s="28" t="str">
        <f aca="false">'Player Data'!X847</f>
        <v>FSHF (Albanian Football Association) player registry</v>
      </c>
      <c r="AA847" s="19" t="str">
        <f aca="false">HYPERLINK("https://www.transfermarkt.com/schnellsuche/ergebnis/schnellsuche?query="&amp;SUBSTITUTE(A847," ","+"),"Search Transfermarkt")</f>
        <v>Search Transfermarkt</v>
      </c>
      <c r="AB847" s="29" t="n">
        <f aca="false">IFERROR('Player Data'!K847/('Player Data'!K847+'Player Data'!L847),0)</f>
        <v>0.575892857142857</v>
      </c>
      <c r="AC847" s="21" t="str">
        <f aca="false">IF(B847="GK",IF(AND(O847&gt;=Assumptions!$B$23,N847&gt;=Assumptions!$B$23),"Sweeper-Keeper / Build-from-the-Back",IF(O847&gt;=Assumptions!$B$23,"Sweeper-Keeper / High Line",IF(M847&gt;=Assumptions!$B$23,"Shot-Stopper / Traditional","Flexible / Multi-System"))),IF(AND(O847&gt;=Assumptions!$B$23,P847&gt;=Assumptions!$B$24),"High Press / Gegenpressing",IF(AND(N847&gt;=Assumptions!$B$23,AB847&gt;=Assumptions!$B$25),"Possession / Build-from-the-Back",IF(N847&gt;=Assumptions!$B$23,"Counter-Attack / Transition",IF(AND(O847&gt;=Assumptions!$B$23,N847&lt;Assumptions!$B$26),"Low Block / Park the Bus",IF(AND(B847="FW",M847&gt;=Assumptions!$B$23,N847&lt;Assumptions!$B$26),"Direct / Target Approach","Flexible / Multi-System"))))))</f>
        <v>High Press / Gegenpressing</v>
      </c>
      <c r="AD847" s="21" t="str">
        <f aca="false">'Player Data'!Y847</f>
        <v>2026-07-17</v>
      </c>
      <c r="AE847" s="21" t="str">
        <f aca="false">'Player Data'!Z847</f>
        <v>2026-07-17</v>
      </c>
      <c r="AF847" s="28" t="str">
        <f aca="false">IFERROR(INDEX(Assumptions!$B$30:$B$61,MATCH(C847,Assumptions!$A$30:$A$61,0)),"--")</f>
        <v>Turkey, Poland</v>
      </c>
      <c r="AG847" s="30" t="str">
        <f aca="false">IF(R847&gt;=0.7,"Step-Up Candidate",IF(R847&gt;=0.4,"Lateral Move","Stay &amp; Develop"))</f>
        <v>Step-Up Candidate</v>
      </c>
    </row>
    <row r="848" customFormat="false" ht="23.85" hidden="false" customHeight="false" outlineLevel="0" collapsed="false">
      <c r="A848" s="21" t="str">
        <f aca="false">'Player Data'!A848</f>
        <v>Saba Gelashvili</v>
      </c>
      <c r="B848" s="21" t="str">
        <f aca="false">'Player Data'!F848</f>
        <v>DF</v>
      </c>
      <c r="C848" s="21" t="str">
        <f aca="false">'Player Data'!B848</f>
        <v>Georgia</v>
      </c>
      <c r="D848" s="21" t="str">
        <f aca="false">'Player Data'!C848</f>
        <v>Georgia Second Division</v>
      </c>
      <c r="E848" s="21" t="n">
        <f aca="false">'Player Data'!D848</f>
        <v>2</v>
      </c>
      <c r="F848" s="21" t="n">
        <f aca="false">'Player Data'!G848</f>
        <v>18</v>
      </c>
      <c r="G848" s="21" t="n">
        <f aca="false">'Player Data'!H848</f>
        <v>851</v>
      </c>
      <c r="H848" s="22" t="n">
        <f aca="false">IF(B848="GK",IFERROR(('Player Data'!N848-1.5*'Player Data'!O848)/'Player Data'!H848*90,0),IFERROR(('Player Data'!I848+'Player Data'!J848)/'Player Data'!H848*90,0))</f>
        <v>0.105757931844888</v>
      </c>
      <c r="I848" s="22" t="n">
        <f aca="false">IF(B848="GK",'Player Data'!P848,IFERROR(('Player Data'!K848+'Player Data'!L848)/'Player Data'!H848*90,0))</f>
        <v>8.24911868390129</v>
      </c>
      <c r="J848" s="22" t="n">
        <f aca="false">IF(B848="GK",IFERROR('Player Data'!Q848/'Player Data'!H848*90,0),IFERROR('Player Data'!M848/'Player Data'!H848*90,0))</f>
        <v>9.83548766157462</v>
      </c>
      <c r="K848" s="23" t="n">
        <f aca="false">'Player Data'!S848</f>
        <v>73505</v>
      </c>
      <c r="L848" s="22" t="n">
        <f aca="false">INDEX(Assumptions!$B$13:$B$15,MATCH(E848,Assumptions!$A$13:$A$15,0))</f>
        <v>1</v>
      </c>
      <c r="M848" s="24" t="n">
        <f aca="false">IFERROR(SUMPRODUCT(($B$2:$B$1001=B848)*($H$2:$H$1001&lt;=H848))/SUMPRODUCT(($B$2:$B$1001=B848)*1),0)</f>
        <v>0.224489795918367</v>
      </c>
      <c r="N848" s="24" t="n">
        <f aca="false">IFERROR(SUMPRODUCT(($B$2:$B$1001=B848)*($I$2:$I$1001&lt;=I848))/SUMPRODUCT(($B$2:$B$1001=B848)*1),0)</f>
        <v>0.908163265306123</v>
      </c>
      <c r="O848" s="24" t="n">
        <f aca="false">IFERROR(SUMPRODUCT(($B$2:$B$1001=B848)*($J$2:$J$1001&lt;=J848))/SUMPRODUCT(($B$2:$B$1001=B848)*1),0)</f>
        <v>0.921768707482993</v>
      </c>
      <c r="P848" s="24" t="n">
        <f aca="false">IFERROR(SUMPRODUCT(($B$2:$B$1001=B848)*((0-$F$2:$F$1001)&lt;=(0-F848)))/SUMPRODUCT(($B$2:$B$1001=B848)*1),0)</f>
        <v>0.863945578231293</v>
      </c>
      <c r="Q848" s="25" t="n">
        <f aca="false">(M848*Assumptions!$B$5+N848*Assumptions!$B$6+O848*Assumptions!$B$7+P848*Assumptions!$B$8)*L848</f>
        <v>0.731122448979592</v>
      </c>
      <c r="R848" s="24" t="n">
        <f aca="false">IFERROR(SUMPRODUCT(($B$2:$B$1001=B848)*($Q$2:$Q$1001&lt;=Q848))/SUMPRODUCT(($B$2:$B$1001=B848)*1),0)</f>
        <v>0.901360544217687</v>
      </c>
      <c r="S848" s="24" t="n">
        <f aca="false">IFERROR(SUMPRODUCT(($B$2:$B$1001=B848)*($K$2:$K$1001&lt;=K848))/SUMPRODUCT(($B$2:$B$1001=B848)*1),0)</f>
        <v>0.574829931972789</v>
      </c>
      <c r="T848" s="26" t="n">
        <f aca="false">(R848-S848)*100</f>
        <v>32.6530612244898</v>
      </c>
      <c r="U848" s="21" t="str">
        <f aca="false">'Player Data'!T848</f>
        <v>Unknown</v>
      </c>
      <c r="V848" s="27" t="n">
        <f aca="false">'Player Data'!U848</f>
        <v>2027</v>
      </c>
      <c r="W848" s="21" t="str">
        <f aca="false">IF(AND(T848&gt;=Assumptions!$B$19,U848="No"),"High Priority - Unrepresented",IF(T848&gt;=Assumptions!$B$19,"High Priority",IF(AND(T848&gt;=Assumptions!$B$20,U848="No"),"Watchlist - Unrepresented",IF(T848&gt;=Assumptions!$B$20,"Watchlist",""))))</f>
        <v>Watchlist</v>
      </c>
      <c r="X848" s="21" t="str">
        <f aca="false">'Player Data'!V848</f>
        <v>info@batumiunited.ge</v>
      </c>
      <c r="Y848" s="28" t="str">
        <f aca="false">'Player Data'!W848</f>
        <v>Club sporting director / first-team office</v>
      </c>
      <c r="Z848" s="28" t="str">
        <f aca="false">'Player Data'!X848</f>
        <v>GFF (Georgian Football Federation) player registry</v>
      </c>
      <c r="AA848" s="19" t="str">
        <f aca="false">HYPERLINK("https://www.transfermarkt.com/schnellsuche/ergebnis/schnellsuche?query="&amp;SUBSTITUTE(A848," ","+"),"Search Transfermarkt")</f>
        <v>Search Transfermarkt</v>
      </c>
      <c r="AB848" s="29" t="n">
        <f aca="false">IFERROR('Player Data'!K848/('Player Data'!K848+'Player Data'!L848),0)</f>
        <v>0.487179487179487</v>
      </c>
      <c r="AC848" s="21" t="str">
        <f aca="false">IF(B848="GK",IF(AND(O848&gt;=Assumptions!$B$23,N848&gt;=Assumptions!$B$23),"Sweeper-Keeper / Build-from-the-Back",IF(O848&gt;=Assumptions!$B$23,"Sweeper-Keeper / High Line",IF(M848&gt;=Assumptions!$B$23,"Shot-Stopper / Traditional","Flexible / Multi-System"))),IF(AND(O848&gt;=Assumptions!$B$23,P848&gt;=Assumptions!$B$24),"High Press / Gegenpressing",IF(AND(N848&gt;=Assumptions!$B$23,AB848&gt;=Assumptions!$B$25),"Possession / Build-from-the-Back",IF(N848&gt;=Assumptions!$B$23,"Counter-Attack / Transition",IF(AND(O848&gt;=Assumptions!$B$23,N848&lt;Assumptions!$B$26),"Low Block / Park the Bus",IF(AND(B848="FW",M848&gt;=Assumptions!$B$23,N848&lt;Assumptions!$B$26),"Direct / Target Approach","Flexible / Multi-System"))))))</f>
        <v>High Press / Gegenpressing</v>
      </c>
      <c r="AD848" s="21" t="str">
        <f aca="false">'Player Data'!Y848</f>
        <v>2026-07-17</v>
      </c>
      <c r="AE848" s="21" t="str">
        <f aca="false">'Player Data'!Z848</f>
        <v>2026-07-17</v>
      </c>
      <c r="AF848" s="28" t="str">
        <f aca="false">IFERROR(INDEX(Assumptions!$B$30:$B$61,MATCH(C848,Assumptions!$A$30:$A$61,0)),"--")</f>
        <v>Turkey, Poland</v>
      </c>
      <c r="AG848" s="30" t="str">
        <f aca="false">IF(R848&gt;=0.7,"Step-Up Candidate",IF(R848&gt;=0.4,"Lateral Move","Stay &amp; Develop"))</f>
        <v>Step-Up Candidate</v>
      </c>
    </row>
    <row r="849" customFormat="false" ht="23.85" hidden="false" customHeight="false" outlineLevel="0" collapsed="false">
      <c r="A849" s="21" t="str">
        <f aca="false">'Player Data'!A849</f>
        <v>Ousmane Gueye</v>
      </c>
      <c r="B849" s="21" t="str">
        <f aca="false">'Player Data'!F849</f>
        <v>DF</v>
      </c>
      <c r="C849" s="21" t="str">
        <f aca="false">'Player Data'!B849</f>
        <v>Senegal</v>
      </c>
      <c r="D849" s="21" t="str">
        <f aca="false">'Player Data'!C849</f>
        <v>Senegal Provincial League</v>
      </c>
      <c r="E849" s="21" t="n">
        <f aca="false">'Player Data'!D849</f>
        <v>2</v>
      </c>
      <c r="F849" s="21" t="n">
        <f aca="false">'Player Data'!G849</f>
        <v>20</v>
      </c>
      <c r="G849" s="21" t="n">
        <f aca="false">'Player Data'!H849</f>
        <v>872</v>
      </c>
      <c r="H849" s="22" t="n">
        <f aca="false">IF(B849="GK",IFERROR(('Player Data'!N849-1.5*'Player Data'!O849)/'Player Data'!H849*90,0),IFERROR(('Player Data'!I849+'Player Data'!J849)/'Player Data'!H849*90,0))</f>
        <v>0.51605504587156</v>
      </c>
      <c r="I849" s="22" t="n">
        <f aca="false">IF(B849="GK",'Player Data'!P849,IFERROR(('Player Data'!K849+'Player Data'!L849)/'Player Data'!H849*90,0))</f>
        <v>9.4954128440367</v>
      </c>
      <c r="J849" s="22" t="n">
        <f aca="false">IF(B849="GK",IFERROR('Player Data'!Q849/'Player Data'!H849*90,0),IFERROR('Player Data'!M849/'Player Data'!H849*90,0))</f>
        <v>13.3142201834862</v>
      </c>
      <c r="K849" s="23" t="n">
        <f aca="false">'Player Data'!S849</f>
        <v>141336</v>
      </c>
      <c r="L849" s="22" t="n">
        <f aca="false">INDEX(Assumptions!$B$13:$B$15,MATCH(E849,Assumptions!$A$13:$A$15,0))</f>
        <v>1</v>
      </c>
      <c r="M849" s="24" t="n">
        <f aca="false">IFERROR(SUMPRODUCT(($B$2:$B$1001=B849)*($H$2:$H$1001&lt;=H849))/SUMPRODUCT(($B$2:$B$1001=B849)*1),0)</f>
        <v>0.948979591836735</v>
      </c>
      <c r="N849" s="24" t="n">
        <f aca="false">IFERROR(SUMPRODUCT(($B$2:$B$1001=B849)*($I$2:$I$1001&lt;=I849))/SUMPRODUCT(($B$2:$B$1001=B849)*1),0)</f>
        <v>0.965986394557823</v>
      </c>
      <c r="O849" s="24" t="n">
        <f aca="false">IFERROR(SUMPRODUCT(($B$2:$B$1001=B849)*($J$2:$J$1001&lt;=J849))/SUMPRODUCT(($B$2:$B$1001=B849)*1),0)</f>
        <v>0.996598639455782</v>
      </c>
      <c r="P849" s="24" t="n">
        <f aca="false">IFERROR(SUMPRODUCT(($B$2:$B$1001=B849)*((0-$F$2:$F$1001)&lt;=(0-F849)))/SUMPRODUCT(($B$2:$B$1001=B849)*1),0)</f>
        <v>0.656462585034014</v>
      </c>
      <c r="Q849" s="25" t="n">
        <f aca="false">(M849*Assumptions!$B$5+N849*Assumptions!$B$6+O849*Assumptions!$B$7+P849*Assumptions!$B$8)*L849</f>
        <v>0.905952380952381</v>
      </c>
      <c r="R849" s="24" t="n">
        <f aca="false">IFERROR(SUMPRODUCT(($B$2:$B$1001=B849)*($Q$2:$Q$1001&lt;=Q849))/SUMPRODUCT(($B$2:$B$1001=B849)*1),0)</f>
        <v>0.993197278911565</v>
      </c>
      <c r="S849" s="24" t="n">
        <f aca="false">IFERROR(SUMPRODUCT(($B$2:$B$1001=B849)*($K$2:$K$1001&lt;=K849))/SUMPRODUCT(($B$2:$B$1001=B849)*1),0)</f>
        <v>0.959183673469388</v>
      </c>
      <c r="T849" s="26" t="n">
        <f aca="false">(R849-S849)*100</f>
        <v>3.40136054421769</v>
      </c>
      <c r="U849" s="21" t="str">
        <f aca="false">'Player Data'!T849</f>
        <v>Yes</v>
      </c>
      <c r="V849" s="27" t="n">
        <f aca="false">'Player Data'!U849</f>
        <v>2027</v>
      </c>
      <c r="W849" s="21" t="str">
        <f aca="false">IF(AND(T849&gt;=Assumptions!$B$19,U849="No"),"High Priority - Unrepresented",IF(T849&gt;=Assumptions!$B$19,"High Priority",IF(AND(T849&gt;=Assumptions!$B$20,U849="No"),"Watchlist - Unrepresented",IF(T849&gt;=Assumptions!$B$20,"Watchlist",""))))</f>
        <v/>
      </c>
      <c r="X849" s="21" t="str">
        <f aca="false">'Player Data'!V849</f>
        <v>info@dakarathletic.sn</v>
      </c>
      <c r="Y849" s="28" t="str">
        <f aca="false">'Player Data'!W849</f>
        <v>Go through the player's agent - ask the club to confirm representation first</v>
      </c>
      <c r="Z849" s="28" t="str">
        <f aca="false">'Player Data'!X849</f>
        <v>FSF (Senegalese Football Federation) player registry</v>
      </c>
      <c r="AA849" s="19" t="str">
        <f aca="false">HYPERLINK("https://www.transfermarkt.com/schnellsuche/ergebnis/schnellsuche?query="&amp;SUBSTITUTE(A849," ","+"),"Search Transfermarkt")</f>
        <v>Search Transfermarkt</v>
      </c>
      <c r="AB849" s="29" t="n">
        <f aca="false">IFERROR('Player Data'!K849/('Player Data'!K849+'Player Data'!L849),0)</f>
        <v>0.717391304347826</v>
      </c>
      <c r="AC849" s="21" t="str">
        <f aca="false">IF(B849="GK",IF(AND(O849&gt;=Assumptions!$B$23,N849&gt;=Assumptions!$B$23),"Sweeper-Keeper / Build-from-the-Back",IF(O849&gt;=Assumptions!$B$23,"Sweeper-Keeper / High Line",IF(M849&gt;=Assumptions!$B$23,"Shot-Stopper / Traditional","Flexible / Multi-System"))),IF(AND(O849&gt;=Assumptions!$B$23,P849&gt;=Assumptions!$B$24),"High Press / Gegenpressing",IF(AND(N849&gt;=Assumptions!$B$23,AB849&gt;=Assumptions!$B$25),"Possession / Build-from-the-Back",IF(N849&gt;=Assumptions!$B$23,"Counter-Attack / Transition",IF(AND(O849&gt;=Assumptions!$B$23,N849&lt;Assumptions!$B$26),"Low Block / Park the Bus",IF(AND(B849="FW",M849&gt;=Assumptions!$B$23,N849&lt;Assumptions!$B$26),"Direct / Target Approach","Flexible / Multi-System"))))))</f>
        <v>High Press / Gegenpressing</v>
      </c>
      <c r="AD849" s="21" t="str">
        <f aca="false">'Player Data'!Y849</f>
        <v>2026-07-17</v>
      </c>
      <c r="AE849" s="21" t="str">
        <f aca="false">'Player Data'!Z849</f>
        <v>2026-07-17</v>
      </c>
      <c r="AF849" s="28" t="str">
        <f aca="false">IFERROR(INDEX(Assumptions!$B$30:$B$61,MATCH(C849,Assumptions!$A$30:$A$61,0)),"--")</f>
        <v>Belgium, Portugal</v>
      </c>
      <c r="AG849" s="30" t="str">
        <f aca="false">IF(R849&gt;=0.7,"Step-Up Candidate",IF(R849&gt;=0.4,"Lateral Move","Stay &amp; Develop"))</f>
        <v>Step-Up Candidate</v>
      </c>
    </row>
    <row r="850" customFormat="false" ht="23.85" hidden="false" customHeight="false" outlineLevel="0" collapsed="false">
      <c r="A850" s="21" t="str">
        <f aca="false">'Player Data'!A850</f>
        <v>Jefferson Quinonez</v>
      </c>
      <c r="B850" s="21" t="str">
        <f aca="false">'Player Data'!F850</f>
        <v>GK</v>
      </c>
      <c r="C850" s="21" t="str">
        <f aca="false">'Player Data'!B850</f>
        <v>Ecuador</v>
      </c>
      <c r="D850" s="21" t="str">
        <f aca="false">'Player Data'!C850</f>
        <v>Ecuador Amateur League</v>
      </c>
      <c r="E850" s="21" t="n">
        <f aca="false">'Player Data'!D850</f>
        <v>3</v>
      </c>
      <c r="F850" s="21" t="n">
        <f aca="false">'Player Data'!G850</f>
        <v>26</v>
      </c>
      <c r="G850" s="21" t="n">
        <f aca="false">'Player Data'!H850</f>
        <v>2314</v>
      </c>
      <c r="H850" s="22" t="n">
        <f aca="false">IF(B850="GK",IFERROR(('Player Data'!N850-1.5*'Player Data'!O850)/'Player Data'!H850*90,0),IFERROR(('Player Data'!I850+'Player Data'!J850)/'Player Data'!H850*90,0))</f>
        <v>1.38072601555748</v>
      </c>
      <c r="I850" s="22" t="n">
        <f aca="false">IF(B850="GK",'Player Data'!P850,IFERROR(('Player Data'!K850+'Player Data'!L850)/'Player Data'!H850*90,0))</f>
        <v>83.4</v>
      </c>
      <c r="J850" s="22" t="n">
        <f aca="false">IF(B850="GK",IFERROR('Player Data'!Q850/'Player Data'!H850*90,0),IFERROR('Player Data'!M850/'Player Data'!H850*90,0))</f>
        <v>1.09680207433016</v>
      </c>
      <c r="K850" s="23" t="n">
        <f aca="false">'Player Data'!S850</f>
        <v>127816</v>
      </c>
      <c r="L850" s="22" t="n">
        <f aca="false">INDEX(Assumptions!$B$13:$B$15,MATCH(E850,Assumptions!$A$13:$A$15,0))</f>
        <v>0.85</v>
      </c>
      <c r="M850" s="24" t="n">
        <f aca="false">IFERROR(SUMPRODUCT(($B$2:$B$1001=B850)*($H$2:$H$1001&lt;=H850))/SUMPRODUCT(($B$2:$B$1001=B850)*1),0)</f>
        <v>0.612021857923497</v>
      </c>
      <c r="N850" s="24" t="n">
        <f aca="false">IFERROR(SUMPRODUCT(($B$2:$B$1001=B850)*($I$2:$I$1001&lt;=I850))/SUMPRODUCT(($B$2:$B$1001=B850)*1),0)</f>
        <v>0.792349726775956</v>
      </c>
      <c r="O850" s="24" t="n">
        <f aca="false">IFERROR(SUMPRODUCT(($B$2:$B$1001=B850)*($J$2:$J$1001&lt;=J850))/SUMPRODUCT(($B$2:$B$1001=B850)*1),0)</f>
        <v>0.677595628415301</v>
      </c>
      <c r="P850" s="24" t="n">
        <f aca="false">IFERROR(SUMPRODUCT(($B$2:$B$1001=B850)*((0-$F$2:$F$1001)&lt;=(0-F850)))/SUMPRODUCT(($B$2:$B$1001=B850)*1),0)</f>
        <v>0.131147540983607</v>
      </c>
      <c r="Q850" s="25" t="n">
        <f aca="false">(M850*Assumptions!$B$5+N850*Assumptions!$B$6+O850*Assumptions!$B$7+P850*Assumptions!$B$8)*L850</f>
        <v>0.503265027322404</v>
      </c>
      <c r="R850" s="24" t="n">
        <f aca="false">IFERROR(SUMPRODUCT(($B$2:$B$1001=B850)*($Q$2:$Q$1001&lt;=Q850))/SUMPRODUCT(($B$2:$B$1001=B850)*1),0)</f>
        <v>0.633879781420765</v>
      </c>
      <c r="S850" s="24" t="n">
        <f aca="false">IFERROR(SUMPRODUCT(($B$2:$B$1001=B850)*($K$2:$K$1001&lt;=K850))/SUMPRODUCT(($B$2:$B$1001=B850)*1),0)</f>
        <v>0.868852459016393</v>
      </c>
      <c r="T850" s="26" t="n">
        <f aca="false">(R850-S850)*100</f>
        <v>-23.4972677595628</v>
      </c>
      <c r="U850" s="21" t="str">
        <f aca="false">'Player Data'!T850</f>
        <v>No</v>
      </c>
      <c r="V850" s="27" t="n">
        <f aca="false">'Player Data'!U850</f>
        <v>2026</v>
      </c>
      <c r="W850" s="21" t="str">
        <f aca="false">IF(AND(T850&gt;=Assumptions!$B$19,U850="No"),"High Priority - Unrepresented",IF(T850&gt;=Assumptions!$B$19,"High Priority",IF(AND(T850&gt;=Assumptions!$B$20,U850="No"),"Watchlist - Unrepresented",IF(T850&gt;=Assumptions!$B$20,"Watchlist",""))))</f>
        <v/>
      </c>
      <c r="X850" s="21" t="str">
        <f aca="false">'Player Data'!V850</f>
        <v>info@quitowanderers.ec</v>
      </c>
      <c r="Y850" s="28" t="str">
        <f aca="false">'Player Data'!W850</f>
        <v>Club sporting director / first-team office</v>
      </c>
      <c r="Z850" s="28" t="str">
        <f aca="false">'Player Data'!X850</f>
        <v>FEF (Ecuadorian Football Federation) player registry</v>
      </c>
      <c r="AA850" s="19" t="str">
        <f aca="false">HYPERLINK("https://www.transfermarkt.com/schnellsuche/ergebnis/schnellsuche?query="&amp;SUBSTITUTE(A850," ","+"),"Search Transfermarkt")</f>
        <v>Search Transfermarkt</v>
      </c>
      <c r="AB850" s="29" t="n">
        <f aca="false">IFERROR('Player Data'!K850/('Player Data'!K850+'Player Data'!L850),0)</f>
        <v>0.785714285714286</v>
      </c>
      <c r="AC850" s="21" t="str">
        <f aca="false">IF(B850="GK",IF(AND(O850&gt;=Assumptions!$B$23,N850&gt;=Assumptions!$B$23),"Sweeper-Keeper / Build-from-the-Back",IF(O850&gt;=Assumptions!$B$23,"Sweeper-Keeper / High Line",IF(M850&gt;=Assumptions!$B$23,"Shot-Stopper / Traditional","Flexible / Multi-System"))),IF(AND(O850&gt;=Assumptions!$B$23,P850&gt;=Assumptions!$B$24),"High Press / Gegenpressing",IF(AND(N850&gt;=Assumptions!$B$23,AB850&gt;=Assumptions!$B$25),"Possession / Build-from-the-Back",IF(N850&gt;=Assumptions!$B$23,"Counter-Attack / Transition",IF(AND(O850&gt;=Assumptions!$B$23,N850&lt;Assumptions!$B$26),"Low Block / Park the Bus",IF(AND(B850="FW",M850&gt;=Assumptions!$B$23,N850&lt;Assumptions!$B$26),"Direct / Target Approach","Flexible / Multi-System"))))))</f>
        <v>Sweeper-Keeper / Build-from-the-Back</v>
      </c>
      <c r="AD850" s="21" t="str">
        <f aca="false">'Player Data'!Y850</f>
        <v>2026-07-17</v>
      </c>
      <c r="AE850" s="21" t="str">
        <f aca="false">'Player Data'!Z850</f>
        <v>2026-07-17</v>
      </c>
      <c r="AF850" s="28" t="str">
        <f aca="false">IFERROR(INDEX(Assumptions!$B$30:$B$61,MATCH(C850,Assumptions!$A$30:$A$61,0)),"--")</f>
        <v>Argentina, Portugal</v>
      </c>
      <c r="AG850" s="30" t="str">
        <f aca="false">IF(R850&gt;=0.7,"Step-Up Candidate",IF(R850&gt;=0.4,"Lateral Move","Stay &amp; Develop"))</f>
        <v>Lateral Move</v>
      </c>
    </row>
    <row r="851" customFormat="false" ht="23.85" hidden="false" customHeight="false" outlineLevel="0" collapsed="false">
      <c r="A851" s="21" t="str">
        <f aca="false">'Player Data'!A851</f>
        <v>Noah Wilson</v>
      </c>
      <c r="B851" s="21" t="str">
        <f aca="false">'Player Data'!F851</f>
        <v>MF</v>
      </c>
      <c r="C851" s="21" t="str">
        <f aca="false">'Player Data'!B851</f>
        <v>New Zealand</v>
      </c>
      <c r="D851" s="21" t="str">
        <f aca="false">'Player Data'!C851</f>
        <v>New Zealand Third Tier - North</v>
      </c>
      <c r="E851" s="21" t="n">
        <f aca="false">'Player Data'!D851</f>
        <v>2</v>
      </c>
      <c r="F851" s="21" t="n">
        <f aca="false">'Player Data'!G851</f>
        <v>20</v>
      </c>
      <c r="G851" s="21" t="n">
        <f aca="false">'Player Data'!H851</f>
        <v>1038</v>
      </c>
      <c r="H851" s="22" t="n">
        <f aca="false">IF(B851="GK",IFERROR(('Player Data'!N851-1.5*'Player Data'!O851)/'Player Data'!H851*90,0),IFERROR(('Player Data'!I851+'Player Data'!J851)/'Player Data'!H851*90,0))</f>
        <v>0.606936416184971</v>
      </c>
      <c r="I851" s="22" t="n">
        <f aca="false">IF(B851="GK",'Player Data'!P851,IFERROR(('Player Data'!K851+'Player Data'!L851)/'Player Data'!H851*90,0))</f>
        <v>20.9826589595376</v>
      </c>
      <c r="J851" s="22" t="n">
        <f aca="false">IF(B851="GK",IFERROR('Player Data'!Q851/'Player Data'!H851*90,0),IFERROR('Player Data'!M851/'Player Data'!H851*90,0))</f>
        <v>4.94219653179191</v>
      </c>
      <c r="K851" s="23" t="n">
        <f aca="false">'Player Data'!S851</f>
        <v>0</v>
      </c>
      <c r="L851" s="22" t="n">
        <f aca="false">INDEX(Assumptions!$B$13:$B$15,MATCH(E851,Assumptions!$A$13:$A$15,0))</f>
        <v>1</v>
      </c>
      <c r="M851" s="24" t="n">
        <f aca="false">IFERROR(SUMPRODUCT(($B$2:$B$1001=B851)*($H$2:$H$1001&lt;=H851))/SUMPRODUCT(($B$2:$B$1001=B851)*1),0)</f>
        <v>0.333333333333333</v>
      </c>
      <c r="N851" s="24" t="n">
        <f aca="false">IFERROR(SUMPRODUCT(($B$2:$B$1001=B851)*($I$2:$I$1001&lt;=I851))/SUMPRODUCT(($B$2:$B$1001=B851)*1),0)</f>
        <v>0.919191919191919</v>
      </c>
      <c r="O851" s="24" t="n">
        <f aca="false">IFERROR(SUMPRODUCT(($B$2:$B$1001=B851)*($J$2:$J$1001&lt;=J851))/SUMPRODUCT(($B$2:$B$1001=B851)*1),0)</f>
        <v>0.97979797979798</v>
      </c>
      <c r="P851" s="24" t="n">
        <f aca="false">IFERROR(SUMPRODUCT(($B$2:$B$1001=B851)*((0-$F$2:$F$1001)&lt;=(0-F851)))/SUMPRODUCT(($B$2:$B$1001=B851)*1),0)</f>
        <v>0.734006734006734</v>
      </c>
      <c r="Q851" s="25" t="n">
        <f aca="false">(M851*Assumptions!$B$5+N851*Assumptions!$B$6+O851*Assumptions!$B$7+P851*Assumptions!$B$8)*L851</f>
        <v>0.747811447811448</v>
      </c>
      <c r="R851" s="24" t="n">
        <f aca="false">IFERROR(SUMPRODUCT(($B$2:$B$1001=B851)*($Q$2:$Q$1001&lt;=Q851))/SUMPRODUCT(($B$2:$B$1001=B851)*1),0)</f>
        <v>0.898989898989899</v>
      </c>
      <c r="S851" s="24" t="n">
        <f aca="false">IFERROR(SUMPRODUCT(($B$2:$B$1001=B851)*($K$2:$K$1001&lt;=K851))/SUMPRODUCT(($B$2:$B$1001=B851)*1),0)</f>
        <v>0.228956228956229</v>
      </c>
      <c r="T851" s="26" t="n">
        <f aca="false">(R851-S851)*100</f>
        <v>67.003367003367</v>
      </c>
      <c r="U851" s="21" t="str">
        <f aca="false">'Player Data'!T851</f>
        <v>No</v>
      </c>
      <c r="V851" s="27" t="n">
        <f aca="false">'Player Data'!U851</f>
        <v>2029</v>
      </c>
      <c r="W851" s="21" t="str">
        <f aca="false">IF(AND(T851&gt;=Assumptions!$B$19,U851="No"),"High Priority - Unrepresented",IF(T851&gt;=Assumptions!$B$19,"High Priority",IF(AND(T851&gt;=Assumptions!$B$20,U851="No"),"Watchlist - Unrepresented",IF(T851&gt;=Assumptions!$B$20,"Watchlist",""))))</f>
        <v>High Priority - Unrepresented</v>
      </c>
      <c r="X851" s="21" t="str">
        <f aca="false">'Player Data'!V851</f>
        <v>info@christchurchtown.nz</v>
      </c>
      <c r="Y851" s="28" t="str">
        <f aca="false">'Player Data'!W851</f>
        <v>Club sporting director / first-team office</v>
      </c>
      <c r="Z851" s="28" t="str">
        <f aca="false">'Player Data'!X851</f>
        <v>NZF (New Zealand Football) player registry</v>
      </c>
      <c r="AA851" s="19" t="str">
        <f aca="false">HYPERLINK("https://www.transfermarkt.com/schnellsuche/ergebnis/schnellsuche?query="&amp;SUBSTITUTE(A851," ","+"),"Search Transfermarkt")</f>
        <v>Search Transfermarkt</v>
      </c>
      <c r="AB851" s="29" t="n">
        <f aca="false">IFERROR('Player Data'!K851/('Player Data'!K851+'Player Data'!L851),0)</f>
        <v>0.735537190082645</v>
      </c>
      <c r="AC851" s="21" t="str">
        <f aca="false">IF(B851="GK",IF(AND(O851&gt;=Assumptions!$B$23,N851&gt;=Assumptions!$B$23),"Sweeper-Keeper / Build-from-the-Back",IF(O851&gt;=Assumptions!$B$23,"Sweeper-Keeper / High Line",IF(M851&gt;=Assumptions!$B$23,"Shot-Stopper / Traditional","Flexible / Multi-System"))),IF(AND(O851&gt;=Assumptions!$B$23,P851&gt;=Assumptions!$B$24),"High Press / Gegenpressing",IF(AND(N851&gt;=Assumptions!$B$23,AB851&gt;=Assumptions!$B$25),"Possession / Build-from-the-Back",IF(N851&gt;=Assumptions!$B$23,"Counter-Attack / Transition",IF(AND(O851&gt;=Assumptions!$B$23,N851&lt;Assumptions!$B$26),"Low Block / Park the Bus",IF(AND(B851="FW",M851&gt;=Assumptions!$B$23,N851&lt;Assumptions!$B$26),"Direct / Target Approach","Flexible / Multi-System"))))))</f>
        <v>High Press / Gegenpressing</v>
      </c>
      <c r="AD851" s="21" t="str">
        <f aca="false">'Player Data'!Y851</f>
        <v>2026-07-17</v>
      </c>
      <c r="AE851" s="21" t="str">
        <f aca="false">'Player Data'!Z851</f>
        <v>2026-07-17</v>
      </c>
      <c r="AF851" s="28" t="str">
        <f aca="false">IFERROR(INDEX(Assumptions!$B$30:$B$61,MATCH(C851,Assumptions!$A$30:$A$61,0)),"--")</f>
        <v>Australia, United States</v>
      </c>
      <c r="AG851" s="30" t="str">
        <f aca="false">IF(R851&gt;=0.7,"Step-Up Candidate",IF(R851&gt;=0.4,"Lateral Move","Stay &amp; Develop"))</f>
        <v>Step-Up Candidate</v>
      </c>
    </row>
    <row r="852" customFormat="false" ht="23.85" hidden="false" customHeight="false" outlineLevel="0" collapsed="false">
      <c r="A852" s="21" t="str">
        <f aca="false">'Player Data'!A852</f>
        <v>Pongsak Charoensuk</v>
      </c>
      <c r="B852" s="21" t="str">
        <f aca="false">'Player Data'!F852</f>
        <v>DF</v>
      </c>
      <c r="C852" s="21" t="str">
        <f aca="false">'Player Data'!B852</f>
        <v>Thailand</v>
      </c>
      <c r="D852" s="21" t="str">
        <f aca="false">'Player Data'!C852</f>
        <v>Thailand Provincial League</v>
      </c>
      <c r="E852" s="21" t="n">
        <f aca="false">'Player Data'!D852</f>
        <v>2</v>
      </c>
      <c r="F852" s="21" t="n">
        <f aca="false">'Player Data'!G852</f>
        <v>18</v>
      </c>
      <c r="G852" s="21" t="n">
        <f aca="false">'Player Data'!H852</f>
        <v>1010</v>
      </c>
      <c r="H852" s="22" t="n">
        <f aca="false">IF(B852="GK",IFERROR(('Player Data'!N852-1.5*'Player Data'!O852)/'Player Data'!H852*90,0),IFERROR(('Player Data'!I852+'Player Data'!J852)/'Player Data'!H852*90,0))</f>
        <v>0.534653465346535</v>
      </c>
      <c r="I852" s="22" t="n">
        <f aca="false">IF(B852="GK",'Player Data'!P852,IFERROR(('Player Data'!K852+'Player Data'!L852)/'Player Data'!H852*90,0))</f>
        <v>9.17821782178218</v>
      </c>
      <c r="J852" s="22" t="n">
        <f aca="false">IF(B852="GK",IFERROR('Player Data'!Q852/'Player Data'!H852*90,0),IFERROR('Player Data'!M852/'Player Data'!H852*90,0))</f>
        <v>11.1386138613861</v>
      </c>
      <c r="K852" s="23" t="n">
        <f aca="false">'Player Data'!S852</f>
        <v>147284</v>
      </c>
      <c r="L852" s="22" t="n">
        <f aca="false">INDEX(Assumptions!$B$13:$B$15,MATCH(E852,Assumptions!$A$13:$A$15,0))</f>
        <v>1</v>
      </c>
      <c r="M852" s="24" t="n">
        <f aca="false">IFERROR(SUMPRODUCT(($B$2:$B$1001=B852)*($H$2:$H$1001&lt;=H852))/SUMPRODUCT(($B$2:$B$1001=B852)*1),0)</f>
        <v>0.959183673469388</v>
      </c>
      <c r="N852" s="24" t="n">
        <f aca="false">IFERROR(SUMPRODUCT(($B$2:$B$1001=B852)*($I$2:$I$1001&lt;=I852))/SUMPRODUCT(($B$2:$B$1001=B852)*1),0)</f>
        <v>0.95578231292517</v>
      </c>
      <c r="O852" s="24" t="n">
        <f aca="false">IFERROR(SUMPRODUCT(($B$2:$B$1001=B852)*($J$2:$J$1001&lt;=J852))/SUMPRODUCT(($B$2:$B$1001=B852)*1),0)</f>
        <v>0.962585034013605</v>
      </c>
      <c r="P852" s="24" t="n">
        <f aca="false">IFERROR(SUMPRODUCT(($B$2:$B$1001=B852)*((0-$F$2:$F$1001)&lt;=(0-F852)))/SUMPRODUCT(($B$2:$B$1001=B852)*1),0)</f>
        <v>0.863945578231293</v>
      </c>
      <c r="Q852" s="25" t="n">
        <f aca="false">(M852*Assumptions!$B$5+N852*Assumptions!$B$6+O852*Assumptions!$B$7+P852*Assumptions!$B$8)*L852</f>
        <v>0.939625850340136</v>
      </c>
      <c r="R852" s="24" t="n">
        <f aca="false">IFERROR(SUMPRODUCT(($B$2:$B$1001=B852)*($Q$2:$Q$1001&lt;=Q852))/SUMPRODUCT(($B$2:$B$1001=B852)*1),0)</f>
        <v>1</v>
      </c>
      <c r="S852" s="24" t="n">
        <f aca="false">IFERROR(SUMPRODUCT(($B$2:$B$1001=B852)*($K$2:$K$1001&lt;=K852))/SUMPRODUCT(($B$2:$B$1001=B852)*1),0)</f>
        <v>0.993197278911565</v>
      </c>
      <c r="T852" s="26" t="n">
        <f aca="false">(R852-S852)*100</f>
        <v>0.680272108843538</v>
      </c>
      <c r="U852" s="21" t="str">
        <f aca="false">'Player Data'!T852</f>
        <v>Yes</v>
      </c>
      <c r="V852" s="27" t="n">
        <f aca="false">'Player Data'!U852</f>
        <v>2027</v>
      </c>
      <c r="W852" s="21" t="str">
        <f aca="false">IF(AND(T852&gt;=Assumptions!$B$19,U852="No"),"High Priority - Unrepresented",IF(T852&gt;=Assumptions!$B$19,"High Priority",IF(AND(T852&gt;=Assumptions!$B$20,U852="No"),"Watchlist - Unrepresented",IF(T852&gt;=Assumptions!$B$20,"Watchlist",""))))</f>
        <v/>
      </c>
      <c r="X852" s="21" t="str">
        <f aca="false">'Player Data'!V852</f>
        <v>info@bangkokfc.th</v>
      </c>
      <c r="Y852" s="28" t="str">
        <f aca="false">'Player Data'!W852</f>
        <v>Go through the player's agent - ask the club to confirm representation first</v>
      </c>
      <c r="Z852" s="28" t="str">
        <f aca="false">'Player Data'!X852</f>
        <v>FAT (Football Association of Thailand) player registry</v>
      </c>
      <c r="AA852" s="19" t="str">
        <f aca="false">HYPERLINK("https://www.transfermarkt.com/schnellsuche/ergebnis/schnellsuche?query="&amp;SUBSTITUTE(A852," ","+"),"Search Transfermarkt")</f>
        <v>Search Transfermarkt</v>
      </c>
      <c r="AB852" s="29" t="n">
        <f aca="false">IFERROR('Player Data'!K852/('Player Data'!K852+'Player Data'!L852),0)</f>
        <v>0.601941747572816</v>
      </c>
      <c r="AC852" s="21" t="str">
        <f aca="false">IF(B852="GK",IF(AND(O852&gt;=Assumptions!$B$23,N852&gt;=Assumptions!$B$23),"Sweeper-Keeper / Build-from-the-Back",IF(O852&gt;=Assumptions!$B$23,"Sweeper-Keeper / High Line",IF(M852&gt;=Assumptions!$B$23,"Shot-Stopper / Traditional","Flexible / Multi-System"))),IF(AND(O852&gt;=Assumptions!$B$23,P852&gt;=Assumptions!$B$24),"High Press / Gegenpressing",IF(AND(N852&gt;=Assumptions!$B$23,AB852&gt;=Assumptions!$B$25),"Possession / Build-from-the-Back",IF(N852&gt;=Assumptions!$B$23,"Counter-Attack / Transition",IF(AND(O852&gt;=Assumptions!$B$23,N852&lt;Assumptions!$B$26),"Low Block / Park the Bus",IF(AND(B852="FW",M852&gt;=Assumptions!$B$23,N852&lt;Assumptions!$B$26),"Direct / Target Approach","Flexible / Multi-System"))))))</f>
        <v>High Press / Gegenpressing</v>
      </c>
      <c r="AD852" s="21" t="str">
        <f aca="false">'Player Data'!Y852</f>
        <v>2026-07-17</v>
      </c>
      <c r="AE852" s="21" t="str">
        <f aca="false">'Player Data'!Z852</f>
        <v>2026-07-17</v>
      </c>
      <c r="AF852" s="28" t="str">
        <f aca="false">IFERROR(INDEX(Assumptions!$B$30:$B$61,MATCH(C852,Assumptions!$A$30:$A$61,0)),"--")</f>
        <v>Australia, Saudi Arabia</v>
      </c>
      <c r="AG852" s="30" t="str">
        <f aca="false">IF(R852&gt;=0.7,"Step-Up Candidate",IF(R852&gt;=0.4,"Lateral Move","Stay &amp; Develop"))</f>
        <v>Step-Up Candidate</v>
      </c>
    </row>
    <row r="853" customFormat="false" ht="23.85" hidden="false" customHeight="false" outlineLevel="0" collapsed="false">
      <c r="A853" s="21" t="str">
        <f aca="false">'Player Data'!A853</f>
        <v>Stefan Petursson</v>
      </c>
      <c r="B853" s="21" t="str">
        <f aca="false">'Player Data'!F853</f>
        <v>GK</v>
      </c>
      <c r="C853" s="21" t="str">
        <f aca="false">'Player Data'!B853</f>
        <v>Iceland</v>
      </c>
      <c r="D853" s="21" t="str">
        <f aca="false">'Player Data'!C853</f>
        <v>Iceland Amateur League</v>
      </c>
      <c r="E853" s="21" t="n">
        <f aca="false">'Player Data'!D853</f>
        <v>2</v>
      </c>
      <c r="F853" s="21" t="n">
        <f aca="false">'Player Data'!G853</f>
        <v>25</v>
      </c>
      <c r="G853" s="21" t="n">
        <f aca="false">'Player Data'!H853</f>
        <v>943</v>
      </c>
      <c r="H853" s="22" t="n">
        <f aca="false">IF(B853="GK",IFERROR(('Player Data'!N853-1.5*'Player Data'!O853)/'Player Data'!H853*90,0),IFERROR(('Player Data'!I853+'Player Data'!J853)/'Player Data'!H853*90,0))</f>
        <v>1.71792152704136</v>
      </c>
      <c r="I853" s="22" t="n">
        <f aca="false">IF(B853="GK",'Player Data'!P853,IFERROR(('Player Data'!K853+'Player Data'!L853)/'Player Data'!H853*90,0))</f>
        <v>72.4</v>
      </c>
      <c r="J853" s="22" t="n">
        <f aca="false">IF(B853="GK",IFERROR('Player Data'!Q853/'Player Data'!H853*90,0),IFERROR('Player Data'!M853/'Player Data'!H853*90,0))</f>
        <v>1.10710498409332</v>
      </c>
      <c r="K853" s="23" t="n">
        <f aca="false">'Player Data'!S853</f>
        <v>145180</v>
      </c>
      <c r="L853" s="22" t="n">
        <f aca="false">INDEX(Assumptions!$B$13:$B$15,MATCH(E853,Assumptions!$A$13:$A$15,0))</f>
        <v>1</v>
      </c>
      <c r="M853" s="24" t="n">
        <f aca="false">IFERROR(SUMPRODUCT(($B$2:$B$1001=B853)*($H$2:$H$1001&lt;=H853))/SUMPRODUCT(($B$2:$B$1001=B853)*1),0)</f>
        <v>0.775956284153005</v>
      </c>
      <c r="N853" s="24" t="n">
        <f aca="false">IFERROR(SUMPRODUCT(($B$2:$B$1001=B853)*($I$2:$I$1001&lt;=I853))/SUMPRODUCT(($B$2:$B$1001=B853)*1),0)</f>
        <v>0.491803278688525</v>
      </c>
      <c r="O853" s="24" t="n">
        <f aca="false">IFERROR(SUMPRODUCT(($B$2:$B$1001=B853)*($J$2:$J$1001&lt;=J853))/SUMPRODUCT(($B$2:$B$1001=B853)*1),0)</f>
        <v>0.683060109289618</v>
      </c>
      <c r="P853" s="24" t="n">
        <f aca="false">IFERROR(SUMPRODUCT(($B$2:$B$1001=B853)*((0-$F$2:$F$1001)&lt;=(0-F853)))/SUMPRODUCT(($B$2:$B$1001=B853)*1),0)</f>
        <v>0.240437158469945</v>
      </c>
      <c r="Q853" s="25" t="n">
        <f aca="false">(M853*Assumptions!$B$5+N853*Assumptions!$B$6+O853*Assumptions!$B$7+P853*Assumptions!$B$8)*L853</f>
        <v>0.550819672131148</v>
      </c>
      <c r="R853" s="24" t="n">
        <f aca="false">IFERROR(SUMPRODUCT(($B$2:$B$1001=B853)*($Q$2:$Q$1001&lt;=Q853))/SUMPRODUCT(($B$2:$B$1001=B853)*1),0)</f>
        <v>0.748633879781421</v>
      </c>
      <c r="S853" s="24" t="n">
        <f aca="false">IFERROR(SUMPRODUCT(($B$2:$B$1001=B853)*($K$2:$K$1001&lt;=K853))/SUMPRODUCT(($B$2:$B$1001=B853)*1),0)</f>
        <v>0.972677595628415</v>
      </c>
      <c r="T853" s="26" t="n">
        <f aca="false">(R853-S853)*100</f>
        <v>-22.4043715846994</v>
      </c>
      <c r="U853" s="21" t="str">
        <f aca="false">'Player Data'!T853</f>
        <v>Unknown</v>
      </c>
      <c r="V853" s="27" t="n">
        <f aca="false">'Player Data'!U853</f>
        <v>2027</v>
      </c>
      <c r="W853" s="21" t="str">
        <f aca="false">IF(AND(T853&gt;=Assumptions!$B$19,U853="No"),"High Priority - Unrepresented",IF(T853&gt;=Assumptions!$B$19,"High Priority",IF(AND(T853&gt;=Assumptions!$B$20,U853="No"),"Watchlist - Unrepresented",IF(T853&gt;=Assumptions!$B$20,"Watchlist",""))))</f>
        <v/>
      </c>
      <c r="X853" s="21" t="str">
        <f aca="false">'Player Data'!V853</f>
        <v>info@reykjavikrovers.is</v>
      </c>
      <c r="Y853" s="28" t="str">
        <f aca="false">'Player Data'!W853</f>
        <v>Club sporting director / first-team office</v>
      </c>
      <c r="Z853" s="28" t="str">
        <f aca="false">'Player Data'!X853</f>
        <v>KSI (Icelandic Football Association) player registry</v>
      </c>
      <c r="AA853" s="19" t="str">
        <f aca="false">HYPERLINK("https://www.transfermarkt.com/schnellsuche/ergebnis/schnellsuche?query="&amp;SUBSTITUTE(A853," ","+"),"Search Transfermarkt")</f>
        <v>Search Transfermarkt</v>
      </c>
      <c r="AB853" s="29" t="n">
        <f aca="false">IFERROR('Player Data'!K853/('Player Data'!K853+'Player Data'!L853),0)</f>
        <v>0.9</v>
      </c>
      <c r="AC853" s="21" t="str">
        <f aca="false">IF(B853="GK",IF(AND(O853&gt;=Assumptions!$B$23,N853&gt;=Assumptions!$B$23),"Sweeper-Keeper / Build-from-the-Back",IF(O853&gt;=Assumptions!$B$23,"Sweeper-Keeper / High Line",IF(M853&gt;=Assumptions!$B$23,"Shot-Stopper / Traditional","Flexible / Multi-System"))),IF(AND(O853&gt;=Assumptions!$B$23,P853&gt;=Assumptions!$B$24),"High Press / Gegenpressing",IF(AND(N853&gt;=Assumptions!$B$23,AB853&gt;=Assumptions!$B$25),"Possession / Build-from-the-Back",IF(N853&gt;=Assumptions!$B$23,"Counter-Attack / Transition",IF(AND(O853&gt;=Assumptions!$B$23,N853&lt;Assumptions!$B$26),"Low Block / Park the Bus",IF(AND(B853="FW",M853&gt;=Assumptions!$B$23,N853&lt;Assumptions!$B$26),"Direct / Target Approach","Flexible / Multi-System"))))))</f>
        <v>Sweeper-Keeper / High Line</v>
      </c>
      <c r="AD853" s="21" t="str">
        <f aca="false">'Player Data'!Y853</f>
        <v>2026-07-17</v>
      </c>
      <c r="AE853" s="21" t="str">
        <f aca="false">'Player Data'!Z853</f>
        <v>2026-07-17</v>
      </c>
      <c r="AF853" s="28" t="str">
        <f aca="false">IFERROR(INDEX(Assumptions!$B$30:$B$61,MATCH(C853,Assumptions!$A$30:$A$61,0)),"--")</f>
        <v>Norway, Belgium</v>
      </c>
      <c r="AG853" s="30" t="str">
        <f aca="false">IF(R853&gt;=0.7,"Step-Up Candidate",IF(R853&gt;=0.4,"Lateral Move","Stay &amp; Develop"))</f>
        <v>Step-Up Candidate</v>
      </c>
    </row>
    <row r="854" customFormat="false" ht="23.85" hidden="false" customHeight="false" outlineLevel="0" collapsed="false">
      <c r="A854" s="21" t="str">
        <f aca="false">'Player Data'!A854</f>
        <v>Bryan Martinez</v>
      </c>
      <c r="B854" s="21" t="str">
        <f aca="false">'Player Data'!F854</f>
        <v>DF</v>
      </c>
      <c r="C854" s="21" t="str">
        <f aca="false">'Player Data'!B854</f>
        <v>Honduras</v>
      </c>
      <c r="D854" s="21" t="str">
        <f aca="false">'Player Data'!C854</f>
        <v>Honduras Regional League</v>
      </c>
      <c r="E854" s="21" t="n">
        <f aca="false">'Player Data'!D854</f>
        <v>4</v>
      </c>
      <c r="F854" s="21" t="n">
        <f aca="false">'Player Data'!G854</f>
        <v>22</v>
      </c>
      <c r="G854" s="21" t="n">
        <f aca="false">'Player Data'!H854</f>
        <v>938</v>
      </c>
      <c r="H854" s="22" t="n">
        <f aca="false">IF(B854="GK",IFERROR(('Player Data'!N854-1.5*'Player Data'!O854)/'Player Data'!H854*90,0),IFERROR(('Player Data'!I854+'Player Data'!J854)/'Player Data'!H854*90,0))</f>
        <v>0.191897654584222</v>
      </c>
      <c r="I854" s="22" t="n">
        <f aca="false">IF(B854="GK",'Player Data'!P854,IFERROR(('Player Data'!K854+'Player Data'!L854)/'Player Data'!H854*90,0))</f>
        <v>6.52452025586354</v>
      </c>
      <c r="J854" s="22" t="n">
        <f aca="false">IF(B854="GK",IFERROR('Player Data'!Q854/'Player Data'!H854*90,0),IFERROR('Player Data'!M854/'Player Data'!H854*90,0))</f>
        <v>7.38805970149254</v>
      </c>
      <c r="K854" s="23" t="n">
        <f aca="false">'Player Data'!S854</f>
        <v>14241</v>
      </c>
      <c r="L854" s="22" t="n">
        <f aca="false">INDEX(Assumptions!$B$13:$B$15,MATCH(E854,Assumptions!$A$13:$A$15,0))</f>
        <v>0.7</v>
      </c>
      <c r="M854" s="24" t="n">
        <f aca="false">IFERROR(SUMPRODUCT(($B$2:$B$1001=B854)*($H$2:$H$1001&lt;=H854))/SUMPRODUCT(($B$2:$B$1001=B854)*1),0)</f>
        <v>0.510204081632653</v>
      </c>
      <c r="N854" s="24" t="n">
        <f aca="false">IFERROR(SUMPRODUCT(($B$2:$B$1001=B854)*($I$2:$I$1001&lt;=I854))/SUMPRODUCT(($B$2:$B$1001=B854)*1),0)</f>
        <v>0.799319727891157</v>
      </c>
      <c r="O854" s="24" t="n">
        <f aca="false">IFERROR(SUMPRODUCT(($B$2:$B$1001=B854)*($J$2:$J$1001&lt;=J854))/SUMPRODUCT(($B$2:$B$1001=B854)*1),0)</f>
        <v>0.795918367346939</v>
      </c>
      <c r="P854" s="24" t="n">
        <f aca="false">IFERROR(SUMPRODUCT(($B$2:$B$1001=B854)*((0-$F$2:$F$1001)&lt;=(0-F854)))/SUMPRODUCT(($B$2:$B$1001=B854)*1),0)</f>
        <v>0.493197278911565</v>
      </c>
      <c r="Q854" s="25" t="n">
        <f aca="false">(M854*Assumptions!$B$5+N854*Assumptions!$B$6+O854*Assumptions!$B$7+P854*Assumptions!$B$8)*L854</f>
        <v>0.465595238095238</v>
      </c>
      <c r="R854" s="24" t="n">
        <f aca="false">IFERROR(SUMPRODUCT(($B$2:$B$1001=B854)*($Q$2:$Q$1001&lt;=Q854))/SUMPRODUCT(($B$2:$B$1001=B854)*1),0)</f>
        <v>0.598639455782313</v>
      </c>
      <c r="S854" s="24" t="n">
        <f aca="false">IFERROR(SUMPRODUCT(($B$2:$B$1001=B854)*($K$2:$K$1001&lt;=K854))/SUMPRODUCT(($B$2:$B$1001=B854)*1),0)</f>
        <v>0.272108843537415</v>
      </c>
      <c r="T854" s="26" t="n">
        <f aca="false">(R854-S854)*100</f>
        <v>32.6530612244898</v>
      </c>
      <c r="U854" s="21" t="str">
        <f aca="false">'Player Data'!T854</f>
        <v>Yes</v>
      </c>
      <c r="V854" s="27" t="n">
        <f aca="false">'Player Data'!U854</f>
        <v>2027</v>
      </c>
      <c r="W854" s="21" t="str">
        <f aca="false">IF(AND(T854&gt;=Assumptions!$B$19,U854="No"),"High Priority - Unrepresented",IF(T854&gt;=Assumptions!$B$19,"High Priority",IF(AND(T854&gt;=Assumptions!$B$20,U854="No"),"Watchlist - Unrepresented",IF(T854&gt;=Assumptions!$B$20,"Watchlist",""))))</f>
        <v>Watchlist</v>
      </c>
      <c r="X854" s="21" t="str">
        <f aca="false">'Player Data'!V854</f>
        <v>info@cholutecasc.hn</v>
      </c>
      <c r="Y854" s="28" t="str">
        <f aca="false">'Player Data'!W854</f>
        <v>Go through the player's agent - ask the club to confirm representation first</v>
      </c>
      <c r="Z854" s="28" t="str">
        <f aca="false">'Player Data'!X854</f>
        <v>FENAFUTH (Honduran Football Federation) player registry</v>
      </c>
      <c r="AA854" s="19" t="str">
        <f aca="false">HYPERLINK("https://www.transfermarkt.com/schnellsuche/ergebnis/schnellsuche?query="&amp;SUBSTITUTE(A854," ","+"),"Search Transfermarkt")</f>
        <v>Search Transfermarkt</v>
      </c>
      <c r="AB854" s="29" t="n">
        <f aca="false">IFERROR('Player Data'!K854/('Player Data'!K854+'Player Data'!L854),0)</f>
        <v>0.558823529411765</v>
      </c>
      <c r="AC854" s="21" t="str">
        <f aca="false">IF(B854="GK",IF(AND(O854&gt;=Assumptions!$B$23,N854&gt;=Assumptions!$B$23),"Sweeper-Keeper / Build-from-the-Back",IF(O854&gt;=Assumptions!$B$23,"Sweeper-Keeper / High Line",IF(M854&gt;=Assumptions!$B$23,"Shot-Stopper / Traditional","Flexible / Multi-System"))),IF(AND(O854&gt;=Assumptions!$B$23,P854&gt;=Assumptions!$B$24),"High Press / Gegenpressing",IF(AND(N854&gt;=Assumptions!$B$23,AB854&gt;=Assumptions!$B$25),"Possession / Build-from-the-Back",IF(N854&gt;=Assumptions!$B$23,"Counter-Attack / Transition",IF(AND(O854&gt;=Assumptions!$B$23,N854&lt;Assumptions!$B$26),"Low Block / Park the Bus",IF(AND(B854="FW",M854&gt;=Assumptions!$B$23,N854&lt;Assumptions!$B$26),"Direct / Target Approach","Flexible / Multi-System"))))))</f>
        <v>Counter-Attack / Transition</v>
      </c>
      <c r="AD854" s="21" t="str">
        <f aca="false">'Player Data'!Y854</f>
        <v>2026-07-17</v>
      </c>
      <c r="AE854" s="21" t="str">
        <f aca="false">'Player Data'!Z854</f>
        <v>2026-07-17</v>
      </c>
      <c r="AF854" s="28" t="str">
        <f aca="false">IFERROR(INDEX(Assumptions!$B$30:$B$61,MATCH(C854,Assumptions!$A$30:$A$61,0)),"--")</f>
        <v>Mexico, United States</v>
      </c>
      <c r="AG854" s="30" t="str">
        <f aca="false">IF(R854&gt;=0.7,"Step-Up Candidate",IF(R854&gt;=0.4,"Lateral Move","Stay &amp; Develop"))</f>
        <v>Lateral Move</v>
      </c>
    </row>
    <row r="855" customFormat="false" ht="23.85" hidden="false" customHeight="false" outlineLevel="0" collapsed="false">
      <c r="A855" s="21" t="str">
        <f aca="false">'Player Data'!A855</f>
        <v>Didier Bamba</v>
      </c>
      <c r="B855" s="21" t="str">
        <f aca="false">'Player Data'!F855</f>
        <v>FW</v>
      </c>
      <c r="C855" s="21" t="str">
        <f aca="false">'Player Data'!B855</f>
        <v>Ivory Coast</v>
      </c>
      <c r="D855" s="21" t="str">
        <f aca="false">'Player Data'!C855</f>
        <v>Ivory Coast Third Tier - North</v>
      </c>
      <c r="E855" s="21" t="n">
        <f aca="false">'Player Data'!D855</f>
        <v>2</v>
      </c>
      <c r="F855" s="21" t="n">
        <f aca="false">'Player Data'!G855</f>
        <v>22</v>
      </c>
      <c r="G855" s="21" t="n">
        <f aca="false">'Player Data'!H855</f>
        <v>2657</v>
      </c>
      <c r="H855" s="22" t="n">
        <f aca="false">IF(B855="GK",IFERROR(('Player Data'!N855-1.5*'Player Data'!O855)/'Player Data'!H855*90,0),IFERROR(('Player Data'!I855+'Player Data'!J855)/'Player Data'!H855*90,0))</f>
        <v>0.338727888596161</v>
      </c>
      <c r="I855" s="22" t="n">
        <f aca="false">IF(B855="GK",'Player Data'!P855,IFERROR(('Player Data'!K855+'Player Data'!L855)/'Player Data'!H855*90,0))</f>
        <v>4.74219044034626</v>
      </c>
      <c r="J855" s="22" t="n">
        <f aca="false">IF(B855="GK",IFERROR('Player Data'!Q855/'Player Data'!H855*90,0),IFERROR('Player Data'!M855/'Player Data'!H855*90,0))</f>
        <v>0.440346255175009</v>
      </c>
      <c r="K855" s="23" t="n">
        <f aca="false">'Player Data'!S855</f>
        <v>0</v>
      </c>
      <c r="L855" s="22" t="n">
        <f aca="false">INDEX(Assumptions!$B$13:$B$15,MATCH(E855,Assumptions!$A$13:$A$15,0))</f>
        <v>1</v>
      </c>
      <c r="M855" s="24" t="n">
        <f aca="false">IFERROR(SUMPRODUCT(($B$2:$B$1001=B855)*($H$2:$H$1001&lt;=H855))/SUMPRODUCT(($B$2:$B$1001=B855)*1),0)</f>
        <v>0.00442477876106195</v>
      </c>
      <c r="N855" s="24" t="n">
        <f aca="false">IFERROR(SUMPRODUCT(($B$2:$B$1001=B855)*($I$2:$I$1001&lt;=I855))/SUMPRODUCT(($B$2:$B$1001=B855)*1),0)</f>
        <v>0.163716814159292</v>
      </c>
      <c r="O855" s="24" t="n">
        <f aca="false">IFERROR(SUMPRODUCT(($B$2:$B$1001=B855)*($J$2:$J$1001&lt;=J855))/SUMPRODUCT(($B$2:$B$1001=B855)*1),0)</f>
        <v>0.398230088495575</v>
      </c>
      <c r="P855" s="24" t="n">
        <f aca="false">IFERROR(SUMPRODUCT(($B$2:$B$1001=B855)*((0-$F$2:$F$1001)&lt;=(0-F855)))/SUMPRODUCT(($B$2:$B$1001=B855)*1),0)</f>
        <v>0.504424778761062</v>
      </c>
      <c r="Q855" s="25" t="n">
        <f aca="false">(M855*Assumptions!$B$5+N855*Assumptions!$B$6+O855*Assumptions!$B$7+P855*Assumptions!$B$8)*L855</f>
        <v>0.238938053097345</v>
      </c>
      <c r="R855" s="24" t="n">
        <f aca="false">IFERROR(SUMPRODUCT(($B$2:$B$1001=B855)*($Q$2:$Q$1001&lt;=Q855))/SUMPRODUCT(($B$2:$B$1001=B855)*1),0)</f>
        <v>0.163716814159292</v>
      </c>
      <c r="S855" s="24" t="n">
        <f aca="false">IFERROR(SUMPRODUCT(($B$2:$B$1001=B855)*($K$2:$K$1001&lt;=K855))/SUMPRODUCT(($B$2:$B$1001=B855)*1),0)</f>
        <v>0.261061946902655</v>
      </c>
      <c r="T855" s="26" t="n">
        <f aca="false">(R855-S855)*100</f>
        <v>-9.73451327433629</v>
      </c>
      <c r="U855" s="21" t="str">
        <f aca="false">'Player Data'!T855</f>
        <v>No</v>
      </c>
      <c r="V855" s="27" t="n">
        <f aca="false">'Player Data'!U855</f>
        <v>2026</v>
      </c>
      <c r="W855" s="21" t="str">
        <f aca="false">IF(AND(T855&gt;=Assumptions!$B$19,U855="No"),"High Priority - Unrepresented",IF(T855&gt;=Assumptions!$B$19,"High Priority",IF(AND(T855&gt;=Assumptions!$B$20,U855="No"),"Watchlist - Unrepresented",IF(T855&gt;=Assumptions!$B$20,"Watchlist",""))))</f>
        <v/>
      </c>
      <c r="X855" s="21" t="str">
        <f aca="false">'Player Data'!V855</f>
        <v>info@bouakesc.ci</v>
      </c>
      <c r="Y855" s="28" t="str">
        <f aca="false">'Player Data'!W855</f>
        <v>Club sporting director / first-team office</v>
      </c>
      <c r="Z855" s="28" t="str">
        <f aca="false">'Player Data'!X855</f>
        <v>FIF (Ivorian Football Federation) player registry</v>
      </c>
      <c r="AA855" s="19" t="str">
        <f aca="false">HYPERLINK("https://www.transfermarkt.com/schnellsuche/ergebnis/schnellsuche?query="&amp;SUBSTITUTE(A855," ","+"),"Search Transfermarkt")</f>
        <v>Search Transfermarkt</v>
      </c>
      <c r="AB855" s="29" t="n">
        <f aca="false">IFERROR('Player Data'!K855/('Player Data'!K855+'Player Data'!L855),0)</f>
        <v>0.35</v>
      </c>
      <c r="AC855" s="21" t="str">
        <f aca="false">IF(B855="GK",IF(AND(O855&gt;=Assumptions!$B$23,N855&gt;=Assumptions!$B$23),"Sweeper-Keeper / Build-from-the-Back",IF(O855&gt;=Assumptions!$B$23,"Sweeper-Keeper / High Line",IF(M855&gt;=Assumptions!$B$23,"Shot-Stopper / Traditional","Flexible / Multi-System"))),IF(AND(O855&gt;=Assumptions!$B$23,P855&gt;=Assumptions!$B$24),"High Press / Gegenpressing",IF(AND(N855&gt;=Assumptions!$B$23,AB855&gt;=Assumptions!$B$25),"Possession / Build-from-the-Back",IF(N855&gt;=Assumptions!$B$23,"Counter-Attack / Transition",IF(AND(O855&gt;=Assumptions!$B$23,N855&lt;Assumptions!$B$26),"Low Block / Park the Bus",IF(AND(B855="FW",M855&gt;=Assumptions!$B$23,N855&lt;Assumptions!$B$26),"Direct / Target Approach","Flexible / Multi-System"))))))</f>
        <v>Flexible / Multi-System</v>
      </c>
      <c r="AD855" s="21" t="str">
        <f aca="false">'Player Data'!Y855</f>
        <v>2026-07-17</v>
      </c>
      <c r="AE855" s="21" t="str">
        <f aca="false">'Player Data'!Z855</f>
        <v>2026-07-17</v>
      </c>
      <c r="AF855" s="28" t="str">
        <f aca="false">IFERROR(INDEX(Assumptions!$B$30:$B$61,MATCH(C855,Assumptions!$A$30:$A$61,0)),"--")</f>
        <v>Belgium, Portugal</v>
      </c>
      <c r="AG855" s="30" t="str">
        <f aca="false">IF(R855&gt;=0.7,"Step-Up Candidate",IF(R855&gt;=0.4,"Lateral Move","Stay &amp; Develop"))</f>
        <v>Stay &amp; Develop</v>
      </c>
    </row>
    <row r="856" customFormat="false" ht="23.85" hidden="false" customHeight="false" outlineLevel="0" collapsed="false">
      <c r="A856" s="21" t="str">
        <f aca="false">'Player Data'!A856</f>
        <v>Liam Brown</v>
      </c>
      <c r="B856" s="21" t="str">
        <f aca="false">'Player Data'!F856</f>
        <v>MF</v>
      </c>
      <c r="C856" s="21" t="str">
        <f aca="false">'Player Data'!B856</f>
        <v>New Zealand</v>
      </c>
      <c r="D856" s="21" t="str">
        <f aca="false">'Player Data'!C856</f>
        <v>New Zealand Second Division - West</v>
      </c>
      <c r="E856" s="21" t="n">
        <f aca="false">'Player Data'!D856</f>
        <v>3</v>
      </c>
      <c r="F856" s="21" t="n">
        <f aca="false">'Player Data'!G856</f>
        <v>19</v>
      </c>
      <c r="G856" s="21" t="n">
        <f aca="false">'Player Data'!H856</f>
        <v>2005</v>
      </c>
      <c r="H856" s="22" t="n">
        <f aca="false">IF(B856="GK",IFERROR(('Player Data'!N856-1.5*'Player Data'!O856)/'Player Data'!H856*90,0),IFERROR(('Player Data'!I856+'Player Data'!J856)/'Player Data'!H856*90,0))</f>
        <v>0.942643391521197</v>
      </c>
      <c r="I856" s="22" t="n">
        <f aca="false">IF(B856="GK",'Player Data'!P856,IFERROR(('Player Data'!K856+'Player Data'!L856)/'Player Data'!H856*90,0))</f>
        <v>8.70822942643392</v>
      </c>
      <c r="J856" s="22" t="n">
        <f aca="false">IF(B856="GK",IFERROR('Player Data'!Q856/'Player Data'!H856*90,0),IFERROR('Player Data'!M856/'Player Data'!H856*90,0))</f>
        <v>2.28927680798005</v>
      </c>
      <c r="K856" s="23" t="n">
        <f aca="false">'Player Data'!S856</f>
        <v>85121</v>
      </c>
      <c r="L856" s="22" t="n">
        <f aca="false">INDEX(Assumptions!$B$13:$B$15,MATCH(E856,Assumptions!$A$13:$A$15,0))</f>
        <v>0.85</v>
      </c>
      <c r="M856" s="24" t="n">
        <f aca="false">IFERROR(SUMPRODUCT(($B$2:$B$1001=B856)*($H$2:$H$1001&lt;=H856))/SUMPRODUCT(($B$2:$B$1001=B856)*1),0)</f>
        <v>0.734006734006734</v>
      </c>
      <c r="N856" s="24" t="n">
        <f aca="false">IFERROR(SUMPRODUCT(($B$2:$B$1001=B856)*($I$2:$I$1001&lt;=I856))/SUMPRODUCT(($B$2:$B$1001=B856)*1),0)</f>
        <v>0.239057239057239</v>
      </c>
      <c r="O856" s="24" t="n">
        <f aca="false">IFERROR(SUMPRODUCT(($B$2:$B$1001=B856)*($J$2:$J$1001&lt;=J856))/SUMPRODUCT(($B$2:$B$1001=B856)*1),0)</f>
        <v>0.555555555555556</v>
      </c>
      <c r="P856" s="24" t="n">
        <f aca="false">IFERROR(SUMPRODUCT(($B$2:$B$1001=B856)*((0-$F$2:$F$1001)&lt;=(0-F856)))/SUMPRODUCT(($B$2:$B$1001=B856)*1),0)</f>
        <v>0.868686868686869</v>
      </c>
      <c r="Q856" s="25" t="n">
        <f aca="false">(M856*Assumptions!$B$5+N856*Assumptions!$B$6+O856*Assumptions!$B$7+P856*Assumptions!$B$8)*L856</f>
        <v>0.469217171717172</v>
      </c>
      <c r="R856" s="24" t="n">
        <f aca="false">IFERROR(SUMPRODUCT(($B$2:$B$1001=B856)*($Q$2:$Q$1001&lt;=Q856))/SUMPRODUCT(($B$2:$B$1001=B856)*1),0)</f>
        <v>0.569023569023569</v>
      </c>
      <c r="S856" s="24" t="n">
        <f aca="false">IFERROR(SUMPRODUCT(($B$2:$B$1001=B856)*($K$2:$K$1001&lt;=K856))/SUMPRODUCT(($B$2:$B$1001=B856)*1),0)</f>
        <v>0.67003367003367</v>
      </c>
      <c r="T856" s="26" t="n">
        <f aca="false">(R856-S856)*100</f>
        <v>-10.1010101010101</v>
      </c>
      <c r="U856" s="21" t="str">
        <f aca="false">'Player Data'!T856</f>
        <v>Unknown</v>
      </c>
      <c r="V856" s="27" t="n">
        <f aca="false">'Player Data'!U856</f>
        <v>2026</v>
      </c>
      <c r="W856" s="21" t="str">
        <f aca="false">IF(AND(T856&gt;=Assumptions!$B$19,U856="No"),"High Priority - Unrepresented",IF(T856&gt;=Assumptions!$B$19,"High Priority",IF(AND(T856&gt;=Assumptions!$B$20,U856="No"),"Watchlist - Unrepresented",IF(T856&gt;=Assumptions!$B$20,"Watchlist",""))))</f>
        <v/>
      </c>
      <c r="X856" s="21" t="str">
        <f aca="false">'Player Data'!V856</f>
        <v>info@aucklandrangers.nz</v>
      </c>
      <c r="Y856" s="28" t="str">
        <f aca="false">'Player Data'!W856</f>
        <v>Club sporting director / first-team office</v>
      </c>
      <c r="Z856" s="28" t="str">
        <f aca="false">'Player Data'!X856</f>
        <v>NZF (New Zealand Football) player registry</v>
      </c>
      <c r="AA856" s="19" t="str">
        <f aca="false">HYPERLINK("https://www.transfermarkt.com/schnellsuche/ergebnis/schnellsuche?query="&amp;SUBSTITUTE(A856," ","+"),"Search Transfermarkt")</f>
        <v>Search Transfermarkt</v>
      </c>
      <c r="AB856" s="29" t="n">
        <f aca="false">IFERROR('Player Data'!K856/('Player Data'!K856+'Player Data'!L856),0)</f>
        <v>0.639175257731959</v>
      </c>
      <c r="AC856" s="21" t="str">
        <f aca="false">IF(B856="GK",IF(AND(O856&gt;=Assumptions!$B$23,N856&gt;=Assumptions!$B$23),"Sweeper-Keeper / Build-from-the-Back",IF(O856&gt;=Assumptions!$B$23,"Sweeper-Keeper / High Line",IF(M856&gt;=Assumptions!$B$23,"Shot-Stopper / Traditional","Flexible / Multi-System"))),IF(AND(O856&gt;=Assumptions!$B$23,P856&gt;=Assumptions!$B$24),"High Press / Gegenpressing",IF(AND(N856&gt;=Assumptions!$B$23,AB856&gt;=Assumptions!$B$25),"Possession / Build-from-the-Back",IF(N856&gt;=Assumptions!$B$23,"Counter-Attack / Transition",IF(AND(O856&gt;=Assumptions!$B$23,N856&lt;Assumptions!$B$26),"Low Block / Park the Bus",IF(AND(B856="FW",M856&gt;=Assumptions!$B$23,N856&lt;Assumptions!$B$26),"Direct / Target Approach","Flexible / Multi-System"))))))</f>
        <v>Flexible / Multi-System</v>
      </c>
      <c r="AD856" s="21" t="str">
        <f aca="false">'Player Data'!Y856</f>
        <v>2026-07-17</v>
      </c>
      <c r="AE856" s="21" t="str">
        <f aca="false">'Player Data'!Z856</f>
        <v>2026-07-17</v>
      </c>
      <c r="AF856" s="28" t="str">
        <f aca="false">IFERROR(INDEX(Assumptions!$B$30:$B$61,MATCH(C856,Assumptions!$A$30:$A$61,0)),"--")</f>
        <v>Australia, United States</v>
      </c>
      <c r="AG856" s="30" t="str">
        <f aca="false">IF(R856&gt;=0.7,"Step-Up Candidate",IF(R856&gt;=0.4,"Lateral Move","Stay &amp; Develop"))</f>
        <v>Lateral Move</v>
      </c>
    </row>
    <row r="857" customFormat="false" ht="23.85" hidden="false" customHeight="false" outlineLevel="0" collapsed="false">
      <c r="A857" s="21" t="str">
        <f aca="false">'Player Data'!A857</f>
        <v>Otabek Rashidov</v>
      </c>
      <c r="B857" s="21" t="str">
        <f aca="false">'Player Data'!F857</f>
        <v>GK</v>
      </c>
      <c r="C857" s="21" t="str">
        <f aca="false">'Player Data'!B857</f>
        <v>Uzbekistan</v>
      </c>
      <c r="D857" s="21" t="str">
        <f aca="false">'Player Data'!C857</f>
        <v>Uzbekistan Second Division - East</v>
      </c>
      <c r="E857" s="21" t="n">
        <f aca="false">'Player Data'!D857</f>
        <v>2</v>
      </c>
      <c r="F857" s="21" t="n">
        <f aca="false">'Player Data'!G857</f>
        <v>18</v>
      </c>
      <c r="G857" s="21" t="n">
        <f aca="false">'Player Data'!H857</f>
        <v>984</v>
      </c>
      <c r="H857" s="22" t="n">
        <f aca="false">IF(B857="GK",IFERROR(('Player Data'!N857-1.5*'Player Data'!O857)/'Player Data'!H857*90,0),IFERROR(('Player Data'!I857+'Player Data'!J857)/'Player Data'!H857*90,0))</f>
        <v>-0.13719512195122</v>
      </c>
      <c r="I857" s="22" t="n">
        <f aca="false">IF(B857="GK",'Player Data'!P857,IFERROR(('Player Data'!K857+'Player Data'!L857)/'Player Data'!H857*90,0))</f>
        <v>71.7</v>
      </c>
      <c r="J857" s="22" t="n">
        <f aca="false">IF(B857="GK",IFERROR('Player Data'!Q857/'Player Data'!H857*90,0),IFERROR('Player Data'!M857/'Player Data'!H857*90,0))</f>
        <v>0.823170731707317</v>
      </c>
      <c r="K857" s="23" t="n">
        <f aca="false">'Player Data'!S857</f>
        <v>71747</v>
      </c>
      <c r="L857" s="22" t="n">
        <f aca="false">INDEX(Assumptions!$B$13:$B$15,MATCH(E857,Assumptions!$A$13:$A$15,0))</f>
        <v>1</v>
      </c>
      <c r="M857" s="24" t="n">
        <f aca="false">IFERROR(SUMPRODUCT(($B$2:$B$1001=B857)*($H$2:$H$1001&lt;=H857))/SUMPRODUCT(($B$2:$B$1001=B857)*1),0)</f>
        <v>0.147540983606557</v>
      </c>
      <c r="N857" s="24" t="n">
        <f aca="false">IFERROR(SUMPRODUCT(($B$2:$B$1001=B857)*($I$2:$I$1001&lt;=I857))/SUMPRODUCT(($B$2:$B$1001=B857)*1),0)</f>
        <v>0.469945355191257</v>
      </c>
      <c r="O857" s="24" t="n">
        <f aca="false">IFERROR(SUMPRODUCT(($B$2:$B$1001=B857)*($J$2:$J$1001&lt;=J857))/SUMPRODUCT(($B$2:$B$1001=B857)*1),0)</f>
        <v>0.459016393442623</v>
      </c>
      <c r="P857" s="24" t="n">
        <f aca="false">IFERROR(SUMPRODUCT(($B$2:$B$1001=B857)*((0-$F$2:$F$1001)&lt;=(0-F857)))/SUMPRODUCT(($B$2:$B$1001=B857)*1),0)</f>
        <v>0.907103825136612</v>
      </c>
      <c r="Q857" s="25" t="n">
        <f aca="false">(M857*Assumptions!$B$5+N857*Assumptions!$B$6+O857*Assumptions!$B$7+P857*Assumptions!$B$8)*L857</f>
        <v>0.474590163934426</v>
      </c>
      <c r="R857" s="24" t="n">
        <f aca="false">IFERROR(SUMPRODUCT(($B$2:$B$1001=B857)*($Q$2:$Q$1001&lt;=Q857))/SUMPRODUCT(($B$2:$B$1001=B857)*1),0)</f>
        <v>0.524590163934426</v>
      </c>
      <c r="S857" s="24" t="n">
        <f aca="false">IFERROR(SUMPRODUCT(($B$2:$B$1001=B857)*($K$2:$K$1001&lt;=K857))/SUMPRODUCT(($B$2:$B$1001=B857)*1),0)</f>
        <v>0.524590163934426</v>
      </c>
      <c r="T857" s="26" t="n">
        <f aca="false">(R857-S857)*100</f>
        <v>0</v>
      </c>
      <c r="U857" s="21" t="str">
        <f aca="false">'Player Data'!T857</f>
        <v>No</v>
      </c>
      <c r="V857" s="27" t="n">
        <f aca="false">'Player Data'!U857</f>
        <v>2027</v>
      </c>
      <c r="W857" s="21" t="str">
        <f aca="false">IF(AND(T857&gt;=Assumptions!$B$19,U857="No"),"High Priority - Unrepresented",IF(T857&gt;=Assumptions!$B$19,"High Priority",IF(AND(T857&gt;=Assumptions!$B$20,U857="No"),"Watchlist - Unrepresented",IF(T857&gt;=Assumptions!$B$20,"Watchlist",""))))</f>
        <v/>
      </c>
      <c r="X857" s="21" t="str">
        <f aca="false">'Player Data'!V857</f>
        <v>info@tashkentsc.uz</v>
      </c>
      <c r="Y857" s="28" t="str">
        <f aca="false">'Player Data'!W857</f>
        <v>Club sporting director / first-team office</v>
      </c>
      <c r="Z857" s="28" t="str">
        <f aca="false">'Player Data'!X857</f>
        <v>UFF (Uzbekistan Football Federation) player registry</v>
      </c>
      <c r="AA857" s="19" t="str">
        <f aca="false">HYPERLINK("https://www.transfermarkt.com/schnellsuche/ergebnis/schnellsuche?query="&amp;SUBSTITUTE(A857," ","+"),"Search Transfermarkt")</f>
        <v>Search Transfermarkt</v>
      </c>
      <c r="AB857" s="29" t="n">
        <f aca="false">IFERROR('Player Data'!K857/('Player Data'!K857+'Player Data'!L857),0)</f>
        <v>0.909090909090909</v>
      </c>
      <c r="AC857" s="21" t="str">
        <f aca="false">IF(B857="GK",IF(AND(O857&gt;=Assumptions!$B$23,N857&gt;=Assumptions!$B$23),"Sweeper-Keeper / Build-from-the-Back",IF(O857&gt;=Assumptions!$B$23,"Sweeper-Keeper / High Line",IF(M857&gt;=Assumptions!$B$23,"Shot-Stopper / Traditional","Flexible / Multi-System"))),IF(AND(O857&gt;=Assumptions!$B$23,P857&gt;=Assumptions!$B$24),"High Press / Gegenpressing",IF(AND(N857&gt;=Assumptions!$B$23,AB857&gt;=Assumptions!$B$25),"Possession / Build-from-the-Back",IF(N857&gt;=Assumptions!$B$23,"Counter-Attack / Transition",IF(AND(O857&gt;=Assumptions!$B$23,N857&lt;Assumptions!$B$26),"Low Block / Park the Bus",IF(AND(B857="FW",M857&gt;=Assumptions!$B$23,N857&lt;Assumptions!$B$26),"Direct / Target Approach","Flexible / Multi-System"))))))</f>
        <v>Flexible / Multi-System</v>
      </c>
      <c r="AD857" s="21" t="str">
        <f aca="false">'Player Data'!Y857</f>
        <v>2026-07-17</v>
      </c>
      <c r="AE857" s="21" t="str">
        <f aca="false">'Player Data'!Z857</f>
        <v>2026-07-17</v>
      </c>
      <c r="AF857" s="28" t="str">
        <f aca="false">IFERROR(INDEX(Assumptions!$B$30:$B$61,MATCH(C857,Assumptions!$A$30:$A$61,0)),"--")</f>
        <v>Turkey, Saudi Arabia</v>
      </c>
      <c r="AG857" s="30" t="str">
        <f aca="false">IF(R857&gt;=0.7,"Step-Up Candidate",IF(R857&gt;=0.4,"Lateral Move","Stay &amp; Develop"))</f>
        <v>Lateral Move</v>
      </c>
    </row>
    <row r="858" customFormat="false" ht="23.85" hidden="false" customHeight="false" outlineLevel="0" collapsed="false">
      <c r="A858" s="21" t="str">
        <f aca="false">'Player Data'!A858</f>
        <v>Chanda Zulu</v>
      </c>
      <c r="B858" s="21" t="str">
        <f aca="false">'Player Data'!F858</f>
        <v>FW</v>
      </c>
      <c r="C858" s="21" t="str">
        <f aca="false">'Player Data'!B858</f>
        <v>Zambia</v>
      </c>
      <c r="D858" s="21" t="str">
        <f aca="false">'Player Data'!C858</f>
        <v>Zambia Second Division - East</v>
      </c>
      <c r="E858" s="21" t="n">
        <f aca="false">'Player Data'!D858</f>
        <v>2</v>
      </c>
      <c r="F858" s="21" t="n">
        <f aca="false">'Player Data'!G858</f>
        <v>20</v>
      </c>
      <c r="G858" s="21" t="n">
        <f aca="false">'Player Data'!H858</f>
        <v>2270</v>
      </c>
      <c r="H858" s="22" t="n">
        <f aca="false">IF(B858="GK",IFERROR(('Player Data'!N858-1.5*'Player Data'!O858)/'Player Data'!H858*90,0),IFERROR(('Player Data'!I858+'Player Data'!J858)/'Player Data'!H858*90,0))</f>
        <v>0.475770925110132</v>
      </c>
      <c r="I858" s="22" t="n">
        <f aca="false">IF(B858="GK",'Player Data'!P858,IFERROR(('Player Data'!K858+'Player Data'!L858)/'Player Data'!H858*90,0))</f>
        <v>4.87665198237885</v>
      </c>
      <c r="J858" s="22" t="n">
        <f aca="false">IF(B858="GK",IFERROR('Player Data'!Q858/'Player Data'!H858*90,0),IFERROR('Player Data'!M858/'Player Data'!H858*90,0))</f>
        <v>0.277533039647577</v>
      </c>
      <c r="K858" s="23" t="n">
        <f aca="false">'Player Data'!S858</f>
        <v>12413</v>
      </c>
      <c r="L858" s="22" t="n">
        <f aca="false">INDEX(Assumptions!$B$13:$B$15,MATCH(E858,Assumptions!$A$13:$A$15,0))</f>
        <v>1</v>
      </c>
      <c r="M858" s="24" t="n">
        <f aca="false">IFERROR(SUMPRODUCT(($B$2:$B$1001=B858)*($H$2:$H$1001&lt;=H858))/SUMPRODUCT(($B$2:$B$1001=B858)*1),0)</f>
        <v>0.0530973451327434</v>
      </c>
      <c r="N858" s="24" t="n">
        <f aca="false">IFERROR(SUMPRODUCT(($B$2:$B$1001=B858)*($I$2:$I$1001&lt;=I858))/SUMPRODUCT(($B$2:$B$1001=B858)*1),0)</f>
        <v>0.190265486725664</v>
      </c>
      <c r="O858" s="24" t="n">
        <f aca="false">IFERROR(SUMPRODUCT(($B$2:$B$1001=B858)*($J$2:$J$1001&lt;=J858))/SUMPRODUCT(($B$2:$B$1001=B858)*1),0)</f>
        <v>0.146017699115044</v>
      </c>
      <c r="P858" s="24" t="n">
        <f aca="false">IFERROR(SUMPRODUCT(($B$2:$B$1001=B858)*((0-$F$2:$F$1001)&lt;=(0-F858)))/SUMPRODUCT(($B$2:$B$1001=B858)*1),0)</f>
        <v>0.712389380530973</v>
      </c>
      <c r="Q858" s="25" t="n">
        <f aca="false">(M858*Assumptions!$B$5+N858*Assumptions!$B$6+O858*Assumptions!$B$7+P858*Assumptions!$B$8)*L858</f>
        <v>0.251548672566372</v>
      </c>
      <c r="R858" s="24" t="n">
        <f aca="false">IFERROR(SUMPRODUCT(($B$2:$B$1001=B858)*($Q$2:$Q$1001&lt;=Q858))/SUMPRODUCT(($B$2:$B$1001=B858)*1),0)</f>
        <v>0.20353982300885</v>
      </c>
      <c r="S858" s="24" t="n">
        <f aca="false">IFERROR(SUMPRODUCT(($B$2:$B$1001=B858)*($K$2:$K$1001&lt;=K858))/SUMPRODUCT(($B$2:$B$1001=B858)*1),0)</f>
        <v>0.287610619469027</v>
      </c>
      <c r="T858" s="26" t="n">
        <f aca="false">(R858-S858)*100</f>
        <v>-8.4070796460177</v>
      </c>
      <c r="U858" s="21" t="str">
        <f aca="false">'Player Data'!T858</f>
        <v>No</v>
      </c>
      <c r="V858" s="27" t="n">
        <f aca="false">'Player Data'!U858</f>
        <v>2029</v>
      </c>
      <c r="W858" s="21" t="str">
        <f aca="false">IF(AND(T858&gt;=Assumptions!$B$19,U858="No"),"High Priority - Unrepresented",IF(T858&gt;=Assumptions!$B$19,"High Priority",IF(AND(T858&gt;=Assumptions!$B$20,U858="No"),"Watchlist - Unrepresented",IF(T858&gt;=Assumptions!$B$20,"Watchlist",""))))</f>
        <v/>
      </c>
      <c r="X858" s="21" t="str">
        <f aca="false">'Player Data'!V858</f>
        <v>info@ndolaathletic.zm</v>
      </c>
      <c r="Y858" s="28" t="str">
        <f aca="false">'Player Data'!W858</f>
        <v>Club sporting director / first-team office</v>
      </c>
      <c r="Z858" s="28" t="str">
        <f aca="false">'Player Data'!X858</f>
        <v>FAZ (Football Association of Zambia) player registry</v>
      </c>
      <c r="AA858" s="19" t="str">
        <f aca="false">HYPERLINK("https://www.transfermarkt.com/schnellsuche/ergebnis/schnellsuche?query="&amp;SUBSTITUTE(A858," ","+"),"Search Transfermarkt")</f>
        <v>Search Transfermarkt</v>
      </c>
      <c r="AB858" s="29" t="n">
        <f aca="false">IFERROR('Player Data'!K858/('Player Data'!K858+'Player Data'!L858),0)</f>
        <v>0.382113821138211</v>
      </c>
      <c r="AC858" s="21" t="str">
        <f aca="false">IF(B858="GK",IF(AND(O858&gt;=Assumptions!$B$23,N858&gt;=Assumptions!$B$23),"Sweeper-Keeper / Build-from-the-Back",IF(O858&gt;=Assumptions!$B$23,"Sweeper-Keeper / High Line",IF(M858&gt;=Assumptions!$B$23,"Shot-Stopper / Traditional","Flexible / Multi-System"))),IF(AND(O858&gt;=Assumptions!$B$23,P858&gt;=Assumptions!$B$24),"High Press / Gegenpressing",IF(AND(N858&gt;=Assumptions!$B$23,AB858&gt;=Assumptions!$B$25),"Possession / Build-from-the-Back",IF(N858&gt;=Assumptions!$B$23,"Counter-Attack / Transition",IF(AND(O858&gt;=Assumptions!$B$23,N858&lt;Assumptions!$B$26),"Low Block / Park the Bus",IF(AND(B858="FW",M858&gt;=Assumptions!$B$23,N858&lt;Assumptions!$B$26),"Direct / Target Approach","Flexible / Multi-System"))))))</f>
        <v>Flexible / Multi-System</v>
      </c>
      <c r="AD858" s="21" t="str">
        <f aca="false">'Player Data'!Y858</f>
        <v>2026-07-17</v>
      </c>
      <c r="AE858" s="21" t="str">
        <f aca="false">'Player Data'!Z858</f>
        <v>2026-07-17</v>
      </c>
      <c r="AF858" s="28" t="str">
        <f aca="false">IFERROR(INDEX(Assumptions!$B$30:$B$61,MATCH(C858,Assumptions!$A$30:$A$61,0)),"--")</f>
        <v>Belgium, Portugal</v>
      </c>
      <c r="AG858" s="30" t="str">
        <f aca="false">IF(R858&gt;=0.7,"Step-Up Candidate",IF(R858&gt;=0.4,"Lateral Move","Stay &amp; Develop"))</f>
        <v>Stay &amp; Develop</v>
      </c>
    </row>
    <row r="859" customFormat="false" ht="23.85" hidden="false" customHeight="false" outlineLevel="0" collapsed="false">
      <c r="A859" s="21" t="str">
        <f aca="false">'Player Data'!A859</f>
        <v>Wilfried Kouassi</v>
      </c>
      <c r="B859" s="21" t="str">
        <f aca="false">'Player Data'!F859</f>
        <v>GK</v>
      </c>
      <c r="C859" s="21" t="str">
        <f aca="false">'Player Data'!B859</f>
        <v>Ivory Coast</v>
      </c>
      <c r="D859" s="21" t="str">
        <f aca="false">'Player Data'!C859</f>
        <v>Ivory Coast Second Division - East</v>
      </c>
      <c r="E859" s="21" t="n">
        <f aca="false">'Player Data'!D859</f>
        <v>3</v>
      </c>
      <c r="F859" s="21" t="n">
        <f aca="false">'Player Data'!G859</f>
        <v>18</v>
      </c>
      <c r="G859" s="21" t="n">
        <f aca="false">'Player Data'!H859</f>
        <v>2645</v>
      </c>
      <c r="H859" s="22" t="n">
        <f aca="false">IF(B859="GK",IFERROR(('Player Data'!N859-1.5*'Player Data'!O859)/'Player Data'!H859*90,0),IFERROR(('Player Data'!I859+'Player Data'!J859)/'Player Data'!H859*90,0))</f>
        <v>1.19092627599244</v>
      </c>
      <c r="I859" s="22" t="n">
        <f aca="false">IF(B859="GK",'Player Data'!P859,IFERROR(('Player Data'!K859+'Player Data'!L859)/'Player Data'!H859*90,0))</f>
        <v>80.1</v>
      </c>
      <c r="J859" s="22" t="n">
        <f aca="false">IF(B859="GK",IFERROR('Player Data'!Q859/'Player Data'!H859*90,0),IFERROR('Player Data'!M859/'Player Data'!H859*90,0))</f>
        <v>0.25179584120983</v>
      </c>
      <c r="K859" s="23" t="n">
        <f aca="false">'Player Data'!S859</f>
        <v>0</v>
      </c>
      <c r="L859" s="22" t="n">
        <f aca="false">INDEX(Assumptions!$B$13:$B$15,MATCH(E859,Assumptions!$A$13:$A$15,0))</f>
        <v>0.85</v>
      </c>
      <c r="M859" s="24" t="n">
        <f aca="false">IFERROR(SUMPRODUCT(($B$2:$B$1001=B859)*($H$2:$H$1001&lt;=H859))/SUMPRODUCT(($B$2:$B$1001=B859)*1),0)</f>
        <v>0.519125683060109</v>
      </c>
      <c r="N859" s="24" t="n">
        <f aca="false">IFERROR(SUMPRODUCT(($B$2:$B$1001=B859)*($I$2:$I$1001&lt;=I859))/SUMPRODUCT(($B$2:$B$1001=B859)*1),0)</f>
        <v>0.66120218579235</v>
      </c>
      <c r="O859" s="24" t="n">
        <f aca="false">IFERROR(SUMPRODUCT(($B$2:$B$1001=B859)*($J$2:$J$1001&lt;=J859))/SUMPRODUCT(($B$2:$B$1001=B859)*1),0)</f>
        <v>0.0983606557377049</v>
      </c>
      <c r="P859" s="24" t="n">
        <f aca="false">IFERROR(SUMPRODUCT(($B$2:$B$1001=B859)*((0-$F$2:$F$1001)&lt;=(0-F859)))/SUMPRODUCT(($B$2:$B$1001=B859)*1),0)</f>
        <v>0.907103825136612</v>
      </c>
      <c r="Q859" s="25" t="n">
        <f aca="false">(M859*Assumptions!$B$5+N859*Assumptions!$B$6+O859*Assumptions!$B$7+P859*Assumptions!$B$8)*L859</f>
        <v>0.477950819672131</v>
      </c>
      <c r="R859" s="24" t="n">
        <f aca="false">IFERROR(SUMPRODUCT(($B$2:$B$1001=B859)*($Q$2:$Q$1001&lt;=Q859))/SUMPRODUCT(($B$2:$B$1001=B859)*1),0)</f>
        <v>0.557377049180328</v>
      </c>
      <c r="S859" s="24" t="n">
        <f aca="false">IFERROR(SUMPRODUCT(($B$2:$B$1001=B859)*($K$2:$K$1001&lt;=K859))/SUMPRODUCT(($B$2:$B$1001=B859)*1),0)</f>
        <v>0.218579234972678</v>
      </c>
      <c r="T859" s="26" t="n">
        <f aca="false">(R859-S859)*100</f>
        <v>33.879781420765</v>
      </c>
      <c r="U859" s="21" t="str">
        <f aca="false">'Player Data'!T859</f>
        <v>Unknown</v>
      </c>
      <c r="V859" s="27" t="n">
        <f aca="false">'Player Data'!U859</f>
        <v>2027</v>
      </c>
      <c r="W859" s="21" t="str">
        <f aca="false">IF(AND(T859&gt;=Assumptions!$B$19,U859="No"),"High Priority - Unrepresented",IF(T859&gt;=Assumptions!$B$19,"High Priority",IF(AND(T859&gt;=Assumptions!$B$20,U859="No"),"Watchlist - Unrepresented",IF(T859&gt;=Assumptions!$B$20,"Watchlist",""))))</f>
        <v>Watchlist</v>
      </c>
      <c r="X859" s="21" t="str">
        <f aca="false">'Player Data'!V859</f>
        <v>info@yamoussoukrosc.ci</v>
      </c>
      <c r="Y859" s="28" t="str">
        <f aca="false">'Player Data'!W859</f>
        <v>Club sporting director / first-team office</v>
      </c>
      <c r="Z859" s="28" t="str">
        <f aca="false">'Player Data'!X859</f>
        <v>FIF (Ivorian Football Federation) player registry</v>
      </c>
      <c r="AA859" s="19" t="str">
        <f aca="false">HYPERLINK("https://www.transfermarkt.com/schnellsuche/ergebnis/schnellsuche?query="&amp;SUBSTITUTE(A859," ","+"),"Search Transfermarkt")</f>
        <v>Search Transfermarkt</v>
      </c>
      <c r="AB859" s="29" t="n">
        <f aca="false">IFERROR('Player Data'!K859/('Player Data'!K859+'Player Data'!L859),0)</f>
        <v>0.714285714285714</v>
      </c>
      <c r="AC859" s="21" t="str">
        <f aca="false">IF(B859="GK",IF(AND(O859&gt;=Assumptions!$B$23,N859&gt;=Assumptions!$B$23),"Sweeper-Keeper / Build-from-the-Back",IF(O859&gt;=Assumptions!$B$23,"Sweeper-Keeper / High Line",IF(M859&gt;=Assumptions!$B$23,"Shot-Stopper / Traditional","Flexible / Multi-System"))),IF(AND(O859&gt;=Assumptions!$B$23,P859&gt;=Assumptions!$B$24),"High Press / Gegenpressing",IF(AND(N859&gt;=Assumptions!$B$23,AB859&gt;=Assumptions!$B$25),"Possession / Build-from-the-Back",IF(N859&gt;=Assumptions!$B$23,"Counter-Attack / Transition",IF(AND(O859&gt;=Assumptions!$B$23,N859&lt;Assumptions!$B$26),"Low Block / Park the Bus",IF(AND(B859="FW",M859&gt;=Assumptions!$B$23,N859&lt;Assumptions!$B$26),"Direct / Target Approach","Flexible / Multi-System"))))))</f>
        <v>Flexible / Multi-System</v>
      </c>
      <c r="AD859" s="21" t="str">
        <f aca="false">'Player Data'!Y859</f>
        <v>2026-07-17</v>
      </c>
      <c r="AE859" s="21" t="str">
        <f aca="false">'Player Data'!Z859</f>
        <v>2026-07-17</v>
      </c>
      <c r="AF859" s="28" t="str">
        <f aca="false">IFERROR(INDEX(Assumptions!$B$30:$B$61,MATCH(C859,Assumptions!$A$30:$A$61,0)),"--")</f>
        <v>Belgium, Portugal</v>
      </c>
      <c r="AG859" s="30" t="str">
        <f aca="false">IF(R859&gt;=0.7,"Step-Up Candidate",IF(R859&gt;=0.4,"Lateral Move","Stay &amp; Develop"))</f>
        <v>Lateral Move</v>
      </c>
    </row>
    <row r="860" customFormat="false" ht="23.85" hidden="false" customHeight="false" outlineLevel="0" collapsed="false">
      <c r="A860" s="21" t="str">
        <f aca="false">'Player Data'!A860</f>
        <v>Ivan Kovac</v>
      </c>
      <c r="B860" s="21" t="str">
        <f aca="false">'Player Data'!F860</f>
        <v>DF</v>
      </c>
      <c r="C860" s="21" t="str">
        <f aca="false">'Player Data'!B860</f>
        <v>Croatia</v>
      </c>
      <c r="D860" s="21" t="str">
        <f aca="false">'Player Data'!C860</f>
        <v>Croatia Third Tier - North</v>
      </c>
      <c r="E860" s="21" t="n">
        <f aca="false">'Player Data'!D860</f>
        <v>3</v>
      </c>
      <c r="F860" s="21" t="n">
        <f aca="false">'Player Data'!G860</f>
        <v>24</v>
      </c>
      <c r="G860" s="21" t="n">
        <f aca="false">'Player Data'!H860</f>
        <v>1705</v>
      </c>
      <c r="H860" s="22" t="n">
        <f aca="false">IF(B860="GK",IFERROR(('Player Data'!N860-1.5*'Player Data'!O860)/'Player Data'!H860*90,0),IFERROR(('Player Data'!I860+'Player Data'!J860)/'Player Data'!H860*90,0))</f>
        <v>0.105571847507331</v>
      </c>
      <c r="I860" s="22" t="n">
        <f aca="false">IF(B860="GK",'Player Data'!P860,IFERROR(('Player Data'!K860+'Player Data'!L860)/'Player Data'!H860*90,0))</f>
        <v>3.48387096774194</v>
      </c>
      <c r="J860" s="22" t="n">
        <f aca="false">IF(B860="GK",IFERROR('Player Data'!Q860/'Player Data'!H860*90,0),IFERROR('Player Data'!M860/'Player Data'!H860*90,0))</f>
        <v>4.75073313782991</v>
      </c>
      <c r="K860" s="23" t="n">
        <f aca="false">'Player Data'!S860</f>
        <v>0</v>
      </c>
      <c r="L860" s="22" t="n">
        <f aca="false">INDEX(Assumptions!$B$13:$B$15,MATCH(E860,Assumptions!$A$13:$A$15,0))</f>
        <v>0.85</v>
      </c>
      <c r="M860" s="24" t="n">
        <f aca="false">IFERROR(SUMPRODUCT(($B$2:$B$1001=B860)*($H$2:$H$1001&lt;=H860))/SUMPRODUCT(($B$2:$B$1001=B860)*1),0)</f>
        <v>0.22108843537415</v>
      </c>
      <c r="N860" s="24" t="n">
        <f aca="false">IFERROR(SUMPRODUCT(($B$2:$B$1001=B860)*($I$2:$I$1001&lt;=I860))/SUMPRODUCT(($B$2:$B$1001=B860)*1),0)</f>
        <v>0.227891156462585</v>
      </c>
      <c r="O860" s="24" t="n">
        <f aca="false">IFERROR(SUMPRODUCT(($B$2:$B$1001=B860)*($J$2:$J$1001&lt;=J860))/SUMPRODUCT(($B$2:$B$1001=B860)*1),0)</f>
        <v>0.401360544217687</v>
      </c>
      <c r="P860" s="24" t="n">
        <f aca="false">IFERROR(SUMPRODUCT(($B$2:$B$1001=B860)*((0-$F$2:$F$1001)&lt;=(0-F860)))/SUMPRODUCT(($B$2:$B$1001=B860)*1),0)</f>
        <v>0.275510204081633</v>
      </c>
      <c r="Q860" s="25" t="n">
        <f aca="false">(M860*Assumptions!$B$5+N860*Assumptions!$B$6+O860*Assumptions!$B$7+P860*Assumptions!$B$8)*L860</f>
        <v>0.22984693877551</v>
      </c>
      <c r="R860" s="24" t="n">
        <f aca="false">IFERROR(SUMPRODUCT(($B$2:$B$1001=B860)*($Q$2:$Q$1001&lt;=Q860))/SUMPRODUCT(($B$2:$B$1001=B860)*1),0)</f>
        <v>0.115646258503401</v>
      </c>
      <c r="S860" s="24" t="n">
        <f aca="false">IFERROR(SUMPRODUCT(($B$2:$B$1001=B860)*($K$2:$K$1001&lt;=K860))/SUMPRODUCT(($B$2:$B$1001=B860)*1),0)</f>
        <v>0.248299319727891</v>
      </c>
      <c r="T860" s="26" t="n">
        <f aca="false">(R860-S860)*100</f>
        <v>-13.265306122449</v>
      </c>
      <c r="U860" s="21" t="str">
        <f aca="false">'Player Data'!T860</f>
        <v>No</v>
      </c>
      <c r="V860" s="27" t="n">
        <f aca="false">'Player Data'!U860</f>
        <v>2026</v>
      </c>
      <c r="W860" s="21" t="str">
        <f aca="false">IF(AND(T860&gt;=Assumptions!$B$19,U860="No"),"High Priority - Unrepresented",IF(T860&gt;=Assumptions!$B$19,"High Priority",IF(AND(T860&gt;=Assumptions!$B$20,U860="No"),"Watchlist - Unrepresented",IF(T860&gt;=Assumptions!$B$20,"Watchlist",""))))</f>
        <v/>
      </c>
      <c r="X860" s="21" t="str">
        <f aca="false">'Player Data'!V860</f>
        <v>info@osijeksc.hr</v>
      </c>
      <c r="Y860" s="28" t="str">
        <f aca="false">'Player Data'!W860</f>
        <v>Club sporting director / first-team office</v>
      </c>
      <c r="Z860" s="28" t="str">
        <f aca="false">'Player Data'!X860</f>
        <v>HNS (Croatian Football Federation) player registry</v>
      </c>
      <c r="AA860" s="19" t="str">
        <f aca="false">HYPERLINK("https://www.transfermarkt.com/schnellsuche/ergebnis/schnellsuche?query="&amp;SUBSTITUTE(A860," ","+"),"Search Transfermarkt")</f>
        <v>Search Transfermarkt</v>
      </c>
      <c r="AB860" s="29" t="n">
        <f aca="false">IFERROR('Player Data'!K860/('Player Data'!K860+'Player Data'!L860),0)</f>
        <v>0.606060606060606</v>
      </c>
      <c r="AC860" s="21" t="str">
        <f aca="false">IF(B860="GK",IF(AND(O860&gt;=Assumptions!$B$23,N860&gt;=Assumptions!$B$23),"Sweeper-Keeper / Build-from-the-Back",IF(O860&gt;=Assumptions!$B$23,"Sweeper-Keeper / High Line",IF(M860&gt;=Assumptions!$B$23,"Shot-Stopper / Traditional","Flexible / Multi-System"))),IF(AND(O860&gt;=Assumptions!$B$23,P860&gt;=Assumptions!$B$24),"High Press / Gegenpressing",IF(AND(N860&gt;=Assumptions!$B$23,AB860&gt;=Assumptions!$B$25),"Possession / Build-from-the-Back",IF(N860&gt;=Assumptions!$B$23,"Counter-Attack / Transition",IF(AND(O860&gt;=Assumptions!$B$23,N860&lt;Assumptions!$B$26),"Low Block / Park the Bus",IF(AND(B860="FW",M860&gt;=Assumptions!$B$23,N860&lt;Assumptions!$B$26),"Direct / Target Approach","Flexible / Multi-System"))))))</f>
        <v>Flexible / Multi-System</v>
      </c>
      <c r="AD860" s="21" t="str">
        <f aca="false">'Player Data'!Y860</f>
        <v>2026-07-17</v>
      </c>
      <c r="AE860" s="21" t="str">
        <f aca="false">'Player Data'!Z860</f>
        <v>2026-07-17</v>
      </c>
      <c r="AF860" s="28" t="str">
        <f aca="false">IFERROR(INDEX(Assumptions!$B$30:$B$61,MATCH(C860,Assumptions!$A$30:$A$61,0)),"--")</f>
        <v>Austria, Turkey</v>
      </c>
      <c r="AG860" s="30" t="str">
        <f aca="false">IF(R860&gt;=0.7,"Step-Up Candidate",IF(R860&gt;=0.4,"Lateral Move","Stay &amp; Develop"))</f>
        <v>Stay &amp; Develop</v>
      </c>
    </row>
    <row r="861" customFormat="false" ht="23.85" hidden="false" customHeight="false" outlineLevel="0" collapsed="false">
      <c r="A861" s="21" t="str">
        <f aca="false">'Player Data'!A861</f>
        <v>Andre Escobar</v>
      </c>
      <c r="B861" s="21" t="str">
        <f aca="false">'Player Data'!F861</f>
        <v>GK</v>
      </c>
      <c r="C861" s="21" t="str">
        <f aca="false">'Player Data'!B861</f>
        <v>Panama</v>
      </c>
      <c r="D861" s="21" t="str">
        <f aca="false">'Player Data'!C861</f>
        <v>Panama Third Tier - North</v>
      </c>
      <c r="E861" s="21" t="n">
        <f aca="false">'Player Data'!D861</f>
        <v>3</v>
      </c>
      <c r="F861" s="21" t="n">
        <f aca="false">'Player Data'!G861</f>
        <v>19</v>
      </c>
      <c r="G861" s="21" t="n">
        <f aca="false">'Player Data'!H861</f>
        <v>2519</v>
      </c>
      <c r="H861" s="22" t="n">
        <f aca="false">IF(B861="GK",IFERROR(('Player Data'!N861-1.5*'Player Data'!O861)/'Player Data'!H861*90,0),IFERROR(('Player Data'!I861+'Player Data'!J861)/'Player Data'!H861*90,0))</f>
        <v>1.87574434299325</v>
      </c>
      <c r="I861" s="22" t="n">
        <f aca="false">IF(B861="GK",'Player Data'!P861,IFERROR(('Player Data'!K861+'Player Data'!L861)/'Player Data'!H861*90,0))</f>
        <v>56.8</v>
      </c>
      <c r="J861" s="22" t="n">
        <f aca="false">IF(B861="GK",IFERROR('Player Data'!Q861/'Player Data'!H861*90,0),IFERROR('Player Data'!M861/'Player Data'!H861*90,0))</f>
        <v>0.164350932909885</v>
      </c>
      <c r="K861" s="23" t="n">
        <f aca="false">'Player Data'!S861</f>
        <v>139996</v>
      </c>
      <c r="L861" s="22" t="n">
        <f aca="false">INDEX(Assumptions!$B$13:$B$15,MATCH(E861,Assumptions!$A$13:$A$15,0))</f>
        <v>0.85</v>
      </c>
      <c r="M861" s="24" t="n">
        <f aca="false">IFERROR(SUMPRODUCT(($B$2:$B$1001=B861)*($H$2:$H$1001&lt;=H861))/SUMPRODUCT(($B$2:$B$1001=B861)*1),0)</f>
        <v>0.846994535519126</v>
      </c>
      <c r="N861" s="24" t="n">
        <f aca="false">IFERROR(SUMPRODUCT(($B$2:$B$1001=B861)*($I$2:$I$1001&lt;=I861))/SUMPRODUCT(($B$2:$B$1001=B861)*1),0)</f>
        <v>0.0382513661202186</v>
      </c>
      <c r="O861" s="24" t="n">
        <f aca="false">IFERROR(SUMPRODUCT(($B$2:$B$1001=B861)*($J$2:$J$1001&lt;=J861))/SUMPRODUCT(($B$2:$B$1001=B861)*1),0)</f>
        <v>0.0437158469945355</v>
      </c>
      <c r="P861" s="24" t="n">
        <f aca="false">IFERROR(SUMPRODUCT(($B$2:$B$1001=B861)*((0-$F$2:$F$1001)&lt;=(0-F861)))/SUMPRODUCT(($B$2:$B$1001=B861)*1),0)</f>
        <v>0.770491803278689</v>
      </c>
      <c r="Q861" s="25" t="n">
        <f aca="false">(M861*Assumptions!$B$5+N861*Assumptions!$B$6+O861*Assumptions!$B$7+P861*Assumptions!$B$8)*L861</f>
        <v>0.329781420765027</v>
      </c>
      <c r="R861" s="24" t="n">
        <f aca="false">IFERROR(SUMPRODUCT(($B$2:$B$1001=B861)*($Q$2:$Q$1001&lt;=Q861))/SUMPRODUCT(($B$2:$B$1001=B861)*1),0)</f>
        <v>0.19672131147541</v>
      </c>
      <c r="S861" s="24" t="n">
        <f aca="false">IFERROR(SUMPRODUCT(($B$2:$B$1001=B861)*($K$2:$K$1001&lt;=K861))/SUMPRODUCT(($B$2:$B$1001=B861)*1),0)</f>
        <v>0.945355191256831</v>
      </c>
      <c r="T861" s="26" t="n">
        <f aca="false">(R861-S861)*100</f>
        <v>-74.8633879781421</v>
      </c>
      <c r="U861" s="21" t="str">
        <f aca="false">'Player Data'!T861</f>
        <v>No</v>
      </c>
      <c r="V861" s="27" t="n">
        <f aca="false">'Player Data'!U861</f>
        <v>2028</v>
      </c>
      <c r="W861" s="21" t="str">
        <f aca="false">IF(AND(T861&gt;=Assumptions!$B$19,U861="No"),"High Priority - Unrepresented",IF(T861&gt;=Assumptions!$B$19,"High Priority",IF(AND(T861&gt;=Assumptions!$B$20,U861="No"),"Watchlist - Unrepresented",IF(T861&gt;=Assumptions!$B$20,"Watchlist",""))))</f>
        <v/>
      </c>
      <c r="X861" s="21" t="str">
        <f aca="false">'Player Data'!V861</f>
        <v>info@colonunited.pa</v>
      </c>
      <c r="Y861" s="28" t="str">
        <f aca="false">'Player Data'!W861</f>
        <v>Club sporting director / first-team office</v>
      </c>
      <c r="Z861" s="28" t="str">
        <f aca="false">'Player Data'!X861</f>
        <v>FEPAFUT (Panamanian Football Federation) player registry</v>
      </c>
      <c r="AA861" s="19" t="str">
        <f aca="false">HYPERLINK("https://www.transfermarkt.com/schnellsuche/ergebnis/schnellsuche?query="&amp;SUBSTITUTE(A861," ","+"),"Search Transfermarkt")</f>
        <v>Search Transfermarkt</v>
      </c>
      <c r="AB861" s="29" t="n">
        <f aca="false">IFERROR('Player Data'!K861/('Player Data'!K861+'Player Data'!L861),0)</f>
        <v>0.8</v>
      </c>
      <c r="AC861" s="21" t="str">
        <f aca="false">IF(B861="GK",IF(AND(O861&gt;=Assumptions!$B$23,N861&gt;=Assumptions!$B$23),"Sweeper-Keeper / Build-from-the-Back",IF(O861&gt;=Assumptions!$B$23,"Sweeper-Keeper / High Line",IF(M861&gt;=Assumptions!$B$23,"Shot-Stopper / Traditional","Flexible / Multi-System"))),IF(AND(O861&gt;=Assumptions!$B$23,P861&gt;=Assumptions!$B$24),"High Press / Gegenpressing",IF(AND(N861&gt;=Assumptions!$B$23,AB861&gt;=Assumptions!$B$25),"Possession / Build-from-the-Back",IF(N861&gt;=Assumptions!$B$23,"Counter-Attack / Transition",IF(AND(O861&gt;=Assumptions!$B$23,N861&lt;Assumptions!$B$26),"Low Block / Park the Bus",IF(AND(B861="FW",M861&gt;=Assumptions!$B$23,N861&lt;Assumptions!$B$26),"Direct / Target Approach","Flexible / Multi-System"))))))</f>
        <v>Shot-Stopper / Traditional</v>
      </c>
      <c r="AD861" s="21" t="str">
        <f aca="false">'Player Data'!Y861</f>
        <v>2026-07-17</v>
      </c>
      <c r="AE861" s="21" t="str">
        <f aca="false">'Player Data'!Z861</f>
        <v>2026-07-17</v>
      </c>
      <c r="AF861" s="28" t="str">
        <f aca="false">IFERROR(INDEX(Assumptions!$B$30:$B$61,MATCH(C861,Assumptions!$A$30:$A$61,0)),"--")</f>
        <v>Mexico, United States</v>
      </c>
      <c r="AG861" s="30" t="str">
        <f aca="false">IF(R861&gt;=0.7,"Step-Up Candidate",IF(R861&gt;=0.4,"Lateral Move","Stay &amp; Develop"))</f>
        <v>Stay &amp; Develop</v>
      </c>
    </row>
    <row r="862" customFormat="false" ht="23.85" hidden="false" customHeight="false" outlineLevel="0" collapsed="false">
      <c r="A862" s="21" t="str">
        <f aca="false">'Player Data'!A862</f>
        <v>Haruto Sato</v>
      </c>
      <c r="B862" s="21" t="str">
        <f aca="false">'Player Data'!F862</f>
        <v>DF</v>
      </c>
      <c r="C862" s="21" t="str">
        <f aca="false">'Player Data'!B862</f>
        <v>Japan</v>
      </c>
      <c r="D862" s="21" t="str">
        <f aca="false">'Player Data'!C862</f>
        <v>Japan Provincial League</v>
      </c>
      <c r="E862" s="21" t="n">
        <f aca="false">'Player Data'!D862</f>
        <v>3</v>
      </c>
      <c r="F862" s="21" t="n">
        <f aca="false">'Player Data'!G862</f>
        <v>22</v>
      </c>
      <c r="G862" s="21" t="n">
        <f aca="false">'Player Data'!H862</f>
        <v>1357</v>
      </c>
      <c r="H862" s="22" t="n">
        <f aca="false">IF(B862="GK",IFERROR(('Player Data'!N862-1.5*'Player Data'!O862)/'Player Data'!H862*90,0),IFERROR(('Player Data'!I862+'Player Data'!J862)/'Player Data'!H862*90,0))</f>
        <v>0.198968312453943</v>
      </c>
      <c r="I862" s="22" t="n">
        <f aca="false">IF(B862="GK",'Player Data'!P862,IFERROR(('Player Data'!K862+'Player Data'!L862)/'Player Data'!H862*90,0))</f>
        <v>5.77008106116433</v>
      </c>
      <c r="J862" s="22" t="n">
        <f aca="false">IF(B862="GK",IFERROR('Player Data'!Q862/'Player Data'!H862*90,0),IFERROR('Player Data'!M862/'Player Data'!H862*90,0))</f>
        <v>7.22918201915991</v>
      </c>
      <c r="K862" s="23" t="n">
        <f aca="false">'Player Data'!S862</f>
        <v>98653</v>
      </c>
      <c r="L862" s="22" t="n">
        <f aca="false">INDEX(Assumptions!$B$13:$B$15,MATCH(E862,Assumptions!$A$13:$A$15,0))</f>
        <v>0.85</v>
      </c>
      <c r="M862" s="24" t="n">
        <f aca="false">IFERROR(SUMPRODUCT(($B$2:$B$1001=B862)*($H$2:$H$1001&lt;=H862))/SUMPRODUCT(($B$2:$B$1001=B862)*1),0)</f>
        <v>0.537414965986395</v>
      </c>
      <c r="N862" s="24" t="n">
        <f aca="false">IFERROR(SUMPRODUCT(($B$2:$B$1001=B862)*($I$2:$I$1001&lt;=I862))/SUMPRODUCT(($B$2:$B$1001=B862)*1),0)</f>
        <v>0.717687074829932</v>
      </c>
      <c r="O862" s="24" t="n">
        <f aca="false">IFERROR(SUMPRODUCT(($B$2:$B$1001=B862)*($J$2:$J$1001&lt;=J862))/SUMPRODUCT(($B$2:$B$1001=B862)*1),0)</f>
        <v>0.772108843537415</v>
      </c>
      <c r="P862" s="24" t="n">
        <f aca="false">IFERROR(SUMPRODUCT(($B$2:$B$1001=B862)*((0-$F$2:$F$1001)&lt;=(0-F862)))/SUMPRODUCT(($B$2:$B$1001=B862)*1),0)</f>
        <v>0.493197278911565</v>
      </c>
      <c r="Q862" s="25" t="n">
        <f aca="false">(M862*Assumptions!$B$5+N862*Assumptions!$B$6+O862*Assumptions!$B$7+P862*Assumptions!$B$8)*L862</f>
        <v>0.54281462585034</v>
      </c>
      <c r="R862" s="24" t="n">
        <f aca="false">IFERROR(SUMPRODUCT(($B$2:$B$1001=B862)*($Q$2:$Q$1001&lt;=Q862))/SUMPRODUCT(($B$2:$B$1001=B862)*1),0)</f>
        <v>0.687074829931973</v>
      </c>
      <c r="S862" s="24" t="n">
        <f aca="false">IFERROR(SUMPRODUCT(($B$2:$B$1001=B862)*($K$2:$K$1001&lt;=K862))/SUMPRODUCT(($B$2:$B$1001=B862)*1),0)</f>
        <v>0.73469387755102</v>
      </c>
      <c r="T862" s="26" t="n">
        <f aca="false">(R862-S862)*100</f>
        <v>-4.76190476190477</v>
      </c>
      <c r="U862" s="21" t="str">
        <f aca="false">'Player Data'!T862</f>
        <v>Yes</v>
      </c>
      <c r="V862" s="27" t="n">
        <f aca="false">'Player Data'!U862</f>
        <v>2027</v>
      </c>
      <c r="W862" s="21" t="str">
        <f aca="false">IF(AND(T862&gt;=Assumptions!$B$19,U862="No"),"High Priority - Unrepresented",IF(T862&gt;=Assumptions!$B$19,"High Priority",IF(AND(T862&gt;=Assumptions!$B$20,U862="No"),"Watchlist - Unrepresented",IF(T862&gt;=Assumptions!$B$20,"Watchlist",""))))</f>
        <v/>
      </c>
      <c r="X862" s="21" t="str">
        <f aca="false">'Player Data'!V862</f>
        <v>info@sapporosc.jp</v>
      </c>
      <c r="Y862" s="28" t="str">
        <f aca="false">'Player Data'!W862</f>
        <v>Go through the player's agent - ask the club to confirm representation first</v>
      </c>
      <c r="Z862" s="28" t="str">
        <f aca="false">'Player Data'!X862</f>
        <v>JFA (Japan Football Association) player registry</v>
      </c>
      <c r="AA862" s="19" t="str">
        <f aca="false">HYPERLINK("https://www.transfermarkt.com/schnellsuche/ergebnis/schnellsuche?query="&amp;SUBSTITUTE(A862," ","+"),"Search Transfermarkt")</f>
        <v>Search Transfermarkt</v>
      </c>
      <c r="AB862" s="29" t="n">
        <f aca="false">IFERROR('Player Data'!K862/('Player Data'!K862+'Player Data'!L862),0)</f>
        <v>0.67816091954023</v>
      </c>
      <c r="AC862" s="21" t="str">
        <f aca="false">IF(B862="GK",IF(AND(O862&gt;=Assumptions!$B$23,N862&gt;=Assumptions!$B$23),"Sweeper-Keeper / Build-from-the-Back",IF(O862&gt;=Assumptions!$B$23,"Sweeper-Keeper / High Line",IF(M862&gt;=Assumptions!$B$23,"Shot-Stopper / Traditional","Flexible / Multi-System"))),IF(AND(O862&gt;=Assumptions!$B$23,P862&gt;=Assumptions!$B$24),"High Press / Gegenpressing",IF(AND(N862&gt;=Assumptions!$B$23,AB862&gt;=Assumptions!$B$25),"Possession / Build-from-the-Back",IF(N862&gt;=Assumptions!$B$23,"Counter-Attack / Transition",IF(AND(O862&gt;=Assumptions!$B$23,N862&lt;Assumptions!$B$26),"Low Block / Park the Bus",IF(AND(B862="FW",M862&gt;=Assumptions!$B$23,N862&lt;Assumptions!$B$26),"Direct / Target Approach","Flexible / Multi-System"))))))</f>
        <v>Possession / Build-from-the-Back</v>
      </c>
      <c r="AD862" s="21" t="str">
        <f aca="false">'Player Data'!Y862</f>
        <v>2026-07-17</v>
      </c>
      <c r="AE862" s="21" t="str">
        <f aca="false">'Player Data'!Z862</f>
        <v>2026-07-17</v>
      </c>
      <c r="AF862" s="28" t="str">
        <f aca="false">IFERROR(INDEX(Assumptions!$B$30:$B$61,MATCH(C862,Assumptions!$A$30:$A$61,0)),"--")</f>
        <v>Belgium, Australia</v>
      </c>
      <c r="AG862" s="30" t="str">
        <f aca="false">IF(R862&gt;=0.7,"Step-Up Candidate",IF(R862&gt;=0.4,"Lateral Move","Stay &amp; Develop"))</f>
        <v>Lateral Move</v>
      </c>
    </row>
    <row r="863" customFormat="false" ht="23.85" hidden="false" customHeight="false" outlineLevel="0" collapsed="false">
      <c r="A863" s="21" t="str">
        <f aca="false">'Player Data'!A863</f>
        <v>Fidel Barrios</v>
      </c>
      <c r="B863" s="21" t="str">
        <f aca="false">'Player Data'!F863</f>
        <v>MF</v>
      </c>
      <c r="C863" s="21" t="str">
        <f aca="false">'Player Data'!B863</f>
        <v>Panama</v>
      </c>
      <c r="D863" s="21" t="str">
        <f aca="false">'Player Data'!C863</f>
        <v>Panama Provincial League</v>
      </c>
      <c r="E863" s="21" t="n">
        <f aca="false">'Player Data'!D863</f>
        <v>2</v>
      </c>
      <c r="F863" s="21" t="n">
        <f aca="false">'Player Data'!G863</f>
        <v>17</v>
      </c>
      <c r="G863" s="21" t="n">
        <f aca="false">'Player Data'!H863</f>
        <v>2697</v>
      </c>
      <c r="H863" s="22" t="n">
        <f aca="false">IF(B863="GK",IFERROR(('Player Data'!N863-1.5*'Player Data'!O863)/'Player Data'!H863*90,0),IFERROR(('Player Data'!I863+'Player Data'!J863)/'Player Data'!H863*90,0))</f>
        <v>0.200222469410456</v>
      </c>
      <c r="I863" s="22" t="n">
        <f aca="false">IF(B863="GK",'Player Data'!P863,IFERROR(('Player Data'!K863+'Player Data'!L863)/'Player Data'!H863*90,0))</f>
        <v>7.20800889877642</v>
      </c>
      <c r="J863" s="22" t="n">
        <f aca="false">IF(B863="GK",IFERROR('Player Data'!Q863/'Player Data'!H863*90,0),IFERROR('Player Data'!M863/'Player Data'!H863*90,0))</f>
        <v>1.33481646273637</v>
      </c>
      <c r="K863" s="23" t="n">
        <f aca="false">'Player Data'!S863</f>
        <v>0</v>
      </c>
      <c r="L863" s="22" t="n">
        <f aca="false">INDEX(Assumptions!$B$13:$B$15,MATCH(E863,Assumptions!$A$13:$A$15,0))</f>
        <v>1</v>
      </c>
      <c r="M863" s="24" t="n">
        <f aca="false">IFERROR(SUMPRODUCT(($B$2:$B$1001=B863)*($H$2:$H$1001&lt;=H863))/SUMPRODUCT(($B$2:$B$1001=B863)*1),0)</f>
        <v>0.00336700336700337</v>
      </c>
      <c r="N863" s="24" t="n">
        <f aca="false">IFERROR(SUMPRODUCT(($B$2:$B$1001=B863)*($I$2:$I$1001&lt;=I863))/SUMPRODUCT(($B$2:$B$1001=B863)*1),0)</f>
        <v>0.0808080808080808</v>
      </c>
      <c r="O863" s="24" t="n">
        <f aca="false">IFERROR(SUMPRODUCT(($B$2:$B$1001=B863)*($J$2:$J$1001&lt;=J863))/SUMPRODUCT(($B$2:$B$1001=B863)*1),0)</f>
        <v>0.107744107744108</v>
      </c>
      <c r="P863" s="24" t="n">
        <f aca="false">IFERROR(SUMPRODUCT(($B$2:$B$1001=B863)*((0-$F$2:$F$1001)&lt;=(0-F863)))/SUMPRODUCT(($B$2:$B$1001=B863)*1),0)</f>
        <v>1</v>
      </c>
      <c r="Q863" s="25" t="n">
        <f aca="false">(M863*Assumptions!$B$5+N863*Assumptions!$B$6+O863*Assumptions!$B$7+P863*Assumptions!$B$8)*L863</f>
        <v>0.250673400673401</v>
      </c>
      <c r="R863" s="24" t="n">
        <f aca="false">IFERROR(SUMPRODUCT(($B$2:$B$1001=B863)*($Q$2:$Q$1001&lt;=Q863))/SUMPRODUCT(($B$2:$B$1001=B863)*1),0)</f>
        <v>0.178451178451178</v>
      </c>
      <c r="S863" s="24" t="n">
        <f aca="false">IFERROR(SUMPRODUCT(($B$2:$B$1001=B863)*($K$2:$K$1001&lt;=K863))/SUMPRODUCT(($B$2:$B$1001=B863)*1),0)</f>
        <v>0.228956228956229</v>
      </c>
      <c r="T863" s="26" t="n">
        <f aca="false">(R863-S863)*100</f>
        <v>-5.05050505050505</v>
      </c>
      <c r="U863" s="21" t="str">
        <f aca="false">'Player Data'!T863</f>
        <v>Unknown</v>
      </c>
      <c r="V863" s="27" t="n">
        <f aca="false">'Player Data'!U863</f>
        <v>2028</v>
      </c>
      <c r="W863" s="21" t="str">
        <f aca="false">IF(AND(T863&gt;=Assumptions!$B$19,U863="No"),"High Priority - Unrepresented",IF(T863&gt;=Assumptions!$B$19,"High Priority",IF(AND(T863&gt;=Assumptions!$B$20,U863="No"),"Watchlist - Unrepresented",IF(T863&gt;=Assumptions!$B$20,"Watchlist",""))))</f>
        <v/>
      </c>
      <c r="X863" s="21" t="str">
        <f aca="false">'Player Data'!V863</f>
        <v>info@panamacityrangers.pa</v>
      </c>
      <c r="Y863" s="28" t="str">
        <f aca="false">'Player Data'!W863</f>
        <v>Club youth/academy office ONLY - player is a minor, do not contact directly</v>
      </c>
      <c r="Z863" s="28" t="str">
        <f aca="false">'Player Data'!X863</f>
        <v>FEPAFUT (Panamanian Football Federation) player registry</v>
      </c>
      <c r="AA863" s="19" t="str">
        <f aca="false">HYPERLINK("https://www.transfermarkt.com/schnellsuche/ergebnis/schnellsuche?query="&amp;SUBSTITUTE(A863," ","+"),"Search Transfermarkt")</f>
        <v>Search Transfermarkt</v>
      </c>
      <c r="AB863" s="29" t="n">
        <f aca="false">IFERROR('Player Data'!K863/('Player Data'!K863+'Player Data'!L863),0)</f>
        <v>0.685185185185185</v>
      </c>
      <c r="AC863" s="21" t="str">
        <f aca="false">IF(B863="GK",IF(AND(O863&gt;=Assumptions!$B$23,N863&gt;=Assumptions!$B$23),"Sweeper-Keeper / Build-from-the-Back",IF(O863&gt;=Assumptions!$B$23,"Sweeper-Keeper / High Line",IF(M863&gt;=Assumptions!$B$23,"Shot-Stopper / Traditional","Flexible / Multi-System"))),IF(AND(O863&gt;=Assumptions!$B$23,P863&gt;=Assumptions!$B$24),"High Press / Gegenpressing",IF(AND(N863&gt;=Assumptions!$B$23,AB863&gt;=Assumptions!$B$25),"Possession / Build-from-the-Back",IF(N863&gt;=Assumptions!$B$23,"Counter-Attack / Transition",IF(AND(O863&gt;=Assumptions!$B$23,N863&lt;Assumptions!$B$26),"Low Block / Park the Bus",IF(AND(B863="FW",M863&gt;=Assumptions!$B$23,N863&lt;Assumptions!$B$26),"Direct / Target Approach","Flexible / Multi-System"))))))</f>
        <v>Flexible / Multi-System</v>
      </c>
      <c r="AD863" s="21" t="str">
        <f aca="false">'Player Data'!Y863</f>
        <v>2026-07-17</v>
      </c>
      <c r="AE863" s="21" t="str">
        <f aca="false">'Player Data'!Z863</f>
        <v>2026-07-17</v>
      </c>
      <c r="AF863" s="28" t="str">
        <f aca="false">IFERROR(INDEX(Assumptions!$B$30:$B$61,MATCH(C863,Assumptions!$A$30:$A$61,0)),"--")</f>
        <v>Mexico, United States</v>
      </c>
      <c r="AG863" s="30" t="str">
        <f aca="false">IF(R863&gt;=0.7,"Step-Up Candidate",IF(R863&gt;=0.4,"Lateral Move","Stay &amp; Develop"))</f>
        <v>Stay &amp; Develop</v>
      </c>
    </row>
    <row r="864" customFormat="false" ht="23.85" hidden="false" customHeight="false" outlineLevel="0" collapsed="false">
      <c r="A864" s="21" t="str">
        <f aca="false">'Player Data'!A864</f>
        <v>Kristers Vitols 64</v>
      </c>
      <c r="B864" s="21" t="str">
        <f aca="false">'Player Data'!F864</f>
        <v>DF</v>
      </c>
      <c r="C864" s="21" t="str">
        <f aca="false">'Player Data'!B864</f>
        <v>Latvia</v>
      </c>
      <c r="D864" s="21" t="str">
        <f aca="false">'Player Data'!C864</f>
        <v>Latvia Third Tier - South</v>
      </c>
      <c r="E864" s="21" t="n">
        <f aca="false">'Player Data'!D864</f>
        <v>3</v>
      </c>
      <c r="F864" s="21" t="n">
        <f aca="false">'Player Data'!G864</f>
        <v>21</v>
      </c>
      <c r="G864" s="21" t="n">
        <f aca="false">'Player Data'!H864</f>
        <v>2521</v>
      </c>
      <c r="H864" s="22" t="n">
        <f aca="false">IF(B864="GK",IFERROR(('Player Data'!N864-1.5*'Player Data'!O864)/'Player Data'!H864*90,0),IFERROR(('Player Data'!I864+'Player Data'!J864)/'Player Data'!H864*90,0))</f>
        <v>0.142800476001587</v>
      </c>
      <c r="I864" s="22" t="n">
        <f aca="false">IF(B864="GK",'Player Data'!P864,IFERROR(('Player Data'!K864+'Player Data'!L864)/'Player Data'!H864*90,0))</f>
        <v>2.96310987703292</v>
      </c>
      <c r="J864" s="22" t="n">
        <f aca="false">IF(B864="GK",IFERROR('Player Data'!Q864/'Player Data'!H864*90,0),IFERROR('Player Data'!M864/'Player Data'!H864*90,0))</f>
        <v>2.67750892502975</v>
      </c>
      <c r="K864" s="23" t="n">
        <f aca="false">'Player Data'!S864</f>
        <v>112660</v>
      </c>
      <c r="L864" s="22" t="n">
        <f aca="false">INDEX(Assumptions!$B$13:$B$15,MATCH(E864,Assumptions!$A$13:$A$15,0))</f>
        <v>0.85</v>
      </c>
      <c r="M864" s="24" t="n">
        <f aca="false">IFERROR(SUMPRODUCT(($B$2:$B$1001=B864)*($H$2:$H$1001&lt;=H864))/SUMPRODUCT(($B$2:$B$1001=B864)*1),0)</f>
        <v>0.343537414965986</v>
      </c>
      <c r="N864" s="24" t="n">
        <f aca="false">IFERROR(SUMPRODUCT(($B$2:$B$1001=B864)*($I$2:$I$1001&lt;=I864))/SUMPRODUCT(($B$2:$B$1001=B864)*1),0)</f>
        <v>0.0714285714285714</v>
      </c>
      <c r="O864" s="24" t="n">
        <f aca="false">IFERROR(SUMPRODUCT(($B$2:$B$1001=B864)*($J$2:$J$1001&lt;=J864))/SUMPRODUCT(($B$2:$B$1001=B864)*1),0)</f>
        <v>0.0102040816326531</v>
      </c>
      <c r="P864" s="24" t="n">
        <f aca="false">IFERROR(SUMPRODUCT(($B$2:$B$1001=B864)*((0-$F$2:$F$1001)&lt;=(0-F864)))/SUMPRODUCT(($B$2:$B$1001=B864)*1),0)</f>
        <v>0.568027210884354</v>
      </c>
      <c r="Q864" s="25" t="n">
        <f aca="false">(M864*Assumptions!$B$5+N864*Assumptions!$B$6+O864*Assumptions!$B$7+P864*Assumptions!$B$8)*L864</f>
        <v>0.192551020408163</v>
      </c>
      <c r="R864" s="24" t="n">
        <f aca="false">IFERROR(SUMPRODUCT(($B$2:$B$1001=B864)*($Q$2:$Q$1001&lt;=Q864))/SUMPRODUCT(($B$2:$B$1001=B864)*1),0)</f>
        <v>0.0646258503401361</v>
      </c>
      <c r="S864" s="24" t="n">
        <f aca="false">IFERROR(SUMPRODUCT(($B$2:$B$1001=B864)*($K$2:$K$1001&lt;=K864))/SUMPRODUCT(($B$2:$B$1001=B864)*1),0)</f>
        <v>0.80952380952381</v>
      </c>
      <c r="T864" s="26" t="n">
        <f aca="false">(R864-S864)*100</f>
        <v>-74.4897959183674</v>
      </c>
      <c r="U864" s="21" t="str">
        <f aca="false">'Player Data'!T864</f>
        <v>No</v>
      </c>
      <c r="V864" s="27" t="n">
        <f aca="false">'Player Data'!U864</f>
        <v>2026</v>
      </c>
      <c r="W864" s="21" t="str">
        <f aca="false">IF(AND(T864&gt;=Assumptions!$B$19,U864="No"),"High Priority - Unrepresented",IF(T864&gt;=Assumptions!$B$19,"High Priority",IF(AND(T864&gt;=Assumptions!$B$20,U864="No"),"Watchlist - Unrepresented",IF(T864&gt;=Assumptions!$B$20,"Watchlist",""))))</f>
        <v/>
      </c>
      <c r="X864" s="21" t="str">
        <f aca="false">'Player Data'!V864</f>
        <v>info@liepajafc.lv</v>
      </c>
      <c r="Y864" s="28" t="str">
        <f aca="false">'Player Data'!W864</f>
        <v>Club sporting director / first-team office</v>
      </c>
      <c r="Z864" s="28" t="str">
        <f aca="false">'Player Data'!X864</f>
        <v>LFF (Latvian Football Federation) player registry</v>
      </c>
      <c r="AA864" s="19" t="str">
        <f aca="false">HYPERLINK("https://www.transfermarkt.com/schnellsuche/ergebnis/schnellsuche?query="&amp;SUBSTITUTE(A864," ","+"),"Search Transfermarkt")</f>
        <v>Search Transfermarkt</v>
      </c>
      <c r="AB864" s="29" t="n">
        <f aca="false">IFERROR('Player Data'!K864/('Player Data'!K864+'Player Data'!L864),0)</f>
        <v>0.759036144578313</v>
      </c>
      <c r="AC864" s="21" t="str">
        <f aca="false">IF(B864="GK",IF(AND(O864&gt;=Assumptions!$B$23,N864&gt;=Assumptions!$B$23),"Sweeper-Keeper / Build-from-the-Back",IF(O864&gt;=Assumptions!$B$23,"Sweeper-Keeper / High Line",IF(M864&gt;=Assumptions!$B$23,"Shot-Stopper / Traditional","Flexible / Multi-System"))),IF(AND(O864&gt;=Assumptions!$B$23,P864&gt;=Assumptions!$B$24),"High Press / Gegenpressing",IF(AND(N864&gt;=Assumptions!$B$23,AB864&gt;=Assumptions!$B$25),"Possession / Build-from-the-Back",IF(N864&gt;=Assumptions!$B$23,"Counter-Attack / Transition",IF(AND(O864&gt;=Assumptions!$B$23,N864&lt;Assumptions!$B$26),"Low Block / Park the Bus",IF(AND(B864="FW",M864&gt;=Assumptions!$B$23,N864&lt;Assumptions!$B$26),"Direct / Target Approach","Flexible / Multi-System"))))))</f>
        <v>Flexible / Multi-System</v>
      </c>
      <c r="AD864" s="21" t="str">
        <f aca="false">'Player Data'!Y864</f>
        <v>2026-07-17</v>
      </c>
      <c r="AE864" s="21" t="str">
        <f aca="false">'Player Data'!Z864</f>
        <v>2026-07-17</v>
      </c>
      <c r="AF864" s="28" t="str">
        <f aca="false">IFERROR(INDEX(Assumptions!$B$30:$B$61,MATCH(C864,Assumptions!$A$30:$A$61,0)),"--")</f>
        <v>Poland, Norway</v>
      </c>
      <c r="AG864" s="30" t="str">
        <f aca="false">IF(R864&gt;=0.7,"Step-Up Candidate",IF(R864&gt;=0.4,"Lateral Move","Stay &amp; Develop"))</f>
        <v>Stay &amp; Develop</v>
      </c>
    </row>
    <row r="865" customFormat="false" ht="23.85" hidden="false" customHeight="false" outlineLevel="0" collapsed="false">
      <c r="A865" s="21" t="str">
        <f aca="false">'Player Data'!A865</f>
        <v>Min-jun Kang</v>
      </c>
      <c r="B865" s="21" t="str">
        <f aca="false">'Player Data'!F865</f>
        <v>GK</v>
      </c>
      <c r="C865" s="21" t="str">
        <f aca="false">'Player Data'!B865</f>
        <v>South Korea</v>
      </c>
      <c r="D865" s="21" t="str">
        <f aca="false">'Player Data'!C865</f>
        <v>South Korea Provincial League</v>
      </c>
      <c r="E865" s="21" t="n">
        <f aca="false">'Player Data'!D865</f>
        <v>4</v>
      </c>
      <c r="F865" s="21" t="n">
        <f aca="false">'Player Data'!G865</f>
        <v>18</v>
      </c>
      <c r="G865" s="21" t="n">
        <f aca="false">'Player Data'!H865</f>
        <v>2320</v>
      </c>
      <c r="H865" s="22" t="n">
        <f aca="false">IF(B865="GK",IFERROR(('Player Data'!N865-1.5*'Player Data'!O865)/'Player Data'!H865*90,0),IFERROR(('Player Data'!I865+'Player Data'!J865)/'Player Data'!H865*90,0))</f>
        <v>1.51293103448276</v>
      </c>
      <c r="I865" s="22" t="n">
        <f aca="false">IF(B865="GK",'Player Data'!P865,IFERROR(('Player Data'!K865+'Player Data'!L865)/'Player Data'!H865*90,0))</f>
        <v>74.7</v>
      </c>
      <c r="J865" s="22" t="n">
        <f aca="false">IF(B865="GK",IFERROR('Player Data'!Q865/'Player Data'!H865*90,0),IFERROR('Player Data'!M865/'Player Data'!H865*90,0))</f>
        <v>0.539224137931035</v>
      </c>
      <c r="K865" s="23" t="n">
        <f aca="false">'Player Data'!S865</f>
        <v>61625</v>
      </c>
      <c r="L865" s="22" t="n">
        <f aca="false">INDEX(Assumptions!$B$13:$B$15,MATCH(E865,Assumptions!$A$13:$A$15,0))</f>
        <v>0.7</v>
      </c>
      <c r="M865" s="24" t="n">
        <f aca="false">IFERROR(SUMPRODUCT(($B$2:$B$1001=B865)*($H$2:$H$1001&lt;=H865))/SUMPRODUCT(($B$2:$B$1001=B865)*1),0)</f>
        <v>0.704918032786885</v>
      </c>
      <c r="N865" s="24" t="n">
        <f aca="false">IFERROR(SUMPRODUCT(($B$2:$B$1001=B865)*($I$2:$I$1001&lt;=I865))/SUMPRODUCT(($B$2:$B$1001=B865)*1),0)</f>
        <v>0.546448087431694</v>
      </c>
      <c r="O865" s="24" t="n">
        <f aca="false">IFERROR(SUMPRODUCT(($B$2:$B$1001=B865)*($J$2:$J$1001&lt;=J865))/SUMPRODUCT(($B$2:$B$1001=B865)*1),0)</f>
        <v>0.278688524590164</v>
      </c>
      <c r="P865" s="24" t="n">
        <f aca="false">IFERROR(SUMPRODUCT(($B$2:$B$1001=B865)*((0-$F$2:$F$1001)&lt;=(0-F865)))/SUMPRODUCT(($B$2:$B$1001=B865)*1),0)</f>
        <v>0.907103825136612</v>
      </c>
      <c r="Q865" s="25" t="n">
        <f aca="false">(M865*Assumptions!$B$5+N865*Assumptions!$B$6+O865*Assumptions!$B$7+P865*Assumptions!$B$8)*L865</f>
        <v>0.423251366120219</v>
      </c>
      <c r="R865" s="24" t="n">
        <f aca="false">IFERROR(SUMPRODUCT(($B$2:$B$1001=B865)*($Q$2:$Q$1001&lt;=Q865))/SUMPRODUCT(($B$2:$B$1001=B865)*1),0)</f>
        <v>0.409836065573771</v>
      </c>
      <c r="S865" s="24" t="n">
        <f aca="false">IFERROR(SUMPRODUCT(($B$2:$B$1001=B865)*($K$2:$K$1001&lt;=K865))/SUMPRODUCT(($B$2:$B$1001=B865)*1),0)</f>
        <v>0.459016393442623</v>
      </c>
      <c r="T865" s="26" t="n">
        <f aca="false">(R865-S865)*100</f>
        <v>-4.91803278688525</v>
      </c>
      <c r="U865" s="21" t="str">
        <f aca="false">'Player Data'!T865</f>
        <v>Yes</v>
      </c>
      <c r="V865" s="27" t="n">
        <f aca="false">'Player Data'!U865</f>
        <v>2027</v>
      </c>
      <c r="W865" s="21" t="str">
        <f aca="false">IF(AND(T865&gt;=Assumptions!$B$19,U865="No"),"High Priority - Unrepresented",IF(T865&gt;=Assumptions!$B$19,"High Priority",IF(AND(T865&gt;=Assumptions!$B$20,U865="No"),"Watchlist - Unrepresented",IF(T865&gt;=Assumptions!$B$20,"Watchlist",""))))</f>
        <v/>
      </c>
      <c r="X865" s="21" t="str">
        <f aca="false">'Player Data'!V865</f>
        <v>info@busantown.kr</v>
      </c>
      <c r="Y865" s="28" t="str">
        <f aca="false">'Player Data'!W865</f>
        <v>Go through the player's agent - ask the club to confirm representation first</v>
      </c>
      <c r="Z865" s="28" t="str">
        <f aca="false">'Player Data'!X865</f>
        <v>KFA (Korea Football Association) player registry</v>
      </c>
      <c r="AA865" s="19" t="str">
        <f aca="false">HYPERLINK("https://www.transfermarkt.com/schnellsuche/ergebnis/schnellsuche?query="&amp;SUBSTITUTE(A865," ","+"),"Search Transfermarkt")</f>
        <v>Search Transfermarkt</v>
      </c>
      <c r="AB865" s="29" t="n">
        <f aca="false">IFERROR('Player Data'!K865/('Player Data'!K865+'Player Data'!L865),0)</f>
        <v>1</v>
      </c>
      <c r="AC865" s="21" t="str">
        <f aca="false">IF(B865="GK",IF(AND(O865&gt;=Assumptions!$B$23,N865&gt;=Assumptions!$B$23),"Sweeper-Keeper / Build-from-the-Back",IF(O865&gt;=Assumptions!$B$23,"Sweeper-Keeper / High Line",IF(M865&gt;=Assumptions!$B$23,"Shot-Stopper / Traditional","Flexible / Multi-System"))),IF(AND(O865&gt;=Assumptions!$B$23,P865&gt;=Assumptions!$B$24),"High Press / Gegenpressing",IF(AND(N865&gt;=Assumptions!$B$23,AB865&gt;=Assumptions!$B$25),"Possession / Build-from-the-Back",IF(N865&gt;=Assumptions!$B$23,"Counter-Attack / Transition",IF(AND(O865&gt;=Assumptions!$B$23,N865&lt;Assumptions!$B$26),"Low Block / Park the Bus",IF(AND(B865="FW",M865&gt;=Assumptions!$B$23,N865&lt;Assumptions!$B$26),"Direct / Target Approach","Flexible / Multi-System"))))))</f>
        <v>Shot-Stopper / Traditional</v>
      </c>
      <c r="AD865" s="21" t="str">
        <f aca="false">'Player Data'!Y865</f>
        <v>2026-07-17</v>
      </c>
      <c r="AE865" s="21" t="str">
        <f aca="false">'Player Data'!Z865</f>
        <v>2026-07-17</v>
      </c>
      <c r="AF865" s="28" t="str">
        <f aca="false">IFERROR(INDEX(Assumptions!$B$30:$B$61,MATCH(C865,Assumptions!$A$30:$A$61,0)),"--")</f>
        <v>Belgium, Saudi Arabia</v>
      </c>
      <c r="AG865" s="30" t="str">
        <f aca="false">IF(R865&gt;=0.7,"Step-Up Candidate",IF(R865&gt;=0.4,"Lateral Move","Stay &amp; Develop"))</f>
        <v>Lateral Move</v>
      </c>
    </row>
    <row r="866" customFormat="false" ht="23.85" hidden="false" customHeight="false" outlineLevel="0" collapsed="false">
      <c r="A866" s="21" t="str">
        <f aca="false">'Player Data'!A866</f>
        <v>Kevin Chirinos</v>
      </c>
      <c r="B866" s="21" t="str">
        <f aca="false">'Player Data'!F866</f>
        <v>FW</v>
      </c>
      <c r="C866" s="21" t="str">
        <f aca="false">'Player Data'!B866</f>
        <v>Honduras</v>
      </c>
      <c r="D866" s="21" t="str">
        <f aca="false">'Player Data'!C866</f>
        <v>Honduras Second Division - West</v>
      </c>
      <c r="E866" s="21" t="n">
        <f aca="false">'Player Data'!D866</f>
        <v>2</v>
      </c>
      <c r="F866" s="21" t="n">
        <f aca="false">'Player Data'!G866</f>
        <v>19</v>
      </c>
      <c r="G866" s="21" t="n">
        <f aca="false">'Player Data'!H866</f>
        <v>917</v>
      </c>
      <c r="H866" s="22" t="n">
        <f aca="false">IF(B866="GK",IFERROR(('Player Data'!N866-1.5*'Player Data'!O866)/'Player Data'!H866*90,0),IFERROR(('Player Data'!I866+'Player Data'!J866)/'Player Data'!H866*90,0))</f>
        <v>1.4721919302072</v>
      </c>
      <c r="I866" s="22" t="n">
        <f aca="false">IF(B866="GK",'Player Data'!P866,IFERROR(('Player Data'!K866+'Player Data'!L866)/'Player Data'!H866*90,0))</f>
        <v>12.9552889858233</v>
      </c>
      <c r="J866" s="22" t="n">
        <f aca="false">IF(B866="GK",IFERROR('Player Data'!Q866/'Player Data'!H866*90,0),IFERROR('Player Data'!M866/'Player Data'!H866*90,0))</f>
        <v>1.57033805888768</v>
      </c>
      <c r="K866" s="23" t="n">
        <f aca="false">'Player Data'!S866</f>
        <v>19352</v>
      </c>
      <c r="L866" s="22" t="n">
        <f aca="false">INDEX(Assumptions!$B$13:$B$15,MATCH(E866,Assumptions!$A$13:$A$15,0))</f>
        <v>1</v>
      </c>
      <c r="M866" s="24" t="n">
        <f aca="false">IFERROR(SUMPRODUCT(($B$2:$B$1001=B866)*($H$2:$H$1001&lt;=H866))/SUMPRODUCT(($B$2:$B$1001=B866)*1),0)</f>
        <v>0.827433628318584</v>
      </c>
      <c r="N866" s="24" t="n">
        <f aca="false">IFERROR(SUMPRODUCT(($B$2:$B$1001=B866)*($I$2:$I$1001&lt;=I866))/SUMPRODUCT(($B$2:$B$1001=B866)*1),0)</f>
        <v>0.938053097345133</v>
      </c>
      <c r="O866" s="24" t="n">
        <f aca="false">IFERROR(SUMPRODUCT(($B$2:$B$1001=B866)*($J$2:$J$1001&lt;=J866))/SUMPRODUCT(($B$2:$B$1001=B866)*1),0)</f>
        <v>0.995575221238938</v>
      </c>
      <c r="P866" s="24" t="n">
        <f aca="false">IFERROR(SUMPRODUCT(($B$2:$B$1001=B866)*((0-$F$2:$F$1001)&lt;=(0-F866)))/SUMPRODUCT(($B$2:$B$1001=B866)*1),0)</f>
        <v>0.831858407079646</v>
      </c>
      <c r="Q866" s="25" t="n">
        <f aca="false">(M866*Assumptions!$B$5+N866*Assumptions!$B$6+O866*Assumptions!$B$7+P866*Assumptions!$B$8)*L866</f>
        <v>0.900663716814159</v>
      </c>
      <c r="R866" s="24" t="n">
        <f aca="false">IFERROR(SUMPRODUCT(($B$2:$B$1001=B866)*($Q$2:$Q$1001&lt;=Q866))/SUMPRODUCT(($B$2:$B$1001=B866)*1),0)</f>
        <v>0.986725663716814</v>
      </c>
      <c r="S866" s="24" t="n">
        <f aca="false">IFERROR(SUMPRODUCT(($B$2:$B$1001=B866)*($K$2:$K$1001&lt;=K866))/SUMPRODUCT(($B$2:$B$1001=B866)*1),0)</f>
        <v>0.323008849557522</v>
      </c>
      <c r="T866" s="26" t="n">
        <f aca="false">(R866-S866)*100</f>
        <v>66.3716814159292</v>
      </c>
      <c r="U866" s="21" t="str">
        <f aca="false">'Player Data'!T866</f>
        <v>Yes</v>
      </c>
      <c r="V866" s="27" t="n">
        <f aca="false">'Player Data'!U866</f>
        <v>2027</v>
      </c>
      <c r="W866" s="21" t="str">
        <f aca="false">IF(AND(T866&gt;=Assumptions!$B$19,U866="No"),"High Priority - Unrepresented",IF(T866&gt;=Assumptions!$B$19,"High Priority",IF(AND(T866&gt;=Assumptions!$B$20,U866="No"),"Watchlist - Unrepresented",IF(T866&gt;=Assumptions!$B$20,"Watchlist",""))))</f>
        <v>High Priority</v>
      </c>
      <c r="X866" s="21" t="str">
        <f aca="false">'Player Data'!V866</f>
        <v>info@sanpedrosulaunited.hn</v>
      </c>
      <c r="Y866" s="28" t="str">
        <f aca="false">'Player Data'!W866</f>
        <v>Go through the player's agent - ask the club to confirm representation first</v>
      </c>
      <c r="Z866" s="28" t="str">
        <f aca="false">'Player Data'!X866</f>
        <v>FENAFUTH (Honduran Football Federation) player registry</v>
      </c>
      <c r="AA866" s="19" t="str">
        <f aca="false">HYPERLINK("https://www.transfermarkt.com/schnellsuche/ergebnis/schnellsuche?query="&amp;SUBSTITUTE(A866," ","+"),"Search Transfermarkt")</f>
        <v>Search Transfermarkt</v>
      </c>
      <c r="AB866" s="29" t="n">
        <f aca="false">IFERROR('Player Data'!K866/('Player Data'!K866+'Player Data'!L866),0)</f>
        <v>0.272727272727273</v>
      </c>
      <c r="AC866" s="21" t="str">
        <f aca="false">IF(B866="GK",IF(AND(O866&gt;=Assumptions!$B$23,N866&gt;=Assumptions!$B$23),"Sweeper-Keeper / Build-from-the-Back",IF(O866&gt;=Assumptions!$B$23,"Sweeper-Keeper / High Line",IF(M866&gt;=Assumptions!$B$23,"Shot-Stopper / Traditional","Flexible / Multi-System"))),IF(AND(O866&gt;=Assumptions!$B$23,P866&gt;=Assumptions!$B$24),"High Press / Gegenpressing",IF(AND(N866&gt;=Assumptions!$B$23,AB866&gt;=Assumptions!$B$25),"Possession / Build-from-the-Back",IF(N866&gt;=Assumptions!$B$23,"Counter-Attack / Transition",IF(AND(O866&gt;=Assumptions!$B$23,N866&lt;Assumptions!$B$26),"Low Block / Park the Bus",IF(AND(B866="FW",M866&gt;=Assumptions!$B$23,N866&lt;Assumptions!$B$26),"Direct / Target Approach","Flexible / Multi-System"))))))</f>
        <v>High Press / Gegenpressing</v>
      </c>
      <c r="AD866" s="21" t="str">
        <f aca="false">'Player Data'!Y866</f>
        <v>2026-07-17</v>
      </c>
      <c r="AE866" s="21" t="str">
        <f aca="false">'Player Data'!Z866</f>
        <v>2026-07-17</v>
      </c>
      <c r="AF866" s="28" t="str">
        <f aca="false">IFERROR(INDEX(Assumptions!$B$30:$B$61,MATCH(C866,Assumptions!$A$30:$A$61,0)),"--")</f>
        <v>Mexico, United States</v>
      </c>
      <c r="AG866" s="30" t="str">
        <f aca="false">IF(R866&gt;=0.7,"Step-Up Candidate",IF(R866&gt;=0.4,"Lateral Move","Stay &amp; Develop"))</f>
        <v>Step-Up Candidate</v>
      </c>
    </row>
    <row r="867" customFormat="false" ht="23.85" hidden="false" customHeight="false" outlineLevel="0" collapsed="false">
      <c r="A867" s="21" t="str">
        <f aca="false">'Player Data'!A867</f>
        <v>Franck Kone</v>
      </c>
      <c r="B867" s="21" t="str">
        <f aca="false">'Player Data'!F867</f>
        <v>DF</v>
      </c>
      <c r="C867" s="21" t="str">
        <f aca="false">'Player Data'!B867</f>
        <v>Ivory Coast</v>
      </c>
      <c r="D867" s="21" t="str">
        <f aca="false">'Player Data'!C867</f>
        <v>Ivory Coast Second Division</v>
      </c>
      <c r="E867" s="21" t="n">
        <f aca="false">'Player Data'!D867</f>
        <v>4</v>
      </c>
      <c r="F867" s="21" t="n">
        <f aca="false">'Player Data'!G867</f>
        <v>18</v>
      </c>
      <c r="G867" s="21" t="n">
        <f aca="false">'Player Data'!H867</f>
        <v>2202</v>
      </c>
      <c r="H867" s="22" t="n">
        <f aca="false">IF(B867="GK",IFERROR(('Player Data'!N867-1.5*'Player Data'!O867)/'Player Data'!H867*90,0),IFERROR(('Player Data'!I867+'Player Data'!J867)/'Player Data'!H867*90,0))</f>
        <v>0.204359673024523</v>
      </c>
      <c r="I867" s="22" t="n">
        <f aca="false">IF(B867="GK",'Player Data'!P867,IFERROR(('Player Data'!K867+'Player Data'!L867)/'Player Data'!H867*90,0))</f>
        <v>3.06539509536785</v>
      </c>
      <c r="J867" s="22" t="n">
        <f aca="false">IF(B867="GK",IFERROR('Player Data'!Q867/'Player Data'!H867*90,0),IFERROR('Player Data'!M867/'Player Data'!H867*90,0))</f>
        <v>4.25068119891008</v>
      </c>
      <c r="K867" s="23" t="n">
        <f aca="false">'Player Data'!S867</f>
        <v>116351</v>
      </c>
      <c r="L867" s="22" t="n">
        <f aca="false">INDEX(Assumptions!$B$13:$B$15,MATCH(E867,Assumptions!$A$13:$A$15,0))</f>
        <v>0.7</v>
      </c>
      <c r="M867" s="24" t="n">
        <f aca="false">IFERROR(SUMPRODUCT(($B$2:$B$1001=B867)*($H$2:$H$1001&lt;=H867))/SUMPRODUCT(($B$2:$B$1001=B867)*1),0)</f>
        <v>0.551020408163265</v>
      </c>
      <c r="N867" s="24" t="n">
        <f aca="false">IFERROR(SUMPRODUCT(($B$2:$B$1001=B867)*($I$2:$I$1001&lt;=I867))/SUMPRODUCT(($B$2:$B$1001=B867)*1),0)</f>
        <v>0.0952380952380952</v>
      </c>
      <c r="O867" s="24" t="n">
        <f aca="false">IFERROR(SUMPRODUCT(($B$2:$B$1001=B867)*($J$2:$J$1001&lt;=J867))/SUMPRODUCT(($B$2:$B$1001=B867)*1),0)</f>
        <v>0.312925170068027</v>
      </c>
      <c r="P867" s="24" t="n">
        <f aca="false">IFERROR(SUMPRODUCT(($B$2:$B$1001=B867)*((0-$F$2:$F$1001)&lt;=(0-F867)))/SUMPRODUCT(($B$2:$B$1001=B867)*1),0)</f>
        <v>0.863945578231293</v>
      </c>
      <c r="Q867" s="25" t="n">
        <f aca="false">(M867*Assumptions!$B$5+N867*Assumptions!$B$6+O867*Assumptions!$B$7+P867*Assumptions!$B$8)*L867</f>
        <v>0.284523809523809</v>
      </c>
      <c r="R867" s="24" t="n">
        <f aca="false">IFERROR(SUMPRODUCT(($B$2:$B$1001=B867)*($Q$2:$Q$1001&lt;=Q867))/SUMPRODUCT(($B$2:$B$1001=B867)*1),0)</f>
        <v>0.227891156462585</v>
      </c>
      <c r="S867" s="24" t="n">
        <f aca="false">IFERROR(SUMPRODUCT(($B$2:$B$1001=B867)*($K$2:$K$1001&lt;=K867))/SUMPRODUCT(($B$2:$B$1001=B867)*1),0)</f>
        <v>0.829931972789116</v>
      </c>
      <c r="T867" s="26" t="n">
        <f aca="false">(R867-S867)*100</f>
        <v>-60.2040816326531</v>
      </c>
      <c r="U867" s="21" t="str">
        <f aca="false">'Player Data'!T867</f>
        <v>No</v>
      </c>
      <c r="V867" s="27" t="n">
        <f aca="false">'Player Data'!U867</f>
        <v>2029</v>
      </c>
      <c r="W867" s="21" t="str">
        <f aca="false">IF(AND(T867&gt;=Assumptions!$B$19,U867="No"),"High Priority - Unrepresented",IF(T867&gt;=Assumptions!$B$19,"High Priority",IF(AND(T867&gt;=Assumptions!$B$20,U867="No"),"Watchlist - Unrepresented",IF(T867&gt;=Assumptions!$B$20,"Watchlist",""))))</f>
        <v/>
      </c>
      <c r="X867" s="21" t="str">
        <f aca="false">'Player Data'!V867</f>
        <v>info@sanpedrosc.ci</v>
      </c>
      <c r="Y867" s="28" t="str">
        <f aca="false">'Player Data'!W867</f>
        <v>Club sporting director / first-team office</v>
      </c>
      <c r="Z867" s="28" t="str">
        <f aca="false">'Player Data'!X867</f>
        <v>FIF (Ivorian Football Federation) player registry</v>
      </c>
      <c r="AA867" s="19" t="str">
        <f aca="false">HYPERLINK("https://www.transfermarkt.com/schnellsuche/ergebnis/schnellsuche?query="&amp;SUBSTITUTE(A867," ","+"),"Search Transfermarkt")</f>
        <v>Search Transfermarkt</v>
      </c>
      <c r="AB867" s="29" t="n">
        <f aca="false">IFERROR('Player Data'!K867/('Player Data'!K867+'Player Data'!L867),0)</f>
        <v>0.52</v>
      </c>
      <c r="AC867" s="21" t="str">
        <f aca="false">IF(B867="GK",IF(AND(O867&gt;=Assumptions!$B$23,N867&gt;=Assumptions!$B$23),"Sweeper-Keeper / Build-from-the-Back",IF(O867&gt;=Assumptions!$B$23,"Sweeper-Keeper / High Line",IF(M867&gt;=Assumptions!$B$23,"Shot-Stopper / Traditional","Flexible / Multi-System"))),IF(AND(O867&gt;=Assumptions!$B$23,P867&gt;=Assumptions!$B$24),"High Press / Gegenpressing",IF(AND(N867&gt;=Assumptions!$B$23,AB867&gt;=Assumptions!$B$25),"Possession / Build-from-the-Back",IF(N867&gt;=Assumptions!$B$23,"Counter-Attack / Transition",IF(AND(O867&gt;=Assumptions!$B$23,N867&lt;Assumptions!$B$26),"Low Block / Park the Bus",IF(AND(B867="FW",M867&gt;=Assumptions!$B$23,N867&lt;Assumptions!$B$26),"Direct / Target Approach","Flexible / Multi-System"))))))</f>
        <v>Flexible / Multi-System</v>
      </c>
      <c r="AD867" s="21" t="str">
        <f aca="false">'Player Data'!Y867</f>
        <v>2026-07-17</v>
      </c>
      <c r="AE867" s="21" t="str">
        <f aca="false">'Player Data'!Z867</f>
        <v>2026-07-17</v>
      </c>
      <c r="AF867" s="28" t="str">
        <f aca="false">IFERROR(INDEX(Assumptions!$B$30:$B$61,MATCH(C867,Assumptions!$A$30:$A$61,0)),"--")</f>
        <v>Belgium, Portugal</v>
      </c>
      <c r="AG867" s="30" t="str">
        <f aca="false">IF(R867&gt;=0.7,"Step-Up Candidate",IF(R867&gt;=0.4,"Lateral Move","Stay &amp; Develop"))</f>
        <v>Stay &amp; Develop</v>
      </c>
    </row>
    <row r="868" customFormat="false" ht="23.85" hidden="false" customHeight="false" outlineLevel="0" collapsed="false">
      <c r="A868" s="21" t="str">
        <f aca="false">'Player Data'!A868</f>
        <v>Diyorbek Rustamov</v>
      </c>
      <c r="B868" s="21" t="str">
        <f aca="false">'Player Data'!F868</f>
        <v>MF</v>
      </c>
      <c r="C868" s="21" t="str">
        <f aca="false">'Player Data'!B868</f>
        <v>Uzbekistan</v>
      </c>
      <c r="D868" s="21" t="str">
        <f aca="false">'Player Data'!C868</f>
        <v>Uzbekistan Third Tier - North</v>
      </c>
      <c r="E868" s="21" t="n">
        <f aca="false">'Player Data'!D868</f>
        <v>2</v>
      </c>
      <c r="F868" s="21" t="n">
        <f aca="false">'Player Data'!G868</f>
        <v>17</v>
      </c>
      <c r="G868" s="21" t="n">
        <f aca="false">'Player Data'!H868</f>
        <v>1816</v>
      </c>
      <c r="H868" s="22" t="n">
        <f aca="false">IF(B868="GK",IFERROR(('Player Data'!N868-1.5*'Player Data'!O868)/'Player Data'!H868*90,0),IFERROR(('Player Data'!I868+'Player Data'!J868)/'Player Data'!H868*90,0))</f>
        <v>0.495594713656388</v>
      </c>
      <c r="I868" s="22" t="n">
        <f aca="false">IF(B868="GK",'Player Data'!P868,IFERROR(('Player Data'!K868+'Player Data'!L868)/'Player Data'!H868*90,0))</f>
        <v>11.3986784140969</v>
      </c>
      <c r="J868" s="22" t="n">
        <f aca="false">IF(B868="GK",IFERROR('Player Data'!Q868/'Player Data'!H868*90,0),IFERROR('Player Data'!M868/'Player Data'!H868*90,0))</f>
        <v>1.63546255506608</v>
      </c>
      <c r="K868" s="23" t="n">
        <f aca="false">'Player Data'!S868</f>
        <v>0</v>
      </c>
      <c r="L868" s="22" t="n">
        <f aca="false">INDEX(Assumptions!$B$13:$B$15,MATCH(E868,Assumptions!$A$13:$A$15,0))</f>
        <v>1</v>
      </c>
      <c r="M868" s="24" t="n">
        <f aca="false">IFERROR(SUMPRODUCT(($B$2:$B$1001=B868)*($H$2:$H$1001&lt;=H868))/SUMPRODUCT(($B$2:$B$1001=B868)*1),0)</f>
        <v>0.215488215488215</v>
      </c>
      <c r="N868" s="24" t="n">
        <f aca="false">IFERROR(SUMPRODUCT(($B$2:$B$1001=B868)*($I$2:$I$1001&lt;=I868))/SUMPRODUCT(($B$2:$B$1001=B868)*1),0)</f>
        <v>0.531986531986532</v>
      </c>
      <c r="O868" s="24" t="n">
        <f aca="false">IFERROR(SUMPRODUCT(($B$2:$B$1001=B868)*($J$2:$J$1001&lt;=J868))/SUMPRODUCT(($B$2:$B$1001=B868)*1),0)</f>
        <v>0.245791245791246</v>
      </c>
      <c r="P868" s="24" t="n">
        <f aca="false">IFERROR(SUMPRODUCT(($B$2:$B$1001=B868)*((0-$F$2:$F$1001)&lt;=(0-F868)))/SUMPRODUCT(($B$2:$B$1001=B868)*1),0)</f>
        <v>1</v>
      </c>
      <c r="Q868" s="25" t="n">
        <f aca="false">(M868*Assumptions!$B$5+N868*Assumptions!$B$6+O868*Assumptions!$B$7+P868*Assumptions!$B$8)*L868</f>
        <v>0.489225589225589</v>
      </c>
      <c r="R868" s="24" t="n">
        <f aca="false">IFERROR(SUMPRODUCT(($B$2:$B$1001=B868)*($Q$2:$Q$1001&lt;=Q868))/SUMPRODUCT(($B$2:$B$1001=B868)*1),0)</f>
        <v>0.599326599326599</v>
      </c>
      <c r="S868" s="24" t="n">
        <f aca="false">IFERROR(SUMPRODUCT(($B$2:$B$1001=B868)*($K$2:$K$1001&lt;=K868))/SUMPRODUCT(($B$2:$B$1001=B868)*1),0)</f>
        <v>0.228956228956229</v>
      </c>
      <c r="T868" s="26" t="n">
        <f aca="false">(R868-S868)*100</f>
        <v>37.037037037037</v>
      </c>
      <c r="U868" s="21" t="str">
        <f aca="false">'Player Data'!T868</f>
        <v>No</v>
      </c>
      <c r="V868" s="27" t="n">
        <f aca="false">'Player Data'!U868</f>
        <v>2027</v>
      </c>
      <c r="W868" s="21" t="str">
        <f aca="false">IF(AND(T868&gt;=Assumptions!$B$19,U868="No"),"High Priority - Unrepresented",IF(T868&gt;=Assumptions!$B$19,"High Priority",IF(AND(T868&gt;=Assumptions!$B$20,U868="No"),"Watchlist - Unrepresented",IF(T868&gt;=Assumptions!$B$20,"Watchlist",""))))</f>
        <v>Watchlist - Unrepresented</v>
      </c>
      <c r="X868" s="21" t="str">
        <f aca="false">'Player Data'!V868</f>
        <v>info@samarkandcity.uz</v>
      </c>
      <c r="Y868" s="28" t="str">
        <f aca="false">'Player Data'!W868</f>
        <v>Club youth/academy office ONLY - player is a minor, do not contact directly</v>
      </c>
      <c r="Z868" s="28" t="str">
        <f aca="false">'Player Data'!X868</f>
        <v>UFF (Uzbekistan Football Federation) player registry</v>
      </c>
      <c r="AA868" s="19" t="str">
        <f aca="false">HYPERLINK("https://www.transfermarkt.com/schnellsuche/ergebnis/schnellsuche?query="&amp;SUBSTITUTE(A868," ","+"),"Search Transfermarkt")</f>
        <v>Search Transfermarkt</v>
      </c>
      <c r="AB868" s="29" t="n">
        <f aca="false">IFERROR('Player Data'!K868/('Player Data'!K868+'Player Data'!L868),0)</f>
        <v>0.643478260869565</v>
      </c>
      <c r="AC868" s="21" t="str">
        <f aca="false">IF(B868="GK",IF(AND(O868&gt;=Assumptions!$B$23,N868&gt;=Assumptions!$B$23),"Sweeper-Keeper / Build-from-the-Back",IF(O868&gt;=Assumptions!$B$23,"Sweeper-Keeper / High Line",IF(M868&gt;=Assumptions!$B$23,"Shot-Stopper / Traditional","Flexible / Multi-System"))),IF(AND(O868&gt;=Assumptions!$B$23,P868&gt;=Assumptions!$B$24),"High Press / Gegenpressing",IF(AND(N868&gt;=Assumptions!$B$23,AB868&gt;=Assumptions!$B$25),"Possession / Build-from-the-Back",IF(N868&gt;=Assumptions!$B$23,"Counter-Attack / Transition",IF(AND(O868&gt;=Assumptions!$B$23,N868&lt;Assumptions!$B$26),"Low Block / Park the Bus",IF(AND(B868="FW",M868&gt;=Assumptions!$B$23,N868&lt;Assumptions!$B$26),"Direct / Target Approach","Flexible / Multi-System"))))))</f>
        <v>Flexible / Multi-System</v>
      </c>
      <c r="AD868" s="21" t="str">
        <f aca="false">'Player Data'!Y868</f>
        <v>2026-07-17</v>
      </c>
      <c r="AE868" s="21" t="str">
        <f aca="false">'Player Data'!Z868</f>
        <v>2026-07-17</v>
      </c>
      <c r="AF868" s="28" t="str">
        <f aca="false">IFERROR(INDEX(Assumptions!$B$30:$B$61,MATCH(C868,Assumptions!$A$30:$A$61,0)),"--")</f>
        <v>Turkey, Saudi Arabia</v>
      </c>
      <c r="AG868" s="30" t="str">
        <f aca="false">IF(R868&gt;=0.7,"Step-Up Candidate",IF(R868&gt;=0.4,"Lateral Move","Stay &amp; Develop"))</f>
        <v>Lateral Move</v>
      </c>
    </row>
    <row r="869" customFormat="false" ht="23.85" hidden="false" customHeight="false" outlineLevel="0" collapsed="false">
      <c r="A869" s="21" t="str">
        <f aca="false">'Player Data'!A869</f>
        <v>Diego Flores</v>
      </c>
      <c r="B869" s="21" t="str">
        <f aca="false">'Player Data'!F869</f>
        <v>FW</v>
      </c>
      <c r="C869" s="21" t="str">
        <f aca="false">'Player Data'!B869</f>
        <v>Bolivia</v>
      </c>
      <c r="D869" s="21" t="str">
        <f aca="false">'Player Data'!C869</f>
        <v>Bolivia Second Division - East</v>
      </c>
      <c r="E869" s="21" t="n">
        <f aca="false">'Player Data'!D869</f>
        <v>2</v>
      </c>
      <c r="F869" s="21" t="n">
        <f aca="false">'Player Data'!G869</f>
        <v>25</v>
      </c>
      <c r="G869" s="21" t="n">
        <f aca="false">'Player Data'!H869</f>
        <v>2193</v>
      </c>
      <c r="H869" s="22" t="n">
        <f aca="false">IF(B869="GK",IFERROR(('Player Data'!N869-1.5*'Player Data'!O869)/'Player Data'!H869*90,0),IFERROR(('Player Data'!I869+'Player Data'!J869)/'Player Data'!H869*90,0))</f>
        <v>0.984952120383037</v>
      </c>
      <c r="I869" s="22" t="n">
        <f aca="false">IF(B869="GK",'Player Data'!P869,IFERROR(('Player Data'!K869+'Player Data'!L869)/'Player Data'!H869*90,0))</f>
        <v>6.15595075239398</v>
      </c>
      <c r="J869" s="22" t="n">
        <f aca="false">IF(B869="GK",IFERROR('Player Data'!Q869/'Player Data'!H869*90,0),IFERROR('Player Data'!M869/'Player Data'!H869*90,0))</f>
        <v>0.656634746922025</v>
      </c>
      <c r="K869" s="23" t="n">
        <f aca="false">'Player Data'!S869</f>
        <v>145268</v>
      </c>
      <c r="L869" s="22" t="n">
        <f aca="false">INDEX(Assumptions!$B$13:$B$15,MATCH(E869,Assumptions!$A$13:$A$15,0))</f>
        <v>1</v>
      </c>
      <c r="M869" s="24" t="n">
        <f aca="false">IFERROR(SUMPRODUCT(($B$2:$B$1001=B869)*($H$2:$H$1001&lt;=H869))/SUMPRODUCT(($B$2:$B$1001=B869)*1),0)</f>
        <v>0.513274336283186</v>
      </c>
      <c r="N869" s="24" t="n">
        <f aca="false">IFERROR(SUMPRODUCT(($B$2:$B$1001=B869)*($I$2:$I$1001&lt;=I869))/SUMPRODUCT(($B$2:$B$1001=B869)*1),0)</f>
        <v>0.442477876106195</v>
      </c>
      <c r="O869" s="24" t="n">
        <f aca="false">IFERROR(SUMPRODUCT(($B$2:$B$1001=B869)*($J$2:$J$1001&lt;=J869))/SUMPRODUCT(($B$2:$B$1001=B869)*1),0)</f>
        <v>0.707964601769912</v>
      </c>
      <c r="P869" s="24" t="n">
        <f aca="false">IFERROR(SUMPRODUCT(($B$2:$B$1001=B869)*((0-$F$2:$F$1001)&lt;=(0-F869)))/SUMPRODUCT(($B$2:$B$1001=B869)*1),0)</f>
        <v>0.194690265486726</v>
      </c>
      <c r="Q869" s="25" t="n">
        <f aca="false">(M869*Assumptions!$B$5+N869*Assumptions!$B$6+O869*Assumptions!$B$7+P869*Assumptions!$B$8)*L869</f>
        <v>0.463716814159292</v>
      </c>
      <c r="R869" s="24" t="n">
        <f aca="false">IFERROR(SUMPRODUCT(($B$2:$B$1001=B869)*($Q$2:$Q$1001&lt;=Q869))/SUMPRODUCT(($B$2:$B$1001=B869)*1),0)</f>
        <v>0.544247787610619</v>
      </c>
      <c r="S869" s="24" t="n">
        <f aca="false">IFERROR(SUMPRODUCT(($B$2:$B$1001=B869)*($K$2:$K$1001&lt;=K869))/SUMPRODUCT(($B$2:$B$1001=B869)*1),0)</f>
        <v>0.97787610619469</v>
      </c>
      <c r="T869" s="26" t="n">
        <f aca="false">(R869-S869)*100</f>
        <v>-43.3628318584071</v>
      </c>
      <c r="U869" s="21" t="str">
        <f aca="false">'Player Data'!T869</f>
        <v>Yes</v>
      </c>
      <c r="V869" s="27" t="n">
        <f aca="false">'Player Data'!U869</f>
        <v>2026</v>
      </c>
      <c r="W869" s="21" t="str">
        <f aca="false">IF(AND(T869&gt;=Assumptions!$B$19,U869="No"),"High Priority - Unrepresented",IF(T869&gt;=Assumptions!$B$19,"High Priority",IF(AND(T869&gt;=Assumptions!$B$20,U869="No"),"Watchlist - Unrepresented",IF(T869&gt;=Assumptions!$B$20,"Watchlist",""))))</f>
        <v/>
      </c>
      <c r="X869" s="21" t="str">
        <f aca="false">'Player Data'!V869</f>
        <v>info@lapaztown.bo</v>
      </c>
      <c r="Y869" s="28" t="str">
        <f aca="false">'Player Data'!W869</f>
        <v>Go through the player's agent - ask the club to confirm representation first</v>
      </c>
      <c r="Z869" s="28" t="str">
        <f aca="false">'Player Data'!X869</f>
        <v>FBF (Bolivian Football Federation) player registry</v>
      </c>
      <c r="AA869" s="19" t="str">
        <f aca="false">HYPERLINK("https://www.transfermarkt.com/schnellsuche/ergebnis/schnellsuche?query="&amp;SUBSTITUTE(A869," ","+"),"Search Transfermarkt")</f>
        <v>Search Transfermarkt</v>
      </c>
      <c r="AB869" s="29" t="n">
        <f aca="false">IFERROR('Player Data'!K869/('Player Data'!K869+'Player Data'!L869),0)</f>
        <v>0.366666666666667</v>
      </c>
      <c r="AC869" s="21" t="str">
        <f aca="false">IF(B869="GK",IF(AND(O869&gt;=Assumptions!$B$23,N869&gt;=Assumptions!$B$23),"Sweeper-Keeper / Build-from-the-Back",IF(O869&gt;=Assumptions!$B$23,"Sweeper-Keeper / High Line",IF(M869&gt;=Assumptions!$B$23,"Shot-Stopper / Traditional","Flexible / Multi-System"))),IF(AND(O869&gt;=Assumptions!$B$23,P869&gt;=Assumptions!$B$24),"High Press / Gegenpressing",IF(AND(N869&gt;=Assumptions!$B$23,AB869&gt;=Assumptions!$B$25),"Possession / Build-from-the-Back",IF(N869&gt;=Assumptions!$B$23,"Counter-Attack / Transition",IF(AND(O869&gt;=Assumptions!$B$23,N869&lt;Assumptions!$B$26),"Low Block / Park the Bus",IF(AND(B869="FW",M869&gt;=Assumptions!$B$23,N869&lt;Assumptions!$B$26),"Direct / Target Approach","Flexible / Multi-System"))))))</f>
        <v>Low Block / Park the Bus</v>
      </c>
      <c r="AD869" s="21" t="str">
        <f aca="false">'Player Data'!Y869</f>
        <v>2026-07-17</v>
      </c>
      <c r="AE869" s="21" t="str">
        <f aca="false">'Player Data'!Z869</f>
        <v>2026-07-17</v>
      </c>
      <c r="AF869" s="28" t="str">
        <f aca="false">IFERROR(INDEX(Assumptions!$B$30:$B$61,MATCH(C869,Assumptions!$A$30:$A$61,0)),"--")</f>
        <v>Argentina, Portugal</v>
      </c>
      <c r="AG869" s="30" t="str">
        <f aca="false">IF(R869&gt;=0.7,"Step-Up Candidate",IF(R869&gt;=0.4,"Lateral Move","Stay &amp; Develop"))</f>
        <v>Lateral Move</v>
      </c>
    </row>
    <row r="870" customFormat="false" ht="23.85" hidden="false" customHeight="false" outlineLevel="0" collapsed="false">
      <c r="A870" s="21" t="str">
        <f aca="false">'Player Data'!A870</f>
        <v>Hussein Jabbar</v>
      </c>
      <c r="B870" s="21" t="str">
        <f aca="false">'Player Data'!F870</f>
        <v>FW</v>
      </c>
      <c r="C870" s="21" t="str">
        <f aca="false">'Player Data'!B870</f>
        <v>Iraq</v>
      </c>
      <c r="D870" s="21" t="str">
        <f aca="false">'Player Data'!C870</f>
        <v>Iraq Second Division</v>
      </c>
      <c r="E870" s="21" t="n">
        <f aca="false">'Player Data'!D870</f>
        <v>2</v>
      </c>
      <c r="F870" s="21" t="n">
        <f aca="false">'Player Data'!G870</f>
        <v>17</v>
      </c>
      <c r="G870" s="21" t="n">
        <f aca="false">'Player Data'!H870</f>
        <v>988</v>
      </c>
      <c r="H870" s="22" t="n">
        <f aca="false">IF(B870="GK",IFERROR(('Player Data'!N870-1.5*'Player Data'!O870)/'Player Data'!H870*90,0),IFERROR(('Player Data'!I870+'Player Data'!J870)/'Player Data'!H870*90,0))</f>
        <v>2.09514170040486</v>
      </c>
      <c r="I870" s="22" t="n">
        <f aca="false">IF(B870="GK",'Player Data'!P870,IFERROR(('Player Data'!K870+'Player Data'!L870)/'Player Data'!H870*90,0))</f>
        <v>14.3016194331984</v>
      </c>
      <c r="J870" s="22" t="n">
        <f aca="false">IF(B870="GK",IFERROR('Player Data'!Q870/'Player Data'!H870*90,0),IFERROR('Player Data'!M870/'Player Data'!H870*90,0))</f>
        <v>0.819838056680162</v>
      </c>
      <c r="K870" s="23" t="n">
        <f aca="false">'Player Data'!S870</f>
        <v>32931</v>
      </c>
      <c r="L870" s="22" t="n">
        <f aca="false">INDEX(Assumptions!$B$13:$B$15,MATCH(E870,Assumptions!$A$13:$A$15,0))</f>
        <v>1</v>
      </c>
      <c r="M870" s="24" t="n">
        <f aca="false">IFERROR(SUMPRODUCT(($B$2:$B$1001=B870)*($H$2:$H$1001&lt;=H870))/SUMPRODUCT(($B$2:$B$1001=B870)*1),0)</f>
        <v>0.960176991150443</v>
      </c>
      <c r="N870" s="24" t="n">
        <f aca="false">IFERROR(SUMPRODUCT(($B$2:$B$1001=B870)*($I$2:$I$1001&lt;=I870))/SUMPRODUCT(($B$2:$B$1001=B870)*1),0)</f>
        <v>0.969026548672566</v>
      </c>
      <c r="O870" s="24" t="n">
        <f aca="false">IFERROR(SUMPRODUCT(($B$2:$B$1001=B870)*($J$2:$J$1001&lt;=J870))/SUMPRODUCT(($B$2:$B$1001=B870)*1),0)</f>
        <v>0.796460176991151</v>
      </c>
      <c r="P870" s="24" t="n">
        <f aca="false">IFERROR(SUMPRODUCT(($B$2:$B$1001=B870)*((0-$F$2:$F$1001)&lt;=(0-F870)))/SUMPRODUCT(($B$2:$B$1001=B870)*1),0)</f>
        <v>1</v>
      </c>
      <c r="Q870" s="25" t="n">
        <f aca="false">(M870*Assumptions!$B$5+N870*Assumptions!$B$6+O870*Assumptions!$B$7+P870*Assumptions!$B$8)*L870</f>
        <v>0.938495575221239</v>
      </c>
      <c r="R870" s="24" t="n">
        <f aca="false">IFERROR(SUMPRODUCT(($B$2:$B$1001=B870)*($Q$2:$Q$1001&lt;=Q870))/SUMPRODUCT(($B$2:$B$1001=B870)*1),0)</f>
        <v>1</v>
      </c>
      <c r="S870" s="24" t="n">
        <f aca="false">IFERROR(SUMPRODUCT(($B$2:$B$1001=B870)*($K$2:$K$1001&lt;=K870))/SUMPRODUCT(($B$2:$B$1001=B870)*1),0)</f>
        <v>0.380530973451327</v>
      </c>
      <c r="T870" s="26" t="n">
        <f aca="false">(R870-S870)*100</f>
        <v>61.9469026548673</v>
      </c>
      <c r="U870" s="21" t="str">
        <f aca="false">'Player Data'!T870</f>
        <v>Unknown</v>
      </c>
      <c r="V870" s="27" t="n">
        <f aca="false">'Player Data'!U870</f>
        <v>2029</v>
      </c>
      <c r="W870" s="21" t="str">
        <f aca="false">IF(AND(T870&gt;=Assumptions!$B$19,U870="No"),"High Priority - Unrepresented",IF(T870&gt;=Assumptions!$B$19,"High Priority",IF(AND(T870&gt;=Assumptions!$B$20,U870="No"),"Watchlist - Unrepresented",IF(T870&gt;=Assumptions!$B$20,"Watchlist",""))))</f>
        <v>High Priority</v>
      </c>
      <c r="X870" s="21" t="str">
        <f aca="false">'Player Data'!V870</f>
        <v>info@erbilrovers.iq</v>
      </c>
      <c r="Y870" s="28" t="str">
        <f aca="false">'Player Data'!W870</f>
        <v>Club youth/academy office ONLY - player is a minor, do not contact directly</v>
      </c>
      <c r="Z870" s="28" t="str">
        <f aca="false">'Player Data'!X870</f>
        <v>IFA (Iraq Football Association) player registry</v>
      </c>
      <c r="AA870" s="19" t="str">
        <f aca="false">HYPERLINK("https://www.transfermarkt.com/schnellsuche/ergebnis/schnellsuche?query="&amp;SUBSTITUTE(A870," ","+"),"Search Transfermarkt")</f>
        <v>Search Transfermarkt</v>
      </c>
      <c r="AB870" s="29" t="n">
        <f aca="false">IFERROR('Player Data'!K870/('Player Data'!K870+'Player Data'!L870),0)</f>
        <v>0.414012738853503</v>
      </c>
      <c r="AC870" s="21" t="str">
        <f aca="false">IF(B870="GK",IF(AND(O870&gt;=Assumptions!$B$23,N870&gt;=Assumptions!$B$23),"Sweeper-Keeper / Build-from-the-Back",IF(O870&gt;=Assumptions!$B$23,"Sweeper-Keeper / High Line",IF(M870&gt;=Assumptions!$B$23,"Shot-Stopper / Traditional","Flexible / Multi-System"))),IF(AND(O870&gt;=Assumptions!$B$23,P870&gt;=Assumptions!$B$24),"High Press / Gegenpressing",IF(AND(N870&gt;=Assumptions!$B$23,AB870&gt;=Assumptions!$B$25),"Possession / Build-from-the-Back",IF(N870&gt;=Assumptions!$B$23,"Counter-Attack / Transition",IF(AND(O870&gt;=Assumptions!$B$23,N870&lt;Assumptions!$B$26),"Low Block / Park the Bus",IF(AND(B870="FW",M870&gt;=Assumptions!$B$23,N870&lt;Assumptions!$B$26),"Direct / Target Approach","Flexible / Multi-System"))))))</f>
        <v>High Press / Gegenpressing</v>
      </c>
      <c r="AD870" s="21" t="str">
        <f aca="false">'Player Data'!Y870</f>
        <v>2026-07-17</v>
      </c>
      <c r="AE870" s="21" t="str">
        <f aca="false">'Player Data'!Z870</f>
        <v>2026-07-17</v>
      </c>
      <c r="AF870" s="28" t="str">
        <f aca="false">IFERROR(INDEX(Assumptions!$B$30:$B$61,MATCH(C870,Assumptions!$A$30:$A$61,0)),"--")</f>
        <v>Turkey, Saudi Arabia</v>
      </c>
      <c r="AG870" s="30" t="str">
        <f aca="false">IF(R870&gt;=0.7,"Step-Up Candidate",IF(R870&gt;=0.4,"Lateral Move","Stay &amp; Develop"))</f>
        <v>Step-Up Candidate</v>
      </c>
    </row>
    <row r="871" customFormat="false" ht="23.85" hidden="false" customHeight="false" outlineLevel="0" collapsed="false">
      <c r="A871" s="21" t="str">
        <f aca="false">'Player Data'!A871</f>
        <v>Sora Tanaka</v>
      </c>
      <c r="B871" s="21" t="str">
        <f aca="false">'Player Data'!F871</f>
        <v>MF</v>
      </c>
      <c r="C871" s="21" t="str">
        <f aca="false">'Player Data'!B871</f>
        <v>Japan</v>
      </c>
      <c r="D871" s="21" t="str">
        <f aca="false">'Player Data'!C871</f>
        <v>Japan Second Division - West</v>
      </c>
      <c r="E871" s="21" t="n">
        <f aca="false">'Player Data'!D871</f>
        <v>3</v>
      </c>
      <c r="F871" s="21" t="n">
        <f aca="false">'Player Data'!G871</f>
        <v>19</v>
      </c>
      <c r="G871" s="21" t="n">
        <f aca="false">'Player Data'!H871</f>
        <v>2239</v>
      </c>
      <c r="H871" s="22" t="n">
        <f aca="false">IF(B871="GK",IFERROR(('Player Data'!N871-1.5*'Player Data'!O871)/'Player Data'!H871*90,0),IFERROR(('Player Data'!I871+'Player Data'!J871)/'Player Data'!H871*90,0))</f>
        <v>0.602947744528808</v>
      </c>
      <c r="I871" s="22" t="n">
        <f aca="false">IF(B871="GK",'Player Data'!P871,IFERROR(('Player Data'!K871+'Player Data'!L871)/'Player Data'!H871*90,0))</f>
        <v>8.80303707012059</v>
      </c>
      <c r="J871" s="22" t="n">
        <f aca="false">IF(B871="GK",IFERROR('Player Data'!Q871/'Player Data'!H871*90,0),IFERROR('Player Data'!M871/'Player Data'!H871*90,0))</f>
        <v>1.92943278249218</v>
      </c>
      <c r="K871" s="23" t="n">
        <f aca="false">'Player Data'!S871</f>
        <v>108307</v>
      </c>
      <c r="L871" s="22" t="n">
        <f aca="false">INDEX(Assumptions!$B$13:$B$15,MATCH(E871,Assumptions!$A$13:$A$15,0))</f>
        <v>0.85</v>
      </c>
      <c r="M871" s="24" t="n">
        <f aca="false">IFERROR(SUMPRODUCT(($B$2:$B$1001=B871)*($H$2:$H$1001&lt;=H871))/SUMPRODUCT(($B$2:$B$1001=B871)*1),0)</f>
        <v>0.31986531986532</v>
      </c>
      <c r="N871" s="24" t="n">
        <f aca="false">IFERROR(SUMPRODUCT(($B$2:$B$1001=B871)*($I$2:$I$1001&lt;=I871))/SUMPRODUCT(($B$2:$B$1001=B871)*1),0)</f>
        <v>0.249158249158249</v>
      </c>
      <c r="O871" s="24" t="n">
        <f aca="false">IFERROR(SUMPRODUCT(($B$2:$B$1001=B871)*($J$2:$J$1001&lt;=J871))/SUMPRODUCT(($B$2:$B$1001=B871)*1),0)</f>
        <v>0.383838383838384</v>
      </c>
      <c r="P871" s="24" t="n">
        <f aca="false">IFERROR(SUMPRODUCT(($B$2:$B$1001=B871)*((0-$F$2:$F$1001)&lt;=(0-F871)))/SUMPRODUCT(($B$2:$B$1001=B871)*1),0)</f>
        <v>0.868686868686869</v>
      </c>
      <c r="Q871" s="25" t="n">
        <f aca="false">(M871*Assumptions!$B$5+N871*Assumptions!$B$6+O871*Assumptions!$B$7+P871*Assumptions!$B$8)*L871</f>
        <v>0.355025252525252</v>
      </c>
      <c r="R871" s="24" t="n">
        <f aca="false">IFERROR(SUMPRODUCT(($B$2:$B$1001=B871)*($Q$2:$Q$1001&lt;=Q871))/SUMPRODUCT(($B$2:$B$1001=B871)*1),0)</f>
        <v>0.343434343434343</v>
      </c>
      <c r="S871" s="24" t="n">
        <f aca="false">IFERROR(SUMPRODUCT(($B$2:$B$1001=B871)*($K$2:$K$1001&lt;=K871))/SUMPRODUCT(($B$2:$B$1001=B871)*1),0)</f>
        <v>0.784511784511785</v>
      </c>
      <c r="T871" s="26" t="n">
        <f aca="false">(R871-S871)*100</f>
        <v>-44.1077441077441</v>
      </c>
      <c r="U871" s="21" t="str">
        <f aca="false">'Player Data'!T871</f>
        <v>Unknown</v>
      </c>
      <c r="V871" s="27" t="n">
        <f aca="false">'Player Data'!U871</f>
        <v>2026</v>
      </c>
      <c r="W871" s="21" t="str">
        <f aca="false">IF(AND(T871&gt;=Assumptions!$B$19,U871="No"),"High Priority - Unrepresented",IF(T871&gt;=Assumptions!$B$19,"High Priority",IF(AND(T871&gt;=Assumptions!$B$20,U871="No"),"Watchlist - Unrepresented",IF(T871&gt;=Assumptions!$B$20,"Watchlist",""))))</f>
        <v/>
      </c>
      <c r="X871" s="21" t="str">
        <f aca="false">'Player Data'!V871</f>
        <v>info@fukuokafc.jp</v>
      </c>
      <c r="Y871" s="28" t="str">
        <f aca="false">'Player Data'!W871</f>
        <v>Club sporting director / first-team office</v>
      </c>
      <c r="Z871" s="28" t="str">
        <f aca="false">'Player Data'!X871</f>
        <v>JFA (Japan Football Association) player registry</v>
      </c>
      <c r="AA871" s="19" t="str">
        <f aca="false">HYPERLINK("https://www.transfermarkt.com/schnellsuche/ergebnis/schnellsuche?query="&amp;SUBSTITUTE(A871," ","+"),"Search Transfermarkt")</f>
        <v>Search Transfermarkt</v>
      </c>
      <c r="AB871" s="29" t="n">
        <f aca="false">IFERROR('Player Data'!K871/('Player Data'!K871+'Player Data'!L871),0)</f>
        <v>0.611872146118721</v>
      </c>
      <c r="AC871" s="21" t="str">
        <f aca="false">IF(B871="GK",IF(AND(O871&gt;=Assumptions!$B$23,N871&gt;=Assumptions!$B$23),"Sweeper-Keeper / Build-from-the-Back",IF(O871&gt;=Assumptions!$B$23,"Sweeper-Keeper / High Line",IF(M871&gt;=Assumptions!$B$23,"Shot-Stopper / Traditional","Flexible / Multi-System"))),IF(AND(O871&gt;=Assumptions!$B$23,P871&gt;=Assumptions!$B$24),"High Press / Gegenpressing",IF(AND(N871&gt;=Assumptions!$B$23,AB871&gt;=Assumptions!$B$25),"Possession / Build-from-the-Back",IF(N871&gt;=Assumptions!$B$23,"Counter-Attack / Transition",IF(AND(O871&gt;=Assumptions!$B$23,N871&lt;Assumptions!$B$26),"Low Block / Park the Bus",IF(AND(B871="FW",M871&gt;=Assumptions!$B$23,N871&lt;Assumptions!$B$26),"Direct / Target Approach","Flexible / Multi-System"))))))</f>
        <v>Flexible / Multi-System</v>
      </c>
      <c r="AD871" s="21" t="str">
        <f aca="false">'Player Data'!Y871</f>
        <v>2026-07-17</v>
      </c>
      <c r="AE871" s="21" t="str">
        <f aca="false">'Player Data'!Z871</f>
        <v>2026-07-17</v>
      </c>
      <c r="AF871" s="28" t="str">
        <f aca="false">IFERROR(INDEX(Assumptions!$B$30:$B$61,MATCH(C871,Assumptions!$A$30:$A$61,0)),"--")</f>
        <v>Belgium, Australia</v>
      </c>
      <c r="AG871" s="30" t="str">
        <f aca="false">IF(R871&gt;=0.7,"Step-Up Candidate",IF(R871&gt;=0.4,"Lateral Move","Stay &amp; Develop"))</f>
        <v>Stay &amp; Develop</v>
      </c>
    </row>
    <row r="872" customFormat="false" ht="23.85" hidden="false" customHeight="false" outlineLevel="0" collapsed="false">
      <c r="A872" s="21" t="str">
        <f aca="false">'Player Data'!A872</f>
        <v>Junior Martinez</v>
      </c>
      <c r="B872" s="21" t="str">
        <f aca="false">'Player Data'!F872</f>
        <v>DF</v>
      </c>
      <c r="C872" s="21" t="str">
        <f aca="false">'Player Data'!B872</f>
        <v>Venezuela</v>
      </c>
      <c r="D872" s="21" t="str">
        <f aca="false">'Player Data'!C872</f>
        <v>Venezuela Amateur League</v>
      </c>
      <c r="E872" s="21" t="n">
        <f aca="false">'Player Data'!D872</f>
        <v>2</v>
      </c>
      <c r="F872" s="21" t="n">
        <f aca="false">'Player Data'!G872</f>
        <v>17</v>
      </c>
      <c r="G872" s="21" t="n">
        <f aca="false">'Player Data'!H872</f>
        <v>1278</v>
      </c>
      <c r="H872" s="22" t="n">
        <f aca="false">IF(B872="GK",IFERROR(('Player Data'!N872-1.5*'Player Data'!O872)/'Player Data'!H872*90,0),IFERROR(('Player Data'!I872+'Player Data'!J872)/'Player Data'!H872*90,0))</f>
        <v>0.492957746478873</v>
      </c>
      <c r="I872" s="22" t="n">
        <f aca="false">IF(B872="GK",'Player Data'!P872,IFERROR(('Player Data'!K872+'Player Data'!L872)/'Player Data'!H872*90,0))</f>
        <v>5.28169014084507</v>
      </c>
      <c r="J872" s="22" t="n">
        <f aca="false">IF(B872="GK",IFERROR('Player Data'!Q872/'Player Data'!H872*90,0),IFERROR('Player Data'!M872/'Player Data'!H872*90,0))</f>
        <v>8.87323943661972</v>
      </c>
      <c r="K872" s="23" t="n">
        <f aca="false">'Player Data'!S872</f>
        <v>122753</v>
      </c>
      <c r="L872" s="22" t="n">
        <f aca="false">INDEX(Assumptions!$B$13:$B$15,MATCH(E872,Assumptions!$A$13:$A$15,0))</f>
        <v>1</v>
      </c>
      <c r="M872" s="24" t="n">
        <f aca="false">IFERROR(SUMPRODUCT(($B$2:$B$1001=B872)*($H$2:$H$1001&lt;=H872))/SUMPRODUCT(($B$2:$B$1001=B872)*1),0)</f>
        <v>0.945578231292517</v>
      </c>
      <c r="N872" s="24" t="n">
        <f aca="false">IFERROR(SUMPRODUCT(($B$2:$B$1001=B872)*($I$2:$I$1001&lt;=I872))/SUMPRODUCT(($B$2:$B$1001=B872)*1),0)</f>
        <v>0.63265306122449</v>
      </c>
      <c r="O872" s="24" t="n">
        <f aca="false">IFERROR(SUMPRODUCT(($B$2:$B$1001=B872)*($J$2:$J$1001&lt;=J872))/SUMPRODUCT(($B$2:$B$1001=B872)*1),0)</f>
        <v>0.894557823129252</v>
      </c>
      <c r="P872" s="24" t="n">
        <f aca="false">IFERROR(SUMPRODUCT(($B$2:$B$1001=B872)*((0-$F$2:$F$1001)&lt;=(0-F872)))/SUMPRODUCT(($B$2:$B$1001=B872)*1),0)</f>
        <v>1</v>
      </c>
      <c r="Q872" s="25" t="n">
        <f aca="false">(M872*Assumptions!$B$5+N872*Assumptions!$B$6+O872*Assumptions!$B$7+P872*Assumptions!$B$8)*L872</f>
        <v>0.836734693877551</v>
      </c>
      <c r="R872" s="24" t="n">
        <f aca="false">IFERROR(SUMPRODUCT(($B$2:$B$1001=B872)*($Q$2:$Q$1001&lt;=Q872))/SUMPRODUCT(($B$2:$B$1001=B872)*1),0)</f>
        <v>0.972789115646259</v>
      </c>
      <c r="S872" s="24" t="n">
        <f aca="false">IFERROR(SUMPRODUCT(($B$2:$B$1001=B872)*($K$2:$K$1001&lt;=K872))/SUMPRODUCT(($B$2:$B$1001=B872)*1),0)</f>
        <v>0.870748299319728</v>
      </c>
      <c r="T872" s="26" t="n">
        <f aca="false">(R872-S872)*100</f>
        <v>10.2040816326531</v>
      </c>
      <c r="U872" s="21" t="str">
        <f aca="false">'Player Data'!T872</f>
        <v>Yes</v>
      </c>
      <c r="V872" s="27" t="n">
        <f aca="false">'Player Data'!U872</f>
        <v>2026</v>
      </c>
      <c r="W872" s="21" t="str">
        <f aca="false">IF(AND(T872&gt;=Assumptions!$B$19,U872="No"),"High Priority - Unrepresented",IF(T872&gt;=Assumptions!$B$19,"High Priority",IF(AND(T872&gt;=Assumptions!$B$20,U872="No"),"Watchlist - Unrepresented",IF(T872&gt;=Assumptions!$B$20,"Watchlist",""))))</f>
        <v/>
      </c>
      <c r="X872" s="21" t="str">
        <f aca="false">'Player Data'!V872</f>
        <v>info@caracasrangers.ve</v>
      </c>
      <c r="Y872" s="28" t="str">
        <f aca="false">'Player Data'!W872</f>
        <v>Club youth/academy office ONLY - player is a minor, do not contact directly</v>
      </c>
      <c r="Z872" s="28" t="str">
        <f aca="false">'Player Data'!X872</f>
        <v>FVF (Venezuelan Football Federation) player registry</v>
      </c>
      <c r="AA872" s="19" t="str">
        <f aca="false">HYPERLINK("https://www.transfermarkt.com/schnellsuche/ergebnis/schnellsuche?query="&amp;SUBSTITUTE(A872," ","+"),"Search Transfermarkt")</f>
        <v>Search Transfermarkt</v>
      </c>
      <c r="AB872" s="29" t="n">
        <f aca="false">IFERROR('Player Data'!K872/('Player Data'!K872+'Player Data'!L872),0)</f>
        <v>0.653333333333333</v>
      </c>
      <c r="AC872" s="21" t="str">
        <f aca="false">IF(B872="GK",IF(AND(O872&gt;=Assumptions!$B$23,N872&gt;=Assumptions!$B$23),"Sweeper-Keeper / Build-from-the-Back",IF(O872&gt;=Assumptions!$B$23,"Sweeper-Keeper / High Line",IF(M872&gt;=Assumptions!$B$23,"Shot-Stopper / Traditional","Flexible / Multi-System"))),IF(AND(O872&gt;=Assumptions!$B$23,P872&gt;=Assumptions!$B$24),"High Press / Gegenpressing",IF(AND(N872&gt;=Assumptions!$B$23,AB872&gt;=Assumptions!$B$25),"Possession / Build-from-the-Back",IF(N872&gt;=Assumptions!$B$23,"Counter-Attack / Transition",IF(AND(O872&gt;=Assumptions!$B$23,N872&lt;Assumptions!$B$26),"Low Block / Park the Bus",IF(AND(B872="FW",M872&gt;=Assumptions!$B$23,N872&lt;Assumptions!$B$26),"Direct / Target Approach","Flexible / Multi-System"))))))</f>
        <v>High Press / Gegenpressing</v>
      </c>
      <c r="AD872" s="21" t="str">
        <f aca="false">'Player Data'!Y872</f>
        <v>2026-07-17</v>
      </c>
      <c r="AE872" s="21" t="str">
        <f aca="false">'Player Data'!Z872</f>
        <v>2026-07-17</v>
      </c>
      <c r="AF872" s="28" t="str">
        <f aca="false">IFERROR(INDEX(Assumptions!$B$30:$B$61,MATCH(C872,Assumptions!$A$30:$A$61,0)),"--")</f>
        <v>Argentina, Portugal</v>
      </c>
      <c r="AG872" s="30" t="str">
        <f aca="false">IF(R872&gt;=0.7,"Step-Up Candidate",IF(R872&gt;=0.4,"Lateral Move","Stay &amp; Develop"))</f>
        <v>Step-Up Candidate</v>
      </c>
    </row>
    <row r="873" customFormat="false" ht="23.85" hidden="false" customHeight="false" outlineLevel="0" collapsed="false">
      <c r="A873" s="21" t="str">
        <f aca="false">'Player Data'!A873</f>
        <v>Min-jun Park</v>
      </c>
      <c r="B873" s="21" t="str">
        <f aca="false">'Player Data'!F873</f>
        <v>DF</v>
      </c>
      <c r="C873" s="21" t="str">
        <f aca="false">'Player Data'!B873</f>
        <v>South Korea</v>
      </c>
      <c r="D873" s="21" t="str">
        <f aca="false">'Player Data'!C873</f>
        <v>South Korea Second Division</v>
      </c>
      <c r="E873" s="21" t="n">
        <f aca="false">'Player Data'!D873</f>
        <v>4</v>
      </c>
      <c r="F873" s="21" t="n">
        <f aca="false">'Player Data'!G873</f>
        <v>17</v>
      </c>
      <c r="G873" s="21" t="n">
        <f aca="false">'Player Data'!H873</f>
        <v>2003</v>
      </c>
      <c r="H873" s="22" t="n">
        <f aca="false">IF(B873="GK",IFERROR(('Player Data'!N873-1.5*'Player Data'!O873)/'Player Data'!H873*90,0),IFERROR(('Player Data'!I873+'Player Data'!J873)/'Player Data'!H873*90,0))</f>
        <v>0.089865202196705</v>
      </c>
      <c r="I873" s="22" t="n">
        <f aca="false">IF(B873="GK",'Player Data'!P873,IFERROR(('Player Data'!K873+'Player Data'!L873)/'Player Data'!H873*90,0))</f>
        <v>4.85272091862207</v>
      </c>
      <c r="J873" s="22" t="n">
        <f aca="false">IF(B873="GK",IFERROR('Player Data'!Q873/'Player Data'!H873*90,0),IFERROR('Player Data'!M873/'Player Data'!H873*90,0))</f>
        <v>4.04393409885172</v>
      </c>
      <c r="K873" s="23" t="n">
        <f aca="false">'Player Data'!S873</f>
        <v>0</v>
      </c>
      <c r="L873" s="22" t="n">
        <f aca="false">INDEX(Assumptions!$B$13:$B$15,MATCH(E873,Assumptions!$A$13:$A$15,0))</f>
        <v>0.7</v>
      </c>
      <c r="M873" s="24" t="n">
        <f aca="false">IFERROR(SUMPRODUCT(($B$2:$B$1001=B873)*($H$2:$H$1001&lt;=H873))/SUMPRODUCT(($B$2:$B$1001=B873)*1),0)</f>
        <v>0.159863945578231</v>
      </c>
      <c r="N873" s="24" t="n">
        <f aca="false">IFERROR(SUMPRODUCT(($B$2:$B$1001=B873)*($I$2:$I$1001&lt;=I873))/SUMPRODUCT(($B$2:$B$1001=B873)*1),0)</f>
        <v>0.574829931972789</v>
      </c>
      <c r="O873" s="24" t="n">
        <f aca="false">IFERROR(SUMPRODUCT(($B$2:$B$1001=B873)*($J$2:$J$1001&lt;=J873))/SUMPRODUCT(($B$2:$B$1001=B873)*1),0)</f>
        <v>0.227891156462585</v>
      </c>
      <c r="P873" s="24" t="n">
        <f aca="false">IFERROR(SUMPRODUCT(($B$2:$B$1001=B873)*((0-$F$2:$F$1001)&lt;=(0-F873)))/SUMPRODUCT(($B$2:$B$1001=B873)*1),0)</f>
        <v>1</v>
      </c>
      <c r="Q873" s="25" t="n">
        <f aca="false">(M873*Assumptions!$B$5+N873*Assumptions!$B$6+O873*Assumptions!$B$7+P873*Assumptions!$B$8)*L873</f>
        <v>0.340714285714286</v>
      </c>
      <c r="R873" s="24" t="n">
        <f aca="false">IFERROR(SUMPRODUCT(($B$2:$B$1001=B873)*($Q$2:$Q$1001&lt;=Q873))/SUMPRODUCT(($B$2:$B$1001=B873)*1),0)</f>
        <v>0.326530612244898</v>
      </c>
      <c r="S873" s="24" t="n">
        <f aca="false">IFERROR(SUMPRODUCT(($B$2:$B$1001=B873)*($K$2:$K$1001&lt;=K873))/SUMPRODUCT(($B$2:$B$1001=B873)*1),0)</f>
        <v>0.248299319727891</v>
      </c>
      <c r="T873" s="26" t="n">
        <f aca="false">(R873-S873)*100</f>
        <v>7.82312925170068</v>
      </c>
      <c r="U873" s="21" t="str">
        <f aca="false">'Player Data'!T873</f>
        <v>No</v>
      </c>
      <c r="V873" s="27" t="n">
        <f aca="false">'Player Data'!U873</f>
        <v>2028</v>
      </c>
      <c r="W873" s="21" t="str">
        <f aca="false">IF(AND(T873&gt;=Assumptions!$B$19,U873="No"),"High Priority - Unrepresented",IF(T873&gt;=Assumptions!$B$19,"High Priority",IF(AND(T873&gt;=Assumptions!$B$20,U873="No"),"Watchlist - Unrepresented",IF(T873&gt;=Assumptions!$B$20,"Watchlist",""))))</f>
        <v/>
      </c>
      <c r="X873" s="21" t="str">
        <f aca="false">'Player Data'!V873</f>
        <v>info@daejeontown.kr</v>
      </c>
      <c r="Y873" s="28" t="str">
        <f aca="false">'Player Data'!W873</f>
        <v>Club youth/academy office ONLY - player is a minor, do not contact directly</v>
      </c>
      <c r="Z873" s="28" t="str">
        <f aca="false">'Player Data'!X873</f>
        <v>KFA (Korea Football Association) player registry</v>
      </c>
      <c r="AA873" s="19" t="str">
        <f aca="false">HYPERLINK("https://www.transfermarkt.com/schnellsuche/ergebnis/schnellsuche?query="&amp;SUBSTITUTE(A873," ","+"),"Search Transfermarkt")</f>
        <v>Search Transfermarkt</v>
      </c>
      <c r="AB873" s="29" t="n">
        <f aca="false">IFERROR('Player Data'!K873/('Player Data'!K873+'Player Data'!L873),0)</f>
        <v>0.648148148148148</v>
      </c>
      <c r="AC873" s="21" t="str">
        <f aca="false">IF(B873="GK",IF(AND(O873&gt;=Assumptions!$B$23,N873&gt;=Assumptions!$B$23),"Sweeper-Keeper / Build-from-the-Back",IF(O873&gt;=Assumptions!$B$23,"Sweeper-Keeper / High Line",IF(M873&gt;=Assumptions!$B$23,"Shot-Stopper / Traditional","Flexible / Multi-System"))),IF(AND(O873&gt;=Assumptions!$B$23,P873&gt;=Assumptions!$B$24),"High Press / Gegenpressing",IF(AND(N873&gt;=Assumptions!$B$23,AB873&gt;=Assumptions!$B$25),"Possession / Build-from-the-Back",IF(N873&gt;=Assumptions!$B$23,"Counter-Attack / Transition",IF(AND(O873&gt;=Assumptions!$B$23,N873&lt;Assumptions!$B$26),"Low Block / Park the Bus",IF(AND(B873="FW",M873&gt;=Assumptions!$B$23,N873&lt;Assumptions!$B$26),"Direct / Target Approach","Flexible / Multi-System"))))))</f>
        <v>Flexible / Multi-System</v>
      </c>
      <c r="AD873" s="21" t="str">
        <f aca="false">'Player Data'!Y873</f>
        <v>2026-07-17</v>
      </c>
      <c r="AE873" s="21" t="str">
        <f aca="false">'Player Data'!Z873</f>
        <v>2026-07-17</v>
      </c>
      <c r="AF873" s="28" t="str">
        <f aca="false">IFERROR(INDEX(Assumptions!$B$30:$B$61,MATCH(C873,Assumptions!$A$30:$A$61,0)),"--")</f>
        <v>Belgium, Saudi Arabia</v>
      </c>
      <c r="AG873" s="30" t="str">
        <f aca="false">IF(R873&gt;=0.7,"Step-Up Candidate",IF(R873&gt;=0.4,"Lateral Move","Stay &amp; Develop"))</f>
        <v>Stay &amp; Develop</v>
      </c>
    </row>
    <row r="874" customFormat="false" ht="23.85" hidden="false" customHeight="false" outlineLevel="0" collapsed="false">
      <c r="A874" s="21" t="str">
        <f aca="false">'Player Data'!A874</f>
        <v>Kristers Ozols 97</v>
      </c>
      <c r="B874" s="21" t="str">
        <f aca="false">'Player Data'!F874</f>
        <v>FW</v>
      </c>
      <c r="C874" s="21" t="str">
        <f aca="false">'Player Data'!B874</f>
        <v>Latvia</v>
      </c>
      <c r="D874" s="21" t="str">
        <f aca="false">'Player Data'!C874</f>
        <v>Latvia Third Tier - South</v>
      </c>
      <c r="E874" s="21" t="n">
        <f aca="false">'Player Data'!D874</f>
        <v>3</v>
      </c>
      <c r="F874" s="21" t="n">
        <f aca="false">'Player Data'!G874</f>
        <v>26</v>
      </c>
      <c r="G874" s="21" t="n">
        <f aca="false">'Player Data'!H874</f>
        <v>1364</v>
      </c>
      <c r="H874" s="22" t="n">
        <f aca="false">IF(B874="GK",IFERROR(('Player Data'!N874-1.5*'Player Data'!O874)/'Player Data'!H874*90,0),IFERROR(('Player Data'!I874+'Player Data'!J874)/'Player Data'!H874*90,0))</f>
        <v>1.25366568914956</v>
      </c>
      <c r="I874" s="22" t="n">
        <f aca="false">IF(B874="GK",'Player Data'!P874,IFERROR(('Player Data'!K874+'Player Data'!L874)/'Player Data'!H874*90,0))</f>
        <v>8.57771260997068</v>
      </c>
      <c r="J874" s="22" t="n">
        <f aca="false">IF(B874="GK",IFERROR('Player Data'!Q874/'Player Data'!H874*90,0),IFERROR('Player Data'!M874/'Player Data'!H874*90,0))</f>
        <v>0.461876832844575</v>
      </c>
      <c r="K874" s="23" t="n">
        <f aca="false">'Player Data'!S874</f>
        <v>0</v>
      </c>
      <c r="L874" s="22" t="n">
        <f aca="false">INDEX(Assumptions!$B$13:$B$15,MATCH(E874,Assumptions!$A$13:$A$15,0))</f>
        <v>0.85</v>
      </c>
      <c r="M874" s="24" t="n">
        <f aca="false">IFERROR(SUMPRODUCT(($B$2:$B$1001=B874)*($H$2:$H$1001&lt;=H874))/SUMPRODUCT(($B$2:$B$1001=B874)*1),0)</f>
        <v>0.721238938053097</v>
      </c>
      <c r="N874" s="24" t="n">
        <f aca="false">IFERROR(SUMPRODUCT(($B$2:$B$1001=B874)*($I$2:$I$1001&lt;=I874))/SUMPRODUCT(($B$2:$B$1001=B874)*1),0)</f>
        <v>0.725663716814159</v>
      </c>
      <c r="O874" s="24" t="n">
        <f aca="false">IFERROR(SUMPRODUCT(($B$2:$B$1001=B874)*($J$2:$J$1001&lt;=J874))/SUMPRODUCT(($B$2:$B$1001=B874)*1),0)</f>
        <v>0.429203539823009</v>
      </c>
      <c r="P874" s="24" t="n">
        <f aca="false">IFERROR(SUMPRODUCT(($B$2:$B$1001=B874)*((0-$F$2:$F$1001)&lt;=(0-F874)))/SUMPRODUCT(($B$2:$B$1001=B874)*1),0)</f>
        <v>0.0929203539823009</v>
      </c>
      <c r="Q874" s="25" t="n">
        <f aca="false">(M874*Assumptions!$B$5+N874*Assumptions!$B$6+O874*Assumptions!$B$7+P874*Assumptions!$B$8)*L874</f>
        <v>0.457909292035398</v>
      </c>
      <c r="R874" s="24" t="n">
        <f aca="false">IFERROR(SUMPRODUCT(($B$2:$B$1001=B874)*($Q$2:$Q$1001&lt;=Q874))/SUMPRODUCT(($B$2:$B$1001=B874)*1),0)</f>
        <v>0.526548672566372</v>
      </c>
      <c r="S874" s="24" t="n">
        <f aca="false">IFERROR(SUMPRODUCT(($B$2:$B$1001=B874)*($K$2:$K$1001&lt;=K874))/SUMPRODUCT(($B$2:$B$1001=B874)*1),0)</f>
        <v>0.261061946902655</v>
      </c>
      <c r="T874" s="26" t="n">
        <f aca="false">(R874-S874)*100</f>
        <v>26.5486725663717</v>
      </c>
      <c r="U874" s="21" t="str">
        <f aca="false">'Player Data'!T874</f>
        <v>Yes</v>
      </c>
      <c r="V874" s="27" t="n">
        <f aca="false">'Player Data'!U874</f>
        <v>2026</v>
      </c>
      <c r="W874" s="21" t="str">
        <f aca="false">IF(AND(T874&gt;=Assumptions!$B$19,U874="No"),"High Priority - Unrepresented",IF(T874&gt;=Assumptions!$B$19,"High Priority",IF(AND(T874&gt;=Assumptions!$B$20,U874="No"),"Watchlist - Unrepresented",IF(T874&gt;=Assumptions!$B$20,"Watchlist",""))))</f>
        <v>Watchlist</v>
      </c>
      <c r="X874" s="21" t="str">
        <f aca="false">'Player Data'!V874</f>
        <v>info@daugavpilsathletic.lv</v>
      </c>
      <c r="Y874" s="28" t="str">
        <f aca="false">'Player Data'!W874</f>
        <v>Go through the player's agent - ask the club to confirm representation first</v>
      </c>
      <c r="Z874" s="28" t="str">
        <f aca="false">'Player Data'!X874</f>
        <v>LFF (Latvian Football Federation) player registry</v>
      </c>
      <c r="AA874" s="19" t="str">
        <f aca="false">HYPERLINK("https://www.transfermarkt.com/schnellsuche/ergebnis/schnellsuche?query="&amp;SUBSTITUTE(A874," ","+"),"Search Transfermarkt")</f>
        <v>Search Transfermarkt</v>
      </c>
      <c r="AB874" s="29" t="n">
        <f aca="false">IFERROR('Player Data'!K874/('Player Data'!K874+'Player Data'!L874),0)</f>
        <v>0.284615384615385</v>
      </c>
      <c r="AC874" s="21" t="str">
        <f aca="false">IF(B874="GK",IF(AND(O874&gt;=Assumptions!$B$23,N874&gt;=Assumptions!$B$23),"Sweeper-Keeper / Build-from-the-Back",IF(O874&gt;=Assumptions!$B$23,"Sweeper-Keeper / High Line",IF(M874&gt;=Assumptions!$B$23,"Shot-Stopper / Traditional","Flexible / Multi-System"))),IF(AND(O874&gt;=Assumptions!$B$23,P874&gt;=Assumptions!$B$24),"High Press / Gegenpressing",IF(AND(N874&gt;=Assumptions!$B$23,AB874&gt;=Assumptions!$B$25),"Possession / Build-from-the-Back",IF(N874&gt;=Assumptions!$B$23,"Counter-Attack / Transition",IF(AND(O874&gt;=Assumptions!$B$23,N874&lt;Assumptions!$B$26),"Low Block / Park the Bus",IF(AND(B874="FW",M874&gt;=Assumptions!$B$23,N874&lt;Assumptions!$B$26),"Direct / Target Approach","Flexible / Multi-System"))))))</f>
        <v>Counter-Attack / Transition</v>
      </c>
      <c r="AD874" s="21" t="str">
        <f aca="false">'Player Data'!Y874</f>
        <v>2026-07-17</v>
      </c>
      <c r="AE874" s="21" t="str">
        <f aca="false">'Player Data'!Z874</f>
        <v>2026-07-17</v>
      </c>
      <c r="AF874" s="28" t="str">
        <f aca="false">IFERROR(INDEX(Assumptions!$B$30:$B$61,MATCH(C874,Assumptions!$A$30:$A$61,0)),"--")</f>
        <v>Poland, Norway</v>
      </c>
      <c r="AG874" s="30" t="str">
        <f aca="false">IF(R874&gt;=0.7,"Step-Up Candidate",IF(R874&gt;=0.4,"Lateral Move","Stay &amp; Develop"))</f>
        <v>Lateral Move</v>
      </c>
    </row>
    <row r="875" customFormat="false" ht="23.85" hidden="false" customHeight="false" outlineLevel="0" collapsed="false">
      <c r="A875" s="21" t="str">
        <f aca="false">'Player Data'!A875</f>
        <v>Mwansa Phiri</v>
      </c>
      <c r="B875" s="21" t="str">
        <f aca="false">'Player Data'!F875</f>
        <v>MF</v>
      </c>
      <c r="C875" s="21" t="str">
        <f aca="false">'Player Data'!B875</f>
        <v>Zambia</v>
      </c>
      <c r="D875" s="21" t="str">
        <f aca="false">'Player Data'!C875</f>
        <v>Zambia Regional League</v>
      </c>
      <c r="E875" s="21" t="n">
        <f aca="false">'Player Data'!D875</f>
        <v>3</v>
      </c>
      <c r="F875" s="21" t="n">
        <f aca="false">'Player Data'!G875</f>
        <v>19</v>
      </c>
      <c r="G875" s="21" t="n">
        <f aca="false">'Player Data'!H875</f>
        <v>1484</v>
      </c>
      <c r="H875" s="22" t="n">
        <f aca="false">IF(B875="GK",IFERROR(('Player Data'!N875-1.5*'Player Data'!O875)/'Player Data'!H875*90,0),IFERROR(('Player Data'!I875+'Player Data'!J875)/'Player Data'!H875*90,0))</f>
        <v>0.849056603773585</v>
      </c>
      <c r="I875" s="22" t="n">
        <f aca="false">IF(B875="GK",'Player Data'!P875,IFERROR(('Player Data'!K875+'Player Data'!L875)/'Player Data'!H875*90,0))</f>
        <v>11.9474393530997</v>
      </c>
      <c r="J875" s="22" t="n">
        <f aca="false">IF(B875="GK",IFERROR('Player Data'!Q875/'Player Data'!H875*90,0),IFERROR('Player Data'!M875/'Player Data'!H875*90,0))</f>
        <v>1.81940700808625</v>
      </c>
      <c r="K875" s="23" t="n">
        <f aca="false">'Player Data'!S875</f>
        <v>37162</v>
      </c>
      <c r="L875" s="22" t="n">
        <f aca="false">INDEX(Assumptions!$B$13:$B$15,MATCH(E875,Assumptions!$A$13:$A$15,0))</f>
        <v>0.85</v>
      </c>
      <c r="M875" s="24" t="n">
        <f aca="false">IFERROR(SUMPRODUCT(($B$2:$B$1001=B875)*($H$2:$H$1001&lt;=H875))/SUMPRODUCT(($B$2:$B$1001=B875)*1),0)</f>
        <v>0.64983164983165</v>
      </c>
      <c r="N875" s="24" t="n">
        <f aca="false">IFERROR(SUMPRODUCT(($B$2:$B$1001=B875)*($I$2:$I$1001&lt;=I875))/SUMPRODUCT(($B$2:$B$1001=B875)*1),0)</f>
        <v>0.582491582491583</v>
      </c>
      <c r="O875" s="24" t="n">
        <f aca="false">IFERROR(SUMPRODUCT(($B$2:$B$1001=B875)*($J$2:$J$1001&lt;=J875))/SUMPRODUCT(($B$2:$B$1001=B875)*1),0)</f>
        <v>0.333333333333333</v>
      </c>
      <c r="P875" s="24" t="n">
        <f aca="false">IFERROR(SUMPRODUCT(($B$2:$B$1001=B875)*((0-$F$2:$F$1001)&lt;=(0-F875)))/SUMPRODUCT(($B$2:$B$1001=B875)*1),0)</f>
        <v>0.868686868686869</v>
      </c>
      <c r="Q875" s="25" t="n">
        <f aca="false">(M875*Assumptions!$B$5+N875*Assumptions!$B$6+O875*Assumptions!$B$7+P875*Assumptions!$B$8)*L875</f>
        <v>0.515723905723906</v>
      </c>
      <c r="R875" s="24" t="n">
        <f aca="false">IFERROR(SUMPRODUCT(($B$2:$B$1001=B875)*($Q$2:$Q$1001&lt;=Q875))/SUMPRODUCT(($B$2:$B$1001=B875)*1),0)</f>
        <v>0.64983164983165</v>
      </c>
      <c r="S875" s="24" t="n">
        <f aca="false">IFERROR(SUMPRODUCT(($B$2:$B$1001=B875)*($K$2:$K$1001&lt;=K875))/SUMPRODUCT(($B$2:$B$1001=B875)*1),0)</f>
        <v>0.353535353535354</v>
      </c>
      <c r="T875" s="26" t="n">
        <f aca="false">(R875-S875)*100</f>
        <v>29.6296296296296</v>
      </c>
      <c r="U875" s="21" t="str">
        <f aca="false">'Player Data'!T875</f>
        <v>Unknown</v>
      </c>
      <c r="V875" s="27" t="n">
        <f aca="false">'Player Data'!U875</f>
        <v>2027</v>
      </c>
      <c r="W875" s="21" t="str">
        <f aca="false">IF(AND(T875&gt;=Assumptions!$B$19,U875="No"),"High Priority - Unrepresented",IF(T875&gt;=Assumptions!$B$19,"High Priority",IF(AND(T875&gt;=Assumptions!$B$20,U875="No"),"Watchlist - Unrepresented",IF(T875&gt;=Assumptions!$B$20,"Watchlist",""))))</f>
        <v>Watchlist</v>
      </c>
      <c r="X875" s="21" t="str">
        <f aca="false">'Player Data'!V875</f>
        <v>info@lusakatown.zm</v>
      </c>
      <c r="Y875" s="28" t="str">
        <f aca="false">'Player Data'!W875</f>
        <v>Club sporting director / first-team office</v>
      </c>
      <c r="Z875" s="28" t="str">
        <f aca="false">'Player Data'!X875</f>
        <v>FAZ (Football Association of Zambia) player registry</v>
      </c>
      <c r="AA875" s="19" t="str">
        <f aca="false">HYPERLINK("https://www.transfermarkt.com/schnellsuche/ergebnis/schnellsuche?query="&amp;SUBSTITUTE(A875," ","+"),"Search Transfermarkt")</f>
        <v>Search Transfermarkt</v>
      </c>
      <c r="AB875" s="29" t="n">
        <f aca="false">IFERROR('Player Data'!K875/('Player Data'!K875+'Player Data'!L875),0)</f>
        <v>0.649746192893401</v>
      </c>
      <c r="AC875" s="21" t="str">
        <f aca="false">IF(B875="GK",IF(AND(O875&gt;=Assumptions!$B$23,N875&gt;=Assumptions!$B$23),"Sweeper-Keeper / Build-from-the-Back",IF(O875&gt;=Assumptions!$B$23,"Sweeper-Keeper / High Line",IF(M875&gt;=Assumptions!$B$23,"Shot-Stopper / Traditional","Flexible / Multi-System"))),IF(AND(O875&gt;=Assumptions!$B$23,P875&gt;=Assumptions!$B$24),"High Press / Gegenpressing",IF(AND(N875&gt;=Assumptions!$B$23,AB875&gt;=Assumptions!$B$25),"Possession / Build-from-the-Back",IF(N875&gt;=Assumptions!$B$23,"Counter-Attack / Transition",IF(AND(O875&gt;=Assumptions!$B$23,N875&lt;Assumptions!$B$26),"Low Block / Park the Bus",IF(AND(B875="FW",M875&gt;=Assumptions!$B$23,N875&lt;Assumptions!$B$26),"Direct / Target Approach","Flexible / Multi-System"))))))</f>
        <v>Flexible / Multi-System</v>
      </c>
      <c r="AD875" s="21" t="str">
        <f aca="false">'Player Data'!Y875</f>
        <v>2026-07-17</v>
      </c>
      <c r="AE875" s="21" t="str">
        <f aca="false">'Player Data'!Z875</f>
        <v>2026-07-17</v>
      </c>
      <c r="AF875" s="28" t="str">
        <f aca="false">IFERROR(INDEX(Assumptions!$B$30:$B$61,MATCH(C875,Assumptions!$A$30:$A$61,0)),"--")</f>
        <v>Belgium, Portugal</v>
      </c>
      <c r="AG875" s="30" t="str">
        <f aca="false">IF(R875&gt;=0.7,"Step-Up Candidate",IF(R875&gt;=0.4,"Lateral Move","Stay &amp; Develop"))</f>
        <v>Lateral Move</v>
      </c>
    </row>
    <row r="876" customFormat="false" ht="23.85" hidden="false" customHeight="false" outlineLevel="0" collapsed="false">
      <c r="A876" s="21" t="str">
        <f aca="false">'Player Data'!A876</f>
        <v>Modibo Diarra 25</v>
      </c>
      <c r="B876" s="21" t="str">
        <f aca="false">'Player Data'!F876</f>
        <v>GK</v>
      </c>
      <c r="C876" s="21" t="str">
        <f aca="false">'Player Data'!B876</f>
        <v>Mali</v>
      </c>
      <c r="D876" s="21" t="str">
        <f aca="false">'Player Data'!C876</f>
        <v>Mali Regional League</v>
      </c>
      <c r="E876" s="21" t="n">
        <f aca="false">'Player Data'!D876</f>
        <v>4</v>
      </c>
      <c r="F876" s="21" t="n">
        <f aca="false">'Player Data'!G876</f>
        <v>20</v>
      </c>
      <c r="G876" s="21" t="n">
        <f aca="false">'Player Data'!H876</f>
        <v>2577</v>
      </c>
      <c r="H876" s="22" t="n">
        <f aca="false">IF(B876="GK",IFERROR(('Player Data'!N876-1.5*'Player Data'!O876)/'Player Data'!H876*90,0),IFERROR(('Player Data'!I876+'Player Data'!J876)/'Player Data'!H876*90,0))</f>
        <v>0.925494761350407</v>
      </c>
      <c r="I876" s="22" t="n">
        <f aca="false">IF(B876="GK",'Player Data'!P876,IFERROR(('Player Data'!K876+'Player Data'!L876)/'Player Data'!H876*90,0))</f>
        <v>59.2</v>
      </c>
      <c r="J876" s="22" t="n">
        <f aca="false">IF(B876="GK",IFERROR('Player Data'!Q876/'Player Data'!H876*90,0),IFERROR('Player Data'!M876/'Player Data'!H876*90,0))</f>
        <v>1.09662398137369</v>
      </c>
      <c r="K876" s="23" t="n">
        <f aca="false">'Player Data'!S876</f>
        <v>114851</v>
      </c>
      <c r="L876" s="22" t="n">
        <f aca="false">INDEX(Assumptions!$B$13:$B$15,MATCH(E876,Assumptions!$A$13:$A$15,0))</f>
        <v>0.7</v>
      </c>
      <c r="M876" s="24" t="n">
        <f aca="false">IFERROR(SUMPRODUCT(($B$2:$B$1001=B876)*($H$2:$H$1001&lt;=H876))/SUMPRODUCT(($B$2:$B$1001=B876)*1),0)</f>
        <v>0.382513661202186</v>
      </c>
      <c r="N876" s="24" t="n">
        <f aca="false">IFERROR(SUMPRODUCT(($B$2:$B$1001=B876)*($I$2:$I$1001&lt;=I876))/SUMPRODUCT(($B$2:$B$1001=B876)*1),0)</f>
        <v>0.12568306010929</v>
      </c>
      <c r="O876" s="24" t="n">
        <f aca="false">IFERROR(SUMPRODUCT(($B$2:$B$1001=B876)*($J$2:$J$1001&lt;=J876))/SUMPRODUCT(($B$2:$B$1001=B876)*1),0)</f>
        <v>0.672131147540984</v>
      </c>
      <c r="P876" s="24" t="n">
        <f aca="false">IFERROR(SUMPRODUCT(($B$2:$B$1001=B876)*((0-$F$2:$F$1001)&lt;=(0-F876)))/SUMPRODUCT(($B$2:$B$1001=B876)*1),0)</f>
        <v>0.677595628415301</v>
      </c>
      <c r="Q876" s="25" t="n">
        <f aca="false">(M876*Assumptions!$B$5+N876*Assumptions!$B$6+O876*Assumptions!$B$7+P876*Assumptions!$B$8)*L876</f>
        <v>0.286693989071038</v>
      </c>
      <c r="R876" s="24" t="n">
        <f aca="false">IFERROR(SUMPRODUCT(($B$2:$B$1001=B876)*($Q$2:$Q$1001&lt;=Q876))/SUMPRODUCT(($B$2:$B$1001=B876)*1),0)</f>
        <v>0.114754098360656</v>
      </c>
      <c r="S876" s="24" t="n">
        <f aca="false">IFERROR(SUMPRODUCT(($B$2:$B$1001=B876)*($K$2:$K$1001&lt;=K876))/SUMPRODUCT(($B$2:$B$1001=B876)*1),0)</f>
        <v>0.786885245901639</v>
      </c>
      <c r="T876" s="26" t="n">
        <f aca="false">(R876-S876)*100</f>
        <v>-67.2131147540984</v>
      </c>
      <c r="U876" s="21" t="str">
        <f aca="false">'Player Data'!T876</f>
        <v>Yes</v>
      </c>
      <c r="V876" s="27" t="n">
        <f aca="false">'Player Data'!U876</f>
        <v>2027</v>
      </c>
      <c r="W876" s="21" t="str">
        <f aca="false">IF(AND(T876&gt;=Assumptions!$B$19,U876="No"),"High Priority - Unrepresented",IF(T876&gt;=Assumptions!$B$19,"High Priority",IF(AND(T876&gt;=Assumptions!$B$20,U876="No"),"Watchlist - Unrepresented",IF(T876&gt;=Assumptions!$B$20,"Watchlist",""))))</f>
        <v/>
      </c>
      <c r="X876" s="21" t="str">
        <f aca="false">'Player Data'!V876</f>
        <v>info@kayessc.ml</v>
      </c>
      <c r="Y876" s="28" t="str">
        <f aca="false">'Player Data'!W876</f>
        <v>Go through the player's agent - ask the club to confirm representation first</v>
      </c>
      <c r="Z876" s="28" t="str">
        <f aca="false">'Player Data'!X876</f>
        <v>FEMAFOOT (Malian Football Federation) player registry</v>
      </c>
      <c r="AA876" s="19" t="str">
        <f aca="false">HYPERLINK("https://www.transfermarkt.com/schnellsuche/ergebnis/schnellsuche?query="&amp;SUBSTITUTE(A876," ","+"),"Search Transfermarkt")</f>
        <v>Search Transfermarkt</v>
      </c>
      <c r="AB876" s="29" t="n">
        <f aca="false">IFERROR('Player Data'!K876/('Player Data'!K876+'Player Data'!L876),0)</f>
        <v>0.888888888888889</v>
      </c>
      <c r="AC876" s="21" t="str">
        <f aca="false">IF(B876="GK",IF(AND(O876&gt;=Assumptions!$B$23,N876&gt;=Assumptions!$B$23),"Sweeper-Keeper / Build-from-the-Back",IF(O876&gt;=Assumptions!$B$23,"Sweeper-Keeper / High Line",IF(M876&gt;=Assumptions!$B$23,"Shot-Stopper / Traditional","Flexible / Multi-System"))),IF(AND(O876&gt;=Assumptions!$B$23,P876&gt;=Assumptions!$B$24),"High Press / Gegenpressing",IF(AND(N876&gt;=Assumptions!$B$23,AB876&gt;=Assumptions!$B$25),"Possession / Build-from-the-Back",IF(N876&gt;=Assumptions!$B$23,"Counter-Attack / Transition",IF(AND(O876&gt;=Assumptions!$B$23,N876&lt;Assumptions!$B$26),"Low Block / Park the Bus",IF(AND(B876="FW",M876&gt;=Assumptions!$B$23,N876&lt;Assumptions!$B$26),"Direct / Target Approach","Flexible / Multi-System"))))))</f>
        <v>Sweeper-Keeper / High Line</v>
      </c>
      <c r="AD876" s="21" t="str">
        <f aca="false">'Player Data'!Y876</f>
        <v>2026-07-17</v>
      </c>
      <c r="AE876" s="21" t="str">
        <f aca="false">'Player Data'!Z876</f>
        <v>2026-07-17</v>
      </c>
      <c r="AF876" s="28" t="str">
        <f aca="false">IFERROR(INDEX(Assumptions!$B$30:$B$61,MATCH(C876,Assumptions!$A$30:$A$61,0)),"--")</f>
        <v>Belgium, Portugal</v>
      </c>
      <c r="AG876" s="30" t="str">
        <f aca="false">IF(R876&gt;=0.7,"Step-Up Candidate",IF(R876&gt;=0.4,"Lateral Move","Stay &amp; Develop"))</f>
        <v>Stay &amp; Develop</v>
      </c>
    </row>
    <row r="877" customFormat="false" ht="23.85" hidden="false" customHeight="false" outlineLevel="0" collapsed="false">
      <c r="A877" s="21" t="str">
        <f aca="false">'Player Data'!A877</f>
        <v>Do-yun Kim</v>
      </c>
      <c r="B877" s="21" t="str">
        <f aca="false">'Player Data'!F877</f>
        <v>DF</v>
      </c>
      <c r="C877" s="21" t="str">
        <f aca="false">'Player Data'!B877</f>
        <v>South Korea</v>
      </c>
      <c r="D877" s="21" t="str">
        <f aca="false">'Player Data'!C877</f>
        <v>South Korea Second Division - East</v>
      </c>
      <c r="E877" s="21" t="n">
        <f aca="false">'Player Data'!D877</f>
        <v>3</v>
      </c>
      <c r="F877" s="21" t="n">
        <f aca="false">'Player Data'!G877</f>
        <v>23</v>
      </c>
      <c r="G877" s="21" t="n">
        <f aca="false">'Player Data'!H877</f>
        <v>2466</v>
      </c>
      <c r="H877" s="22" t="n">
        <f aca="false">IF(B877="GK",IFERROR(('Player Data'!N877-1.5*'Player Data'!O877)/'Player Data'!H877*90,0),IFERROR(('Player Data'!I877+'Player Data'!J877)/'Player Data'!H877*90,0))</f>
        <v>0.218978102189781</v>
      </c>
      <c r="I877" s="22" t="n">
        <f aca="false">IF(B877="GK",'Player Data'!P877,IFERROR(('Player Data'!K877+'Player Data'!L877)/'Player Data'!H877*90,0))</f>
        <v>3.5036496350365</v>
      </c>
      <c r="J877" s="22" t="n">
        <f aca="false">IF(B877="GK",IFERROR('Player Data'!Q877/'Player Data'!H877*90,0),IFERROR('Player Data'!M877/'Player Data'!H877*90,0))</f>
        <v>3.17518248175182</v>
      </c>
      <c r="K877" s="23" t="n">
        <f aca="false">'Player Data'!S877</f>
        <v>0</v>
      </c>
      <c r="L877" s="22" t="n">
        <f aca="false">INDEX(Assumptions!$B$13:$B$15,MATCH(E877,Assumptions!$A$13:$A$15,0))</f>
        <v>0.85</v>
      </c>
      <c r="M877" s="24" t="n">
        <f aca="false">IFERROR(SUMPRODUCT(($B$2:$B$1001=B877)*($H$2:$H$1001&lt;=H877))/SUMPRODUCT(($B$2:$B$1001=B877)*1),0)</f>
        <v>0.571428571428571</v>
      </c>
      <c r="N877" s="24" t="n">
        <f aca="false">IFERROR(SUMPRODUCT(($B$2:$B$1001=B877)*($I$2:$I$1001&lt;=I877))/SUMPRODUCT(($B$2:$B$1001=B877)*1),0)</f>
        <v>0.238095238095238</v>
      </c>
      <c r="O877" s="24" t="n">
        <f aca="false">IFERROR(SUMPRODUCT(($B$2:$B$1001=B877)*($J$2:$J$1001&lt;=J877))/SUMPRODUCT(($B$2:$B$1001=B877)*1),0)</f>
        <v>0.0408163265306122</v>
      </c>
      <c r="P877" s="24" t="n">
        <f aca="false">IFERROR(SUMPRODUCT(($B$2:$B$1001=B877)*((0-$F$2:$F$1001)&lt;=(0-F877)))/SUMPRODUCT(($B$2:$B$1001=B877)*1),0)</f>
        <v>0.374149659863946</v>
      </c>
      <c r="Q877" s="25" t="n">
        <f aca="false">(M877*Assumptions!$B$5+N877*Assumptions!$B$6+O877*Assumptions!$B$7+P877*Assumptions!$B$8)*L877</f>
        <v>0.26280612244898</v>
      </c>
      <c r="R877" s="24" t="n">
        <f aca="false">IFERROR(SUMPRODUCT(($B$2:$B$1001=B877)*($Q$2:$Q$1001&lt;=Q877))/SUMPRODUCT(($B$2:$B$1001=B877)*1),0)</f>
        <v>0.187074829931973</v>
      </c>
      <c r="S877" s="24" t="n">
        <f aca="false">IFERROR(SUMPRODUCT(($B$2:$B$1001=B877)*($K$2:$K$1001&lt;=K877))/SUMPRODUCT(($B$2:$B$1001=B877)*1),0)</f>
        <v>0.248299319727891</v>
      </c>
      <c r="T877" s="26" t="n">
        <f aca="false">(R877-S877)*100</f>
        <v>-6.12244897959184</v>
      </c>
      <c r="U877" s="21" t="str">
        <f aca="false">'Player Data'!T877</f>
        <v>Yes</v>
      </c>
      <c r="V877" s="27" t="n">
        <f aca="false">'Player Data'!U877</f>
        <v>2029</v>
      </c>
      <c r="W877" s="21" t="str">
        <f aca="false">IF(AND(T877&gt;=Assumptions!$B$19,U877="No"),"High Priority - Unrepresented",IF(T877&gt;=Assumptions!$B$19,"High Priority",IF(AND(T877&gt;=Assumptions!$B$20,U877="No"),"Watchlist - Unrepresented",IF(T877&gt;=Assumptions!$B$20,"Watchlist",""))))</f>
        <v/>
      </c>
      <c r="X877" s="21" t="str">
        <f aca="false">'Player Data'!V877</f>
        <v>info@gwangjurovers.kr</v>
      </c>
      <c r="Y877" s="28" t="str">
        <f aca="false">'Player Data'!W877</f>
        <v>Go through the player's agent - ask the club to confirm representation first</v>
      </c>
      <c r="Z877" s="28" t="str">
        <f aca="false">'Player Data'!X877</f>
        <v>KFA (Korea Football Association) player registry</v>
      </c>
      <c r="AA877" s="19" t="str">
        <f aca="false">HYPERLINK("https://www.transfermarkt.com/schnellsuche/ergebnis/schnellsuche?query="&amp;SUBSTITUTE(A877," ","+"),"Search Transfermarkt")</f>
        <v>Search Transfermarkt</v>
      </c>
      <c r="AB877" s="29" t="n">
        <f aca="false">IFERROR('Player Data'!K877/('Player Data'!K877+'Player Data'!L877),0)</f>
        <v>0.645833333333333</v>
      </c>
      <c r="AC877" s="21" t="str">
        <f aca="false">IF(B877="GK",IF(AND(O877&gt;=Assumptions!$B$23,N877&gt;=Assumptions!$B$23),"Sweeper-Keeper / Build-from-the-Back",IF(O877&gt;=Assumptions!$B$23,"Sweeper-Keeper / High Line",IF(M877&gt;=Assumptions!$B$23,"Shot-Stopper / Traditional","Flexible / Multi-System"))),IF(AND(O877&gt;=Assumptions!$B$23,P877&gt;=Assumptions!$B$24),"High Press / Gegenpressing",IF(AND(N877&gt;=Assumptions!$B$23,AB877&gt;=Assumptions!$B$25),"Possession / Build-from-the-Back",IF(N877&gt;=Assumptions!$B$23,"Counter-Attack / Transition",IF(AND(O877&gt;=Assumptions!$B$23,N877&lt;Assumptions!$B$26),"Low Block / Park the Bus",IF(AND(B877="FW",M877&gt;=Assumptions!$B$23,N877&lt;Assumptions!$B$26),"Direct / Target Approach","Flexible / Multi-System"))))))</f>
        <v>Flexible / Multi-System</v>
      </c>
      <c r="AD877" s="21" t="str">
        <f aca="false">'Player Data'!Y877</f>
        <v>2026-07-17</v>
      </c>
      <c r="AE877" s="21" t="str">
        <f aca="false">'Player Data'!Z877</f>
        <v>2026-07-17</v>
      </c>
      <c r="AF877" s="28" t="str">
        <f aca="false">IFERROR(INDEX(Assumptions!$B$30:$B$61,MATCH(C877,Assumptions!$A$30:$A$61,0)),"--")</f>
        <v>Belgium, Saudi Arabia</v>
      </c>
      <c r="AG877" s="30" t="str">
        <f aca="false">IF(R877&gt;=0.7,"Step-Up Candidate",IF(R877&gt;=0.4,"Lateral Move","Stay &amp; Develop"))</f>
        <v>Stay &amp; Develop</v>
      </c>
    </row>
    <row r="878" customFormat="false" ht="23.85" hidden="false" customHeight="false" outlineLevel="0" collapsed="false">
      <c r="A878" s="21" t="str">
        <f aca="false">'Player Data'!A878</f>
        <v>Bledi Bardhi</v>
      </c>
      <c r="B878" s="21" t="str">
        <f aca="false">'Player Data'!F878</f>
        <v>DF</v>
      </c>
      <c r="C878" s="21" t="str">
        <f aca="false">'Player Data'!B878</f>
        <v>Albania</v>
      </c>
      <c r="D878" s="21" t="str">
        <f aca="false">'Player Data'!C878</f>
        <v>Albania Second Division - West</v>
      </c>
      <c r="E878" s="21" t="n">
        <f aca="false">'Player Data'!D878</f>
        <v>3</v>
      </c>
      <c r="F878" s="21" t="n">
        <f aca="false">'Player Data'!G878</f>
        <v>26</v>
      </c>
      <c r="G878" s="21" t="n">
        <f aca="false">'Player Data'!H878</f>
        <v>1134</v>
      </c>
      <c r="H878" s="22" t="n">
        <f aca="false">IF(B878="GK",IFERROR(('Player Data'!N878-1.5*'Player Data'!O878)/'Player Data'!H878*90,0),IFERROR(('Player Data'!I878+'Player Data'!J878)/'Player Data'!H878*90,0))</f>
        <v>0.238095238095238</v>
      </c>
      <c r="I878" s="22" t="n">
        <f aca="false">IF(B878="GK",'Player Data'!P878,IFERROR(('Player Data'!K878+'Player Data'!L878)/'Player Data'!H878*90,0))</f>
        <v>6.26984126984127</v>
      </c>
      <c r="J878" s="22" t="n">
        <f aca="false">IF(B878="GK",IFERROR('Player Data'!Q878/'Player Data'!H878*90,0),IFERROR('Player Data'!M878/'Player Data'!H878*90,0))</f>
        <v>9.36507936507936</v>
      </c>
      <c r="K878" s="23" t="n">
        <f aca="false">'Player Data'!S878</f>
        <v>0</v>
      </c>
      <c r="L878" s="22" t="n">
        <f aca="false">INDEX(Assumptions!$B$13:$B$15,MATCH(E878,Assumptions!$A$13:$A$15,0))</f>
        <v>0.85</v>
      </c>
      <c r="M878" s="24" t="n">
        <f aca="false">IFERROR(SUMPRODUCT(($B$2:$B$1001=B878)*($H$2:$H$1001&lt;=H878))/SUMPRODUCT(($B$2:$B$1001=B878)*1),0)</f>
        <v>0.636054421768708</v>
      </c>
      <c r="N878" s="24" t="n">
        <f aca="false">IFERROR(SUMPRODUCT(($B$2:$B$1001=B878)*($I$2:$I$1001&lt;=I878))/SUMPRODUCT(($B$2:$B$1001=B878)*1),0)</f>
        <v>0.76530612244898</v>
      </c>
      <c r="O878" s="24" t="n">
        <f aca="false">IFERROR(SUMPRODUCT(($B$2:$B$1001=B878)*($J$2:$J$1001&lt;=J878))/SUMPRODUCT(($B$2:$B$1001=B878)*1),0)</f>
        <v>0.914965986394558</v>
      </c>
      <c r="P878" s="24" t="n">
        <f aca="false">IFERROR(SUMPRODUCT(($B$2:$B$1001=B878)*((0-$F$2:$F$1001)&lt;=(0-F878)))/SUMPRODUCT(($B$2:$B$1001=B878)*1),0)</f>
        <v>0.0748299319727891</v>
      </c>
      <c r="Q878" s="25" t="n">
        <f aca="false">(M878*Assumptions!$B$5+N878*Assumptions!$B$6+O878*Assumptions!$B$7+P878*Assumptions!$B$8)*L878</f>
        <v>0.531105442176871</v>
      </c>
      <c r="R878" s="24" t="n">
        <f aca="false">IFERROR(SUMPRODUCT(($B$2:$B$1001=B878)*($Q$2:$Q$1001&lt;=Q878))/SUMPRODUCT(($B$2:$B$1001=B878)*1),0)</f>
        <v>0.659863945578231</v>
      </c>
      <c r="S878" s="24" t="n">
        <f aca="false">IFERROR(SUMPRODUCT(($B$2:$B$1001=B878)*($K$2:$K$1001&lt;=K878))/SUMPRODUCT(($B$2:$B$1001=B878)*1),0)</f>
        <v>0.248299319727891</v>
      </c>
      <c r="T878" s="26" t="n">
        <f aca="false">(R878-S878)*100</f>
        <v>41.156462585034</v>
      </c>
      <c r="U878" s="21" t="str">
        <f aca="false">'Player Data'!T878</f>
        <v>Unknown</v>
      </c>
      <c r="V878" s="27" t="n">
        <f aca="false">'Player Data'!U878</f>
        <v>2028</v>
      </c>
      <c r="W878" s="21" t="str">
        <f aca="false">IF(AND(T878&gt;=Assumptions!$B$19,U878="No"),"High Priority - Unrepresented",IF(T878&gt;=Assumptions!$B$19,"High Priority",IF(AND(T878&gt;=Assumptions!$B$20,U878="No"),"Watchlist - Unrepresented",IF(T878&gt;=Assumptions!$B$20,"Watchlist",""))))</f>
        <v>High Priority</v>
      </c>
      <c r="X878" s="21" t="str">
        <f aca="false">'Player Data'!V878</f>
        <v>info@durresrangers.al</v>
      </c>
      <c r="Y878" s="28" t="str">
        <f aca="false">'Player Data'!W878</f>
        <v>Club sporting director / first-team office</v>
      </c>
      <c r="Z878" s="28" t="str">
        <f aca="false">'Player Data'!X878</f>
        <v>FSHF (Albanian Football Association) player registry</v>
      </c>
      <c r="AA878" s="19" t="str">
        <f aca="false">HYPERLINK("https://www.transfermarkt.com/schnellsuche/ergebnis/schnellsuche?query="&amp;SUBSTITUTE(A878," ","+"),"Search Transfermarkt")</f>
        <v>Search Transfermarkt</v>
      </c>
      <c r="AB878" s="29" t="n">
        <f aca="false">IFERROR('Player Data'!K878/('Player Data'!K878+'Player Data'!L878),0)</f>
        <v>0.531645569620253</v>
      </c>
      <c r="AC878" s="21" t="str">
        <f aca="false">IF(B878="GK",IF(AND(O878&gt;=Assumptions!$B$23,N878&gt;=Assumptions!$B$23),"Sweeper-Keeper / Build-from-the-Back",IF(O878&gt;=Assumptions!$B$23,"Sweeper-Keeper / High Line",IF(M878&gt;=Assumptions!$B$23,"Shot-Stopper / Traditional","Flexible / Multi-System"))),IF(AND(O878&gt;=Assumptions!$B$23,P878&gt;=Assumptions!$B$24),"High Press / Gegenpressing",IF(AND(N878&gt;=Assumptions!$B$23,AB878&gt;=Assumptions!$B$25),"Possession / Build-from-the-Back",IF(N878&gt;=Assumptions!$B$23,"Counter-Attack / Transition",IF(AND(O878&gt;=Assumptions!$B$23,N878&lt;Assumptions!$B$26),"Low Block / Park the Bus",IF(AND(B878="FW",M878&gt;=Assumptions!$B$23,N878&lt;Assumptions!$B$26),"Direct / Target Approach","Flexible / Multi-System"))))))</f>
        <v>Counter-Attack / Transition</v>
      </c>
      <c r="AD878" s="21" t="str">
        <f aca="false">'Player Data'!Y878</f>
        <v>2026-07-17</v>
      </c>
      <c r="AE878" s="21" t="str">
        <f aca="false">'Player Data'!Z878</f>
        <v>2026-07-17</v>
      </c>
      <c r="AF878" s="28" t="str">
        <f aca="false">IFERROR(INDEX(Assumptions!$B$30:$B$61,MATCH(C878,Assumptions!$A$30:$A$61,0)),"--")</f>
        <v>Turkey, Poland</v>
      </c>
      <c r="AG878" s="30" t="str">
        <f aca="false">IF(R878&gt;=0.7,"Step-Up Candidate",IF(R878&gt;=0.4,"Lateral Move","Stay &amp; Develop"))</f>
        <v>Lateral Move</v>
      </c>
    </row>
    <row r="879" customFormat="false" ht="23.85" hidden="false" customHeight="false" outlineLevel="0" collapsed="false">
      <c r="A879" s="21" t="str">
        <f aca="false">'Player Data'!A879</f>
        <v>Aron Einarsson</v>
      </c>
      <c r="B879" s="21" t="str">
        <f aca="false">'Player Data'!F879</f>
        <v>GK</v>
      </c>
      <c r="C879" s="21" t="str">
        <f aca="false">'Player Data'!B879</f>
        <v>Iceland</v>
      </c>
      <c r="D879" s="21" t="str">
        <f aca="false">'Player Data'!C879</f>
        <v>Iceland Third Tier - South</v>
      </c>
      <c r="E879" s="21" t="n">
        <f aca="false">'Player Data'!D879</f>
        <v>2</v>
      </c>
      <c r="F879" s="21" t="n">
        <f aca="false">'Player Data'!G879</f>
        <v>26</v>
      </c>
      <c r="G879" s="21" t="n">
        <f aca="false">'Player Data'!H879</f>
        <v>979</v>
      </c>
      <c r="H879" s="22" t="n">
        <f aca="false">IF(B879="GK",IFERROR(('Player Data'!N879-1.5*'Player Data'!O879)/'Player Data'!H879*90,0),IFERROR(('Player Data'!I879+'Player Data'!J879)/'Player Data'!H879*90,0))</f>
        <v>1.10316649642492</v>
      </c>
      <c r="I879" s="22" t="n">
        <f aca="false">IF(B879="GK",'Player Data'!P879,IFERROR(('Player Data'!K879+'Player Data'!L879)/'Player Data'!H879*90,0))</f>
        <v>90.1</v>
      </c>
      <c r="J879" s="22" t="n">
        <f aca="false">IF(B879="GK",IFERROR('Player Data'!Q879/'Player Data'!H879*90,0),IFERROR('Player Data'!M879/'Player Data'!H879*90,0))</f>
        <v>0.753830439223698</v>
      </c>
      <c r="K879" s="23" t="n">
        <f aca="false">'Player Data'!S879</f>
        <v>108382</v>
      </c>
      <c r="L879" s="22" t="n">
        <f aca="false">INDEX(Assumptions!$B$13:$B$15,MATCH(E879,Assumptions!$A$13:$A$15,0))</f>
        <v>1</v>
      </c>
      <c r="M879" s="24" t="n">
        <f aca="false">IFERROR(SUMPRODUCT(($B$2:$B$1001=B879)*($H$2:$H$1001&lt;=H879))/SUMPRODUCT(($B$2:$B$1001=B879)*1),0)</f>
        <v>0.486338797814208</v>
      </c>
      <c r="N879" s="24" t="n">
        <f aca="false">IFERROR(SUMPRODUCT(($B$2:$B$1001=B879)*($I$2:$I$1001&lt;=I879))/SUMPRODUCT(($B$2:$B$1001=B879)*1),0)</f>
        <v>0.967213114754098</v>
      </c>
      <c r="O879" s="24" t="n">
        <f aca="false">IFERROR(SUMPRODUCT(($B$2:$B$1001=B879)*($J$2:$J$1001&lt;=J879))/SUMPRODUCT(($B$2:$B$1001=B879)*1),0)</f>
        <v>0.426229508196721</v>
      </c>
      <c r="P879" s="24" t="n">
        <f aca="false">IFERROR(SUMPRODUCT(($B$2:$B$1001=B879)*((0-$F$2:$F$1001)&lt;=(0-F879)))/SUMPRODUCT(($B$2:$B$1001=B879)*1),0)</f>
        <v>0.131147540983607</v>
      </c>
      <c r="Q879" s="25" t="n">
        <f aca="false">(M879*Assumptions!$B$5+N879*Assumptions!$B$6+O879*Assumptions!$B$7+P879*Assumptions!$B$8)*L879</f>
        <v>0.571584699453552</v>
      </c>
      <c r="R879" s="24" t="n">
        <f aca="false">IFERROR(SUMPRODUCT(($B$2:$B$1001=B879)*($Q$2:$Q$1001&lt;=Q879))/SUMPRODUCT(($B$2:$B$1001=B879)*1),0)</f>
        <v>0.797814207650273</v>
      </c>
      <c r="S879" s="24" t="n">
        <f aca="false">IFERROR(SUMPRODUCT(($B$2:$B$1001=B879)*($K$2:$K$1001&lt;=K879))/SUMPRODUCT(($B$2:$B$1001=B879)*1),0)</f>
        <v>0.748633879781421</v>
      </c>
      <c r="T879" s="26" t="n">
        <f aca="false">(R879-S879)*100</f>
        <v>4.91803278688524</v>
      </c>
      <c r="U879" s="21" t="str">
        <f aca="false">'Player Data'!T879</f>
        <v>Yes</v>
      </c>
      <c r="V879" s="27" t="n">
        <f aca="false">'Player Data'!U879</f>
        <v>2029</v>
      </c>
      <c r="W879" s="21" t="str">
        <f aca="false">IF(AND(T879&gt;=Assumptions!$B$19,U879="No"),"High Priority - Unrepresented",IF(T879&gt;=Assumptions!$B$19,"High Priority",IF(AND(T879&gt;=Assumptions!$B$20,U879="No"),"Watchlist - Unrepresented",IF(T879&gt;=Assumptions!$B$20,"Watchlist",""))))</f>
        <v/>
      </c>
      <c r="X879" s="21" t="str">
        <f aca="false">'Player Data'!V879</f>
        <v>info@reykjavikrangers.is</v>
      </c>
      <c r="Y879" s="28" t="str">
        <f aca="false">'Player Data'!W879</f>
        <v>Go through the player's agent - ask the club to confirm representation first</v>
      </c>
      <c r="Z879" s="28" t="str">
        <f aca="false">'Player Data'!X879</f>
        <v>KSI (Icelandic Football Association) player registry</v>
      </c>
      <c r="AA879" s="19" t="str">
        <f aca="false">HYPERLINK("https://www.transfermarkt.com/schnellsuche/ergebnis/schnellsuche?query="&amp;SUBSTITUTE(A879," ","+"),"Search Transfermarkt")</f>
        <v>Search Transfermarkt</v>
      </c>
      <c r="AB879" s="29" t="n">
        <f aca="false">IFERROR('Player Data'!K879/('Player Data'!K879+'Player Data'!L879),0)</f>
        <v>0.846153846153846</v>
      </c>
      <c r="AC879" s="21" t="str">
        <f aca="false">IF(B879="GK",IF(AND(O879&gt;=Assumptions!$B$23,N879&gt;=Assumptions!$B$23),"Sweeper-Keeper / Build-from-the-Back",IF(O879&gt;=Assumptions!$B$23,"Sweeper-Keeper / High Line",IF(M879&gt;=Assumptions!$B$23,"Shot-Stopper / Traditional","Flexible / Multi-System"))),IF(AND(O879&gt;=Assumptions!$B$23,P879&gt;=Assumptions!$B$24),"High Press / Gegenpressing",IF(AND(N879&gt;=Assumptions!$B$23,AB879&gt;=Assumptions!$B$25),"Possession / Build-from-the-Back",IF(N879&gt;=Assumptions!$B$23,"Counter-Attack / Transition",IF(AND(O879&gt;=Assumptions!$B$23,N879&lt;Assumptions!$B$26),"Low Block / Park the Bus",IF(AND(B879="FW",M879&gt;=Assumptions!$B$23,N879&lt;Assumptions!$B$26),"Direct / Target Approach","Flexible / Multi-System"))))))</f>
        <v>Flexible / Multi-System</v>
      </c>
      <c r="AD879" s="21" t="str">
        <f aca="false">'Player Data'!Y879</f>
        <v>2026-07-17</v>
      </c>
      <c r="AE879" s="21" t="str">
        <f aca="false">'Player Data'!Z879</f>
        <v>2026-07-17</v>
      </c>
      <c r="AF879" s="28" t="str">
        <f aca="false">IFERROR(INDEX(Assumptions!$B$30:$B$61,MATCH(C879,Assumptions!$A$30:$A$61,0)),"--")</f>
        <v>Norway, Belgium</v>
      </c>
      <c r="AG879" s="30" t="str">
        <f aca="false">IF(R879&gt;=0.7,"Step-Up Candidate",IF(R879&gt;=0.4,"Lateral Move","Stay &amp; Develop"))</f>
        <v>Step-Up Candidate</v>
      </c>
    </row>
    <row r="880" customFormat="false" ht="23.85" hidden="false" customHeight="false" outlineLevel="0" collapsed="false">
      <c r="A880" s="21" t="str">
        <f aca="false">'Player Data'!A880</f>
        <v>Darko Ristovski</v>
      </c>
      <c r="B880" s="21" t="str">
        <f aca="false">'Player Data'!F880</f>
        <v>FW</v>
      </c>
      <c r="C880" s="21" t="str">
        <f aca="false">'Player Data'!B880</f>
        <v>North Macedonia</v>
      </c>
      <c r="D880" s="21" t="str">
        <f aca="false">'Player Data'!C880</f>
        <v>North Macedonia Provincial League</v>
      </c>
      <c r="E880" s="21" t="n">
        <f aca="false">'Player Data'!D880</f>
        <v>2</v>
      </c>
      <c r="F880" s="21" t="n">
        <f aca="false">'Player Data'!G880</f>
        <v>26</v>
      </c>
      <c r="G880" s="21" t="n">
        <f aca="false">'Player Data'!H880</f>
        <v>2068</v>
      </c>
      <c r="H880" s="22" t="n">
        <f aca="false">IF(B880="GK",IFERROR(('Player Data'!N880-1.5*'Player Data'!O880)/'Player Data'!H880*90,0),IFERROR(('Player Data'!I880+'Player Data'!J880)/'Player Data'!H880*90,0))</f>
        <v>0.913926499032882</v>
      </c>
      <c r="I880" s="22" t="n">
        <f aca="false">IF(B880="GK",'Player Data'!P880,IFERROR(('Player Data'!K880+'Player Data'!L880)/'Player Data'!H880*90,0))</f>
        <v>4.70019342359768</v>
      </c>
      <c r="J880" s="22" t="n">
        <f aca="false">IF(B880="GK",IFERROR('Player Data'!Q880/'Player Data'!H880*90,0),IFERROR('Player Data'!M880/'Player Data'!H880*90,0))</f>
        <v>0.304642166344294</v>
      </c>
      <c r="K880" s="23" t="n">
        <f aca="false">'Player Data'!S880</f>
        <v>124102</v>
      </c>
      <c r="L880" s="22" t="n">
        <f aca="false">INDEX(Assumptions!$B$13:$B$15,MATCH(E880,Assumptions!$A$13:$A$15,0))</f>
        <v>1</v>
      </c>
      <c r="M880" s="24" t="n">
        <f aca="false">IFERROR(SUMPRODUCT(($B$2:$B$1001=B880)*($H$2:$H$1001&lt;=H880))/SUMPRODUCT(($B$2:$B$1001=B880)*1),0)</f>
        <v>0.420353982300885</v>
      </c>
      <c r="N880" s="24" t="n">
        <f aca="false">IFERROR(SUMPRODUCT(($B$2:$B$1001=B880)*($I$2:$I$1001&lt;=I880))/SUMPRODUCT(($B$2:$B$1001=B880)*1),0)</f>
        <v>0.150442477876106</v>
      </c>
      <c r="O880" s="24" t="n">
        <f aca="false">IFERROR(SUMPRODUCT(($B$2:$B$1001=B880)*($J$2:$J$1001&lt;=J880))/SUMPRODUCT(($B$2:$B$1001=B880)*1),0)</f>
        <v>0.18141592920354</v>
      </c>
      <c r="P880" s="24" t="n">
        <f aca="false">IFERROR(SUMPRODUCT(($B$2:$B$1001=B880)*((0-$F$2:$F$1001)&lt;=(0-F880)))/SUMPRODUCT(($B$2:$B$1001=B880)*1),0)</f>
        <v>0.0929203539823009</v>
      </c>
      <c r="Q880" s="25" t="n">
        <f aca="false">(M880*Assumptions!$B$5+N880*Assumptions!$B$6+O880*Assumptions!$B$7+P880*Assumptions!$B$8)*L880</f>
        <v>0.212610619469027</v>
      </c>
      <c r="R880" s="24" t="n">
        <f aca="false">IFERROR(SUMPRODUCT(($B$2:$B$1001=B880)*($Q$2:$Q$1001&lt;=Q880))/SUMPRODUCT(($B$2:$B$1001=B880)*1),0)</f>
        <v>0.0929203539823009</v>
      </c>
      <c r="S880" s="24" t="n">
        <f aca="false">IFERROR(SUMPRODUCT(($B$2:$B$1001=B880)*($K$2:$K$1001&lt;=K880))/SUMPRODUCT(($B$2:$B$1001=B880)*1),0)</f>
        <v>0.86283185840708</v>
      </c>
      <c r="T880" s="26" t="n">
        <f aca="false">(R880-S880)*100</f>
        <v>-76.9911504424779</v>
      </c>
      <c r="U880" s="21" t="str">
        <f aca="false">'Player Data'!T880</f>
        <v>Yes</v>
      </c>
      <c r="V880" s="27" t="n">
        <f aca="false">'Player Data'!U880</f>
        <v>2026</v>
      </c>
      <c r="W880" s="21" t="str">
        <f aca="false">IF(AND(T880&gt;=Assumptions!$B$19,U880="No"),"High Priority - Unrepresented",IF(T880&gt;=Assumptions!$B$19,"High Priority",IF(AND(T880&gt;=Assumptions!$B$20,U880="No"),"Watchlist - Unrepresented",IF(T880&gt;=Assumptions!$B$20,"Watchlist",""))))</f>
        <v/>
      </c>
      <c r="X880" s="21" t="str">
        <f aca="false">'Player Data'!V880</f>
        <v>info@bitolasc.mk</v>
      </c>
      <c r="Y880" s="28" t="str">
        <f aca="false">'Player Data'!W880</f>
        <v>Go through the player's agent - ask the club to confirm representation first</v>
      </c>
      <c r="Z880" s="28" t="str">
        <f aca="false">'Player Data'!X880</f>
        <v>FFM (Football Federation of North Macedonia) player registry</v>
      </c>
      <c r="AA880" s="19" t="str">
        <f aca="false">HYPERLINK("https://www.transfermarkt.com/schnellsuche/ergebnis/schnellsuche?query="&amp;SUBSTITUTE(A880," ","+"),"Search Transfermarkt")</f>
        <v>Search Transfermarkt</v>
      </c>
      <c r="AB880" s="29" t="n">
        <f aca="false">IFERROR('Player Data'!K880/('Player Data'!K880+'Player Data'!L880),0)</f>
        <v>0.398148148148148</v>
      </c>
      <c r="AC880" s="21" t="str">
        <f aca="false">IF(B880="GK",IF(AND(O880&gt;=Assumptions!$B$23,N880&gt;=Assumptions!$B$23),"Sweeper-Keeper / Build-from-the-Back",IF(O880&gt;=Assumptions!$B$23,"Sweeper-Keeper / High Line",IF(M880&gt;=Assumptions!$B$23,"Shot-Stopper / Traditional","Flexible / Multi-System"))),IF(AND(O880&gt;=Assumptions!$B$23,P880&gt;=Assumptions!$B$24),"High Press / Gegenpressing",IF(AND(N880&gt;=Assumptions!$B$23,AB880&gt;=Assumptions!$B$25),"Possession / Build-from-the-Back",IF(N880&gt;=Assumptions!$B$23,"Counter-Attack / Transition",IF(AND(O880&gt;=Assumptions!$B$23,N880&lt;Assumptions!$B$26),"Low Block / Park the Bus",IF(AND(B880="FW",M880&gt;=Assumptions!$B$23,N880&lt;Assumptions!$B$26),"Direct / Target Approach","Flexible / Multi-System"))))))</f>
        <v>Flexible / Multi-System</v>
      </c>
      <c r="AD880" s="21" t="str">
        <f aca="false">'Player Data'!Y880</f>
        <v>2026-07-17</v>
      </c>
      <c r="AE880" s="21" t="str">
        <f aca="false">'Player Data'!Z880</f>
        <v>2026-07-17</v>
      </c>
      <c r="AF880" s="28" t="str">
        <f aca="false">IFERROR(INDEX(Assumptions!$B$30:$B$61,MATCH(C880,Assumptions!$A$30:$A$61,0)),"--")</f>
        <v>Austria, Turkey</v>
      </c>
      <c r="AG880" s="30" t="str">
        <f aca="false">IF(R880&gt;=0.7,"Step-Up Candidate",IF(R880&gt;=0.4,"Lateral Move","Stay &amp; Develop"))</f>
        <v>Stay &amp; Develop</v>
      </c>
    </row>
    <row r="881" customFormat="false" ht="23.85" hidden="false" customHeight="false" outlineLevel="0" collapsed="false">
      <c r="A881" s="21" t="str">
        <f aca="false">'Player Data'!A881</f>
        <v>Michael Murillo</v>
      </c>
      <c r="B881" s="21" t="str">
        <f aca="false">'Player Data'!F881</f>
        <v>DF</v>
      </c>
      <c r="C881" s="21" t="str">
        <f aca="false">'Player Data'!B881</f>
        <v>Panama</v>
      </c>
      <c r="D881" s="21" t="str">
        <f aca="false">'Player Data'!C881</f>
        <v>Panama Provincial League</v>
      </c>
      <c r="E881" s="21" t="n">
        <f aca="false">'Player Data'!D881</f>
        <v>2</v>
      </c>
      <c r="F881" s="21" t="n">
        <f aca="false">'Player Data'!G881</f>
        <v>26</v>
      </c>
      <c r="G881" s="21" t="n">
        <f aca="false">'Player Data'!H881</f>
        <v>1911</v>
      </c>
      <c r="H881" s="22" t="n">
        <f aca="false">IF(B881="GK",IFERROR(('Player Data'!N881-1.5*'Player Data'!O881)/'Player Data'!H881*90,0),IFERROR(('Player Data'!I881+'Player Data'!J881)/'Player Data'!H881*90,0))</f>
        <v>0.235478806907378</v>
      </c>
      <c r="I881" s="22" t="n">
        <f aca="false">IF(B881="GK",'Player Data'!P881,IFERROR(('Player Data'!K881+'Player Data'!L881)/'Player Data'!H881*90,0))</f>
        <v>5.36891679748823</v>
      </c>
      <c r="J881" s="22" t="n">
        <f aca="false">IF(B881="GK",IFERROR('Player Data'!Q881/'Player Data'!H881*90,0),IFERROR('Player Data'!M881/'Player Data'!H881*90,0))</f>
        <v>3.62637362637363</v>
      </c>
      <c r="K881" s="23" t="n">
        <f aca="false">'Player Data'!S881</f>
        <v>0</v>
      </c>
      <c r="L881" s="22" t="n">
        <f aca="false">INDEX(Assumptions!$B$13:$B$15,MATCH(E881,Assumptions!$A$13:$A$15,0))</f>
        <v>1</v>
      </c>
      <c r="M881" s="24" t="n">
        <f aca="false">IFERROR(SUMPRODUCT(($B$2:$B$1001=B881)*($H$2:$H$1001&lt;=H881))/SUMPRODUCT(($B$2:$B$1001=B881)*1),0)</f>
        <v>0.629251700680272</v>
      </c>
      <c r="N881" s="24" t="n">
        <f aca="false">IFERROR(SUMPRODUCT(($B$2:$B$1001=B881)*($I$2:$I$1001&lt;=I881))/SUMPRODUCT(($B$2:$B$1001=B881)*1),0)</f>
        <v>0.656462585034014</v>
      </c>
      <c r="O881" s="24" t="n">
        <f aca="false">IFERROR(SUMPRODUCT(($B$2:$B$1001=B881)*($J$2:$J$1001&lt;=J881))/SUMPRODUCT(($B$2:$B$1001=B881)*1),0)</f>
        <v>0.136054421768708</v>
      </c>
      <c r="P881" s="24" t="n">
        <f aca="false">IFERROR(SUMPRODUCT(($B$2:$B$1001=B881)*((0-$F$2:$F$1001)&lt;=(0-F881)))/SUMPRODUCT(($B$2:$B$1001=B881)*1),0)</f>
        <v>0.0748299319727891</v>
      </c>
      <c r="Q881" s="25" t="n">
        <f aca="false">(M881*Assumptions!$B$5+N881*Assumptions!$B$6+O881*Assumptions!$B$7+P881*Assumptions!$B$8)*L881</f>
        <v>0.429251700680272</v>
      </c>
      <c r="R881" s="24" t="n">
        <f aca="false">IFERROR(SUMPRODUCT(($B$2:$B$1001=B881)*($Q$2:$Q$1001&lt;=Q881))/SUMPRODUCT(($B$2:$B$1001=B881)*1),0)</f>
        <v>0.534013605442177</v>
      </c>
      <c r="S881" s="24" t="n">
        <f aca="false">IFERROR(SUMPRODUCT(($B$2:$B$1001=B881)*($K$2:$K$1001&lt;=K881))/SUMPRODUCT(($B$2:$B$1001=B881)*1),0)</f>
        <v>0.248299319727891</v>
      </c>
      <c r="T881" s="26" t="n">
        <f aca="false">(R881-S881)*100</f>
        <v>28.5714285714286</v>
      </c>
      <c r="U881" s="21" t="str">
        <f aca="false">'Player Data'!T881</f>
        <v>Unknown</v>
      </c>
      <c r="V881" s="27" t="n">
        <f aca="false">'Player Data'!U881</f>
        <v>2028</v>
      </c>
      <c r="W881" s="21" t="str">
        <f aca="false">IF(AND(T881&gt;=Assumptions!$B$19,U881="No"),"High Priority - Unrepresented",IF(T881&gt;=Assumptions!$B$19,"High Priority",IF(AND(T881&gt;=Assumptions!$B$20,U881="No"),"Watchlist - Unrepresented",IF(T881&gt;=Assumptions!$B$20,"Watchlist",""))))</f>
        <v>Watchlist</v>
      </c>
      <c r="X881" s="21" t="str">
        <f aca="false">'Player Data'!V881</f>
        <v>info@davidcity.pa</v>
      </c>
      <c r="Y881" s="28" t="str">
        <f aca="false">'Player Data'!W881</f>
        <v>Club sporting director / first-team office</v>
      </c>
      <c r="Z881" s="28" t="str">
        <f aca="false">'Player Data'!X881</f>
        <v>FEPAFUT (Panamanian Football Federation) player registry</v>
      </c>
      <c r="AA881" s="19" t="str">
        <f aca="false">HYPERLINK("https://www.transfermarkt.com/schnellsuche/ergebnis/schnellsuche?query="&amp;SUBSTITUTE(A881," ","+"),"Search Transfermarkt")</f>
        <v>Search Transfermarkt</v>
      </c>
      <c r="AB881" s="29" t="n">
        <f aca="false">IFERROR('Player Data'!K881/('Player Data'!K881+'Player Data'!L881),0)</f>
        <v>0.578947368421053</v>
      </c>
      <c r="AC881" s="21" t="str">
        <f aca="false">IF(B881="GK",IF(AND(O881&gt;=Assumptions!$B$23,N881&gt;=Assumptions!$B$23),"Sweeper-Keeper / Build-from-the-Back",IF(O881&gt;=Assumptions!$B$23,"Sweeper-Keeper / High Line",IF(M881&gt;=Assumptions!$B$23,"Shot-Stopper / Traditional","Flexible / Multi-System"))),IF(AND(O881&gt;=Assumptions!$B$23,P881&gt;=Assumptions!$B$24),"High Press / Gegenpressing",IF(AND(N881&gt;=Assumptions!$B$23,AB881&gt;=Assumptions!$B$25),"Possession / Build-from-the-Back",IF(N881&gt;=Assumptions!$B$23,"Counter-Attack / Transition",IF(AND(O881&gt;=Assumptions!$B$23,N881&lt;Assumptions!$B$26),"Low Block / Park the Bus",IF(AND(B881="FW",M881&gt;=Assumptions!$B$23,N881&lt;Assumptions!$B$26),"Direct / Target Approach","Flexible / Multi-System"))))))</f>
        <v>Counter-Attack / Transition</v>
      </c>
      <c r="AD881" s="21" t="str">
        <f aca="false">'Player Data'!Y881</f>
        <v>2026-07-17</v>
      </c>
      <c r="AE881" s="21" t="str">
        <f aca="false">'Player Data'!Z881</f>
        <v>2026-07-17</v>
      </c>
      <c r="AF881" s="28" t="str">
        <f aca="false">IFERROR(INDEX(Assumptions!$B$30:$B$61,MATCH(C881,Assumptions!$A$30:$A$61,0)),"--")</f>
        <v>Mexico, United States</v>
      </c>
      <c r="AG881" s="30" t="str">
        <f aca="false">IF(R881&gt;=0.7,"Step-Up Candidate",IF(R881&gt;=0.4,"Lateral Move","Stay &amp; Develop"))</f>
        <v>Lateral Move</v>
      </c>
    </row>
    <row r="882" customFormat="false" ht="23.85" hidden="false" customHeight="false" outlineLevel="0" collapsed="false">
      <c r="A882" s="21" t="str">
        <f aca="false">'Player Data'!A882</f>
        <v>Kittipong Sanguan</v>
      </c>
      <c r="B882" s="21" t="str">
        <f aca="false">'Player Data'!F882</f>
        <v>MF</v>
      </c>
      <c r="C882" s="21" t="str">
        <f aca="false">'Player Data'!B882</f>
        <v>Thailand</v>
      </c>
      <c r="D882" s="21" t="str">
        <f aca="false">'Player Data'!C882</f>
        <v>Thailand Regional League</v>
      </c>
      <c r="E882" s="21" t="n">
        <f aca="false">'Player Data'!D882</f>
        <v>3</v>
      </c>
      <c r="F882" s="21" t="n">
        <f aca="false">'Player Data'!G882</f>
        <v>23</v>
      </c>
      <c r="G882" s="21" t="n">
        <f aca="false">'Player Data'!H882</f>
        <v>1359</v>
      </c>
      <c r="H882" s="22" t="n">
        <f aca="false">IF(B882="GK",IFERROR(('Player Data'!N882-1.5*'Player Data'!O882)/'Player Data'!H882*90,0),IFERROR(('Player Data'!I882+'Player Data'!J882)/'Player Data'!H882*90,0))</f>
        <v>1.25827814569536</v>
      </c>
      <c r="I882" s="22" t="n">
        <f aca="false">IF(B882="GK",'Player Data'!P882,IFERROR(('Player Data'!K882+'Player Data'!L882)/'Player Data'!H882*90,0))</f>
        <v>14.0397350993377</v>
      </c>
      <c r="J882" s="22" t="n">
        <f aca="false">IF(B882="GK",IFERROR('Player Data'!Q882/'Player Data'!H882*90,0),IFERROR('Player Data'!M882/'Player Data'!H882*90,0))</f>
        <v>3.64238410596027</v>
      </c>
      <c r="K882" s="23" t="n">
        <f aca="false">'Player Data'!S882</f>
        <v>48981</v>
      </c>
      <c r="L882" s="22" t="n">
        <f aca="false">INDEX(Assumptions!$B$13:$B$15,MATCH(E882,Assumptions!$A$13:$A$15,0))</f>
        <v>0.85</v>
      </c>
      <c r="M882" s="24" t="n">
        <f aca="false">IFERROR(SUMPRODUCT(($B$2:$B$1001=B882)*($H$2:$H$1001&lt;=H882))/SUMPRODUCT(($B$2:$B$1001=B882)*1),0)</f>
        <v>0.861952861952862</v>
      </c>
      <c r="N882" s="24" t="n">
        <f aca="false">IFERROR(SUMPRODUCT(($B$2:$B$1001=B882)*($I$2:$I$1001&lt;=I882))/SUMPRODUCT(($B$2:$B$1001=B882)*1),0)</f>
        <v>0.71043771043771</v>
      </c>
      <c r="O882" s="24" t="n">
        <f aca="false">IFERROR(SUMPRODUCT(($B$2:$B$1001=B882)*($J$2:$J$1001&lt;=J882))/SUMPRODUCT(($B$2:$B$1001=B882)*1),0)</f>
        <v>0.885521885521886</v>
      </c>
      <c r="P882" s="24" t="n">
        <f aca="false">IFERROR(SUMPRODUCT(($B$2:$B$1001=B882)*((0-$F$2:$F$1001)&lt;=(0-F882)))/SUMPRODUCT(($B$2:$B$1001=B882)*1),0)</f>
        <v>0.390572390572391</v>
      </c>
      <c r="Q882" s="25" t="n">
        <f aca="false">(M882*Assumptions!$B$5+N882*Assumptions!$B$6+O882*Assumptions!$B$7+P882*Assumptions!$B$8)*L882</f>
        <v>0.611456228956229</v>
      </c>
      <c r="R882" s="24" t="n">
        <f aca="false">IFERROR(SUMPRODUCT(($B$2:$B$1001=B882)*($Q$2:$Q$1001&lt;=Q882))/SUMPRODUCT(($B$2:$B$1001=B882)*1),0)</f>
        <v>0.764309764309764</v>
      </c>
      <c r="S882" s="24" t="n">
        <f aca="false">IFERROR(SUMPRODUCT(($B$2:$B$1001=B882)*($K$2:$K$1001&lt;=K882))/SUMPRODUCT(($B$2:$B$1001=B882)*1),0)</f>
        <v>0.447811447811448</v>
      </c>
      <c r="T882" s="26" t="n">
        <f aca="false">(R882-S882)*100</f>
        <v>31.6498316498316</v>
      </c>
      <c r="U882" s="21" t="str">
        <f aca="false">'Player Data'!T882</f>
        <v>Unknown</v>
      </c>
      <c r="V882" s="27" t="n">
        <f aca="false">'Player Data'!U882</f>
        <v>2026</v>
      </c>
      <c r="W882" s="21" t="str">
        <f aca="false">IF(AND(T882&gt;=Assumptions!$B$19,U882="No"),"High Priority - Unrepresented",IF(T882&gt;=Assumptions!$B$19,"High Priority",IF(AND(T882&gt;=Assumptions!$B$20,U882="No"),"Watchlist - Unrepresented",IF(T882&gt;=Assumptions!$B$20,"Watchlist",""))))</f>
        <v>Watchlist</v>
      </c>
      <c r="X882" s="21" t="str">
        <f aca="false">'Player Data'!V882</f>
        <v>info@bangkokcity.th</v>
      </c>
      <c r="Y882" s="28" t="str">
        <f aca="false">'Player Data'!W882</f>
        <v>Club sporting director / first-team office</v>
      </c>
      <c r="Z882" s="28" t="str">
        <f aca="false">'Player Data'!X882</f>
        <v>FAT (Football Association of Thailand) player registry</v>
      </c>
      <c r="AA882" s="19" t="str">
        <f aca="false">HYPERLINK("https://www.transfermarkt.com/schnellsuche/ergebnis/schnellsuche?query="&amp;SUBSTITUTE(A882," ","+"),"Search Transfermarkt")</f>
        <v>Search Transfermarkt</v>
      </c>
      <c r="AB882" s="29" t="n">
        <f aca="false">IFERROR('Player Data'!K882/('Player Data'!K882+'Player Data'!L882),0)</f>
        <v>0.679245283018868</v>
      </c>
      <c r="AC882" s="21" t="str">
        <f aca="false">IF(B882="GK",IF(AND(O882&gt;=Assumptions!$B$23,N882&gt;=Assumptions!$B$23),"Sweeper-Keeper / Build-from-the-Back",IF(O882&gt;=Assumptions!$B$23,"Sweeper-Keeper / High Line",IF(M882&gt;=Assumptions!$B$23,"Shot-Stopper / Traditional","Flexible / Multi-System"))),IF(AND(O882&gt;=Assumptions!$B$23,P882&gt;=Assumptions!$B$24),"High Press / Gegenpressing",IF(AND(N882&gt;=Assumptions!$B$23,AB882&gt;=Assumptions!$B$25),"Possession / Build-from-the-Back",IF(N882&gt;=Assumptions!$B$23,"Counter-Attack / Transition",IF(AND(O882&gt;=Assumptions!$B$23,N882&lt;Assumptions!$B$26),"Low Block / Park the Bus",IF(AND(B882="FW",M882&gt;=Assumptions!$B$23,N882&lt;Assumptions!$B$26),"Direct / Target Approach","Flexible / Multi-System"))))))</f>
        <v>Possession / Build-from-the-Back</v>
      </c>
      <c r="AD882" s="21" t="str">
        <f aca="false">'Player Data'!Y882</f>
        <v>2026-07-17</v>
      </c>
      <c r="AE882" s="21" t="str">
        <f aca="false">'Player Data'!Z882</f>
        <v>2026-07-17</v>
      </c>
      <c r="AF882" s="28" t="str">
        <f aca="false">IFERROR(INDEX(Assumptions!$B$30:$B$61,MATCH(C882,Assumptions!$A$30:$A$61,0)),"--")</f>
        <v>Australia, Saudi Arabia</v>
      </c>
      <c r="AG882" s="30" t="str">
        <f aca="false">IF(R882&gt;=0.7,"Step-Up Candidate",IF(R882&gt;=0.4,"Lateral Move","Stay &amp; Develop"))</f>
        <v>Step-Up Candidate</v>
      </c>
    </row>
    <row r="883" customFormat="false" ht="23.85" hidden="false" customHeight="false" outlineLevel="0" collapsed="false">
      <c r="A883" s="21" t="str">
        <f aca="false">'Player Data'!A883</f>
        <v>Toni Novak</v>
      </c>
      <c r="B883" s="21" t="str">
        <f aca="false">'Player Data'!F883</f>
        <v>GK</v>
      </c>
      <c r="C883" s="21" t="str">
        <f aca="false">'Player Data'!B883</f>
        <v>Croatia</v>
      </c>
      <c r="D883" s="21" t="str">
        <f aca="false">'Player Data'!C883</f>
        <v>Croatia Third Tier - North</v>
      </c>
      <c r="E883" s="21" t="n">
        <f aca="false">'Player Data'!D883</f>
        <v>2</v>
      </c>
      <c r="F883" s="21" t="n">
        <f aca="false">'Player Data'!G883</f>
        <v>18</v>
      </c>
      <c r="G883" s="21" t="n">
        <f aca="false">'Player Data'!H883</f>
        <v>1979</v>
      </c>
      <c r="H883" s="22" t="n">
        <f aca="false">IF(B883="GK",IFERROR(('Player Data'!N883-1.5*'Player Data'!O883)/'Player Data'!H883*90,0),IFERROR(('Player Data'!I883+'Player Data'!J883)/'Player Data'!H883*90,0))</f>
        <v>0.0227387569479535</v>
      </c>
      <c r="I883" s="22" t="n">
        <f aca="false">IF(B883="GK",'Player Data'!P883,IFERROR(('Player Data'!K883+'Player Data'!L883)/'Player Data'!H883*90,0))</f>
        <v>85.1</v>
      </c>
      <c r="J883" s="22" t="n">
        <f aca="false">IF(B883="GK",IFERROR('Player Data'!Q883/'Player Data'!H883*90,0),IFERROR('Player Data'!M883/'Player Data'!H883*90,0))</f>
        <v>1.16422435573522</v>
      </c>
      <c r="K883" s="23" t="n">
        <f aca="false">'Player Data'!S883</f>
        <v>0</v>
      </c>
      <c r="L883" s="22" t="n">
        <f aca="false">INDEX(Assumptions!$B$13:$B$15,MATCH(E883,Assumptions!$A$13:$A$15,0))</f>
        <v>1</v>
      </c>
      <c r="M883" s="24" t="n">
        <f aca="false">IFERROR(SUMPRODUCT(($B$2:$B$1001=B883)*($H$2:$H$1001&lt;=H883))/SUMPRODUCT(($B$2:$B$1001=B883)*1),0)</f>
        <v>0.19672131147541</v>
      </c>
      <c r="N883" s="24" t="n">
        <f aca="false">IFERROR(SUMPRODUCT(($B$2:$B$1001=B883)*($I$2:$I$1001&lt;=I883))/SUMPRODUCT(($B$2:$B$1001=B883)*1),0)</f>
        <v>0.85792349726776</v>
      </c>
      <c r="O883" s="24" t="n">
        <f aca="false">IFERROR(SUMPRODUCT(($B$2:$B$1001=B883)*($J$2:$J$1001&lt;=J883))/SUMPRODUCT(($B$2:$B$1001=B883)*1),0)</f>
        <v>0.715846994535519</v>
      </c>
      <c r="P883" s="24" t="n">
        <f aca="false">IFERROR(SUMPRODUCT(($B$2:$B$1001=B883)*((0-$F$2:$F$1001)&lt;=(0-F883)))/SUMPRODUCT(($B$2:$B$1001=B883)*1),0)</f>
        <v>0.907103825136612</v>
      </c>
      <c r="Q883" s="25" t="n">
        <f aca="false">(M883*Assumptions!$B$5+N883*Assumptions!$B$6+O883*Assumptions!$B$7+P883*Assumptions!$B$8)*L883</f>
        <v>0.674043715846995</v>
      </c>
      <c r="R883" s="24" t="n">
        <f aca="false">IFERROR(SUMPRODUCT(($B$2:$B$1001=B883)*($Q$2:$Q$1001&lt;=Q883))/SUMPRODUCT(($B$2:$B$1001=B883)*1),0)</f>
        <v>0.961748633879781</v>
      </c>
      <c r="S883" s="24" t="n">
        <f aca="false">IFERROR(SUMPRODUCT(($B$2:$B$1001=B883)*($K$2:$K$1001&lt;=K883))/SUMPRODUCT(($B$2:$B$1001=B883)*1),0)</f>
        <v>0.218579234972678</v>
      </c>
      <c r="T883" s="26" t="n">
        <f aca="false">(R883-S883)*100</f>
        <v>74.3169398907104</v>
      </c>
      <c r="U883" s="21" t="str">
        <f aca="false">'Player Data'!T883</f>
        <v>No</v>
      </c>
      <c r="V883" s="27" t="n">
        <f aca="false">'Player Data'!U883</f>
        <v>2026</v>
      </c>
      <c r="W883" s="21" t="str">
        <f aca="false">IF(AND(T883&gt;=Assumptions!$B$19,U883="No"),"High Priority - Unrepresented",IF(T883&gt;=Assumptions!$B$19,"High Priority",IF(AND(T883&gt;=Assumptions!$B$20,U883="No"),"Watchlist - Unrepresented",IF(T883&gt;=Assumptions!$B$20,"Watchlist",""))))</f>
        <v>High Priority - Unrepresented</v>
      </c>
      <c r="X883" s="21" t="str">
        <f aca="false">'Player Data'!V883</f>
        <v>info@bijelobrdocity.hr</v>
      </c>
      <c r="Y883" s="28" t="str">
        <f aca="false">'Player Data'!W883</f>
        <v>Club sporting director / first-team office</v>
      </c>
      <c r="Z883" s="28" t="str">
        <f aca="false">'Player Data'!X883</f>
        <v>HNS (Croatian Football Federation) player registry</v>
      </c>
      <c r="AA883" s="19" t="str">
        <f aca="false">HYPERLINK("https://www.transfermarkt.com/schnellsuche/ergebnis/schnellsuche?query="&amp;SUBSTITUTE(A883," ","+"),"Search Transfermarkt")</f>
        <v>Search Transfermarkt</v>
      </c>
      <c r="AB883" s="29" t="n">
        <f aca="false">IFERROR('Player Data'!K883/('Player Data'!K883+'Player Data'!L883),0)</f>
        <v>0.6</v>
      </c>
      <c r="AC883" s="21" t="str">
        <f aca="false">IF(B883="GK",IF(AND(O883&gt;=Assumptions!$B$23,N883&gt;=Assumptions!$B$23),"Sweeper-Keeper / Build-from-the-Back",IF(O883&gt;=Assumptions!$B$23,"Sweeper-Keeper / High Line",IF(M883&gt;=Assumptions!$B$23,"Shot-Stopper / Traditional","Flexible / Multi-System"))),IF(AND(O883&gt;=Assumptions!$B$23,P883&gt;=Assumptions!$B$24),"High Press / Gegenpressing",IF(AND(N883&gt;=Assumptions!$B$23,AB883&gt;=Assumptions!$B$25),"Possession / Build-from-the-Back",IF(N883&gt;=Assumptions!$B$23,"Counter-Attack / Transition",IF(AND(O883&gt;=Assumptions!$B$23,N883&lt;Assumptions!$B$26),"Low Block / Park the Bus",IF(AND(B883="FW",M883&gt;=Assumptions!$B$23,N883&lt;Assumptions!$B$26),"Direct / Target Approach","Flexible / Multi-System"))))))</f>
        <v>Sweeper-Keeper / Build-from-the-Back</v>
      </c>
      <c r="AD883" s="21" t="str">
        <f aca="false">'Player Data'!Y883</f>
        <v>2026-07-17</v>
      </c>
      <c r="AE883" s="21" t="str">
        <f aca="false">'Player Data'!Z883</f>
        <v>2026-07-17</v>
      </c>
      <c r="AF883" s="28" t="str">
        <f aca="false">IFERROR(INDEX(Assumptions!$B$30:$B$61,MATCH(C883,Assumptions!$A$30:$A$61,0)),"--")</f>
        <v>Austria, Turkey</v>
      </c>
      <c r="AG883" s="30" t="str">
        <f aca="false">IF(R883&gt;=0.7,"Step-Up Candidate",IF(R883&gt;=0.4,"Lateral Move","Stay &amp; Develop"))</f>
        <v>Step-Up Candidate</v>
      </c>
    </row>
    <row r="884" customFormat="false" ht="23.85" hidden="false" customHeight="false" outlineLevel="0" collapsed="false">
      <c r="A884" s="21" t="str">
        <f aca="false">'Player Data'!A884</f>
        <v>Samuel Njie</v>
      </c>
      <c r="B884" s="21" t="str">
        <f aca="false">'Player Data'!F884</f>
        <v>MF</v>
      </c>
      <c r="C884" s="21" t="str">
        <f aca="false">'Player Data'!B884</f>
        <v>Cameroon</v>
      </c>
      <c r="D884" s="21" t="str">
        <f aca="false">'Player Data'!C884</f>
        <v>Cameroon Amateur League</v>
      </c>
      <c r="E884" s="21" t="n">
        <f aca="false">'Player Data'!D884</f>
        <v>2</v>
      </c>
      <c r="F884" s="21" t="n">
        <f aca="false">'Player Data'!G884</f>
        <v>26</v>
      </c>
      <c r="G884" s="21" t="n">
        <f aca="false">'Player Data'!H884</f>
        <v>1861</v>
      </c>
      <c r="H884" s="22" t="n">
        <f aca="false">IF(B884="GK",IFERROR(('Player Data'!N884-1.5*'Player Data'!O884)/'Player Data'!H884*90,0),IFERROR(('Player Data'!I884+'Player Data'!J884)/'Player Data'!H884*90,0))</f>
        <v>0.580333154218162</v>
      </c>
      <c r="I884" s="22" t="n">
        <f aca="false">IF(B884="GK",'Player Data'!P884,IFERROR(('Player Data'!K884+'Player Data'!L884)/'Player Data'!H884*90,0))</f>
        <v>9.2853304674906</v>
      </c>
      <c r="J884" s="22" t="n">
        <f aca="false">IF(B884="GK",IFERROR('Player Data'!Q884/'Player Data'!H884*90,0),IFERROR('Player Data'!M884/'Player Data'!H884*90,0))</f>
        <v>2.17624932831811</v>
      </c>
      <c r="K884" s="23" t="n">
        <f aca="false">'Player Data'!S884</f>
        <v>46648</v>
      </c>
      <c r="L884" s="22" t="n">
        <f aca="false">INDEX(Assumptions!$B$13:$B$15,MATCH(E884,Assumptions!$A$13:$A$15,0))</f>
        <v>1</v>
      </c>
      <c r="M884" s="24" t="n">
        <f aca="false">IFERROR(SUMPRODUCT(($B$2:$B$1001=B884)*($H$2:$H$1001&lt;=H884))/SUMPRODUCT(($B$2:$B$1001=B884)*1),0)</f>
        <v>0.2996632996633</v>
      </c>
      <c r="N884" s="24" t="n">
        <f aca="false">IFERROR(SUMPRODUCT(($B$2:$B$1001=B884)*($I$2:$I$1001&lt;=I884))/SUMPRODUCT(($B$2:$B$1001=B884)*1),0)</f>
        <v>0.34006734006734</v>
      </c>
      <c r="O884" s="24" t="n">
        <f aca="false">IFERROR(SUMPRODUCT(($B$2:$B$1001=B884)*($J$2:$J$1001&lt;=J884))/SUMPRODUCT(($B$2:$B$1001=B884)*1),0)</f>
        <v>0.488215488215488</v>
      </c>
      <c r="P884" s="24" t="n">
        <f aca="false">IFERROR(SUMPRODUCT(($B$2:$B$1001=B884)*((0-$F$2:$F$1001)&lt;=(0-F884)))/SUMPRODUCT(($B$2:$B$1001=B884)*1),0)</f>
        <v>0.0909090909090909</v>
      </c>
      <c r="Q884" s="25" t="n">
        <f aca="false">(M884*Assumptions!$B$5+N884*Assumptions!$B$6+O884*Assumptions!$B$7+P884*Assumptions!$B$8)*L884</f>
        <v>0.30976430976431</v>
      </c>
      <c r="R884" s="24" t="n">
        <f aca="false">IFERROR(SUMPRODUCT(($B$2:$B$1001=B884)*($Q$2:$Q$1001&lt;=Q884))/SUMPRODUCT(($B$2:$B$1001=B884)*1),0)</f>
        <v>0.255892255892256</v>
      </c>
      <c r="S884" s="24" t="n">
        <f aca="false">IFERROR(SUMPRODUCT(($B$2:$B$1001=B884)*($K$2:$K$1001&lt;=K884))/SUMPRODUCT(($B$2:$B$1001=B884)*1),0)</f>
        <v>0.417508417508418</v>
      </c>
      <c r="T884" s="26" t="n">
        <f aca="false">(R884-S884)*100</f>
        <v>-16.1616161616162</v>
      </c>
      <c r="U884" s="21" t="str">
        <f aca="false">'Player Data'!T884</f>
        <v>Yes</v>
      </c>
      <c r="V884" s="27" t="n">
        <f aca="false">'Player Data'!U884</f>
        <v>2026</v>
      </c>
      <c r="W884" s="21" t="str">
        <f aca="false">IF(AND(T884&gt;=Assumptions!$B$19,U884="No"),"High Priority - Unrepresented",IF(T884&gt;=Assumptions!$B$19,"High Priority",IF(AND(T884&gt;=Assumptions!$B$20,U884="No"),"Watchlist - Unrepresented",IF(T884&gt;=Assumptions!$B$20,"Watchlist",""))))</f>
        <v/>
      </c>
      <c r="X884" s="21" t="str">
        <f aca="false">'Player Data'!V884</f>
        <v>info@doualarovers.cm</v>
      </c>
      <c r="Y884" s="28" t="str">
        <f aca="false">'Player Data'!W884</f>
        <v>Go through the player's agent - ask the club to confirm representation first</v>
      </c>
      <c r="Z884" s="28" t="str">
        <f aca="false">'Player Data'!X884</f>
        <v>FECAFOOT (Cameroonian Football Federation) player registry</v>
      </c>
      <c r="AA884" s="19" t="str">
        <f aca="false">HYPERLINK("https://www.transfermarkt.com/schnellsuche/ergebnis/schnellsuche?query="&amp;SUBSTITUTE(A884," ","+"),"Search Transfermarkt")</f>
        <v>Search Transfermarkt</v>
      </c>
      <c r="AB884" s="29" t="n">
        <f aca="false">IFERROR('Player Data'!K884/('Player Data'!K884+'Player Data'!L884),0)</f>
        <v>0.614583333333333</v>
      </c>
      <c r="AC884" s="21" t="str">
        <f aca="false">IF(B884="GK",IF(AND(O884&gt;=Assumptions!$B$23,N884&gt;=Assumptions!$B$23),"Sweeper-Keeper / Build-from-the-Back",IF(O884&gt;=Assumptions!$B$23,"Sweeper-Keeper / High Line",IF(M884&gt;=Assumptions!$B$23,"Shot-Stopper / Traditional","Flexible / Multi-System"))),IF(AND(O884&gt;=Assumptions!$B$23,P884&gt;=Assumptions!$B$24),"High Press / Gegenpressing",IF(AND(N884&gt;=Assumptions!$B$23,AB884&gt;=Assumptions!$B$25),"Possession / Build-from-the-Back",IF(N884&gt;=Assumptions!$B$23,"Counter-Attack / Transition",IF(AND(O884&gt;=Assumptions!$B$23,N884&lt;Assumptions!$B$26),"Low Block / Park the Bus",IF(AND(B884="FW",M884&gt;=Assumptions!$B$23,N884&lt;Assumptions!$B$26),"Direct / Target Approach","Flexible / Multi-System"))))))</f>
        <v>Flexible / Multi-System</v>
      </c>
      <c r="AD884" s="21" t="str">
        <f aca="false">'Player Data'!Y884</f>
        <v>2026-07-17</v>
      </c>
      <c r="AE884" s="21" t="str">
        <f aca="false">'Player Data'!Z884</f>
        <v>2026-07-17</v>
      </c>
      <c r="AF884" s="28" t="str">
        <f aca="false">IFERROR(INDEX(Assumptions!$B$30:$B$61,MATCH(C884,Assumptions!$A$30:$A$61,0)),"--")</f>
        <v>Belgium, Portugal</v>
      </c>
      <c r="AG884" s="30" t="str">
        <f aca="false">IF(R884&gt;=0.7,"Step-Up Candidate",IF(R884&gt;=0.4,"Lateral Move","Stay &amp; Develop"))</f>
        <v>Stay &amp; Develop</v>
      </c>
    </row>
    <row r="885" customFormat="false" ht="23.85" hidden="false" customHeight="false" outlineLevel="0" collapsed="false">
      <c r="A885" s="21" t="str">
        <f aca="false">'Player Data'!A885</f>
        <v>Ibrahima Gueye</v>
      </c>
      <c r="B885" s="21" t="str">
        <f aca="false">'Player Data'!F885</f>
        <v>DF</v>
      </c>
      <c r="C885" s="21" t="str">
        <f aca="false">'Player Data'!B885</f>
        <v>Senegal</v>
      </c>
      <c r="D885" s="21" t="str">
        <f aca="false">'Player Data'!C885</f>
        <v>Senegal Regional League</v>
      </c>
      <c r="E885" s="21" t="n">
        <f aca="false">'Player Data'!D885</f>
        <v>2</v>
      </c>
      <c r="F885" s="21" t="n">
        <f aca="false">'Player Data'!G885</f>
        <v>24</v>
      </c>
      <c r="G885" s="21" t="n">
        <f aca="false">'Player Data'!H885</f>
        <v>2666</v>
      </c>
      <c r="H885" s="22" t="n">
        <f aca="false">IF(B885="GK",IFERROR(('Player Data'!N885-1.5*'Player Data'!O885)/'Player Data'!H885*90,0),IFERROR(('Player Data'!I885+'Player Data'!J885)/'Player Data'!H885*90,0))</f>
        <v>0</v>
      </c>
      <c r="I885" s="22" t="n">
        <f aca="false">IF(B885="GK",'Player Data'!P885,IFERROR(('Player Data'!K885+'Player Data'!L885)/'Player Data'!H885*90,0))</f>
        <v>2.56564141035259</v>
      </c>
      <c r="J885" s="22" t="n">
        <f aca="false">IF(B885="GK",IFERROR('Player Data'!Q885/'Player Data'!H885*90,0),IFERROR('Player Data'!M885/'Player Data'!H885*90,0))</f>
        <v>3.74718679669918</v>
      </c>
      <c r="K885" s="23" t="n">
        <f aca="false">'Player Data'!S885</f>
        <v>25795</v>
      </c>
      <c r="L885" s="22" t="n">
        <f aca="false">INDEX(Assumptions!$B$13:$B$15,MATCH(E885,Assumptions!$A$13:$A$15,0))</f>
        <v>1</v>
      </c>
      <c r="M885" s="24" t="n">
        <f aca="false">IFERROR(SUMPRODUCT(($B$2:$B$1001=B885)*($H$2:$H$1001&lt;=H885))/SUMPRODUCT(($B$2:$B$1001=B885)*1),0)</f>
        <v>0.0408163265306122</v>
      </c>
      <c r="N885" s="24" t="n">
        <f aca="false">IFERROR(SUMPRODUCT(($B$2:$B$1001=B885)*($I$2:$I$1001&lt;=I885))/SUMPRODUCT(($B$2:$B$1001=B885)*1),0)</f>
        <v>0.0238095238095238</v>
      </c>
      <c r="O885" s="24" t="n">
        <f aca="false">IFERROR(SUMPRODUCT(($B$2:$B$1001=B885)*($J$2:$J$1001&lt;=J885))/SUMPRODUCT(($B$2:$B$1001=B885)*1),0)</f>
        <v>0.17687074829932</v>
      </c>
      <c r="P885" s="24" t="n">
        <f aca="false">IFERROR(SUMPRODUCT(($B$2:$B$1001=B885)*((0-$F$2:$F$1001)&lt;=(0-F885)))/SUMPRODUCT(($B$2:$B$1001=B885)*1),0)</f>
        <v>0.275510204081633</v>
      </c>
      <c r="Q885" s="25" t="n">
        <f aca="false">(M885*Assumptions!$B$5+N885*Assumptions!$B$6+O885*Assumptions!$B$7+P885*Assumptions!$B$8)*L885</f>
        <v>0.109013605442177</v>
      </c>
      <c r="R885" s="24" t="n">
        <f aca="false">IFERROR(SUMPRODUCT(($B$2:$B$1001=B885)*($Q$2:$Q$1001&lt;=Q885))/SUMPRODUCT(($B$2:$B$1001=B885)*1),0)</f>
        <v>0.0170068027210884</v>
      </c>
      <c r="S885" s="24" t="n">
        <f aca="false">IFERROR(SUMPRODUCT(($B$2:$B$1001=B885)*($K$2:$K$1001&lt;=K885))/SUMPRODUCT(($B$2:$B$1001=B885)*1),0)</f>
        <v>0.343537414965986</v>
      </c>
      <c r="T885" s="26" t="n">
        <f aca="false">(R885-S885)*100</f>
        <v>-32.6530612244898</v>
      </c>
      <c r="U885" s="21" t="str">
        <f aca="false">'Player Data'!T885</f>
        <v>Yes</v>
      </c>
      <c r="V885" s="27" t="n">
        <f aca="false">'Player Data'!U885</f>
        <v>2026</v>
      </c>
      <c r="W885" s="21" t="str">
        <f aca="false">IF(AND(T885&gt;=Assumptions!$B$19,U885="No"),"High Priority - Unrepresented",IF(T885&gt;=Assumptions!$B$19,"High Priority",IF(AND(T885&gt;=Assumptions!$B$20,U885="No"),"Watchlist - Unrepresented",IF(T885&gt;=Assumptions!$B$20,"Watchlist",""))))</f>
        <v/>
      </c>
      <c r="X885" s="21" t="str">
        <f aca="false">'Player Data'!V885</f>
        <v>info@saintlouisrovers.sn</v>
      </c>
      <c r="Y885" s="28" t="str">
        <f aca="false">'Player Data'!W885</f>
        <v>Go through the player's agent - ask the club to confirm representation first</v>
      </c>
      <c r="Z885" s="28" t="str">
        <f aca="false">'Player Data'!X885</f>
        <v>FSF (Senegalese Football Federation) player registry</v>
      </c>
      <c r="AA885" s="19" t="str">
        <f aca="false">HYPERLINK("https://www.transfermarkt.com/schnellsuche/ergebnis/schnellsuche?query="&amp;SUBSTITUTE(A885," ","+"),"Search Transfermarkt")</f>
        <v>Search Transfermarkt</v>
      </c>
      <c r="AB885" s="29" t="n">
        <f aca="false">IFERROR('Player Data'!K885/('Player Data'!K885+'Player Data'!L885),0)</f>
        <v>0.710526315789474</v>
      </c>
      <c r="AC885" s="21" t="str">
        <f aca="false">IF(B885="GK",IF(AND(O885&gt;=Assumptions!$B$23,N885&gt;=Assumptions!$B$23),"Sweeper-Keeper / Build-from-the-Back",IF(O885&gt;=Assumptions!$B$23,"Sweeper-Keeper / High Line",IF(M885&gt;=Assumptions!$B$23,"Shot-Stopper / Traditional","Flexible / Multi-System"))),IF(AND(O885&gt;=Assumptions!$B$23,P885&gt;=Assumptions!$B$24),"High Press / Gegenpressing",IF(AND(N885&gt;=Assumptions!$B$23,AB885&gt;=Assumptions!$B$25),"Possession / Build-from-the-Back",IF(N885&gt;=Assumptions!$B$23,"Counter-Attack / Transition",IF(AND(O885&gt;=Assumptions!$B$23,N885&lt;Assumptions!$B$26),"Low Block / Park the Bus",IF(AND(B885="FW",M885&gt;=Assumptions!$B$23,N885&lt;Assumptions!$B$26),"Direct / Target Approach","Flexible / Multi-System"))))))</f>
        <v>Flexible / Multi-System</v>
      </c>
      <c r="AD885" s="21" t="str">
        <f aca="false">'Player Data'!Y885</f>
        <v>2026-07-17</v>
      </c>
      <c r="AE885" s="21" t="str">
        <f aca="false">'Player Data'!Z885</f>
        <v>2026-07-17</v>
      </c>
      <c r="AF885" s="28" t="str">
        <f aca="false">IFERROR(INDEX(Assumptions!$B$30:$B$61,MATCH(C885,Assumptions!$A$30:$A$61,0)),"--")</f>
        <v>Belgium, Portugal</v>
      </c>
      <c r="AG885" s="30" t="str">
        <f aca="false">IF(R885&gt;=0.7,"Step-Up Candidate",IF(R885&gt;=0.4,"Lateral Move","Stay &amp; Develop"))</f>
        <v>Stay &amp; Develop</v>
      </c>
    </row>
    <row r="886" customFormat="false" ht="23.85" hidden="false" customHeight="false" outlineLevel="0" collapsed="false">
      <c r="A886" s="21" t="str">
        <f aca="false">'Player Data'!A886</f>
        <v>Andre Lowe</v>
      </c>
      <c r="B886" s="21" t="str">
        <f aca="false">'Player Data'!F886</f>
        <v>DF</v>
      </c>
      <c r="C886" s="21" t="str">
        <f aca="false">'Player Data'!B886</f>
        <v>Jamaica</v>
      </c>
      <c r="D886" s="21" t="str">
        <f aca="false">'Player Data'!C886</f>
        <v>Jamaica Third Tier - North</v>
      </c>
      <c r="E886" s="21" t="n">
        <f aca="false">'Player Data'!D886</f>
        <v>2</v>
      </c>
      <c r="F886" s="21" t="n">
        <f aca="false">'Player Data'!G886</f>
        <v>18</v>
      </c>
      <c r="G886" s="21" t="n">
        <f aca="false">'Player Data'!H886</f>
        <v>1495</v>
      </c>
      <c r="H886" s="22" t="n">
        <f aca="false">IF(B886="GK",IFERROR(('Player Data'!N886-1.5*'Player Data'!O886)/'Player Data'!H886*90,0),IFERROR(('Player Data'!I886+'Player Data'!J886)/'Player Data'!H886*90,0))</f>
        <v>0.180602006688963</v>
      </c>
      <c r="I886" s="22" t="n">
        <f aca="false">IF(B886="GK",'Player Data'!P886,IFERROR(('Player Data'!K886+'Player Data'!L886)/'Player Data'!H886*90,0))</f>
        <v>5.53846153846154</v>
      </c>
      <c r="J886" s="22" t="n">
        <f aca="false">IF(B886="GK",IFERROR('Player Data'!Q886/'Player Data'!H886*90,0),IFERROR('Player Data'!M886/'Player Data'!H886*90,0))</f>
        <v>4.5752508361204</v>
      </c>
      <c r="K886" s="23" t="n">
        <f aca="false">'Player Data'!S886</f>
        <v>96593</v>
      </c>
      <c r="L886" s="22" t="n">
        <f aca="false">INDEX(Assumptions!$B$13:$B$15,MATCH(E886,Assumptions!$A$13:$A$15,0))</f>
        <v>1</v>
      </c>
      <c r="M886" s="24" t="n">
        <f aca="false">IFERROR(SUMPRODUCT(($B$2:$B$1001=B886)*($H$2:$H$1001&lt;=H886))/SUMPRODUCT(($B$2:$B$1001=B886)*1),0)</f>
        <v>0.482993197278912</v>
      </c>
      <c r="N886" s="24" t="n">
        <f aca="false">IFERROR(SUMPRODUCT(($B$2:$B$1001=B886)*($I$2:$I$1001&lt;=I886))/SUMPRODUCT(($B$2:$B$1001=B886)*1),0)</f>
        <v>0.680272108843537</v>
      </c>
      <c r="O886" s="24" t="n">
        <f aca="false">IFERROR(SUMPRODUCT(($B$2:$B$1001=B886)*($J$2:$J$1001&lt;=J886))/SUMPRODUCT(($B$2:$B$1001=B886)*1),0)</f>
        <v>0.374149659863946</v>
      </c>
      <c r="P886" s="24" t="n">
        <f aca="false">IFERROR(SUMPRODUCT(($B$2:$B$1001=B886)*((0-$F$2:$F$1001)&lt;=(0-F886)))/SUMPRODUCT(($B$2:$B$1001=B886)*1),0)</f>
        <v>0.863945578231293</v>
      </c>
      <c r="Q886" s="25" t="n">
        <f aca="false">(M886*Assumptions!$B$5+N886*Assumptions!$B$6+O886*Assumptions!$B$7+P886*Assumptions!$B$8)*L886</f>
        <v>0.606462585034014</v>
      </c>
      <c r="R886" s="24" t="n">
        <f aca="false">IFERROR(SUMPRODUCT(($B$2:$B$1001=B886)*($Q$2:$Q$1001&lt;=Q886))/SUMPRODUCT(($B$2:$B$1001=B886)*1),0)</f>
        <v>0.782312925170068</v>
      </c>
      <c r="S886" s="24" t="n">
        <f aca="false">IFERROR(SUMPRODUCT(($B$2:$B$1001=B886)*($K$2:$K$1001&lt;=K886))/SUMPRODUCT(($B$2:$B$1001=B886)*1),0)</f>
        <v>0.714285714285714</v>
      </c>
      <c r="T886" s="26" t="n">
        <f aca="false">(R886-S886)*100</f>
        <v>6.80272108843537</v>
      </c>
      <c r="U886" s="21" t="str">
        <f aca="false">'Player Data'!T886</f>
        <v>Unknown</v>
      </c>
      <c r="V886" s="27" t="n">
        <f aca="false">'Player Data'!U886</f>
        <v>2027</v>
      </c>
      <c r="W886" s="21" t="str">
        <f aca="false">IF(AND(T886&gt;=Assumptions!$B$19,U886="No"),"High Priority - Unrepresented",IF(T886&gt;=Assumptions!$B$19,"High Priority",IF(AND(T886&gt;=Assumptions!$B$20,U886="No"),"Watchlist - Unrepresented",IF(T886&gt;=Assumptions!$B$20,"Watchlist",""))))</f>
        <v/>
      </c>
      <c r="X886" s="21" t="str">
        <f aca="false">'Player Data'!V886</f>
        <v>info@spanishtownathletic.jm</v>
      </c>
      <c r="Y886" s="28" t="str">
        <f aca="false">'Player Data'!W886</f>
        <v>Club sporting director / first-team office</v>
      </c>
      <c r="Z886" s="28" t="str">
        <f aca="false">'Player Data'!X886</f>
        <v>JFF (Jamaica Football Federation) player registry</v>
      </c>
      <c r="AA886" s="19" t="str">
        <f aca="false">HYPERLINK("https://www.transfermarkt.com/schnellsuche/ergebnis/schnellsuche?query="&amp;SUBSTITUTE(A886," ","+"),"Search Transfermarkt")</f>
        <v>Search Transfermarkt</v>
      </c>
      <c r="AB886" s="29" t="n">
        <f aca="false">IFERROR('Player Data'!K886/('Player Data'!K886+'Player Data'!L886),0)</f>
        <v>0.576086956521739</v>
      </c>
      <c r="AC886" s="21" t="str">
        <f aca="false">IF(B886="GK",IF(AND(O886&gt;=Assumptions!$B$23,N886&gt;=Assumptions!$B$23),"Sweeper-Keeper / Build-from-the-Back",IF(O886&gt;=Assumptions!$B$23,"Sweeper-Keeper / High Line",IF(M886&gt;=Assumptions!$B$23,"Shot-Stopper / Traditional","Flexible / Multi-System"))),IF(AND(O886&gt;=Assumptions!$B$23,P886&gt;=Assumptions!$B$24),"High Press / Gegenpressing",IF(AND(N886&gt;=Assumptions!$B$23,AB886&gt;=Assumptions!$B$25),"Possession / Build-from-the-Back",IF(N886&gt;=Assumptions!$B$23,"Counter-Attack / Transition",IF(AND(O886&gt;=Assumptions!$B$23,N886&lt;Assumptions!$B$26),"Low Block / Park the Bus",IF(AND(B886="FW",M886&gt;=Assumptions!$B$23,N886&lt;Assumptions!$B$26),"Direct / Target Approach","Flexible / Multi-System"))))))</f>
        <v>Counter-Attack / Transition</v>
      </c>
      <c r="AD886" s="21" t="str">
        <f aca="false">'Player Data'!Y886</f>
        <v>2026-07-17</v>
      </c>
      <c r="AE886" s="21" t="str">
        <f aca="false">'Player Data'!Z886</f>
        <v>2026-07-17</v>
      </c>
      <c r="AF886" s="28" t="str">
        <f aca="false">IFERROR(INDEX(Assumptions!$B$30:$B$61,MATCH(C886,Assumptions!$A$30:$A$61,0)),"--")</f>
        <v>United States, Mexico</v>
      </c>
      <c r="AG886" s="30" t="str">
        <f aca="false">IF(R886&gt;=0.7,"Step-Up Candidate",IF(R886&gt;=0.4,"Lateral Move","Stay &amp; Develop"))</f>
        <v>Step-Up Candidate</v>
      </c>
    </row>
    <row r="887" customFormat="false" ht="23.85" hidden="false" customHeight="false" outlineLevel="0" collapsed="false">
      <c r="A887" s="21" t="str">
        <f aca="false">'Player Data'!A887</f>
        <v>Bryan Figueroa</v>
      </c>
      <c r="B887" s="21" t="str">
        <f aca="false">'Player Data'!F887</f>
        <v>MF</v>
      </c>
      <c r="C887" s="21" t="str">
        <f aca="false">'Player Data'!B887</f>
        <v>Honduras</v>
      </c>
      <c r="D887" s="21" t="str">
        <f aca="false">'Player Data'!C887</f>
        <v>Honduras Third Tier - North</v>
      </c>
      <c r="E887" s="21" t="n">
        <f aca="false">'Player Data'!D887</f>
        <v>3</v>
      </c>
      <c r="F887" s="21" t="n">
        <f aca="false">'Player Data'!G887</f>
        <v>25</v>
      </c>
      <c r="G887" s="21" t="n">
        <f aca="false">'Player Data'!H887</f>
        <v>1315</v>
      </c>
      <c r="H887" s="22" t="n">
        <f aca="false">IF(B887="GK",IFERROR(('Player Data'!N887-1.5*'Player Data'!O887)/'Player Data'!H887*90,0),IFERROR(('Player Data'!I887+'Player Data'!J887)/'Player Data'!H887*90,0))</f>
        <v>0.889733840304183</v>
      </c>
      <c r="I887" s="22" t="n">
        <f aca="false">IF(B887="GK",'Player Data'!P887,IFERROR(('Player Data'!K887+'Player Data'!L887)/'Player Data'!H887*90,0))</f>
        <v>15.3992395437262</v>
      </c>
      <c r="J887" s="22" t="n">
        <f aca="false">IF(B887="GK",IFERROR('Player Data'!Q887/'Player Data'!H887*90,0),IFERROR('Player Data'!M887/'Player Data'!H887*90,0))</f>
        <v>2.39543726235741</v>
      </c>
      <c r="K887" s="23" t="n">
        <f aca="false">'Player Data'!S887</f>
        <v>126772</v>
      </c>
      <c r="L887" s="22" t="n">
        <f aca="false">INDEX(Assumptions!$B$13:$B$15,MATCH(E887,Assumptions!$A$13:$A$15,0))</f>
        <v>0.85</v>
      </c>
      <c r="M887" s="24" t="n">
        <f aca="false">IFERROR(SUMPRODUCT(($B$2:$B$1001=B887)*($H$2:$H$1001&lt;=H887))/SUMPRODUCT(($B$2:$B$1001=B887)*1),0)</f>
        <v>0.673400673400673</v>
      </c>
      <c r="N887" s="24" t="n">
        <f aca="false">IFERROR(SUMPRODUCT(($B$2:$B$1001=B887)*($I$2:$I$1001&lt;=I887))/SUMPRODUCT(($B$2:$B$1001=B887)*1),0)</f>
        <v>0.764309764309764</v>
      </c>
      <c r="O887" s="24" t="n">
        <f aca="false">IFERROR(SUMPRODUCT(($B$2:$B$1001=B887)*($J$2:$J$1001&lt;=J887))/SUMPRODUCT(($B$2:$B$1001=B887)*1),0)</f>
        <v>0.602693602693603</v>
      </c>
      <c r="P887" s="24" t="n">
        <f aca="false">IFERROR(SUMPRODUCT(($B$2:$B$1001=B887)*((0-$F$2:$F$1001)&lt;=(0-F887)))/SUMPRODUCT(($B$2:$B$1001=B887)*1),0)</f>
        <v>0.202020202020202</v>
      </c>
      <c r="Q887" s="25" t="n">
        <f aca="false">(M887*Assumptions!$B$5+N887*Assumptions!$B$6+O887*Assumptions!$B$7+P887*Assumptions!$B$8)*L887</f>
        <v>0.507281144781145</v>
      </c>
      <c r="R887" s="24" t="n">
        <f aca="false">IFERROR(SUMPRODUCT(($B$2:$B$1001=B887)*($Q$2:$Q$1001&lt;=Q887))/SUMPRODUCT(($B$2:$B$1001=B887)*1),0)</f>
        <v>0.61952861952862</v>
      </c>
      <c r="S887" s="24" t="n">
        <f aca="false">IFERROR(SUMPRODUCT(($B$2:$B$1001=B887)*($K$2:$K$1001&lt;=K887))/SUMPRODUCT(($B$2:$B$1001=B887)*1),0)</f>
        <v>0.892255892255892</v>
      </c>
      <c r="T887" s="26" t="n">
        <f aca="false">(R887-S887)*100</f>
        <v>-27.2727272727273</v>
      </c>
      <c r="U887" s="21" t="str">
        <f aca="false">'Player Data'!T887</f>
        <v>No</v>
      </c>
      <c r="V887" s="27" t="n">
        <f aca="false">'Player Data'!U887</f>
        <v>2027</v>
      </c>
      <c r="W887" s="21" t="str">
        <f aca="false">IF(AND(T887&gt;=Assumptions!$B$19,U887="No"),"High Priority - Unrepresented",IF(T887&gt;=Assumptions!$B$19,"High Priority",IF(AND(T887&gt;=Assumptions!$B$20,U887="No"),"Watchlist - Unrepresented",IF(T887&gt;=Assumptions!$B$20,"Watchlist",""))))</f>
        <v/>
      </c>
      <c r="X887" s="21" t="str">
        <f aca="false">'Player Data'!V887</f>
        <v>info@tegucigalpafc.hn</v>
      </c>
      <c r="Y887" s="28" t="str">
        <f aca="false">'Player Data'!W887</f>
        <v>Club sporting director / first-team office</v>
      </c>
      <c r="Z887" s="28" t="str">
        <f aca="false">'Player Data'!X887</f>
        <v>FENAFUTH (Honduran Football Federation) player registry</v>
      </c>
      <c r="AA887" s="19" t="str">
        <f aca="false">HYPERLINK("https://www.transfermarkt.com/schnellsuche/ergebnis/schnellsuche?query="&amp;SUBSTITUTE(A887," ","+"),"Search Transfermarkt")</f>
        <v>Search Transfermarkt</v>
      </c>
      <c r="AB887" s="29" t="n">
        <f aca="false">IFERROR('Player Data'!K887/('Player Data'!K887+'Player Data'!L887),0)</f>
        <v>0.64</v>
      </c>
      <c r="AC887" s="21" t="str">
        <f aca="false">IF(B887="GK",IF(AND(O887&gt;=Assumptions!$B$23,N887&gt;=Assumptions!$B$23),"Sweeper-Keeper / Build-from-the-Back",IF(O887&gt;=Assumptions!$B$23,"Sweeper-Keeper / High Line",IF(M887&gt;=Assumptions!$B$23,"Shot-Stopper / Traditional","Flexible / Multi-System"))),IF(AND(O887&gt;=Assumptions!$B$23,P887&gt;=Assumptions!$B$24),"High Press / Gegenpressing",IF(AND(N887&gt;=Assumptions!$B$23,AB887&gt;=Assumptions!$B$25),"Possession / Build-from-the-Back",IF(N887&gt;=Assumptions!$B$23,"Counter-Attack / Transition",IF(AND(O887&gt;=Assumptions!$B$23,N887&lt;Assumptions!$B$26),"Low Block / Park the Bus",IF(AND(B887="FW",M887&gt;=Assumptions!$B$23,N887&lt;Assumptions!$B$26),"Direct / Target Approach","Flexible / Multi-System"))))))</f>
        <v>Possession / Build-from-the-Back</v>
      </c>
      <c r="AD887" s="21" t="str">
        <f aca="false">'Player Data'!Y887</f>
        <v>2026-07-17</v>
      </c>
      <c r="AE887" s="21" t="str">
        <f aca="false">'Player Data'!Z887</f>
        <v>2026-07-17</v>
      </c>
      <c r="AF887" s="28" t="str">
        <f aca="false">IFERROR(INDEX(Assumptions!$B$30:$B$61,MATCH(C887,Assumptions!$A$30:$A$61,0)),"--")</f>
        <v>Mexico, United States</v>
      </c>
      <c r="AG887" s="30" t="str">
        <f aca="false">IF(R887&gt;=0.7,"Step-Up Candidate",IF(R887&gt;=0.4,"Lateral Move","Stay &amp; Develop"))</f>
        <v>Lateral Move</v>
      </c>
    </row>
    <row r="888" customFormat="false" ht="23.85" hidden="false" customHeight="false" outlineLevel="0" collapsed="false">
      <c r="A888" s="21" t="str">
        <f aca="false">'Player Data'!A888</f>
        <v>Nam Pham</v>
      </c>
      <c r="B888" s="21" t="str">
        <f aca="false">'Player Data'!F888</f>
        <v>FW</v>
      </c>
      <c r="C888" s="21" t="str">
        <f aca="false">'Player Data'!B888</f>
        <v>Vietnam</v>
      </c>
      <c r="D888" s="21" t="str">
        <f aca="false">'Player Data'!C888</f>
        <v>Vietnam Reserve League</v>
      </c>
      <c r="E888" s="21" t="n">
        <f aca="false">'Player Data'!D888</f>
        <v>2</v>
      </c>
      <c r="F888" s="21" t="n">
        <f aca="false">'Player Data'!G888</f>
        <v>22</v>
      </c>
      <c r="G888" s="21" t="n">
        <f aca="false">'Player Data'!H888</f>
        <v>1425</v>
      </c>
      <c r="H888" s="22" t="n">
        <f aca="false">IF(B888="GK",IFERROR(('Player Data'!N888-1.5*'Player Data'!O888)/'Player Data'!H888*90,0),IFERROR(('Player Data'!I888+'Player Data'!J888)/'Player Data'!H888*90,0))</f>
        <v>1.26315789473684</v>
      </c>
      <c r="I888" s="22" t="n">
        <f aca="false">IF(B888="GK",'Player Data'!P888,IFERROR(('Player Data'!K888+'Player Data'!L888)/'Player Data'!H888*90,0))</f>
        <v>8.08421052631579</v>
      </c>
      <c r="J888" s="22" t="n">
        <f aca="false">IF(B888="GK",IFERROR('Player Data'!Q888/'Player Data'!H888*90,0),IFERROR('Player Data'!M888/'Player Data'!H888*90,0))</f>
        <v>0.505263157894737</v>
      </c>
      <c r="K888" s="23" t="n">
        <f aca="false">'Player Data'!S888</f>
        <v>0</v>
      </c>
      <c r="L888" s="22" t="n">
        <f aca="false">INDEX(Assumptions!$B$13:$B$15,MATCH(E888,Assumptions!$A$13:$A$15,0))</f>
        <v>1</v>
      </c>
      <c r="M888" s="24" t="n">
        <f aca="false">IFERROR(SUMPRODUCT(($B$2:$B$1001=B888)*($H$2:$H$1001&lt;=H888))/SUMPRODUCT(($B$2:$B$1001=B888)*1),0)</f>
        <v>0.725663716814159</v>
      </c>
      <c r="N888" s="24" t="n">
        <f aca="false">IFERROR(SUMPRODUCT(($B$2:$B$1001=B888)*($I$2:$I$1001&lt;=I888))/SUMPRODUCT(($B$2:$B$1001=B888)*1),0)</f>
        <v>0.668141592920354</v>
      </c>
      <c r="O888" s="24" t="n">
        <f aca="false">IFERROR(SUMPRODUCT(($B$2:$B$1001=B888)*($J$2:$J$1001&lt;=J888))/SUMPRODUCT(($B$2:$B$1001=B888)*1),0)</f>
        <v>0.508849557522124</v>
      </c>
      <c r="P888" s="24" t="n">
        <f aca="false">IFERROR(SUMPRODUCT(($B$2:$B$1001=B888)*((0-$F$2:$F$1001)&lt;=(0-F888)))/SUMPRODUCT(($B$2:$B$1001=B888)*1),0)</f>
        <v>0.504424778761062</v>
      </c>
      <c r="Q888" s="25" t="n">
        <f aca="false">(M888*Assumptions!$B$5+N888*Assumptions!$B$6+O888*Assumptions!$B$7+P888*Assumptions!$B$8)*L888</f>
        <v>0.617920353982301</v>
      </c>
      <c r="R888" s="24" t="n">
        <f aca="false">IFERROR(SUMPRODUCT(($B$2:$B$1001=B888)*($Q$2:$Q$1001&lt;=Q888))/SUMPRODUCT(($B$2:$B$1001=B888)*1),0)</f>
        <v>0.783185840707965</v>
      </c>
      <c r="S888" s="24" t="n">
        <f aca="false">IFERROR(SUMPRODUCT(($B$2:$B$1001=B888)*($K$2:$K$1001&lt;=K888))/SUMPRODUCT(($B$2:$B$1001=B888)*1),0)</f>
        <v>0.261061946902655</v>
      </c>
      <c r="T888" s="26" t="n">
        <f aca="false">(R888-S888)*100</f>
        <v>52.212389380531</v>
      </c>
      <c r="U888" s="21" t="str">
        <f aca="false">'Player Data'!T888</f>
        <v>Unknown</v>
      </c>
      <c r="V888" s="27" t="n">
        <f aca="false">'Player Data'!U888</f>
        <v>2029</v>
      </c>
      <c r="W888" s="21" t="str">
        <f aca="false">IF(AND(T888&gt;=Assumptions!$B$19,U888="No"),"High Priority - Unrepresented",IF(T888&gt;=Assumptions!$B$19,"High Priority",IF(AND(T888&gt;=Assumptions!$B$20,U888="No"),"Watchlist - Unrepresented",IF(T888&gt;=Assumptions!$B$20,"Watchlist",""))))</f>
        <v>High Priority</v>
      </c>
      <c r="X888" s="21" t="str">
        <f aca="false">'Player Data'!V888</f>
        <v>info@danangcity.vn</v>
      </c>
      <c r="Y888" s="28" t="str">
        <f aca="false">'Player Data'!W888</f>
        <v>Club sporting director / first-team office</v>
      </c>
      <c r="Z888" s="28" t="str">
        <f aca="false">'Player Data'!X888</f>
        <v>VFF (Vietnam Football Federation) player registry</v>
      </c>
      <c r="AA888" s="19" t="str">
        <f aca="false">HYPERLINK("https://www.transfermarkt.com/schnellsuche/ergebnis/schnellsuche?query="&amp;SUBSTITUTE(A888," ","+"),"Search Transfermarkt")</f>
        <v>Search Transfermarkt</v>
      </c>
      <c r="AB888" s="29" t="n">
        <f aca="false">IFERROR('Player Data'!K888/('Player Data'!K888+'Player Data'!L888),0)</f>
        <v>0.5078125</v>
      </c>
      <c r="AC888" s="21" t="str">
        <f aca="false">IF(B888="GK",IF(AND(O888&gt;=Assumptions!$B$23,N888&gt;=Assumptions!$B$23),"Sweeper-Keeper / Build-from-the-Back",IF(O888&gt;=Assumptions!$B$23,"Sweeper-Keeper / High Line",IF(M888&gt;=Assumptions!$B$23,"Shot-Stopper / Traditional","Flexible / Multi-System"))),IF(AND(O888&gt;=Assumptions!$B$23,P888&gt;=Assumptions!$B$24),"High Press / Gegenpressing",IF(AND(N888&gt;=Assumptions!$B$23,AB888&gt;=Assumptions!$B$25),"Possession / Build-from-the-Back",IF(N888&gt;=Assumptions!$B$23,"Counter-Attack / Transition",IF(AND(O888&gt;=Assumptions!$B$23,N888&lt;Assumptions!$B$26),"Low Block / Park the Bus",IF(AND(B888="FW",M888&gt;=Assumptions!$B$23,N888&lt;Assumptions!$B$26),"Direct / Target Approach","Flexible / Multi-System"))))))</f>
        <v>Counter-Attack / Transition</v>
      </c>
      <c r="AD888" s="21" t="str">
        <f aca="false">'Player Data'!Y888</f>
        <v>2026-07-17</v>
      </c>
      <c r="AE888" s="21" t="str">
        <f aca="false">'Player Data'!Z888</f>
        <v>2026-07-17</v>
      </c>
      <c r="AF888" s="28" t="str">
        <f aca="false">IFERROR(INDEX(Assumptions!$B$30:$B$61,MATCH(C888,Assumptions!$A$30:$A$61,0)),"--")</f>
        <v>Australia, Saudi Arabia</v>
      </c>
      <c r="AG888" s="30" t="str">
        <f aca="false">IF(R888&gt;=0.7,"Step-Up Candidate",IF(R888&gt;=0.4,"Lateral Move","Stay &amp; Develop"))</f>
        <v>Step-Up Candidate</v>
      </c>
    </row>
    <row r="889" customFormat="false" ht="23.85" hidden="false" customHeight="false" outlineLevel="0" collapsed="false">
      <c r="A889" s="21" t="str">
        <f aca="false">'Player Data'!A889</f>
        <v>Marlon Reid</v>
      </c>
      <c r="B889" s="21" t="str">
        <f aca="false">'Player Data'!F889</f>
        <v>MF</v>
      </c>
      <c r="C889" s="21" t="str">
        <f aca="false">'Player Data'!B889</f>
        <v>Jamaica</v>
      </c>
      <c r="D889" s="21" t="str">
        <f aca="false">'Player Data'!C889</f>
        <v>Jamaica Third Tier - North</v>
      </c>
      <c r="E889" s="21" t="n">
        <f aca="false">'Player Data'!D889</f>
        <v>3</v>
      </c>
      <c r="F889" s="21" t="n">
        <f aca="false">'Player Data'!G889</f>
        <v>21</v>
      </c>
      <c r="G889" s="21" t="n">
        <f aca="false">'Player Data'!H889</f>
        <v>2276</v>
      </c>
      <c r="H889" s="22" t="n">
        <f aca="false">IF(B889="GK",IFERROR(('Player Data'!N889-1.5*'Player Data'!O889)/'Player Data'!H889*90,0),IFERROR(('Player Data'!I889+'Player Data'!J889)/'Player Data'!H889*90,0))</f>
        <v>0.632688927943761</v>
      </c>
      <c r="I889" s="22" t="n">
        <f aca="false">IF(B889="GK",'Player Data'!P889,IFERROR(('Player Data'!K889+'Player Data'!L889)/'Player Data'!H889*90,0))</f>
        <v>8.10632688927944</v>
      </c>
      <c r="J889" s="22" t="n">
        <f aca="false">IF(B889="GK",IFERROR('Player Data'!Q889/'Player Data'!H889*90,0),IFERROR('Player Data'!M889/'Player Data'!H889*90,0))</f>
        <v>1.62126537785589</v>
      </c>
      <c r="K889" s="23" t="n">
        <f aca="false">'Player Data'!S889</f>
        <v>61301</v>
      </c>
      <c r="L889" s="22" t="n">
        <f aca="false">INDEX(Assumptions!$B$13:$B$15,MATCH(E889,Assumptions!$A$13:$A$15,0))</f>
        <v>0.85</v>
      </c>
      <c r="M889" s="24" t="n">
        <f aca="false">IFERROR(SUMPRODUCT(($B$2:$B$1001=B889)*($H$2:$H$1001&lt;=H889))/SUMPRODUCT(($B$2:$B$1001=B889)*1),0)</f>
        <v>0.36026936026936</v>
      </c>
      <c r="N889" s="24" t="n">
        <f aca="false">IFERROR(SUMPRODUCT(($B$2:$B$1001=B889)*($I$2:$I$1001&lt;=I889))/SUMPRODUCT(($B$2:$B$1001=B889)*1),0)</f>
        <v>0.168350168350168</v>
      </c>
      <c r="O889" s="24" t="n">
        <f aca="false">IFERROR(SUMPRODUCT(($B$2:$B$1001=B889)*($J$2:$J$1001&lt;=J889))/SUMPRODUCT(($B$2:$B$1001=B889)*1),0)</f>
        <v>0.239057239057239</v>
      </c>
      <c r="P889" s="24" t="n">
        <f aca="false">IFERROR(SUMPRODUCT(($B$2:$B$1001=B889)*((0-$F$2:$F$1001)&lt;=(0-F889)))/SUMPRODUCT(($B$2:$B$1001=B889)*1),0)</f>
        <v>0.61952861952862</v>
      </c>
      <c r="Q889" s="25" t="n">
        <f aca="false">(M889*Assumptions!$B$5+N889*Assumptions!$B$6+O889*Assumptions!$B$7+P889*Assumptions!$B$8)*L889</f>
        <v>0.27260101010101</v>
      </c>
      <c r="R889" s="24" t="n">
        <f aca="false">IFERROR(SUMPRODUCT(($B$2:$B$1001=B889)*($Q$2:$Q$1001&lt;=Q889))/SUMPRODUCT(($B$2:$B$1001=B889)*1),0)</f>
        <v>0.218855218855219</v>
      </c>
      <c r="S889" s="24" t="n">
        <f aca="false">IFERROR(SUMPRODUCT(($B$2:$B$1001=B889)*($K$2:$K$1001&lt;=K889))/SUMPRODUCT(($B$2:$B$1001=B889)*1),0)</f>
        <v>0.508417508417508</v>
      </c>
      <c r="T889" s="26" t="n">
        <f aca="false">(R889-S889)*100</f>
        <v>-28.956228956229</v>
      </c>
      <c r="U889" s="21" t="str">
        <f aca="false">'Player Data'!T889</f>
        <v>No</v>
      </c>
      <c r="V889" s="27" t="n">
        <f aca="false">'Player Data'!U889</f>
        <v>2026</v>
      </c>
      <c r="W889" s="21" t="str">
        <f aca="false">IF(AND(T889&gt;=Assumptions!$B$19,U889="No"),"High Priority - Unrepresented",IF(T889&gt;=Assumptions!$B$19,"High Priority",IF(AND(T889&gt;=Assumptions!$B$20,U889="No"),"Watchlist - Unrepresented",IF(T889&gt;=Assumptions!$B$20,"Watchlist",""))))</f>
        <v/>
      </c>
      <c r="X889" s="21" t="str">
        <f aca="false">'Player Data'!V889</f>
        <v>info@spanishtownrovers.jm</v>
      </c>
      <c r="Y889" s="28" t="str">
        <f aca="false">'Player Data'!W889</f>
        <v>Club sporting director / first-team office</v>
      </c>
      <c r="Z889" s="28" t="str">
        <f aca="false">'Player Data'!X889</f>
        <v>JFF (Jamaica Football Federation) player registry</v>
      </c>
      <c r="AA889" s="19" t="str">
        <f aca="false">HYPERLINK("https://www.transfermarkt.com/schnellsuche/ergebnis/schnellsuche?query="&amp;SUBSTITUTE(A889," ","+"),"Search Transfermarkt")</f>
        <v>Search Transfermarkt</v>
      </c>
      <c r="AB889" s="29" t="n">
        <f aca="false">IFERROR('Player Data'!K889/('Player Data'!K889+'Player Data'!L889),0)</f>
        <v>0.551219512195122</v>
      </c>
      <c r="AC889" s="21" t="str">
        <f aca="false">IF(B889="GK",IF(AND(O889&gt;=Assumptions!$B$23,N889&gt;=Assumptions!$B$23),"Sweeper-Keeper / Build-from-the-Back",IF(O889&gt;=Assumptions!$B$23,"Sweeper-Keeper / High Line",IF(M889&gt;=Assumptions!$B$23,"Shot-Stopper / Traditional","Flexible / Multi-System"))),IF(AND(O889&gt;=Assumptions!$B$23,P889&gt;=Assumptions!$B$24),"High Press / Gegenpressing",IF(AND(N889&gt;=Assumptions!$B$23,AB889&gt;=Assumptions!$B$25),"Possession / Build-from-the-Back",IF(N889&gt;=Assumptions!$B$23,"Counter-Attack / Transition",IF(AND(O889&gt;=Assumptions!$B$23,N889&lt;Assumptions!$B$26),"Low Block / Park the Bus",IF(AND(B889="FW",M889&gt;=Assumptions!$B$23,N889&lt;Assumptions!$B$26),"Direct / Target Approach","Flexible / Multi-System"))))))</f>
        <v>Flexible / Multi-System</v>
      </c>
      <c r="AD889" s="21" t="str">
        <f aca="false">'Player Data'!Y889</f>
        <v>2026-07-17</v>
      </c>
      <c r="AE889" s="21" t="str">
        <f aca="false">'Player Data'!Z889</f>
        <v>2026-07-17</v>
      </c>
      <c r="AF889" s="28" t="str">
        <f aca="false">IFERROR(INDEX(Assumptions!$B$30:$B$61,MATCH(C889,Assumptions!$A$30:$A$61,0)),"--")</f>
        <v>United States, Mexico</v>
      </c>
      <c r="AG889" s="30" t="str">
        <f aca="false">IF(R889&gt;=0.7,"Step-Up Candidate",IF(R889&gt;=0.4,"Lateral Move","Stay &amp; Develop"))</f>
        <v>Stay &amp; Develop</v>
      </c>
    </row>
    <row r="890" customFormat="false" ht="23.85" hidden="false" customHeight="false" outlineLevel="0" collapsed="false">
      <c r="A890" s="21" t="str">
        <f aca="false">'Player Data'!A890</f>
        <v>Rok Kovac</v>
      </c>
      <c r="B890" s="21" t="str">
        <f aca="false">'Player Data'!F890</f>
        <v>MF</v>
      </c>
      <c r="C890" s="21" t="str">
        <f aca="false">'Player Data'!B890</f>
        <v>Slovenia</v>
      </c>
      <c r="D890" s="21" t="str">
        <f aca="false">'Player Data'!C890</f>
        <v>Slovenia Regional League</v>
      </c>
      <c r="E890" s="21" t="n">
        <f aca="false">'Player Data'!D890</f>
        <v>3</v>
      </c>
      <c r="F890" s="21" t="n">
        <f aca="false">'Player Data'!G890</f>
        <v>17</v>
      </c>
      <c r="G890" s="21" t="n">
        <f aca="false">'Player Data'!H890</f>
        <v>1852</v>
      </c>
      <c r="H890" s="22" t="n">
        <f aca="false">IF(B890="GK",IFERROR(('Player Data'!N890-1.5*'Player Data'!O890)/'Player Data'!H890*90,0),IFERROR(('Player Data'!I890+'Player Data'!J890)/'Player Data'!H890*90,0))</f>
        <v>0.874730021598272</v>
      </c>
      <c r="I890" s="22" t="n">
        <f aca="false">IF(B890="GK",'Player Data'!P890,IFERROR(('Player Data'!K890+'Player Data'!L890)/'Player Data'!H890*90,0))</f>
        <v>9.62203023758099</v>
      </c>
      <c r="J890" s="22" t="n">
        <f aca="false">IF(B890="GK",IFERROR('Player Data'!Q890/'Player Data'!H890*90,0),IFERROR('Player Data'!M890/'Player Data'!H890*90,0))</f>
        <v>2.67278617710583</v>
      </c>
      <c r="K890" s="23" t="n">
        <f aca="false">'Player Data'!S890</f>
        <v>0</v>
      </c>
      <c r="L890" s="22" t="n">
        <f aca="false">INDEX(Assumptions!$B$13:$B$15,MATCH(E890,Assumptions!$A$13:$A$15,0))</f>
        <v>0.85</v>
      </c>
      <c r="M890" s="24" t="n">
        <f aca="false">IFERROR(SUMPRODUCT(($B$2:$B$1001=B890)*($H$2:$H$1001&lt;=H890))/SUMPRODUCT(($B$2:$B$1001=B890)*1),0)</f>
        <v>0.666666666666667</v>
      </c>
      <c r="N890" s="24" t="n">
        <f aca="false">IFERROR(SUMPRODUCT(($B$2:$B$1001=B890)*($I$2:$I$1001&lt;=I890))/SUMPRODUCT(($B$2:$B$1001=B890)*1),0)</f>
        <v>0.383838383838384</v>
      </c>
      <c r="O890" s="24" t="n">
        <f aca="false">IFERROR(SUMPRODUCT(($B$2:$B$1001=B890)*($J$2:$J$1001&lt;=J890))/SUMPRODUCT(($B$2:$B$1001=B890)*1),0)</f>
        <v>0.69023569023569</v>
      </c>
      <c r="P890" s="24" t="n">
        <f aca="false">IFERROR(SUMPRODUCT(($B$2:$B$1001=B890)*((0-$F$2:$F$1001)&lt;=(0-F890)))/SUMPRODUCT(($B$2:$B$1001=B890)*1),0)</f>
        <v>1</v>
      </c>
      <c r="Q890" s="25" t="n">
        <f aca="false">(M890*Assumptions!$B$5+N890*Assumptions!$B$6+O890*Assumptions!$B$7+P890*Assumptions!$B$8)*L890</f>
        <v>0.543198653198653</v>
      </c>
      <c r="R890" s="24" t="n">
        <f aca="false">IFERROR(SUMPRODUCT(($B$2:$B$1001=B890)*($Q$2:$Q$1001&lt;=Q890))/SUMPRODUCT(($B$2:$B$1001=B890)*1),0)</f>
        <v>0.696969696969697</v>
      </c>
      <c r="S890" s="24" t="n">
        <f aca="false">IFERROR(SUMPRODUCT(($B$2:$B$1001=B890)*($K$2:$K$1001&lt;=K890))/SUMPRODUCT(($B$2:$B$1001=B890)*1),0)</f>
        <v>0.228956228956229</v>
      </c>
      <c r="T890" s="26" t="n">
        <f aca="false">(R890-S890)*100</f>
        <v>46.8013468013468</v>
      </c>
      <c r="U890" s="21" t="str">
        <f aca="false">'Player Data'!T890</f>
        <v>No</v>
      </c>
      <c r="V890" s="27" t="n">
        <f aca="false">'Player Data'!U890</f>
        <v>2029</v>
      </c>
      <c r="W890" s="21" t="str">
        <f aca="false">IF(AND(T890&gt;=Assumptions!$B$19,U890="No"),"High Priority - Unrepresented",IF(T890&gt;=Assumptions!$B$19,"High Priority",IF(AND(T890&gt;=Assumptions!$B$20,U890="No"),"Watchlist - Unrepresented",IF(T890&gt;=Assumptions!$B$20,"Watchlist",""))))</f>
        <v>High Priority - Unrepresented</v>
      </c>
      <c r="X890" s="21" t="str">
        <f aca="false">'Player Data'!V890</f>
        <v>info@kranjrangers.si</v>
      </c>
      <c r="Y890" s="28" t="str">
        <f aca="false">'Player Data'!W890</f>
        <v>Club youth/academy office ONLY - player is a minor, do not contact directly</v>
      </c>
      <c r="Z890" s="28" t="str">
        <f aca="false">'Player Data'!X890</f>
        <v>NZS (Football Association of Slovenia) player registry</v>
      </c>
      <c r="AA890" s="19" t="str">
        <f aca="false">HYPERLINK("https://www.transfermarkt.com/schnellsuche/ergebnis/schnellsuche?query="&amp;SUBSTITUTE(A890," ","+"),"Search Transfermarkt")</f>
        <v>Search Transfermarkt</v>
      </c>
      <c r="AB890" s="29" t="n">
        <f aca="false">IFERROR('Player Data'!K890/('Player Data'!K890+'Player Data'!L890),0)</f>
        <v>0.717171717171717</v>
      </c>
      <c r="AC890" s="21" t="str">
        <f aca="false">IF(B890="GK",IF(AND(O890&gt;=Assumptions!$B$23,N890&gt;=Assumptions!$B$23),"Sweeper-Keeper / Build-from-the-Back",IF(O890&gt;=Assumptions!$B$23,"Sweeper-Keeper / High Line",IF(M890&gt;=Assumptions!$B$23,"Shot-Stopper / Traditional","Flexible / Multi-System"))),IF(AND(O890&gt;=Assumptions!$B$23,P890&gt;=Assumptions!$B$24),"High Press / Gegenpressing",IF(AND(N890&gt;=Assumptions!$B$23,AB890&gt;=Assumptions!$B$25),"Possession / Build-from-the-Back",IF(N890&gt;=Assumptions!$B$23,"Counter-Attack / Transition",IF(AND(O890&gt;=Assumptions!$B$23,N890&lt;Assumptions!$B$26),"Low Block / Park the Bus",IF(AND(B890="FW",M890&gt;=Assumptions!$B$23,N890&lt;Assumptions!$B$26),"Direct / Target Approach","Flexible / Multi-System"))))))</f>
        <v>High Press / Gegenpressing</v>
      </c>
      <c r="AD890" s="21" t="str">
        <f aca="false">'Player Data'!Y890</f>
        <v>2026-07-17</v>
      </c>
      <c r="AE890" s="21" t="str">
        <f aca="false">'Player Data'!Z890</f>
        <v>2026-07-17</v>
      </c>
      <c r="AF890" s="28" t="str">
        <f aca="false">IFERROR(INDEX(Assumptions!$B$30:$B$61,MATCH(C890,Assumptions!$A$30:$A$61,0)),"--")</f>
        <v>Austria, Poland</v>
      </c>
      <c r="AG890" s="30" t="str">
        <f aca="false">IF(R890&gt;=0.7,"Step-Up Candidate",IF(R890&gt;=0.4,"Lateral Move","Stay &amp; Develop"))</f>
        <v>Lateral Move</v>
      </c>
    </row>
    <row r="891" customFormat="false" ht="23.85" hidden="false" customHeight="false" outlineLevel="0" collapsed="false">
      <c r="A891" s="21" t="str">
        <f aca="false">'Player Data'!A891</f>
        <v>Kevin Saar</v>
      </c>
      <c r="B891" s="21" t="str">
        <f aca="false">'Player Data'!F891</f>
        <v>FW</v>
      </c>
      <c r="C891" s="21" t="str">
        <f aca="false">'Player Data'!B891</f>
        <v>Estonia</v>
      </c>
      <c r="D891" s="21" t="str">
        <f aca="false">'Player Data'!C891</f>
        <v>Estonia Amateur League</v>
      </c>
      <c r="E891" s="21" t="n">
        <f aca="false">'Player Data'!D891</f>
        <v>2</v>
      </c>
      <c r="F891" s="21" t="n">
        <f aca="false">'Player Data'!G891</f>
        <v>18</v>
      </c>
      <c r="G891" s="21" t="n">
        <f aca="false">'Player Data'!H891</f>
        <v>2311</v>
      </c>
      <c r="H891" s="22" t="n">
        <f aca="false">IF(B891="GK",IFERROR(('Player Data'!N891-1.5*'Player Data'!O891)/'Player Data'!H891*90,0),IFERROR(('Player Data'!I891+'Player Data'!J891)/'Player Data'!H891*90,0))</f>
        <v>0.506274340112505</v>
      </c>
      <c r="I891" s="22" t="n">
        <f aca="false">IF(B891="GK",'Player Data'!P891,IFERROR(('Player Data'!K891+'Player Data'!L891)/'Player Data'!H891*90,0))</f>
        <v>4.05019472090004</v>
      </c>
      <c r="J891" s="22" t="n">
        <f aca="false">IF(B891="GK",IFERROR('Player Data'!Q891/'Player Data'!H891*90,0),IFERROR('Player Data'!M891/'Player Data'!H891*90,0))</f>
        <v>0.194720900043271</v>
      </c>
      <c r="K891" s="23" t="n">
        <f aca="false">'Player Data'!S891</f>
        <v>101809</v>
      </c>
      <c r="L891" s="22" t="n">
        <f aca="false">INDEX(Assumptions!$B$13:$B$15,MATCH(E891,Assumptions!$A$13:$A$15,0))</f>
        <v>1</v>
      </c>
      <c r="M891" s="24" t="n">
        <f aca="false">IFERROR(SUMPRODUCT(($B$2:$B$1001=B891)*($H$2:$H$1001&lt;=H891))/SUMPRODUCT(($B$2:$B$1001=B891)*1),0)</f>
        <v>0.0752212389380531</v>
      </c>
      <c r="N891" s="24" t="n">
        <f aca="false">IFERROR(SUMPRODUCT(($B$2:$B$1001=B891)*($I$2:$I$1001&lt;=I891))/SUMPRODUCT(($B$2:$B$1001=B891)*1),0)</f>
        <v>0.0486725663716814</v>
      </c>
      <c r="O891" s="24" t="n">
        <f aca="false">IFERROR(SUMPRODUCT(($B$2:$B$1001=B891)*($J$2:$J$1001&lt;=J891))/SUMPRODUCT(($B$2:$B$1001=B891)*1),0)</f>
        <v>0.0442477876106195</v>
      </c>
      <c r="P891" s="24" t="n">
        <f aca="false">IFERROR(SUMPRODUCT(($B$2:$B$1001=B891)*((0-$F$2:$F$1001)&lt;=(0-F891)))/SUMPRODUCT(($B$2:$B$1001=B891)*1),0)</f>
        <v>0.915929203539823</v>
      </c>
      <c r="Q891" s="25" t="n">
        <f aca="false">(M891*Assumptions!$B$5+N891*Assumptions!$B$6+O891*Assumptions!$B$7+P891*Assumptions!$B$8)*L891</f>
        <v>0.22787610619469</v>
      </c>
      <c r="R891" s="24" t="n">
        <f aca="false">IFERROR(SUMPRODUCT(($B$2:$B$1001=B891)*($Q$2:$Q$1001&lt;=Q891))/SUMPRODUCT(($B$2:$B$1001=B891)*1),0)</f>
        <v>0.150442477876106</v>
      </c>
      <c r="S891" s="24" t="n">
        <f aca="false">IFERROR(SUMPRODUCT(($B$2:$B$1001=B891)*($K$2:$K$1001&lt;=K891))/SUMPRODUCT(($B$2:$B$1001=B891)*1),0)</f>
        <v>0.70353982300885</v>
      </c>
      <c r="T891" s="26" t="n">
        <f aca="false">(R891-S891)*100</f>
        <v>-55.3097345132743</v>
      </c>
      <c r="U891" s="21" t="str">
        <f aca="false">'Player Data'!T891</f>
        <v>No</v>
      </c>
      <c r="V891" s="27" t="n">
        <f aca="false">'Player Data'!U891</f>
        <v>2027</v>
      </c>
      <c r="W891" s="21" t="str">
        <f aca="false">IF(AND(T891&gt;=Assumptions!$B$19,U891="No"),"High Priority - Unrepresented",IF(T891&gt;=Assumptions!$B$19,"High Priority",IF(AND(T891&gt;=Assumptions!$B$20,U891="No"),"Watchlist - Unrepresented",IF(T891&gt;=Assumptions!$B$20,"Watchlist",""))))</f>
        <v/>
      </c>
      <c r="X891" s="21" t="str">
        <f aca="false">'Player Data'!V891</f>
        <v>info@parnucity.ee</v>
      </c>
      <c r="Y891" s="28" t="str">
        <f aca="false">'Player Data'!W891</f>
        <v>Club sporting director / first-team office</v>
      </c>
      <c r="Z891" s="28" t="str">
        <f aca="false">'Player Data'!X891</f>
        <v>EJL (Estonian Football Association) player registry</v>
      </c>
      <c r="AA891" s="19" t="str">
        <f aca="false">HYPERLINK("https://www.transfermarkt.com/schnellsuche/ergebnis/schnellsuche?query="&amp;SUBSTITUTE(A891," ","+"),"Search Transfermarkt")</f>
        <v>Search Transfermarkt</v>
      </c>
      <c r="AB891" s="29" t="n">
        <f aca="false">IFERROR('Player Data'!K891/('Player Data'!K891+'Player Data'!L891),0)</f>
        <v>0.288461538461538</v>
      </c>
      <c r="AC891" s="21" t="str">
        <f aca="false">IF(B891="GK",IF(AND(O891&gt;=Assumptions!$B$23,N891&gt;=Assumptions!$B$23),"Sweeper-Keeper / Build-from-the-Back",IF(O891&gt;=Assumptions!$B$23,"Sweeper-Keeper / High Line",IF(M891&gt;=Assumptions!$B$23,"Shot-Stopper / Traditional","Flexible / Multi-System"))),IF(AND(O891&gt;=Assumptions!$B$23,P891&gt;=Assumptions!$B$24),"High Press / Gegenpressing",IF(AND(N891&gt;=Assumptions!$B$23,AB891&gt;=Assumptions!$B$25),"Possession / Build-from-the-Back",IF(N891&gt;=Assumptions!$B$23,"Counter-Attack / Transition",IF(AND(O891&gt;=Assumptions!$B$23,N891&lt;Assumptions!$B$26),"Low Block / Park the Bus",IF(AND(B891="FW",M891&gt;=Assumptions!$B$23,N891&lt;Assumptions!$B$26),"Direct / Target Approach","Flexible / Multi-System"))))))</f>
        <v>Flexible / Multi-System</v>
      </c>
      <c r="AD891" s="21" t="str">
        <f aca="false">'Player Data'!Y891</f>
        <v>2026-07-17</v>
      </c>
      <c r="AE891" s="21" t="str">
        <f aca="false">'Player Data'!Z891</f>
        <v>2026-07-17</v>
      </c>
      <c r="AF891" s="28" t="str">
        <f aca="false">IFERROR(INDEX(Assumptions!$B$30:$B$61,MATCH(C891,Assumptions!$A$30:$A$61,0)),"--")</f>
        <v>Poland, Norway</v>
      </c>
      <c r="AG891" s="30" t="str">
        <f aca="false">IF(R891&gt;=0.7,"Step-Up Candidate",IF(R891&gt;=0.4,"Lateral Move","Stay &amp; Develop"))</f>
        <v>Stay &amp; Develop</v>
      </c>
    </row>
    <row r="892" customFormat="false" ht="23.85" hidden="false" customHeight="false" outlineLevel="0" collapsed="false">
      <c r="A892" s="21" t="str">
        <f aca="false">'Player Data'!A892</f>
        <v>Cristian Lopez</v>
      </c>
      <c r="B892" s="21" t="str">
        <f aca="false">'Player Data'!F892</f>
        <v>MF</v>
      </c>
      <c r="C892" s="21" t="str">
        <f aca="false">'Player Data'!B892</f>
        <v>Paraguay</v>
      </c>
      <c r="D892" s="21" t="str">
        <f aca="false">'Player Data'!C892</f>
        <v>Paraguay Second Division</v>
      </c>
      <c r="E892" s="21" t="n">
        <f aca="false">'Player Data'!D892</f>
        <v>4</v>
      </c>
      <c r="F892" s="21" t="n">
        <f aca="false">'Player Data'!G892</f>
        <v>19</v>
      </c>
      <c r="G892" s="21" t="n">
        <f aca="false">'Player Data'!H892</f>
        <v>2402</v>
      </c>
      <c r="H892" s="22" t="n">
        <f aca="false">IF(B892="GK",IFERROR(('Player Data'!N892-1.5*'Player Data'!O892)/'Player Data'!H892*90,0),IFERROR(('Player Data'!I892+'Player Data'!J892)/'Player Data'!H892*90,0))</f>
        <v>0.636969192339717</v>
      </c>
      <c r="I892" s="22" t="n">
        <f aca="false">IF(B892="GK",'Player Data'!P892,IFERROR(('Player Data'!K892+'Player Data'!L892)/'Player Data'!H892*90,0))</f>
        <v>7.04412989175687</v>
      </c>
      <c r="J892" s="22" t="n">
        <f aca="false">IF(B892="GK",IFERROR('Player Data'!Q892/'Player Data'!H892*90,0),IFERROR('Player Data'!M892/'Player Data'!H892*90,0))</f>
        <v>1.49875104079933</v>
      </c>
      <c r="K892" s="23" t="n">
        <f aca="false">'Player Data'!S892</f>
        <v>118125</v>
      </c>
      <c r="L892" s="22" t="n">
        <f aca="false">INDEX(Assumptions!$B$13:$B$15,MATCH(E892,Assumptions!$A$13:$A$15,0))</f>
        <v>0.7</v>
      </c>
      <c r="M892" s="24" t="n">
        <f aca="false">IFERROR(SUMPRODUCT(($B$2:$B$1001=B892)*($H$2:$H$1001&lt;=H892))/SUMPRODUCT(($B$2:$B$1001=B892)*1),0)</f>
        <v>0.363636363636364</v>
      </c>
      <c r="N892" s="24" t="n">
        <f aca="false">IFERROR(SUMPRODUCT(($B$2:$B$1001=B892)*($I$2:$I$1001&lt;=I892))/SUMPRODUCT(($B$2:$B$1001=B892)*1),0)</f>
        <v>0.0707070707070707</v>
      </c>
      <c r="O892" s="24" t="n">
        <f aca="false">IFERROR(SUMPRODUCT(($B$2:$B$1001=B892)*($J$2:$J$1001&lt;=J892))/SUMPRODUCT(($B$2:$B$1001=B892)*1),0)</f>
        <v>0.175084175084175</v>
      </c>
      <c r="P892" s="24" t="n">
        <f aca="false">IFERROR(SUMPRODUCT(($B$2:$B$1001=B892)*((0-$F$2:$F$1001)&lt;=(0-F892)))/SUMPRODUCT(($B$2:$B$1001=B892)*1),0)</f>
        <v>0.868686868686869</v>
      </c>
      <c r="Q892" s="25" t="n">
        <f aca="false">(M892*Assumptions!$B$5+N892*Assumptions!$B$6+O892*Assumptions!$B$7+P892*Assumptions!$B$8)*L892</f>
        <v>0.227087542087542</v>
      </c>
      <c r="R892" s="24" t="n">
        <f aca="false">IFERROR(SUMPRODUCT(($B$2:$B$1001=B892)*($Q$2:$Q$1001&lt;=Q892))/SUMPRODUCT(($B$2:$B$1001=B892)*1),0)</f>
        <v>0.131313131313131</v>
      </c>
      <c r="S892" s="24" t="n">
        <f aca="false">IFERROR(SUMPRODUCT(($B$2:$B$1001=B892)*($K$2:$K$1001&lt;=K892))/SUMPRODUCT(($B$2:$B$1001=B892)*1),0)</f>
        <v>0.841750841750842</v>
      </c>
      <c r="T892" s="26" t="n">
        <f aca="false">(R892-S892)*100</f>
        <v>-71.0437710437711</v>
      </c>
      <c r="U892" s="21" t="str">
        <f aca="false">'Player Data'!T892</f>
        <v>No</v>
      </c>
      <c r="V892" s="27" t="n">
        <f aca="false">'Player Data'!U892</f>
        <v>2028</v>
      </c>
      <c r="W892" s="21" t="str">
        <f aca="false">IF(AND(T892&gt;=Assumptions!$B$19,U892="No"),"High Priority - Unrepresented",IF(T892&gt;=Assumptions!$B$19,"High Priority",IF(AND(T892&gt;=Assumptions!$B$20,U892="No"),"Watchlist - Unrepresented",IF(T892&gt;=Assumptions!$B$20,"Watchlist",""))))</f>
        <v/>
      </c>
      <c r="X892" s="21" t="str">
        <f aca="false">'Player Data'!V892</f>
        <v>info@asuncioncity.py</v>
      </c>
      <c r="Y892" s="28" t="str">
        <f aca="false">'Player Data'!W892</f>
        <v>Club sporting director / first-team office</v>
      </c>
      <c r="Z892" s="28" t="str">
        <f aca="false">'Player Data'!X892</f>
        <v>APF (Paraguayan Football Association) player registry</v>
      </c>
      <c r="AA892" s="19" t="str">
        <f aca="false">HYPERLINK("https://www.transfermarkt.com/schnellsuche/ergebnis/schnellsuche?query="&amp;SUBSTITUTE(A892," ","+"),"Search Transfermarkt")</f>
        <v>Search Transfermarkt</v>
      </c>
      <c r="AB892" s="29" t="n">
        <f aca="false">IFERROR('Player Data'!K892/('Player Data'!K892+'Player Data'!L892),0)</f>
        <v>0.606382978723404</v>
      </c>
      <c r="AC892" s="21" t="str">
        <f aca="false">IF(B892="GK",IF(AND(O892&gt;=Assumptions!$B$23,N892&gt;=Assumptions!$B$23),"Sweeper-Keeper / Build-from-the-Back",IF(O892&gt;=Assumptions!$B$23,"Sweeper-Keeper / High Line",IF(M892&gt;=Assumptions!$B$23,"Shot-Stopper / Traditional","Flexible / Multi-System"))),IF(AND(O892&gt;=Assumptions!$B$23,P892&gt;=Assumptions!$B$24),"High Press / Gegenpressing",IF(AND(N892&gt;=Assumptions!$B$23,AB892&gt;=Assumptions!$B$25),"Possession / Build-from-the-Back",IF(N892&gt;=Assumptions!$B$23,"Counter-Attack / Transition",IF(AND(O892&gt;=Assumptions!$B$23,N892&lt;Assumptions!$B$26),"Low Block / Park the Bus",IF(AND(B892="FW",M892&gt;=Assumptions!$B$23,N892&lt;Assumptions!$B$26),"Direct / Target Approach","Flexible / Multi-System"))))))</f>
        <v>Flexible / Multi-System</v>
      </c>
      <c r="AD892" s="21" t="str">
        <f aca="false">'Player Data'!Y892</f>
        <v>2026-07-17</v>
      </c>
      <c r="AE892" s="21" t="str">
        <f aca="false">'Player Data'!Z892</f>
        <v>2026-07-17</v>
      </c>
      <c r="AF892" s="28" t="str">
        <f aca="false">IFERROR(INDEX(Assumptions!$B$30:$B$61,MATCH(C892,Assumptions!$A$30:$A$61,0)),"--")</f>
        <v>Argentina, Portugal</v>
      </c>
      <c r="AG892" s="30" t="str">
        <f aca="false">IF(R892&gt;=0.7,"Step-Up Candidate",IF(R892&gt;=0.4,"Lateral Move","Stay &amp; Develop"))</f>
        <v>Stay &amp; Develop</v>
      </c>
    </row>
    <row r="893" customFormat="false" ht="23.85" hidden="false" customHeight="false" outlineLevel="0" collapsed="false">
      <c r="A893" s="21" t="str">
        <f aca="false">'Player Data'!A893</f>
        <v>Sherzod Rustamov</v>
      </c>
      <c r="B893" s="21" t="str">
        <f aca="false">'Player Data'!F893</f>
        <v>FW</v>
      </c>
      <c r="C893" s="21" t="str">
        <f aca="false">'Player Data'!B893</f>
        <v>Uzbekistan</v>
      </c>
      <c r="D893" s="21" t="str">
        <f aca="false">'Player Data'!C893</f>
        <v>Uzbekistan Second Division</v>
      </c>
      <c r="E893" s="21" t="n">
        <f aca="false">'Player Data'!D893</f>
        <v>4</v>
      </c>
      <c r="F893" s="21" t="n">
        <f aca="false">'Player Data'!G893</f>
        <v>25</v>
      </c>
      <c r="G893" s="21" t="n">
        <f aca="false">'Player Data'!H893</f>
        <v>2625</v>
      </c>
      <c r="H893" s="22" t="n">
        <f aca="false">IF(B893="GK",IFERROR(('Player Data'!N893-1.5*'Player Data'!O893)/'Player Data'!H893*90,0),IFERROR(('Player Data'!I893+'Player Data'!J893)/'Player Data'!H893*90,0))</f>
        <v>0.377142857142857</v>
      </c>
      <c r="I893" s="22" t="n">
        <f aca="false">IF(B893="GK",'Player Data'!P893,IFERROR(('Player Data'!K893+'Player Data'!L893)/'Player Data'!H893*90,0))</f>
        <v>3.80571428571429</v>
      </c>
      <c r="J893" s="22" t="n">
        <f aca="false">IF(B893="GK",IFERROR('Player Data'!Q893/'Player Data'!H893*90,0),IFERROR('Player Data'!M893/'Player Data'!H893*90,0))</f>
        <v>0.411428571428572</v>
      </c>
      <c r="K893" s="23" t="n">
        <f aca="false">'Player Data'!S893</f>
        <v>102590</v>
      </c>
      <c r="L893" s="22" t="n">
        <f aca="false">INDEX(Assumptions!$B$13:$B$15,MATCH(E893,Assumptions!$A$13:$A$15,0))</f>
        <v>0.7</v>
      </c>
      <c r="M893" s="24" t="n">
        <f aca="false">IFERROR(SUMPRODUCT(($B$2:$B$1001=B893)*($H$2:$H$1001&lt;=H893))/SUMPRODUCT(($B$2:$B$1001=B893)*1),0)</f>
        <v>0.0176991150442478</v>
      </c>
      <c r="N893" s="24" t="n">
        <f aca="false">IFERROR(SUMPRODUCT(($B$2:$B$1001=B893)*($I$2:$I$1001&lt;=I893))/SUMPRODUCT(($B$2:$B$1001=B893)*1),0)</f>
        <v>0.00884955752212389</v>
      </c>
      <c r="O893" s="24" t="n">
        <f aca="false">IFERROR(SUMPRODUCT(($B$2:$B$1001=B893)*($J$2:$J$1001&lt;=J893))/SUMPRODUCT(($B$2:$B$1001=B893)*1),0)</f>
        <v>0.36283185840708</v>
      </c>
      <c r="P893" s="24" t="n">
        <f aca="false">IFERROR(SUMPRODUCT(($B$2:$B$1001=B893)*((0-$F$2:$F$1001)&lt;=(0-F893)))/SUMPRODUCT(($B$2:$B$1001=B893)*1),0)</f>
        <v>0.194690265486726</v>
      </c>
      <c r="Q893" s="25" t="n">
        <f aca="false">(M893*Assumptions!$B$5+N893*Assumptions!$B$6+O893*Assumptions!$B$7+P893*Assumptions!$B$8)*L893</f>
        <v>0.0833185840707965</v>
      </c>
      <c r="R893" s="24" t="n">
        <f aca="false">IFERROR(SUMPRODUCT(($B$2:$B$1001=B893)*($Q$2:$Q$1001&lt;=Q893))/SUMPRODUCT(($B$2:$B$1001=B893)*1),0)</f>
        <v>0.00442477876106195</v>
      </c>
      <c r="S893" s="24" t="n">
        <f aca="false">IFERROR(SUMPRODUCT(($B$2:$B$1001=B893)*($K$2:$K$1001&lt;=K893))/SUMPRODUCT(($B$2:$B$1001=B893)*1),0)</f>
        <v>0.707964601769912</v>
      </c>
      <c r="T893" s="26" t="n">
        <f aca="false">(R893-S893)*100</f>
        <v>-70.353982300885</v>
      </c>
      <c r="U893" s="21" t="str">
        <f aca="false">'Player Data'!T893</f>
        <v>No</v>
      </c>
      <c r="V893" s="27" t="n">
        <f aca="false">'Player Data'!U893</f>
        <v>2029</v>
      </c>
      <c r="W893" s="21" t="str">
        <f aca="false">IF(AND(T893&gt;=Assumptions!$B$19,U893="No"),"High Priority - Unrepresented",IF(T893&gt;=Assumptions!$B$19,"High Priority",IF(AND(T893&gt;=Assumptions!$B$20,U893="No"),"Watchlist - Unrepresented",IF(T893&gt;=Assumptions!$B$20,"Watchlist",""))))</f>
        <v/>
      </c>
      <c r="X893" s="21" t="str">
        <f aca="false">'Player Data'!V893</f>
        <v>info@tashkentsc.uz</v>
      </c>
      <c r="Y893" s="28" t="str">
        <f aca="false">'Player Data'!W893</f>
        <v>Club sporting director / first-team office</v>
      </c>
      <c r="Z893" s="28" t="str">
        <f aca="false">'Player Data'!X893</f>
        <v>UFF (Uzbekistan Football Federation) player registry</v>
      </c>
      <c r="AA893" s="19" t="str">
        <f aca="false">HYPERLINK("https://www.transfermarkt.com/schnellsuche/ergebnis/schnellsuche?query="&amp;SUBSTITUTE(A893," ","+"),"Search Transfermarkt")</f>
        <v>Search Transfermarkt</v>
      </c>
      <c r="AB893" s="29" t="n">
        <f aca="false">IFERROR('Player Data'!K893/('Player Data'!K893+'Player Data'!L893),0)</f>
        <v>0.369369369369369</v>
      </c>
      <c r="AC893" s="21" t="str">
        <f aca="false">IF(B893="GK",IF(AND(O893&gt;=Assumptions!$B$23,N893&gt;=Assumptions!$B$23),"Sweeper-Keeper / Build-from-the-Back",IF(O893&gt;=Assumptions!$B$23,"Sweeper-Keeper / High Line",IF(M893&gt;=Assumptions!$B$23,"Shot-Stopper / Traditional","Flexible / Multi-System"))),IF(AND(O893&gt;=Assumptions!$B$23,P893&gt;=Assumptions!$B$24),"High Press / Gegenpressing",IF(AND(N893&gt;=Assumptions!$B$23,AB893&gt;=Assumptions!$B$25),"Possession / Build-from-the-Back",IF(N893&gt;=Assumptions!$B$23,"Counter-Attack / Transition",IF(AND(O893&gt;=Assumptions!$B$23,N893&lt;Assumptions!$B$26),"Low Block / Park the Bus",IF(AND(B893="FW",M893&gt;=Assumptions!$B$23,N893&lt;Assumptions!$B$26),"Direct / Target Approach","Flexible / Multi-System"))))))</f>
        <v>Flexible / Multi-System</v>
      </c>
      <c r="AD893" s="21" t="str">
        <f aca="false">'Player Data'!Y893</f>
        <v>2026-07-17</v>
      </c>
      <c r="AE893" s="21" t="str">
        <f aca="false">'Player Data'!Z893</f>
        <v>2026-07-17</v>
      </c>
      <c r="AF893" s="28" t="str">
        <f aca="false">IFERROR(INDEX(Assumptions!$B$30:$B$61,MATCH(C893,Assumptions!$A$30:$A$61,0)),"--")</f>
        <v>Turkey, Saudi Arabia</v>
      </c>
      <c r="AG893" s="30" t="str">
        <f aca="false">IF(R893&gt;=0.7,"Step-Up Candidate",IF(R893&gt;=0.4,"Lateral Move","Stay &amp; Develop"))</f>
        <v>Stay &amp; Develop</v>
      </c>
    </row>
    <row r="894" customFormat="false" ht="23.85" hidden="false" customHeight="false" outlineLevel="0" collapsed="false">
      <c r="A894" s="21" t="str">
        <f aca="false">'Player Data'!A894</f>
        <v>Kaito Suzuki</v>
      </c>
      <c r="B894" s="21" t="str">
        <f aca="false">'Player Data'!F894</f>
        <v>DF</v>
      </c>
      <c r="C894" s="21" t="str">
        <f aca="false">'Player Data'!B894</f>
        <v>Japan</v>
      </c>
      <c r="D894" s="21" t="str">
        <f aca="false">'Player Data'!C894</f>
        <v>Japan Second Division - East</v>
      </c>
      <c r="E894" s="21" t="n">
        <f aca="false">'Player Data'!D894</f>
        <v>3</v>
      </c>
      <c r="F894" s="21" t="n">
        <f aca="false">'Player Data'!G894</f>
        <v>24</v>
      </c>
      <c r="G894" s="21" t="n">
        <f aca="false">'Player Data'!H894</f>
        <v>1236</v>
      </c>
      <c r="H894" s="22" t="n">
        <f aca="false">IF(B894="GK",IFERROR(('Player Data'!N894-1.5*'Player Data'!O894)/'Player Data'!H894*90,0),IFERROR(('Player Data'!I894+'Player Data'!J894)/'Player Data'!H894*90,0))</f>
        <v>0.145631067961165</v>
      </c>
      <c r="I894" s="22" t="n">
        <f aca="false">IF(B894="GK",'Player Data'!P894,IFERROR(('Player Data'!K894+'Player Data'!L894)/'Player Data'!H894*90,0))</f>
        <v>7.71844660194175</v>
      </c>
      <c r="J894" s="22" t="n">
        <f aca="false">IF(B894="GK",IFERROR('Player Data'!Q894/'Player Data'!H894*90,0),IFERROR('Player Data'!M894/'Player Data'!H894*90,0))</f>
        <v>7.35436893203884</v>
      </c>
      <c r="K894" s="23" t="n">
        <f aca="false">'Player Data'!S894</f>
        <v>68918</v>
      </c>
      <c r="L894" s="22" t="n">
        <f aca="false">INDEX(Assumptions!$B$13:$B$15,MATCH(E894,Assumptions!$A$13:$A$15,0))</f>
        <v>0.85</v>
      </c>
      <c r="M894" s="24" t="n">
        <f aca="false">IFERROR(SUMPRODUCT(($B$2:$B$1001=B894)*($H$2:$H$1001&lt;=H894))/SUMPRODUCT(($B$2:$B$1001=B894)*1),0)</f>
        <v>0.353741496598639</v>
      </c>
      <c r="N894" s="24" t="n">
        <f aca="false">IFERROR(SUMPRODUCT(($B$2:$B$1001=B894)*($I$2:$I$1001&lt;=I894))/SUMPRODUCT(($B$2:$B$1001=B894)*1),0)</f>
        <v>0.887755102040816</v>
      </c>
      <c r="O894" s="24" t="n">
        <f aca="false">IFERROR(SUMPRODUCT(($B$2:$B$1001=B894)*($J$2:$J$1001&lt;=J894))/SUMPRODUCT(($B$2:$B$1001=B894)*1),0)</f>
        <v>0.792517006802721</v>
      </c>
      <c r="P894" s="24" t="n">
        <f aca="false">IFERROR(SUMPRODUCT(($B$2:$B$1001=B894)*((0-$F$2:$F$1001)&lt;=(0-F894)))/SUMPRODUCT(($B$2:$B$1001=B894)*1),0)</f>
        <v>0.275510204081633</v>
      </c>
      <c r="Q894" s="25" t="n">
        <f aca="false">(M894*Assumptions!$B$5+N894*Assumptions!$B$6+O894*Assumptions!$B$7+P894*Assumptions!$B$8)*L894</f>
        <v>0.520841836734694</v>
      </c>
      <c r="R894" s="24" t="n">
        <f aca="false">IFERROR(SUMPRODUCT(($B$2:$B$1001=B894)*($Q$2:$Q$1001&lt;=Q894))/SUMPRODUCT(($B$2:$B$1001=B894)*1),0)</f>
        <v>0.649659863945578</v>
      </c>
      <c r="S894" s="24" t="n">
        <f aca="false">IFERROR(SUMPRODUCT(($B$2:$B$1001=B894)*($K$2:$K$1001&lt;=K894))/SUMPRODUCT(($B$2:$B$1001=B894)*1),0)</f>
        <v>0.540816326530612</v>
      </c>
      <c r="T894" s="26" t="n">
        <f aca="false">(R894-S894)*100</f>
        <v>10.8843537414966</v>
      </c>
      <c r="U894" s="21" t="str">
        <f aca="false">'Player Data'!T894</f>
        <v>Unknown</v>
      </c>
      <c r="V894" s="27" t="n">
        <f aca="false">'Player Data'!U894</f>
        <v>2028</v>
      </c>
      <c r="W894" s="21" t="str">
        <f aca="false">IF(AND(T894&gt;=Assumptions!$B$19,U894="No"),"High Priority - Unrepresented",IF(T894&gt;=Assumptions!$B$19,"High Priority",IF(AND(T894&gt;=Assumptions!$B$20,U894="No"),"Watchlist - Unrepresented",IF(T894&gt;=Assumptions!$B$20,"Watchlist",""))))</f>
        <v/>
      </c>
      <c r="X894" s="21" t="str">
        <f aca="false">'Player Data'!V894</f>
        <v>info@sapporoathletic.jp</v>
      </c>
      <c r="Y894" s="28" t="str">
        <f aca="false">'Player Data'!W894</f>
        <v>Club sporting director / first-team office</v>
      </c>
      <c r="Z894" s="28" t="str">
        <f aca="false">'Player Data'!X894</f>
        <v>JFA (Japan Football Association) player registry</v>
      </c>
      <c r="AA894" s="19" t="str">
        <f aca="false">HYPERLINK("https://www.transfermarkt.com/schnellsuche/ergebnis/schnellsuche?query="&amp;SUBSTITUTE(A894," ","+"),"Search Transfermarkt")</f>
        <v>Search Transfermarkt</v>
      </c>
      <c r="AB894" s="29" t="n">
        <f aca="false">IFERROR('Player Data'!K894/('Player Data'!K894+'Player Data'!L894),0)</f>
        <v>0.679245283018868</v>
      </c>
      <c r="AC894" s="21" t="str">
        <f aca="false">IF(B894="GK",IF(AND(O894&gt;=Assumptions!$B$23,N894&gt;=Assumptions!$B$23),"Sweeper-Keeper / Build-from-the-Back",IF(O894&gt;=Assumptions!$B$23,"Sweeper-Keeper / High Line",IF(M894&gt;=Assumptions!$B$23,"Shot-Stopper / Traditional","Flexible / Multi-System"))),IF(AND(O894&gt;=Assumptions!$B$23,P894&gt;=Assumptions!$B$24),"High Press / Gegenpressing",IF(AND(N894&gt;=Assumptions!$B$23,AB894&gt;=Assumptions!$B$25),"Possession / Build-from-the-Back",IF(N894&gt;=Assumptions!$B$23,"Counter-Attack / Transition",IF(AND(O894&gt;=Assumptions!$B$23,N894&lt;Assumptions!$B$26),"Low Block / Park the Bus",IF(AND(B894="FW",M894&gt;=Assumptions!$B$23,N894&lt;Assumptions!$B$26),"Direct / Target Approach","Flexible / Multi-System"))))))</f>
        <v>Possession / Build-from-the-Back</v>
      </c>
      <c r="AD894" s="21" t="str">
        <f aca="false">'Player Data'!Y894</f>
        <v>2026-07-17</v>
      </c>
      <c r="AE894" s="21" t="str">
        <f aca="false">'Player Data'!Z894</f>
        <v>2026-07-17</v>
      </c>
      <c r="AF894" s="28" t="str">
        <f aca="false">IFERROR(INDEX(Assumptions!$B$30:$B$61,MATCH(C894,Assumptions!$A$30:$A$61,0)),"--")</f>
        <v>Belgium, Australia</v>
      </c>
      <c r="AG894" s="30" t="str">
        <f aca="false">IF(R894&gt;=0.7,"Step-Up Candidate",IF(R894&gt;=0.4,"Lateral Move","Stay &amp; Develop"))</f>
        <v>Lateral Move</v>
      </c>
    </row>
    <row r="895" customFormat="false" ht="23.85" hidden="false" customHeight="false" outlineLevel="0" collapsed="false">
      <c r="A895" s="21" t="str">
        <f aca="false">'Player Data'!A895</f>
        <v>Sander Tamm</v>
      </c>
      <c r="B895" s="21" t="str">
        <f aca="false">'Player Data'!F895</f>
        <v>GK</v>
      </c>
      <c r="C895" s="21" t="str">
        <f aca="false">'Player Data'!B895</f>
        <v>Estonia</v>
      </c>
      <c r="D895" s="21" t="str">
        <f aca="false">'Player Data'!C895</f>
        <v>Estonia Second Division - West</v>
      </c>
      <c r="E895" s="21" t="n">
        <f aca="false">'Player Data'!D895</f>
        <v>2</v>
      </c>
      <c r="F895" s="21" t="n">
        <f aca="false">'Player Data'!G895</f>
        <v>23</v>
      </c>
      <c r="G895" s="21" t="n">
        <f aca="false">'Player Data'!H895</f>
        <v>1062</v>
      </c>
      <c r="H895" s="22" t="n">
        <f aca="false">IF(B895="GK",IFERROR(('Player Data'!N895-1.5*'Player Data'!O895)/'Player Data'!H895*90,0),IFERROR(('Player Data'!I895+'Player Data'!J895)/'Player Data'!H895*90,0))</f>
        <v>1.10169491525424</v>
      </c>
      <c r="I895" s="22" t="n">
        <f aca="false">IF(B895="GK",'Player Data'!P895,IFERROR(('Player Data'!K895+'Player Data'!L895)/'Player Data'!H895*90,0))</f>
        <v>87.8</v>
      </c>
      <c r="J895" s="22" t="n">
        <f aca="false">IF(B895="GK",IFERROR('Player Data'!Q895/'Player Data'!H895*90,0),IFERROR('Player Data'!M895/'Player Data'!H895*90,0))</f>
        <v>0.449152542372881</v>
      </c>
      <c r="K895" s="23" t="n">
        <f aca="false">'Player Data'!S895</f>
        <v>44282</v>
      </c>
      <c r="L895" s="22" t="n">
        <f aca="false">INDEX(Assumptions!$B$13:$B$15,MATCH(E895,Assumptions!$A$13:$A$15,0))</f>
        <v>1</v>
      </c>
      <c r="M895" s="24" t="n">
        <f aca="false">IFERROR(SUMPRODUCT(($B$2:$B$1001=B895)*($H$2:$H$1001&lt;=H895))/SUMPRODUCT(($B$2:$B$1001=B895)*1),0)</f>
        <v>0.475409836065574</v>
      </c>
      <c r="N895" s="24" t="n">
        <f aca="false">IFERROR(SUMPRODUCT(($B$2:$B$1001=B895)*($I$2:$I$1001&lt;=I895))/SUMPRODUCT(($B$2:$B$1001=B895)*1),0)</f>
        <v>0.912568306010929</v>
      </c>
      <c r="O895" s="24" t="n">
        <f aca="false">IFERROR(SUMPRODUCT(($B$2:$B$1001=B895)*($J$2:$J$1001&lt;=J895))/SUMPRODUCT(($B$2:$B$1001=B895)*1),0)</f>
        <v>0.213114754098361</v>
      </c>
      <c r="P895" s="24" t="n">
        <f aca="false">IFERROR(SUMPRODUCT(($B$2:$B$1001=B895)*((0-$F$2:$F$1001)&lt;=(0-F895)))/SUMPRODUCT(($B$2:$B$1001=B895)*1),0)</f>
        <v>0.431693989071038</v>
      </c>
      <c r="Q895" s="25" t="n">
        <f aca="false">(M895*Assumptions!$B$5+N895*Assumptions!$B$6+O895*Assumptions!$B$7+P895*Assumptions!$B$8)*L895</f>
        <v>0.567213114754098</v>
      </c>
      <c r="R895" s="24" t="n">
        <f aca="false">IFERROR(SUMPRODUCT(($B$2:$B$1001=B895)*($Q$2:$Q$1001&lt;=Q895))/SUMPRODUCT(($B$2:$B$1001=B895)*1),0)</f>
        <v>0.792349726775956</v>
      </c>
      <c r="S895" s="24" t="n">
        <f aca="false">IFERROR(SUMPRODUCT(($B$2:$B$1001=B895)*($K$2:$K$1001&lt;=K895))/SUMPRODUCT(($B$2:$B$1001=B895)*1),0)</f>
        <v>0.366120218579235</v>
      </c>
      <c r="T895" s="26" t="n">
        <f aca="false">(R895-S895)*100</f>
        <v>42.6229508196721</v>
      </c>
      <c r="U895" s="21" t="str">
        <f aca="false">'Player Data'!T895</f>
        <v>No</v>
      </c>
      <c r="V895" s="27" t="n">
        <f aca="false">'Player Data'!U895</f>
        <v>2029</v>
      </c>
      <c r="W895" s="21" t="str">
        <f aca="false">IF(AND(T895&gt;=Assumptions!$B$19,U895="No"),"High Priority - Unrepresented",IF(T895&gt;=Assumptions!$B$19,"High Priority",IF(AND(T895&gt;=Assumptions!$B$20,U895="No"),"Watchlist - Unrepresented",IF(T895&gt;=Assumptions!$B$20,"Watchlist",""))))</f>
        <v>High Priority - Unrepresented</v>
      </c>
      <c r="X895" s="21" t="str">
        <f aca="false">'Player Data'!V895</f>
        <v>info@tallinncity.ee</v>
      </c>
      <c r="Y895" s="28" t="str">
        <f aca="false">'Player Data'!W895</f>
        <v>Club sporting director / first-team office</v>
      </c>
      <c r="Z895" s="28" t="str">
        <f aca="false">'Player Data'!X895</f>
        <v>EJL (Estonian Football Association) player registry</v>
      </c>
      <c r="AA895" s="19" t="str">
        <f aca="false">HYPERLINK("https://www.transfermarkt.com/schnellsuche/ergebnis/schnellsuche?query="&amp;SUBSTITUTE(A895," ","+"),"Search Transfermarkt")</f>
        <v>Search Transfermarkt</v>
      </c>
      <c r="AB895" s="29" t="n">
        <f aca="false">IFERROR('Player Data'!K895/('Player Data'!K895+'Player Data'!L895),0)</f>
        <v>1</v>
      </c>
      <c r="AC895" s="21" t="str">
        <f aca="false">IF(B895="GK",IF(AND(O895&gt;=Assumptions!$B$23,N895&gt;=Assumptions!$B$23),"Sweeper-Keeper / Build-from-the-Back",IF(O895&gt;=Assumptions!$B$23,"Sweeper-Keeper / High Line",IF(M895&gt;=Assumptions!$B$23,"Shot-Stopper / Traditional","Flexible / Multi-System"))),IF(AND(O895&gt;=Assumptions!$B$23,P895&gt;=Assumptions!$B$24),"High Press / Gegenpressing",IF(AND(N895&gt;=Assumptions!$B$23,AB895&gt;=Assumptions!$B$25),"Possession / Build-from-the-Back",IF(N895&gt;=Assumptions!$B$23,"Counter-Attack / Transition",IF(AND(O895&gt;=Assumptions!$B$23,N895&lt;Assumptions!$B$26),"Low Block / Park the Bus",IF(AND(B895="FW",M895&gt;=Assumptions!$B$23,N895&lt;Assumptions!$B$26),"Direct / Target Approach","Flexible / Multi-System"))))))</f>
        <v>Flexible / Multi-System</v>
      </c>
      <c r="AD895" s="21" t="str">
        <f aca="false">'Player Data'!Y895</f>
        <v>2026-07-17</v>
      </c>
      <c r="AE895" s="21" t="str">
        <f aca="false">'Player Data'!Z895</f>
        <v>2026-07-17</v>
      </c>
      <c r="AF895" s="28" t="str">
        <f aca="false">IFERROR(INDEX(Assumptions!$B$30:$B$61,MATCH(C895,Assumptions!$A$30:$A$61,0)),"--")</f>
        <v>Poland, Norway</v>
      </c>
      <c r="AG895" s="30" t="str">
        <f aca="false">IF(R895&gt;=0.7,"Step-Up Candidate",IF(R895&gt;=0.4,"Lateral Move","Stay &amp; Develop"))</f>
        <v>Step-Up Candidate</v>
      </c>
    </row>
    <row r="896" customFormat="false" ht="23.85" hidden="false" customHeight="false" outlineLevel="0" collapsed="false">
      <c r="A896" s="21" t="str">
        <f aca="false">'Player Data'!A896</f>
        <v>Ardit Shala</v>
      </c>
      <c r="B896" s="21" t="str">
        <f aca="false">'Player Data'!F896</f>
        <v>GK</v>
      </c>
      <c r="C896" s="21" t="str">
        <f aca="false">'Player Data'!B896</f>
        <v>Albania</v>
      </c>
      <c r="D896" s="21" t="str">
        <f aca="false">'Player Data'!C896</f>
        <v>Albania Third Tier - South</v>
      </c>
      <c r="E896" s="21" t="n">
        <f aca="false">'Player Data'!D896</f>
        <v>3</v>
      </c>
      <c r="F896" s="21" t="n">
        <f aca="false">'Player Data'!G896</f>
        <v>22</v>
      </c>
      <c r="G896" s="21" t="n">
        <f aca="false">'Player Data'!H896</f>
        <v>2653</v>
      </c>
      <c r="H896" s="22" t="n">
        <f aca="false">IF(B896="GK",IFERROR(('Player Data'!N896-1.5*'Player Data'!O896)/'Player Data'!H896*90,0),IFERROR(('Player Data'!I896+'Player Data'!J896)/'Player Data'!H896*90,0))</f>
        <v>0.474934036939314</v>
      </c>
      <c r="I896" s="22" t="n">
        <f aca="false">IF(B896="GK",'Player Data'!P896,IFERROR(('Player Data'!K896+'Player Data'!L896)/'Player Data'!H896*90,0))</f>
        <v>72.4</v>
      </c>
      <c r="J896" s="22" t="n">
        <f aca="false">IF(B896="GK",IFERROR('Player Data'!Q896/'Player Data'!H896*90,0),IFERROR('Player Data'!M896/'Player Data'!H896*90,0))</f>
        <v>0.898982284206559</v>
      </c>
      <c r="K896" s="23" t="n">
        <f aca="false">'Player Data'!S896</f>
        <v>33209</v>
      </c>
      <c r="L896" s="22" t="n">
        <f aca="false">INDEX(Assumptions!$B$13:$B$15,MATCH(E896,Assumptions!$A$13:$A$15,0))</f>
        <v>0.85</v>
      </c>
      <c r="M896" s="24" t="n">
        <f aca="false">IFERROR(SUMPRODUCT(($B$2:$B$1001=B896)*($H$2:$H$1001&lt;=H896))/SUMPRODUCT(($B$2:$B$1001=B896)*1),0)</f>
        <v>0.26775956284153</v>
      </c>
      <c r="N896" s="24" t="n">
        <f aca="false">IFERROR(SUMPRODUCT(($B$2:$B$1001=B896)*($I$2:$I$1001&lt;=I896))/SUMPRODUCT(($B$2:$B$1001=B896)*1),0)</f>
        <v>0.491803278688525</v>
      </c>
      <c r="O896" s="24" t="n">
        <f aca="false">IFERROR(SUMPRODUCT(($B$2:$B$1001=B896)*($J$2:$J$1001&lt;=J896))/SUMPRODUCT(($B$2:$B$1001=B896)*1),0)</f>
        <v>0.546448087431694</v>
      </c>
      <c r="P896" s="24" t="n">
        <f aca="false">IFERROR(SUMPRODUCT(($B$2:$B$1001=B896)*((0-$F$2:$F$1001)&lt;=(0-F896)))/SUMPRODUCT(($B$2:$B$1001=B896)*1),0)</f>
        <v>0.530054644808743</v>
      </c>
      <c r="Q896" s="25" t="n">
        <f aca="false">(M896*Assumptions!$B$5+N896*Assumptions!$B$6+O896*Assumptions!$B$7+P896*Assumptions!$B$8)*L896</f>
        <v>0.386215846994536</v>
      </c>
      <c r="R896" s="24" t="n">
        <f aca="false">IFERROR(SUMPRODUCT(($B$2:$B$1001=B896)*($Q$2:$Q$1001&lt;=Q896))/SUMPRODUCT(($B$2:$B$1001=B896)*1),0)</f>
        <v>0.33879781420765</v>
      </c>
      <c r="S896" s="24" t="n">
        <f aca="false">IFERROR(SUMPRODUCT(($B$2:$B$1001=B896)*($K$2:$K$1001&lt;=K896))/SUMPRODUCT(($B$2:$B$1001=B896)*1),0)</f>
        <v>0.327868852459016</v>
      </c>
      <c r="T896" s="26" t="n">
        <f aca="false">(R896-S896)*100</f>
        <v>1.09289617486339</v>
      </c>
      <c r="U896" s="21" t="str">
        <f aca="false">'Player Data'!T896</f>
        <v>Yes</v>
      </c>
      <c r="V896" s="27" t="n">
        <f aca="false">'Player Data'!U896</f>
        <v>2028</v>
      </c>
      <c r="W896" s="21" t="str">
        <f aca="false">IF(AND(T896&gt;=Assumptions!$B$19,U896="No"),"High Priority - Unrepresented",IF(T896&gt;=Assumptions!$B$19,"High Priority",IF(AND(T896&gt;=Assumptions!$B$20,U896="No"),"Watchlist - Unrepresented",IF(T896&gt;=Assumptions!$B$20,"Watchlist",""))))</f>
        <v/>
      </c>
      <c r="X896" s="21" t="str">
        <f aca="false">'Player Data'!V896</f>
        <v>info@elbasancity.al</v>
      </c>
      <c r="Y896" s="28" t="str">
        <f aca="false">'Player Data'!W896</f>
        <v>Go through the player's agent - ask the club to confirm representation first</v>
      </c>
      <c r="Z896" s="28" t="str">
        <f aca="false">'Player Data'!X896</f>
        <v>FSHF (Albanian Football Association) player registry</v>
      </c>
      <c r="AA896" s="19" t="str">
        <f aca="false">HYPERLINK("https://www.transfermarkt.com/schnellsuche/ergebnis/schnellsuche?query="&amp;SUBSTITUTE(A896," ","+"),"Search Transfermarkt")</f>
        <v>Search Transfermarkt</v>
      </c>
      <c r="AB896" s="29" t="n">
        <f aca="false">IFERROR('Player Data'!K896/('Player Data'!K896+'Player Data'!L896),0)</f>
        <v>1</v>
      </c>
      <c r="AC896" s="21" t="str">
        <f aca="false">IF(B896="GK",IF(AND(O896&gt;=Assumptions!$B$23,N896&gt;=Assumptions!$B$23),"Sweeper-Keeper / Build-from-the-Back",IF(O896&gt;=Assumptions!$B$23,"Sweeper-Keeper / High Line",IF(M896&gt;=Assumptions!$B$23,"Shot-Stopper / Traditional","Flexible / Multi-System"))),IF(AND(O896&gt;=Assumptions!$B$23,P896&gt;=Assumptions!$B$24),"High Press / Gegenpressing",IF(AND(N896&gt;=Assumptions!$B$23,AB896&gt;=Assumptions!$B$25),"Possession / Build-from-the-Back",IF(N896&gt;=Assumptions!$B$23,"Counter-Attack / Transition",IF(AND(O896&gt;=Assumptions!$B$23,N896&lt;Assumptions!$B$26),"Low Block / Park the Bus",IF(AND(B896="FW",M896&gt;=Assumptions!$B$23,N896&lt;Assumptions!$B$26),"Direct / Target Approach","Flexible / Multi-System"))))))</f>
        <v>Flexible / Multi-System</v>
      </c>
      <c r="AD896" s="21" t="str">
        <f aca="false">'Player Data'!Y896</f>
        <v>2026-07-17</v>
      </c>
      <c r="AE896" s="21" t="str">
        <f aca="false">'Player Data'!Z896</f>
        <v>2026-07-17</v>
      </c>
      <c r="AF896" s="28" t="str">
        <f aca="false">IFERROR(INDEX(Assumptions!$B$30:$B$61,MATCH(C896,Assumptions!$A$30:$A$61,0)),"--")</f>
        <v>Turkey, Poland</v>
      </c>
      <c r="AG896" s="30" t="str">
        <f aca="false">IF(R896&gt;=0.7,"Step-Up Candidate",IF(R896&gt;=0.4,"Lateral Move","Stay &amp; Develop"))</f>
        <v>Stay &amp; Develop</v>
      </c>
    </row>
    <row r="897" customFormat="false" ht="23.85" hidden="false" customHeight="false" outlineLevel="0" collapsed="false">
      <c r="A897" s="21" t="str">
        <f aca="false">'Player Data'!A897</f>
        <v>Bledi Meta</v>
      </c>
      <c r="B897" s="21" t="str">
        <f aca="false">'Player Data'!F897</f>
        <v>DF</v>
      </c>
      <c r="C897" s="21" t="str">
        <f aca="false">'Player Data'!B897</f>
        <v>Albania</v>
      </c>
      <c r="D897" s="21" t="str">
        <f aca="false">'Player Data'!C897</f>
        <v>Albania Third Tier - South</v>
      </c>
      <c r="E897" s="21" t="n">
        <f aca="false">'Player Data'!D897</f>
        <v>2</v>
      </c>
      <c r="F897" s="21" t="n">
        <f aca="false">'Player Data'!G897</f>
        <v>22</v>
      </c>
      <c r="G897" s="21" t="n">
        <f aca="false">'Player Data'!H897</f>
        <v>1031</v>
      </c>
      <c r="H897" s="22" t="n">
        <f aca="false">IF(B897="GK",IFERROR(('Player Data'!N897-1.5*'Player Data'!O897)/'Player Data'!H897*90,0),IFERROR(('Player Data'!I897+'Player Data'!J897)/'Player Data'!H897*90,0))</f>
        <v>0.34917555771096</v>
      </c>
      <c r="I897" s="22" t="n">
        <f aca="false">IF(B897="GK",'Player Data'!P897,IFERROR(('Player Data'!K897+'Player Data'!L897)/'Player Data'!H897*90,0))</f>
        <v>8.99127061105723</v>
      </c>
      <c r="J897" s="22" t="n">
        <f aca="false">IF(B897="GK",IFERROR('Player Data'!Q897/'Player Data'!H897*90,0),IFERROR('Player Data'!M897/'Player Data'!H897*90,0))</f>
        <v>7.41998060135791</v>
      </c>
      <c r="K897" s="23" t="n">
        <f aca="false">'Player Data'!S897</f>
        <v>0</v>
      </c>
      <c r="L897" s="22" t="n">
        <f aca="false">INDEX(Assumptions!$B$13:$B$15,MATCH(E897,Assumptions!$A$13:$A$15,0))</f>
        <v>1</v>
      </c>
      <c r="M897" s="24" t="n">
        <f aca="false">IFERROR(SUMPRODUCT(($B$2:$B$1001=B897)*($H$2:$H$1001&lt;=H897))/SUMPRODUCT(($B$2:$B$1001=B897)*1),0)</f>
        <v>0.853741496598639</v>
      </c>
      <c r="N897" s="24" t="n">
        <f aca="false">IFERROR(SUMPRODUCT(($B$2:$B$1001=B897)*($I$2:$I$1001&lt;=I897))/SUMPRODUCT(($B$2:$B$1001=B897)*1),0)</f>
        <v>0.942176870748299</v>
      </c>
      <c r="O897" s="24" t="n">
        <f aca="false">IFERROR(SUMPRODUCT(($B$2:$B$1001=B897)*($J$2:$J$1001&lt;=J897))/SUMPRODUCT(($B$2:$B$1001=B897)*1),0)</f>
        <v>0.802721088435374</v>
      </c>
      <c r="P897" s="24" t="n">
        <f aca="false">IFERROR(SUMPRODUCT(($B$2:$B$1001=B897)*((0-$F$2:$F$1001)&lt;=(0-F897)))/SUMPRODUCT(($B$2:$B$1001=B897)*1),0)</f>
        <v>0.493197278911565</v>
      </c>
      <c r="Q897" s="25" t="n">
        <f aca="false">(M897*Assumptions!$B$5+N897*Assumptions!$B$6+O897*Assumptions!$B$7+P897*Assumptions!$B$8)*L897</f>
        <v>0.802380952380952</v>
      </c>
      <c r="R897" s="24" t="n">
        <f aca="false">IFERROR(SUMPRODUCT(($B$2:$B$1001=B897)*($Q$2:$Q$1001&lt;=Q897))/SUMPRODUCT(($B$2:$B$1001=B897)*1),0)</f>
        <v>0.95578231292517</v>
      </c>
      <c r="S897" s="24" t="n">
        <f aca="false">IFERROR(SUMPRODUCT(($B$2:$B$1001=B897)*($K$2:$K$1001&lt;=K897))/SUMPRODUCT(($B$2:$B$1001=B897)*1),0)</f>
        <v>0.248299319727891</v>
      </c>
      <c r="T897" s="26" t="n">
        <f aca="false">(R897-S897)*100</f>
        <v>70.7482993197279</v>
      </c>
      <c r="U897" s="21" t="str">
        <f aca="false">'Player Data'!T897</f>
        <v>No</v>
      </c>
      <c r="V897" s="27" t="n">
        <f aca="false">'Player Data'!U897</f>
        <v>2026</v>
      </c>
      <c r="W897" s="21" t="str">
        <f aca="false">IF(AND(T897&gt;=Assumptions!$B$19,U897="No"),"High Priority - Unrepresented",IF(T897&gt;=Assumptions!$B$19,"High Priority",IF(AND(T897&gt;=Assumptions!$B$20,U897="No"),"Watchlist - Unrepresented",IF(T897&gt;=Assumptions!$B$20,"Watchlist",""))))</f>
        <v>High Priority - Unrepresented</v>
      </c>
      <c r="X897" s="21" t="str">
        <f aca="false">'Player Data'!V897</f>
        <v>info@elbasanathletic.al</v>
      </c>
      <c r="Y897" s="28" t="str">
        <f aca="false">'Player Data'!W897</f>
        <v>Club sporting director / first-team office</v>
      </c>
      <c r="Z897" s="28" t="str">
        <f aca="false">'Player Data'!X897</f>
        <v>FSHF (Albanian Football Association) player registry</v>
      </c>
      <c r="AA897" s="19" t="str">
        <f aca="false">HYPERLINK("https://www.transfermarkt.com/schnellsuche/ergebnis/schnellsuche?query="&amp;SUBSTITUTE(A897," ","+"),"Search Transfermarkt")</f>
        <v>Search Transfermarkt</v>
      </c>
      <c r="AB897" s="29" t="n">
        <f aca="false">IFERROR('Player Data'!K897/('Player Data'!K897+'Player Data'!L897),0)</f>
        <v>0.631067961165049</v>
      </c>
      <c r="AC897" s="21" t="str">
        <f aca="false">IF(B897="GK",IF(AND(O897&gt;=Assumptions!$B$23,N897&gt;=Assumptions!$B$23),"Sweeper-Keeper / Build-from-the-Back",IF(O897&gt;=Assumptions!$B$23,"Sweeper-Keeper / High Line",IF(M897&gt;=Assumptions!$B$23,"Shot-Stopper / Traditional","Flexible / Multi-System"))),IF(AND(O897&gt;=Assumptions!$B$23,P897&gt;=Assumptions!$B$24),"High Press / Gegenpressing",IF(AND(N897&gt;=Assumptions!$B$23,AB897&gt;=Assumptions!$B$25),"Possession / Build-from-the-Back",IF(N897&gt;=Assumptions!$B$23,"Counter-Attack / Transition",IF(AND(O897&gt;=Assumptions!$B$23,N897&lt;Assumptions!$B$26),"Low Block / Park the Bus",IF(AND(B897="FW",M897&gt;=Assumptions!$B$23,N897&lt;Assumptions!$B$26),"Direct / Target Approach","Flexible / Multi-System"))))))</f>
        <v>Possession / Build-from-the-Back</v>
      </c>
      <c r="AD897" s="21" t="str">
        <f aca="false">'Player Data'!Y897</f>
        <v>2026-07-17</v>
      </c>
      <c r="AE897" s="21" t="str">
        <f aca="false">'Player Data'!Z897</f>
        <v>2026-07-17</v>
      </c>
      <c r="AF897" s="28" t="str">
        <f aca="false">IFERROR(INDEX(Assumptions!$B$30:$B$61,MATCH(C897,Assumptions!$A$30:$A$61,0)),"--")</f>
        <v>Turkey, Poland</v>
      </c>
      <c r="AG897" s="30" t="str">
        <f aca="false">IF(R897&gt;=0.7,"Step-Up Candidate",IF(R897&gt;=0.4,"Lateral Move","Stay &amp; Develop"))</f>
        <v>Step-Up Candidate</v>
      </c>
    </row>
    <row r="898" customFormat="false" ht="23.85" hidden="false" customHeight="false" outlineLevel="0" collapsed="false">
      <c r="A898" s="21" t="str">
        <f aca="false">'Player Data'!A898</f>
        <v>Agustin Ferreira</v>
      </c>
      <c r="B898" s="21" t="str">
        <f aca="false">'Player Data'!F898</f>
        <v>DF</v>
      </c>
      <c r="C898" s="21" t="str">
        <f aca="false">'Player Data'!B898</f>
        <v>Uruguay</v>
      </c>
      <c r="D898" s="21" t="str">
        <f aca="false">'Player Data'!C898</f>
        <v>Uruguay Second Division</v>
      </c>
      <c r="E898" s="21" t="n">
        <f aca="false">'Player Data'!D898</f>
        <v>2</v>
      </c>
      <c r="F898" s="21" t="n">
        <f aca="false">'Player Data'!G898</f>
        <v>25</v>
      </c>
      <c r="G898" s="21" t="n">
        <f aca="false">'Player Data'!H898</f>
        <v>810</v>
      </c>
      <c r="H898" s="22" t="n">
        <f aca="false">IF(B898="GK",IFERROR(('Player Data'!N898-1.5*'Player Data'!O898)/'Player Data'!H898*90,0),IFERROR(('Player Data'!I898+'Player Data'!J898)/'Player Data'!H898*90,0))</f>
        <v>0.444444444444444</v>
      </c>
      <c r="I898" s="22" t="n">
        <f aca="false">IF(B898="GK",'Player Data'!P898,IFERROR(('Player Data'!K898+'Player Data'!L898)/'Player Data'!H898*90,0))</f>
        <v>8</v>
      </c>
      <c r="J898" s="22" t="n">
        <f aca="false">IF(B898="GK",IFERROR('Player Data'!Q898/'Player Data'!H898*90,0),IFERROR('Player Data'!M898/'Player Data'!H898*90,0))</f>
        <v>11.1111111111111</v>
      </c>
      <c r="K898" s="23" t="n">
        <f aca="false">'Player Data'!S898</f>
        <v>0</v>
      </c>
      <c r="L898" s="22" t="n">
        <f aca="false">INDEX(Assumptions!$B$13:$B$15,MATCH(E898,Assumptions!$A$13:$A$15,0))</f>
        <v>1</v>
      </c>
      <c r="M898" s="24" t="n">
        <f aca="false">IFERROR(SUMPRODUCT(($B$2:$B$1001=B898)*($H$2:$H$1001&lt;=H898))/SUMPRODUCT(($B$2:$B$1001=B898)*1),0)</f>
        <v>0.928571428571429</v>
      </c>
      <c r="N898" s="24" t="n">
        <f aca="false">IFERROR(SUMPRODUCT(($B$2:$B$1001=B898)*($I$2:$I$1001&lt;=I898))/SUMPRODUCT(($B$2:$B$1001=B898)*1),0)</f>
        <v>0.897959183673469</v>
      </c>
      <c r="O898" s="24" t="n">
        <f aca="false">IFERROR(SUMPRODUCT(($B$2:$B$1001=B898)*($J$2:$J$1001&lt;=J898))/SUMPRODUCT(($B$2:$B$1001=B898)*1),0)</f>
        <v>0.959183673469388</v>
      </c>
      <c r="P898" s="24" t="n">
        <f aca="false">IFERROR(SUMPRODUCT(($B$2:$B$1001=B898)*((0-$F$2:$F$1001)&lt;=(0-F898)))/SUMPRODUCT(($B$2:$B$1001=B898)*1),0)</f>
        <v>0.146258503401361</v>
      </c>
      <c r="Q898" s="25" t="n">
        <f aca="false">(M898*Assumptions!$B$5+N898*Assumptions!$B$6+O898*Assumptions!$B$7+P898*Assumptions!$B$8)*L898</f>
        <v>0.767517006802721</v>
      </c>
      <c r="R898" s="24" t="n">
        <f aca="false">IFERROR(SUMPRODUCT(($B$2:$B$1001=B898)*($Q$2:$Q$1001&lt;=Q898))/SUMPRODUCT(($B$2:$B$1001=B898)*1),0)</f>
        <v>0.928571428571429</v>
      </c>
      <c r="S898" s="24" t="n">
        <f aca="false">IFERROR(SUMPRODUCT(($B$2:$B$1001=B898)*($K$2:$K$1001&lt;=K898))/SUMPRODUCT(($B$2:$B$1001=B898)*1),0)</f>
        <v>0.248299319727891</v>
      </c>
      <c r="T898" s="26" t="n">
        <f aca="false">(R898-S898)*100</f>
        <v>68.0272108843538</v>
      </c>
      <c r="U898" s="21" t="str">
        <f aca="false">'Player Data'!T898</f>
        <v>Yes</v>
      </c>
      <c r="V898" s="27" t="n">
        <f aca="false">'Player Data'!U898</f>
        <v>2027</v>
      </c>
      <c r="W898" s="21" t="str">
        <f aca="false">IF(AND(T898&gt;=Assumptions!$B$19,U898="No"),"High Priority - Unrepresented",IF(T898&gt;=Assumptions!$B$19,"High Priority",IF(AND(T898&gt;=Assumptions!$B$20,U898="No"),"Watchlist - Unrepresented",IF(T898&gt;=Assumptions!$B$20,"Watchlist",""))))</f>
        <v>High Priority</v>
      </c>
      <c r="X898" s="21" t="str">
        <f aca="false">'Player Data'!V898</f>
        <v>info@riverafc.uy</v>
      </c>
      <c r="Y898" s="28" t="str">
        <f aca="false">'Player Data'!W898</f>
        <v>Go through the player's agent - ask the club to confirm representation first</v>
      </c>
      <c r="Z898" s="28" t="str">
        <f aca="false">'Player Data'!X898</f>
        <v>AUF (Uruguayan Football Association) player registry</v>
      </c>
      <c r="AA898" s="19" t="str">
        <f aca="false">HYPERLINK("https://www.transfermarkt.com/schnellsuche/ergebnis/schnellsuche?query="&amp;SUBSTITUTE(A898," ","+"),"Search Transfermarkt")</f>
        <v>Search Transfermarkt</v>
      </c>
      <c r="AB898" s="29" t="n">
        <f aca="false">IFERROR('Player Data'!K898/('Player Data'!K898+'Player Data'!L898),0)</f>
        <v>0.652777777777778</v>
      </c>
      <c r="AC898" s="21" t="str">
        <f aca="false">IF(B898="GK",IF(AND(O898&gt;=Assumptions!$B$23,N898&gt;=Assumptions!$B$23),"Sweeper-Keeper / Build-from-the-Back",IF(O898&gt;=Assumptions!$B$23,"Sweeper-Keeper / High Line",IF(M898&gt;=Assumptions!$B$23,"Shot-Stopper / Traditional","Flexible / Multi-System"))),IF(AND(O898&gt;=Assumptions!$B$23,P898&gt;=Assumptions!$B$24),"High Press / Gegenpressing",IF(AND(N898&gt;=Assumptions!$B$23,AB898&gt;=Assumptions!$B$25),"Possession / Build-from-the-Back",IF(N898&gt;=Assumptions!$B$23,"Counter-Attack / Transition",IF(AND(O898&gt;=Assumptions!$B$23,N898&lt;Assumptions!$B$26),"Low Block / Park the Bus",IF(AND(B898="FW",M898&gt;=Assumptions!$B$23,N898&lt;Assumptions!$B$26),"Direct / Target Approach","Flexible / Multi-System"))))))</f>
        <v>Possession / Build-from-the-Back</v>
      </c>
      <c r="AD898" s="21" t="str">
        <f aca="false">'Player Data'!Y898</f>
        <v>2026-07-17</v>
      </c>
      <c r="AE898" s="21" t="str">
        <f aca="false">'Player Data'!Z898</f>
        <v>2026-07-17</v>
      </c>
      <c r="AF898" s="28" t="str">
        <f aca="false">IFERROR(INDEX(Assumptions!$B$30:$B$61,MATCH(C898,Assumptions!$A$30:$A$61,0)),"--")</f>
        <v>Argentina, Portugal</v>
      </c>
      <c r="AG898" s="30" t="str">
        <f aca="false">IF(R898&gt;=0.7,"Step-Up Candidate",IF(R898&gt;=0.4,"Lateral Move","Stay &amp; Develop"))</f>
        <v>Step-Up Candidate</v>
      </c>
    </row>
    <row r="899" customFormat="false" ht="23.85" hidden="false" customHeight="false" outlineLevel="0" collapsed="false">
      <c r="A899" s="21" t="str">
        <f aca="false">'Player Data'!A899</f>
        <v>Dusan Petrovic</v>
      </c>
      <c r="B899" s="21" t="str">
        <f aca="false">'Player Data'!F899</f>
        <v>DF</v>
      </c>
      <c r="C899" s="21" t="str">
        <f aca="false">'Player Data'!B899</f>
        <v>Serbia</v>
      </c>
      <c r="D899" s="21" t="str">
        <f aca="false">'Player Data'!C899</f>
        <v>Serbia Reserve League</v>
      </c>
      <c r="E899" s="21" t="n">
        <f aca="false">'Player Data'!D899</f>
        <v>2</v>
      </c>
      <c r="F899" s="21" t="n">
        <f aca="false">'Player Data'!G899</f>
        <v>21</v>
      </c>
      <c r="G899" s="21" t="n">
        <f aca="false">'Player Data'!H899</f>
        <v>1398</v>
      </c>
      <c r="H899" s="22" t="n">
        <f aca="false">IF(B899="GK",IFERROR(('Player Data'!N899-1.5*'Player Data'!O899)/'Player Data'!H899*90,0),IFERROR(('Player Data'!I899+'Player Data'!J899)/'Player Data'!H899*90,0))</f>
        <v>0.321888412017167</v>
      </c>
      <c r="I899" s="22" t="n">
        <f aca="false">IF(B899="GK",'Player Data'!P899,IFERROR(('Player Data'!K899+'Player Data'!L899)/'Player Data'!H899*90,0))</f>
        <v>5.40772532188841</v>
      </c>
      <c r="J899" s="22" t="n">
        <f aca="false">IF(B899="GK",IFERROR('Player Data'!Q899/'Player Data'!H899*90,0),IFERROR('Player Data'!M899/'Player Data'!H899*90,0))</f>
        <v>5.66523605150215</v>
      </c>
      <c r="K899" s="23" t="n">
        <f aca="false">'Player Data'!S899</f>
        <v>0</v>
      </c>
      <c r="L899" s="22" t="n">
        <f aca="false">INDEX(Assumptions!$B$13:$B$15,MATCH(E899,Assumptions!$A$13:$A$15,0))</f>
        <v>1</v>
      </c>
      <c r="M899" s="24" t="n">
        <f aca="false">IFERROR(SUMPRODUCT(($B$2:$B$1001=B899)*($H$2:$H$1001&lt;=H899))/SUMPRODUCT(($B$2:$B$1001=B899)*1),0)</f>
        <v>0.806122448979592</v>
      </c>
      <c r="N899" s="24" t="n">
        <f aca="false">IFERROR(SUMPRODUCT(($B$2:$B$1001=B899)*($I$2:$I$1001&lt;=I899))/SUMPRODUCT(($B$2:$B$1001=B899)*1),0)</f>
        <v>0.659863945578231</v>
      </c>
      <c r="O899" s="24" t="n">
        <f aca="false">IFERROR(SUMPRODUCT(($B$2:$B$1001=B899)*($J$2:$J$1001&lt;=J899))/SUMPRODUCT(($B$2:$B$1001=B899)*1),0)</f>
        <v>0.551020408163265</v>
      </c>
      <c r="P899" s="24" t="n">
        <f aca="false">IFERROR(SUMPRODUCT(($B$2:$B$1001=B899)*((0-$F$2:$F$1001)&lt;=(0-F899)))/SUMPRODUCT(($B$2:$B$1001=B899)*1),0)</f>
        <v>0.568027210884354</v>
      </c>
      <c r="Q899" s="25" t="n">
        <f aca="false">(M899*Assumptions!$B$5+N899*Assumptions!$B$6+O899*Assumptions!$B$7+P899*Assumptions!$B$8)*L899</f>
        <v>0.656292517006803</v>
      </c>
      <c r="R899" s="24" t="n">
        <f aca="false">IFERROR(SUMPRODUCT(($B$2:$B$1001=B899)*($Q$2:$Q$1001&lt;=Q899))/SUMPRODUCT(($B$2:$B$1001=B899)*1),0)</f>
        <v>0.829931972789116</v>
      </c>
      <c r="S899" s="24" t="n">
        <f aca="false">IFERROR(SUMPRODUCT(($B$2:$B$1001=B899)*($K$2:$K$1001&lt;=K899))/SUMPRODUCT(($B$2:$B$1001=B899)*1),0)</f>
        <v>0.248299319727891</v>
      </c>
      <c r="T899" s="26" t="n">
        <f aca="false">(R899-S899)*100</f>
        <v>58.1632653061225</v>
      </c>
      <c r="U899" s="21" t="str">
        <f aca="false">'Player Data'!T899</f>
        <v>Unknown</v>
      </c>
      <c r="V899" s="27" t="n">
        <f aca="false">'Player Data'!U899</f>
        <v>2029</v>
      </c>
      <c r="W899" s="21" t="str">
        <f aca="false">IF(AND(T899&gt;=Assumptions!$B$19,U899="No"),"High Priority - Unrepresented",IF(T899&gt;=Assumptions!$B$19,"High Priority",IF(AND(T899&gt;=Assumptions!$B$20,U899="No"),"Watchlist - Unrepresented",IF(T899&gt;=Assumptions!$B$20,"Watchlist",""))))</f>
        <v>High Priority</v>
      </c>
      <c r="X899" s="21" t="str">
        <f aca="false">'Player Data'!V899</f>
        <v>info@kraljevounited.rs</v>
      </c>
      <c r="Y899" s="28" t="str">
        <f aca="false">'Player Data'!W899</f>
        <v>Club sporting director / first-team office</v>
      </c>
      <c r="Z899" s="28" t="str">
        <f aca="false">'Player Data'!X899</f>
        <v>FSS (Football Association of Serbia) player registry</v>
      </c>
      <c r="AA899" s="19" t="str">
        <f aca="false">HYPERLINK("https://www.transfermarkt.com/schnellsuche/ergebnis/schnellsuche?query="&amp;SUBSTITUTE(A899," ","+"),"Search Transfermarkt")</f>
        <v>Search Transfermarkt</v>
      </c>
      <c r="AB899" s="29" t="n">
        <f aca="false">IFERROR('Player Data'!K899/('Player Data'!K899+'Player Data'!L899),0)</f>
        <v>0.511904761904762</v>
      </c>
      <c r="AC899" s="21" t="str">
        <f aca="false">IF(B899="GK",IF(AND(O899&gt;=Assumptions!$B$23,N899&gt;=Assumptions!$B$23),"Sweeper-Keeper / Build-from-the-Back",IF(O899&gt;=Assumptions!$B$23,"Sweeper-Keeper / High Line",IF(M899&gt;=Assumptions!$B$23,"Shot-Stopper / Traditional","Flexible / Multi-System"))),IF(AND(O899&gt;=Assumptions!$B$23,P899&gt;=Assumptions!$B$24),"High Press / Gegenpressing",IF(AND(N899&gt;=Assumptions!$B$23,AB899&gt;=Assumptions!$B$25),"Possession / Build-from-the-Back",IF(N899&gt;=Assumptions!$B$23,"Counter-Attack / Transition",IF(AND(O899&gt;=Assumptions!$B$23,N899&lt;Assumptions!$B$26),"Low Block / Park the Bus",IF(AND(B899="FW",M899&gt;=Assumptions!$B$23,N899&lt;Assumptions!$B$26),"Direct / Target Approach","Flexible / Multi-System"))))))</f>
        <v>Counter-Attack / Transition</v>
      </c>
      <c r="AD899" s="21" t="str">
        <f aca="false">'Player Data'!Y899</f>
        <v>2026-07-17</v>
      </c>
      <c r="AE899" s="21" t="str">
        <f aca="false">'Player Data'!Z899</f>
        <v>2026-07-17</v>
      </c>
      <c r="AF899" s="28" t="str">
        <f aca="false">IFERROR(INDEX(Assumptions!$B$30:$B$61,MATCH(C899,Assumptions!$A$30:$A$61,0)),"--")</f>
        <v>Austria, Turkey</v>
      </c>
      <c r="AG899" s="30" t="str">
        <f aca="false">IF(R899&gt;=0.7,"Step-Up Candidate",IF(R899&gt;=0.4,"Lateral Move","Stay &amp; Develop"))</f>
        <v>Step-Up Candidate</v>
      </c>
    </row>
    <row r="900" customFormat="false" ht="23.85" hidden="false" customHeight="false" outlineLevel="0" collapsed="false">
      <c r="A900" s="21" t="str">
        <f aca="false">'Player Data'!A900</f>
        <v>Eric Njie</v>
      </c>
      <c r="B900" s="21" t="str">
        <f aca="false">'Player Data'!F900</f>
        <v>MF</v>
      </c>
      <c r="C900" s="21" t="str">
        <f aca="false">'Player Data'!B900</f>
        <v>Cameroon</v>
      </c>
      <c r="D900" s="21" t="str">
        <f aca="false">'Player Data'!C900</f>
        <v>Cameroon Reserve League</v>
      </c>
      <c r="E900" s="21" t="n">
        <f aca="false">'Player Data'!D900</f>
        <v>2</v>
      </c>
      <c r="F900" s="21" t="n">
        <f aca="false">'Player Data'!G900</f>
        <v>24</v>
      </c>
      <c r="G900" s="21" t="n">
        <f aca="false">'Player Data'!H900</f>
        <v>2219</v>
      </c>
      <c r="H900" s="22" t="n">
        <f aca="false">IF(B900="GK",IFERROR(('Player Data'!N900-1.5*'Player Data'!O900)/'Player Data'!H900*90,0),IFERROR(('Player Data'!I900+'Player Data'!J900)/'Player Data'!H900*90,0))</f>
        <v>0.730058584948175</v>
      </c>
      <c r="I900" s="22" t="n">
        <f aca="false">IF(B900="GK",'Player Data'!P900,IFERROR(('Player Data'!K900+'Player Data'!L900)/'Player Data'!H900*90,0))</f>
        <v>9.49076160432627</v>
      </c>
      <c r="J900" s="22" t="n">
        <f aca="false">IF(B900="GK",IFERROR('Player Data'!Q900/'Player Data'!H900*90,0),IFERROR('Player Data'!M900/'Player Data'!H900*90,0))</f>
        <v>1.41955835962145</v>
      </c>
      <c r="K900" s="23" t="n">
        <f aca="false">'Player Data'!S900</f>
        <v>0</v>
      </c>
      <c r="L900" s="22" t="n">
        <f aca="false">INDEX(Assumptions!$B$13:$B$15,MATCH(E900,Assumptions!$A$13:$A$15,0))</f>
        <v>1</v>
      </c>
      <c r="M900" s="24" t="n">
        <f aca="false">IFERROR(SUMPRODUCT(($B$2:$B$1001=B900)*($H$2:$H$1001&lt;=H900))/SUMPRODUCT(($B$2:$B$1001=B900)*1),0)</f>
        <v>0.488215488215488</v>
      </c>
      <c r="N900" s="24" t="n">
        <f aca="false">IFERROR(SUMPRODUCT(($B$2:$B$1001=B900)*($I$2:$I$1001&lt;=I900))/SUMPRODUCT(($B$2:$B$1001=B900)*1),0)</f>
        <v>0.37037037037037</v>
      </c>
      <c r="O900" s="24" t="n">
        <f aca="false">IFERROR(SUMPRODUCT(($B$2:$B$1001=B900)*($J$2:$J$1001&lt;=J900))/SUMPRODUCT(($B$2:$B$1001=B900)*1),0)</f>
        <v>0.144781144781145</v>
      </c>
      <c r="P900" s="24" t="n">
        <f aca="false">IFERROR(SUMPRODUCT(($B$2:$B$1001=B900)*((0-$F$2:$F$1001)&lt;=(0-F900)))/SUMPRODUCT(($B$2:$B$1001=B900)*1),0)</f>
        <v>0.326599326599327</v>
      </c>
      <c r="Q900" s="25" t="n">
        <f aca="false">(M900*Assumptions!$B$5+N900*Assumptions!$B$6+O900*Assumptions!$B$7+P900*Assumptions!$B$8)*L900</f>
        <v>0.345959595959596</v>
      </c>
      <c r="R900" s="24" t="n">
        <f aca="false">IFERROR(SUMPRODUCT(($B$2:$B$1001=B900)*($Q$2:$Q$1001&lt;=Q900))/SUMPRODUCT(($B$2:$B$1001=B900)*1),0)</f>
        <v>0.326599326599327</v>
      </c>
      <c r="S900" s="24" t="n">
        <f aca="false">IFERROR(SUMPRODUCT(($B$2:$B$1001=B900)*($K$2:$K$1001&lt;=K900))/SUMPRODUCT(($B$2:$B$1001=B900)*1),0)</f>
        <v>0.228956228956229</v>
      </c>
      <c r="T900" s="26" t="n">
        <f aca="false">(R900-S900)*100</f>
        <v>9.76430976430977</v>
      </c>
      <c r="U900" s="21" t="str">
        <f aca="false">'Player Data'!T900</f>
        <v>Unknown</v>
      </c>
      <c r="V900" s="27" t="n">
        <f aca="false">'Player Data'!U900</f>
        <v>2029</v>
      </c>
      <c r="W900" s="21" t="str">
        <f aca="false">IF(AND(T900&gt;=Assumptions!$B$19,U900="No"),"High Priority - Unrepresented",IF(T900&gt;=Assumptions!$B$19,"High Priority",IF(AND(T900&gt;=Assumptions!$B$20,U900="No"),"Watchlist - Unrepresented",IF(T900&gt;=Assumptions!$B$20,"Watchlist",""))))</f>
        <v/>
      </c>
      <c r="X900" s="21" t="str">
        <f aca="false">'Player Data'!V900</f>
        <v>info@doualacity.cm</v>
      </c>
      <c r="Y900" s="28" t="str">
        <f aca="false">'Player Data'!W900</f>
        <v>Club sporting director / first-team office</v>
      </c>
      <c r="Z900" s="28" t="str">
        <f aca="false">'Player Data'!X900</f>
        <v>FECAFOOT (Cameroonian Football Federation) player registry</v>
      </c>
      <c r="AA900" s="19" t="str">
        <f aca="false">HYPERLINK("https://www.transfermarkt.com/schnellsuche/ergebnis/schnellsuche?query="&amp;SUBSTITUTE(A900," ","+"),"Search Transfermarkt")</f>
        <v>Search Transfermarkt</v>
      </c>
      <c r="AB900" s="29" t="n">
        <f aca="false">IFERROR('Player Data'!K900/('Player Data'!K900+'Player Data'!L900),0)</f>
        <v>0.606837606837607</v>
      </c>
      <c r="AC900" s="21" t="str">
        <f aca="false">IF(B900="GK",IF(AND(O900&gt;=Assumptions!$B$23,N900&gt;=Assumptions!$B$23),"Sweeper-Keeper / Build-from-the-Back",IF(O900&gt;=Assumptions!$B$23,"Sweeper-Keeper / High Line",IF(M900&gt;=Assumptions!$B$23,"Shot-Stopper / Traditional","Flexible / Multi-System"))),IF(AND(O900&gt;=Assumptions!$B$23,P900&gt;=Assumptions!$B$24),"High Press / Gegenpressing",IF(AND(N900&gt;=Assumptions!$B$23,AB900&gt;=Assumptions!$B$25),"Possession / Build-from-the-Back",IF(N900&gt;=Assumptions!$B$23,"Counter-Attack / Transition",IF(AND(O900&gt;=Assumptions!$B$23,N900&lt;Assumptions!$B$26),"Low Block / Park the Bus",IF(AND(B900="FW",M900&gt;=Assumptions!$B$23,N900&lt;Assumptions!$B$26),"Direct / Target Approach","Flexible / Multi-System"))))))</f>
        <v>Flexible / Multi-System</v>
      </c>
      <c r="AD900" s="21" t="str">
        <f aca="false">'Player Data'!Y900</f>
        <v>2026-07-17</v>
      </c>
      <c r="AE900" s="21" t="str">
        <f aca="false">'Player Data'!Z900</f>
        <v>2026-07-17</v>
      </c>
      <c r="AF900" s="28" t="str">
        <f aca="false">IFERROR(INDEX(Assumptions!$B$30:$B$61,MATCH(C900,Assumptions!$A$30:$A$61,0)),"--")</f>
        <v>Belgium, Portugal</v>
      </c>
      <c r="AG900" s="30" t="str">
        <f aca="false">IF(R900&gt;=0.7,"Step-Up Candidate",IF(R900&gt;=0.4,"Lateral Move","Stay &amp; Develop"))</f>
        <v>Stay &amp; Develop</v>
      </c>
    </row>
    <row r="901" customFormat="false" ht="23.85" hidden="false" customHeight="false" outlineLevel="0" collapsed="false">
      <c r="A901" s="21" t="str">
        <f aca="false">'Player Data'!A901</f>
        <v>Luka Novak</v>
      </c>
      <c r="B901" s="21" t="str">
        <f aca="false">'Player Data'!F901</f>
        <v>FW</v>
      </c>
      <c r="C901" s="21" t="str">
        <f aca="false">'Player Data'!B901</f>
        <v>Croatia</v>
      </c>
      <c r="D901" s="21" t="str">
        <f aca="false">'Player Data'!C901</f>
        <v>Croatia Amateur League</v>
      </c>
      <c r="E901" s="21" t="n">
        <f aca="false">'Player Data'!D901</f>
        <v>2</v>
      </c>
      <c r="F901" s="21" t="n">
        <f aca="false">'Player Data'!G901</f>
        <v>17</v>
      </c>
      <c r="G901" s="21" t="n">
        <f aca="false">'Player Data'!H901</f>
        <v>1607</v>
      </c>
      <c r="H901" s="22" t="n">
        <f aca="false">IF(B901="GK",IFERROR(('Player Data'!N901-1.5*'Player Data'!O901)/'Player Data'!H901*90,0),IFERROR(('Player Data'!I901+'Player Data'!J901)/'Player Data'!H901*90,0))</f>
        <v>1.56813939016802</v>
      </c>
      <c r="I901" s="22" t="n">
        <f aca="false">IF(B901="GK",'Player Data'!P901,IFERROR(('Player Data'!K901+'Player Data'!L901)/'Player Data'!H901*90,0))</f>
        <v>6.60858742999378</v>
      </c>
      <c r="J901" s="22" t="n">
        <f aca="false">IF(B901="GK",IFERROR('Player Data'!Q901/'Player Data'!H901*90,0),IFERROR('Player Data'!M901/'Player Data'!H901*90,0))</f>
        <v>0.336029869321717</v>
      </c>
      <c r="K901" s="23" t="n">
        <f aca="false">'Player Data'!S901</f>
        <v>19445</v>
      </c>
      <c r="L901" s="22" t="n">
        <f aca="false">INDEX(Assumptions!$B$13:$B$15,MATCH(E901,Assumptions!$A$13:$A$15,0))</f>
        <v>1</v>
      </c>
      <c r="M901" s="24" t="n">
        <f aca="false">IFERROR(SUMPRODUCT(($B$2:$B$1001=B901)*($H$2:$H$1001&lt;=H901))/SUMPRODUCT(($B$2:$B$1001=B901)*1),0)</f>
        <v>0.871681415929204</v>
      </c>
      <c r="N901" s="24" t="n">
        <f aca="false">IFERROR(SUMPRODUCT(($B$2:$B$1001=B901)*($I$2:$I$1001&lt;=I901))/SUMPRODUCT(($B$2:$B$1001=B901)*1),0)</f>
        <v>0.508849557522124</v>
      </c>
      <c r="O901" s="24" t="n">
        <f aca="false">IFERROR(SUMPRODUCT(($B$2:$B$1001=B901)*($J$2:$J$1001&lt;=J901))/SUMPRODUCT(($B$2:$B$1001=B901)*1),0)</f>
        <v>0.221238938053097</v>
      </c>
      <c r="P901" s="24" t="n">
        <f aca="false">IFERROR(SUMPRODUCT(($B$2:$B$1001=B901)*((0-$F$2:$F$1001)&lt;=(0-F901)))/SUMPRODUCT(($B$2:$B$1001=B901)*1),0)</f>
        <v>1</v>
      </c>
      <c r="Q901" s="25" t="n">
        <f aca="false">(M901*Assumptions!$B$5+N901*Assumptions!$B$6+O901*Assumptions!$B$7+P901*Assumptions!$B$8)*L901</f>
        <v>0.640265486725664</v>
      </c>
      <c r="R901" s="24" t="n">
        <f aca="false">IFERROR(SUMPRODUCT(($B$2:$B$1001=B901)*($Q$2:$Q$1001&lt;=Q901))/SUMPRODUCT(($B$2:$B$1001=B901)*1),0)</f>
        <v>0.809734513274336</v>
      </c>
      <c r="S901" s="24" t="n">
        <f aca="false">IFERROR(SUMPRODUCT(($B$2:$B$1001=B901)*($K$2:$K$1001&lt;=K901))/SUMPRODUCT(($B$2:$B$1001=B901)*1),0)</f>
        <v>0.327433628318584</v>
      </c>
      <c r="T901" s="26" t="n">
        <f aca="false">(R901-S901)*100</f>
        <v>48.2300884955752</v>
      </c>
      <c r="U901" s="21" t="str">
        <f aca="false">'Player Data'!T901</f>
        <v>No</v>
      </c>
      <c r="V901" s="27" t="n">
        <f aca="false">'Player Data'!U901</f>
        <v>2026</v>
      </c>
      <c r="W901" s="21" t="str">
        <f aca="false">IF(AND(T901&gt;=Assumptions!$B$19,U901="No"),"High Priority - Unrepresented",IF(T901&gt;=Assumptions!$B$19,"High Priority",IF(AND(T901&gt;=Assumptions!$B$20,U901="No"),"Watchlist - Unrepresented",IF(T901&gt;=Assumptions!$B$20,"Watchlist",""))))</f>
        <v>High Priority - Unrepresented</v>
      </c>
      <c r="X901" s="21" t="str">
        <f aca="false">'Player Data'!V901</f>
        <v>info@osijekrangers.hr</v>
      </c>
      <c r="Y901" s="28" t="str">
        <f aca="false">'Player Data'!W901</f>
        <v>Club youth/academy office ONLY - player is a minor, do not contact directly</v>
      </c>
      <c r="Z901" s="28" t="str">
        <f aca="false">'Player Data'!X901</f>
        <v>HNS (Croatian Football Federation) player registry</v>
      </c>
      <c r="AA901" s="19" t="str">
        <f aca="false">HYPERLINK("https://www.transfermarkt.com/schnellsuche/ergebnis/schnellsuche?query="&amp;SUBSTITUTE(A901," ","+"),"Search Transfermarkt")</f>
        <v>Search Transfermarkt</v>
      </c>
      <c r="AB901" s="29" t="n">
        <f aca="false">IFERROR('Player Data'!K901/('Player Data'!K901+'Player Data'!L901),0)</f>
        <v>0.449152542372881</v>
      </c>
      <c r="AC901" s="21" t="str">
        <f aca="false">IF(B901="GK",IF(AND(O901&gt;=Assumptions!$B$23,N901&gt;=Assumptions!$B$23),"Sweeper-Keeper / Build-from-the-Back",IF(O901&gt;=Assumptions!$B$23,"Sweeper-Keeper / High Line",IF(M901&gt;=Assumptions!$B$23,"Shot-Stopper / Traditional","Flexible / Multi-System"))),IF(AND(O901&gt;=Assumptions!$B$23,P901&gt;=Assumptions!$B$24),"High Press / Gegenpressing",IF(AND(N901&gt;=Assumptions!$B$23,AB901&gt;=Assumptions!$B$25),"Possession / Build-from-the-Back",IF(N901&gt;=Assumptions!$B$23,"Counter-Attack / Transition",IF(AND(O901&gt;=Assumptions!$B$23,N901&lt;Assumptions!$B$26),"Low Block / Park the Bus",IF(AND(B901="FW",M901&gt;=Assumptions!$B$23,N901&lt;Assumptions!$B$26),"Direct / Target Approach","Flexible / Multi-System"))))))</f>
        <v>Flexible / Multi-System</v>
      </c>
      <c r="AD901" s="21" t="str">
        <f aca="false">'Player Data'!Y901</f>
        <v>2026-07-17</v>
      </c>
      <c r="AE901" s="21" t="str">
        <f aca="false">'Player Data'!Z901</f>
        <v>2026-07-17</v>
      </c>
      <c r="AF901" s="28" t="str">
        <f aca="false">IFERROR(INDEX(Assumptions!$B$30:$B$61,MATCH(C901,Assumptions!$A$30:$A$61,0)),"--")</f>
        <v>Austria, Turkey</v>
      </c>
      <c r="AG901" s="30" t="str">
        <f aca="false">IF(R901&gt;=0.7,"Step-Up Candidate",IF(R901&gt;=0.4,"Lateral Move","Stay &amp; Develop"))</f>
        <v>Step-Up Candidate</v>
      </c>
    </row>
    <row r="902" customFormat="false" ht="23.85" hidden="false" customHeight="false" outlineLevel="0" collapsed="false">
      <c r="A902" s="21" t="str">
        <f aca="false">'Player Data'!A902</f>
        <v>Sherzod Tashkentov</v>
      </c>
      <c r="B902" s="21" t="str">
        <f aca="false">'Player Data'!F902</f>
        <v>GK</v>
      </c>
      <c r="C902" s="21" t="str">
        <f aca="false">'Player Data'!B902</f>
        <v>Uzbekistan</v>
      </c>
      <c r="D902" s="21" t="str">
        <f aca="false">'Player Data'!C902</f>
        <v>Uzbekistan Provincial League</v>
      </c>
      <c r="E902" s="21" t="n">
        <f aca="false">'Player Data'!D902</f>
        <v>2</v>
      </c>
      <c r="F902" s="21" t="n">
        <f aca="false">'Player Data'!G902</f>
        <v>26</v>
      </c>
      <c r="G902" s="21" t="n">
        <f aca="false">'Player Data'!H902</f>
        <v>880</v>
      </c>
      <c r="H902" s="22" t="n">
        <f aca="false">IF(B902="GK",IFERROR(('Player Data'!N902-1.5*'Player Data'!O902)/'Player Data'!H902*90,0),IFERROR(('Player Data'!I902+'Player Data'!J902)/'Player Data'!H902*90,0))</f>
        <v>1.94318181818182</v>
      </c>
      <c r="I902" s="22" t="n">
        <f aca="false">IF(B902="GK",'Player Data'!P902,IFERROR(('Player Data'!K902+'Player Data'!L902)/'Player Data'!H902*90,0))</f>
        <v>85.1</v>
      </c>
      <c r="J902" s="22" t="n">
        <f aca="false">IF(B902="GK",IFERROR('Player Data'!Q902/'Player Data'!H902*90,0),IFERROR('Player Data'!M902/'Player Data'!H902*90,0))</f>
        <v>0.480681818181818</v>
      </c>
      <c r="K902" s="23" t="n">
        <f aca="false">'Player Data'!S902</f>
        <v>13021</v>
      </c>
      <c r="L902" s="22" t="n">
        <f aca="false">INDEX(Assumptions!$B$13:$B$15,MATCH(E902,Assumptions!$A$13:$A$15,0))</f>
        <v>1</v>
      </c>
      <c r="M902" s="24" t="n">
        <f aca="false">IFERROR(SUMPRODUCT(($B$2:$B$1001=B902)*($H$2:$H$1001&lt;=H902))/SUMPRODUCT(($B$2:$B$1001=B902)*1),0)</f>
        <v>0.885245901639344</v>
      </c>
      <c r="N902" s="24" t="n">
        <f aca="false">IFERROR(SUMPRODUCT(($B$2:$B$1001=B902)*($I$2:$I$1001&lt;=I902))/SUMPRODUCT(($B$2:$B$1001=B902)*1),0)</f>
        <v>0.85792349726776</v>
      </c>
      <c r="O902" s="24" t="n">
        <f aca="false">IFERROR(SUMPRODUCT(($B$2:$B$1001=B902)*($J$2:$J$1001&lt;=J902))/SUMPRODUCT(($B$2:$B$1001=B902)*1),0)</f>
        <v>0.245901639344262</v>
      </c>
      <c r="P902" s="24" t="n">
        <f aca="false">IFERROR(SUMPRODUCT(($B$2:$B$1001=B902)*((0-$F$2:$F$1001)&lt;=(0-F902)))/SUMPRODUCT(($B$2:$B$1001=B902)*1),0)</f>
        <v>0.131147540983607</v>
      </c>
      <c r="Q902" s="25" t="n">
        <f aca="false">(M902*Assumptions!$B$5+N902*Assumptions!$B$6+O902*Assumptions!$B$7+P902*Assumptions!$B$8)*L902</f>
        <v>0.596994535519126</v>
      </c>
      <c r="R902" s="24" t="n">
        <f aca="false">IFERROR(SUMPRODUCT(($B$2:$B$1001=B902)*($Q$2:$Q$1001&lt;=Q902))/SUMPRODUCT(($B$2:$B$1001=B902)*1),0)</f>
        <v>0.852459016393443</v>
      </c>
      <c r="S902" s="24" t="n">
        <f aca="false">IFERROR(SUMPRODUCT(($B$2:$B$1001=B902)*($K$2:$K$1001&lt;=K902))/SUMPRODUCT(($B$2:$B$1001=B902)*1),0)</f>
        <v>0.234972677595628</v>
      </c>
      <c r="T902" s="26" t="n">
        <f aca="false">(R902-S902)*100</f>
        <v>61.7486338797814</v>
      </c>
      <c r="U902" s="21" t="str">
        <f aca="false">'Player Data'!T902</f>
        <v>Yes</v>
      </c>
      <c r="V902" s="27" t="n">
        <f aca="false">'Player Data'!U902</f>
        <v>2027</v>
      </c>
      <c r="W902" s="21" t="str">
        <f aca="false">IF(AND(T902&gt;=Assumptions!$B$19,U902="No"),"High Priority - Unrepresented",IF(T902&gt;=Assumptions!$B$19,"High Priority",IF(AND(T902&gt;=Assumptions!$B$20,U902="No"),"Watchlist - Unrepresented",IF(T902&gt;=Assumptions!$B$20,"Watchlist",""))))</f>
        <v>High Priority</v>
      </c>
      <c r="X902" s="21" t="str">
        <f aca="false">'Player Data'!V902</f>
        <v>info@samarkandfc.uz</v>
      </c>
      <c r="Y902" s="28" t="str">
        <f aca="false">'Player Data'!W902</f>
        <v>Go through the player's agent - ask the club to confirm representation first</v>
      </c>
      <c r="Z902" s="28" t="str">
        <f aca="false">'Player Data'!X902</f>
        <v>UFF (Uzbekistan Football Federation) player registry</v>
      </c>
      <c r="AA902" s="19" t="str">
        <f aca="false">HYPERLINK("https://www.transfermarkt.com/schnellsuche/ergebnis/schnellsuche?query="&amp;SUBSTITUTE(A902," ","+"),"Search Transfermarkt")</f>
        <v>Search Transfermarkt</v>
      </c>
      <c r="AB902" s="29" t="n">
        <f aca="false">IFERROR('Player Data'!K902/('Player Data'!K902+'Player Data'!L902),0)</f>
        <v>0.95</v>
      </c>
      <c r="AC902" s="21" t="str">
        <f aca="false">IF(B902="GK",IF(AND(O902&gt;=Assumptions!$B$23,N902&gt;=Assumptions!$B$23),"Sweeper-Keeper / Build-from-the-Back",IF(O902&gt;=Assumptions!$B$23,"Sweeper-Keeper / High Line",IF(M902&gt;=Assumptions!$B$23,"Shot-Stopper / Traditional","Flexible / Multi-System"))),IF(AND(O902&gt;=Assumptions!$B$23,P902&gt;=Assumptions!$B$24),"High Press / Gegenpressing",IF(AND(N902&gt;=Assumptions!$B$23,AB902&gt;=Assumptions!$B$25),"Possession / Build-from-the-Back",IF(N902&gt;=Assumptions!$B$23,"Counter-Attack / Transition",IF(AND(O902&gt;=Assumptions!$B$23,N902&lt;Assumptions!$B$26),"Low Block / Park the Bus",IF(AND(B902="FW",M902&gt;=Assumptions!$B$23,N902&lt;Assumptions!$B$26),"Direct / Target Approach","Flexible / Multi-System"))))))</f>
        <v>Shot-Stopper / Traditional</v>
      </c>
      <c r="AD902" s="21" t="str">
        <f aca="false">'Player Data'!Y902</f>
        <v>2026-07-17</v>
      </c>
      <c r="AE902" s="21" t="str">
        <f aca="false">'Player Data'!Z902</f>
        <v>2026-07-17</v>
      </c>
      <c r="AF902" s="28" t="str">
        <f aca="false">IFERROR(INDEX(Assumptions!$B$30:$B$61,MATCH(C902,Assumptions!$A$30:$A$61,0)),"--")</f>
        <v>Turkey, Saudi Arabia</v>
      </c>
      <c r="AG902" s="30" t="str">
        <f aca="false">IF(R902&gt;=0.7,"Step-Up Candidate",IF(R902&gt;=0.4,"Lateral Move","Stay &amp; Develop"))</f>
        <v>Step-Up Candidate</v>
      </c>
    </row>
    <row r="903" customFormat="false" ht="23.85" hidden="false" customHeight="false" outlineLevel="0" collapsed="false">
      <c r="A903" s="21" t="str">
        <f aca="false">'Player Data'!A903</f>
        <v>Olafur Halldorsson</v>
      </c>
      <c r="B903" s="21" t="str">
        <f aca="false">'Player Data'!F903</f>
        <v>GK</v>
      </c>
      <c r="C903" s="21" t="str">
        <f aca="false">'Player Data'!B903</f>
        <v>Iceland</v>
      </c>
      <c r="D903" s="21" t="str">
        <f aca="false">'Player Data'!C903</f>
        <v>Iceland Third Tier - North</v>
      </c>
      <c r="E903" s="21" t="n">
        <f aca="false">'Player Data'!D903</f>
        <v>2</v>
      </c>
      <c r="F903" s="21" t="n">
        <f aca="false">'Player Data'!G903</f>
        <v>22</v>
      </c>
      <c r="G903" s="21" t="n">
        <f aca="false">'Player Data'!H903</f>
        <v>2660</v>
      </c>
      <c r="H903" s="22" t="n">
        <f aca="false">IF(B903="GK",IFERROR(('Player Data'!N903-1.5*'Player Data'!O903)/'Player Data'!H903*90,0),IFERROR(('Player Data'!I903+'Player Data'!J903)/'Player Data'!H903*90,0))</f>
        <v>1.57330827067669</v>
      </c>
      <c r="I903" s="22" t="n">
        <f aca="false">IF(B903="GK",'Player Data'!P903,IFERROR(('Player Data'!K903+'Player Data'!L903)/'Player Data'!H903*90,0))</f>
        <v>66</v>
      </c>
      <c r="J903" s="22" t="n">
        <f aca="false">IF(B903="GK",IFERROR('Player Data'!Q903/'Player Data'!H903*90,0),IFERROR('Player Data'!M903/'Player Data'!H903*90,0))</f>
        <v>1.42781954887218</v>
      </c>
      <c r="K903" s="23" t="n">
        <f aca="false">'Player Data'!S903</f>
        <v>119657</v>
      </c>
      <c r="L903" s="22" t="n">
        <f aca="false">INDEX(Assumptions!$B$13:$B$15,MATCH(E903,Assumptions!$A$13:$A$15,0))</f>
        <v>1</v>
      </c>
      <c r="M903" s="24" t="n">
        <f aca="false">IFERROR(SUMPRODUCT(($B$2:$B$1001=B903)*($H$2:$H$1001&lt;=H903))/SUMPRODUCT(($B$2:$B$1001=B903)*1),0)</f>
        <v>0.73224043715847</v>
      </c>
      <c r="N903" s="24" t="n">
        <f aca="false">IFERROR(SUMPRODUCT(($B$2:$B$1001=B903)*($I$2:$I$1001&lt;=I903))/SUMPRODUCT(($B$2:$B$1001=B903)*1),0)</f>
        <v>0.306010928961749</v>
      </c>
      <c r="O903" s="24" t="n">
        <f aca="false">IFERROR(SUMPRODUCT(($B$2:$B$1001=B903)*($J$2:$J$1001&lt;=J903))/SUMPRODUCT(($B$2:$B$1001=B903)*1),0)</f>
        <v>0.934426229508197</v>
      </c>
      <c r="P903" s="24" t="n">
        <f aca="false">IFERROR(SUMPRODUCT(($B$2:$B$1001=B903)*((0-$F$2:$F$1001)&lt;=(0-F903)))/SUMPRODUCT(($B$2:$B$1001=B903)*1),0)</f>
        <v>0.530054644808743</v>
      </c>
      <c r="Q903" s="25" t="n">
        <f aca="false">(M903*Assumptions!$B$5+N903*Assumptions!$B$6+O903*Assumptions!$B$7+P903*Assumptions!$B$8)*L903</f>
        <v>0.583060109289618</v>
      </c>
      <c r="R903" s="24" t="n">
        <f aca="false">IFERROR(SUMPRODUCT(($B$2:$B$1001=B903)*($Q$2:$Q$1001&lt;=Q903))/SUMPRODUCT(($B$2:$B$1001=B903)*1),0)</f>
        <v>0.825136612021858</v>
      </c>
      <c r="S903" s="24" t="n">
        <f aca="false">IFERROR(SUMPRODUCT(($B$2:$B$1001=B903)*($K$2:$K$1001&lt;=K903))/SUMPRODUCT(($B$2:$B$1001=B903)*1),0)</f>
        <v>0.80327868852459</v>
      </c>
      <c r="T903" s="26" t="n">
        <f aca="false">(R903-S903)*100</f>
        <v>2.18579234972678</v>
      </c>
      <c r="U903" s="21" t="str">
        <f aca="false">'Player Data'!T903</f>
        <v>Yes</v>
      </c>
      <c r="V903" s="27" t="n">
        <f aca="false">'Player Data'!U903</f>
        <v>2029</v>
      </c>
      <c r="W903" s="21" t="str">
        <f aca="false">IF(AND(T903&gt;=Assumptions!$B$19,U903="No"),"High Priority - Unrepresented",IF(T903&gt;=Assumptions!$B$19,"High Priority",IF(AND(T903&gt;=Assumptions!$B$20,U903="No"),"Watchlist - Unrepresented",IF(T903&gt;=Assumptions!$B$20,"Watchlist",""))))</f>
        <v/>
      </c>
      <c r="X903" s="21" t="str">
        <f aca="false">'Player Data'!V903</f>
        <v>info@selfossunited.is</v>
      </c>
      <c r="Y903" s="28" t="str">
        <f aca="false">'Player Data'!W903</f>
        <v>Go through the player's agent - ask the club to confirm representation first</v>
      </c>
      <c r="Z903" s="28" t="str">
        <f aca="false">'Player Data'!X903</f>
        <v>KSI (Icelandic Football Association) player registry</v>
      </c>
      <c r="AA903" s="19" t="str">
        <f aca="false">HYPERLINK("https://www.transfermarkt.com/schnellsuche/ergebnis/schnellsuche?query="&amp;SUBSTITUTE(A903," ","+"),"Search Transfermarkt")</f>
        <v>Search Transfermarkt</v>
      </c>
      <c r="AB903" s="29" t="n">
        <f aca="false">IFERROR('Player Data'!K903/('Player Data'!K903+'Player Data'!L903),0)</f>
        <v>0.909090909090909</v>
      </c>
      <c r="AC903" s="21" t="str">
        <f aca="false">IF(B903="GK",IF(AND(O903&gt;=Assumptions!$B$23,N903&gt;=Assumptions!$B$23),"Sweeper-Keeper / Build-from-the-Back",IF(O903&gt;=Assumptions!$B$23,"Sweeper-Keeper / High Line",IF(M903&gt;=Assumptions!$B$23,"Shot-Stopper / Traditional","Flexible / Multi-System"))),IF(AND(O903&gt;=Assumptions!$B$23,P903&gt;=Assumptions!$B$24),"High Press / Gegenpressing",IF(AND(N903&gt;=Assumptions!$B$23,AB903&gt;=Assumptions!$B$25),"Possession / Build-from-the-Back",IF(N903&gt;=Assumptions!$B$23,"Counter-Attack / Transition",IF(AND(O903&gt;=Assumptions!$B$23,N903&lt;Assumptions!$B$26),"Low Block / Park the Bus",IF(AND(B903="FW",M903&gt;=Assumptions!$B$23,N903&lt;Assumptions!$B$26),"Direct / Target Approach","Flexible / Multi-System"))))))</f>
        <v>Sweeper-Keeper / High Line</v>
      </c>
      <c r="AD903" s="21" t="str">
        <f aca="false">'Player Data'!Y903</f>
        <v>2026-07-17</v>
      </c>
      <c r="AE903" s="21" t="str">
        <f aca="false">'Player Data'!Z903</f>
        <v>2026-07-17</v>
      </c>
      <c r="AF903" s="28" t="str">
        <f aca="false">IFERROR(INDEX(Assumptions!$B$30:$B$61,MATCH(C903,Assumptions!$A$30:$A$61,0)),"--")</f>
        <v>Norway, Belgium</v>
      </c>
      <c r="AG903" s="30" t="str">
        <f aca="false">IF(R903&gt;=0.7,"Step-Up Candidate",IF(R903&gt;=0.4,"Lateral Move","Stay &amp; Develop"))</f>
        <v>Step-Up Candidate</v>
      </c>
    </row>
    <row r="904" customFormat="false" ht="23.85" hidden="false" customHeight="false" outlineLevel="0" collapsed="false">
      <c r="A904" s="21" t="str">
        <f aca="false">'Player Data'!A904</f>
        <v>Min-jun Jung</v>
      </c>
      <c r="B904" s="21" t="str">
        <f aca="false">'Player Data'!F904</f>
        <v>FW</v>
      </c>
      <c r="C904" s="21" t="str">
        <f aca="false">'Player Data'!B904</f>
        <v>South Korea</v>
      </c>
      <c r="D904" s="21" t="str">
        <f aca="false">'Player Data'!C904</f>
        <v>South Korea Second Division - West</v>
      </c>
      <c r="E904" s="21" t="n">
        <f aca="false">'Player Data'!D904</f>
        <v>2</v>
      </c>
      <c r="F904" s="21" t="n">
        <f aca="false">'Player Data'!G904</f>
        <v>22</v>
      </c>
      <c r="G904" s="21" t="n">
        <f aca="false">'Player Data'!H904</f>
        <v>2680</v>
      </c>
      <c r="H904" s="22" t="n">
        <f aca="false">IF(B904="GK",IFERROR(('Player Data'!N904-1.5*'Player Data'!O904)/'Player Data'!H904*90,0),IFERROR(('Player Data'!I904+'Player Data'!J904)/'Player Data'!H904*90,0))</f>
        <v>0.436567164179104</v>
      </c>
      <c r="I904" s="22" t="n">
        <f aca="false">IF(B904="GK",'Player Data'!P904,IFERROR(('Player Data'!K904+'Player Data'!L904)/'Player Data'!H904*90,0))</f>
        <v>4.90298507462687</v>
      </c>
      <c r="J904" s="22" t="n">
        <f aca="false">IF(B904="GK",IFERROR('Player Data'!Q904/'Player Data'!H904*90,0),IFERROR('Player Data'!M904/'Player Data'!H904*90,0))</f>
        <v>0.26865671641791</v>
      </c>
      <c r="K904" s="23" t="n">
        <f aca="false">'Player Data'!S904</f>
        <v>108364</v>
      </c>
      <c r="L904" s="22" t="n">
        <f aca="false">INDEX(Assumptions!$B$13:$B$15,MATCH(E904,Assumptions!$A$13:$A$15,0))</f>
        <v>1</v>
      </c>
      <c r="M904" s="24" t="n">
        <f aca="false">IFERROR(SUMPRODUCT(($B$2:$B$1001=B904)*($H$2:$H$1001&lt;=H904))/SUMPRODUCT(($B$2:$B$1001=B904)*1),0)</f>
        <v>0.0309734513274336</v>
      </c>
      <c r="N904" s="24" t="n">
        <f aca="false">IFERROR(SUMPRODUCT(($B$2:$B$1001=B904)*($I$2:$I$1001&lt;=I904))/SUMPRODUCT(($B$2:$B$1001=B904)*1),0)</f>
        <v>0.194690265486726</v>
      </c>
      <c r="O904" s="24" t="n">
        <f aca="false">IFERROR(SUMPRODUCT(($B$2:$B$1001=B904)*($J$2:$J$1001&lt;=J904))/SUMPRODUCT(($B$2:$B$1001=B904)*1),0)</f>
        <v>0.123893805309735</v>
      </c>
      <c r="P904" s="24" t="n">
        <f aca="false">IFERROR(SUMPRODUCT(($B$2:$B$1001=B904)*((0-$F$2:$F$1001)&lt;=(0-F904)))/SUMPRODUCT(($B$2:$B$1001=B904)*1),0)</f>
        <v>0.504424778761062</v>
      </c>
      <c r="Q904" s="25" t="n">
        <f aca="false">(M904*Assumptions!$B$5+N904*Assumptions!$B$6+O904*Assumptions!$B$7+P904*Assumptions!$B$8)*L904</f>
        <v>0.201548672566372</v>
      </c>
      <c r="R904" s="24" t="n">
        <f aca="false">IFERROR(SUMPRODUCT(($B$2:$B$1001=B904)*($Q$2:$Q$1001&lt;=Q904))/SUMPRODUCT(($B$2:$B$1001=B904)*1),0)</f>
        <v>0.084070796460177</v>
      </c>
      <c r="S904" s="24" t="n">
        <f aca="false">IFERROR(SUMPRODUCT(($B$2:$B$1001=B904)*($K$2:$K$1001&lt;=K904))/SUMPRODUCT(($B$2:$B$1001=B904)*1),0)</f>
        <v>0.778761061946903</v>
      </c>
      <c r="T904" s="26" t="n">
        <f aca="false">(R904-S904)*100</f>
        <v>-69.4690265486726</v>
      </c>
      <c r="U904" s="21" t="str">
        <f aca="false">'Player Data'!T904</f>
        <v>No</v>
      </c>
      <c r="V904" s="27" t="n">
        <f aca="false">'Player Data'!U904</f>
        <v>2029</v>
      </c>
      <c r="W904" s="21" t="str">
        <f aca="false">IF(AND(T904&gt;=Assumptions!$B$19,U904="No"),"High Priority - Unrepresented",IF(T904&gt;=Assumptions!$B$19,"High Priority",IF(AND(T904&gt;=Assumptions!$B$20,U904="No"),"Watchlist - Unrepresented",IF(T904&gt;=Assumptions!$B$20,"Watchlist",""))))</f>
        <v/>
      </c>
      <c r="X904" s="21" t="str">
        <f aca="false">'Player Data'!V904</f>
        <v>info@incheonsc.kr</v>
      </c>
      <c r="Y904" s="28" t="str">
        <f aca="false">'Player Data'!W904</f>
        <v>Club sporting director / first-team office</v>
      </c>
      <c r="Z904" s="28" t="str">
        <f aca="false">'Player Data'!X904</f>
        <v>KFA (Korea Football Association) player registry</v>
      </c>
      <c r="AA904" s="19" t="str">
        <f aca="false">HYPERLINK("https://www.transfermarkt.com/schnellsuche/ergebnis/schnellsuche?query="&amp;SUBSTITUTE(A904," ","+"),"Search Transfermarkt")</f>
        <v>Search Transfermarkt</v>
      </c>
      <c r="AB904" s="29" t="n">
        <f aca="false">IFERROR('Player Data'!K904/('Player Data'!K904+'Player Data'!L904),0)</f>
        <v>0.383561643835616</v>
      </c>
      <c r="AC904" s="21" t="str">
        <f aca="false">IF(B904="GK",IF(AND(O904&gt;=Assumptions!$B$23,N904&gt;=Assumptions!$B$23),"Sweeper-Keeper / Build-from-the-Back",IF(O904&gt;=Assumptions!$B$23,"Sweeper-Keeper / High Line",IF(M904&gt;=Assumptions!$B$23,"Shot-Stopper / Traditional","Flexible / Multi-System"))),IF(AND(O904&gt;=Assumptions!$B$23,P904&gt;=Assumptions!$B$24),"High Press / Gegenpressing",IF(AND(N904&gt;=Assumptions!$B$23,AB904&gt;=Assumptions!$B$25),"Possession / Build-from-the-Back",IF(N904&gt;=Assumptions!$B$23,"Counter-Attack / Transition",IF(AND(O904&gt;=Assumptions!$B$23,N904&lt;Assumptions!$B$26),"Low Block / Park the Bus",IF(AND(B904="FW",M904&gt;=Assumptions!$B$23,N904&lt;Assumptions!$B$26),"Direct / Target Approach","Flexible / Multi-System"))))))</f>
        <v>Flexible / Multi-System</v>
      </c>
      <c r="AD904" s="21" t="str">
        <f aca="false">'Player Data'!Y904</f>
        <v>2026-07-17</v>
      </c>
      <c r="AE904" s="21" t="str">
        <f aca="false">'Player Data'!Z904</f>
        <v>2026-07-17</v>
      </c>
      <c r="AF904" s="28" t="str">
        <f aca="false">IFERROR(INDEX(Assumptions!$B$30:$B$61,MATCH(C904,Assumptions!$A$30:$A$61,0)),"--")</f>
        <v>Belgium, Saudi Arabia</v>
      </c>
      <c r="AG904" s="30" t="str">
        <f aca="false">IF(R904&gt;=0.7,"Step-Up Candidate",IF(R904&gt;=0.4,"Lateral Move","Stay &amp; Develop"))</f>
        <v>Stay &amp; Develop</v>
      </c>
    </row>
    <row r="905" customFormat="false" ht="23.85" hidden="false" customHeight="false" outlineLevel="0" collapsed="false">
      <c r="A905" s="21" t="str">
        <f aca="false">'Player Data'!A905</f>
        <v>Darko Stojanovski</v>
      </c>
      <c r="B905" s="21" t="str">
        <f aca="false">'Player Data'!F905</f>
        <v>DF</v>
      </c>
      <c r="C905" s="21" t="str">
        <f aca="false">'Player Data'!B905</f>
        <v>North Macedonia</v>
      </c>
      <c r="D905" s="21" t="str">
        <f aca="false">'Player Data'!C905</f>
        <v>North Macedonia Regional League</v>
      </c>
      <c r="E905" s="21" t="n">
        <f aca="false">'Player Data'!D905</f>
        <v>2</v>
      </c>
      <c r="F905" s="21" t="n">
        <f aca="false">'Player Data'!G905</f>
        <v>22</v>
      </c>
      <c r="G905" s="21" t="n">
        <f aca="false">'Player Data'!H905</f>
        <v>1850</v>
      </c>
      <c r="H905" s="22" t="n">
        <f aca="false">IF(B905="GK",IFERROR(('Player Data'!N905-1.5*'Player Data'!O905)/'Player Data'!H905*90,0),IFERROR(('Player Data'!I905+'Player Data'!J905)/'Player Data'!H905*90,0))</f>
        <v>0.145945945945946</v>
      </c>
      <c r="I905" s="22" t="n">
        <f aca="false">IF(B905="GK",'Player Data'!P905,IFERROR(('Player Data'!K905+'Player Data'!L905)/'Player Data'!H905*90,0))</f>
        <v>4.52432432432433</v>
      </c>
      <c r="J905" s="22" t="n">
        <f aca="false">IF(B905="GK",IFERROR('Player Data'!Q905/'Player Data'!H905*90,0),IFERROR('Player Data'!M905/'Player Data'!H905*90,0))</f>
        <v>4.76756756756757</v>
      </c>
      <c r="K905" s="23" t="n">
        <f aca="false">'Player Data'!S905</f>
        <v>145633</v>
      </c>
      <c r="L905" s="22" t="n">
        <f aca="false">INDEX(Assumptions!$B$13:$B$15,MATCH(E905,Assumptions!$A$13:$A$15,0))</f>
        <v>1</v>
      </c>
      <c r="M905" s="24" t="n">
        <f aca="false">IFERROR(SUMPRODUCT(($B$2:$B$1001=B905)*($H$2:$H$1001&lt;=H905))/SUMPRODUCT(($B$2:$B$1001=B905)*1),0)</f>
        <v>0.357142857142857</v>
      </c>
      <c r="N905" s="24" t="n">
        <f aca="false">IFERROR(SUMPRODUCT(($B$2:$B$1001=B905)*($I$2:$I$1001&lt;=I905))/SUMPRODUCT(($B$2:$B$1001=B905)*1),0)</f>
        <v>0.5</v>
      </c>
      <c r="O905" s="24" t="n">
        <f aca="false">IFERROR(SUMPRODUCT(($B$2:$B$1001=B905)*($J$2:$J$1001&lt;=J905))/SUMPRODUCT(($B$2:$B$1001=B905)*1),0)</f>
        <v>0.404761904761905</v>
      </c>
      <c r="P905" s="24" t="n">
        <f aca="false">IFERROR(SUMPRODUCT(($B$2:$B$1001=B905)*((0-$F$2:$F$1001)&lt;=(0-F905)))/SUMPRODUCT(($B$2:$B$1001=B905)*1),0)</f>
        <v>0.493197278911565</v>
      </c>
      <c r="Q905" s="25" t="n">
        <f aca="false">(M905*Assumptions!$B$5+N905*Assumptions!$B$6+O905*Assumptions!$B$7+P905*Assumptions!$B$8)*L905</f>
        <v>0.443877551020408</v>
      </c>
      <c r="R905" s="24" t="n">
        <f aca="false">IFERROR(SUMPRODUCT(($B$2:$B$1001=B905)*($Q$2:$Q$1001&lt;=Q905))/SUMPRODUCT(($B$2:$B$1001=B905)*1),0)</f>
        <v>0.557823129251701</v>
      </c>
      <c r="S905" s="24" t="n">
        <f aca="false">IFERROR(SUMPRODUCT(($B$2:$B$1001=B905)*($K$2:$K$1001&lt;=K905))/SUMPRODUCT(($B$2:$B$1001=B905)*1),0)</f>
        <v>0.982993197278912</v>
      </c>
      <c r="T905" s="26" t="n">
        <f aca="false">(R905-S905)*100</f>
        <v>-42.5170068027211</v>
      </c>
      <c r="U905" s="21" t="str">
        <f aca="false">'Player Data'!T905</f>
        <v>Yes</v>
      </c>
      <c r="V905" s="27" t="n">
        <f aca="false">'Player Data'!U905</f>
        <v>2026</v>
      </c>
      <c r="W905" s="21" t="str">
        <f aca="false">IF(AND(T905&gt;=Assumptions!$B$19,U905="No"),"High Priority - Unrepresented",IF(T905&gt;=Assumptions!$B$19,"High Priority",IF(AND(T905&gt;=Assumptions!$B$20,U905="No"),"Watchlist - Unrepresented",IF(T905&gt;=Assumptions!$B$20,"Watchlist",""))))</f>
        <v/>
      </c>
      <c r="X905" s="21" t="str">
        <f aca="false">'Player Data'!V905</f>
        <v>info@ohridathletic.mk</v>
      </c>
      <c r="Y905" s="28" t="str">
        <f aca="false">'Player Data'!W905</f>
        <v>Go through the player's agent - ask the club to confirm representation first</v>
      </c>
      <c r="Z905" s="28" t="str">
        <f aca="false">'Player Data'!X905</f>
        <v>FFM (Football Federation of North Macedonia) player registry</v>
      </c>
      <c r="AA905" s="19" t="str">
        <f aca="false">HYPERLINK("https://www.transfermarkt.com/schnellsuche/ergebnis/schnellsuche?query="&amp;SUBSTITUTE(A905," ","+"),"Search Transfermarkt")</f>
        <v>Search Transfermarkt</v>
      </c>
      <c r="AB905" s="29" t="n">
        <f aca="false">IFERROR('Player Data'!K905/('Player Data'!K905+'Player Data'!L905),0)</f>
        <v>0.612903225806452</v>
      </c>
      <c r="AC905" s="21" t="str">
        <f aca="false">IF(B905="GK",IF(AND(O905&gt;=Assumptions!$B$23,N905&gt;=Assumptions!$B$23),"Sweeper-Keeper / Build-from-the-Back",IF(O905&gt;=Assumptions!$B$23,"Sweeper-Keeper / High Line",IF(M905&gt;=Assumptions!$B$23,"Shot-Stopper / Traditional","Flexible / Multi-System"))),IF(AND(O905&gt;=Assumptions!$B$23,P905&gt;=Assumptions!$B$24),"High Press / Gegenpressing",IF(AND(N905&gt;=Assumptions!$B$23,AB905&gt;=Assumptions!$B$25),"Possession / Build-from-the-Back",IF(N905&gt;=Assumptions!$B$23,"Counter-Attack / Transition",IF(AND(O905&gt;=Assumptions!$B$23,N905&lt;Assumptions!$B$26),"Low Block / Park the Bus",IF(AND(B905="FW",M905&gt;=Assumptions!$B$23,N905&lt;Assumptions!$B$26),"Direct / Target Approach","Flexible / Multi-System"))))))</f>
        <v>Flexible / Multi-System</v>
      </c>
      <c r="AD905" s="21" t="str">
        <f aca="false">'Player Data'!Y905</f>
        <v>2026-07-17</v>
      </c>
      <c r="AE905" s="21" t="str">
        <f aca="false">'Player Data'!Z905</f>
        <v>2026-07-17</v>
      </c>
      <c r="AF905" s="28" t="str">
        <f aca="false">IFERROR(INDEX(Assumptions!$B$30:$B$61,MATCH(C905,Assumptions!$A$30:$A$61,0)),"--")</f>
        <v>Austria, Turkey</v>
      </c>
      <c r="AG905" s="30" t="str">
        <f aca="false">IF(R905&gt;=0.7,"Step-Up Candidate",IF(R905&gt;=0.4,"Lateral Move","Stay &amp; Develop"))</f>
        <v>Lateral Move</v>
      </c>
    </row>
    <row r="906" customFormat="false" ht="23.85" hidden="false" customHeight="false" outlineLevel="0" collapsed="false">
      <c r="A906" s="21" t="str">
        <f aca="false">'Player Data'!A906</f>
        <v>Ivan Lopez</v>
      </c>
      <c r="B906" s="21" t="str">
        <f aca="false">'Player Data'!F906</f>
        <v>FW</v>
      </c>
      <c r="C906" s="21" t="str">
        <f aca="false">'Player Data'!B906</f>
        <v>Paraguay</v>
      </c>
      <c r="D906" s="21" t="str">
        <f aca="false">'Player Data'!C906</f>
        <v>Paraguay Third Tier - South</v>
      </c>
      <c r="E906" s="21" t="n">
        <f aca="false">'Player Data'!D906</f>
        <v>2</v>
      </c>
      <c r="F906" s="21" t="n">
        <f aca="false">'Player Data'!G906</f>
        <v>26</v>
      </c>
      <c r="G906" s="21" t="n">
        <f aca="false">'Player Data'!H906</f>
        <v>2646</v>
      </c>
      <c r="H906" s="22" t="n">
        <f aca="false">IF(B906="GK",IFERROR(('Player Data'!N906-1.5*'Player Data'!O906)/'Player Data'!H906*90,0),IFERROR(('Player Data'!I906+'Player Data'!J906)/'Player Data'!H906*90,0))</f>
        <v>0.782312925170068</v>
      </c>
      <c r="I906" s="22" t="n">
        <f aca="false">IF(B906="GK",'Player Data'!P906,IFERROR(('Player Data'!K906+'Player Data'!L906)/'Player Data'!H906*90,0))</f>
        <v>4.01360544217687</v>
      </c>
      <c r="J906" s="22" t="n">
        <f aca="false">IF(B906="GK",IFERROR('Player Data'!Q906/'Player Data'!H906*90,0),IFERROR('Player Data'!M906/'Player Data'!H906*90,0))</f>
        <v>0.476190476190476</v>
      </c>
      <c r="K906" s="23" t="n">
        <f aca="false">'Player Data'!S906</f>
        <v>102616</v>
      </c>
      <c r="L906" s="22" t="n">
        <f aca="false">INDEX(Assumptions!$B$13:$B$15,MATCH(E906,Assumptions!$A$13:$A$15,0))</f>
        <v>1</v>
      </c>
      <c r="M906" s="24" t="n">
        <f aca="false">IFERROR(SUMPRODUCT(($B$2:$B$1001=B906)*($H$2:$H$1001&lt;=H906))/SUMPRODUCT(($B$2:$B$1001=B906)*1),0)</f>
        <v>0.287610619469027</v>
      </c>
      <c r="N906" s="24" t="n">
        <f aca="false">IFERROR(SUMPRODUCT(($B$2:$B$1001=B906)*($I$2:$I$1001&lt;=I906))/SUMPRODUCT(($B$2:$B$1001=B906)*1),0)</f>
        <v>0.0442477876106195</v>
      </c>
      <c r="O906" s="24" t="n">
        <f aca="false">IFERROR(SUMPRODUCT(($B$2:$B$1001=B906)*($J$2:$J$1001&lt;=J906))/SUMPRODUCT(($B$2:$B$1001=B906)*1),0)</f>
        <v>0.464601769911504</v>
      </c>
      <c r="P906" s="24" t="n">
        <f aca="false">IFERROR(SUMPRODUCT(($B$2:$B$1001=B906)*((0-$F$2:$F$1001)&lt;=(0-F906)))/SUMPRODUCT(($B$2:$B$1001=B906)*1),0)</f>
        <v>0.0929203539823009</v>
      </c>
      <c r="Q906" s="25" t="n">
        <f aca="false">(M906*Assumptions!$B$5+N906*Assumptions!$B$6+O906*Assumptions!$B$7+P906*Assumptions!$B$8)*L906</f>
        <v>0.198893805309735</v>
      </c>
      <c r="R906" s="24" t="n">
        <f aca="false">IFERROR(SUMPRODUCT(($B$2:$B$1001=B906)*($Q$2:$Q$1001&lt;=Q906))/SUMPRODUCT(($B$2:$B$1001=B906)*1),0)</f>
        <v>0.0752212389380531</v>
      </c>
      <c r="S906" s="24" t="n">
        <f aca="false">IFERROR(SUMPRODUCT(($B$2:$B$1001=B906)*($K$2:$K$1001&lt;=K906))/SUMPRODUCT(($B$2:$B$1001=B906)*1),0)</f>
        <v>0.712389380530973</v>
      </c>
      <c r="T906" s="26" t="n">
        <f aca="false">(R906-S906)*100</f>
        <v>-63.716814159292</v>
      </c>
      <c r="U906" s="21" t="str">
        <f aca="false">'Player Data'!T906</f>
        <v>No</v>
      </c>
      <c r="V906" s="27" t="n">
        <f aca="false">'Player Data'!U906</f>
        <v>2028</v>
      </c>
      <c r="W906" s="21" t="str">
        <f aca="false">IF(AND(T906&gt;=Assumptions!$B$19,U906="No"),"High Priority - Unrepresented",IF(T906&gt;=Assumptions!$B$19,"High Priority",IF(AND(T906&gt;=Assumptions!$B$20,U906="No"),"Watchlist - Unrepresented",IF(T906&gt;=Assumptions!$B$20,"Watchlist",""))))</f>
        <v/>
      </c>
      <c r="X906" s="21" t="str">
        <f aca="false">'Player Data'!V906</f>
        <v>info@asuncionsc.py</v>
      </c>
      <c r="Y906" s="28" t="str">
        <f aca="false">'Player Data'!W906</f>
        <v>Club sporting director / first-team office</v>
      </c>
      <c r="Z906" s="28" t="str">
        <f aca="false">'Player Data'!X906</f>
        <v>APF (Paraguayan Football Association) player registry</v>
      </c>
      <c r="AA906" s="19" t="str">
        <f aca="false">HYPERLINK("https://www.transfermarkt.com/schnellsuche/ergebnis/schnellsuche?query="&amp;SUBSTITUTE(A906," ","+"),"Search Transfermarkt")</f>
        <v>Search Transfermarkt</v>
      </c>
      <c r="AB906" s="29" t="n">
        <f aca="false">IFERROR('Player Data'!K906/('Player Data'!K906+'Player Data'!L906),0)</f>
        <v>0.271186440677966</v>
      </c>
      <c r="AC906" s="21" t="str">
        <f aca="false">IF(B906="GK",IF(AND(O906&gt;=Assumptions!$B$23,N906&gt;=Assumptions!$B$23),"Sweeper-Keeper / Build-from-the-Back",IF(O906&gt;=Assumptions!$B$23,"Sweeper-Keeper / High Line",IF(M906&gt;=Assumptions!$B$23,"Shot-Stopper / Traditional","Flexible / Multi-System"))),IF(AND(O906&gt;=Assumptions!$B$23,P906&gt;=Assumptions!$B$24),"High Press / Gegenpressing",IF(AND(N906&gt;=Assumptions!$B$23,AB906&gt;=Assumptions!$B$25),"Possession / Build-from-the-Back",IF(N906&gt;=Assumptions!$B$23,"Counter-Attack / Transition",IF(AND(O906&gt;=Assumptions!$B$23,N906&lt;Assumptions!$B$26),"Low Block / Park the Bus",IF(AND(B906="FW",M906&gt;=Assumptions!$B$23,N906&lt;Assumptions!$B$26),"Direct / Target Approach","Flexible / Multi-System"))))))</f>
        <v>Flexible / Multi-System</v>
      </c>
      <c r="AD906" s="21" t="str">
        <f aca="false">'Player Data'!Y906</f>
        <v>2026-07-17</v>
      </c>
      <c r="AE906" s="21" t="str">
        <f aca="false">'Player Data'!Z906</f>
        <v>2026-07-17</v>
      </c>
      <c r="AF906" s="28" t="str">
        <f aca="false">IFERROR(INDEX(Assumptions!$B$30:$B$61,MATCH(C906,Assumptions!$A$30:$A$61,0)),"--")</f>
        <v>Argentina, Portugal</v>
      </c>
      <c r="AG906" s="30" t="str">
        <f aca="false">IF(R906&gt;=0.7,"Step-Up Candidate",IF(R906&gt;=0.4,"Lateral Move","Stay &amp; Develop"))</f>
        <v>Stay &amp; Develop</v>
      </c>
    </row>
    <row r="907" customFormat="false" ht="23.85" hidden="false" customHeight="false" outlineLevel="0" collapsed="false">
      <c r="A907" s="21" t="str">
        <f aca="false">'Player Data'!A907</f>
        <v>Kevin Figueroa</v>
      </c>
      <c r="B907" s="21" t="str">
        <f aca="false">'Player Data'!F907</f>
        <v>MF</v>
      </c>
      <c r="C907" s="21" t="str">
        <f aca="false">'Player Data'!B907</f>
        <v>Honduras</v>
      </c>
      <c r="D907" s="21" t="str">
        <f aca="false">'Player Data'!C907</f>
        <v>Honduras Provincial League</v>
      </c>
      <c r="E907" s="21" t="n">
        <f aca="false">'Player Data'!D907</f>
        <v>2</v>
      </c>
      <c r="F907" s="21" t="n">
        <f aca="false">'Player Data'!G907</f>
        <v>18</v>
      </c>
      <c r="G907" s="21" t="n">
        <f aca="false">'Player Data'!H907</f>
        <v>2690</v>
      </c>
      <c r="H907" s="22" t="n">
        <f aca="false">IF(B907="GK",IFERROR(('Player Data'!N907-1.5*'Player Data'!O907)/'Player Data'!H907*90,0),IFERROR(('Player Data'!I907+'Player Data'!J907)/'Player Data'!H907*90,0))</f>
        <v>0.468401486988848</v>
      </c>
      <c r="I907" s="22" t="n">
        <f aca="false">IF(B907="GK",'Player Data'!P907,IFERROR(('Player Data'!K907+'Player Data'!L907)/'Player Data'!H907*90,0))</f>
        <v>6.65799256505576</v>
      </c>
      <c r="J907" s="22" t="n">
        <f aca="false">IF(B907="GK",IFERROR('Player Data'!Q907/'Player Data'!H907*90,0),IFERROR('Player Data'!M907/'Player Data'!H907*90,0))</f>
        <v>0.970260223048327</v>
      </c>
      <c r="K907" s="23" t="n">
        <f aca="false">'Player Data'!S907</f>
        <v>78411</v>
      </c>
      <c r="L907" s="22" t="n">
        <f aca="false">INDEX(Assumptions!$B$13:$B$15,MATCH(E907,Assumptions!$A$13:$A$15,0))</f>
        <v>1</v>
      </c>
      <c r="M907" s="24" t="n">
        <f aca="false">IFERROR(SUMPRODUCT(($B$2:$B$1001=B907)*($H$2:$H$1001&lt;=H907))/SUMPRODUCT(($B$2:$B$1001=B907)*1),0)</f>
        <v>0.181818181818182</v>
      </c>
      <c r="N907" s="24" t="n">
        <f aca="false">IFERROR(SUMPRODUCT(($B$2:$B$1001=B907)*($I$2:$I$1001&lt;=I907))/SUMPRODUCT(($B$2:$B$1001=B907)*1),0)</f>
        <v>0.0303030303030303</v>
      </c>
      <c r="O907" s="24" t="n">
        <f aca="false">IFERROR(SUMPRODUCT(($B$2:$B$1001=B907)*($J$2:$J$1001&lt;=J907))/SUMPRODUCT(($B$2:$B$1001=B907)*1),0)</f>
        <v>0.0101010101010101</v>
      </c>
      <c r="P907" s="24" t="n">
        <f aca="false">IFERROR(SUMPRODUCT(($B$2:$B$1001=B907)*((0-$F$2:$F$1001)&lt;=(0-F907)))/SUMPRODUCT(($B$2:$B$1001=B907)*1),0)</f>
        <v>0.929292929292929</v>
      </c>
      <c r="Q907" s="25" t="n">
        <f aca="false">(M907*Assumptions!$B$5+N907*Assumptions!$B$6+O907*Assumptions!$B$7+P907*Assumptions!$B$8)*L907</f>
        <v>0.243939393939394</v>
      </c>
      <c r="R907" s="24" t="n">
        <f aca="false">IFERROR(SUMPRODUCT(($B$2:$B$1001=B907)*($Q$2:$Q$1001&lt;=Q907))/SUMPRODUCT(($B$2:$B$1001=B907)*1),0)</f>
        <v>0.164983164983165</v>
      </c>
      <c r="S907" s="24" t="n">
        <f aca="false">IFERROR(SUMPRODUCT(($B$2:$B$1001=B907)*($K$2:$K$1001&lt;=K907))/SUMPRODUCT(($B$2:$B$1001=B907)*1),0)</f>
        <v>0.61952861952862</v>
      </c>
      <c r="T907" s="26" t="n">
        <f aca="false">(R907-S907)*100</f>
        <v>-45.4545454545454</v>
      </c>
      <c r="U907" s="21" t="str">
        <f aca="false">'Player Data'!T907</f>
        <v>Unknown</v>
      </c>
      <c r="V907" s="27" t="n">
        <f aca="false">'Player Data'!U907</f>
        <v>2027</v>
      </c>
      <c r="W907" s="21" t="str">
        <f aca="false">IF(AND(T907&gt;=Assumptions!$B$19,U907="No"),"High Priority - Unrepresented",IF(T907&gt;=Assumptions!$B$19,"High Priority",IF(AND(T907&gt;=Assumptions!$B$20,U907="No"),"Watchlist - Unrepresented",IF(T907&gt;=Assumptions!$B$20,"Watchlist",""))))</f>
        <v/>
      </c>
      <c r="X907" s="21" t="str">
        <f aca="false">'Player Data'!V907</f>
        <v>info@laceibaathletic.hn</v>
      </c>
      <c r="Y907" s="28" t="str">
        <f aca="false">'Player Data'!W907</f>
        <v>Club sporting director / first-team office</v>
      </c>
      <c r="Z907" s="28" t="str">
        <f aca="false">'Player Data'!X907</f>
        <v>FENAFUTH (Honduran Football Federation) player registry</v>
      </c>
      <c r="AA907" s="19" t="str">
        <f aca="false">HYPERLINK("https://www.transfermarkt.com/schnellsuche/ergebnis/schnellsuche?query="&amp;SUBSTITUTE(A907," ","+"),"Search Transfermarkt")</f>
        <v>Search Transfermarkt</v>
      </c>
      <c r="AB907" s="29" t="n">
        <f aca="false">IFERROR('Player Data'!K907/('Player Data'!K907+'Player Data'!L907),0)</f>
        <v>0.597989949748744</v>
      </c>
      <c r="AC907" s="21" t="str">
        <f aca="false">IF(B907="GK",IF(AND(O907&gt;=Assumptions!$B$23,N907&gt;=Assumptions!$B$23),"Sweeper-Keeper / Build-from-the-Back",IF(O907&gt;=Assumptions!$B$23,"Sweeper-Keeper / High Line",IF(M907&gt;=Assumptions!$B$23,"Shot-Stopper / Traditional","Flexible / Multi-System"))),IF(AND(O907&gt;=Assumptions!$B$23,P907&gt;=Assumptions!$B$24),"High Press / Gegenpressing",IF(AND(N907&gt;=Assumptions!$B$23,AB907&gt;=Assumptions!$B$25),"Possession / Build-from-the-Back",IF(N907&gt;=Assumptions!$B$23,"Counter-Attack / Transition",IF(AND(O907&gt;=Assumptions!$B$23,N907&lt;Assumptions!$B$26),"Low Block / Park the Bus",IF(AND(B907="FW",M907&gt;=Assumptions!$B$23,N907&lt;Assumptions!$B$26),"Direct / Target Approach","Flexible / Multi-System"))))))</f>
        <v>Flexible / Multi-System</v>
      </c>
      <c r="AD907" s="21" t="str">
        <f aca="false">'Player Data'!Y907</f>
        <v>2026-07-17</v>
      </c>
      <c r="AE907" s="21" t="str">
        <f aca="false">'Player Data'!Z907</f>
        <v>2026-07-17</v>
      </c>
      <c r="AF907" s="28" t="str">
        <f aca="false">IFERROR(INDEX(Assumptions!$B$30:$B$61,MATCH(C907,Assumptions!$A$30:$A$61,0)),"--")</f>
        <v>Mexico, United States</v>
      </c>
      <c r="AG907" s="30" t="str">
        <f aca="false">IF(R907&gt;=0.7,"Step-Up Candidate",IF(R907&gt;=0.4,"Lateral Move","Stay &amp; Develop"))</f>
        <v>Stay &amp; Develop</v>
      </c>
    </row>
    <row r="908" customFormat="false" ht="23.85" hidden="false" customHeight="false" outlineLevel="0" collapsed="false">
      <c r="A908" s="21" t="str">
        <f aca="false">'Player Data'!A908</f>
        <v>Edgars Berzins 12</v>
      </c>
      <c r="B908" s="21" t="str">
        <f aca="false">'Player Data'!F908</f>
        <v>MF</v>
      </c>
      <c r="C908" s="21" t="str">
        <f aca="false">'Player Data'!B908</f>
        <v>Latvia</v>
      </c>
      <c r="D908" s="21" t="str">
        <f aca="false">'Player Data'!C908</f>
        <v>Latvia Second Division - West</v>
      </c>
      <c r="E908" s="21" t="n">
        <f aca="false">'Player Data'!D908</f>
        <v>3</v>
      </c>
      <c r="F908" s="21" t="n">
        <f aca="false">'Player Data'!G908</f>
        <v>17</v>
      </c>
      <c r="G908" s="21" t="n">
        <f aca="false">'Player Data'!H908</f>
        <v>1948</v>
      </c>
      <c r="H908" s="22" t="n">
        <f aca="false">IF(B908="GK",IFERROR(('Player Data'!N908-1.5*'Player Data'!O908)/'Player Data'!H908*90,0),IFERROR(('Player Data'!I908+'Player Data'!J908)/'Player Data'!H908*90,0))</f>
        <v>0.646817248459959</v>
      </c>
      <c r="I908" s="22" t="n">
        <f aca="false">IF(B908="GK",'Player Data'!P908,IFERROR(('Player Data'!K908+'Player Data'!L908)/'Player Data'!H908*90,0))</f>
        <v>9.00924024640657</v>
      </c>
      <c r="J908" s="22" t="n">
        <f aca="false">IF(B908="GK",IFERROR('Player Data'!Q908/'Player Data'!H908*90,0),IFERROR('Player Data'!M908/'Player Data'!H908*90,0))</f>
        <v>1.38603696098563</v>
      </c>
      <c r="K908" s="23" t="n">
        <f aca="false">'Player Data'!S908</f>
        <v>0</v>
      </c>
      <c r="L908" s="22" t="n">
        <f aca="false">INDEX(Assumptions!$B$13:$B$15,MATCH(E908,Assumptions!$A$13:$A$15,0))</f>
        <v>0.85</v>
      </c>
      <c r="M908" s="24" t="n">
        <f aca="false">IFERROR(SUMPRODUCT(($B$2:$B$1001=B908)*($H$2:$H$1001&lt;=H908))/SUMPRODUCT(($B$2:$B$1001=B908)*1),0)</f>
        <v>0.377104377104377</v>
      </c>
      <c r="N908" s="24" t="n">
        <f aca="false">IFERROR(SUMPRODUCT(($B$2:$B$1001=B908)*($I$2:$I$1001&lt;=I908))/SUMPRODUCT(($B$2:$B$1001=B908)*1),0)</f>
        <v>0.28956228956229</v>
      </c>
      <c r="O908" s="24" t="n">
        <f aca="false">IFERROR(SUMPRODUCT(($B$2:$B$1001=B908)*($J$2:$J$1001&lt;=J908))/SUMPRODUCT(($B$2:$B$1001=B908)*1),0)</f>
        <v>0.134680134680135</v>
      </c>
      <c r="P908" s="24" t="n">
        <f aca="false">IFERROR(SUMPRODUCT(($B$2:$B$1001=B908)*((0-$F$2:$F$1001)&lt;=(0-F908)))/SUMPRODUCT(($B$2:$B$1001=B908)*1),0)</f>
        <v>1</v>
      </c>
      <c r="Q908" s="25" t="n">
        <f aca="false">(M908*Assumptions!$B$5+N908*Assumptions!$B$6+O908*Assumptions!$B$7+P908*Assumptions!$B$8)*L908</f>
        <v>0.359175084175084</v>
      </c>
      <c r="R908" s="24" t="n">
        <f aca="false">IFERROR(SUMPRODUCT(($B$2:$B$1001=B908)*($Q$2:$Q$1001&lt;=Q908))/SUMPRODUCT(($B$2:$B$1001=B908)*1),0)</f>
        <v>0.35016835016835</v>
      </c>
      <c r="S908" s="24" t="n">
        <f aca="false">IFERROR(SUMPRODUCT(($B$2:$B$1001=B908)*($K$2:$K$1001&lt;=K908))/SUMPRODUCT(($B$2:$B$1001=B908)*1),0)</f>
        <v>0.228956228956229</v>
      </c>
      <c r="T908" s="26" t="n">
        <f aca="false">(R908-S908)*100</f>
        <v>12.1212121212121</v>
      </c>
      <c r="U908" s="21" t="str">
        <f aca="false">'Player Data'!T908</f>
        <v>No</v>
      </c>
      <c r="V908" s="27" t="n">
        <f aca="false">'Player Data'!U908</f>
        <v>2026</v>
      </c>
      <c r="W908" s="21" t="str">
        <f aca="false">IF(AND(T908&gt;=Assumptions!$B$19,U908="No"),"High Priority - Unrepresented",IF(T908&gt;=Assumptions!$B$19,"High Priority",IF(AND(T908&gt;=Assumptions!$B$20,U908="No"),"Watchlist - Unrepresented",IF(T908&gt;=Assumptions!$B$20,"Watchlist",""))))</f>
        <v/>
      </c>
      <c r="X908" s="21" t="str">
        <f aca="false">'Player Data'!V908</f>
        <v>info@daugavpilscity.lv</v>
      </c>
      <c r="Y908" s="28" t="str">
        <f aca="false">'Player Data'!W908</f>
        <v>Club youth/academy office ONLY - player is a minor, do not contact directly</v>
      </c>
      <c r="Z908" s="28" t="str">
        <f aca="false">'Player Data'!X908</f>
        <v>LFF (Latvian Football Federation) player registry</v>
      </c>
      <c r="AA908" s="19" t="str">
        <f aca="false">HYPERLINK("https://www.transfermarkt.com/schnellsuche/ergebnis/schnellsuche?query="&amp;SUBSTITUTE(A908," ","+"),"Search Transfermarkt")</f>
        <v>Search Transfermarkt</v>
      </c>
      <c r="AB908" s="29" t="n">
        <f aca="false">IFERROR('Player Data'!K908/('Player Data'!K908+'Player Data'!L908),0)</f>
        <v>0.687179487179487</v>
      </c>
      <c r="AC908" s="21" t="str">
        <f aca="false">IF(B908="GK",IF(AND(O908&gt;=Assumptions!$B$23,N908&gt;=Assumptions!$B$23),"Sweeper-Keeper / Build-from-the-Back",IF(O908&gt;=Assumptions!$B$23,"Sweeper-Keeper / High Line",IF(M908&gt;=Assumptions!$B$23,"Shot-Stopper / Traditional","Flexible / Multi-System"))),IF(AND(O908&gt;=Assumptions!$B$23,P908&gt;=Assumptions!$B$24),"High Press / Gegenpressing",IF(AND(N908&gt;=Assumptions!$B$23,AB908&gt;=Assumptions!$B$25),"Possession / Build-from-the-Back",IF(N908&gt;=Assumptions!$B$23,"Counter-Attack / Transition",IF(AND(O908&gt;=Assumptions!$B$23,N908&lt;Assumptions!$B$26),"Low Block / Park the Bus",IF(AND(B908="FW",M908&gt;=Assumptions!$B$23,N908&lt;Assumptions!$B$26),"Direct / Target Approach","Flexible / Multi-System"))))))</f>
        <v>Flexible / Multi-System</v>
      </c>
      <c r="AD908" s="21" t="str">
        <f aca="false">'Player Data'!Y908</f>
        <v>2026-07-17</v>
      </c>
      <c r="AE908" s="21" t="str">
        <f aca="false">'Player Data'!Z908</f>
        <v>2026-07-17</v>
      </c>
      <c r="AF908" s="28" t="str">
        <f aca="false">IFERROR(INDEX(Assumptions!$B$30:$B$61,MATCH(C908,Assumptions!$A$30:$A$61,0)),"--")</f>
        <v>Poland, Norway</v>
      </c>
      <c r="AG908" s="30" t="str">
        <f aca="false">IF(R908&gt;=0.7,"Step-Up Candidate",IF(R908&gt;=0.4,"Lateral Move","Stay &amp; Develop"))</f>
        <v>Stay &amp; Develop</v>
      </c>
    </row>
    <row r="909" customFormat="false" ht="23.85" hidden="false" customHeight="false" outlineLevel="0" collapsed="false">
      <c r="A909" s="21" t="str">
        <f aca="false">'Player Data'!A909</f>
        <v>Maximiliano Gonzalez</v>
      </c>
      <c r="B909" s="21" t="str">
        <f aca="false">'Player Data'!F909</f>
        <v>MF</v>
      </c>
      <c r="C909" s="21" t="str">
        <f aca="false">'Player Data'!B909</f>
        <v>Uruguay</v>
      </c>
      <c r="D909" s="21" t="str">
        <f aca="false">'Player Data'!C909</f>
        <v>Uruguay Provincial League</v>
      </c>
      <c r="E909" s="21" t="n">
        <f aca="false">'Player Data'!D909</f>
        <v>3</v>
      </c>
      <c r="F909" s="21" t="n">
        <f aca="false">'Player Data'!G909</f>
        <v>22</v>
      </c>
      <c r="G909" s="21" t="n">
        <f aca="false">'Player Data'!H909</f>
        <v>1474</v>
      </c>
      <c r="H909" s="22" t="n">
        <f aca="false">IF(B909="GK",IFERROR(('Player Data'!N909-1.5*'Player Data'!O909)/'Player Data'!H909*90,0),IFERROR(('Player Data'!I909+'Player Data'!J909)/'Player Data'!H909*90,0))</f>
        <v>0.854816824966079</v>
      </c>
      <c r="I909" s="22" t="n">
        <f aca="false">IF(B909="GK",'Player Data'!P909,IFERROR(('Player Data'!K909+'Player Data'!L909)/'Player Data'!H909*90,0))</f>
        <v>14.7761194029851</v>
      </c>
      <c r="J909" s="22" t="n">
        <f aca="false">IF(B909="GK",IFERROR('Player Data'!Q909/'Player Data'!H909*90,0),IFERROR('Player Data'!M909/'Player Data'!H909*90,0))</f>
        <v>1.83175033921303</v>
      </c>
      <c r="K909" s="23" t="n">
        <f aca="false">'Player Data'!S909</f>
        <v>61636</v>
      </c>
      <c r="L909" s="22" t="n">
        <f aca="false">INDEX(Assumptions!$B$13:$B$15,MATCH(E909,Assumptions!$A$13:$A$15,0))</f>
        <v>0.85</v>
      </c>
      <c r="M909" s="24" t="n">
        <f aca="false">IFERROR(SUMPRODUCT(($B$2:$B$1001=B909)*($H$2:$H$1001&lt;=H909))/SUMPRODUCT(($B$2:$B$1001=B909)*1),0)</f>
        <v>0.656565656565657</v>
      </c>
      <c r="N909" s="24" t="n">
        <f aca="false">IFERROR(SUMPRODUCT(($B$2:$B$1001=B909)*($I$2:$I$1001&lt;=I909))/SUMPRODUCT(($B$2:$B$1001=B909)*1),0)</f>
        <v>0.740740740740741</v>
      </c>
      <c r="O909" s="24" t="n">
        <f aca="false">IFERROR(SUMPRODUCT(($B$2:$B$1001=B909)*($J$2:$J$1001&lt;=J909))/SUMPRODUCT(($B$2:$B$1001=B909)*1),0)</f>
        <v>0.34006734006734</v>
      </c>
      <c r="P909" s="24" t="n">
        <f aca="false">IFERROR(SUMPRODUCT(($B$2:$B$1001=B909)*((0-$F$2:$F$1001)&lt;=(0-F909)))/SUMPRODUCT(($B$2:$B$1001=B909)*1),0)</f>
        <v>0.515151515151515</v>
      </c>
      <c r="Q909" s="25" t="n">
        <f aca="false">(M909*Assumptions!$B$5+N909*Assumptions!$B$6+O909*Assumptions!$B$7+P909*Assumptions!$B$8)*L909</f>
        <v>0.505277777777778</v>
      </c>
      <c r="R909" s="24" t="n">
        <f aca="false">IFERROR(SUMPRODUCT(($B$2:$B$1001=B909)*($Q$2:$Q$1001&lt;=Q909))/SUMPRODUCT(($B$2:$B$1001=B909)*1),0)</f>
        <v>0.612794612794613</v>
      </c>
      <c r="S909" s="24" t="n">
        <f aca="false">IFERROR(SUMPRODUCT(($B$2:$B$1001=B909)*($K$2:$K$1001&lt;=K909))/SUMPRODUCT(($B$2:$B$1001=B909)*1),0)</f>
        <v>0.515151515151515</v>
      </c>
      <c r="T909" s="26" t="n">
        <f aca="false">(R909-S909)*100</f>
        <v>9.76430976430977</v>
      </c>
      <c r="U909" s="21" t="str">
        <f aca="false">'Player Data'!T909</f>
        <v>Unknown</v>
      </c>
      <c r="V909" s="27" t="n">
        <f aca="false">'Player Data'!U909</f>
        <v>2026</v>
      </c>
      <c r="W909" s="21" t="str">
        <f aca="false">IF(AND(T909&gt;=Assumptions!$B$19,U909="No"),"High Priority - Unrepresented",IF(T909&gt;=Assumptions!$B$19,"High Priority",IF(AND(T909&gt;=Assumptions!$B$20,U909="No"),"Watchlist - Unrepresented",IF(T909&gt;=Assumptions!$B$20,"Watchlist",""))))</f>
        <v/>
      </c>
      <c r="X909" s="21" t="str">
        <f aca="false">'Player Data'!V909</f>
        <v>info@montevideofc.uy</v>
      </c>
      <c r="Y909" s="28" t="str">
        <f aca="false">'Player Data'!W909</f>
        <v>Club sporting director / first-team office</v>
      </c>
      <c r="Z909" s="28" t="str">
        <f aca="false">'Player Data'!X909</f>
        <v>AUF (Uruguayan Football Association) player registry</v>
      </c>
      <c r="AA909" s="19" t="str">
        <f aca="false">HYPERLINK("https://www.transfermarkt.com/schnellsuche/ergebnis/schnellsuche?query="&amp;SUBSTITUTE(A909," ","+"),"Search Transfermarkt")</f>
        <v>Search Transfermarkt</v>
      </c>
      <c r="AB909" s="29" t="n">
        <f aca="false">IFERROR('Player Data'!K909/('Player Data'!K909+'Player Data'!L909),0)</f>
        <v>0.611570247933884</v>
      </c>
      <c r="AC909" s="21" t="str">
        <f aca="false">IF(B909="GK",IF(AND(O909&gt;=Assumptions!$B$23,N909&gt;=Assumptions!$B$23),"Sweeper-Keeper / Build-from-the-Back",IF(O909&gt;=Assumptions!$B$23,"Sweeper-Keeper / High Line",IF(M909&gt;=Assumptions!$B$23,"Shot-Stopper / Traditional","Flexible / Multi-System"))),IF(AND(O909&gt;=Assumptions!$B$23,P909&gt;=Assumptions!$B$24),"High Press / Gegenpressing",IF(AND(N909&gt;=Assumptions!$B$23,AB909&gt;=Assumptions!$B$25),"Possession / Build-from-the-Back",IF(N909&gt;=Assumptions!$B$23,"Counter-Attack / Transition",IF(AND(O909&gt;=Assumptions!$B$23,N909&lt;Assumptions!$B$26),"Low Block / Park the Bus",IF(AND(B909="FW",M909&gt;=Assumptions!$B$23,N909&lt;Assumptions!$B$26),"Direct / Target Approach","Flexible / Multi-System"))))))</f>
        <v>Counter-Attack / Transition</v>
      </c>
      <c r="AD909" s="21" t="str">
        <f aca="false">'Player Data'!Y909</f>
        <v>2026-07-17</v>
      </c>
      <c r="AE909" s="21" t="str">
        <f aca="false">'Player Data'!Z909</f>
        <v>2026-07-17</v>
      </c>
      <c r="AF909" s="28" t="str">
        <f aca="false">IFERROR(INDEX(Assumptions!$B$30:$B$61,MATCH(C909,Assumptions!$A$30:$A$61,0)),"--")</f>
        <v>Argentina, Portugal</v>
      </c>
      <c r="AG909" s="30" t="str">
        <f aca="false">IF(R909&gt;=0.7,"Step-Up Candidate",IF(R909&gt;=0.4,"Lateral Move","Stay &amp; Develop"))</f>
        <v>Lateral Move</v>
      </c>
    </row>
    <row r="910" customFormat="false" ht="23.85" hidden="false" customHeight="false" outlineLevel="0" collapsed="false">
      <c r="A910" s="21" t="str">
        <f aca="false">'Player Data'!A910</f>
        <v>Sardor Yusupov 83</v>
      </c>
      <c r="B910" s="21" t="str">
        <f aca="false">'Player Data'!F910</f>
        <v>FW</v>
      </c>
      <c r="C910" s="21" t="str">
        <f aca="false">'Player Data'!B910</f>
        <v>Uzbekistan</v>
      </c>
      <c r="D910" s="21" t="str">
        <f aca="false">'Player Data'!C910</f>
        <v>Uzbekistan Second Division</v>
      </c>
      <c r="E910" s="21" t="n">
        <f aca="false">'Player Data'!D910</f>
        <v>3</v>
      </c>
      <c r="F910" s="21" t="n">
        <f aca="false">'Player Data'!G910</f>
        <v>18</v>
      </c>
      <c r="G910" s="21" t="n">
        <f aca="false">'Player Data'!H910</f>
        <v>1910</v>
      </c>
      <c r="H910" s="22" t="n">
        <f aca="false">IF(B910="GK",IFERROR(('Player Data'!N910-1.5*'Player Data'!O910)/'Player Data'!H910*90,0),IFERROR(('Player Data'!I910+'Player Data'!J910)/'Player Data'!H910*90,0))</f>
        <v>0.848167539267016</v>
      </c>
      <c r="I910" s="22" t="n">
        <f aca="false">IF(B910="GK",'Player Data'!P910,IFERROR(('Player Data'!K910+'Player Data'!L910)/'Player Data'!H910*90,0))</f>
        <v>6.21989528795812</v>
      </c>
      <c r="J910" s="22" t="n">
        <f aca="false">IF(B910="GK",IFERROR('Player Data'!Q910/'Player Data'!H910*90,0),IFERROR('Player Data'!M910/'Player Data'!H910*90,0))</f>
        <v>0.518324607329843</v>
      </c>
      <c r="K910" s="23" t="n">
        <f aca="false">'Player Data'!S910</f>
        <v>105359</v>
      </c>
      <c r="L910" s="22" t="n">
        <f aca="false">INDEX(Assumptions!$B$13:$B$15,MATCH(E910,Assumptions!$A$13:$A$15,0))</f>
        <v>0.85</v>
      </c>
      <c r="M910" s="24" t="n">
        <f aca="false">IFERROR(SUMPRODUCT(($B$2:$B$1001=B910)*($H$2:$H$1001&lt;=H910))/SUMPRODUCT(($B$2:$B$1001=B910)*1),0)</f>
        <v>0.36283185840708</v>
      </c>
      <c r="N910" s="24" t="n">
        <f aca="false">IFERROR(SUMPRODUCT(($B$2:$B$1001=B910)*($I$2:$I$1001&lt;=I910))/SUMPRODUCT(($B$2:$B$1001=B910)*1),0)</f>
        <v>0.464601769911504</v>
      </c>
      <c r="O910" s="24" t="n">
        <f aca="false">IFERROR(SUMPRODUCT(($B$2:$B$1001=B910)*($J$2:$J$1001&lt;=J910))/SUMPRODUCT(($B$2:$B$1001=B910)*1),0)</f>
        <v>0.535398230088496</v>
      </c>
      <c r="P910" s="24" t="n">
        <f aca="false">IFERROR(SUMPRODUCT(($B$2:$B$1001=B910)*((0-$F$2:$F$1001)&lt;=(0-F910)))/SUMPRODUCT(($B$2:$B$1001=B910)*1),0)</f>
        <v>0.915929203539823</v>
      </c>
      <c r="Q910" s="25" t="n">
        <f aca="false">(M910*Assumptions!$B$5+N910*Assumptions!$B$6+O910*Assumptions!$B$7+P910*Assumptions!$B$8)*L910</f>
        <v>0.462046460176991</v>
      </c>
      <c r="R910" s="24" t="n">
        <f aca="false">IFERROR(SUMPRODUCT(($B$2:$B$1001=B910)*($Q$2:$Q$1001&lt;=Q910))/SUMPRODUCT(($B$2:$B$1001=B910)*1),0)</f>
        <v>0.539823008849558</v>
      </c>
      <c r="S910" s="24" t="n">
        <f aca="false">IFERROR(SUMPRODUCT(($B$2:$B$1001=B910)*($K$2:$K$1001&lt;=K910))/SUMPRODUCT(($B$2:$B$1001=B910)*1),0)</f>
        <v>0.743362831858407</v>
      </c>
      <c r="T910" s="26" t="n">
        <f aca="false">(R910-S910)*100</f>
        <v>-20.353982300885</v>
      </c>
      <c r="U910" s="21" t="str">
        <f aca="false">'Player Data'!T910</f>
        <v>No</v>
      </c>
      <c r="V910" s="27" t="n">
        <f aca="false">'Player Data'!U910</f>
        <v>2027</v>
      </c>
      <c r="W910" s="21" t="str">
        <f aca="false">IF(AND(T910&gt;=Assumptions!$B$19,U910="No"),"High Priority - Unrepresented",IF(T910&gt;=Assumptions!$B$19,"High Priority",IF(AND(T910&gt;=Assumptions!$B$20,U910="No"),"Watchlist - Unrepresented",IF(T910&gt;=Assumptions!$B$20,"Watchlist",""))))</f>
        <v/>
      </c>
      <c r="X910" s="21" t="str">
        <f aca="false">'Player Data'!V910</f>
        <v>info@bukhararangers.uz</v>
      </c>
      <c r="Y910" s="28" t="str">
        <f aca="false">'Player Data'!W910</f>
        <v>Club sporting director / first-team office</v>
      </c>
      <c r="Z910" s="28" t="str">
        <f aca="false">'Player Data'!X910</f>
        <v>UFF (Uzbekistan Football Federation) player registry</v>
      </c>
      <c r="AA910" s="19" t="str">
        <f aca="false">HYPERLINK("https://www.transfermarkt.com/schnellsuche/ergebnis/schnellsuche?query="&amp;SUBSTITUTE(A910," ","+"),"Search Transfermarkt")</f>
        <v>Search Transfermarkt</v>
      </c>
      <c r="AB910" s="29" t="n">
        <f aca="false">IFERROR('Player Data'!K910/('Player Data'!K910+'Player Data'!L910),0)</f>
        <v>0.401515151515152</v>
      </c>
      <c r="AC910" s="21" t="str">
        <f aca="false">IF(B910="GK",IF(AND(O910&gt;=Assumptions!$B$23,N910&gt;=Assumptions!$B$23),"Sweeper-Keeper / Build-from-the-Back",IF(O910&gt;=Assumptions!$B$23,"Sweeper-Keeper / High Line",IF(M910&gt;=Assumptions!$B$23,"Shot-Stopper / Traditional","Flexible / Multi-System"))),IF(AND(O910&gt;=Assumptions!$B$23,P910&gt;=Assumptions!$B$24),"High Press / Gegenpressing",IF(AND(N910&gt;=Assumptions!$B$23,AB910&gt;=Assumptions!$B$25),"Possession / Build-from-the-Back",IF(N910&gt;=Assumptions!$B$23,"Counter-Attack / Transition",IF(AND(O910&gt;=Assumptions!$B$23,N910&lt;Assumptions!$B$26),"Low Block / Park the Bus",IF(AND(B910="FW",M910&gt;=Assumptions!$B$23,N910&lt;Assumptions!$B$26),"Direct / Target Approach","Flexible / Multi-System"))))))</f>
        <v>Flexible / Multi-System</v>
      </c>
      <c r="AD910" s="21" t="str">
        <f aca="false">'Player Data'!Y910</f>
        <v>2026-07-17</v>
      </c>
      <c r="AE910" s="21" t="str">
        <f aca="false">'Player Data'!Z910</f>
        <v>2026-07-17</v>
      </c>
      <c r="AF910" s="28" t="str">
        <f aca="false">IFERROR(INDEX(Assumptions!$B$30:$B$61,MATCH(C910,Assumptions!$A$30:$A$61,0)),"--")</f>
        <v>Turkey, Saudi Arabia</v>
      </c>
      <c r="AG910" s="30" t="str">
        <f aca="false">IF(R910&gt;=0.7,"Step-Up Candidate",IF(R910&gt;=0.4,"Lateral Move","Stay &amp; Develop"))</f>
        <v>Lateral Move</v>
      </c>
    </row>
    <row r="911" customFormat="false" ht="23.85" hidden="false" customHeight="false" outlineLevel="0" collapsed="false">
      <c r="A911" s="21" t="str">
        <f aca="false">'Player Data'!A911</f>
        <v>Romell Elvir</v>
      </c>
      <c r="B911" s="21" t="str">
        <f aca="false">'Player Data'!F911</f>
        <v>MF</v>
      </c>
      <c r="C911" s="21" t="str">
        <f aca="false">'Player Data'!B911</f>
        <v>Honduras</v>
      </c>
      <c r="D911" s="21" t="str">
        <f aca="false">'Player Data'!C911</f>
        <v>Honduras Third Tier - South</v>
      </c>
      <c r="E911" s="21" t="n">
        <f aca="false">'Player Data'!D911</f>
        <v>4</v>
      </c>
      <c r="F911" s="21" t="n">
        <f aca="false">'Player Data'!G911</f>
        <v>24</v>
      </c>
      <c r="G911" s="21" t="n">
        <f aca="false">'Player Data'!H911</f>
        <v>915</v>
      </c>
      <c r="H911" s="22" t="n">
        <f aca="false">IF(B911="GK",IFERROR(('Player Data'!N911-1.5*'Player Data'!O911)/'Player Data'!H911*90,0),IFERROR(('Player Data'!I911+'Player Data'!J911)/'Player Data'!H911*90,0))</f>
        <v>1.47540983606557</v>
      </c>
      <c r="I911" s="22" t="n">
        <f aca="false">IF(B911="GK",'Player Data'!P911,IFERROR(('Player Data'!K911+'Player Data'!L911)/'Player Data'!H911*90,0))</f>
        <v>22.1311475409836</v>
      </c>
      <c r="J911" s="22" t="n">
        <f aca="false">IF(B911="GK",IFERROR('Player Data'!Q911/'Player Data'!H911*90,0),IFERROR('Player Data'!M911/'Player Data'!H911*90,0))</f>
        <v>3.54098360655738</v>
      </c>
      <c r="K911" s="23" t="n">
        <f aca="false">'Player Data'!S911</f>
        <v>14850</v>
      </c>
      <c r="L911" s="22" t="n">
        <f aca="false">INDEX(Assumptions!$B$13:$B$15,MATCH(E911,Assumptions!$A$13:$A$15,0))</f>
        <v>0.7</v>
      </c>
      <c r="M911" s="24" t="n">
        <f aca="false">IFERROR(SUMPRODUCT(($B$2:$B$1001=B911)*($H$2:$H$1001&lt;=H911))/SUMPRODUCT(($B$2:$B$1001=B911)*1),0)</f>
        <v>0.932659932659933</v>
      </c>
      <c r="N911" s="24" t="n">
        <f aca="false">IFERROR(SUMPRODUCT(($B$2:$B$1001=B911)*($I$2:$I$1001&lt;=I911))/SUMPRODUCT(($B$2:$B$1001=B911)*1),0)</f>
        <v>0.94949494949495</v>
      </c>
      <c r="O911" s="24" t="n">
        <f aca="false">IFERROR(SUMPRODUCT(($B$2:$B$1001=B911)*($J$2:$J$1001&lt;=J911))/SUMPRODUCT(($B$2:$B$1001=B911)*1),0)</f>
        <v>0.872053872053872</v>
      </c>
      <c r="P911" s="24" t="n">
        <f aca="false">IFERROR(SUMPRODUCT(($B$2:$B$1001=B911)*((0-$F$2:$F$1001)&lt;=(0-F911)))/SUMPRODUCT(($B$2:$B$1001=B911)*1),0)</f>
        <v>0.326599326599327</v>
      </c>
      <c r="Q911" s="25" t="n">
        <f aca="false">(M911*Assumptions!$B$5+N911*Assumptions!$B$6+O911*Assumptions!$B$7+P911*Assumptions!$B$8)*L911</f>
        <v>0.563653198653199</v>
      </c>
      <c r="R911" s="24" t="n">
        <f aca="false">IFERROR(SUMPRODUCT(($B$2:$B$1001=B911)*($Q$2:$Q$1001&lt;=Q911))/SUMPRODUCT(($B$2:$B$1001=B911)*1),0)</f>
        <v>0.717171717171717</v>
      </c>
      <c r="S911" s="24" t="n">
        <f aca="false">IFERROR(SUMPRODUCT(($B$2:$B$1001=B911)*($K$2:$K$1001&lt;=K911))/SUMPRODUCT(($B$2:$B$1001=B911)*1),0)</f>
        <v>0.255892255892256</v>
      </c>
      <c r="T911" s="26" t="n">
        <f aca="false">(R911-S911)*100</f>
        <v>46.1279461279461</v>
      </c>
      <c r="U911" s="21" t="str">
        <f aca="false">'Player Data'!T911</f>
        <v>No</v>
      </c>
      <c r="V911" s="27" t="n">
        <f aca="false">'Player Data'!U911</f>
        <v>2027</v>
      </c>
      <c r="W911" s="21" t="str">
        <f aca="false">IF(AND(T911&gt;=Assumptions!$B$19,U911="No"),"High Priority - Unrepresented",IF(T911&gt;=Assumptions!$B$19,"High Priority",IF(AND(T911&gt;=Assumptions!$B$20,U911="No"),"Watchlist - Unrepresented",IF(T911&gt;=Assumptions!$B$20,"Watchlist",""))))</f>
        <v>High Priority - Unrepresented</v>
      </c>
      <c r="X911" s="21" t="str">
        <f aca="false">'Player Data'!V911</f>
        <v>info@sanpedrosulatown.hn</v>
      </c>
      <c r="Y911" s="28" t="str">
        <f aca="false">'Player Data'!W911</f>
        <v>Club sporting director / first-team office</v>
      </c>
      <c r="Z911" s="28" t="str">
        <f aca="false">'Player Data'!X911</f>
        <v>FENAFUTH (Honduran Football Federation) player registry</v>
      </c>
      <c r="AA911" s="19" t="str">
        <f aca="false">HYPERLINK("https://www.transfermarkt.com/schnellsuche/ergebnis/schnellsuche?query="&amp;SUBSTITUTE(A911," ","+"),"Search Transfermarkt")</f>
        <v>Search Transfermarkt</v>
      </c>
      <c r="AB911" s="29" t="n">
        <f aca="false">IFERROR('Player Data'!K911/('Player Data'!K911+'Player Data'!L911),0)</f>
        <v>0.595555555555556</v>
      </c>
      <c r="AC911" s="21" t="str">
        <f aca="false">IF(B911="GK",IF(AND(O911&gt;=Assumptions!$B$23,N911&gt;=Assumptions!$B$23),"Sweeper-Keeper / Build-from-the-Back",IF(O911&gt;=Assumptions!$B$23,"Sweeper-Keeper / High Line",IF(M911&gt;=Assumptions!$B$23,"Shot-Stopper / Traditional","Flexible / Multi-System"))),IF(AND(O911&gt;=Assumptions!$B$23,P911&gt;=Assumptions!$B$24),"High Press / Gegenpressing",IF(AND(N911&gt;=Assumptions!$B$23,AB911&gt;=Assumptions!$B$25),"Possession / Build-from-the-Back",IF(N911&gt;=Assumptions!$B$23,"Counter-Attack / Transition",IF(AND(O911&gt;=Assumptions!$B$23,N911&lt;Assumptions!$B$26),"Low Block / Park the Bus",IF(AND(B911="FW",M911&gt;=Assumptions!$B$23,N911&lt;Assumptions!$B$26),"Direct / Target Approach","Flexible / Multi-System"))))))</f>
        <v>Counter-Attack / Transition</v>
      </c>
      <c r="AD911" s="21" t="str">
        <f aca="false">'Player Data'!Y911</f>
        <v>2026-07-17</v>
      </c>
      <c r="AE911" s="21" t="str">
        <f aca="false">'Player Data'!Z911</f>
        <v>2026-07-17</v>
      </c>
      <c r="AF911" s="28" t="str">
        <f aca="false">IFERROR(INDEX(Assumptions!$B$30:$B$61,MATCH(C911,Assumptions!$A$30:$A$61,0)),"--")</f>
        <v>Mexico, United States</v>
      </c>
      <c r="AG911" s="30" t="str">
        <f aca="false">IF(R911&gt;=0.7,"Step-Up Candidate",IF(R911&gt;=0.4,"Lateral Move","Stay &amp; Develop"))</f>
        <v>Step-Up Candidate</v>
      </c>
    </row>
    <row r="912" customFormat="false" ht="23.85" hidden="false" customHeight="false" outlineLevel="0" collapsed="false">
      <c r="A912" s="21" t="str">
        <f aca="false">'Player Data'!A912</f>
        <v>Andre Bailey</v>
      </c>
      <c r="B912" s="21" t="str">
        <f aca="false">'Player Data'!F912</f>
        <v>MF</v>
      </c>
      <c r="C912" s="21" t="str">
        <f aca="false">'Player Data'!B912</f>
        <v>Jamaica</v>
      </c>
      <c r="D912" s="21" t="str">
        <f aca="false">'Player Data'!C912</f>
        <v>Jamaica Second Division - East</v>
      </c>
      <c r="E912" s="21" t="n">
        <f aca="false">'Player Data'!D912</f>
        <v>3</v>
      </c>
      <c r="F912" s="21" t="n">
        <f aca="false">'Player Data'!G912</f>
        <v>25</v>
      </c>
      <c r="G912" s="21" t="n">
        <f aca="false">'Player Data'!H912</f>
        <v>1580</v>
      </c>
      <c r="H912" s="22" t="n">
        <f aca="false">IF(B912="GK",IFERROR(('Player Data'!N912-1.5*'Player Data'!O912)/'Player Data'!H912*90,0),IFERROR(('Player Data'!I912+'Player Data'!J912)/'Player Data'!H912*90,0))</f>
        <v>0.341772151898734</v>
      </c>
      <c r="I912" s="22" t="n">
        <f aca="false">IF(B912="GK",'Player Data'!P912,IFERROR(('Player Data'!K912+'Player Data'!L912)/'Player Data'!H912*90,0))</f>
        <v>10.3670886075949</v>
      </c>
      <c r="J912" s="22" t="n">
        <f aca="false">IF(B912="GK",IFERROR('Player Data'!Q912/'Player Data'!H912*90,0),IFERROR('Player Data'!M912/'Player Data'!H912*90,0))</f>
        <v>2.67721518987342</v>
      </c>
      <c r="K912" s="23" t="n">
        <f aca="false">'Player Data'!S912</f>
        <v>17849</v>
      </c>
      <c r="L912" s="22" t="n">
        <f aca="false">INDEX(Assumptions!$B$13:$B$15,MATCH(E912,Assumptions!$A$13:$A$15,0))</f>
        <v>0.85</v>
      </c>
      <c r="M912" s="24" t="n">
        <f aca="false">IFERROR(SUMPRODUCT(($B$2:$B$1001=B912)*($H$2:$H$1001&lt;=H912))/SUMPRODUCT(($B$2:$B$1001=B912)*1),0)</f>
        <v>0.0606060606060606</v>
      </c>
      <c r="N912" s="24" t="n">
        <f aca="false">IFERROR(SUMPRODUCT(($B$2:$B$1001=B912)*($I$2:$I$1001&lt;=I912))/SUMPRODUCT(($B$2:$B$1001=B912)*1),0)</f>
        <v>0.457912457912458</v>
      </c>
      <c r="O912" s="24" t="n">
        <f aca="false">IFERROR(SUMPRODUCT(($B$2:$B$1001=B912)*($J$2:$J$1001&lt;=J912))/SUMPRODUCT(($B$2:$B$1001=B912)*1),0)</f>
        <v>0.7003367003367</v>
      </c>
      <c r="P912" s="24" t="n">
        <f aca="false">IFERROR(SUMPRODUCT(($B$2:$B$1001=B912)*((0-$F$2:$F$1001)&lt;=(0-F912)))/SUMPRODUCT(($B$2:$B$1001=B912)*1),0)</f>
        <v>0.202020202020202</v>
      </c>
      <c r="Q912" s="25" t="n">
        <f aca="false">(M912*Assumptions!$B$5+N912*Assumptions!$B$6+O912*Assumptions!$B$7+P912*Assumptions!$B$8)*L912</f>
        <v>0.302508417508418</v>
      </c>
      <c r="R912" s="24" t="n">
        <f aca="false">IFERROR(SUMPRODUCT(($B$2:$B$1001=B912)*($Q$2:$Q$1001&lt;=Q912))/SUMPRODUCT(($B$2:$B$1001=B912)*1),0)</f>
        <v>0.252525252525253</v>
      </c>
      <c r="S912" s="24" t="n">
        <f aca="false">IFERROR(SUMPRODUCT(($B$2:$B$1001=B912)*($K$2:$K$1001&lt;=K912))/SUMPRODUCT(($B$2:$B$1001=B912)*1),0)</f>
        <v>0.272727272727273</v>
      </c>
      <c r="T912" s="26" t="n">
        <f aca="false">(R912-S912)*100</f>
        <v>-2.02020202020202</v>
      </c>
      <c r="U912" s="21" t="str">
        <f aca="false">'Player Data'!T912</f>
        <v>Yes</v>
      </c>
      <c r="V912" s="27" t="n">
        <f aca="false">'Player Data'!U912</f>
        <v>2029</v>
      </c>
      <c r="W912" s="21" t="str">
        <f aca="false">IF(AND(T912&gt;=Assumptions!$B$19,U912="No"),"High Priority - Unrepresented",IF(T912&gt;=Assumptions!$B$19,"High Priority",IF(AND(T912&gt;=Assumptions!$B$20,U912="No"),"Watchlist - Unrepresented",IF(T912&gt;=Assumptions!$B$20,"Watchlist",""))))</f>
        <v/>
      </c>
      <c r="X912" s="21" t="str">
        <f aca="false">'Player Data'!V912</f>
        <v>info@kingstonrovers.jm</v>
      </c>
      <c r="Y912" s="28" t="str">
        <f aca="false">'Player Data'!W912</f>
        <v>Go through the player's agent - ask the club to confirm representation first</v>
      </c>
      <c r="Z912" s="28" t="str">
        <f aca="false">'Player Data'!X912</f>
        <v>JFF (Jamaica Football Federation) player registry</v>
      </c>
      <c r="AA912" s="19" t="str">
        <f aca="false">HYPERLINK("https://www.transfermarkt.com/schnellsuche/ergebnis/schnellsuche?query="&amp;SUBSTITUTE(A912," ","+"),"Search Transfermarkt")</f>
        <v>Search Transfermarkt</v>
      </c>
      <c r="AB912" s="29" t="n">
        <f aca="false">IFERROR('Player Data'!K912/('Player Data'!K912+'Player Data'!L912),0)</f>
        <v>0.714285714285714</v>
      </c>
      <c r="AC912" s="21" t="str">
        <f aca="false">IF(B912="GK",IF(AND(O912&gt;=Assumptions!$B$23,N912&gt;=Assumptions!$B$23),"Sweeper-Keeper / Build-from-the-Back",IF(O912&gt;=Assumptions!$B$23,"Sweeper-Keeper / High Line",IF(M912&gt;=Assumptions!$B$23,"Shot-Stopper / Traditional","Flexible / Multi-System"))),IF(AND(O912&gt;=Assumptions!$B$23,P912&gt;=Assumptions!$B$24),"High Press / Gegenpressing",IF(AND(N912&gt;=Assumptions!$B$23,AB912&gt;=Assumptions!$B$25),"Possession / Build-from-the-Back",IF(N912&gt;=Assumptions!$B$23,"Counter-Attack / Transition",IF(AND(O912&gt;=Assumptions!$B$23,N912&lt;Assumptions!$B$26),"Low Block / Park the Bus",IF(AND(B912="FW",M912&gt;=Assumptions!$B$23,N912&lt;Assumptions!$B$26),"Direct / Target Approach","Flexible / Multi-System"))))))</f>
        <v>Flexible / Multi-System</v>
      </c>
      <c r="AD912" s="21" t="str">
        <f aca="false">'Player Data'!Y912</f>
        <v>2026-07-17</v>
      </c>
      <c r="AE912" s="21" t="str">
        <f aca="false">'Player Data'!Z912</f>
        <v>2026-07-17</v>
      </c>
      <c r="AF912" s="28" t="str">
        <f aca="false">IFERROR(INDEX(Assumptions!$B$30:$B$61,MATCH(C912,Assumptions!$A$30:$A$61,0)),"--")</f>
        <v>United States, Mexico</v>
      </c>
      <c r="AG912" s="30" t="str">
        <f aca="false">IF(R912&gt;=0.7,"Step-Up Candidate",IF(R912&gt;=0.4,"Lateral Move","Stay &amp; Develop"))</f>
        <v>Stay &amp; Develop</v>
      </c>
    </row>
    <row r="913" customFormat="false" ht="23.85" hidden="false" customHeight="false" outlineLevel="0" collapsed="false">
      <c r="A913" s="21" t="str">
        <f aca="false">'Player Data'!A913</f>
        <v>Ziga Krajnc</v>
      </c>
      <c r="B913" s="21" t="str">
        <f aca="false">'Player Data'!F913</f>
        <v>MF</v>
      </c>
      <c r="C913" s="21" t="str">
        <f aca="false">'Player Data'!B913</f>
        <v>Slovenia</v>
      </c>
      <c r="D913" s="21" t="str">
        <f aca="false">'Player Data'!C913</f>
        <v>Slovenia Provincial League</v>
      </c>
      <c r="E913" s="21" t="n">
        <f aca="false">'Player Data'!D913</f>
        <v>2</v>
      </c>
      <c r="F913" s="21" t="n">
        <f aca="false">'Player Data'!G913</f>
        <v>23</v>
      </c>
      <c r="G913" s="21" t="n">
        <f aca="false">'Player Data'!H913</f>
        <v>1502</v>
      </c>
      <c r="H913" s="22" t="n">
        <f aca="false">IF(B913="GK",IFERROR(('Player Data'!N913-1.5*'Player Data'!O913)/'Player Data'!H913*90,0),IFERROR(('Player Data'!I913+'Player Data'!J913)/'Player Data'!H913*90,0))</f>
        <v>0.359520639147803</v>
      </c>
      <c r="I913" s="22" t="n">
        <f aca="false">IF(B913="GK",'Player Data'!P913,IFERROR(('Player Data'!K913+'Player Data'!L913)/'Player Data'!H913*90,0))</f>
        <v>15.3994673768309</v>
      </c>
      <c r="J913" s="22" t="n">
        <f aca="false">IF(B913="GK",IFERROR('Player Data'!Q913/'Player Data'!H913*90,0),IFERROR('Player Data'!M913/'Player Data'!H913*90,0))</f>
        <v>2.81624500665779</v>
      </c>
      <c r="K913" s="23" t="n">
        <f aca="false">'Player Data'!S913</f>
        <v>25422</v>
      </c>
      <c r="L913" s="22" t="n">
        <f aca="false">INDEX(Assumptions!$B$13:$B$15,MATCH(E913,Assumptions!$A$13:$A$15,0))</f>
        <v>1</v>
      </c>
      <c r="M913" s="24" t="n">
        <f aca="false">IFERROR(SUMPRODUCT(($B$2:$B$1001=B913)*($H$2:$H$1001&lt;=H913))/SUMPRODUCT(($B$2:$B$1001=B913)*1),0)</f>
        <v>0.0774410774410774</v>
      </c>
      <c r="N913" s="24" t="n">
        <f aca="false">IFERROR(SUMPRODUCT(($B$2:$B$1001=B913)*($I$2:$I$1001&lt;=I913))/SUMPRODUCT(($B$2:$B$1001=B913)*1),0)</f>
        <v>0.767676767676768</v>
      </c>
      <c r="O913" s="24" t="n">
        <f aca="false">IFERROR(SUMPRODUCT(($B$2:$B$1001=B913)*($J$2:$J$1001&lt;=J913))/SUMPRODUCT(($B$2:$B$1001=B913)*1),0)</f>
        <v>0.747474747474748</v>
      </c>
      <c r="P913" s="24" t="n">
        <f aca="false">IFERROR(SUMPRODUCT(($B$2:$B$1001=B913)*((0-$F$2:$F$1001)&lt;=(0-F913)))/SUMPRODUCT(($B$2:$B$1001=B913)*1),0)</f>
        <v>0.390572390572391</v>
      </c>
      <c r="Q913" s="25" t="n">
        <f aca="false">(M913*Assumptions!$B$5+N913*Assumptions!$B$6+O913*Assumptions!$B$7+P913*Assumptions!$B$8)*L913</f>
        <v>0.515656565656566</v>
      </c>
      <c r="R913" s="24" t="n">
        <f aca="false">IFERROR(SUMPRODUCT(($B$2:$B$1001=B913)*($Q$2:$Q$1001&lt;=Q913))/SUMPRODUCT(($B$2:$B$1001=B913)*1),0)</f>
        <v>0.646464646464647</v>
      </c>
      <c r="S913" s="24" t="n">
        <f aca="false">IFERROR(SUMPRODUCT(($B$2:$B$1001=B913)*($K$2:$K$1001&lt;=K913))/SUMPRODUCT(($B$2:$B$1001=B913)*1),0)</f>
        <v>0.296296296296296</v>
      </c>
      <c r="T913" s="26" t="n">
        <f aca="false">(R913-S913)*100</f>
        <v>35.016835016835</v>
      </c>
      <c r="U913" s="21" t="str">
        <f aca="false">'Player Data'!T913</f>
        <v>Yes</v>
      </c>
      <c r="V913" s="27" t="n">
        <f aca="false">'Player Data'!U913</f>
        <v>2028</v>
      </c>
      <c r="W913" s="21" t="str">
        <f aca="false">IF(AND(T913&gt;=Assumptions!$B$19,U913="No"),"High Priority - Unrepresented",IF(T913&gt;=Assumptions!$B$19,"High Priority",IF(AND(T913&gt;=Assumptions!$B$20,U913="No"),"Watchlist - Unrepresented",IF(T913&gt;=Assumptions!$B$20,"Watchlist",""))))</f>
        <v>Watchlist</v>
      </c>
      <c r="X913" s="21" t="str">
        <f aca="false">'Player Data'!V913</f>
        <v>info@celjewanderers.si</v>
      </c>
      <c r="Y913" s="28" t="str">
        <f aca="false">'Player Data'!W913</f>
        <v>Go through the player's agent - ask the club to confirm representation first</v>
      </c>
      <c r="Z913" s="28" t="str">
        <f aca="false">'Player Data'!X913</f>
        <v>NZS (Football Association of Slovenia) player registry</v>
      </c>
      <c r="AA913" s="19" t="str">
        <f aca="false">HYPERLINK("https://www.transfermarkt.com/schnellsuche/ergebnis/schnellsuche?query="&amp;SUBSTITUTE(A913," ","+"),"Search Transfermarkt")</f>
        <v>Search Transfermarkt</v>
      </c>
      <c r="AB913" s="29" t="n">
        <f aca="false">IFERROR('Player Data'!K913/('Player Data'!K913+'Player Data'!L913),0)</f>
        <v>0.638132295719844</v>
      </c>
      <c r="AC913" s="21" t="str">
        <f aca="false">IF(B913="GK",IF(AND(O913&gt;=Assumptions!$B$23,N913&gt;=Assumptions!$B$23),"Sweeper-Keeper / Build-from-the-Back",IF(O913&gt;=Assumptions!$B$23,"Sweeper-Keeper / High Line",IF(M913&gt;=Assumptions!$B$23,"Shot-Stopper / Traditional","Flexible / Multi-System"))),IF(AND(O913&gt;=Assumptions!$B$23,P913&gt;=Assumptions!$B$24),"High Press / Gegenpressing",IF(AND(N913&gt;=Assumptions!$B$23,AB913&gt;=Assumptions!$B$25),"Possession / Build-from-the-Back",IF(N913&gt;=Assumptions!$B$23,"Counter-Attack / Transition",IF(AND(O913&gt;=Assumptions!$B$23,N913&lt;Assumptions!$B$26),"Low Block / Park the Bus",IF(AND(B913="FW",M913&gt;=Assumptions!$B$23,N913&lt;Assumptions!$B$26),"Direct / Target Approach","Flexible / Multi-System"))))))</f>
        <v>Possession / Build-from-the-Back</v>
      </c>
      <c r="AD913" s="21" t="str">
        <f aca="false">'Player Data'!Y913</f>
        <v>2026-07-17</v>
      </c>
      <c r="AE913" s="21" t="str">
        <f aca="false">'Player Data'!Z913</f>
        <v>2026-07-17</v>
      </c>
      <c r="AF913" s="28" t="str">
        <f aca="false">IFERROR(INDEX(Assumptions!$B$30:$B$61,MATCH(C913,Assumptions!$A$30:$A$61,0)),"--")</f>
        <v>Austria, Poland</v>
      </c>
      <c r="AG913" s="30" t="str">
        <f aca="false">IF(R913&gt;=0.7,"Step-Up Candidate",IF(R913&gt;=0.4,"Lateral Move","Stay &amp; Develop"))</f>
        <v>Lateral Move</v>
      </c>
    </row>
    <row r="914" customFormat="false" ht="23.85" hidden="false" customHeight="false" outlineLevel="0" collapsed="false">
      <c r="A914" s="21" t="str">
        <f aca="false">'Player Data'!A914</f>
        <v>Adalberto Escobar</v>
      </c>
      <c r="B914" s="21" t="str">
        <f aca="false">'Player Data'!F914</f>
        <v>MF</v>
      </c>
      <c r="C914" s="21" t="str">
        <f aca="false">'Player Data'!B914</f>
        <v>Panama</v>
      </c>
      <c r="D914" s="21" t="str">
        <f aca="false">'Player Data'!C914</f>
        <v>Panama Second Division</v>
      </c>
      <c r="E914" s="21" t="n">
        <f aca="false">'Player Data'!D914</f>
        <v>2</v>
      </c>
      <c r="F914" s="21" t="n">
        <f aca="false">'Player Data'!G914</f>
        <v>17</v>
      </c>
      <c r="G914" s="21" t="n">
        <f aca="false">'Player Data'!H914</f>
        <v>2265</v>
      </c>
      <c r="H914" s="22" t="n">
        <f aca="false">IF(B914="GK",IFERROR(('Player Data'!N914-1.5*'Player Data'!O914)/'Player Data'!H914*90,0),IFERROR(('Player Data'!I914+'Player Data'!J914)/'Player Data'!H914*90,0))</f>
        <v>0.675496688741722</v>
      </c>
      <c r="I914" s="22" t="n">
        <f aca="false">IF(B914="GK",'Player Data'!P914,IFERROR(('Player Data'!K914+'Player Data'!L914)/'Player Data'!H914*90,0))</f>
        <v>9.81456953642384</v>
      </c>
      <c r="J914" s="22" t="n">
        <f aca="false">IF(B914="GK",IFERROR('Player Data'!Q914/'Player Data'!H914*90,0),IFERROR('Player Data'!M914/'Player Data'!H914*90,0))</f>
        <v>1.47019867549669</v>
      </c>
      <c r="K914" s="23" t="n">
        <f aca="false">'Player Data'!S914</f>
        <v>28873</v>
      </c>
      <c r="L914" s="22" t="n">
        <f aca="false">INDEX(Assumptions!$B$13:$B$15,MATCH(E914,Assumptions!$A$13:$A$15,0))</f>
        <v>1</v>
      </c>
      <c r="M914" s="24" t="n">
        <f aca="false">IFERROR(SUMPRODUCT(($B$2:$B$1001=B914)*($H$2:$H$1001&lt;=H914))/SUMPRODUCT(($B$2:$B$1001=B914)*1),0)</f>
        <v>0.427609427609428</v>
      </c>
      <c r="N914" s="24" t="n">
        <f aca="false">IFERROR(SUMPRODUCT(($B$2:$B$1001=B914)*($I$2:$I$1001&lt;=I914))/SUMPRODUCT(($B$2:$B$1001=B914)*1),0)</f>
        <v>0.407407407407407</v>
      </c>
      <c r="O914" s="24" t="n">
        <f aca="false">IFERROR(SUMPRODUCT(($B$2:$B$1001=B914)*($J$2:$J$1001&lt;=J914))/SUMPRODUCT(($B$2:$B$1001=B914)*1),0)</f>
        <v>0.158249158249158</v>
      </c>
      <c r="P914" s="24" t="n">
        <f aca="false">IFERROR(SUMPRODUCT(($B$2:$B$1001=B914)*((0-$F$2:$F$1001)&lt;=(0-F914)))/SUMPRODUCT(($B$2:$B$1001=B914)*1),0)</f>
        <v>1</v>
      </c>
      <c r="Q914" s="25" t="n">
        <f aca="false">(M914*Assumptions!$B$5+N914*Assumptions!$B$6+O914*Assumptions!$B$7+P914*Assumptions!$B$8)*L914</f>
        <v>0.481144781144781</v>
      </c>
      <c r="R914" s="24" t="n">
        <f aca="false">IFERROR(SUMPRODUCT(($B$2:$B$1001=B914)*($Q$2:$Q$1001&lt;=Q914))/SUMPRODUCT(($B$2:$B$1001=B914)*1),0)</f>
        <v>0.589225589225589</v>
      </c>
      <c r="S914" s="24" t="n">
        <f aca="false">IFERROR(SUMPRODUCT(($B$2:$B$1001=B914)*($K$2:$K$1001&lt;=K914))/SUMPRODUCT(($B$2:$B$1001=B914)*1),0)</f>
        <v>0.30976430976431</v>
      </c>
      <c r="T914" s="26" t="n">
        <f aca="false">(R914-S914)*100</f>
        <v>27.9461279461279</v>
      </c>
      <c r="U914" s="21" t="str">
        <f aca="false">'Player Data'!T914</f>
        <v>Unknown</v>
      </c>
      <c r="V914" s="27" t="n">
        <f aca="false">'Player Data'!U914</f>
        <v>2026</v>
      </c>
      <c r="W914" s="21" t="str">
        <f aca="false">IF(AND(T914&gt;=Assumptions!$B$19,U914="No"),"High Priority - Unrepresented",IF(T914&gt;=Assumptions!$B$19,"High Priority",IF(AND(T914&gt;=Assumptions!$B$20,U914="No"),"Watchlist - Unrepresented",IF(T914&gt;=Assumptions!$B$20,"Watchlist",""))))</f>
        <v>Watchlist</v>
      </c>
      <c r="X914" s="21" t="str">
        <f aca="false">'Player Data'!V914</f>
        <v>info@panamacityrovers.pa</v>
      </c>
      <c r="Y914" s="28" t="str">
        <f aca="false">'Player Data'!W914</f>
        <v>Club youth/academy office ONLY - player is a minor, do not contact directly</v>
      </c>
      <c r="Z914" s="28" t="str">
        <f aca="false">'Player Data'!X914</f>
        <v>FEPAFUT (Panamanian Football Federation) player registry</v>
      </c>
      <c r="AA914" s="19" t="str">
        <f aca="false">HYPERLINK("https://www.transfermarkt.com/schnellsuche/ergebnis/schnellsuche?query="&amp;SUBSTITUTE(A914," ","+"),"Search Transfermarkt")</f>
        <v>Search Transfermarkt</v>
      </c>
      <c r="AB914" s="29" t="n">
        <f aca="false">IFERROR('Player Data'!K914/('Player Data'!K914+'Player Data'!L914),0)</f>
        <v>0.635627530364373</v>
      </c>
      <c r="AC914" s="21" t="str">
        <f aca="false">IF(B914="GK",IF(AND(O914&gt;=Assumptions!$B$23,N914&gt;=Assumptions!$B$23),"Sweeper-Keeper / Build-from-the-Back",IF(O914&gt;=Assumptions!$B$23,"Sweeper-Keeper / High Line",IF(M914&gt;=Assumptions!$B$23,"Shot-Stopper / Traditional","Flexible / Multi-System"))),IF(AND(O914&gt;=Assumptions!$B$23,P914&gt;=Assumptions!$B$24),"High Press / Gegenpressing",IF(AND(N914&gt;=Assumptions!$B$23,AB914&gt;=Assumptions!$B$25),"Possession / Build-from-the-Back",IF(N914&gt;=Assumptions!$B$23,"Counter-Attack / Transition",IF(AND(O914&gt;=Assumptions!$B$23,N914&lt;Assumptions!$B$26),"Low Block / Park the Bus",IF(AND(B914="FW",M914&gt;=Assumptions!$B$23,N914&lt;Assumptions!$B$26),"Direct / Target Approach","Flexible / Multi-System"))))))</f>
        <v>Flexible / Multi-System</v>
      </c>
      <c r="AD914" s="21" t="str">
        <f aca="false">'Player Data'!Y914</f>
        <v>2026-07-17</v>
      </c>
      <c r="AE914" s="21" t="str">
        <f aca="false">'Player Data'!Z914</f>
        <v>2026-07-17</v>
      </c>
      <c r="AF914" s="28" t="str">
        <f aca="false">IFERROR(INDEX(Assumptions!$B$30:$B$61,MATCH(C914,Assumptions!$A$30:$A$61,0)),"--")</f>
        <v>Mexico, United States</v>
      </c>
      <c r="AG914" s="30" t="str">
        <f aca="false">IF(R914&gt;=0.7,"Step-Up Candidate",IF(R914&gt;=0.4,"Lateral Move","Stay &amp; Develop"))</f>
        <v>Lateral Move</v>
      </c>
    </row>
    <row r="915" customFormat="false" ht="23.85" hidden="false" customHeight="false" outlineLevel="0" collapsed="false">
      <c r="A915" s="21" t="str">
        <f aca="false">'Player Data'!A915</f>
        <v>Andres Mendoza</v>
      </c>
      <c r="B915" s="21" t="str">
        <f aca="false">'Player Data'!F915</f>
        <v>MF</v>
      </c>
      <c r="C915" s="21" t="str">
        <f aca="false">'Player Data'!B915</f>
        <v>Ecuador</v>
      </c>
      <c r="D915" s="21" t="str">
        <f aca="false">'Player Data'!C915</f>
        <v>Ecuador Amateur League</v>
      </c>
      <c r="E915" s="21" t="n">
        <f aca="false">'Player Data'!D915</f>
        <v>3</v>
      </c>
      <c r="F915" s="21" t="n">
        <f aca="false">'Player Data'!G915</f>
        <v>18</v>
      </c>
      <c r="G915" s="21" t="n">
        <f aca="false">'Player Data'!H915</f>
        <v>2185</v>
      </c>
      <c r="H915" s="22" t="n">
        <f aca="false">IF(B915="GK",IFERROR(('Player Data'!N915-1.5*'Player Data'!O915)/'Player Data'!H915*90,0),IFERROR(('Player Data'!I915+'Player Data'!J915)/'Player Data'!H915*90,0))</f>
        <v>0.659038901601831</v>
      </c>
      <c r="I915" s="22" t="n">
        <f aca="false">IF(B915="GK",'Player Data'!P915,IFERROR(('Player Data'!K915+'Player Data'!L915)/'Player Data'!H915*90,0))</f>
        <v>6.67276887871854</v>
      </c>
      <c r="J915" s="22" t="n">
        <f aca="false">IF(B915="GK",IFERROR('Player Data'!Q915/'Player Data'!H915*90,0),IFERROR('Player Data'!M915/'Player Data'!H915*90,0))</f>
        <v>1.35926773455378</v>
      </c>
      <c r="K915" s="23" t="n">
        <f aca="false">'Player Data'!S915</f>
        <v>0</v>
      </c>
      <c r="L915" s="22" t="n">
        <f aca="false">INDEX(Assumptions!$B$13:$B$15,MATCH(E915,Assumptions!$A$13:$A$15,0))</f>
        <v>0.85</v>
      </c>
      <c r="M915" s="24" t="n">
        <f aca="false">IFERROR(SUMPRODUCT(($B$2:$B$1001=B915)*($H$2:$H$1001&lt;=H915))/SUMPRODUCT(($B$2:$B$1001=B915)*1),0)</f>
        <v>0.400673400673401</v>
      </c>
      <c r="N915" s="24" t="n">
        <f aca="false">IFERROR(SUMPRODUCT(($B$2:$B$1001=B915)*($I$2:$I$1001&lt;=I915))/SUMPRODUCT(($B$2:$B$1001=B915)*1),0)</f>
        <v>0.0336700336700337</v>
      </c>
      <c r="O915" s="24" t="n">
        <f aca="false">IFERROR(SUMPRODUCT(($B$2:$B$1001=B915)*($J$2:$J$1001&lt;=J915))/SUMPRODUCT(($B$2:$B$1001=B915)*1),0)</f>
        <v>0.124579124579125</v>
      </c>
      <c r="P915" s="24" t="n">
        <f aca="false">IFERROR(SUMPRODUCT(($B$2:$B$1001=B915)*((0-$F$2:$F$1001)&lt;=(0-F915)))/SUMPRODUCT(($B$2:$B$1001=B915)*1),0)</f>
        <v>0.929292929292929</v>
      </c>
      <c r="Q915" s="25" t="n">
        <f aca="false">(M915*Assumptions!$B$5+N915*Assumptions!$B$6+O915*Assumptions!$B$7+P915*Assumptions!$B$8)*L915</f>
        <v>0.274318181818182</v>
      </c>
      <c r="R915" s="24" t="n">
        <f aca="false">IFERROR(SUMPRODUCT(($B$2:$B$1001=B915)*($Q$2:$Q$1001&lt;=Q915))/SUMPRODUCT(($B$2:$B$1001=B915)*1),0)</f>
        <v>0.225589225589226</v>
      </c>
      <c r="S915" s="24" t="n">
        <f aca="false">IFERROR(SUMPRODUCT(($B$2:$B$1001=B915)*($K$2:$K$1001&lt;=K915))/SUMPRODUCT(($B$2:$B$1001=B915)*1),0)</f>
        <v>0.228956228956229</v>
      </c>
      <c r="T915" s="26" t="n">
        <f aca="false">(R915-S915)*100</f>
        <v>-0.336700336700338</v>
      </c>
      <c r="U915" s="21" t="str">
        <f aca="false">'Player Data'!T915</f>
        <v>Yes</v>
      </c>
      <c r="V915" s="27" t="n">
        <f aca="false">'Player Data'!U915</f>
        <v>2028</v>
      </c>
      <c r="W915" s="21" t="str">
        <f aca="false">IF(AND(T915&gt;=Assumptions!$B$19,U915="No"),"High Priority - Unrepresented",IF(T915&gt;=Assumptions!$B$19,"High Priority",IF(AND(T915&gt;=Assumptions!$B$20,U915="No"),"Watchlist - Unrepresented",IF(T915&gt;=Assumptions!$B$20,"Watchlist",""))))</f>
        <v/>
      </c>
      <c r="X915" s="21" t="str">
        <f aca="false">'Player Data'!V915</f>
        <v>info@mantafc.ec</v>
      </c>
      <c r="Y915" s="28" t="str">
        <f aca="false">'Player Data'!W915</f>
        <v>Go through the player's agent - ask the club to confirm representation first</v>
      </c>
      <c r="Z915" s="28" t="str">
        <f aca="false">'Player Data'!X915</f>
        <v>FEF (Ecuadorian Football Federation) player registry</v>
      </c>
      <c r="AA915" s="19" t="str">
        <f aca="false">HYPERLINK("https://www.transfermarkt.com/schnellsuche/ergebnis/schnellsuche?query="&amp;SUBSTITUTE(A915," ","+"),"Search Transfermarkt")</f>
        <v>Search Transfermarkt</v>
      </c>
      <c r="AB915" s="29" t="n">
        <f aca="false">IFERROR('Player Data'!K915/('Player Data'!K915+'Player Data'!L915),0)</f>
        <v>0.679012345679012</v>
      </c>
      <c r="AC915" s="21" t="str">
        <f aca="false">IF(B915="GK",IF(AND(O915&gt;=Assumptions!$B$23,N915&gt;=Assumptions!$B$23),"Sweeper-Keeper / Build-from-the-Back",IF(O915&gt;=Assumptions!$B$23,"Sweeper-Keeper / High Line",IF(M915&gt;=Assumptions!$B$23,"Shot-Stopper / Traditional","Flexible / Multi-System"))),IF(AND(O915&gt;=Assumptions!$B$23,P915&gt;=Assumptions!$B$24),"High Press / Gegenpressing",IF(AND(N915&gt;=Assumptions!$B$23,AB915&gt;=Assumptions!$B$25),"Possession / Build-from-the-Back",IF(N915&gt;=Assumptions!$B$23,"Counter-Attack / Transition",IF(AND(O915&gt;=Assumptions!$B$23,N915&lt;Assumptions!$B$26),"Low Block / Park the Bus",IF(AND(B915="FW",M915&gt;=Assumptions!$B$23,N915&lt;Assumptions!$B$26),"Direct / Target Approach","Flexible / Multi-System"))))))</f>
        <v>Flexible / Multi-System</v>
      </c>
      <c r="AD915" s="21" t="str">
        <f aca="false">'Player Data'!Y915</f>
        <v>2026-07-17</v>
      </c>
      <c r="AE915" s="21" t="str">
        <f aca="false">'Player Data'!Z915</f>
        <v>2026-07-17</v>
      </c>
      <c r="AF915" s="28" t="str">
        <f aca="false">IFERROR(INDEX(Assumptions!$B$30:$B$61,MATCH(C915,Assumptions!$A$30:$A$61,0)),"--")</f>
        <v>Argentina, Portugal</v>
      </c>
      <c r="AG915" s="30" t="str">
        <f aca="false">IF(R915&gt;=0.7,"Step-Up Candidate",IF(R915&gt;=0.4,"Lateral Move","Stay &amp; Develop"))</f>
        <v>Stay &amp; Develop</v>
      </c>
    </row>
    <row r="916" customFormat="false" ht="23.85" hidden="false" customHeight="false" outlineLevel="0" collapsed="false">
      <c r="A916" s="21" t="str">
        <f aca="false">'Player Data'!A916</f>
        <v>Maximiliano Ferreira</v>
      </c>
      <c r="B916" s="21" t="str">
        <f aca="false">'Player Data'!F916</f>
        <v>DF</v>
      </c>
      <c r="C916" s="21" t="str">
        <f aca="false">'Player Data'!B916</f>
        <v>Uruguay</v>
      </c>
      <c r="D916" s="21" t="str">
        <f aca="false">'Player Data'!C916</f>
        <v>Uruguay Third Tier - South</v>
      </c>
      <c r="E916" s="21" t="n">
        <f aca="false">'Player Data'!D916</f>
        <v>3</v>
      </c>
      <c r="F916" s="21" t="n">
        <f aca="false">'Player Data'!G916</f>
        <v>17</v>
      </c>
      <c r="G916" s="21" t="n">
        <f aca="false">'Player Data'!H916</f>
        <v>1549</v>
      </c>
      <c r="H916" s="22" t="n">
        <f aca="false">IF(B916="GK",IFERROR(('Player Data'!N916-1.5*'Player Data'!O916)/'Player Data'!H916*90,0),IFERROR(('Player Data'!I916+'Player Data'!J916)/'Player Data'!H916*90,0))</f>
        <v>0.174306003873467</v>
      </c>
      <c r="I916" s="22" t="n">
        <f aca="false">IF(B916="GK",'Player Data'!P916,IFERROR(('Player Data'!K916+'Player Data'!L916)/'Player Data'!H916*90,0))</f>
        <v>6.39122014202712</v>
      </c>
      <c r="J916" s="22" t="n">
        <f aca="false">IF(B916="GK",IFERROR('Player Data'!Q916/'Player Data'!H916*90,0),IFERROR('Player Data'!M916/'Player Data'!H916*90,0))</f>
        <v>6.39122014202712</v>
      </c>
      <c r="K916" s="23" t="n">
        <f aca="false">'Player Data'!S916</f>
        <v>42711</v>
      </c>
      <c r="L916" s="22" t="n">
        <f aca="false">INDEX(Assumptions!$B$13:$B$15,MATCH(E916,Assumptions!$A$13:$A$15,0))</f>
        <v>0.85</v>
      </c>
      <c r="M916" s="24" t="n">
        <f aca="false">IFERROR(SUMPRODUCT(($B$2:$B$1001=B916)*($H$2:$H$1001&lt;=H916))/SUMPRODUCT(($B$2:$B$1001=B916)*1),0)</f>
        <v>0.45578231292517</v>
      </c>
      <c r="N916" s="24" t="n">
        <f aca="false">IFERROR(SUMPRODUCT(($B$2:$B$1001=B916)*($I$2:$I$1001&lt;=I916))/SUMPRODUCT(($B$2:$B$1001=B916)*1),0)</f>
        <v>0.785714285714286</v>
      </c>
      <c r="O916" s="24" t="n">
        <f aca="false">IFERROR(SUMPRODUCT(($B$2:$B$1001=B916)*($J$2:$J$1001&lt;=J916))/SUMPRODUCT(($B$2:$B$1001=B916)*1),0)</f>
        <v>0.673469387755102</v>
      </c>
      <c r="P916" s="24" t="n">
        <f aca="false">IFERROR(SUMPRODUCT(($B$2:$B$1001=B916)*((0-$F$2:$F$1001)&lt;=(0-F916)))/SUMPRODUCT(($B$2:$B$1001=B916)*1),0)</f>
        <v>1</v>
      </c>
      <c r="Q916" s="25" t="n">
        <f aca="false">(M916*Assumptions!$B$5+N916*Assumptions!$B$6+O916*Assumptions!$B$7+P916*Assumptions!$B$8)*L916</f>
        <v>0.615093537414966</v>
      </c>
      <c r="R916" s="24" t="n">
        <f aca="false">IFERROR(SUMPRODUCT(($B$2:$B$1001=B916)*($Q$2:$Q$1001&lt;=Q916))/SUMPRODUCT(($B$2:$B$1001=B916)*1),0)</f>
        <v>0.792517006802721</v>
      </c>
      <c r="S916" s="24" t="n">
        <f aca="false">IFERROR(SUMPRODUCT(($B$2:$B$1001=B916)*($K$2:$K$1001&lt;=K916))/SUMPRODUCT(($B$2:$B$1001=B916)*1),0)</f>
        <v>0.41156462585034</v>
      </c>
      <c r="T916" s="26" t="n">
        <f aca="false">(R916-S916)*100</f>
        <v>38.0952380952381</v>
      </c>
      <c r="U916" s="21" t="str">
        <f aca="false">'Player Data'!T916</f>
        <v>No</v>
      </c>
      <c r="V916" s="27" t="n">
        <f aca="false">'Player Data'!U916</f>
        <v>2026</v>
      </c>
      <c r="W916" s="21" t="str">
        <f aca="false">IF(AND(T916&gt;=Assumptions!$B$19,U916="No"),"High Priority - Unrepresented",IF(T916&gt;=Assumptions!$B$19,"High Priority",IF(AND(T916&gt;=Assumptions!$B$20,U916="No"),"Watchlist - Unrepresented",IF(T916&gt;=Assumptions!$B$20,"Watchlist",""))))</f>
        <v>Watchlist - Unrepresented</v>
      </c>
      <c r="X916" s="21" t="str">
        <f aca="false">'Player Data'!V916</f>
        <v>info@paysandurovers.uy</v>
      </c>
      <c r="Y916" s="28" t="str">
        <f aca="false">'Player Data'!W916</f>
        <v>Club youth/academy office ONLY - player is a minor, do not contact directly</v>
      </c>
      <c r="Z916" s="28" t="str">
        <f aca="false">'Player Data'!X916</f>
        <v>AUF (Uruguayan Football Association) player registry</v>
      </c>
      <c r="AA916" s="19" t="str">
        <f aca="false">HYPERLINK("https://www.transfermarkt.com/schnellsuche/ergebnis/schnellsuche?query="&amp;SUBSTITUTE(A916," ","+"),"Search Transfermarkt")</f>
        <v>Search Transfermarkt</v>
      </c>
      <c r="AB916" s="29" t="n">
        <f aca="false">IFERROR('Player Data'!K916/('Player Data'!K916+'Player Data'!L916),0)</f>
        <v>0.636363636363636</v>
      </c>
      <c r="AC916" s="21" t="str">
        <f aca="false">IF(B916="GK",IF(AND(O916&gt;=Assumptions!$B$23,N916&gt;=Assumptions!$B$23),"Sweeper-Keeper / Build-from-the-Back",IF(O916&gt;=Assumptions!$B$23,"Sweeper-Keeper / High Line",IF(M916&gt;=Assumptions!$B$23,"Shot-Stopper / Traditional","Flexible / Multi-System"))),IF(AND(O916&gt;=Assumptions!$B$23,P916&gt;=Assumptions!$B$24),"High Press / Gegenpressing",IF(AND(N916&gt;=Assumptions!$B$23,AB916&gt;=Assumptions!$B$25),"Possession / Build-from-the-Back",IF(N916&gt;=Assumptions!$B$23,"Counter-Attack / Transition",IF(AND(O916&gt;=Assumptions!$B$23,N916&lt;Assumptions!$B$26),"Low Block / Park the Bus",IF(AND(B916="FW",M916&gt;=Assumptions!$B$23,N916&lt;Assumptions!$B$26),"Direct / Target Approach","Flexible / Multi-System"))))))</f>
        <v>High Press / Gegenpressing</v>
      </c>
      <c r="AD916" s="21" t="str">
        <f aca="false">'Player Data'!Y916</f>
        <v>2026-07-17</v>
      </c>
      <c r="AE916" s="21" t="str">
        <f aca="false">'Player Data'!Z916</f>
        <v>2026-07-17</v>
      </c>
      <c r="AF916" s="28" t="str">
        <f aca="false">IFERROR(INDEX(Assumptions!$B$30:$B$61,MATCH(C916,Assumptions!$A$30:$A$61,0)),"--")</f>
        <v>Argentina, Portugal</v>
      </c>
      <c r="AG916" s="30" t="str">
        <f aca="false">IF(R916&gt;=0.7,"Step-Up Candidate",IF(R916&gt;=0.4,"Lateral Move","Stay &amp; Develop"))</f>
        <v>Step-Up Candidate</v>
      </c>
    </row>
    <row r="917" customFormat="false" ht="23.85" hidden="false" customHeight="false" outlineLevel="0" collapsed="false">
      <c r="A917" s="21" t="str">
        <f aca="false">'Player Data'!A917</f>
        <v>Bekzod Yuldashev 63</v>
      </c>
      <c r="B917" s="21" t="str">
        <f aca="false">'Player Data'!F917</f>
        <v>MF</v>
      </c>
      <c r="C917" s="21" t="str">
        <f aca="false">'Player Data'!B917</f>
        <v>Uzbekistan</v>
      </c>
      <c r="D917" s="21" t="str">
        <f aca="false">'Player Data'!C917</f>
        <v>Uzbekistan Third Tier - South</v>
      </c>
      <c r="E917" s="21" t="n">
        <f aca="false">'Player Data'!D917</f>
        <v>2</v>
      </c>
      <c r="F917" s="21" t="n">
        <f aca="false">'Player Data'!G917</f>
        <v>21</v>
      </c>
      <c r="G917" s="21" t="n">
        <f aca="false">'Player Data'!H917</f>
        <v>1911</v>
      </c>
      <c r="H917" s="22" t="n">
        <f aca="false">IF(B917="GK",IFERROR(('Player Data'!N917-1.5*'Player Data'!O917)/'Player Data'!H917*90,0),IFERROR(('Player Data'!I917+'Player Data'!J917)/'Player Data'!H917*90,0))</f>
        <v>0.659340659340659</v>
      </c>
      <c r="I917" s="22" t="n">
        <f aca="false">IF(B917="GK",'Player Data'!P917,IFERROR(('Player Data'!K917+'Player Data'!L917)/'Player Data'!H917*90,0))</f>
        <v>11.8681318681319</v>
      </c>
      <c r="J917" s="22" t="n">
        <f aca="false">IF(B917="GK",IFERROR('Player Data'!Q917/'Player Data'!H917*90,0),IFERROR('Player Data'!M917/'Player Data'!H917*90,0))</f>
        <v>2.30769230769231</v>
      </c>
      <c r="K917" s="23" t="n">
        <f aca="false">'Player Data'!S917</f>
        <v>23048</v>
      </c>
      <c r="L917" s="22" t="n">
        <f aca="false">INDEX(Assumptions!$B$13:$B$15,MATCH(E917,Assumptions!$A$13:$A$15,0))</f>
        <v>1</v>
      </c>
      <c r="M917" s="24" t="n">
        <f aca="false">IFERROR(SUMPRODUCT(($B$2:$B$1001=B917)*($H$2:$H$1001&lt;=H917))/SUMPRODUCT(($B$2:$B$1001=B917)*1),0)</f>
        <v>0.404040404040404</v>
      </c>
      <c r="N917" s="24" t="n">
        <f aca="false">IFERROR(SUMPRODUCT(($B$2:$B$1001=B917)*($I$2:$I$1001&lt;=I917))/SUMPRODUCT(($B$2:$B$1001=B917)*1),0)</f>
        <v>0.575757575757576</v>
      </c>
      <c r="O917" s="24" t="n">
        <f aca="false">IFERROR(SUMPRODUCT(($B$2:$B$1001=B917)*($J$2:$J$1001&lt;=J917))/SUMPRODUCT(($B$2:$B$1001=B917)*1),0)</f>
        <v>0.569023569023569</v>
      </c>
      <c r="P917" s="24" t="n">
        <f aca="false">IFERROR(SUMPRODUCT(($B$2:$B$1001=B917)*((0-$F$2:$F$1001)&lt;=(0-F917)))/SUMPRODUCT(($B$2:$B$1001=B917)*1),0)</f>
        <v>0.61952861952862</v>
      </c>
      <c r="Q917" s="25" t="n">
        <f aca="false">(M917*Assumptions!$B$5+N917*Assumptions!$B$6+O917*Assumptions!$B$7+P917*Assumptions!$B$8)*L917</f>
        <v>0.54023569023569</v>
      </c>
      <c r="R917" s="24" t="n">
        <f aca="false">IFERROR(SUMPRODUCT(($B$2:$B$1001=B917)*($Q$2:$Q$1001&lt;=Q917))/SUMPRODUCT(($B$2:$B$1001=B917)*1),0)</f>
        <v>0.69023569023569</v>
      </c>
      <c r="S917" s="24" t="n">
        <f aca="false">IFERROR(SUMPRODUCT(($B$2:$B$1001=B917)*($K$2:$K$1001&lt;=K917))/SUMPRODUCT(($B$2:$B$1001=B917)*1),0)</f>
        <v>0.28956228956229</v>
      </c>
      <c r="T917" s="26" t="n">
        <f aca="false">(R917-S917)*100</f>
        <v>40.0673400673401</v>
      </c>
      <c r="U917" s="21" t="str">
        <f aca="false">'Player Data'!T917</f>
        <v>Unknown</v>
      </c>
      <c r="V917" s="27" t="n">
        <f aca="false">'Player Data'!U917</f>
        <v>2029</v>
      </c>
      <c r="W917" s="21" t="str">
        <f aca="false">IF(AND(T917&gt;=Assumptions!$B$19,U917="No"),"High Priority - Unrepresented",IF(T917&gt;=Assumptions!$B$19,"High Priority",IF(AND(T917&gt;=Assumptions!$B$20,U917="No"),"Watchlist - Unrepresented",IF(T917&gt;=Assumptions!$B$20,"Watchlist",""))))</f>
        <v>High Priority</v>
      </c>
      <c r="X917" s="21" t="str">
        <f aca="false">'Player Data'!V917</f>
        <v>info@andijanrangers.uz</v>
      </c>
      <c r="Y917" s="28" t="str">
        <f aca="false">'Player Data'!W917</f>
        <v>Club sporting director / first-team office</v>
      </c>
      <c r="Z917" s="28" t="str">
        <f aca="false">'Player Data'!X917</f>
        <v>UFF (Uzbekistan Football Federation) player registry</v>
      </c>
      <c r="AA917" s="19" t="str">
        <f aca="false">HYPERLINK("https://www.transfermarkt.com/schnellsuche/ergebnis/schnellsuche?query="&amp;SUBSTITUTE(A917," ","+"),"Search Transfermarkt")</f>
        <v>Search Transfermarkt</v>
      </c>
      <c r="AB917" s="29" t="n">
        <f aca="false">IFERROR('Player Data'!K917/('Player Data'!K917+'Player Data'!L917),0)</f>
        <v>0.698412698412698</v>
      </c>
      <c r="AC917" s="21" t="str">
        <f aca="false">IF(B917="GK",IF(AND(O917&gt;=Assumptions!$B$23,N917&gt;=Assumptions!$B$23),"Sweeper-Keeper / Build-from-the-Back",IF(O917&gt;=Assumptions!$B$23,"Sweeper-Keeper / High Line",IF(M917&gt;=Assumptions!$B$23,"Shot-Stopper / Traditional","Flexible / Multi-System"))),IF(AND(O917&gt;=Assumptions!$B$23,P917&gt;=Assumptions!$B$24),"High Press / Gegenpressing",IF(AND(N917&gt;=Assumptions!$B$23,AB917&gt;=Assumptions!$B$25),"Possession / Build-from-the-Back",IF(N917&gt;=Assumptions!$B$23,"Counter-Attack / Transition",IF(AND(O917&gt;=Assumptions!$B$23,N917&lt;Assumptions!$B$26),"Low Block / Park the Bus",IF(AND(B917="FW",M917&gt;=Assumptions!$B$23,N917&lt;Assumptions!$B$26),"Direct / Target Approach","Flexible / Multi-System"))))))</f>
        <v>Flexible / Multi-System</v>
      </c>
      <c r="AD917" s="21" t="str">
        <f aca="false">'Player Data'!Y917</f>
        <v>2026-07-17</v>
      </c>
      <c r="AE917" s="21" t="str">
        <f aca="false">'Player Data'!Z917</f>
        <v>2026-07-17</v>
      </c>
      <c r="AF917" s="28" t="str">
        <f aca="false">IFERROR(INDEX(Assumptions!$B$30:$B$61,MATCH(C917,Assumptions!$A$30:$A$61,0)),"--")</f>
        <v>Turkey, Saudi Arabia</v>
      </c>
      <c r="AG917" s="30" t="str">
        <f aca="false">IF(R917&gt;=0.7,"Step-Up Candidate",IF(R917&gt;=0.4,"Lateral Move","Stay &amp; Develop"))</f>
        <v>Lateral Move</v>
      </c>
    </row>
    <row r="918" customFormat="false" ht="23.85" hidden="false" customHeight="false" outlineLevel="0" collapsed="false">
      <c r="A918" s="21" t="str">
        <f aca="false">'Player Data'!A918</f>
        <v>Anthony Chirinos</v>
      </c>
      <c r="B918" s="21" t="str">
        <f aca="false">'Player Data'!F918</f>
        <v>FW</v>
      </c>
      <c r="C918" s="21" t="str">
        <f aca="false">'Player Data'!B918</f>
        <v>Honduras</v>
      </c>
      <c r="D918" s="21" t="str">
        <f aca="false">'Player Data'!C918</f>
        <v>Honduras Third Tier - South</v>
      </c>
      <c r="E918" s="21" t="n">
        <f aca="false">'Player Data'!D918</f>
        <v>3</v>
      </c>
      <c r="F918" s="21" t="n">
        <f aca="false">'Player Data'!G918</f>
        <v>22</v>
      </c>
      <c r="G918" s="21" t="n">
        <f aca="false">'Player Data'!H918</f>
        <v>2532</v>
      </c>
      <c r="H918" s="22" t="n">
        <f aca="false">IF(B918="GK",IFERROR(('Player Data'!N918-1.5*'Player Data'!O918)/'Player Data'!H918*90,0),IFERROR(('Player Data'!I918+'Player Data'!J918)/'Player Data'!H918*90,0))</f>
        <v>0.568720379146919</v>
      </c>
      <c r="I918" s="22" t="n">
        <f aca="false">IF(B918="GK",'Player Data'!P918,IFERROR(('Player Data'!K918+'Player Data'!L918)/'Player Data'!H918*90,0))</f>
        <v>5.08293838862559</v>
      </c>
      <c r="J918" s="22" t="n">
        <f aca="false">IF(B918="GK",IFERROR('Player Data'!Q918/'Player Data'!H918*90,0),IFERROR('Player Data'!M918/'Player Data'!H918*90,0))</f>
        <v>0.533175355450237</v>
      </c>
      <c r="K918" s="23" t="n">
        <f aca="false">'Player Data'!S918</f>
        <v>144508</v>
      </c>
      <c r="L918" s="22" t="n">
        <f aca="false">INDEX(Assumptions!$B$13:$B$15,MATCH(E918,Assumptions!$A$13:$A$15,0))</f>
        <v>0.85</v>
      </c>
      <c r="M918" s="24" t="n">
        <f aca="false">IFERROR(SUMPRODUCT(($B$2:$B$1001=B918)*($H$2:$H$1001&lt;=H918))/SUMPRODUCT(($B$2:$B$1001=B918)*1),0)</f>
        <v>0.132743362831858</v>
      </c>
      <c r="N918" s="24" t="n">
        <f aca="false">IFERROR(SUMPRODUCT(($B$2:$B$1001=B918)*($I$2:$I$1001&lt;=I918))/SUMPRODUCT(($B$2:$B$1001=B918)*1),0)</f>
        <v>0.243362831858407</v>
      </c>
      <c r="O918" s="24" t="n">
        <f aca="false">IFERROR(SUMPRODUCT(($B$2:$B$1001=B918)*($J$2:$J$1001&lt;=J918))/SUMPRODUCT(($B$2:$B$1001=B918)*1),0)</f>
        <v>0.553097345132743</v>
      </c>
      <c r="P918" s="24" t="n">
        <f aca="false">IFERROR(SUMPRODUCT(($B$2:$B$1001=B918)*((0-$F$2:$F$1001)&lt;=(0-F918)))/SUMPRODUCT(($B$2:$B$1001=B918)*1),0)</f>
        <v>0.504424778761062</v>
      </c>
      <c r="Q918" s="25" t="n">
        <f aca="false">(M918*Assumptions!$B$5+N918*Assumptions!$B$6+O918*Assumptions!$B$7+P918*Assumptions!$B$8)*L918</f>
        <v>0.280387168141593</v>
      </c>
      <c r="R918" s="24" t="n">
        <f aca="false">IFERROR(SUMPRODUCT(($B$2:$B$1001=B918)*($Q$2:$Q$1001&lt;=Q918))/SUMPRODUCT(($B$2:$B$1001=B918)*1),0)</f>
        <v>0.247787610619469</v>
      </c>
      <c r="S918" s="24" t="n">
        <f aca="false">IFERROR(SUMPRODUCT(($B$2:$B$1001=B918)*($K$2:$K$1001&lt;=K918))/SUMPRODUCT(($B$2:$B$1001=B918)*1),0)</f>
        <v>0.973451327433628</v>
      </c>
      <c r="T918" s="26" t="n">
        <f aca="false">(R918-S918)*100</f>
        <v>-72.5663716814159</v>
      </c>
      <c r="U918" s="21" t="str">
        <f aca="false">'Player Data'!T918</f>
        <v>Unknown</v>
      </c>
      <c r="V918" s="27" t="n">
        <f aca="false">'Player Data'!U918</f>
        <v>2028</v>
      </c>
      <c r="W918" s="21" t="str">
        <f aca="false">IF(AND(T918&gt;=Assumptions!$B$19,U918="No"),"High Priority - Unrepresented",IF(T918&gt;=Assumptions!$B$19,"High Priority",IF(AND(T918&gt;=Assumptions!$B$20,U918="No"),"Watchlist - Unrepresented",IF(T918&gt;=Assumptions!$B$20,"Watchlist",""))))</f>
        <v/>
      </c>
      <c r="X918" s="21" t="str">
        <f aca="false">'Player Data'!V918</f>
        <v>info@laceibarangers.hn</v>
      </c>
      <c r="Y918" s="28" t="str">
        <f aca="false">'Player Data'!W918</f>
        <v>Club sporting director / first-team office</v>
      </c>
      <c r="Z918" s="28" t="str">
        <f aca="false">'Player Data'!X918</f>
        <v>FENAFUTH (Honduran Football Federation) player registry</v>
      </c>
      <c r="AA918" s="19" t="str">
        <f aca="false">HYPERLINK("https://www.transfermarkt.com/schnellsuche/ergebnis/schnellsuche?query="&amp;SUBSTITUTE(A918," ","+"),"Search Transfermarkt")</f>
        <v>Search Transfermarkt</v>
      </c>
      <c r="AB918" s="29" t="n">
        <f aca="false">IFERROR('Player Data'!K918/('Player Data'!K918+'Player Data'!L918),0)</f>
        <v>0.314685314685315</v>
      </c>
      <c r="AC918" s="21" t="str">
        <f aca="false">IF(B918="GK",IF(AND(O918&gt;=Assumptions!$B$23,N918&gt;=Assumptions!$B$23),"Sweeper-Keeper / Build-from-the-Back",IF(O918&gt;=Assumptions!$B$23,"Sweeper-Keeper / High Line",IF(M918&gt;=Assumptions!$B$23,"Shot-Stopper / Traditional","Flexible / Multi-System"))),IF(AND(O918&gt;=Assumptions!$B$23,P918&gt;=Assumptions!$B$24),"High Press / Gegenpressing",IF(AND(N918&gt;=Assumptions!$B$23,AB918&gt;=Assumptions!$B$25),"Possession / Build-from-the-Back",IF(N918&gt;=Assumptions!$B$23,"Counter-Attack / Transition",IF(AND(O918&gt;=Assumptions!$B$23,N918&lt;Assumptions!$B$26),"Low Block / Park the Bus",IF(AND(B918="FW",M918&gt;=Assumptions!$B$23,N918&lt;Assumptions!$B$26),"Direct / Target Approach","Flexible / Multi-System"))))))</f>
        <v>Flexible / Multi-System</v>
      </c>
      <c r="AD918" s="21" t="str">
        <f aca="false">'Player Data'!Y918</f>
        <v>2026-07-17</v>
      </c>
      <c r="AE918" s="21" t="str">
        <f aca="false">'Player Data'!Z918</f>
        <v>2026-07-17</v>
      </c>
      <c r="AF918" s="28" t="str">
        <f aca="false">IFERROR(INDEX(Assumptions!$B$30:$B$61,MATCH(C918,Assumptions!$A$30:$A$61,0)),"--")</f>
        <v>Mexico, United States</v>
      </c>
      <c r="AG918" s="30" t="str">
        <f aca="false">IF(R918&gt;=0.7,"Step-Up Candidate",IF(R918&gt;=0.4,"Lateral Move","Stay &amp; Develop"))</f>
        <v>Stay &amp; Develop</v>
      </c>
    </row>
    <row r="919" customFormat="false" ht="23.85" hidden="false" customHeight="false" outlineLevel="0" collapsed="false">
      <c r="A919" s="21" t="str">
        <f aca="false">'Player Data'!A919</f>
        <v>Mamadou Diop</v>
      </c>
      <c r="B919" s="21" t="str">
        <f aca="false">'Player Data'!F919</f>
        <v>MF</v>
      </c>
      <c r="C919" s="21" t="str">
        <f aca="false">'Player Data'!B919</f>
        <v>Senegal</v>
      </c>
      <c r="D919" s="21" t="str">
        <f aca="false">'Player Data'!C919</f>
        <v>Senegal Provincial League</v>
      </c>
      <c r="E919" s="21" t="n">
        <f aca="false">'Player Data'!D919</f>
        <v>4</v>
      </c>
      <c r="F919" s="21" t="n">
        <f aca="false">'Player Data'!G919</f>
        <v>19</v>
      </c>
      <c r="G919" s="21" t="n">
        <f aca="false">'Player Data'!H919</f>
        <v>2305</v>
      </c>
      <c r="H919" s="22" t="n">
        <f aca="false">IF(B919="GK",IFERROR(('Player Data'!N919-1.5*'Player Data'!O919)/'Player Data'!H919*90,0),IFERROR(('Player Data'!I919+'Player Data'!J919)/'Player Data'!H919*90,0))</f>
        <v>0.351409978308026</v>
      </c>
      <c r="I919" s="22" t="n">
        <f aca="false">IF(B919="GK",'Player Data'!P919,IFERROR(('Player Data'!K919+'Player Data'!L919)/'Player Data'!H919*90,0))</f>
        <v>7.73101952277657</v>
      </c>
      <c r="J919" s="22" t="n">
        <f aca="false">IF(B919="GK",IFERROR('Player Data'!Q919/'Player Data'!H919*90,0),IFERROR('Player Data'!M919/'Player Data'!H919*90,0))</f>
        <v>1.63991323210412</v>
      </c>
      <c r="K919" s="23" t="n">
        <f aca="false">'Player Data'!S919</f>
        <v>108218</v>
      </c>
      <c r="L919" s="22" t="n">
        <f aca="false">INDEX(Assumptions!$B$13:$B$15,MATCH(E919,Assumptions!$A$13:$A$15,0))</f>
        <v>0.7</v>
      </c>
      <c r="M919" s="24" t="n">
        <f aca="false">IFERROR(SUMPRODUCT(($B$2:$B$1001=B919)*($H$2:$H$1001&lt;=H919))/SUMPRODUCT(($B$2:$B$1001=B919)*1),0)</f>
        <v>0.0707070707070707</v>
      </c>
      <c r="N919" s="24" t="n">
        <f aca="false">IFERROR(SUMPRODUCT(($B$2:$B$1001=B919)*($I$2:$I$1001&lt;=I919))/SUMPRODUCT(($B$2:$B$1001=B919)*1),0)</f>
        <v>0.121212121212121</v>
      </c>
      <c r="O919" s="24" t="n">
        <f aca="false">IFERROR(SUMPRODUCT(($B$2:$B$1001=B919)*($J$2:$J$1001&lt;=J919))/SUMPRODUCT(($B$2:$B$1001=B919)*1),0)</f>
        <v>0.252525252525253</v>
      </c>
      <c r="P919" s="24" t="n">
        <f aca="false">IFERROR(SUMPRODUCT(($B$2:$B$1001=B919)*((0-$F$2:$F$1001)&lt;=(0-F919)))/SUMPRODUCT(($B$2:$B$1001=B919)*1),0)</f>
        <v>0.868686868686869</v>
      </c>
      <c r="Q919" s="25" t="n">
        <f aca="false">(M919*Assumptions!$B$5+N919*Assumptions!$B$6+O919*Assumptions!$B$7+P919*Assumptions!$B$8)*L919</f>
        <v>0.199040404040404</v>
      </c>
      <c r="R919" s="24" t="n">
        <f aca="false">IFERROR(SUMPRODUCT(($B$2:$B$1001=B919)*($Q$2:$Q$1001&lt;=Q919))/SUMPRODUCT(($B$2:$B$1001=B919)*1),0)</f>
        <v>0.0841750841750842</v>
      </c>
      <c r="S919" s="24" t="n">
        <f aca="false">IFERROR(SUMPRODUCT(($B$2:$B$1001=B919)*($K$2:$K$1001&lt;=K919))/SUMPRODUCT(($B$2:$B$1001=B919)*1),0)</f>
        <v>0.777777777777778</v>
      </c>
      <c r="T919" s="26" t="n">
        <f aca="false">(R919-S919)*100</f>
        <v>-69.3602693602694</v>
      </c>
      <c r="U919" s="21" t="str">
        <f aca="false">'Player Data'!T919</f>
        <v>Unknown</v>
      </c>
      <c r="V919" s="27" t="n">
        <f aca="false">'Player Data'!U919</f>
        <v>2027</v>
      </c>
      <c r="W919" s="21" t="str">
        <f aca="false">IF(AND(T919&gt;=Assumptions!$B$19,U919="No"),"High Priority - Unrepresented",IF(T919&gt;=Assumptions!$B$19,"High Priority",IF(AND(T919&gt;=Assumptions!$B$20,U919="No"),"Watchlist - Unrepresented",IF(T919&gt;=Assumptions!$B$20,"Watchlist",""))))</f>
        <v/>
      </c>
      <c r="X919" s="21" t="str">
        <f aca="false">'Player Data'!V919</f>
        <v>info@ziguinchorwanderers.sn</v>
      </c>
      <c r="Y919" s="28" t="str">
        <f aca="false">'Player Data'!W919</f>
        <v>Club sporting director / first-team office</v>
      </c>
      <c r="Z919" s="28" t="str">
        <f aca="false">'Player Data'!X919</f>
        <v>FSF (Senegalese Football Federation) player registry</v>
      </c>
      <c r="AA919" s="19" t="str">
        <f aca="false">HYPERLINK("https://www.transfermarkt.com/schnellsuche/ergebnis/schnellsuche?query="&amp;SUBSTITUTE(A919," ","+"),"Search Transfermarkt")</f>
        <v>Search Transfermarkt</v>
      </c>
      <c r="AB919" s="29" t="n">
        <f aca="false">IFERROR('Player Data'!K919/('Player Data'!K919+'Player Data'!L919),0)</f>
        <v>0.590909090909091</v>
      </c>
      <c r="AC919" s="21" t="str">
        <f aca="false">IF(B919="GK",IF(AND(O919&gt;=Assumptions!$B$23,N919&gt;=Assumptions!$B$23),"Sweeper-Keeper / Build-from-the-Back",IF(O919&gt;=Assumptions!$B$23,"Sweeper-Keeper / High Line",IF(M919&gt;=Assumptions!$B$23,"Shot-Stopper / Traditional","Flexible / Multi-System"))),IF(AND(O919&gt;=Assumptions!$B$23,P919&gt;=Assumptions!$B$24),"High Press / Gegenpressing",IF(AND(N919&gt;=Assumptions!$B$23,AB919&gt;=Assumptions!$B$25),"Possession / Build-from-the-Back",IF(N919&gt;=Assumptions!$B$23,"Counter-Attack / Transition",IF(AND(O919&gt;=Assumptions!$B$23,N919&lt;Assumptions!$B$26),"Low Block / Park the Bus",IF(AND(B919="FW",M919&gt;=Assumptions!$B$23,N919&lt;Assumptions!$B$26),"Direct / Target Approach","Flexible / Multi-System"))))))</f>
        <v>Flexible / Multi-System</v>
      </c>
      <c r="AD919" s="21" t="str">
        <f aca="false">'Player Data'!Y919</f>
        <v>2026-07-17</v>
      </c>
      <c r="AE919" s="21" t="str">
        <f aca="false">'Player Data'!Z919</f>
        <v>2026-07-17</v>
      </c>
      <c r="AF919" s="28" t="str">
        <f aca="false">IFERROR(INDEX(Assumptions!$B$30:$B$61,MATCH(C919,Assumptions!$A$30:$A$61,0)),"--")</f>
        <v>Belgium, Portugal</v>
      </c>
      <c r="AG919" s="30" t="str">
        <f aca="false">IF(R919&gt;=0.7,"Step-Up Candidate",IF(R919&gt;=0.4,"Lateral Move","Stay &amp; Develop"))</f>
        <v>Stay &amp; Develop</v>
      </c>
    </row>
    <row r="920" customFormat="false" ht="23.85" hidden="false" customHeight="false" outlineLevel="0" collapsed="false">
      <c r="A920" s="21" t="str">
        <f aca="false">'Player Data'!A920</f>
        <v>Sherzod Rustamov 77</v>
      </c>
      <c r="B920" s="21" t="str">
        <f aca="false">'Player Data'!F920</f>
        <v>GK</v>
      </c>
      <c r="C920" s="21" t="str">
        <f aca="false">'Player Data'!B920</f>
        <v>Uzbekistan</v>
      </c>
      <c r="D920" s="21" t="str">
        <f aca="false">'Player Data'!C920</f>
        <v>Uzbekistan Provincial League</v>
      </c>
      <c r="E920" s="21" t="n">
        <f aca="false">'Player Data'!D920</f>
        <v>3</v>
      </c>
      <c r="F920" s="21" t="n">
        <f aca="false">'Player Data'!G920</f>
        <v>26</v>
      </c>
      <c r="G920" s="21" t="n">
        <f aca="false">'Player Data'!H920</f>
        <v>1528</v>
      </c>
      <c r="H920" s="22" t="n">
        <f aca="false">IF(B920="GK",IFERROR(('Player Data'!N920-1.5*'Player Data'!O920)/'Player Data'!H920*90,0),IFERROR(('Player Data'!I920+'Player Data'!J920)/'Player Data'!H920*90,0))</f>
        <v>2.29712041884817</v>
      </c>
      <c r="I920" s="22" t="n">
        <f aca="false">IF(B920="GK",'Player Data'!P920,IFERROR(('Player Data'!K920+'Player Data'!L920)/'Player Data'!H920*90,0))</f>
        <v>74.8</v>
      </c>
      <c r="J920" s="22" t="n">
        <f aca="false">IF(B920="GK",IFERROR('Player Data'!Q920/'Player Data'!H920*90,0),IFERROR('Player Data'!M920/'Player Data'!H920*90,0))</f>
        <v>1.3782722513089</v>
      </c>
      <c r="K920" s="23" t="n">
        <f aca="false">'Player Data'!S920</f>
        <v>73279</v>
      </c>
      <c r="L920" s="22" t="n">
        <f aca="false">INDEX(Assumptions!$B$13:$B$15,MATCH(E920,Assumptions!$A$13:$A$15,0))</f>
        <v>0.85</v>
      </c>
      <c r="M920" s="24" t="n">
        <f aca="false">IFERROR(SUMPRODUCT(($B$2:$B$1001=B920)*($H$2:$H$1001&lt;=H920))/SUMPRODUCT(($B$2:$B$1001=B920)*1),0)</f>
        <v>0.956284153005464</v>
      </c>
      <c r="N920" s="24" t="n">
        <f aca="false">IFERROR(SUMPRODUCT(($B$2:$B$1001=B920)*($I$2:$I$1001&lt;=I920))/SUMPRODUCT(($B$2:$B$1001=B920)*1),0)</f>
        <v>0.557377049180328</v>
      </c>
      <c r="O920" s="24" t="n">
        <f aca="false">IFERROR(SUMPRODUCT(($B$2:$B$1001=B920)*($J$2:$J$1001&lt;=J920))/SUMPRODUCT(($B$2:$B$1001=B920)*1),0)</f>
        <v>0.87431693989071</v>
      </c>
      <c r="P920" s="24" t="n">
        <f aca="false">IFERROR(SUMPRODUCT(($B$2:$B$1001=B920)*((0-$F$2:$F$1001)&lt;=(0-F920)))/SUMPRODUCT(($B$2:$B$1001=B920)*1),0)</f>
        <v>0.131147540983607</v>
      </c>
      <c r="Q920" s="25" t="n">
        <f aca="false">(M920*Assumptions!$B$5+N920*Assumptions!$B$6+O920*Assumptions!$B$7+P920*Assumptions!$B$8)*L920</f>
        <v>0.539959016393443</v>
      </c>
      <c r="R920" s="24" t="n">
        <f aca="false">IFERROR(SUMPRODUCT(($B$2:$B$1001=B920)*($Q$2:$Q$1001&lt;=Q920))/SUMPRODUCT(($B$2:$B$1001=B920)*1),0)</f>
        <v>0.726775956284153</v>
      </c>
      <c r="S920" s="24" t="n">
        <f aca="false">IFERROR(SUMPRODUCT(($B$2:$B$1001=B920)*($K$2:$K$1001&lt;=K920))/SUMPRODUCT(($B$2:$B$1001=B920)*1),0)</f>
        <v>0.546448087431694</v>
      </c>
      <c r="T920" s="26" t="n">
        <f aca="false">(R920-S920)*100</f>
        <v>18.0327868852459</v>
      </c>
      <c r="U920" s="21" t="str">
        <f aca="false">'Player Data'!T920</f>
        <v>Unknown</v>
      </c>
      <c r="V920" s="27" t="n">
        <f aca="false">'Player Data'!U920</f>
        <v>2027</v>
      </c>
      <c r="W920" s="21" t="str">
        <f aca="false">IF(AND(T920&gt;=Assumptions!$B$19,U920="No"),"High Priority - Unrepresented",IF(T920&gt;=Assumptions!$B$19,"High Priority",IF(AND(T920&gt;=Assumptions!$B$20,U920="No"),"Watchlist - Unrepresented",IF(T920&gt;=Assumptions!$B$20,"Watchlist",""))))</f>
        <v/>
      </c>
      <c r="X920" s="21" t="str">
        <f aca="false">'Player Data'!V920</f>
        <v>info@tashkenttown.uz</v>
      </c>
      <c r="Y920" s="28" t="str">
        <f aca="false">'Player Data'!W920</f>
        <v>Club sporting director / first-team office</v>
      </c>
      <c r="Z920" s="28" t="str">
        <f aca="false">'Player Data'!X920</f>
        <v>UFF (Uzbekistan Football Federation) player registry</v>
      </c>
      <c r="AA920" s="19" t="str">
        <f aca="false">HYPERLINK("https://www.transfermarkt.com/schnellsuche/ergebnis/schnellsuche?query="&amp;SUBSTITUTE(A920," ","+"),"Search Transfermarkt")</f>
        <v>Search Transfermarkt</v>
      </c>
      <c r="AB920" s="29" t="n">
        <f aca="false">IFERROR('Player Data'!K920/('Player Data'!K920+'Player Data'!L920),0)</f>
        <v>0.761904761904762</v>
      </c>
      <c r="AC920" s="21" t="str">
        <f aca="false">IF(B920="GK",IF(AND(O920&gt;=Assumptions!$B$23,N920&gt;=Assumptions!$B$23),"Sweeper-Keeper / Build-from-the-Back",IF(O920&gt;=Assumptions!$B$23,"Sweeper-Keeper / High Line",IF(M920&gt;=Assumptions!$B$23,"Shot-Stopper / Traditional","Flexible / Multi-System"))),IF(AND(O920&gt;=Assumptions!$B$23,P920&gt;=Assumptions!$B$24),"High Press / Gegenpressing",IF(AND(N920&gt;=Assumptions!$B$23,AB920&gt;=Assumptions!$B$25),"Possession / Build-from-the-Back",IF(N920&gt;=Assumptions!$B$23,"Counter-Attack / Transition",IF(AND(O920&gt;=Assumptions!$B$23,N920&lt;Assumptions!$B$26),"Low Block / Park the Bus",IF(AND(B920="FW",M920&gt;=Assumptions!$B$23,N920&lt;Assumptions!$B$26),"Direct / Target Approach","Flexible / Multi-System"))))))</f>
        <v>Sweeper-Keeper / High Line</v>
      </c>
      <c r="AD920" s="21" t="str">
        <f aca="false">'Player Data'!Y920</f>
        <v>2026-07-17</v>
      </c>
      <c r="AE920" s="21" t="str">
        <f aca="false">'Player Data'!Z920</f>
        <v>2026-07-17</v>
      </c>
      <c r="AF920" s="28" t="str">
        <f aca="false">IFERROR(INDEX(Assumptions!$B$30:$B$61,MATCH(C920,Assumptions!$A$30:$A$61,0)),"--")</f>
        <v>Turkey, Saudi Arabia</v>
      </c>
      <c r="AG920" s="30" t="str">
        <f aca="false">IF(R920&gt;=0.7,"Step-Up Candidate",IF(R920&gt;=0.4,"Lateral Move","Stay &amp; Develop"))</f>
        <v>Step-Up Candidate</v>
      </c>
    </row>
    <row r="921" customFormat="false" ht="23.85" hidden="false" customHeight="false" outlineLevel="0" collapsed="false">
      <c r="A921" s="21" t="str">
        <f aca="false">'Player Data'!A921</f>
        <v>Agustin Pereira 28</v>
      </c>
      <c r="B921" s="21" t="str">
        <f aca="false">'Player Data'!F921</f>
        <v>MF</v>
      </c>
      <c r="C921" s="21" t="str">
        <f aca="false">'Player Data'!B921</f>
        <v>Uruguay</v>
      </c>
      <c r="D921" s="21" t="str">
        <f aca="false">'Player Data'!C921</f>
        <v>Uruguay Third Tier - South</v>
      </c>
      <c r="E921" s="21" t="n">
        <f aca="false">'Player Data'!D921</f>
        <v>2</v>
      </c>
      <c r="F921" s="21" t="n">
        <f aca="false">'Player Data'!G921</f>
        <v>17</v>
      </c>
      <c r="G921" s="21" t="n">
        <f aca="false">'Player Data'!H921</f>
        <v>2244</v>
      </c>
      <c r="H921" s="22" t="n">
        <f aca="false">IF(B921="GK",IFERROR(('Player Data'!N921-1.5*'Player Data'!O921)/'Player Data'!H921*90,0),IFERROR(('Player Data'!I921+'Player Data'!J921)/'Player Data'!H921*90,0))</f>
        <v>0.441176470588235</v>
      </c>
      <c r="I921" s="22" t="n">
        <f aca="false">IF(B921="GK",'Player Data'!P921,IFERROR(('Player Data'!K921+'Player Data'!L921)/'Player Data'!H921*90,0))</f>
        <v>8.82352941176471</v>
      </c>
      <c r="J921" s="22" t="n">
        <f aca="false">IF(B921="GK",IFERROR('Player Data'!Q921/'Player Data'!H921*90,0),IFERROR('Player Data'!M921/'Player Data'!H921*90,0))</f>
        <v>1.56417112299465</v>
      </c>
      <c r="K921" s="23" t="n">
        <f aca="false">'Player Data'!S921</f>
        <v>80239</v>
      </c>
      <c r="L921" s="22" t="n">
        <f aca="false">INDEX(Assumptions!$B$13:$B$15,MATCH(E921,Assumptions!$A$13:$A$15,0))</f>
        <v>1</v>
      </c>
      <c r="M921" s="24" t="n">
        <f aca="false">IFERROR(SUMPRODUCT(($B$2:$B$1001=B921)*($H$2:$H$1001&lt;=H921))/SUMPRODUCT(($B$2:$B$1001=B921)*1),0)</f>
        <v>0.148148148148148</v>
      </c>
      <c r="N921" s="24" t="n">
        <f aca="false">IFERROR(SUMPRODUCT(($B$2:$B$1001=B921)*($I$2:$I$1001&lt;=I921))/SUMPRODUCT(($B$2:$B$1001=B921)*1),0)</f>
        <v>0.262626262626263</v>
      </c>
      <c r="O921" s="24" t="n">
        <f aca="false">IFERROR(SUMPRODUCT(($B$2:$B$1001=B921)*($J$2:$J$1001&lt;=J921))/SUMPRODUCT(($B$2:$B$1001=B921)*1),0)</f>
        <v>0.195286195286195</v>
      </c>
      <c r="P921" s="24" t="n">
        <f aca="false">IFERROR(SUMPRODUCT(($B$2:$B$1001=B921)*((0-$F$2:$F$1001)&lt;=(0-F921)))/SUMPRODUCT(($B$2:$B$1001=B921)*1),0)</f>
        <v>1</v>
      </c>
      <c r="Q921" s="25" t="n">
        <f aca="false">(M921*Assumptions!$B$5+N921*Assumptions!$B$6+O921*Assumptions!$B$7+P921*Assumptions!$B$8)*L921</f>
        <v>0.368013468013468</v>
      </c>
      <c r="R921" s="24" t="n">
        <f aca="false">IFERROR(SUMPRODUCT(($B$2:$B$1001=B921)*($Q$2:$Q$1001&lt;=Q921))/SUMPRODUCT(($B$2:$B$1001=B921)*1),0)</f>
        <v>0.37037037037037</v>
      </c>
      <c r="S921" s="24" t="n">
        <f aca="false">IFERROR(SUMPRODUCT(($B$2:$B$1001=B921)*($K$2:$K$1001&lt;=K921))/SUMPRODUCT(($B$2:$B$1001=B921)*1),0)</f>
        <v>0.636363636363636</v>
      </c>
      <c r="T921" s="26" t="n">
        <f aca="false">(R921-S921)*100</f>
        <v>-26.5993265993266</v>
      </c>
      <c r="U921" s="21" t="str">
        <f aca="false">'Player Data'!T921</f>
        <v>No</v>
      </c>
      <c r="V921" s="27" t="n">
        <f aca="false">'Player Data'!U921</f>
        <v>2028</v>
      </c>
      <c r="W921" s="21" t="str">
        <f aca="false">IF(AND(T921&gt;=Assumptions!$B$19,U921="No"),"High Priority - Unrepresented",IF(T921&gt;=Assumptions!$B$19,"High Priority",IF(AND(T921&gt;=Assumptions!$B$20,U921="No"),"Watchlist - Unrepresented",IF(T921&gt;=Assumptions!$B$20,"Watchlist",""))))</f>
        <v/>
      </c>
      <c r="X921" s="21" t="str">
        <f aca="false">'Player Data'!V921</f>
        <v>info@riverarovers.uy</v>
      </c>
      <c r="Y921" s="28" t="str">
        <f aca="false">'Player Data'!W921</f>
        <v>Club youth/academy office ONLY - player is a minor, do not contact directly</v>
      </c>
      <c r="Z921" s="28" t="str">
        <f aca="false">'Player Data'!X921</f>
        <v>AUF (Uruguayan Football Association) player registry</v>
      </c>
      <c r="AA921" s="19" t="str">
        <f aca="false">HYPERLINK("https://www.transfermarkt.com/schnellsuche/ergebnis/schnellsuche?query="&amp;SUBSTITUTE(A921," ","+"),"Search Transfermarkt")</f>
        <v>Search Transfermarkt</v>
      </c>
      <c r="AB921" s="29" t="n">
        <f aca="false">IFERROR('Player Data'!K921/('Player Data'!K921+'Player Data'!L921),0)</f>
        <v>0.763636363636364</v>
      </c>
      <c r="AC921" s="21" t="str">
        <f aca="false">IF(B921="GK",IF(AND(O921&gt;=Assumptions!$B$23,N921&gt;=Assumptions!$B$23),"Sweeper-Keeper / Build-from-the-Back",IF(O921&gt;=Assumptions!$B$23,"Sweeper-Keeper / High Line",IF(M921&gt;=Assumptions!$B$23,"Shot-Stopper / Traditional","Flexible / Multi-System"))),IF(AND(O921&gt;=Assumptions!$B$23,P921&gt;=Assumptions!$B$24),"High Press / Gegenpressing",IF(AND(N921&gt;=Assumptions!$B$23,AB921&gt;=Assumptions!$B$25),"Possession / Build-from-the-Back",IF(N921&gt;=Assumptions!$B$23,"Counter-Attack / Transition",IF(AND(O921&gt;=Assumptions!$B$23,N921&lt;Assumptions!$B$26),"Low Block / Park the Bus",IF(AND(B921="FW",M921&gt;=Assumptions!$B$23,N921&lt;Assumptions!$B$26),"Direct / Target Approach","Flexible / Multi-System"))))))</f>
        <v>Flexible / Multi-System</v>
      </c>
      <c r="AD921" s="21" t="str">
        <f aca="false">'Player Data'!Y921</f>
        <v>2026-07-17</v>
      </c>
      <c r="AE921" s="21" t="str">
        <f aca="false">'Player Data'!Z921</f>
        <v>2026-07-17</v>
      </c>
      <c r="AF921" s="28" t="str">
        <f aca="false">IFERROR(INDEX(Assumptions!$B$30:$B$61,MATCH(C921,Assumptions!$A$30:$A$61,0)),"--")</f>
        <v>Argentina, Portugal</v>
      </c>
      <c r="AG921" s="30" t="str">
        <f aca="false">IF(R921&gt;=0.7,"Step-Up Candidate",IF(R921&gt;=0.4,"Lateral Move","Stay &amp; Develop"))</f>
        <v>Stay &amp; Develop</v>
      </c>
    </row>
    <row r="922" customFormat="false" ht="23.85" hidden="false" customHeight="false" outlineLevel="0" collapsed="false">
      <c r="A922" s="21" t="str">
        <f aca="false">'Player Data'!A922</f>
        <v>Abdoulaye Faye</v>
      </c>
      <c r="B922" s="21" t="str">
        <f aca="false">'Player Data'!F922</f>
        <v>MF</v>
      </c>
      <c r="C922" s="21" t="str">
        <f aca="false">'Player Data'!B922</f>
        <v>Senegal</v>
      </c>
      <c r="D922" s="21" t="str">
        <f aca="false">'Player Data'!C922</f>
        <v>Senegal Second Division</v>
      </c>
      <c r="E922" s="21" t="n">
        <f aca="false">'Player Data'!D922</f>
        <v>2</v>
      </c>
      <c r="F922" s="21" t="n">
        <f aca="false">'Player Data'!G922</f>
        <v>18</v>
      </c>
      <c r="G922" s="21" t="n">
        <f aca="false">'Player Data'!H922</f>
        <v>1953</v>
      </c>
      <c r="H922" s="22" t="n">
        <f aca="false">IF(B922="GK",IFERROR(('Player Data'!N922-1.5*'Player Data'!O922)/'Player Data'!H922*90,0),IFERROR(('Player Data'!I922+'Player Data'!J922)/'Player Data'!H922*90,0))</f>
        <v>0.552995391705069</v>
      </c>
      <c r="I922" s="22" t="n">
        <f aca="false">IF(B922="GK",'Player Data'!P922,IFERROR(('Player Data'!K922+'Player Data'!L922)/'Player Data'!H922*90,0))</f>
        <v>9.90783410138249</v>
      </c>
      <c r="J922" s="22" t="n">
        <f aca="false">IF(B922="GK",IFERROR('Player Data'!Q922/'Player Data'!H922*90,0),IFERROR('Player Data'!M922/'Player Data'!H922*90,0))</f>
        <v>1.52073732718894</v>
      </c>
      <c r="K922" s="23" t="n">
        <f aca="false">'Player Data'!S922</f>
        <v>0</v>
      </c>
      <c r="L922" s="22" t="n">
        <f aca="false">INDEX(Assumptions!$B$13:$B$15,MATCH(E922,Assumptions!$A$13:$A$15,0))</f>
        <v>1</v>
      </c>
      <c r="M922" s="24" t="n">
        <f aca="false">IFERROR(SUMPRODUCT(($B$2:$B$1001=B922)*($H$2:$H$1001&lt;=H922))/SUMPRODUCT(($B$2:$B$1001=B922)*1),0)</f>
        <v>0.269360269360269</v>
      </c>
      <c r="N922" s="24" t="n">
        <f aca="false">IFERROR(SUMPRODUCT(($B$2:$B$1001=B922)*($I$2:$I$1001&lt;=I922))/SUMPRODUCT(($B$2:$B$1001=B922)*1),0)</f>
        <v>0.410774410774411</v>
      </c>
      <c r="O922" s="24" t="n">
        <f aca="false">IFERROR(SUMPRODUCT(($B$2:$B$1001=B922)*($J$2:$J$1001&lt;=J922))/SUMPRODUCT(($B$2:$B$1001=B922)*1),0)</f>
        <v>0.181818181818182</v>
      </c>
      <c r="P922" s="24" t="n">
        <f aca="false">IFERROR(SUMPRODUCT(($B$2:$B$1001=B922)*((0-$F$2:$F$1001)&lt;=(0-F922)))/SUMPRODUCT(($B$2:$B$1001=B922)*1),0)</f>
        <v>0.929292929292929</v>
      </c>
      <c r="Q922" s="25" t="n">
        <f aca="false">(M922*Assumptions!$B$5+N922*Assumptions!$B$6+O922*Assumptions!$B$7+P922*Assumptions!$B$8)*L922</f>
        <v>0.433333333333333</v>
      </c>
      <c r="R922" s="24" t="n">
        <f aca="false">IFERROR(SUMPRODUCT(($B$2:$B$1001=B922)*($Q$2:$Q$1001&lt;=Q922))/SUMPRODUCT(($B$2:$B$1001=B922)*1),0)</f>
        <v>0.488215488215488</v>
      </c>
      <c r="S922" s="24" t="n">
        <f aca="false">IFERROR(SUMPRODUCT(($B$2:$B$1001=B922)*($K$2:$K$1001&lt;=K922))/SUMPRODUCT(($B$2:$B$1001=B922)*1),0)</f>
        <v>0.228956228956229</v>
      </c>
      <c r="T922" s="26" t="n">
        <f aca="false">(R922-S922)*100</f>
        <v>25.9259259259259</v>
      </c>
      <c r="U922" s="21" t="str">
        <f aca="false">'Player Data'!T922</f>
        <v>Unknown</v>
      </c>
      <c r="V922" s="27" t="n">
        <f aca="false">'Player Data'!U922</f>
        <v>2029</v>
      </c>
      <c r="W922" s="21" t="str">
        <f aca="false">IF(AND(T922&gt;=Assumptions!$B$19,U922="No"),"High Priority - Unrepresented",IF(T922&gt;=Assumptions!$B$19,"High Priority",IF(AND(T922&gt;=Assumptions!$B$20,U922="No"),"Watchlist - Unrepresented",IF(T922&gt;=Assumptions!$B$20,"Watchlist",""))))</f>
        <v>Watchlist</v>
      </c>
      <c r="X922" s="21" t="str">
        <f aca="false">'Player Data'!V922</f>
        <v>info@saintlouiscity.sn</v>
      </c>
      <c r="Y922" s="28" t="str">
        <f aca="false">'Player Data'!W922</f>
        <v>Club sporting director / first-team office</v>
      </c>
      <c r="Z922" s="28" t="str">
        <f aca="false">'Player Data'!X922</f>
        <v>FSF (Senegalese Football Federation) player registry</v>
      </c>
      <c r="AA922" s="19" t="str">
        <f aca="false">HYPERLINK("https://www.transfermarkt.com/schnellsuche/ergebnis/schnellsuche?query="&amp;SUBSTITUTE(A922," ","+"),"Search Transfermarkt")</f>
        <v>Search Transfermarkt</v>
      </c>
      <c r="AB922" s="29" t="n">
        <f aca="false">IFERROR('Player Data'!K922/('Player Data'!K922+'Player Data'!L922),0)</f>
        <v>0.548837209302326</v>
      </c>
      <c r="AC922" s="21" t="str">
        <f aca="false">IF(B922="GK",IF(AND(O922&gt;=Assumptions!$B$23,N922&gt;=Assumptions!$B$23),"Sweeper-Keeper / Build-from-the-Back",IF(O922&gt;=Assumptions!$B$23,"Sweeper-Keeper / High Line",IF(M922&gt;=Assumptions!$B$23,"Shot-Stopper / Traditional","Flexible / Multi-System"))),IF(AND(O922&gt;=Assumptions!$B$23,P922&gt;=Assumptions!$B$24),"High Press / Gegenpressing",IF(AND(N922&gt;=Assumptions!$B$23,AB922&gt;=Assumptions!$B$25),"Possession / Build-from-the-Back",IF(N922&gt;=Assumptions!$B$23,"Counter-Attack / Transition",IF(AND(O922&gt;=Assumptions!$B$23,N922&lt;Assumptions!$B$26),"Low Block / Park the Bus",IF(AND(B922="FW",M922&gt;=Assumptions!$B$23,N922&lt;Assumptions!$B$26),"Direct / Target Approach","Flexible / Multi-System"))))))</f>
        <v>Flexible / Multi-System</v>
      </c>
      <c r="AD922" s="21" t="str">
        <f aca="false">'Player Data'!Y922</f>
        <v>2026-07-17</v>
      </c>
      <c r="AE922" s="21" t="str">
        <f aca="false">'Player Data'!Z922</f>
        <v>2026-07-17</v>
      </c>
      <c r="AF922" s="28" t="str">
        <f aca="false">IFERROR(INDEX(Assumptions!$B$30:$B$61,MATCH(C922,Assumptions!$A$30:$A$61,0)),"--")</f>
        <v>Belgium, Portugal</v>
      </c>
      <c r="AG922" s="30" t="str">
        <f aca="false">IF(R922&gt;=0.7,"Step-Up Candidate",IF(R922&gt;=0.4,"Lateral Move","Stay &amp; Develop"))</f>
        <v>Lateral Move</v>
      </c>
    </row>
    <row r="923" customFormat="false" ht="23.85" hidden="false" customHeight="false" outlineLevel="0" collapsed="false">
      <c r="A923" s="21" t="str">
        <f aca="false">'Player Data'!A923</f>
        <v>Serge Diabate</v>
      </c>
      <c r="B923" s="21" t="str">
        <f aca="false">'Player Data'!F923</f>
        <v>MF</v>
      </c>
      <c r="C923" s="21" t="str">
        <f aca="false">'Player Data'!B923</f>
        <v>Ivory Coast</v>
      </c>
      <c r="D923" s="21" t="str">
        <f aca="false">'Player Data'!C923</f>
        <v>Ivory Coast Amateur League</v>
      </c>
      <c r="E923" s="21" t="n">
        <f aca="false">'Player Data'!D923</f>
        <v>2</v>
      </c>
      <c r="F923" s="21" t="n">
        <f aca="false">'Player Data'!G923</f>
        <v>22</v>
      </c>
      <c r="G923" s="21" t="n">
        <f aca="false">'Player Data'!H923</f>
        <v>2490</v>
      </c>
      <c r="H923" s="22" t="n">
        <f aca="false">IF(B923="GK",IFERROR(('Player Data'!N923-1.5*'Player Data'!O923)/'Player Data'!H923*90,0),IFERROR(('Player Data'!I923+'Player Data'!J923)/'Player Data'!H923*90,0))</f>
        <v>0.433734939759036</v>
      </c>
      <c r="I923" s="22" t="n">
        <f aca="false">IF(B923="GK",'Player Data'!P923,IFERROR(('Player Data'!K923+'Player Data'!L923)/'Player Data'!H923*90,0))</f>
        <v>8.16867469879518</v>
      </c>
      <c r="J923" s="22" t="n">
        <f aca="false">IF(B923="GK",IFERROR('Player Data'!Q923/'Player Data'!H923*90,0),IFERROR('Player Data'!M923/'Player Data'!H923*90,0))</f>
        <v>1.2289156626506</v>
      </c>
      <c r="K923" s="23" t="n">
        <f aca="false">'Player Data'!S923</f>
        <v>117908</v>
      </c>
      <c r="L923" s="22" t="n">
        <f aca="false">INDEX(Assumptions!$B$13:$B$15,MATCH(E923,Assumptions!$A$13:$A$15,0))</f>
        <v>1</v>
      </c>
      <c r="M923" s="24" t="n">
        <f aca="false">IFERROR(SUMPRODUCT(($B$2:$B$1001=B923)*($H$2:$H$1001&lt;=H923))/SUMPRODUCT(($B$2:$B$1001=B923)*1),0)</f>
        <v>0.134680134680135</v>
      </c>
      <c r="N923" s="24" t="n">
        <f aca="false">IFERROR(SUMPRODUCT(($B$2:$B$1001=B923)*($I$2:$I$1001&lt;=I923))/SUMPRODUCT(($B$2:$B$1001=B923)*1),0)</f>
        <v>0.178451178451178</v>
      </c>
      <c r="O923" s="24" t="n">
        <f aca="false">IFERROR(SUMPRODUCT(($B$2:$B$1001=B923)*($J$2:$J$1001&lt;=J923))/SUMPRODUCT(($B$2:$B$1001=B923)*1),0)</f>
        <v>0.0707070707070707</v>
      </c>
      <c r="P923" s="24" t="n">
        <f aca="false">IFERROR(SUMPRODUCT(($B$2:$B$1001=B923)*((0-$F$2:$F$1001)&lt;=(0-F923)))/SUMPRODUCT(($B$2:$B$1001=B923)*1),0)</f>
        <v>0.515151515151515</v>
      </c>
      <c r="Q923" s="25" t="n">
        <f aca="false">(M923*Assumptions!$B$5+N923*Assumptions!$B$6+O923*Assumptions!$B$7+P923*Assumptions!$B$8)*L923</f>
        <v>0.213299663299663</v>
      </c>
      <c r="R923" s="24" t="n">
        <f aca="false">IFERROR(SUMPRODUCT(($B$2:$B$1001=B923)*($Q$2:$Q$1001&lt;=Q923))/SUMPRODUCT(($B$2:$B$1001=B923)*1),0)</f>
        <v>0.111111111111111</v>
      </c>
      <c r="S923" s="24" t="n">
        <f aca="false">IFERROR(SUMPRODUCT(($B$2:$B$1001=B923)*($K$2:$K$1001&lt;=K923))/SUMPRODUCT(($B$2:$B$1001=B923)*1),0)</f>
        <v>0.838383838383838</v>
      </c>
      <c r="T923" s="26" t="n">
        <f aca="false">(R923-S923)*100</f>
        <v>-72.7272727272727</v>
      </c>
      <c r="U923" s="21" t="str">
        <f aca="false">'Player Data'!T923</f>
        <v>No</v>
      </c>
      <c r="V923" s="27" t="n">
        <f aca="false">'Player Data'!U923</f>
        <v>2027</v>
      </c>
      <c r="W923" s="21" t="str">
        <f aca="false">IF(AND(T923&gt;=Assumptions!$B$19,U923="No"),"High Priority - Unrepresented",IF(T923&gt;=Assumptions!$B$19,"High Priority",IF(AND(T923&gt;=Assumptions!$B$20,U923="No"),"Watchlist - Unrepresented",IF(T923&gt;=Assumptions!$B$20,"Watchlist",""))))</f>
        <v/>
      </c>
      <c r="X923" s="21" t="str">
        <f aca="false">'Player Data'!V923</f>
        <v>info@yamoussoukrocity.ci</v>
      </c>
      <c r="Y923" s="28" t="str">
        <f aca="false">'Player Data'!W923</f>
        <v>Club sporting director / first-team office</v>
      </c>
      <c r="Z923" s="28" t="str">
        <f aca="false">'Player Data'!X923</f>
        <v>FIF (Ivorian Football Federation) player registry</v>
      </c>
      <c r="AA923" s="19" t="str">
        <f aca="false">HYPERLINK("https://www.transfermarkt.com/schnellsuche/ergebnis/schnellsuche?query="&amp;SUBSTITUTE(A923," ","+"),"Search Transfermarkt")</f>
        <v>Search Transfermarkt</v>
      </c>
      <c r="AB923" s="29" t="n">
        <f aca="false">IFERROR('Player Data'!K923/('Player Data'!K923+'Player Data'!L923),0)</f>
        <v>0.685840707964602</v>
      </c>
      <c r="AC923" s="21" t="str">
        <f aca="false">IF(B923="GK",IF(AND(O923&gt;=Assumptions!$B$23,N923&gt;=Assumptions!$B$23),"Sweeper-Keeper / Build-from-the-Back",IF(O923&gt;=Assumptions!$B$23,"Sweeper-Keeper / High Line",IF(M923&gt;=Assumptions!$B$23,"Shot-Stopper / Traditional","Flexible / Multi-System"))),IF(AND(O923&gt;=Assumptions!$B$23,P923&gt;=Assumptions!$B$24),"High Press / Gegenpressing",IF(AND(N923&gt;=Assumptions!$B$23,AB923&gt;=Assumptions!$B$25),"Possession / Build-from-the-Back",IF(N923&gt;=Assumptions!$B$23,"Counter-Attack / Transition",IF(AND(O923&gt;=Assumptions!$B$23,N923&lt;Assumptions!$B$26),"Low Block / Park the Bus",IF(AND(B923="FW",M923&gt;=Assumptions!$B$23,N923&lt;Assumptions!$B$26),"Direct / Target Approach","Flexible / Multi-System"))))))</f>
        <v>Flexible / Multi-System</v>
      </c>
      <c r="AD923" s="21" t="str">
        <f aca="false">'Player Data'!Y923</f>
        <v>2026-07-17</v>
      </c>
      <c r="AE923" s="21" t="str">
        <f aca="false">'Player Data'!Z923</f>
        <v>2026-07-17</v>
      </c>
      <c r="AF923" s="28" t="str">
        <f aca="false">IFERROR(INDEX(Assumptions!$B$30:$B$61,MATCH(C923,Assumptions!$A$30:$A$61,0)),"--")</f>
        <v>Belgium, Portugal</v>
      </c>
      <c r="AG923" s="30" t="str">
        <f aca="false">IF(R923&gt;=0.7,"Step-Up Candidate",IF(R923&gt;=0.4,"Lateral Move","Stay &amp; Develop"))</f>
        <v>Stay &amp; Develop</v>
      </c>
    </row>
    <row r="924" customFormat="false" ht="23.85" hidden="false" customHeight="false" outlineLevel="0" collapsed="false">
      <c r="A924" s="21" t="str">
        <f aca="false">'Player Data'!A924</f>
        <v>Shamar Lowe</v>
      </c>
      <c r="B924" s="21" t="str">
        <f aca="false">'Player Data'!F924</f>
        <v>MF</v>
      </c>
      <c r="C924" s="21" t="str">
        <f aca="false">'Player Data'!B924</f>
        <v>Jamaica</v>
      </c>
      <c r="D924" s="21" t="str">
        <f aca="false">'Player Data'!C924</f>
        <v>Jamaica Regional League</v>
      </c>
      <c r="E924" s="21" t="n">
        <f aca="false">'Player Data'!D924</f>
        <v>3</v>
      </c>
      <c r="F924" s="21" t="n">
        <f aca="false">'Player Data'!G924</f>
        <v>17</v>
      </c>
      <c r="G924" s="21" t="n">
        <f aca="false">'Player Data'!H924</f>
        <v>1245</v>
      </c>
      <c r="H924" s="22" t="n">
        <f aca="false">IF(B924="GK",IFERROR(('Player Data'!N924-1.5*'Player Data'!O924)/'Player Data'!H924*90,0),IFERROR(('Player Data'!I924+'Player Data'!J924)/'Player Data'!H924*90,0))</f>
        <v>0.939759036144578</v>
      </c>
      <c r="I924" s="22" t="n">
        <f aca="false">IF(B924="GK",'Player Data'!P924,IFERROR(('Player Data'!K924+'Player Data'!L924)/'Player Data'!H924*90,0))</f>
        <v>15.0361445783133</v>
      </c>
      <c r="J924" s="22" t="n">
        <f aca="false">IF(B924="GK",IFERROR('Player Data'!Q924/'Player Data'!H924*90,0),IFERROR('Player Data'!M924/'Player Data'!H924*90,0))</f>
        <v>2.09638554216867</v>
      </c>
      <c r="K924" s="23" t="n">
        <f aca="false">'Player Data'!S924</f>
        <v>109573</v>
      </c>
      <c r="L924" s="22" t="n">
        <f aca="false">INDEX(Assumptions!$B$13:$B$15,MATCH(E924,Assumptions!$A$13:$A$15,0))</f>
        <v>0.85</v>
      </c>
      <c r="M924" s="24" t="n">
        <f aca="false">IFERROR(SUMPRODUCT(($B$2:$B$1001=B924)*($H$2:$H$1001&lt;=H924))/SUMPRODUCT(($B$2:$B$1001=B924)*1),0)</f>
        <v>0.730639730639731</v>
      </c>
      <c r="N924" s="24" t="n">
        <f aca="false">IFERROR(SUMPRODUCT(($B$2:$B$1001=B924)*($I$2:$I$1001&lt;=I924))/SUMPRODUCT(($B$2:$B$1001=B924)*1),0)</f>
        <v>0.750841750841751</v>
      </c>
      <c r="O924" s="24" t="n">
        <f aca="false">IFERROR(SUMPRODUCT(($B$2:$B$1001=B924)*($J$2:$J$1001&lt;=J924))/SUMPRODUCT(($B$2:$B$1001=B924)*1),0)</f>
        <v>0.464646464646465</v>
      </c>
      <c r="P924" s="24" t="n">
        <f aca="false">IFERROR(SUMPRODUCT(($B$2:$B$1001=B924)*((0-$F$2:$F$1001)&lt;=(0-F924)))/SUMPRODUCT(($B$2:$B$1001=B924)*1),0)</f>
        <v>1</v>
      </c>
      <c r="Q924" s="25" t="n">
        <f aca="false">(M924*Assumptions!$B$5+N924*Assumptions!$B$6+O924*Assumptions!$B$7+P924*Assumptions!$B$8)*L924</f>
        <v>0.627626262626263</v>
      </c>
      <c r="R924" s="24" t="n">
        <f aca="false">IFERROR(SUMPRODUCT(($B$2:$B$1001=B924)*($Q$2:$Q$1001&lt;=Q924))/SUMPRODUCT(($B$2:$B$1001=B924)*1),0)</f>
        <v>0.797979797979798</v>
      </c>
      <c r="S924" s="24" t="n">
        <f aca="false">IFERROR(SUMPRODUCT(($B$2:$B$1001=B924)*($K$2:$K$1001&lt;=K924))/SUMPRODUCT(($B$2:$B$1001=B924)*1),0)</f>
        <v>0.791245791245791</v>
      </c>
      <c r="T924" s="26" t="n">
        <f aca="false">(R924-S924)*100</f>
        <v>0.673400673400681</v>
      </c>
      <c r="U924" s="21" t="str">
        <f aca="false">'Player Data'!T924</f>
        <v>No</v>
      </c>
      <c r="V924" s="27" t="n">
        <f aca="false">'Player Data'!U924</f>
        <v>2027</v>
      </c>
      <c r="W924" s="21" t="str">
        <f aca="false">IF(AND(T924&gt;=Assumptions!$B$19,U924="No"),"High Priority - Unrepresented",IF(T924&gt;=Assumptions!$B$19,"High Priority",IF(AND(T924&gt;=Assumptions!$B$20,U924="No"),"Watchlist - Unrepresented",IF(T924&gt;=Assumptions!$B$20,"Watchlist",""))))</f>
        <v/>
      </c>
      <c r="X924" s="21" t="str">
        <f aca="false">'Player Data'!V924</f>
        <v>info@kingstonfc.jm</v>
      </c>
      <c r="Y924" s="28" t="str">
        <f aca="false">'Player Data'!W924</f>
        <v>Club youth/academy office ONLY - player is a minor, do not contact directly</v>
      </c>
      <c r="Z924" s="28" t="str">
        <f aca="false">'Player Data'!X924</f>
        <v>JFF (Jamaica Football Federation) player registry</v>
      </c>
      <c r="AA924" s="19" t="str">
        <f aca="false">HYPERLINK("https://www.transfermarkt.com/schnellsuche/ergebnis/schnellsuche?query="&amp;SUBSTITUTE(A924," ","+"),"Search Transfermarkt")</f>
        <v>Search Transfermarkt</v>
      </c>
      <c r="AB924" s="29" t="n">
        <f aca="false">IFERROR('Player Data'!K924/('Player Data'!K924+'Player Data'!L924),0)</f>
        <v>0.552884615384615</v>
      </c>
      <c r="AC924" s="21" t="str">
        <f aca="false">IF(B924="GK",IF(AND(O924&gt;=Assumptions!$B$23,N924&gt;=Assumptions!$B$23),"Sweeper-Keeper / Build-from-the-Back",IF(O924&gt;=Assumptions!$B$23,"Sweeper-Keeper / High Line",IF(M924&gt;=Assumptions!$B$23,"Shot-Stopper / Traditional","Flexible / Multi-System"))),IF(AND(O924&gt;=Assumptions!$B$23,P924&gt;=Assumptions!$B$24),"High Press / Gegenpressing",IF(AND(N924&gt;=Assumptions!$B$23,AB924&gt;=Assumptions!$B$25),"Possession / Build-from-the-Back",IF(N924&gt;=Assumptions!$B$23,"Counter-Attack / Transition",IF(AND(O924&gt;=Assumptions!$B$23,N924&lt;Assumptions!$B$26),"Low Block / Park the Bus",IF(AND(B924="FW",M924&gt;=Assumptions!$B$23,N924&lt;Assumptions!$B$26),"Direct / Target Approach","Flexible / Multi-System"))))))</f>
        <v>Counter-Attack / Transition</v>
      </c>
      <c r="AD924" s="21" t="str">
        <f aca="false">'Player Data'!Y924</f>
        <v>2026-07-17</v>
      </c>
      <c r="AE924" s="21" t="str">
        <f aca="false">'Player Data'!Z924</f>
        <v>2026-07-17</v>
      </c>
      <c r="AF924" s="28" t="str">
        <f aca="false">IFERROR(INDEX(Assumptions!$B$30:$B$61,MATCH(C924,Assumptions!$A$30:$A$61,0)),"--")</f>
        <v>United States, Mexico</v>
      </c>
      <c r="AG924" s="30" t="str">
        <f aca="false">IF(R924&gt;=0.7,"Step-Up Candidate",IF(R924&gt;=0.4,"Lateral Move","Stay &amp; Develop"))</f>
        <v>Step-Up Candidate</v>
      </c>
    </row>
    <row r="925" customFormat="false" ht="23.85" hidden="false" customHeight="false" outlineLevel="0" collapsed="false">
      <c r="A925" s="21" t="str">
        <f aca="false">'Player Data'!A925</f>
        <v>Andre Mbia</v>
      </c>
      <c r="B925" s="21" t="str">
        <f aca="false">'Player Data'!F925</f>
        <v>MF</v>
      </c>
      <c r="C925" s="21" t="str">
        <f aca="false">'Player Data'!B925</f>
        <v>Cameroon</v>
      </c>
      <c r="D925" s="21" t="str">
        <f aca="false">'Player Data'!C925</f>
        <v>Cameroon Regional League</v>
      </c>
      <c r="E925" s="21" t="n">
        <f aca="false">'Player Data'!D925</f>
        <v>2</v>
      </c>
      <c r="F925" s="21" t="n">
        <f aca="false">'Player Data'!G925</f>
        <v>24</v>
      </c>
      <c r="G925" s="21" t="n">
        <f aca="false">'Player Data'!H925</f>
        <v>2561</v>
      </c>
      <c r="H925" s="22" t="n">
        <f aca="false">IF(B925="GK",IFERROR(('Player Data'!N925-1.5*'Player Data'!O925)/'Player Data'!H925*90,0),IFERROR(('Player Data'!I925+'Player Data'!J925)/'Player Data'!H925*90,0))</f>
        <v>0.667707926591175</v>
      </c>
      <c r="I925" s="22" t="n">
        <f aca="false">IF(B925="GK",'Player Data'!P925,IFERROR(('Player Data'!K925+'Player Data'!L925)/'Player Data'!H925*90,0))</f>
        <v>6.53650917610309</v>
      </c>
      <c r="J925" s="22" t="n">
        <f aca="false">IF(B925="GK",IFERROR('Player Data'!Q925/'Player Data'!H925*90,0),IFERROR('Player Data'!M925/'Player Data'!H925*90,0))</f>
        <v>1.54627098789535</v>
      </c>
      <c r="K925" s="23" t="n">
        <f aca="false">'Player Data'!S925</f>
        <v>58745</v>
      </c>
      <c r="L925" s="22" t="n">
        <f aca="false">INDEX(Assumptions!$B$13:$B$15,MATCH(E925,Assumptions!$A$13:$A$15,0))</f>
        <v>1</v>
      </c>
      <c r="M925" s="24" t="n">
        <f aca="false">IFERROR(SUMPRODUCT(($B$2:$B$1001=B925)*($H$2:$H$1001&lt;=H925))/SUMPRODUCT(($B$2:$B$1001=B925)*1),0)</f>
        <v>0.420875420875421</v>
      </c>
      <c r="N925" s="24" t="n">
        <f aca="false">IFERROR(SUMPRODUCT(($B$2:$B$1001=B925)*($I$2:$I$1001&lt;=I925))/SUMPRODUCT(($B$2:$B$1001=B925)*1),0)</f>
        <v>0.0235690235690236</v>
      </c>
      <c r="O925" s="24" t="n">
        <f aca="false">IFERROR(SUMPRODUCT(($B$2:$B$1001=B925)*($J$2:$J$1001&lt;=J925))/SUMPRODUCT(($B$2:$B$1001=B925)*1),0)</f>
        <v>0.191919191919192</v>
      </c>
      <c r="P925" s="24" t="n">
        <f aca="false">IFERROR(SUMPRODUCT(($B$2:$B$1001=B925)*((0-$F$2:$F$1001)&lt;=(0-F925)))/SUMPRODUCT(($B$2:$B$1001=B925)*1),0)</f>
        <v>0.326599326599327</v>
      </c>
      <c r="Q925" s="25" t="n">
        <f aca="false">(M925*Assumptions!$B$5+N925*Assumptions!$B$6+O925*Assumptions!$B$7+P925*Assumptions!$B$8)*L925</f>
        <v>0.217171717171717</v>
      </c>
      <c r="R925" s="24" t="n">
        <f aca="false">IFERROR(SUMPRODUCT(($B$2:$B$1001=B925)*($Q$2:$Q$1001&lt;=Q925))/SUMPRODUCT(($B$2:$B$1001=B925)*1),0)</f>
        <v>0.117845117845118</v>
      </c>
      <c r="S925" s="24" t="n">
        <f aca="false">IFERROR(SUMPRODUCT(($B$2:$B$1001=B925)*($K$2:$K$1001&lt;=K925))/SUMPRODUCT(($B$2:$B$1001=B925)*1),0)</f>
        <v>0.494949494949495</v>
      </c>
      <c r="T925" s="26" t="n">
        <f aca="false">(R925-S925)*100</f>
        <v>-37.7104377104377</v>
      </c>
      <c r="U925" s="21" t="str">
        <f aca="false">'Player Data'!T925</f>
        <v>No</v>
      </c>
      <c r="V925" s="27" t="n">
        <f aca="false">'Player Data'!U925</f>
        <v>2026</v>
      </c>
      <c r="W925" s="21" t="str">
        <f aca="false">IF(AND(T925&gt;=Assumptions!$B$19,U925="No"),"High Priority - Unrepresented",IF(T925&gt;=Assumptions!$B$19,"High Priority",IF(AND(T925&gt;=Assumptions!$B$20,U925="No"),"Watchlist - Unrepresented",IF(T925&gt;=Assumptions!$B$20,"Watchlist",""))))</f>
        <v/>
      </c>
      <c r="X925" s="21" t="str">
        <f aca="false">'Player Data'!V925</f>
        <v>info@bafoussamwanderers.cm</v>
      </c>
      <c r="Y925" s="28" t="str">
        <f aca="false">'Player Data'!W925</f>
        <v>Club sporting director / first-team office</v>
      </c>
      <c r="Z925" s="28" t="str">
        <f aca="false">'Player Data'!X925</f>
        <v>FECAFOOT (Cameroonian Football Federation) player registry</v>
      </c>
      <c r="AA925" s="19" t="str">
        <f aca="false">HYPERLINK("https://www.transfermarkt.com/schnellsuche/ergebnis/schnellsuche?query="&amp;SUBSTITUTE(A925," ","+"),"Search Transfermarkt")</f>
        <v>Search Transfermarkt</v>
      </c>
      <c r="AB925" s="29" t="n">
        <f aca="false">IFERROR('Player Data'!K925/('Player Data'!K925+'Player Data'!L925),0)</f>
        <v>0.586021505376344</v>
      </c>
      <c r="AC925" s="21" t="str">
        <f aca="false">IF(B925="GK",IF(AND(O925&gt;=Assumptions!$B$23,N925&gt;=Assumptions!$B$23),"Sweeper-Keeper / Build-from-the-Back",IF(O925&gt;=Assumptions!$B$23,"Sweeper-Keeper / High Line",IF(M925&gt;=Assumptions!$B$23,"Shot-Stopper / Traditional","Flexible / Multi-System"))),IF(AND(O925&gt;=Assumptions!$B$23,P925&gt;=Assumptions!$B$24),"High Press / Gegenpressing",IF(AND(N925&gt;=Assumptions!$B$23,AB925&gt;=Assumptions!$B$25),"Possession / Build-from-the-Back",IF(N925&gt;=Assumptions!$B$23,"Counter-Attack / Transition",IF(AND(O925&gt;=Assumptions!$B$23,N925&lt;Assumptions!$B$26),"Low Block / Park the Bus",IF(AND(B925="FW",M925&gt;=Assumptions!$B$23,N925&lt;Assumptions!$B$26),"Direct / Target Approach","Flexible / Multi-System"))))))</f>
        <v>Flexible / Multi-System</v>
      </c>
      <c r="AD925" s="21" t="str">
        <f aca="false">'Player Data'!Y925</f>
        <v>2026-07-17</v>
      </c>
      <c r="AE925" s="21" t="str">
        <f aca="false">'Player Data'!Z925</f>
        <v>2026-07-17</v>
      </c>
      <c r="AF925" s="28" t="str">
        <f aca="false">IFERROR(INDEX(Assumptions!$B$30:$B$61,MATCH(C925,Assumptions!$A$30:$A$61,0)),"--")</f>
        <v>Belgium, Portugal</v>
      </c>
      <c r="AG925" s="30" t="str">
        <f aca="false">IF(R925&gt;=0.7,"Step-Up Candidate",IF(R925&gt;=0.4,"Lateral Move","Stay &amp; Develop"))</f>
        <v>Stay &amp; Develop</v>
      </c>
    </row>
    <row r="926" customFormat="false" ht="23.85" hidden="false" customHeight="false" outlineLevel="0" collapsed="false">
      <c r="A926" s="21" t="str">
        <f aca="false">'Player Data'!A926</f>
        <v>Sardor Rustamov 12</v>
      </c>
      <c r="B926" s="21" t="str">
        <f aca="false">'Player Data'!F926</f>
        <v>FW</v>
      </c>
      <c r="C926" s="21" t="str">
        <f aca="false">'Player Data'!B926</f>
        <v>Uzbekistan</v>
      </c>
      <c r="D926" s="21" t="str">
        <f aca="false">'Player Data'!C926</f>
        <v>Uzbekistan Third Tier - South</v>
      </c>
      <c r="E926" s="21" t="n">
        <f aca="false">'Player Data'!D926</f>
        <v>3</v>
      </c>
      <c r="F926" s="21" t="n">
        <f aca="false">'Player Data'!G926</f>
        <v>22</v>
      </c>
      <c r="G926" s="21" t="n">
        <f aca="false">'Player Data'!H926</f>
        <v>2108</v>
      </c>
      <c r="H926" s="22" t="n">
        <f aca="false">IF(B926="GK",IFERROR(('Player Data'!N926-1.5*'Player Data'!O926)/'Player Data'!H926*90,0),IFERROR(('Player Data'!I926+'Player Data'!J926)/'Player Data'!H926*90,0))</f>
        <v>0.939278937381404</v>
      </c>
      <c r="I926" s="22" t="n">
        <f aca="false">IF(B926="GK",'Player Data'!P926,IFERROR(('Player Data'!K926+'Player Data'!L926)/'Player Data'!H926*90,0))</f>
        <v>5.67836812144213</v>
      </c>
      <c r="J926" s="22" t="n">
        <f aca="false">IF(B926="GK",IFERROR('Player Data'!Q926/'Player Data'!H926*90,0),IFERROR('Player Data'!M926/'Player Data'!H926*90,0))</f>
        <v>0.256166982922201</v>
      </c>
      <c r="K926" s="23" t="n">
        <f aca="false">'Player Data'!S926</f>
        <v>134917</v>
      </c>
      <c r="L926" s="22" t="n">
        <f aca="false">INDEX(Assumptions!$B$13:$B$15,MATCH(E926,Assumptions!$A$13:$A$15,0))</f>
        <v>0.85</v>
      </c>
      <c r="M926" s="24" t="n">
        <f aca="false">IFERROR(SUMPRODUCT(($B$2:$B$1001=B926)*($H$2:$H$1001&lt;=H926))/SUMPRODUCT(($B$2:$B$1001=B926)*1),0)</f>
        <v>0.446902654867257</v>
      </c>
      <c r="N926" s="24" t="n">
        <f aca="false">IFERROR(SUMPRODUCT(($B$2:$B$1001=B926)*($I$2:$I$1001&lt;=I926))/SUMPRODUCT(($B$2:$B$1001=B926)*1),0)</f>
        <v>0.358407079646018</v>
      </c>
      <c r="O926" s="24" t="n">
        <f aca="false">IFERROR(SUMPRODUCT(($B$2:$B$1001=B926)*($J$2:$J$1001&lt;=J926))/SUMPRODUCT(($B$2:$B$1001=B926)*1),0)</f>
        <v>0.110619469026549</v>
      </c>
      <c r="P926" s="24" t="n">
        <f aca="false">IFERROR(SUMPRODUCT(($B$2:$B$1001=B926)*((0-$F$2:$F$1001)&lt;=(0-F926)))/SUMPRODUCT(($B$2:$B$1001=B926)*1),0)</f>
        <v>0.504424778761062</v>
      </c>
      <c r="Q926" s="25" t="n">
        <f aca="false">(M926*Assumptions!$B$5+N926*Assumptions!$B$6+O926*Assumptions!$B$7+P926*Assumptions!$B$8)*L926</f>
        <v>0.306150442477876</v>
      </c>
      <c r="R926" s="24" t="n">
        <f aca="false">IFERROR(SUMPRODUCT(($B$2:$B$1001=B926)*($Q$2:$Q$1001&lt;=Q926))/SUMPRODUCT(($B$2:$B$1001=B926)*1),0)</f>
        <v>0.283185840707965</v>
      </c>
      <c r="S926" s="24" t="n">
        <f aca="false">IFERROR(SUMPRODUCT(($B$2:$B$1001=B926)*($K$2:$K$1001&lt;=K926))/SUMPRODUCT(($B$2:$B$1001=B926)*1),0)</f>
        <v>0.920353982300885</v>
      </c>
      <c r="T926" s="26" t="n">
        <f aca="false">(R926-S926)*100</f>
        <v>-63.716814159292</v>
      </c>
      <c r="U926" s="21" t="str">
        <f aca="false">'Player Data'!T926</f>
        <v>No</v>
      </c>
      <c r="V926" s="27" t="n">
        <f aca="false">'Player Data'!U926</f>
        <v>2029</v>
      </c>
      <c r="W926" s="21" t="str">
        <f aca="false">IF(AND(T926&gt;=Assumptions!$B$19,U926="No"),"High Priority - Unrepresented",IF(T926&gt;=Assumptions!$B$19,"High Priority",IF(AND(T926&gt;=Assumptions!$B$20,U926="No"),"Watchlist - Unrepresented",IF(T926&gt;=Assumptions!$B$20,"Watchlist",""))))</f>
        <v/>
      </c>
      <c r="X926" s="21" t="str">
        <f aca="false">'Player Data'!V926</f>
        <v>info@tashkentwanderers.uz</v>
      </c>
      <c r="Y926" s="28" t="str">
        <f aca="false">'Player Data'!W926</f>
        <v>Club sporting director / first-team office</v>
      </c>
      <c r="Z926" s="28" t="str">
        <f aca="false">'Player Data'!X926</f>
        <v>UFF (Uzbekistan Football Federation) player registry</v>
      </c>
      <c r="AA926" s="19" t="str">
        <f aca="false">HYPERLINK("https://www.transfermarkt.com/schnellsuche/ergebnis/schnellsuche?query="&amp;SUBSTITUTE(A926," ","+"),"Search Transfermarkt")</f>
        <v>Search Transfermarkt</v>
      </c>
      <c r="AB926" s="29" t="n">
        <f aca="false">IFERROR('Player Data'!K926/('Player Data'!K926+'Player Data'!L926),0)</f>
        <v>0.300751879699248</v>
      </c>
      <c r="AC926" s="21" t="str">
        <f aca="false">IF(B926="GK",IF(AND(O926&gt;=Assumptions!$B$23,N926&gt;=Assumptions!$B$23),"Sweeper-Keeper / Build-from-the-Back",IF(O926&gt;=Assumptions!$B$23,"Sweeper-Keeper / High Line",IF(M926&gt;=Assumptions!$B$23,"Shot-Stopper / Traditional","Flexible / Multi-System"))),IF(AND(O926&gt;=Assumptions!$B$23,P926&gt;=Assumptions!$B$24),"High Press / Gegenpressing",IF(AND(N926&gt;=Assumptions!$B$23,AB926&gt;=Assumptions!$B$25),"Possession / Build-from-the-Back",IF(N926&gt;=Assumptions!$B$23,"Counter-Attack / Transition",IF(AND(O926&gt;=Assumptions!$B$23,N926&lt;Assumptions!$B$26),"Low Block / Park the Bus",IF(AND(B926="FW",M926&gt;=Assumptions!$B$23,N926&lt;Assumptions!$B$26),"Direct / Target Approach","Flexible / Multi-System"))))))</f>
        <v>Flexible / Multi-System</v>
      </c>
      <c r="AD926" s="21" t="str">
        <f aca="false">'Player Data'!Y926</f>
        <v>2026-07-17</v>
      </c>
      <c r="AE926" s="21" t="str">
        <f aca="false">'Player Data'!Z926</f>
        <v>2026-07-17</v>
      </c>
      <c r="AF926" s="28" t="str">
        <f aca="false">IFERROR(INDEX(Assumptions!$B$30:$B$61,MATCH(C926,Assumptions!$A$30:$A$61,0)),"--")</f>
        <v>Turkey, Saudi Arabia</v>
      </c>
      <c r="AG926" s="30" t="str">
        <f aca="false">IF(R926&gt;=0.7,"Step-Up Candidate",IF(R926&gt;=0.4,"Lateral Move","Stay &amp; Develop"))</f>
        <v>Stay &amp; Develop</v>
      </c>
    </row>
    <row r="927" customFormat="false" ht="23.85" hidden="false" customHeight="false" outlineLevel="0" collapsed="false">
      <c r="A927" s="21" t="str">
        <f aca="false">'Player Data'!A927</f>
        <v>Sander Kukk</v>
      </c>
      <c r="B927" s="21" t="str">
        <f aca="false">'Player Data'!F927</f>
        <v>DF</v>
      </c>
      <c r="C927" s="21" t="str">
        <f aca="false">'Player Data'!B927</f>
        <v>Estonia</v>
      </c>
      <c r="D927" s="21" t="str">
        <f aca="false">'Player Data'!C927</f>
        <v>Estonia Provincial League</v>
      </c>
      <c r="E927" s="21" t="n">
        <f aca="false">'Player Data'!D927</f>
        <v>2</v>
      </c>
      <c r="F927" s="21" t="n">
        <f aca="false">'Player Data'!G927</f>
        <v>20</v>
      </c>
      <c r="G927" s="21" t="n">
        <f aca="false">'Player Data'!H927</f>
        <v>2153</v>
      </c>
      <c r="H927" s="22" t="n">
        <f aca="false">IF(B927="GK",IFERROR(('Player Data'!N927-1.5*'Player Data'!O927)/'Player Data'!H927*90,0),IFERROR(('Player Data'!I927+'Player Data'!J927)/'Player Data'!H927*90,0))</f>
        <v>0.167208546214584</v>
      </c>
      <c r="I927" s="22" t="n">
        <f aca="false">IF(B927="GK",'Player Data'!P927,IFERROR(('Player Data'!K927+'Player Data'!L927)/'Player Data'!H927*90,0))</f>
        <v>3.30236878773804</v>
      </c>
      <c r="J927" s="22" t="n">
        <f aca="false">IF(B927="GK",IFERROR('Player Data'!Q927/'Player Data'!H927*90,0),IFERROR('Player Data'!M927/'Player Data'!H927*90,0))</f>
        <v>4.8072457036693</v>
      </c>
      <c r="K927" s="23" t="n">
        <f aca="false">'Player Data'!S927</f>
        <v>53707</v>
      </c>
      <c r="L927" s="22" t="n">
        <f aca="false">INDEX(Assumptions!$B$13:$B$15,MATCH(E927,Assumptions!$A$13:$A$15,0))</f>
        <v>1</v>
      </c>
      <c r="M927" s="24" t="n">
        <f aca="false">IFERROR(SUMPRODUCT(($B$2:$B$1001=B927)*($H$2:$H$1001&lt;=H927))/SUMPRODUCT(($B$2:$B$1001=B927)*1),0)</f>
        <v>0.41156462585034</v>
      </c>
      <c r="N927" s="24" t="n">
        <f aca="false">IFERROR(SUMPRODUCT(($B$2:$B$1001=B927)*($I$2:$I$1001&lt;=I927))/SUMPRODUCT(($B$2:$B$1001=B927)*1),0)</f>
        <v>0.180272108843537</v>
      </c>
      <c r="O927" s="24" t="n">
        <f aca="false">IFERROR(SUMPRODUCT(($B$2:$B$1001=B927)*($J$2:$J$1001&lt;=J927))/SUMPRODUCT(($B$2:$B$1001=B927)*1),0)</f>
        <v>0.425170068027211</v>
      </c>
      <c r="P927" s="24" t="n">
        <f aca="false">IFERROR(SUMPRODUCT(($B$2:$B$1001=B927)*((0-$F$2:$F$1001)&lt;=(0-F927)))/SUMPRODUCT(($B$2:$B$1001=B927)*1),0)</f>
        <v>0.656462585034014</v>
      </c>
      <c r="Q927" s="25" t="n">
        <f aca="false">(M927*Assumptions!$B$5+N927*Assumptions!$B$6+O927*Assumptions!$B$7+P927*Assumptions!$B$8)*L927</f>
        <v>0.382312925170068</v>
      </c>
      <c r="R927" s="24" t="n">
        <f aca="false">IFERROR(SUMPRODUCT(($B$2:$B$1001=B927)*($Q$2:$Q$1001&lt;=Q927))/SUMPRODUCT(($B$2:$B$1001=B927)*1),0)</f>
        <v>0.404761904761905</v>
      </c>
      <c r="S927" s="24" t="n">
        <f aca="false">IFERROR(SUMPRODUCT(($B$2:$B$1001=B927)*($K$2:$K$1001&lt;=K927))/SUMPRODUCT(($B$2:$B$1001=B927)*1),0)</f>
        <v>0.45578231292517</v>
      </c>
      <c r="T927" s="26" t="n">
        <f aca="false">(R927-S927)*100</f>
        <v>-5.10204081632653</v>
      </c>
      <c r="U927" s="21" t="str">
        <f aca="false">'Player Data'!T927</f>
        <v>Unknown</v>
      </c>
      <c r="V927" s="27" t="n">
        <f aca="false">'Player Data'!U927</f>
        <v>2029</v>
      </c>
      <c r="W927" s="21" t="str">
        <f aca="false">IF(AND(T927&gt;=Assumptions!$B$19,U927="No"),"High Priority - Unrepresented",IF(T927&gt;=Assumptions!$B$19,"High Priority",IF(AND(T927&gt;=Assumptions!$B$20,U927="No"),"Watchlist - Unrepresented",IF(T927&gt;=Assumptions!$B$20,"Watchlist",""))))</f>
        <v/>
      </c>
      <c r="X927" s="21" t="str">
        <f aca="false">'Player Data'!V927</f>
        <v>info@tallinnfc.ee</v>
      </c>
      <c r="Y927" s="28" t="str">
        <f aca="false">'Player Data'!W927</f>
        <v>Club sporting director / first-team office</v>
      </c>
      <c r="Z927" s="28" t="str">
        <f aca="false">'Player Data'!X927</f>
        <v>EJL (Estonian Football Association) player registry</v>
      </c>
      <c r="AA927" s="19" t="str">
        <f aca="false">HYPERLINK("https://www.transfermarkt.com/schnellsuche/ergebnis/schnellsuche?query="&amp;SUBSTITUTE(A927," ","+"),"Search Transfermarkt")</f>
        <v>Search Transfermarkt</v>
      </c>
      <c r="AB927" s="29" t="n">
        <f aca="false">IFERROR('Player Data'!K927/('Player Data'!K927+'Player Data'!L927),0)</f>
        <v>0.531645569620253</v>
      </c>
      <c r="AC927" s="21" t="str">
        <f aca="false">IF(B927="GK",IF(AND(O927&gt;=Assumptions!$B$23,N927&gt;=Assumptions!$B$23),"Sweeper-Keeper / Build-from-the-Back",IF(O927&gt;=Assumptions!$B$23,"Sweeper-Keeper / High Line",IF(M927&gt;=Assumptions!$B$23,"Shot-Stopper / Traditional","Flexible / Multi-System"))),IF(AND(O927&gt;=Assumptions!$B$23,P927&gt;=Assumptions!$B$24),"High Press / Gegenpressing",IF(AND(N927&gt;=Assumptions!$B$23,AB927&gt;=Assumptions!$B$25),"Possession / Build-from-the-Back",IF(N927&gt;=Assumptions!$B$23,"Counter-Attack / Transition",IF(AND(O927&gt;=Assumptions!$B$23,N927&lt;Assumptions!$B$26),"Low Block / Park the Bus",IF(AND(B927="FW",M927&gt;=Assumptions!$B$23,N927&lt;Assumptions!$B$26),"Direct / Target Approach","Flexible / Multi-System"))))))</f>
        <v>Flexible / Multi-System</v>
      </c>
      <c r="AD927" s="21" t="str">
        <f aca="false">'Player Data'!Y927</f>
        <v>2026-07-17</v>
      </c>
      <c r="AE927" s="21" t="str">
        <f aca="false">'Player Data'!Z927</f>
        <v>2026-07-17</v>
      </c>
      <c r="AF927" s="28" t="str">
        <f aca="false">IFERROR(INDEX(Assumptions!$B$30:$B$61,MATCH(C927,Assumptions!$A$30:$A$61,0)),"--")</f>
        <v>Poland, Norway</v>
      </c>
      <c r="AG927" s="30" t="str">
        <f aca="false">IF(R927&gt;=0.7,"Step-Up Candidate",IF(R927&gt;=0.4,"Lateral Move","Stay &amp; Develop"))</f>
        <v>Lateral Move</v>
      </c>
    </row>
    <row r="928" customFormat="false" ht="23.85" hidden="false" customHeight="false" outlineLevel="0" collapsed="false">
      <c r="A928" s="21" t="str">
        <f aca="false">'Player Data'!A928</f>
        <v>Anon Rattanakosin</v>
      </c>
      <c r="B928" s="21" t="str">
        <f aca="false">'Player Data'!F928</f>
        <v>DF</v>
      </c>
      <c r="C928" s="21" t="str">
        <f aca="false">'Player Data'!B928</f>
        <v>Thailand</v>
      </c>
      <c r="D928" s="21" t="str">
        <f aca="false">'Player Data'!C928</f>
        <v>Thailand Second Division - West</v>
      </c>
      <c r="E928" s="21" t="n">
        <f aca="false">'Player Data'!D928</f>
        <v>2</v>
      </c>
      <c r="F928" s="21" t="n">
        <f aca="false">'Player Data'!G928</f>
        <v>24</v>
      </c>
      <c r="G928" s="21" t="n">
        <f aca="false">'Player Data'!H928</f>
        <v>2648</v>
      </c>
      <c r="H928" s="22" t="n">
        <f aca="false">IF(B928="GK",IFERROR(('Player Data'!N928-1.5*'Player Data'!O928)/'Player Data'!H928*90,0),IFERROR(('Player Data'!I928+'Player Data'!J928)/'Player Data'!H928*90,0))</f>
        <v>0.101963746223565</v>
      </c>
      <c r="I928" s="22" t="n">
        <f aca="false">IF(B928="GK",'Player Data'!P928,IFERROR(('Player Data'!K928+'Player Data'!L928)/'Player Data'!H928*90,0))</f>
        <v>3.22885196374622</v>
      </c>
      <c r="J928" s="22" t="n">
        <f aca="false">IF(B928="GK",IFERROR('Player Data'!Q928/'Player Data'!H928*90,0),IFERROR('Player Data'!M928/'Player Data'!H928*90,0))</f>
        <v>3.36480362537764</v>
      </c>
      <c r="K928" s="23" t="n">
        <f aca="false">'Player Data'!S928</f>
        <v>10559</v>
      </c>
      <c r="L928" s="22" t="n">
        <f aca="false">INDEX(Assumptions!$B$13:$B$15,MATCH(E928,Assumptions!$A$13:$A$15,0))</f>
        <v>1</v>
      </c>
      <c r="M928" s="24" t="n">
        <f aca="false">IFERROR(SUMPRODUCT(($B$2:$B$1001=B928)*($H$2:$H$1001&lt;=H928))/SUMPRODUCT(($B$2:$B$1001=B928)*1),0)</f>
        <v>0.187074829931973</v>
      </c>
      <c r="N928" s="24" t="n">
        <f aca="false">IFERROR(SUMPRODUCT(($B$2:$B$1001=B928)*($I$2:$I$1001&lt;=I928))/SUMPRODUCT(($B$2:$B$1001=B928)*1),0)</f>
        <v>0.146258503401361</v>
      </c>
      <c r="O928" s="24" t="n">
        <f aca="false">IFERROR(SUMPRODUCT(($B$2:$B$1001=B928)*($J$2:$J$1001&lt;=J928))/SUMPRODUCT(($B$2:$B$1001=B928)*1),0)</f>
        <v>0.0646258503401361</v>
      </c>
      <c r="P928" s="24" t="n">
        <f aca="false">IFERROR(SUMPRODUCT(($B$2:$B$1001=B928)*((0-$F$2:$F$1001)&lt;=(0-F928)))/SUMPRODUCT(($B$2:$B$1001=B928)*1),0)</f>
        <v>0.275510204081633</v>
      </c>
      <c r="Q928" s="25" t="n">
        <f aca="false">(M928*Assumptions!$B$5+N928*Assumptions!$B$6+O928*Assumptions!$B$7+P928*Assumptions!$B$8)*L928</f>
        <v>0.165986394557823</v>
      </c>
      <c r="R928" s="24" t="n">
        <f aca="false">IFERROR(SUMPRODUCT(($B$2:$B$1001=B928)*($Q$2:$Q$1001&lt;=Q928))/SUMPRODUCT(($B$2:$B$1001=B928)*1),0)</f>
        <v>0.0510204081632653</v>
      </c>
      <c r="S928" s="24" t="n">
        <f aca="false">IFERROR(SUMPRODUCT(($B$2:$B$1001=B928)*($K$2:$K$1001&lt;=K928))/SUMPRODUCT(($B$2:$B$1001=B928)*1),0)</f>
        <v>0.261904761904762</v>
      </c>
      <c r="T928" s="26" t="n">
        <f aca="false">(R928-S928)*100</f>
        <v>-21.0884353741497</v>
      </c>
      <c r="U928" s="21" t="str">
        <f aca="false">'Player Data'!T928</f>
        <v>No</v>
      </c>
      <c r="V928" s="27" t="n">
        <f aca="false">'Player Data'!U928</f>
        <v>2027</v>
      </c>
      <c r="W928" s="21" t="str">
        <f aca="false">IF(AND(T928&gt;=Assumptions!$B$19,U928="No"),"High Priority - Unrepresented",IF(T928&gt;=Assumptions!$B$19,"High Priority",IF(AND(T928&gt;=Assumptions!$B$20,U928="No"),"Watchlist - Unrepresented",IF(T928&gt;=Assumptions!$B$20,"Watchlist",""))))</f>
        <v/>
      </c>
      <c r="X928" s="21" t="str">
        <f aca="false">'Player Data'!V928</f>
        <v>info@bangkokrovers.th</v>
      </c>
      <c r="Y928" s="28" t="str">
        <f aca="false">'Player Data'!W928</f>
        <v>Club sporting director / first-team office</v>
      </c>
      <c r="Z928" s="28" t="str">
        <f aca="false">'Player Data'!X928</f>
        <v>FAT (Football Association of Thailand) player registry</v>
      </c>
      <c r="AA928" s="19" t="str">
        <f aca="false">HYPERLINK("https://www.transfermarkt.com/schnellsuche/ergebnis/schnellsuche?query="&amp;SUBSTITUTE(A928," ","+"),"Search Transfermarkt")</f>
        <v>Search Transfermarkt</v>
      </c>
      <c r="AB928" s="29" t="n">
        <f aca="false">IFERROR('Player Data'!K928/('Player Data'!K928+'Player Data'!L928),0)</f>
        <v>0.642105263157895</v>
      </c>
      <c r="AC928" s="21" t="str">
        <f aca="false">IF(B928="GK",IF(AND(O928&gt;=Assumptions!$B$23,N928&gt;=Assumptions!$B$23),"Sweeper-Keeper / Build-from-the-Back",IF(O928&gt;=Assumptions!$B$23,"Sweeper-Keeper / High Line",IF(M928&gt;=Assumptions!$B$23,"Shot-Stopper / Traditional","Flexible / Multi-System"))),IF(AND(O928&gt;=Assumptions!$B$23,P928&gt;=Assumptions!$B$24),"High Press / Gegenpressing",IF(AND(N928&gt;=Assumptions!$B$23,AB928&gt;=Assumptions!$B$25),"Possession / Build-from-the-Back",IF(N928&gt;=Assumptions!$B$23,"Counter-Attack / Transition",IF(AND(O928&gt;=Assumptions!$B$23,N928&lt;Assumptions!$B$26),"Low Block / Park the Bus",IF(AND(B928="FW",M928&gt;=Assumptions!$B$23,N928&lt;Assumptions!$B$26),"Direct / Target Approach","Flexible / Multi-System"))))))</f>
        <v>Flexible / Multi-System</v>
      </c>
      <c r="AD928" s="21" t="str">
        <f aca="false">'Player Data'!Y928</f>
        <v>2026-07-17</v>
      </c>
      <c r="AE928" s="21" t="str">
        <f aca="false">'Player Data'!Z928</f>
        <v>2026-07-17</v>
      </c>
      <c r="AF928" s="28" t="str">
        <f aca="false">IFERROR(INDEX(Assumptions!$B$30:$B$61,MATCH(C928,Assumptions!$A$30:$A$61,0)),"--")</f>
        <v>Australia, Saudi Arabia</v>
      </c>
      <c r="AG928" s="30" t="str">
        <f aca="false">IF(R928&gt;=0.7,"Step-Up Candidate",IF(R928&gt;=0.4,"Lateral Move","Stay &amp; Develop"))</f>
        <v>Stay &amp; Develop</v>
      </c>
    </row>
    <row r="929" customFormat="false" ht="23.85" hidden="false" customHeight="false" outlineLevel="0" collapsed="false">
      <c r="A929" s="21" t="str">
        <f aca="false">'Player Data'!A929</f>
        <v>Giorgi Kapanadze 81</v>
      </c>
      <c r="B929" s="21" t="str">
        <f aca="false">'Player Data'!F929</f>
        <v>DF</v>
      </c>
      <c r="C929" s="21" t="str">
        <f aca="false">'Player Data'!B929</f>
        <v>Georgia</v>
      </c>
      <c r="D929" s="21" t="str">
        <f aca="false">'Player Data'!C929</f>
        <v>Georgia Second Division - West</v>
      </c>
      <c r="E929" s="21" t="n">
        <f aca="false">'Player Data'!D929</f>
        <v>2</v>
      </c>
      <c r="F929" s="21" t="n">
        <f aca="false">'Player Data'!G929</f>
        <v>18</v>
      </c>
      <c r="G929" s="21" t="n">
        <f aca="false">'Player Data'!H929</f>
        <v>1089</v>
      </c>
      <c r="H929" s="22" t="n">
        <f aca="false">IF(B929="GK",IFERROR(('Player Data'!N929-1.5*'Player Data'!O929)/'Player Data'!H929*90,0),IFERROR(('Player Data'!I929+'Player Data'!J929)/'Player Data'!H929*90,0))</f>
        <v>0.165289256198347</v>
      </c>
      <c r="I929" s="22" t="n">
        <f aca="false">IF(B929="GK",'Player Data'!P929,IFERROR(('Player Data'!K929+'Player Data'!L929)/'Player Data'!H929*90,0))</f>
        <v>9.17355371900827</v>
      </c>
      <c r="J929" s="22" t="n">
        <f aca="false">IF(B929="GK",IFERROR('Player Data'!Q929/'Player Data'!H929*90,0),IFERROR('Player Data'!M929/'Player Data'!H929*90,0))</f>
        <v>8.59504132231405</v>
      </c>
      <c r="K929" s="23" t="n">
        <f aca="false">'Player Data'!S929</f>
        <v>149421</v>
      </c>
      <c r="L929" s="22" t="n">
        <f aca="false">INDEX(Assumptions!$B$13:$B$15,MATCH(E929,Assumptions!$A$13:$A$15,0))</f>
        <v>1</v>
      </c>
      <c r="M929" s="24" t="n">
        <f aca="false">IFERROR(SUMPRODUCT(($B$2:$B$1001=B929)*($H$2:$H$1001&lt;=H929))/SUMPRODUCT(($B$2:$B$1001=B929)*1),0)</f>
        <v>0.404761904761905</v>
      </c>
      <c r="N929" s="24" t="n">
        <f aca="false">IFERROR(SUMPRODUCT(($B$2:$B$1001=B929)*($I$2:$I$1001&lt;=I929))/SUMPRODUCT(($B$2:$B$1001=B929)*1),0)</f>
        <v>0.952380952380952</v>
      </c>
      <c r="O929" s="24" t="n">
        <f aca="false">IFERROR(SUMPRODUCT(($B$2:$B$1001=B929)*($J$2:$J$1001&lt;=J929))/SUMPRODUCT(($B$2:$B$1001=B929)*1),0)</f>
        <v>0.887755102040816</v>
      </c>
      <c r="P929" s="24" t="n">
        <f aca="false">IFERROR(SUMPRODUCT(($B$2:$B$1001=B929)*((0-$F$2:$F$1001)&lt;=(0-F929)))/SUMPRODUCT(($B$2:$B$1001=B929)*1),0)</f>
        <v>0.863945578231293</v>
      </c>
      <c r="Q929" s="25" t="n">
        <f aca="false">(M929*Assumptions!$B$5+N929*Assumptions!$B$6+O929*Assumptions!$B$7+P929*Assumptions!$B$8)*L929</f>
        <v>0.784863945578231</v>
      </c>
      <c r="R929" s="24" t="n">
        <f aca="false">IFERROR(SUMPRODUCT(($B$2:$B$1001=B929)*($Q$2:$Q$1001&lt;=Q929))/SUMPRODUCT(($B$2:$B$1001=B929)*1),0)</f>
        <v>0.938775510204082</v>
      </c>
      <c r="S929" s="24" t="n">
        <f aca="false">IFERROR(SUMPRODUCT(($B$2:$B$1001=B929)*($K$2:$K$1001&lt;=K929))/SUMPRODUCT(($B$2:$B$1001=B929)*1),0)</f>
        <v>1</v>
      </c>
      <c r="T929" s="26" t="n">
        <f aca="false">(R929-S929)*100</f>
        <v>-6.12244897959183</v>
      </c>
      <c r="U929" s="21" t="str">
        <f aca="false">'Player Data'!T929</f>
        <v>No</v>
      </c>
      <c r="V929" s="27" t="n">
        <f aca="false">'Player Data'!U929</f>
        <v>2026</v>
      </c>
      <c r="W929" s="21" t="str">
        <f aca="false">IF(AND(T929&gt;=Assumptions!$B$19,U929="No"),"High Priority - Unrepresented",IF(T929&gt;=Assumptions!$B$19,"High Priority",IF(AND(T929&gt;=Assumptions!$B$20,U929="No"),"Watchlist - Unrepresented",IF(T929&gt;=Assumptions!$B$20,"Watchlist",""))))</f>
        <v/>
      </c>
      <c r="X929" s="21" t="str">
        <f aca="false">'Player Data'!V929</f>
        <v>info@kutaisiunited.ge</v>
      </c>
      <c r="Y929" s="28" t="str">
        <f aca="false">'Player Data'!W929</f>
        <v>Club sporting director / first-team office</v>
      </c>
      <c r="Z929" s="28" t="str">
        <f aca="false">'Player Data'!X929</f>
        <v>GFF (Georgian Football Federation) player registry</v>
      </c>
      <c r="AA929" s="19" t="str">
        <f aca="false">HYPERLINK("https://www.transfermarkt.com/schnellsuche/ergebnis/schnellsuche?query="&amp;SUBSTITUTE(A929," ","+"),"Search Transfermarkt")</f>
        <v>Search Transfermarkt</v>
      </c>
      <c r="AB929" s="29" t="n">
        <f aca="false">IFERROR('Player Data'!K929/('Player Data'!K929+'Player Data'!L929),0)</f>
        <v>0.603603603603604</v>
      </c>
      <c r="AC929" s="21" t="str">
        <f aca="false">IF(B929="GK",IF(AND(O929&gt;=Assumptions!$B$23,N929&gt;=Assumptions!$B$23),"Sweeper-Keeper / Build-from-the-Back",IF(O929&gt;=Assumptions!$B$23,"Sweeper-Keeper / High Line",IF(M929&gt;=Assumptions!$B$23,"Shot-Stopper / Traditional","Flexible / Multi-System"))),IF(AND(O929&gt;=Assumptions!$B$23,P929&gt;=Assumptions!$B$24),"High Press / Gegenpressing",IF(AND(N929&gt;=Assumptions!$B$23,AB929&gt;=Assumptions!$B$25),"Possession / Build-from-the-Back",IF(N929&gt;=Assumptions!$B$23,"Counter-Attack / Transition",IF(AND(O929&gt;=Assumptions!$B$23,N929&lt;Assumptions!$B$26),"Low Block / Park the Bus",IF(AND(B929="FW",M929&gt;=Assumptions!$B$23,N929&lt;Assumptions!$B$26),"Direct / Target Approach","Flexible / Multi-System"))))))</f>
        <v>High Press / Gegenpressing</v>
      </c>
      <c r="AD929" s="21" t="str">
        <f aca="false">'Player Data'!Y929</f>
        <v>2026-07-17</v>
      </c>
      <c r="AE929" s="21" t="str">
        <f aca="false">'Player Data'!Z929</f>
        <v>2026-07-17</v>
      </c>
      <c r="AF929" s="28" t="str">
        <f aca="false">IFERROR(INDEX(Assumptions!$B$30:$B$61,MATCH(C929,Assumptions!$A$30:$A$61,0)),"--")</f>
        <v>Turkey, Poland</v>
      </c>
      <c r="AG929" s="30" t="str">
        <f aca="false">IF(R929&gt;=0.7,"Step-Up Candidate",IF(R929&gt;=0.4,"Lateral Move","Stay &amp; Develop"))</f>
        <v>Step-Up Candidate</v>
      </c>
    </row>
    <row r="930" customFormat="false" ht="23.85" hidden="false" customHeight="false" outlineLevel="0" collapsed="false">
      <c r="A930" s="21" t="str">
        <f aca="false">'Player Data'!A930</f>
        <v>Enock Zulu</v>
      </c>
      <c r="B930" s="21" t="str">
        <f aca="false">'Player Data'!F930</f>
        <v>FW</v>
      </c>
      <c r="C930" s="21" t="str">
        <f aca="false">'Player Data'!B930</f>
        <v>Zambia</v>
      </c>
      <c r="D930" s="21" t="str">
        <f aca="false">'Player Data'!C930</f>
        <v>Zambia Second Division - West</v>
      </c>
      <c r="E930" s="21" t="n">
        <f aca="false">'Player Data'!D930</f>
        <v>2</v>
      </c>
      <c r="F930" s="21" t="n">
        <f aca="false">'Player Data'!G930</f>
        <v>19</v>
      </c>
      <c r="G930" s="21" t="n">
        <f aca="false">'Player Data'!H930</f>
        <v>847</v>
      </c>
      <c r="H930" s="22" t="n">
        <f aca="false">IF(B930="GK",IFERROR(('Player Data'!N930-1.5*'Player Data'!O930)/'Player Data'!H930*90,0),IFERROR(('Player Data'!I930+'Player Data'!J930)/'Player Data'!H930*90,0))</f>
        <v>2.8689492325856</v>
      </c>
      <c r="I930" s="22" t="n">
        <f aca="false">IF(B930="GK",'Player Data'!P930,IFERROR(('Player Data'!K930+'Player Data'!L930)/'Player Data'!H930*90,0))</f>
        <v>16.6824085005903</v>
      </c>
      <c r="J930" s="22" t="n">
        <f aca="false">IF(B930="GK",IFERROR('Player Data'!Q930/'Player Data'!H930*90,0),IFERROR('Player Data'!M930/'Player Data'!H930*90,0))</f>
        <v>0.63754427390791</v>
      </c>
      <c r="K930" s="23" t="n">
        <f aca="false">'Player Data'!S930</f>
        <v>0</v>
      </c>
      <c r="L930" s="22" t="n">
        <f aca="false">INDEX(Assumptions!$B$13:$B$15,MATCH(E930,Assumptions!$A$13:$A$15,0))</f>
        <v>1</v>
      </c>
      <c r="M930" s="24" t="n">
        <f aca="false">IFERROR(SUMPRODUCT(($B$2:$B$1001=B930)*($H$2:$H$1001&lt;=H930))/SUMPRODUCT(($B$2:$B$1001=B930)*1),0)</f>
        <v>1</v>
      </c>
      <c r="N930" s="24" t="n">
        <f aca="false">IFERROR(SUMPRODUCT(($B$2:$B$1001=B930)*($I$2:$I$1001&lt;=I930))/SUMPRODUCT(($B$2:$B$1001=B930)*1),0)</f>
        <v>0.995575221238938</v>
      </c>
      <c r="O930" s="24" t="n">
        <f aca="false">IFERROR(SUMPRODUCT(($B$2:$B$1001=B930)*($J$2:$J$1001&lt;=J930))/SUMPRODUCT(($B$2:$B$1001=B930)*1),0)</f>
        <v>0.68141592920354</v>
      </c>
      <c r="P930" s="24" t="n">
        <f aca="false">IFERROR(SUMPRODUCT(($B$2:$B$1001=B930)*((0-$F$2:$F$1001)&lt;=(0-F930)))/SUMPRODUCT(($B$2:$B$1001=B930)*1),0)</f>
        <v>0.831858407079646</v>
      </c>
      <c r="Q930" s="25" t="n">
        <f aca="false">(M930*Assumptions!$B$5+N930*Assumptions!$B$6+O930*Assumptions!$B$7+P930*Assumptions!$B$8)*L930</f>
        <v>0.901106194690265</v>
      </c>
      <c r="R930" s="24" t="n">
        <f aca="false">IFERROR(SUMPRODUCT(($B$2:$B$1001=B930)*($Q$2:$Q$1001&lt;=Q930))/SUMPRODUCT(($B$2:$B$1001=B930)*1),0)</f>
        <v>0.991150442477876</v>
      </c>
      <c r="S930" s="24" t="n">
        <f aca="false">IFERROR(SUMPRODUCT(($B$2:$B$1001=B930)*($K$2:$K$1001&lt;=K930))/SUMPRODUCT(($B$2:$B$1001=B930)*1),0)</f>
        <v>0.261061946902655</v>
      </c>
      <c r="T930" s="26" t="n">
        <f aca="false">(R930-S930)*100</f>
        <v>73.0088495575221</v>
      </c>
      <c r="U930" s="21" t="str">
        <f aca="false">'Player Data'!T930</f>
        <v>No</v>
      </c>
      <c r="V930" s="27" t="n">
        <f aca="false">'Player Data'!U930</f>
        <v>2027</v>
      </c>
      <c r="W930" s="21" t="str">
        <f aca="false">IF(AND(T930&gt;=Assumptions!$B$19,U930="No"),"High Priority - Unrepresented",IF(T930&gt;=Assumptions!$B$19,"High Priority",IF(AND(T930&gt;=Assumptions!$B$20,U930="No"),"Watchlist - Unrepresented",IF(T930&gt;=Assumptions!$B$20,"Watchlist",""))))</f>
        <v>High Priority - Unrepresented</v>
      </c>
      <c r="X930" s="21" t="str">
        <f aca="false">'Player Data'!V930</f>
        <v>info@livingstonerangers.zm</v>
      </c>
      <c r="Y930" s="28" t="str">
        <f aca="false">'Player Data'!W930</f>
        <v>Club sporting director / first-team office</v>
      </c>
      <c r="Z930" s="28" t="str">
        <f aca="false">'Player Data'!X930</f>
        <v>FAZ (Football Association of Zambia) player registry</v>
      </c>
      <c r="AA930" s="19" t="str">
        <f aca="false">HYPERLINK("https://www.transfermarkt.com/schnellsuche/ergebnis/schnellsuche?query="&amp;SUBSTITUTE(A930," ","+"),"Search Transfermarkt")</f>
        <v>Search Transfermarkt</v>
      </c>
      <c r="AB930" s="29" t="n">
        <f aca="false">IFERROR('Player Data'!K930/('Player Data'!K930+'Player Data'!L930),0)</f>
        <v>0.388535031847134</v>
      </c>
      <c r="AC930" s="21" t="str">
        <f aca="false">IF(B930="GK",IF(AND(O930&gt;=Assumptions!$B$23,N930&gt;=Assumptions!$B$23),"Sweeper-Keeper / Build-from-the-Back",IF(O930&gt;=Assumptions!$B$23,"Sweeper-Keeper / High Line",IF(M930&gt;=Assumptions!$B$23,"Shot-Stopper / Traditional","Flexible / Multi-System"))),IF(AND(O930&gt;=Assumptions!$B$23,P930&gt;=Assumptions!$B$24),"High Press / Gegenpressing",IF(AND(N930&gt;=Assumptions!$B$23,AB930&gt;=Assumptions!$B$25),"Possession / Build-from-the-Back",IF(N930&gt;=Assumptions!$B$23,"Counter-Attack / Transition",IF(AND(O930&gt;=Assumptions!$B$23,N930&lt;Assumptions!$B$26),"Low Block / Park the Bus",IF(AND(B930="FW",M930&gt;=Assumptions!$B$23,N930&lt;Assumptions!$B$26),"Direct / Target Approach","Flexible / Multi-System"))))))</f>
        <v>High Press / Gegenpressing</v>
      </c>
      <c r="AD930" s="21" t="str">
        <f aca="false">'Player Data'!Y930</f>
        <v>2026-07-17</v>
      </c>
      <c r="AE930" s="21" t="str">
        <f aca="false">'Player Data'!Z930</f>
        <v>2026-07-17</v>
      </c>
      <c r="AF930" s="28" t="str">
        <f aca="false">IFERROR(INDEX(Assumptions!$B$30:$B$61,MATCH(C930,Assumptions!$A$30:$A$61,0)),"--")</f>
        <v>Belgium, Portugal</v>
      </c>
      <c r="AG930" s="30" t="str">
        <f aca="false">IF(R930&gt;=0.7,"Step-Up Candidate",IF(R930&gt;=0.4,"Lateral Move","Stay &amp; Develop"))</f>
        <v>Step-Up Candidate</v>
      </c>
    </row>
    <row r="931" customFormat="false" ht="23.85" hidden="false" customHeight="false" outlineLevel="0" collapsed="false">
      <c r="A931" s="21" t="str">
        <f aca="false">'Player Data'!A931</f>
        <v>Saba Lomidze 64</v>
      </c>
      <c r="B931" s="21" t="str">
        <f aca="false">'Player Data'!F931</f>
        <v>GK</v>
      </c>
      <c r="C931" s="21" t="str">
        <f aca="false">'Player Data'!B931</f>
        <v>Georgia</v>
      </c>
      <c r="D931" s="21" t="str">
        <f aca="false">'Player Data'!C931</f>
        <v>Georgia Reserve League</v>
      </c>
      <c r="E931" s="21" t="n">
        <f aca="false">'Player Data'!D931</f>
        <v>2</v>
      </c>
      <c r="F931" s="21" t="n">
        <f aca="false">'Player Data'!G931</f>
        <v>26</v>
      </c>
      <c r="G931" s="21" t="n">
        <f aca="false">'Player Data'!H931</f>
        <v>1810</v>
      </c>
      <c r="H931" s="22" t="n">
        <f aca="false">IF(B931="GK",IFERROR(('Player Data'!N931-1.5*'Player Data'!O931)/'Player Data'!H931*90,0),IFERROR(('Player Data'!I931+'Player Data'!J931)/'Player Data'!H931*90,0))</f>
        <v>1.91436464088398</v>
      </c>
      <c r="I931" s="22" t="n">
        <f aca="false">IF(B931="GK",'Player Data'!P931,IFERROR(('Player Data'!K931+'Player Data'!L931)/'Player Data'!H931*90,0))</f>
        <v>91.5</v>
      </c>
      <c r="J931" s="22" t="n">
        <f aca="false">IF(B931="GK",IFERROR('Player Data'!Q931/'Player Data'!H931*90,0),IFERROR('Player Data'!M931/'Player Data'!H931*90,0))</f>
        <v>0.318232044198895</v>
      </c>
      <c r="K931" s="23" t="n">
        <f aca="false">'Player Data'!S931</f>
        <v>15329</v>
      </c>
      <c r="L931" s="22" t="n">
        <f aca="false">INDEX(Assumptions!$B$13:$B$15,MATCH(E931,Assumptions!$A$13:$A$15,0))</f>
        <v>1</v>
      </c>
      <c r="M931" s="24" t="n">
        <f aca="false">IFERROR(SUMPRODUCT(($B$2:$B$1001=B931)*($H$2:$H$1001&lt;=H931))/SUMPRODUCT(($B$2:$B$1001=B931)*1),0)</f>
        <v>0.87431693989071</v>
      </c>
      <c r="N931" s="24" t="n">
        <f aca="false">IFERROR(SUMPRODUCT(($B$2:$B$1001=B931)*($I$2:$I$1001&lt;=I931))/SUMPRODUCT(($B$2:$B$1001=B931)*1),0)</f>
        <v>0.994535519125683</v>
      </c>
      <c r="O931" s="24" t="n">
        <f aca="false">IFERROR(SUMPRODUCT(($B$2:$B$1001=B931)*($J$2:$J$1001&lt;=J931))/SUMPRODUCT(($B$2:$B$1001=B931)*1),0)</f>
        <v>0.14207650273224</v>
      </c>
      <c r="P931" s="24" t="n">
        <f aca="false">IFERROR(SUMPRODUCT(($B$2:$B$1001=B931)*((0-$F$2:$F$1001)&lt;=(0-F931)))/SUMPRODUCT(($B$2:$B$1001=B931)*1),0)</f>
        <v>0.131147540983607</v>
      </c>
      <c r="Q931" s="25" t="n">
        <f aca="false">(M931*Assumptions!$B$5+N931*Assumptions!$B$6+O931*Assumptions!$B$7+P931*Assumptions!$B$8)*L931</f>
        <v>0.621311475409836</v>
      </c>
      <c r="R931" s="24" t="n">
        <f aca="false">IFERROR(SUMPRODUCT(($B$2:$B$1001=B931)*($Q$2:$Q$1001&lt;=Q931))/SUMPRODUCT(($B$2:$B$1001=B931)*1),0)</f>
        <v>0.907103825136612</v>
      </c>
      <c r="S931" s="24" t="n">
        <f aca="false">IFERROR(SUMPRODUCT(($B$2:$B$1001=B931)*($K$2:$K$1001&lt;=K931))/SUMPRODUCT(($B$2:$B$1001=B931)*1),0)</f>
        <v>0.256830601092896</v>
      </c>
      <c r="T931" s="26" t="n">
        <f aca="false">(R931-S931)*100</f>
        <v>65.0273224043716</v>
      </c>
      <c r="U931" s="21" t="str">
        <f aca="false">'Player Data'!T931</f>
        <v>Unknown</v>
      </c>
      <c r="V931" s="27" t="n">
        <f aca="false">'Player Data'!U931</f>
        <v>2027</v>
      </c>
      <c r="W931" s="21" t="str">
        <f aca="false">IF(AND(T931&gt;=Assumptions!$B$19,U931="No"),"High Priority - Unrepresented",IF(T931&gt;=Assumptions!$B$19,"High Priority",IF(AND(T931&gt;=Assumptions!$B$20,U931="No"),"Watchlist - Unrepresented",IF(T931&gt;=Assumptions!$B$20,"Watchlist",""))))</f>
        <v>High Priority</v>
      </c>
      <c r="X931" s="21" t="str">
        <f aca="false">'Player Data'!V931</f>
        <v>info@kutaisiwanderers.ge</v>
      </c>
      <c r="Y931" s="28" t="str">
        <f aca="false">'Player Data'!W931</f>
        <v>Club sporting director / first-team office</v>
      </c>
      <c r="Z931" s="28" t="str">
        <f aca="false">'Player Data'!X931</f>
        <v>GFF (Georgian Football Federation) player registry</v>
      </c>
      <c r="AA931" s="19" t="str">
        <f aca="false">HYPERLINK("https://www.transfermarkt.com/schnellsuche/ergebnis/schnellsuche?query="&amp;SUBSTITUTE(A931," ","+"),"Search Transfermarkt")</f>
        <v>Search Transfermarkt</v>
      </c>
      <c r="AB931" s="29" t="n">
        <f aca="false">IFERROR('Player Data'!K931/('Player Data'!K931+'Player Data'!L931),0)</f>
        <v>0.75</v>
      </c>
      <c r="AC931" s="21" t="str">
        <f aca="false">IF(B931="GK",IF(AND(O931&gt;=Assumptions!$B$23,N931&gt;=Assumptions!$B$23),"Sweeper-Keeper / Build-from-the-Back",IF(O931&gt;=Assumptions!$B$23,"Sweeper-Keeper / High Line",IF(M931&gt;=Assumptions!$B$23,"Shot-Stopper / Traditional","Flexible / Multi-System"))),IF(AND(O931&gt;=Assumptions!$B$23,P931&gt;=Assumptions!$B$24),"High Press / Gegenpressing",IF(AND(N931&gt;=Assumptions!$B$23,AB931&gt;=Assumptions!$B$25),"Possession / Build-from-the-Back",IF(N931&gt;=Assumptions!$B$23,"Counter-Attack / Transition",IF(AND(O931&gt;=Assumptions!$B$23,N931&lt;Assumptions!$B$26),"Low Block / Park the Bus",IF(AND(B931="FW",M931&gt;=Assumptions!$B$23,N931&lt;Assumptions!$B$26),"Direct / Target Approach","Flexible / Multi-System"))))))</f>
        <v>Shot-Stopper / Traditional</v>
      </c>
      <c r="AD931" s="21" t="str">
        <f aca="false">'Player Data'!Y931</f>
        <v>2026-07-17</v>
      </c>
      <c r="AE931" s="21" t="str">
        <f aca="false">'Player Data'!Z931</f>
        <v>2026-07-17</v>
      </c>
      <c r="AF931" s="28" t="str">
        <f aca="false">IFERROR(INDEX(Assumptions!$B$30:$B$61,MATCH(C931,Assumptions!$A$30:$A$61,0)),"--")</f>
        <v>Turkey, Poland</v>
      </c>
      <c r="AG931" s="30" t="str">
        <f aca="false">IF(R931&gt;=0.7,"Step-Up Candidate",IF(R931&gt;=0.4,"Lateral Move","Stay &amp; Develop"))</f>
        <v>Step-Up Candidate</v>
      </c>
    </row>
    <row r="932" customFormat="false" ht="23.85" hidden="false" customHeight="false" outlineLevel="0" collapsed="false">
      <c r="A932" s="21" t="str">
        <f aca="false">'Player Data'!A932</f>
        <v>Mustafa Hassan</v>
      </c>
      <c r="B932" s="21" t="str">
        <f aca="false">'Player Data'!F932</f>
        <v>GK</v>
      </c>
      <c r="C932" s="21" t="str">
        <f aca="false">'Player Data'!B932</f>
        <v>Iraq</v>
      </c>
      <c r="D932" s="21" t="str">
        <f aca="false">'Player Data'!C932</f>
        <v>Iraq Amateur League</v>
      </c>
      <c r="E932" s="21" t="n">
        <f aca="false">'Player Data'!D932</f>
        <v>2</v>
      </c>
      <c r="F932" s="21" t="n">
        <f aca="false">'Player Data'!G932</f>
        <v>25</v>
      </c>
      <c r="G932" s="21" t="n">
        <f aca="false">'Player Data'!H932</f>
        <v>1065</v>
      </c>
      <c r="H932" s="22" t="n">
        <f aca="false">IF(B932="GK",IFERROR(('Player Data'!N932-1.5*'Player Data'!O932)/'Player Data'!H932*90,0),IFERROR(('Player Data'!I932+'Player Data'!J932)/'Player Data'!H932*90,0))</f>
        <v>0.971830985915493</v>
      </c>
      <c r="I932" s="22" t="n">
        <f aca="false">IF(B932="GK",'Player Data'!P932,IFERROR(('Player Data'!K932+'Player Data'!L932)/'Player Data'!H932*90,0))</f>
        <v>73.9</v>
      </c>
      <c r="J932" s="22" t="n">
        <f aca="false">IF(B932="GK",IFERROR('Player Data'!Q932/'Player Data'!H932*90,0),IFERROR('Player Data'!M932/'Player Data'!H932*90,0))</f>
        <v>1.49577464788732</v>
      </c>
      <c r="K932" s="23" t="n">
        <f aca="false">'Player Data'!S932</f>
        <v>63537</v>
      </c>
      <c r="L932" s="22" t="n">
        <f aca="false">INDEX(Assumptions!$B$13:$B$15,MATCH(E932,Assumptions!$A$13:$A$15,0))</f>
        <v>1</v>
      </c>
      <c r="M932" s="24" t="n">
        <f aca="false">IFERROR(SUMPRODUCT(($B$2:$B$1001=B932)*($H$2:$H$1001&lt;=H932))/SUMPRODUCT(($B$2:$B$1001=B932)*1),0)</f>
        <v>0.415300546448087</v>
      </c>
      <c r="N932" s="24" t="n">
        <f aca="false">IFERROR(SUMPRODUCT(($B$2:$B$1001=B932)*($I$2:$I$1001&lt;=I932))/SUMPRODUCT(($B$2:$B$1001=B932)*1),0)</f>
        <v>0.53551912568306</v>
      </c>
      <c r="O932" s="24" t="n">
        <f aca="false">IFERROR(SUMPRODUCT(($B$2:$B$1001=B932)*($J$2:$J$1001&lt;=J932))/SUMPRODUCT(($B$2:$B$1001=B932)*1),0)</f>
        <v>1</v>
      </c>
      <c r="P932" s="24" t="n">
        <f aca="false">IFERROR(SUMPRODUCT(($B$2:$B$1001=B932)*((0-$F$2:$F$1001)&lt;=(0-F932)))/SUMPRODUCT(($B$2:$B$1001=B932)*1),0)</f>
        <v>0.240437158469945</v>
      </c>
      <c r="Q932" s="25" t="n">
        <f aca="false">(M932*Assumptions!$B$5+N932*Assumptions!$B$6+O932*Assumptions!$B$7+P932*Assumptions!$B$8)*L932</f>
        <v>0.539344262295082</v>
      </c>
      <c r="R932" s="24" t="n">
        <f aca="false">IFERROR(SUMPRODUCT(($B$2:$B$1001=B932)*($Q$2:$Q$1001&lt;=Q932))/SUMPRODUCT(($B$2:$B$1001=B932)*1),0)</f>
        <v>0.721311475409836</v>
      </c>
      <c r="S932" s="24" t="n">
        <f aca="false">IFERROR(SUMPRODUCT(($B$2:$B$1001=B932)*($K$2:$K$1001&lt;=K932))/SUMPRODUCT(($B$2:$B$1001=B932)*1),0)</f>
        <v>0.486338797814208</v>
      </c>
      <c r="T932" s="26" t="n">
        <f aca="false">(R932-S932)*100</f>
        <v>23.4972677595628</v>
      </c>
      <c r="U932" s="21" t="str">
        <f aca="false">'Player Data'!T932</f>
        <v>No</v>
      </c>
      <c r="V932" s="27" t="n">
        <f aca="false">'Player Data'!U932</f>
        <v>2026</v>
      </c>
      <c r="W932" s="21" t="str">
        <f aca="false">IF(AND(T932&gt;=Assumptions!$B$19,U932="No"),"High Priority - Unrepresented",IF(T932&gt;=Assumptions!$B$19,"High Priority",IF(AND(T932&gt;=Assumptions!$B$20,U932="No"),"Watchlist - Unrepresented",IF(T932&gt;=Assumptions!$B$20,"Watchlist",""))))</f>
        <v>Watchlist - Unrepresented</v>
      </c>
      <c r="X932" s="21" t="str">
        <f aca="false">'Player Data'!V932</f>
        <v>info@najaffc.iq</v>
      </c>
      <c r="Y932" s="28" t="str">
        <f aca="false">'Player Data'!W932</f>
        <v>Club sporting director / first-team office</v>
      </c>
      <c r="Z932" s="28" t="str">
        <f aca="false">'Player Data'!X932</f>
        <v>IFA (Iraq Football Association) player registry</v>
      </c>
      <c r="AA932" s="19" t="str">
        <f aca="false">HYPERLINK("https://www.transfermarkt.com/schnellsuche/ergebnis/schnellsuche?query="&amp;SUBSTITUTE(A932," ","+"),"Search Transfermarkt")</f>
        <v>Search Transfermarkt</v>
      </c>
      <c r="AB932" s="29" t="n">
        <f aca="false">IFERROR('Player Data'!K932/('Player Data'!K932+'Player Data'!L932),0)</f>
        <v>0.818181818181818</v>
      </c>
      <c r="AC932" s="21" t="str">
        <f aca="false">IF(B932="GK",IF(AND(O932&gt;=Assumptions!$B$23,N932&gt;=Assumptions!$B$23),"Sweeper-Keeper / Build-from-the-Back",IF(O932&gt;=Assumptions!$B$23,"Sweeper-Keeper / High Line",IF(M932&gt;=Assumptions!$B$23,"Shot-Stopper / Traditional","Flexible / Multi-System"))),IF(AND(O932&gt;=Assumptions!$B$23,P932&gt;=Assumptions!$B$24),"High Press / Gegenpressing",IF(AND(N932&gt;=Assumptions!$B$23,AB932&gt;=Assumptions!$B$25),"Possession / Build-from-the-Back",IF(N932&gt;=Assumptions!$B$23,"Counter-Attack / Transition",IF(AND(O932&gt;=Assumptions!$B$23,N932&lt;Assumptions!$B$26),"Low Block / Park the Bus",IF(AND(B932="FW",M932&gt;=Assumptions!$B$23,N932&lt;Assumptions!$B$26),"Direct / Target Approach","Flexible / Multi-System"))))))</f>
        <v>Sweeper-Keeper / High Line</v>
      </c>
      <c r="AD932" s="21" t="str">
        <f aca="false">'Player Data'!Y932</f>
        <v>2026-07-17</v>
      </c>
      <c r="AE932" s="21" t="str">
        <f aca="false">'Player Data'!Z932</f>
        <v>2026-07-17</v>
      </c>
      <c r="AF932" s="28" t="str">
        <f aca="false">IFERROR(INDEX(Assumptions!$B$30:$B$61,MATCH(C932,Assumptions!$A$30:$A$61,0)),"--")</f>
        <v>Turkey, Saudi Arabia</v>
      </c>
      <c r="AG932" s="30" t="str">
        <f aca="false">IF(R932&gt;=0.7,"Step-Up Candidate",IF(R932&gt;=0.4,"Lateral Move","Stay &amp; Develop"))</f>
        <v>Step-Up Candidate</v>
      </c>
    </row>
    <row r="933" customFormat="false" ht="23.85" hidden="false" customHeight="false" outlineLevel="0" collapsed="false">
      <c r="A933" s="21" t="str">
        <f aca="false">'Player Data'!A933</f>
        <v>Yves Kouassi</v>
      </c>
      <c r="B933" s="21" t="str">
        <f aca="false">'Player Data'!F933</f>
        <v>DF</v>
      </c>
      <c r="C933" s="21" t="str">
        <f aca="false">'Player Data'!B933</f>
        <v>Ivory Coast</v>
      </c>
      <c r="D933" s="21" t="str">
        <f aca="false">'Player Data'!C933</f>
        <v>Ivory Coast Third Tier - North</v>
      </c>
      <c r="E933" s="21" t="n">
        <f aca="false">'Player Data'!D933</f>
        <v>4</v>
      </c>
      <c r="F933" s="21" t="n">
        <f aca="false">'Player Data'!G933</f>
        <v>19</v>
      </c>
      <c r="G933" s="21" t="n">
        <f aca="false">'Player Data'!H933</f>
        <v>1653</v>
      </c>
      <c r="H933" s="22" t="n">
        <f aca="false">IF(B933="GK",IFERROR(('Player Data'!N933-1.5*'Player Data'!O933)/'Player Data'!H933*90,0),IFERROR(('Player Data'!I933+'Player Data'!J933)/'Player Data'!H933*90,0))</f>
        <v>0.326678765880218</v>
      </c>
      <c r="I933" s="22" t="n">
        <f aca="false">IF(B933="GK",'Player Data'!P933,IFERROR(('Player Data'!K933+'Player Data'!L933)/'Player Data'!H933*90,0))</f>
        <v>3.75680580762251</v>
      </c>
      <c r="J933" s="22" t="n">
        <f aca="false">IF(B933="GK",IFERROR('Player Data'!Q933/'Player Data'!H933*90,0),IFERROR('Player Data'!M933/'Player Data'!H933*90,0))</f>
        <v>5.71687840290381</v>
      </c>
      <c r="K933" s="23" t="n">
        <f aca="false">'Player Data'!S933</f>
        <v>23578</v>
      </c>
      <c r="L933" s="22" t="n">
        <f aca="false">INDEX(Assumptions!$B$13:$B$15,MATCH(E933,Assumptions!$A$13:$A$15,0))</f>
        <v>0.7</v>
      </c>
      <c r="M933" s="24" t="n">
        <f aca="false">IFERROR(SUMPRODUCT(($B$2:$B$1001=B933)*($H$2:$H$1001&lt;=H933))/SUMPRODUCT(($B$2:$B$1001=B933)*1),0)</f>
        <v>0.819727891156463</v>
      </c>
      <c r="N933" s="24" t="n">
        <f aca="false">IFERROR(SUMPRODUCT(($B$2:$B$1001=B933)*($I$2:$I$1001&lt;=I933))/SUMPRODUCT(($B$2:$B$1001=B933)*1),0)</f>
        <v>0.340136054421769</v>
      </c>
      <c r="O933" s="24" t="n">
        <f aca="false">IFERROR(SUMPRODUCT(($B$2:$B$1001=B933)*($J$2:$J$1001&lt;=J933))/SUMPRODUCT(($B$2:$B$1001=B933)*1),0)</f>
        <v>0.557823129251701</v>
      </c>
      <c r="P933" s="24" t="n">
        <f aca="false">IFERROR(SUMPRODUCT(($B$2:$B$1001=B933)*((0-$F$2:$F$1001)&lt;=(0-F933)))/SUMPRODUCT(($B$2:$B$1001=B933)*1),0)</f>
        <v>0.738095238095238</v>
      </c>
      <c r="Q933" s="25" t="n">
        <f aca="false">(M933*Assumptions!$B$5+N933*Assumptions!$B$6+O933*Assumptions!$B$7+P933*Assumptions!$B$8)*L933</f>
        <v>0.408214285714286</v>
      </c>
      <c r="R933" s="24" t="n">
        <f aca="false">IFERROR(SUMPRODUCT(($B$2:$B$1001=B933)*($Q$2:$Q$1001&lt;=Q933))/SUMPRODUCT(($B$2:$B$1001=B933)*1),0)</f>
        <v>0.476190476190476</v>
      </c>
      <c r="S933" s="24" t="n">
        <f aca="false">IFERROR(SUMPRODUCT(($B$2:$B$1001=B933)*($K$2:$K$1001&lt;=K933))/SUMPRODUCT(($B$2:$B$1001=B933)*1),0)</f>
        <v>0.326530612244898</v>
      </c>
      <c r="T933" s="26" t="n">
        <f aca="false">(R933-S933)*100</f>
        <v>14.9659863945578</v>
      </c>
      <c r="U933" s="21" t="str">
        <f aca="false">'Player Data'!T933</f>
        <v>Unknown</v>
      </c>
      <c r="V933" s="27" t="n">
        <f aca="false">'Player Data'!U933</f>
        <v>2026</v>
      </c>
      <c r="W933" s="21" t="str">
        <f aca="false">IF(AND(T933&gt;=Assumptions!$B$19,U933="No"),"High Priority - Unrepresented",IF(T933&gt;=Assumptions!$B$19,"High Priority",IF(AND(T933&gt;=Assumptions!$B$20,U933="No"),"Watchlist - Unrepresented",IF(T933&gt;=Assumptions!$B$20,"Watchlist",""))))</f>
        <v/>
      </c>
      <c r="X933" s="21" t="str">
        <f aca="false">'Player Data'!V933</f>
        <v>info@yamoussoukrounited.ci</v>
      </c>
      <c r="Y933" s="28" t="str">
        <f aca="false">'Player Data'!W933</f>
        <v>Club sporting director / first-team office</v>
      </c>
      <c r="Z933" s="28" t="str">
        <f aca="false">'Player Data'!X933</f>
        <v>FIF (Ivorian Football Federation) player registry</v>
      </c>
      <c r="AA933" s="19" t="str">
        <f aca="false">HYPERLINK("https://www.transfermarkt.com/schnellsuche/ergebnis/schnellsuche?query="&amp;SUBSTITUTE(A933," ","+"),"Search Transfermarkt")</f>
        <v>Search Transfermarkt</v>
      </c>
      <c r="AB933" s="29" t="n">
        <f aca="false">IFERROR('Player Data'!K933/('Player Data'!K933+'Player Data'!L933),0)</f>
        <v>0.579710144927536</v>
      </c>
      <c r="AC933" s="21" t="str">
        <f aca="false">IF(B933="GK",IF(AND(O933&gt;=Assumptions!$B$23,N933&gt;=Assumptions!$B$23),"Sweeper-Keeper / Build-from-the-Back",IF(O933&gt;=Assumptions!$B$23,"Sweeper-Keeper / High Line",IF(M933&gt;=Assumptions!$B$23,"Shot-Stopper / Traditional","Flexible / Multi-System"))),IF(AND(O933&gt;=Assumptions!$B$23,P933&gt;=Assumptions!$B$24),"High Press / Gegenpressing",IF(AND(N933&gt;=Assumptions!$B$23,AB933&gt;=Assumptions!$B$25),"Possession / Build-from-the-Back",IF(N933&gt;=Assumptions!$B$23,"Counter-Attack / Transition",IF(AND(O933&gt;=Assumptions!$B$23,N933&lt;Assumptions!$B$26),"Low Block / Park the Bus",IF(AND(B933="FW",M933&gt;=Assumptions!$B$23,N933&lt;Assumptions!$B$26),"Direct / Target Approach","Flexible / Multi-System"))))))</f>
        <v>Flexible / Multi-System</v>
      </c>
      <c r="AD933" s="21" t="str">
        <f aca="false">'Player Data'!Y933</f>
        <v>2026-07-17</v>
      </c>
      <c r="AE933" s="21" t="str">
        <f aca="false">'Player Data'!Z933</f>
        <v>2026-07-17</v>
      </c>
      <c r="AF933" s="28" t="str">
        <f aca="false">IFERROR(INDEX(Assumptions!$B$30:$B$61,MATCH(C933,Assumptions!$A$30:$A$61,0)),"--")</f>
        <v>Belgium, Portugal</v>
      </c>
      <c r="AG933" s="30" t="str">
        <f aca="false">IF(R933&gt;=0.7,"Step-Up Candidate",IF(R933&gt;=0.4,"Lateral Move","Stay &amp; Develop"))</f>
        <v>Lateral Move</v>
      </c>
    </row>
    <row r="934" customFormat="false" ht="23.85" hidden="false" customHeight="false" outlineLevel="0" collapsed="false">
      <c r="A934" s="21" t="str">
        <f aca="false">'Player Data'!A934</f>
        <v>Toni Radic</v>
      </c>
      <c r="B934" s="21" t="str">
        <f aca="false">'Player Data'!F934</f>
        <v>GK</v>
      </c>
      <c r="C934" s="21" t="str">
        <f aca="false">'Player Data'!B934</f>
        <v>Croatia</v>
      </c>
      <c r="D934" s="21" t="str">
        <f aca="false">'Player Data'!C934</f>
        <v>Croatia Regional League</v>
      </c>
      <c r="E934" s="21" t="n">
        <f aca="false">'Player Data'!D934</f>
        <v>3</v>
      </c>
      <c r="F934" s="21" t="n">
        <f aca="false">'Player Data'!G934</f>
        <v>22</v>
      </c>
      <c r="G934" s="21" t="n">
        <f aca="false">'Player Data'!H934</f>
        <v>2290</v>
      </c>
      <c r="H934" s="22" t="n">
        <f aca="false">IF(B934="GK",IFERROR(('Player Data'!N934-1.5*'Player Data'!O934)/'Player Data'!H934*90,0),IFERROR(('Player Data'!I934+'Player Data'!J934)/'Player Data'!H934*90,0))</f>
        <v>1.23799126637555</v>
      </c>
      <c r="I934" s="22" t="n">
        <f aca="false">IF(B934="GK",'Player Data'!P934,IFERROR(('Player Data'!K934+'Player Data'!L934)/'Player Data'!H934*90,0))</f>
        <v>76.5</v>
      </c>
      <c r="J934" s="22" t="n">
        <f aca="false">IF(B934="GK",IFERROR('Player Data'!Q934/'Player Data'!H934*90,0),IFERROR('Player Data'!M934/'Player Data'!H934*90,0))</f>
        <v>0.224017467248908</v>
      </c>
      <c r="K934" s="23" t="n">
        <f aca="false">'Player Data'!S934</f>
        <v>0</v>
      </c>
      <c r="L934" s="22" t="n">
        <f aca="false">INDEX(Assumptions!$B$13:$B$15,MATCH(E934,Assumptions!$A$13:$A$15,0))</f>
        <v>0.85</v>
      </c>
      <c r="M934" s="24" t="n">
        <f aca="false">IFERROR(SUMPRODUCT(($B$2:$B$1001=B934)*($H$2:$H$1001&lt;=H934))/SUMPRODUCT(($B$2:$B$1001=B934)*1),0)</f>
        <v>0.546448087431694</v>
      </c>
      <c r="N934" s="24" t="n">
        <f aca="false">IFERROR(SUMPRODUCT(($B$2:$B$1001=B934)*($I$2:$I$1001&lt;=I934))/SUMPRODUCT(($B$2:$B$1001=B934)*1),0)</f>
        <v>0.60655737704918</v>
      </c>
      <c r="O934" s="24" t="n">
        <f aca="false">IFERROR(SUMPRODUCT(($B$2:$B$1001=B934)*($J$2:$J$1001&lt;=J934))/SUMPRODUCT(($B$2:$B$1001=B934)*1),0)</f>
        <v>0.0710382513661202</v>
      </c>
      <c r="P934" s="24" t="n">
        <f aca="false">IFERROR(SUMPRODUCT(($B$2:$B$1001=B934)*((0-$F$2:$F$1001)&lt;=(0-F934)))/SUMPRODUCT(($B$2:$B$1001=B934)*1),0)</f>
        <v>0.530054644808743</v>
      </c>
      <c r="Q934" s="25" t="n">
        <f aca="false">(M934*Assumptions!$B$5+N934*Assumptions!$B$6+O934*Assumptions!$B$7+P934*Assumptions!$B$8)*L934</f>
        <v>0.398756830601093</v>
      </c>
      <c r="R934" s="24" t="n">
        <f aca="false">IFERROR(SUMPRODUCT(($B$2:$B$1001=B934)*($Q$2:$Q$1001&lt;=Q934))/SUMPRODUCT(($B$2:$B$1001=B934)*1),0)</f>
        <v>0.355191256830601</v>
      </c>
      <c r="S934" s="24" t="n">
        <f aca="false">IFERROR(SUMPRODUCT(($B$2:$B$1001=B934)*($K$2:$K$1001&lt;=K934))/SUMPRODUCT(($B$2:$B$1001=B934)*1),0)</f>
        <v>0.218579234972678</v>
      </c>
      <c r="T934" s="26" t="n">
        <f aca="false">(R934-S934)*100</f>
        <v>13.6612021857924</v>
      </c>
      <c r="U934" s="21" t="str">
        <f aca="false">'Player Data'!T934</f>
        <v>No</v>
      </c>
      <c r="V934" s="27" t="n">
        <f aca="false">'Player Data'!U934</f>
        <v>2027</v>
      </c>
      <c r="W934" s="21" t="str">
        <f aca="false">IF(AND(T934&gt;=Assumptions!$B$19,U934="No"),"High Priority - Unrepresented",IF(T934&gt;=Assumptions!$B$19,"High Priority",IF(AND(T934&gt;=Assumptions!$B$20,U934="No"),"Watchlist - Unrepresented",IF(T934&gt;=Assumptions!$B$20,"Watchlist",""))))</f>
        <v/>
      </c>
      <c r="X934" s="21" t="str">
        <f aca="false">'Player Data'!V934</f>
        <v>info@osijekfc.hr</v>
      </c>
      <c r="Y934" s="28" t="str">
        <f aca="false">'Player Data'!W934</f>
        <v>Club sporting director / first-team office</v>
      </c>
      <c r="Z934" s="28" t="str">
        <f aca="false">'Player Data'!X934</f>
        <v>HNS (Croatian Football Federation) player registry</v>
      </c>
      <c r="AA934" s="19" t="str">
        <f aca="false">HYPERLINK("https://www.transfermarkt.com/schnellsuche/ergebnis/schnellsuche?query="&amp;SUBSTITUTE(A934," ","+"),"Search Transfermarkt")</f>
        <v>Search Transfermarkt</v>
      </c>
      <c r="AB934" s="29" t="n">
        <f aca="false">IFERROR('Player Data'!K934/('Player Data'!K934+'Player Data'!L934),0)</f>
        <v>0.6</v>
      </c>
      <c r="AC934" s="21" t="str">
        <f aca="false">IF(B934="GK",IF(AND(O934&gt;=Assumptions!$B$23,N934&gt;=Assumptions!$B$23),"Sweeper-Keeper / Build-from-the-Back",IF(O934&gt;=Assumptions!$B$23,"Sweeper-Keeper / High Line",IF(M934&gt;=Assumptions!$B$23,"Shot-Stopper / Traditional","Flexible / Multi-System"))),IF(AND(O934&gt;=Assumptions!$B$23,P934&gt;=Assumptions!$B$24),"High Press / Gegenpressing",IF(AND(N934&gt;=Assumptions!$B$23,AB934&gt;=Assumptions!$B$25),"Possession / Build-from-the-Back",IF(N934&gt;=Assumptions!$B$23,"Counter-Attack / Transition",IF(AND(O934&gt;=Assumptions!$B$23,N934&lt;Assumptions!$B$26),"Low Block / Park the Bus",IF(AND(B934="FW",M934&gt;=Assumptions!$B$23,N934&lt;Assumptions!$B$26),"Direct / Target Approach","Flexible / Multi-System"))))))</f>
        <v>Flexible / Multi-System</v>
      </c>
      <c r="AD934" s="21" t="str">
        <f aca="false">'Player Data'!Y934</f>
        <v>2026-07-17</v>
      </c>
      <c r="AE934" s="21" t="str">
        <f aca="false">'Player Data'!Z934</f>
        <v>2026-07-17</v>
      </c>
      <c r="AF934" s="28" t="str">
        <f aca="false">IFERROR(INDEX(Assumptions!$B$30:$B$61,MATCH(C934,Assumptions!$A$30:$A$61,0)),"--")</f>
        <v>Austria, Turkey</v>
      </c>
      <c r="AG934" s="30" t="str">
        <f aca="false">IF(R934&gt;=0.7,"Step-Up Candidate",IF(R934&gt;=0.4,"Lateral Move","Stay &amp; Develop"))</f>
        <v>Stay &amp; Develop</v>
      </c>
    </row>
    <row r="935" customFormat="false" ht="23.85" hidden="false" customHeight="false" outlineLevel="0" collapsed="false">
      <c r="A935" s="21" t="str">
        <f aca="false">'Player Data'!A935</f>
        <v>Marlon Mejia</v>
      </c>
      <c r="B935" s="21" t="str">
        <f aca="false">'Player Data'!F935</f>
        <v>MF</v>
      </c>
      <c r="C935" s="21" t="str">
        <f aca="false">'Player Data'!B935</f>
        <v>Honduras</v>
      </c>
      <c r="D935" s="21" t="str">
        <f aca="false">'Player Data'!C935</f>
        <v>Honduras Second Division - West</v>
      </c>
      <c r="E935" s="21" t="n">
        <f aca="false">'Player Data'!D935</f>
        <v>4</v>
      </c>
      <c r="F935" s="21" t="n">
        <f aca="false">'Player Data'!G935</f>
        <v>20</v>
      </c>
      <c r="G935" s="21" t="n">
        <f aca="false">'Player Data'!H935</f>
        <v>2634</v>
      </c>
      <c r="H935" s="22" t="n">
        <f aca="false">IF(B935="GK",IFERROR(('Player Data'!N935-1.5*'Player Data'!O935)/'Player Data'!H935*90,0),IFERROR(('Player Data'!I935+'Player Data'!J935)/'Player Data'!H935*90,0))</f>
        <v>0.683371298405467</v>
      </c>
      <c r="I935" s="22" t="n">
        <f aca="false">IF(B935="GK",'Player Data'!P935,IFERROR(('Player Data'!K935+'Player Data'!L935)/'Player Data'!H935*90,0))</f>
        <v>8.37129840546697</v>
      </c>
      <c r="J935" s="22" t="n">
        <f aca="false">IF(B935="GK",IFERROR('Player Data'!Q935/'Player Data'!H935*90,0),IFERROR('Player Data'!M935/'Player Data'!H935*90,0))</f>
        <v>1.33257403189066</v>
      </c>
      <c r="K935" s="23" t="n">
        <f aca="false">'Player Data'!S935</f>
        <v>125440</v>
      </c>
      <c r="L935" s="22" t="n">
        <f aca="false">INDEX(Assumptions!$B$13:$B$15,MATCH(E935,Assumptions!$A$13:$A$15,0))</f>
        <v>0.7</v>
      </c>
      <c r="M935" s="24" t="n">
        <f aca="false">IFERROR(SUMPRODUCT(($B$2:$B$1001=B935)*($H$2:$H$1001&lt;=H935))/SUMPRODUCT(($B$2:$B$1001=B935)*1),0)</f>
        <v>0.434343434343434</v>
      </c>
      <c r="N935" s="24" t="n">
        <f aca="false">IFERROR(SUMPRODUCT(($B$2:$B$1001=B935)*($I$2:$I$1001&lt;=I935))/SUMPRODUCT(($B$2:$B$1001=B935)*1),0)</f>
        <v>0.198653198653199</v>
      </c>
      <c r="O935" s="24" t="n">
        <f aca="false">IFERROR(SUMPRODUCT(($B$2:$B$1001=B935)*($J$2:$J$1001&lt;=J935))/SUMPRODUCT(($B$2:$B$1001=B935)*1),0)</f>
        <v>0.104377104377104</v>
      </c>
      <c r="P935" s="24" t="n">
        <f aca="false">IFERROR(SUMPRODUCT(($B$2:$B$1001=B935)*((0-$F$2:$F$1001)&lt;=(0-F935)))/SUMPRODUCT(($B$2:$B$1001=B935)*1),0)</f>
        <v>0.734006734006734</v>
      </c>
      <c r="Q935" s="25" t="n">
        <f aca="false">(M935*Assumptions!$B$5+N935*Assumptions!$B$6+O935*Assumptions!$B$7+P935*Assumptions!$B$8)*L935</f>
        <v>0.242053872053872</v>
      </c>
      <c r="R935" s="24" t="n">
        <f aca="false">IFERROR(SUMPRODUCT(($B$2:$B$1001=B935)*($Q$2:$Q$1001&lt;=Q935))/SUMPRODUCT(($B$2:$B$1001=B935)*1),0)</f>
        <v>0.161616161616162</v>
      </c>
      <c r="S935" s="24" t="n">
        <f aca="false">IFERROR(SUMPRODUCT(($B$2:$B$1001=B935)*($K$2:$K$1001&lt;=K935))/SUMPRODUCT(($B$2:$B$1001=B935)*1),0)</f>
        <v>0.882154882154882</v>
      </c>
      <c r="T935" s="26" t="n">
        <f aca="false">(R935-S935)*100</f>
        <v>-72.053872053872</v>
      </c>
      <c r="U935" s="21" t="str">
        <f aca="false">'Player Data'!T935</f>
        <v>Unknown</v>
      </c>
      <c r="V935" s="27" t="n">
        <f aca="false">'Player Data'!U935</f>
        <v>2026</v>
      </c>
      <c r="W935" s="21" t="str">
        <f aca="false">IF(AND(T935&gt;=Assumptions!$B$19,U935="No"),"High Priority - Unrepresented",IF(T935&gt;=Assumptions!$B$19,"High Priority",IF(AND(T935&gt;=Assumptions!$B$20,U935="No"),"Watchlist - Unrepresented",IF(T935&gt;=Assumptions!$B$20,"Watchlist",""))))</f>
        <v/>
      </c>
      <c r="X935" s="21" t="str">
        <f aca="false">'Player Data'!V935</f>
        <v>info@sanpedrosularovers.hn</v>
      </c>
      <c r="Y935" s="28" t="str">
        <f aca="false">'Player Data'!W935</f>
        <v>Club sporting director / first-team office</v>
      </c>
      <c r="Z935" s="28" t="str">
        <f aca="false">'Player Data'!X935</f>
        <v>FENAFUTH (Honduran Football Federation) player registry</v>
      </c>
      <c r="AA935" s="19" t="str">
        <f aca="false">HYPERLINK("https://www.transfermarkt.com/schnellsuche/ergebnis/schnellsuche?query="&amp;SUBSTITUTE(A935," ","+"),"Search Transfermarkt")</f>
        <v>Search Transfermarkt</v>
      </c>
      <c r="AB935" s="29" t="n">
        <f aca="false">IFERROR('Player Data'!K935/('Player Data'!K935+'Player Data'!L935),0)</f>
        <v>0.616326530612245</v>
      </c>
      <c r="AC935" s="21" t="str">
        <f aca="false">IF(B935="GK",IF(AND(O935&gt;=Assumptions!$B$23,N935&gt;=Assumptions!$B$23),"Sweeper-Keeper / Build-from-the-Back",IF(O935&gt;=Assumptions!$B$23,"Sweeper-Keeper / High Line",IF(M935&gt;=Assumptions!$B$23,"Shot-Stopper / Traditional","Flexible / Multi-System"))),IF(AND(O935&gt;=Assumptions!$B$23,P935&gt;=Assumptions!$B$24),"High Press / Gegenpressing",IF(AND(N935&gt;=Assumptions!$B$23,AB935&gt;=Assumptions!$B$25),"Possession / Build-from-the-Back",IF(N935&gt;=Assumptions!$B$23,"Counter-Attack / Transition",IF(AND(O935&gt;=Assumptions!$B$23,N935&lt;Assumptions!$B$26),"Low Block / Park the Bus",IF(AND(B935="FW",M935&gt;=Assumptions!$B$23,N935&lt;Assumptions!$B$26),"Direct / Target Approach","Flexible / Multi-System"))))))</f>
        <v>Flexible / Multi-System</v>
      </c>
      <c r="AD935" s="21" t="str">
        <f aca="false">'Player Data'!Y935</f>
        <v>2026-07-17</v>
      </c>
      <c r="AE935" s="21" t="str">
        <f aca="false">'Player Data'!Z935</f>
        <v>2026-07-17</v>
      </c>
      <c r="AF935" s="28" t="str">
        <f aca="false">IFERROR(INDEX(Assumptions!$B$30:$B$61,MATCH(C935,Assumptions!$A$30:$A$61,0)),"--")</f>
        <v>Mexico, United States</v>
      </c>
      <c r="AG935" s="30" t="str">
        <f aca="false">IF(R935&gt;=0.7,"Step-Up Candidate",IF(R935&gt;=0.4,"Lateral Move","Stay &amp; Develop"))</f>
        <v>Stay &amp; Develop</v>
      </c>
    </row>
    <row r="936" customFormat="false" ht="23.85" hidden="false" customHeight="false" outlineLevel="0" collapsed="false">
      <c r="A936" s="21" t="str">
        <f aca="false">'Player Data'!A936</f>
        <v>Liam Clarke</v>
      </c>
      <c r="B936" s="21" t="str">
        <f aca="false">'Player Data'!F936</f>
        <v>MF</v>
      </c>
      <c r="C936" s="21" t="str">
        <f aca="false">'Player Data'!B936</f>
        <v>New Zealand</v>
      </c>
      <c r="D936" s="21" t="str">
        <f aca="false">'Player Data'!C936</f>
        <v>New Zealand Reserve League</v>
      </c>
      <c r="E936" s="21" t="n">
        <f aca="false">'Player Data'!D936</f>
        <v>4</v>
      </c>
      <c r="F936" s="21" t="n">
        <f aca="false">'Player Data'!G936</f>
        <v>26</v>
      </c>
      <c r="G936" s="21" t="n">
        <f aca="false">'Player Data'!H936</f>
        <v>1171</v>
      </c>
      <c r="H936" s="22" t="n">
        <f aca="false">IF(B936="GK",IFERROR(('Player Data'!N936-1.5*'Player Data'!O936)/'Player Data'!H936*90,0),IFERROR(('Player Data'!I936+'Player Data'!J936)/'Player Data'!H936*90,0))</f>
        <v>0.922288642186166</v>
      </c>
      <c r="I936" s="22" t="n">
        <f aca="false">IF(B936="GK",'Player Data'!P936,IFERROR(('Player Data'!K936+'Player Data'!L936)/'Player Data'!H936*90,0))</f>
        <v>15.9863364645602</v>
      </c>
      <c r="J936" s="22" t="n">
        <f aca="false">IF(B936="GK",IFERROR('Player Data'!Q936/'Player Data'!H936*90,0),IFERROR('Player Data'!M936/'Player Data'!H936*90,0))</f>
        <v>3.38172502134927</v>
      </c>
      <c r="K936" s="23" t="n">
        <f aca="false">'Player Data'!S936</f>
        <v>0</v>
      </c>
      <c r="L936" s="22" t="n">
        <f aca="false">INDEX(Assumptions!$B$13:$B$15,MATCH(E936,Assumptions!$A$13:$A$15,0))</f>
        <v>0.7</v>
      </c>
      <c r="M936" s="24" t="n">
        <f aca="false">IFERROR(SUMPRODUCT(($B$2:$B$1001=B936)*($H$2:$H$1001&lt;=H936))/SUMPRODUCT(($B$2:$B$1001=B936)*1),0)</f>
        <v>0.7003367003367</v>
      </c>
      <c r="N936" s="24" t="n">
        <f aca="false">IFERROR(SUMPRODUCT(($B$2:$B$1001=B936)*($I$2:$I$1001&lt;=I936))/SUMPRODUCT(($B$2:$B$1001=B936)*1),0)</f>
        <v>0.794612794612795</v>
      </c>
      <c r="O936" s="24" t="n">
        <f aca="false">IFERROR(SUMPRODUCT(($B$2:$B$1001=B936)*($J$2:$J$1001&lt;=J936))/SUMPRODUCT(($B$2:$B$1001=B936)*1),0)</f>
        <v>0.824915824915825</v>
      </c>
      <c r="P936" s="24" t="n">
        <f aca="false">IFERROR(SUMPRODUCT(($B$2:$B$1001=B936)*((0-$F$2:$F$1001)&lt;=(0-F936)))/SUMPRODUCT(($B$2:$B$1001=B936)*1),0)</f>
        <v>0.0909090909090909</v>
      </c>
      <c r="Q936" s="25" t="n">
        <f aca="false">(M936*Assumptions!$B$5+N936*Assumptions!$B$6+O936*Assumptions!$B$7+P936*Assumptions!$B$8)*L936</f>
        <v>0.445454545454545</v>
      </c>
      <c r="R936" s="24" t="n">
        <f aca="false">IFERROR(SUMPRODUCT(($B$2:$B$1001=B936)*($Q$2:$Q$1001&lt;=Q936))/SUMPRODUCT(($B$2:$B$1001=B936)*1),0)</f>
        <v>0.528619528619529</v>
      </c>
      <c r="S936" s="24" t="n">
        <f aca="false">IFERROR(SUMPRODUCT(($B$2:$B$1001=B936)*($K$2:$K$1001&lt;=K936))/SUMPRODUCT(($B$2:$B$1001=B936)*1),0)</f>
        <v>0.228956228956229</v>
      </c>
      <c r="T936" s="26" t="n">
        <f aca="false">(R936-S936)*100</f>
        <v>29.96632996633</v>
      </c>
      <c r="U936" s="21" t="str">
        <f aca="false">'Player Data'!T936</f>
        <v>Yes</v>
      </c>
      <c r="V936" s="27" t="n">
        <f aca="false">'Player Data'!U936</f>
        <v>2028</v>
      </c>
      <c r="W936" s="21" t="str">
        <f aca="false">IF(AND(T936&gt;=Assumptions!$B$19,U936="No"),"High Priority - Unrepresented",IF(T936&gt;=Assumptions!$B$19,"High Priority",IF(AND(T936&gt;=Assumptions!$B$20,U936="No"),"Watchlist - Unrepresented",IF(T936&gt;=Assumptions!$B$20,"Watchlist",""))))</f>
        <v>Watchlist</v>
      </c>
      <c r="X936" s="21" t="str">
        <f aca="false">'Player Data'!V936</f>
        <v>info@wellingtonfc.nz</v>
      </c>
      <c r="Y936" s="28" t="str">
        <f aca="false">'Player Data'!W936</f>
        <v>Go through the player's agent - ask the club to confirm representation first</v>
      </c>
      <c r="Z936" s="28" t="str">
        <f aca="false">'Player Data'!X936</f>
        <v>NZF (New Zealand Football) player registry</v>
      </c>
      <c r="AA936" s="19" t="str">
        <f aca="false">HYPERLINK("https://www.transfermarkt.com/schnellsuche/ergebnis/schnellsuche?query="&amp;SUBSTITUTE(A936," ","+"),"Search Transfermarkt")</f>
        <v>Search Transfermarkt</v>
      </c>
      <c r="AB936" s="29" t="n">
        <f aca="false">IFERROR('Player Data'!K936/('Player Data'!K936+'Player Data'!L936),0)</f>
        <v>0.567307692307692</v>
      </c>
      <c r="AC936" s="21" t="str">
        <f aca="false">IF(B936="GK",IF(AND(O936&gt;=Assumptions!$B$23,N936&gt;=Assumptions!$B$23),"Sweeper-Keeper / Build-from-the-Back",IF(O936&gt;=Assumptions!$B$23,"Sweeper-Keeper / High Line",IF(M936&gt;=Assumptions!$B$23,"Shot-Stopper / Traditional","Flexible / Multi-System"))),IF(AND(O936&gt;=Assumptions!$B$23,P936&gt;=Assumptions!$B$24),"High Press / Gegenpressing",IF(AND(N936&gt;=Assumptions!$B$23,AB936&gt;=Assumptions!$B$25),"Possession / Build-from-the-Back",IF(N936&gt;=Assumptions!$B$23,"Counter-Attack / Transition",IF(AND(O936&gt;=Assumptions!$B$23,N936&lt;Assumptions!$B$26),"Low Block / Park the Bus",IF(AND(B936="FW",M936&gt;=Assumptions!$B$23,N936&lt;Assumptions!$B$26),"Direct / Target Approach","Flexible / Multi-System"))))))</f>
        <v>Counter-Attack / Transition</v>
      </c>
      <c r="AD936" s="21" t="str">
        <f aca="false">'Player Data'!Y936</f>
        <v>2026-07-17</v>
      </c>
      <c r="AE936" s="21" t="str">
        <f aca="false">'Player Data'!Z936</f>
        <v>2026-07-17</v>
      </c>
      <c r="AF936" s="28" t="str">
        <f aca="false">IFERROR(INDEX(Assumptions!$B$30:$B$61,MATCH(C936,Assumptions!$A$30:$A$61,0)),"--")</f>
        <v>Australia, United States</v>
      </c>
      <c r="AG936" s="30" t="str">
        <f aca="false">IF(R936&gt;=0.7,"Step-Up Candidate",IF(R936&gt;=0.4,"Lateral Move","Stay &amp; Develop"))</f>
        <v>Lateral Move</v>
      </c>
    </row>
    <row r="937" customFormat="false" ht="23.85" hidden="false" customHeight="false" outlineLevel="0" collapsed="false">
      <c r="A937" s="21" t="str">
        <f aca="false">'Player Data'!A937</f>
        <v>Samuel Onana</v>
      </c>
      <c r="B937" s="21" t="str">
        <f aca="false">'Player Data'!F937</f>
        <v>FW</v>
      </c>
      <c r="C937" s="21" t="str">
        <f aca="false">'Player Data'!B937</f>
        <v>Cameroon</v>
      </c>
      <c r="D937" s="21" t="str">
        <f aca="false">'Player Data'!C937</f>
        <v>Cameroon Third Tier - North</v>
      </c>
      <c r="E937" s="21" t="n">
        <f aca="false">'Player Data'!D937</f>
        <v>2</v>
      </c>
      <c r="F937" s="21" t="n">
        <f aca="false">'Player Data'!G937</f>
        <v>18</v>
      </c>
      <c r="G937" s="21" t="n">
        <f aca="false">'Player Data'!H937</f>
        <v>2217</v>
      </c>
      <c r="H937" s="22" t="n">
        <f aca="false">IF(B937="GK",IFERROR(('Player Data'!N937-1.5*'Player Data'!O937)/'Player Data'!H937*90,0),IFERROR(('Player Data'!I937+'Player Data'!J937)/'Player Data'!H937*90,0))</f>
        <v>0.974289580514208</v>
      </c>
      <c r="I937" s="22" t="n">
        <f aca="false">IF(B937="GK",'Player Data'!P937,IFERROR(('Player Data'!K937+'Player Data'!L937)/'Player Data'!H937*90,0))</f>
        <v>5.23680649526387</v>
      </c>
      <c r="J937" s="22" t="n">
        <f aca="false">IF(B937="GK",IFERROR('Player Data'!Q937/'Player Data'!H937*90,0),IFERROR('Player Data'!M937/'Player Data'!H937*90,0))</f>
        <v>0.324763193504736</v>
      </c>
      <c r="K937" s="23" t="n">
        <f aca="false">'Player Data'!S937</f>
        <v>48109</v>
      </c>
      <c r="L937" s="22" t="n">
        <f aca="false">INDEX(Assumptions!$B$13:$B$15,MATCH(E937,Assumptions!$A$13:$A$15,0))</f>
        <v>1</v>
      </c>
      <c r="M937" s="24" t="n">
        <f aca="false">IFERROR(SUMPRODUCT(($B$2:$B$1001=B937)*($H$2:$H$1001&lt;=H937))/SUMPRODUCT(($B$2:$B$1001=B937)*1),0)</f>
        <v>0.5</v>
      </c>
      <c r="N937" s="24" t="n">
        <f aca="false">IFERROR(SUMPRODUCT(($B$2:$B$1001=B937)*($I$2:$I$1001&lt;=I937))/SUMPRODUCT(($B$2:$B$1001=B937)*1),0)</f>
        <v>0.256637168141593</v>
      </c>
      <c r="O937" s="24" t="n">
        <f aca="false">IFERROR(SUMPRODUCT(($B$2:$B$1001=B937)*($J$2:$J$1001&lt;=J937))/SUMPRODUCT(($B$2:$B$1001=B937)*1),0)</f>
        <v>0.207964601769912</v>
      </c>
      <c r="P937" s="24" t="n">
        <f aca="false">IFERROR(SUMPRODUCT(($B$2:$B$1001=B937)*((0-$F$2:$F$1001)&lt;=(0-F937)))/SUMPRODUCT(($B$2:$B$1001=B937)*1),0)</f>
        <v>0.915929203539823</v>
      </c>
      <c r="Q937" s="25" t="n">
        <f aca="false">(M937*Assumptions!$B$5+N937*Assumptions!$B$6+O937*Assumptions!$B$7+P937*Assumptions!$B$8)*L937</f>
        <v>0.439601769911504</v>
      </c>
      <c r="R937" s="24" t="n">
        <f aca="false">IFERROR(SUMPRODUCT(($B$2:$B$1001=B937)*($Q$2:$Q$1001&lt;=Q937))/SUMPRODUCT(($B$2:$B$1001=B937)*1),0)</f>
        <v>0.495575221238938</v>
      </c>
      <c r="S937" s="24" t="n">
        <f aca="false">IFERROR(SUMPRODUCT(($B$2:$B$1001=B937)*($K$2:$K$1001&lt;=K937))/SUMPRODUCT(($B$2:$B$1001=B937)*1),0)</f>
        <v>0.446902654867257</v>
      </c>
      <c r="T937" s="26" t="n">
        <f aca="false">(R937-S937)*100</f>
        <v>4.86725663716814</v>
      </c>
      <c r="U937" s="21" t="str">
        <f aca="false">'Player Data'!T937</f>
        <v>No</v>
      </c>
      <c r="V937" s="27" t="n">
        <f aca="false">'Player Data'!U937</f>
        <v>2029</v>
      </c>
      <c r="W937" s="21" t="str">
        <f aca="false">IF(AND(T937&gt;=Assumptions!$B$19,U937="No"),"High Priority - Unrepresented",IF(T937&gt;=Assumptions!$B$19,"High Priority",IF(AND(T937&gt;=Assumptions!$B$20,U937="No"),"Watchlist - Unrepresented",IF(T937&gt;=Assumptions!$B$20,"Watchlist",""))))</f>
        <v/>
      </c>
      <c r="X937" s="21" t="str">
        <f aca="false">'Player Data'!V937</f>
        <v>info@bafoussamfc.cm</v>
      </c>
      <c r="Y937" s="28" t="str">
        <f aca="false">'Player Data'!W937</f>
        <v>Club sporting director / first-team office</v>
      </c>
      <c r="Z937" s="28" t="str">
        <f aca="false">'Player Data'!X937</f>
        <v>FECAFOOT (Cameroonian Football Federation) player registry</v>
      </c>
      <c r="AA937" s="19" t="str">
        <f aca="false">HYPERLINK("https://www.transfermarkt.com/schnellsuche/ergebnis/schnellsuche?query="&amp;SUBSTITUTE(A937," ","+"),"Search Transfermarkt")</f>
        <v>Search Transfermarkt</v>
      </c>
      <c r="AB937" s="29" t="n">
        <f aca="false">IFERROR('Player Data'!K937/('Player Data'!K937+'Player Data'!L937),0)</f>
        <v>0.294573643410853</v>
      </c>
      <c r="AC937" s="21" t="str">
        <f aca="false">IF(B937="GK",IF(AND(O937&gt;=Assumptions!$B$23,N937&gt;=Assumptions!$B$23),"Sweeper-Keeper / Build-from-the-Back",IF(O937&gt;=Assumptions!$B$23,"Sweeper-Keeper / High Line",IF(M937&gt;=Assumptions!$B$23,"Shot-Stopper / Traditional","Flexible / Multi-System"))),IF(AND(O937&gt;=Assumptions!$B$23,P937&gt;=Assumptions!$B$24),"High Press / Gegenpressing",IF(AND(N937&gt;=Assumptions!$B$23,AB937&gt;=Assumptions!$B$25),"Possession / Build-from-the-Back",IF(N937&gt;=Assumptions!$B$23,"Counter-Attack / Transition",IF(AND(O937&gt;=Assumptions!$B$23,N937&lt;Assumptions!$B$26),"Low Block / Park the Bus",IF(AND(B937="FW",M937&gt;=Assumptions!$B$23,N937&lt;Assumptions!$B$26),"Direct / Target Approach","Flexible / Multi-System"))))))</f>
        <v>Flexible / Multi-System</v>
      </c>
      <c r="AD937" s="21" t="str">
        <f aca="false">'Player Data'!Y937</f>
        <v>2026-07-17</v>
      </c>
      <c r="AE937" s="21" t="str">
        <f aca="false">'Player Data'!Z937</f>
        <v>2026-07-17</v>
      </c>
      <c r="AF937" s="28" t="str">
        <f aca="false">IFERROR(INDEX(Assumptions!$B$30:$B$61,MATCH(C937,Assumptions!$A$30:$A$61,0)),"--")</f>
        <v>Belgium, Portugal</v>
      </c>
      <c r="AG937" s="30" t="str">
        <f aca="false">IF(R937&gt;=0.7,"Step-Up Candidate",IF(R937&gt;=0.4,"Lateral Move","Stay &amp; Develop"))</f>
        <v>Lateral Move</v>
      </c>
    </row>
    <row r="938" customFormat="false" ht="23.85" hidden="false" customHeight="false" outlineLevel="0" collapsed="false">
      <c r="A938" s="21" t="str">
        <f aca="false">'Player Data'!A938</f>
        <v>Junior Gonzalez</v>
      </c>
      <c r="B938" s="21" t="str">
        <f aca="false">'Player Data'!F938</f>
        <v>DF</v>
      </c>
      <c r="C938" s="21" t="str">
        <f aca="false">'Player Data'!B938</f>
        <v>Venezuela</v>
      </c>
      <c r="D938" s="21" t="str">
        <f aca="false">'Player Data'!C938</f>
        <v>Venezuela Third Tier - North</v>
      </c>
      <c r="E938" s="21" t="n">
        <f aca="false">'Player Data'!D938</f>
        <v>3</v>
      </c>
      <c r="F938" s="21" t="n">
        <f aca="false">'Player Data'!G938</f>
        <v>24</v>
      </c>
      <c r="G938" s="21" t="n">
        <f aca="false">'Player Data'!H938</f>
        <v>1507</v>
      </c>
      <c r="H938" s="22" t="n">
        <f aca="false">IF(B938="GK",IFERROR(('Player Data'!N938-1.5*'Player Data'!O938)/'Player Data'!H938*90,0),IFERROR(('Player Data'!I938+'Player Data'!J938)/'Player Data'!H938*90,0))</f>
        <v>0.119442601194426</v>
      </c>
      <c r="I938" s="22" t="n">
        <f aca="false">IF(B938="GK",'Player Data'!P938,IFERROR(('Player Data'!K938+'Player Data'!L938)/'Player Data'!H938*90,0))</f>
        <v>3.58327803583278</v>
      </c>
      <c r="J938" s="22" t="n">
        <f aca="false">IF(B938="GK",IFERROR('Player Data'!Q938/'Player Data'!H938*90,0),IFERROR('Player Data'!M938/'Player Data'!H938*90,0))</f>
        <v>6.09157266091573</v>
      </c>
      <c r="K938" s="23" t="n">
        <f aca="false">'Player Data'!S938</f>
        <v>120246</v>
      </c>
      <c r="L938" s="22" t="n">
        <f aca="false">INDEX(Assumptions!$B$13:$B$15,MATCH(E938,Assumptions!$A$13:$A$15,0))</f>
        <v>0.85</v>
      </c>
      <c r="M938" s="24" t="n">
        <f aca="false">IFERROR(SUMPRODUCT(($B$2:$B$1001=B938)*($H$2:$H$1001&lt;=H938))/SUMPRODUCT(($B$2:$B$1001=B938)*1),0)</f>
        <v>0.268707482993197</v>
      </c>
      <c r="N938" s="24" t="n">
        <f aca="false">IFERROR(SUMPRODUCT(($B$2:$B$1001=B938)*($I$2:$I$1001&lt;=I938))/SUMPRODUCT(($B$2:$B$1001=B938)*1),0)</f>
        <v>0.261904761904762</v>
      </c>
      <c r="O938" s="24" t="n">
        <f aca="false">IFERROR(SUMPRODUCT(($B$2:$B$1001=B938)*($J$2:$J$1001&lt;=J938))/SUMPRODUCT(($B$2:$B$1001=B938)*1),0)</f>
        <v>0.636054421768708</v>
      </c>
      <c r="P938" s="24" t="n">
        <f aca="false">IFERROR(SUMPRODUCT(($B$2:$B$1001=B938)*((0-$F$2:$F$1001)&lt;=(0-F938)))/SUMPRODUCT(($B$2:$B$1001=B938)*1),0)</f>
        <v>0.275510204081633</v>
      </c>
      <c r="Q938" s="25" t="n">
        <f aca="false">(M938*Assumptions!$B$5+N938*Assumptions!$B$6+O938*Assumptions!$B$7+P938*Assumptions!$B$8)*L938</f>
        <v>0.289982993197279</v>
      </c>
      <c r="R938" s="24" t="n">
        <f aca="false">IFERROR(SUMPRODUCT(($B$2:$B$1001=B938)*($Q$2:$Q$1001&lt;=Q938))/SUMPRODUCT(($B$2:$B$1001=B938)*1),0)</f>
        <v>0.23469387755102</v>
      </c>
      <c r="S938" s="24" t="n">
        <f aca="false">IFERROR(SUMPRODUCT(($B$2:$B$1001=B938)*($K$2:$K$1001&lt;=K938))/SUMPRODUCT(($B$2:$B$1001=B938)*1),0)</f>
        <v>0.846938775510204</v>
      </c>
      <c r="T938" s="26" t="n">
        <f aca="false">(R938-S938)*100</f>
        <v>-61.2244897959184</v>
      </c>
      <c r="U938" s="21" t="str">
        <f aca="false">'Player Data'!T938</f>
        <v>No</v>
      </c>
      <c r="V938" s="27" t="n">
        <f aca="false">'Player Data'!U938</f>
        <v>2029</v>
      </c>
      <c r="W938" s="21" t="str">
        <f aca="false">IF(AND(T938&gt;=Assumptions!$B$19,U938="No"),"High Priority - Unrepresented",IF(T938&gt;=Assumptions!$B$19,"High Priority",IF(AND(T938&gt;=Assumptions!$B$20,U938="No"),"Watchlist - Unrepresented",IF(T938&gt;=Assumptions!$B$20,"Watchlist",""))))</f>
        <v/>
      </c>
      <c r="X938" s="21" t="str">
        <f aca="false">'Player Data'!V938</f>
        <v>info@valenciawanderers.ve</v>
      </c>
      <c r="Y938" s="28" t="str">
        <f aca="false">'Player Data'!W938</f>
        <v>Club sporting director / first-team office</v>
      </c>
      <c r="Z938" s="28" t="str">
        <f aca="false">'Player Data'!X938</f>
        <v>FVF (Venezuelan Football Federation) player registry</v>
      </c>
      <c r="AA938" s="19" t="str">
        <f aca="false">HYPERLINK("https://www.transfermarkt.com/schnellsuche/ergebnis/schnellsuche?query="&amp;SUBSTITUTE(A938," ","+"),"Search Transfermarkt")</f>
        <v>Search Transfermarkt</v>
      </c>
      <c r="AB938" s="29" t="n">
        <f aca="false">IFERROR('Player Data'!K938/('Player Data'!K938+'Player Data'!L938),0)</f>
        <v>0.666666666666667</v>
      </c>
      <c r="AC938" s="21" t="str">
        <f aca="false">IF(B938="GK",IF(AND(O938&gt;=Assumptions!$B$23,N938&gt;=Assumptions!$B$23),"Sweeper-Keeper / Build-from-the-Back",IF(O938&gt;=Assumptions!$B$23,"Sweeper-Keeper / High Line",IF(M938&gt;=Assumptions!$B$23,"Shot-Stopper / Traditional","Flexible / Multi-System"))),IF(AND(O938&gt;=Assumptions!$B$23,P938&gt;=Assumptions!$B$24),"High Press / Gegenpressing",IF(AND(N938&gt;=Assumptions!$B$23,AB938&gt;=Assumptions!$B$25),"Possession / Build-from-the-Back",IF(N938&gt;=Assumptions!$B$23,"Counter-Attack / Transition",IF(AND(O938&gt;=Assumptions!$B$23,N938&lt;Assumptions!$B$26),"Low Block / Park the Bus",IF(AND(B938="FW",M938&gt;=Assumptions!$B$23,N938&lt;Assumptions!$B$26),"Direct / Target Approach","Flexible / Multi-System"))))))</f>
        <v>Flexible / Multi-System</v>
      </c>
      <c r="AD938" s="21" t="str">
        <f aca="false">'Player Data'!Y938</f>
        <v>2026-07-17</v>
      </c>
      <c r="AE938" s="21" t="str">
        <f aca="false">'Player Data'!Z938</f>
        <v>2026-07-17</v>
      </c>
      <c r="AF938" s="28" t="str">
        <f aca="false">IFERROR(INDEX(Assumptions!$B$30:$B$61,MATCH(C938,Assumptions!$A$30:$A$61,0)),"--")</f>
        <v>Argentina, Portugal</v>
      </c>
      <c r="AG938" s="30" t="str">
        <f aca="false">IF(R938&gt;=0.7,"Step-Up Candidate",IF(R938&gt;=0.4,"Lateral Move","Stay &amp; Develop"))</f>
        <v>Stay &amp; Develop</v>
      </c>
    </row>
    <row r="939" customFormat="false" ht="23.85" hidden="false" customHeight="false" outlineLevel="0" collapsed="false">
      <c r="A939" s="21" t="str">
        <f aca="false">'Player Data'!A939</f>
        <v>Kristers Kalns 52</v>
      </c>
      <c r="B939" s="21" t="str">
        <f aca="false">'Player Data'!F939</f>
        <v>DF</v>
      </c>
      <c r="C939" s="21" t="str">
        <f aca="false">'Player Data'!B939</f>
        <v>Latvia</v>
      </c>
      <c r="D939" s="21" t="str">
        <f aca="false">'Player Data'!C939</f>
        <v>Latvia Second Division - West</v>
      </c>
      <c r="E939" s="21" t="n">
        <f aca="false">'Player Data'!D939</f>
        <v>4</v>
      </c>
      <c r="F939" s="21" t="n">
        <f aca="false">'Player Data'!G939</f>
        <v>18</v>
      </c>
      <c r="G939" s="21" t="n">
        <f aca="false">'Player Data'!H939</f>
        <v>1081</v>
      </c>
      <c r="H939" s="22" t="n">
        <f aca="false">IF(B939="GK",IFERROR(('Player Data'!N939-1.5*'Player Data'!O939)/'Player Data'!H939*90,0),IFERROR(('Player Data'!I939+'Player Data'!J939)/'Player Data'!H939*90,0))</f>
        <v>0.333024976873266</v>
      </c>
      <c r="I939" s="22" t="n">
        <f aca="false">IF(B939="GK",'Player Data'!P939,IFERROR(('Player Data'!K939+'Player Data'!L939)/'Player Data'!H939*90,0))</f>
        <v>8.07585568917669</v>
      </c>
      <c r="J939" s="22" t="n">
        <f aca="false">IF(B939="GK",IFERROR('Player Data'!Q939/'Player Data'!H939*90,0),IFERROR('Player Data'!M939/'Player Data'!H939*90,0))</f>
        <v>8.32562442183164</v>
      </c>
      <c r="K939" s="23" t="n">
        <f aca="false">'Player Data'!S939</f>
        <v>74538</v>
      </c>
      <c r="L939" s="22" t="n">
        <f aca="false">INDEX(Assumptions!$B$13:$B$15,MATCH(E939,Assumptions!$A$13:$A$15,0))</f>
        <v>0.7</v>
      </c>
      <c r="M939" s="24" t="n">
        <f aca="false">IFERROR(SUMPRODUCT(($B$2:$B$1001=B939)*($H$2:$H$1001&lt;=H939))/SUMPRODUCT(($B$2:$B$1001=B939)*1),0)</f>
        <v>0.829931972789116</v>
      </c>
      <c r="N939" s="24" t="n">
        <f aca="false">IFERROR(SUMPRODUCT(($B$2:$B$1001=B939)*($I$2:$I$1001&lt;=I939))/SUMPRODUCT(($B$2:$B$1001=B939)*1),0)</f>
        <v>0.901360544217687</v>
      </c>
      <c r="O939" s="24" t="n">
        <f aca="false">IFERROR(SUMPRODUCT(($B$2:$B$1001=B939)*($J$2:$J$1001&lt;=J939))/SUMPRODUCT(($B$2:$B$1001=B939)*1),0)</f>
        <v>0.863945578231293</v>
      </c>
      <c r="P939" s="24" t="n">
        <f aca="false">IFERROR(SUMPRODUCT(($B$2:$B$1001=B939)*((0-$F$2:$F$1001)&lt;=(0-F939)))/SUMPRODUCT(($B$2:$B$1001=B939)*1),0)</f>
        <v>0.863945578231293</v>
      </c>
      <c r="Q939" s="25" t="n">
        <f aca="false">(M939*Assumptions!$B$5+N939*Assumptions!$B$6+O939*Assumptions!$B$7+P939*Assumptions!$B$8)*L939</f>
        <v>0.60797619047619</v>
      </c>
      <c r="R939" s="24" t="n">
        <f aca="false">IFERROR(SUMPRODUCT(($B$2:$B$1001=B939)*($Q$2:$Q$1001&lt;=Q939))/SUMPRODUCT(($B$2:$B$1001=B939)*1),0)</f>
        <v>0.785714285714286</v>
      </c>
      <c r="S939" s="24" t="n">
        <f aca="false">IFERROR(SUMPRODUCT(($B$2:$B$1001=B939)*($K$2:$K$1001&lt;=K939))/SUMPRODUCT(($B$2:$B$1001=B939)*1),0)</f>
        <v>0.58843537414966</v>
      </c>
      <c r="T939" s="26" t="n">
        <f aca="false">(R939-S939)*100</f>
        <v>19.7278911564626</v>
      </c>
      <c r="U939" s="21" t="str">
        <f aca="false">'Player Data'!T939</f>
        <v>No</v>
      </c>
      <c r="V939" s="27" t="n">
        <f aca="false">'Player Data'!U939</f>
        <v>2028</v>
      </c>
      <c r="W939" s="21" t="str">
        <f aca="false">IF(AND(T939&gt;=Assumptions!$B$19,U939="No"),"High Priority - Unrepresented",IF(T939&gt;=Assumptions!$B$19,"High Priority",IF(AND(T939&gt;=Assumptions!$B$20,U939="No"),"Watchlist - Unrepresented",IF(T939&gt;=Assumptions!$B$20,"Watchlist",""))))</f>
        <v/>
      </c>
      <c r="X939" s="21" t="str">
        <f aca="false">'Player Data'!V939</f>
        <v>info@liepajaathletic.lv</v>
      </c>
      <c r="Y939" s="28" t="str">
        <f aca="false">'Player Data'!W939</f>
        <v>Club sporting director / first-team office</v>
      </c>
      <c r="Z939" s="28" t="str">
        <f aca="false">'Player Data'!X939</f>
        <v>LFF (Latvian Football Federation) player registry</v>
      </c>
      <c r="AA939" s="19" t="str">
        <f aca="false">HYPERLINK("https://www.transfermarkt.com/schnellsuche/ergebnis/schnellsuche?query="&amp;SUBSTITUTE(A939," ","+"),"Search Transfermarkt")</f>
        <v>Search Transfermarkt</v>
      </c>
      <c r="AB939" s="29" t="n">
        <f aca="false">IFERROR('Player Data'!K939/('Player Data'!K939+'Player Data'!L939),0)</f>
        <v>0.670103092783505</v>
      </c>
      <c r="AC939" s="21" t="str">
        <f aca="false">IF(B939="GK",IF(AND(O939&gt;=Assumptions!$B$23,N939&gt;=Assumptions!$B$23),"Sweeper-Keeper / Build-from-the-Back",IF(O939&gt;=Assumptions!$B$23,"Sweeper-Keeper / High Line",IF(M939&gt;=Assumptions!$B$23,"Shot-Stopper / Traditional","Flexible / Multi-System"))),IF(AND(O939&gt;=Assumptions!$B$23,P939&gt;=Assumptions!$B$24),"High Press / Gegenpressing",IF(AND(N939&gt;=Assumptions!$B$23,AB939&gt;=Assumptions!$B$25),"Possession / Build-from-the-Back",IF(N939&gt;=Assumptions!$B$23,"Counter-Attack / Transition",IF(AND(O939&gt;=Assumptions!$B$23,N939&lt;Assumptions!$B$26),"Low Block / Park the Bus",IF(AND(B939="FW",M939&gt;=Assumptions!$B$23,N939&lt;Assumptions!$B$26),"Direct / Target Approach","Flexible / Multi-System"))))))</f>
        <v>High Press / Gegenpressing</v>
      </c>
      <c r="AD939" s="21" t="str">
        <f aca="false">'Player Data'!Y939</f>
        <v>2026-07-17</v>
      </c>
      <c r="AE939" s="21" t="str">
        <f aca="false">'Player Data'!Z939</f>
        <v>2026-07-17</v>
      </c>
      <c r="AF939" s="28" t="str">
        <f aca="false">IFERROR(INDEX(Assumptions!$B$30:$B$61,MATCH(C939,Assumptions!$A$30:$A$61,0)),"--")</f>
        <v>Poland, Norway</v>
      </c>
      <c r="AG939" s="30" t="str">
        <f aca="false">IF(R939&gt;=0.7,"Step-Up Candidate",IF(R939&gt;=0.4,"Lateral Move","Stay &amp; Develop"))</f>
        <v>Step-Up Candidate</v>
      </c>
    </row>
    <row r="940" customFormat="false" ht="23.85" hidden="false" customHeight="false" outlineLevel="0" collapsed="false">
      <c r="A940" s="21" t="str">
        <f aca="false">'Player Data'!A940</f>
        <v>Sota Sato</v>
      </c>
      <c r="B940" s="21" t="str">
        <f aca="false">'Player Data'!F940</f>
        <v>DF</v>
      </c>
      <c r="C940" s="21" t="str">
        <f aca="false">'Player Data'!B940</f>
        <v>Japan</v>
      </c>
      <c r="D940" s="21" t="str">
        <f aca="false">'Player Data'!C940</f>
        <v>Japan Third Tier - South</v>
      </c>
      <c r="E940" s="21" t="n">
        <f aca="false">'Player Data'!D940</f>
        <v>2</v>
      </c>
      <c r="F940" s="21" t="n">
        <f aca="false">'Player Data'!G940</f>
        <v>17</v>
      </c>
      <c r="G940" s="21" t="n">
        <f aca="false">'Player Data'!H940</f>
        <v>1086</v>
      </c>
      <c r="H940" s="22" t="n">
        <f aca="false">IF(B940="GK",IFERROR(('Player Data'!N940-1.5*'Player Data'!O940)/'Player Data'!H940*90,0),IFERROR(('Player Data'!I940+'Player Data'!J940)/'Player Data'!H940*90,0))</f>
        <v>0.414364640883978</v>
      </c>
      <c r="I940" s="22" t="n">
        <f aca="false">IF(B940="GK",'Player Data'!P940,IFERROR(('Player Data'!K940+'Player Data'!L940)/'Player Data'!H940*90,0))</f>
        <v>7.29281767955801</v>
      </c>
      <c r="J940" s="22" t="n">
        <f aca="false">IF(B940="GK",IFERROR('Player Data'!Q940/'Player Data'!H940*90,0),IFERROR('Player Data'!M940/'Player Data'!H940*90,0))</f>
        <v>6.21546961325967</v>
      </c>
      <c r="K940" s="23" t="n">
        <f aca="false">'Player Data'!S940</f>
        <v>0</v>
      </c>
      <c r="L940" s="22" t="n">
        <f aca="false">INDEX(Assumptions!$B$13:$B$15,MATCH(E940,Assumptions!$A$13:$A$15,0))</f>
        <v>1</v>
      </c>
      <c r="M940" s="24" t="n">
        <f aca="false">IFERROR(SUMPRODUCT(($B$2:$B$1001=B940)*($H$2:$H$1001&lt;=H940))/SUMPRODUCT(($B$2:$B$1001=B940)*1),0)</f>
        <v>0.91156462585034</v>
      </c>
      <c r="N940" s="24" t="n">
        <f aca="false">IFERROR(SUMPRODUCT(($B$2:$B$1001=B940)*($I$2:$I$1001&lt;=I940))/SUMPRODUCT(($B$2:$B$1001=B940)*1),0)</f>
        <v>0.843537414965986</v>
      </c>
      <c r="O940" s="24" t="n">
        <f aca="false">IFERROR(SUMPRODUCT(($B$2:$B$1001=B940)*($J$2:$J$1001&lt;=J940))/SUMPRODUCT(($B$2:$B$1001=B940)*1),0)</f>
        <v>0.653061224489796</v>
      </c>
      <c r="P940" s="24" t="n">
        <f aca="false">IFERROR(SUMPRODUCT(($B$2:$B$1001=B940)*((0-$F$2:$F$1001)&lt;=(0-F940)))/SUMPRODUCT(($B$2:$B$1001=B940)*1),0)</f>
        <v>1</v>
      </c>
      <c r="Q940" s="25" t="n">
        <f aca="false">(M940*Assumptions!$B$5+N940*Assumptions!$B$6+O940*Assumptions!$B$7+P940*Assumptions!$B$8)*L940</f>
        <v>0.853741496598639</v>
      </c>
      <c r="R940" s="24" t="n">
        <f aca="false">IFERROR(SUMPRODUCT(($B$2:$B$1001=B940)*($Q$2:$Q$1001&lt;=Q940))/SUMPRODUCT(($B$2:$B$1001=B940)*1),0)</f>
        <v>0.982993197278912</v>
      </c>
      <c r="S940" s="24" t="n">
        <f aca="false">IFERROR(SUMPRODUCT(($B$2:$B$1001=B940)*($K$2:$K$1001&lt;=K940))/SUMPRODUCT(($B$2:$B$1001=B940)*1),0)</f>
        <v>0.248299319727891</v>
      </c>
      <c r="T940" s="26" t="n">
        <f aca="false">(R940-S940)*100</f>
        <v>73.469387755102</v>
      </c>
      <c r="U940" s="21" t="str">
        <f aca="false">'Player Data'!T940</f>
        <v>No</v>
      </c>
      <c r="V940" s="27" t="n">
        <f aca="false">'Player Data'!U940</f>
        <v>2027</v>
      </c>
      <c r="W940" s="21" t="str">
        <f aca="false">IF(AND(T940&gt;=Assumptions!$B$19,U940="No"),"High Priority - Unrepresented",IF(T940&gt;=Assumptions!$B$19,"High Priority",IF(AND(T940&gt;=Assumptions!$B$20,U940="No"),"Watchlist - Unrepresented",IF(T940&gt;=Assumptions!$B$20,"Watchlist",""))))</f>
        <v>High Priority - Unrepresented</v>
      </c>
      <c r="X940" s="21" t="str">
        <f aca="false">'Player Data'!V940</f>
        <v>info@sendaisc.jp</v>
      </c>
      <c r="Y940" s="28" t="str">
        <f aca="false">'Player Data'!W940</f>
        <v>Club youth/academy office ONLY - player is a minor, do not contact directly</v>
      </c>
      <c r="Z940" s="28" t="str">
        <f aca="false">'Player Data'!X940</f>
        <v>JFA (Japan Football Association) player registry</v>
      </c>
      <c r="AA940" s="19" t="str">
        <f aca="false">HYPERLINK("https://www.transfermarkt.com/schnellsuche/ergebnis/schnellsuche?query="&amp;SUBSTITUTE(A940," ","+"),"Search Transfermarkt")</f>
        <v>Search Transfermarkt</v>
      </c>
      <c r="AB940" s="29" t="n">
        <f aca="false">IFERROR('Player Data'!K940/('Player Data'!K940+'Player Data'!L940),0)</f>
        <v>0.534090909090909</v>
      </c>
      <c r="AC940" s="21" t="str">
        <f aca="false">IF(B940="GK",IF(AND(O940&gt;=Assumptions!$B$23,N940&gt;=Assumptions!$B$23),"Sweeper-Keeper / Build-from-the-Back",IF(O940&gt;=Assumptions!$B$23,"Sweeper-Keeper / High Line",IF(M940&gt;=Assumptions!$B$23,"Shot-Stopper / Traditional","Flexible / Multi-System"))),IF(AND(O940&gt;=Assumptions!$B$23,P940&gt;=Assumptions!$B$24),"High Press / Gegenpressing",IF(AND(N940&gt;=Assumptions!$B$23,AB940&gt;=Assumptions!$B$25),"Possession / Build-from-the-Back",IF(N940&gt;=Assumptions!$B$23,"Counter-Attack / Transition",IF(AND(O940&gt;=Assumptions!$B$23,N940&lt;Assumptions!$B$26),"Low Block / Park the Bus",IF(AND(B940="FW",M940&gt;=Assumptions!$B$23,N940&lt;Assumptions!$B$26),"Direct / Target Approach","Flexible / Multi-System"))))))</f>
        <v>High Press / Gegenpressing</v>
      </c>
      <c r="AD940" s="21" t="str">
        <f aca="false">'Player Data'!Y940</f>
        <v>2026-07-17</v>
      </c>
      <c r="AE940" s="21" t="str">
        <f aca="false">'Player Data'!Z940</f>
        <v>2026-07-17</v>
      </c>
      <c r="AF940" s="28" t="str">
        <f aca="false">IFERROR(INDEX(Assumptions!$B$30:$B$61,MATCH(C940,Assumptions!$A$30:$A$61,0)),"--")</f>
        <v>Belgium, Australia</v>
      </c>
      <c r="AG940" s="30" t="str">
        <f aca="false">IF(R940&gt;=0.7,"Step-Up Candidate",IF(R940&gt;=0.4,"Lateral Move","Stay &amp; Develop"))</f>
        <v>Step-Up Candidate</v>
      </c>
    </row>
    <row r="941" customFormat="false" ht="23.85" hidden="false" customHeight="false" outlineLevel="0" collapsed="false">
      <c r="A941" s="21" t="str">
        <f aca="false">'Player Data'!A941</f>
        <v>Seo-jun Lee</v>
      </c>
      <c r="B941" s="21" t="str">
        <f aca="false">'Player Data'!F941</f>
        <v>GK</v>
      </c>
      <c r="C941" s="21" t="str">
        <f aca="false">'Player Data'!B941</f>
        <v>South Korea</v>
      </c>
      <c r="D941" s="21" t="str">
        <f aca="false">'Player Data'!C941</f>
        <v>South Korea Second Division</v>
      </c>
      <c r="E941" s="21" t="n">
        <f aca="false">'Player Data'!D941</f>
        <v>3</v>
      </c>
      <c r="F941" s="21" t="n">
        <f aca="false">'Player Data'!G941</f>
        <v>20</v>
      </c>
      <c r="G941" s="21" t="n">
        <f aca="false">'Player Data'!H941</f>
        <v>2593</v>
      </c>
      <c r="H941" s="22" t="n">
        <f aca="false">IF(B941="GK",IFERROR(('Player Data'!N941-1.5*'Player Data'!O941)/'Player Data'!H941*90,0),IFERROR(('Player Data'!I941+'Player Data'!J941)/'Player Data'!H941*90,0))</f>
        <v>1.82221365214038</v>
      </c>
      <c r="I941" s="22" t="n">
        <f aca="false">IF(B941="GK",'Player Data'!P941,IFERROR(('Player Data'!K941+'Player Data'!L941)/'Player Data'!H941*90,0))</f>
        <v>84.3</v>
      </c>
      <c r="J941" s="22" t="n">
        <f aca="false">IF(B941="GK",IFERROR('Player Data'!Q941/'Player Data'!H941*90,0),IFERROR('Player Data'!M941/'Player Data'!H941*90,0))</f>
        <v>0.315850366370999</v>
      </c>
      <c r="K941" s="23" t="n">
        <f aca="false">'Player Data'!S941</f>
        <v>45443</v>
      </c>
      <c r="L941" s="22" t="n">
        <f aca="false">INDEX(Assumptions!$B$13:$B$15,MATCH(E941,Assumptions!$A$13:$A$15,0))</f>
        <v>0.85</v>
      </c>
      <c r="M941" s="24" t="n">
        <f aca="false">IFERROR(SUMPRODUCT(($B$2:$B$1001=B941)*($H$2:$H$1001&lt;=H941))/SUMPRODUCT(($B$2:$B$1001=B941)*1),0)</f>
        <v>0.819672131147541</v>
      </c>
      <c r="N941" s="24" t="n">
        <f aca="false">IFERROR(SUMPRODUCT(($B$2:$B$1001=B941)*($I$2:$I$1001&lt;=I941))/SUMPRODUCT(($B$2:$B$1001=B941)*1),0)</f>
        <v>0.836065573770492</v>
      </c>
      <c r="O941" s="24" t="n">
        <f aca="false">IFERROR(SUMPRODUCT(($B$2:$B$1001=B941)*($J$2:$J$1001&lt;=J941))/SUMPRODUCT(($B$2:$B$1001=B941)*1),0)</f>
        <v>0.136612021857924</v>
      </c>
      <c r="P941" s="24" t="n">
        <f aca="false">IFERROR(SUMPRODUCT(($B$2:$B$1001=B941)*((0-$F$2:$F$1001)&lt;=(0-F941)))/SUMPRODUCT(($B$2:$B$1001=B941)*1),0)</f>
        <v>0.677595628415301</v>
      </c>
      <c r="Q941" s="25" t="n">
        <f aca="false">(M941*Assumptions!$B$5+N941*Assumptions!$B$6+O941*Assumptions!$B$7+P941*Assumptions!$B$8)*L941</f>
        <v>0.561325136612022</v>
      </c>
      <c r="R941" s="24" t="n">
        <f aca="false">IFERROR(SUMPRODUCT(($B$2:$B$1001=B941)*($Q$2:$Q$1001&lt;=Q941))/SUMPRODUCT(($B$2:$B$1001=B941)*1),0)</f>
        <v>0.775956284153005</v>
      </c>
      <c r="S941" s="24" t="n">
        <f aca="false">IFERROR(SUMPRODUCT(($B$2:$B$1001=B941)*($K$2:$K$1001&lt;=K941))/SUMPRODUCT(($B$2:$B$1001=B941)*1),0)</f>
        <v>0.371584699453552</v>
      </c>
      <c r="T941" s="26" t="n">
        <f aca="false">(R941-S941)*100</f>
        <v>40.4371584699454</v>
      </c>
      <c r="U941" s="21" t="str">
        <f aca="false">'Player Data'!T941</f>
        <v>Unknown</v>
      </c>
      <c r="V941" s="27" t="n">
        <f aca="false">'Player Data'!U941</f>
        <v>2027</v>
      </c>
      <c r="W941" s="21" t="str">
        <f aca="false">IF(AND(T941&gt;=Assumptions!$B$19,U941="No"),"High Priority - Unrepresented",IF(T941&gt;=Assumptions!$B$19,"High Priority",IF(AND(T941&gt;=Assumptions!$B$20,U941="No"),"Watchlist - Unrepresented",IF(T941&gt;=Assumptions!$B$20,"Watchlist",""))))</f>
        <v>High Priority</v>
      </c>
      <c r="X941" s="21" t="str">
        <f aca="false">'Player Data'!V941</f>
        <v>info@incheonfc.kr</v>
      </c>
      <c r="Y941" s="28" t="str">
        <f aca="false">'Player Data'!W941</f>
        <v>Club sporting director / first-team office</v>
      </c>
      <c r="Z941" s="28" t="str">
        <f aca="false">'Player Data'!X941</f>
        <v>KFA (Korea Football Association) player registry</v>
      </c>
      <c r="AA941" s="19" t="str">
        <f aca="false">HYPERLINK("https://www.transfermarkt.com/schnellsuche/ergebnis/schnellsuche?query="&amp;SUBSTITUTE(A941," ","+"),"Search Transfermarkt")</f>
        <v>Search Transfermarkt</v>
      </c>
      <c r="AB941" s="29" t="n">
        <f aca="false">IFERROR('Player Data'!K941/('Player Data'!K941+'Player Data'!L941),0)</f>
        <v>1</v>
      </c>
      <c r="AC941" s="21" t="str">
        <f aca="false">IF(B941="GK",IF(AND(O941&gt;=Assumptions!$B$23,N941&gt;=Assumptions!$B$23),"Sweeper-Keeper / Build-from-the-Back",IF(O941&gt;=Assumptions!$B$23,"Sweeper-Keeper / High Line",IF(M941&gt;=Assumptions!$B$23,"Shot-Stopper / Traditional","Flexible / Multi-System"))),IF(AND(O941&gt;=Assumptions!$B$23,P941&gt;=Assumptions!$B$24),"High Press / Gegenpressing",IF(AND(N941&gt;=Assumptions!$B$23,AB941&gt;=Assumptions!$B$25),"Possession / Build-from-the-Back",IF(N941&gt;=Assumptions!$B$23,"Counter-Attack / Transition",IF(AND(O941&gt;=Assumptions!$B$23,N941&lt;Assumptions!$B$26),"Low Block / Park the Bus",IF(AND(B941="FW",M941&gt;=Assumptions!$B$23,N941&lt;Assumptions!$B$26),"Direct / Target Approach","Flexible / Multi-System"))))))</f>
        <v>Shot-Stopper / Traditional</v>
      </c>
      <c r="AD941" s="21" t="str">
        <f aca="false">'Player Data'!Y941</f>
        <v>2026-07-17</v>
      </c>
      <c r="AE941" s="21" t="str">
        <f aca="false">'Player Data'!Z941</f>
        <v>2026-07-17</v>
      </c>
      <c r="AF941" s="28" t="str">
        <f aca="false">IFERROR(INDEX(Assumptions!$B$30:$B$61,MATCH(C941,Assumptions!$A$30:$A$61,0)),"--")</f>
        <v>Belgium, Saudi Arabia</v>
      </c>
      <c r="AG941" s="30" t="str">
        <f aca="false">IF(R941&gt;=0.7,"Step-Up Candidate",IF(R941&gt;=0.4,"Lateral Move","Stay &amp; Develop"))</f>
        <v>Step-Up Candidate</v>
      </c>
    </row>
    <row r="942" customFormat="false" ht="23.85" hidden="false" customHeight="false" outlineLevel="0" collapsed="false">
      <c r="A942" s="21" t="str">
        <f aca="false">'Player Data'!A942</f>
        <v>Michael Escobar</v>
      </c>
      <c r="B942" s="21" t="str">
        <f aca="false">'Player Data'!F942</f>
        <v>DF</v>
      </c>
      <c r="C942" s="21" t="str">
        <f aca="false">'Player Data'!B942</f>
        <v>Panama</v>
      </c>
      <c r="D942" s="21" t="str">
        <f aca="false">'Player Data'!C942</f>
        <v>Panama Amateur League</v>
      </c>
      <c r="E942" s="21" t="n">
        <f aca="false">'Player Data'!D942</f>
        <v>3</v>
      </c>
      <c r="F942" s="21" t="n">
        <f aca="false">'Player Data'!G942</f>
        <v>24</v>
      </c>
      <c r="G942" s="21" t="n">
        <f aca="false">'Player Data'!H942</f>
        <v>1613</v>
      </c>
      <c r="H942" s="22" t="n">
        <f aca="false">IF(B942="GK",IFERROR(('Player Data'!N942-1.5*'Player Data'!O942)/'Player Data'!H942*90,0),IFERROR(('Player Data'!I942+'Player Data'!J942)/'Player Data'!H942*90,0))</f>
        <v>0.167389956602604</v>
      </c>
      <c r="I942" s="22" t="n">
        <f aca="false">IF(B942="GK",'Player Data'!P942,IFERROR(('Player Data'!K942+'Player Data'!L942)/'Player Data'!H942*90,0))</f>
        <v>3.68257904525728</v>
      </c>
      <c r="J942" s="22" t="n">
        <f aca="false">IF(B942="GK",IFERROR('Player Data'!Q942/'Player Data'!H942*90,0),IFERROR('Player Data'!M942/'Player Data'!H942*90,0))</f>
        <v>6.63980161190329</v>
      </c>
      <c r="K942" s="23" t="n">
        <f aca="false">'Player Data'!S942</f>
        <v>0</v>
      </c>
      <c r="L942" s="22" t="n">
        <f aca="false">INDEX(Assumptions!$B$13:$B$15,MATCH(E942,Assumptions!$A$13:$A$15,0))</f>
        <v>0.85</v>
      </c>
      <c r="M942" s="24" t="n">
        <f aca="false">IFERROR(SUMPRODUCT(($B$2:$B$1001=B942)*($H$2:$H$1001&lt;=H942))/SUMPRODUCT(($B$2:$B$1001=B942)*1),0)</f>
        <v>0.418367346938776</v>
      </c>
      <c r="N942" s="24" t="n">
        <f aca="false">IFERROR(SUMPRODUCT(($B$2:$B$1001=B942)*($I$2:$I$1001&lt;=I942))/SUMPRODUCT(($B$2:$B$1001=B942)*1),0)</f>
        <v>0.30952380952381</v>
      </c>
      <c r="O942" s="24" t="n">
        <f aca="false">IFERROR(SUMPRODUCT(($B$2:$B$1001=B942)*($J$2:$J$1001&lt;=J942))/SUMPRODUCT(($B$2:$B$1001=B942)*1),0)</f>
        <v>0.700680272108844</v>
      </c>
      <c r="P942" s="24" t="n">
        <f aca="false">IFERROR(SUMPRODUCT(($B$2:$B$1001=B942)*((0-$F$2:$F$1001)&lt;=(0-F942)))/SUMPRODUCT(($B$2:$B$1001=B942)*1),0)</f>
        <v>0.275510204081633</v>
      </c>
      <c r="Q942" s="25" t="n">
        <f aca="false">(M942*Assumptions!$B$5+N942*Assumptions!$B$6+O942*Assumptions!$B$7+P942*Assumptions!$B$8)*L942</f>
        <v>0.346938775510204</v>
      </c>
      <c r="R942" s="24" t="n">
        <f aca="false">IFERROR(SUMPRODUCT(($B$2:$B$1001=B942)*($Q$2:$Q$1001&lt;=Q942))/SUMPRODUCT(($B$2:$B$1001=B942)*1),0)</f>
        <v>0.353741496598639</v>
      </c>
      <c r="S942" s="24" t="n">
        <f aca="false">IFERROR(SUMPRODUCT(($B$2:$B$1001=B942)*($K$2:$K$1001&lt;=K942))/SUMPRODUCT(($B$2:$B$1001=B942)*1),0)</f>
        <v>0.248299319727891</v>
      </c>
      <c r="T942" s="26" t="n">
        <f aca="false">(R942-S942)*100</f>
        <v>10.5442176870748</v>
      </c>
      <c r="U942" s="21" t="str">
        <f aca="false">'Player Data'!T942</f>
        <v>Unknown</v>
      </c>
      <c r="V942" s="27" t="n">
        <f aca="false">'Player Data'!U942</f>
        <v>2029</v>
      </c>
      <c r="W942" s="21" t="str">
        <f aca="false">IF(AND(T942&gt;=Assumptions!$B$19,U942="No"),"High Priority - Unrepresented",IF(T942&gt;=Assumptions!$B$19,"High Priority",IF(AND(T942&gt;=Assumptions!$B$20,U942="No"),"Watchlist - Unrepresented",IF(T942&gt;=Assumptions!$B$20,"Watchlist",""))))</f>
        <v/>
      </c>
      <c r="X942" s="21" t="str">
        <f aca="false">'Player Data'!V942</f>
        <v>info@davidtown.pa</v>
      </c>
      <c r="Y942" s="28" t="str">
        <f aca="false">'Player Data'!W942</f>
        <v>Club sporting director / first-team office</v>
      </c>
      <c r="Z942" s="28" t="str">
        <f aca="false">'Player Data'!X942</f>
        <v>FEPAFUT (Panamanian Football Federation) player registry</v>
      </c>
      <c r="AA942" s="19" t="str">
        <f aca="false">HYPERLINK("https://www.transfermarkt.com/schnellsuche/ergebnis/schnellsuche?query="&amp;SUBSTITUTE(A942," ","+"),"Search Transfermarkt")</f>
        <v>Search Transfermarkt</v>
      </c>
      <c r="AB942" s="29" t="n">
        <f aca="false">IFERROR('Player Data'!K942/('Player Data'!K942+'Player Data'!L942),0)</f>
        <v>0.651515151515152</v>
      </c>
      <c r="AC942" s="21" t="str">
        <f aca="false">IF(B942="GK",IF(AND(O942&gt;=Assumptions!$B$23,N942&gt;=Assumptions!$B$23),"Sweeper-Keeper / Build-from-the-Back",IF(O942&gt;=Assumptions!$B$23,"Sweeper-Keeper / High Line",IF(M942&gt;=Assumptions!$B$23,"Shot-Stopper / Traditional","Flexible / Multi-System"))),IF(AND(O942&gt;=Assumptions!$B$23,P942&gt;=Assumptions!$B$24),"High Press / Gegenpressing",IF(AND(N942&gt;=Assumptions!$B$23,AB942&gt;=Assumptions!$B$25),"Possession / Build-from-the-Back",IF(N942&gt;=Assumptions!$B$23,"Counter-Attack / Transition",IF(AND(O942&gt;=Assumptions!$B$23,N942&lt;Assumptions!$B$26),"Low Block / Park the Bus",IF(AND(B942="FW",M942&gt;=Assumptions!$B$23,N942&lt;Assumptions!$B$26),"Direct / Target Approach","Flexible / Multi-System"))))))</f>
        <v>Low Block / Park the Bus</v>
      </c>
      <c r="AD942" s="21" t="str">
        <f aca="false">'Player Data'!Y942</f>
        <v>2026-07-17</v>
      </c>
      <c r="AE942" s="21" t="str">
        <f aca="false">'Player Data'!Z942</f>
        <v>2026-07-17</v>
      </c>
      <c r="AF942" s="28" t="str">
        <f aca="false">IFERROR(INDEX(Assumptions!$B$30:$B$61,MATCH(C942,Assumptions!$A$30:$A$61,0)),"--")</f>
        <v>Mexico, United States</v>
      </c>
      <c r="AG942" s="30" t="str">
        <f aca="false">IF(R942&gt;=0.7,"Step-Up Candidate",IF(R942&gt;=0.4,"Lateral Move","Stay &amp; Develop"))</f>
        <v>Stay &amp; Develop</v>
      </c>
    </row>
    <row r="943" customFormat="false" ht="23.85" hidden="false" customHeight="false" outlineLevel="0" collapsed="false">
      <c r="A943" s="21" t="str">
        <f aca="false">'Player Data'!A943</f>
        <v>Facundo Acosta 76</v>
      </c>
      <c r="B943" s="21" t="str">
        <f aca="false">'Player Data'!F943</f>
        <v>MF</v>
      </c>
      <c r="C943" s="21" t="str">
        <f aca="false">'Player Data'!B943</f>
        <v>Uruguay</v>
      </c>
      <c r="D943" s="21" t="str">
        <f aca="false">'Player Data'!C943</f>
        <v>Uruguay Provincial League</v>
      </c>
      <c r="E943" s="21" t="n">
        <f aca="false">'Player Data'!D943</f>
        <v>3</v>
      </c>
      <c r="F943" s="21" t="n">
        <f aca="false">'Player Data'!G943</f>
        <v>24</v>
      </c>
      <c r="G943" s="21" t="n">
        <f aca="false">'Player Data'!H943</f>
        <v>1092</v>
      </c>
      <c r="H943" s="22" t="n">
        <f aca="false">IF(B943="GK",IFERROR(('Player Data'!N943-1.5*'Player Data'!O943)/'Player Data'!H943*90,0),IFERROR(('Player Data'!I943+'Player Data'!J943)/'Player Data'!H943*90,0))</f>
        <v>0.989010989010989</v>
      </c>
      <c r="I943" s="22" t="n">
        <f aca="false">IF(B943="GK",'Player Data'!P943,IFERROR(('Player Data'!K943+'Player Data'!L943)/'Player Data'!H943*90,0))</f>
        <v>14.5879120879121</v>
      </c>
      <c r="J943" s="22" t="n">
        <f aca="false">IF(B943="GK",IFERROR('Player Data'!Q943/'Player Data'!H943*90,0),IFERROR('Player Data'!M943/'Player Data'!H943*90,0))</f>
        <v>4.36813186813187</v>
      </c>
      <c r="K943" s="23" t="n">
        <f aca="false">'Player Data'!S943</f>
        <v>62898</v>
      </c>
      <c r="L943" s="22" t="n">
        <f aca="false">INDEX(Assumptions!$B$13:$B$15,MATCH(E943,Assumptions!$A$13:$A$15,0))</f>
        <v>0.85</v>
      </c>
      <c r="M943" s="24" t="n">
        <f aca="false">IFERROR(SUMPRODUCT(($B$2:$B$1001=B943)*($H$2:$H$1001&lt;=H943))/SUMPRODUCT(($B$2:$B$1001=B943)*1),0)</f>
        <v>0.774410774410774</v>
      </c>
      <c r="N943" s="24" t="n">
        <f aca="false">IFERROR(SUMPRODUCT(($B$2:$B$1001=B943)*($I$2:$I$1001&lt;=I943))/SUMPRODUCT(($B$2:$B$1001=B943)*1),0)</f>
        <v>0.730639730639731</v>
      </c>
      <c r="O943" s="24" t="n">
        <f aca="false">IFERROR(SUMPRODUCT(($B$2:$B$1001=B943)*($J$2:$J$1001&lt;=J943))/SUMPRODUCT(($B$2:$B$1001=B943)*1),0)</f>
        <v>0.956228956228956</v>
      </c>
      <c r="P943" s="24" t="n">
        <f aca="false">IFERROR(SUMPRODUCT(($B$2:$B$1001=B943)*((0-$F$2:$F$1001)&lt;=(0-F943)))/SUMPRODUCT(($B$2:$B$1001=B943)*1),0)</f>
        <v>0.326599326599327</v>
      </c>
      <c r="Q943" s="25" t="n">
        <f aca="false">(M943*Assumptions!$B$5+N943*Assumptions!$B$6+O943*Assumptions!$B$7+P943*Assumptions!$B$8)*L943</f>
        <v>0.600008417508418</v>
      </c>
      <c r="R943" s="24" t="n">
        <f aca="false">IFERROR(SUMPRODUCT(($B$2:$B$1001=B943)*($Q$2:$Q$1001&lt;=Q943))/SUMPRODUCT(($B$2:$B$1001=B943)*1),0)</f>
        <v>0.750841750841751</v>
      </c>
      <c r="S943" s="24" t="n">
        <f aca="false">IFERROR(SUMPRODUCT(($B$2:$B$1001=B943)*($K$2:$K$1001&lt;=K943))/SUMPRODUCT(($B$2:$B$1001=B943)*1),0)</f>
        <v>0.521885521885522</v>
      </c>
      <c r="T943" s="26" t="n">
        <f aca="false">(R943-S943)*100</f>
        <v>22.8956228956229</v>
      </c>
      <c r="U943" s="21" t="str">
        <f aca="false">'Player Data'!T943</f>
        <v>No</v>
      </c>
      <c r="V943" s="27" t="n">
        <f aca="false">'Player Data'!U943</f>
        <v>2028</v>
      </c>
      <c r="W943" s="21" t="str">
        <f aca="false">IF(AND(T943&gt;=Assumptions!$B$19,U943="No"),"High Priority - Unrepresented",IF(T943&gt;=Assumptions!$B$19,"High Priority",IF(AND(T943&gt;=Assumptions!$B$20,U943="No"),"Watchlist - Unrepresented",IF(T943&gt;=Assumptions!$B$20,"Watchlist",""))))</f>
        <v>Watchlist - Unrepresented</v>
      </c>
      <c r="X943" s="21" t="str">
        <f aca="false">'Player Data'!V943</f>
        <v>info@paysanduathletic.uy</v>
      </c>
      <c r="Y943" s="28" t="str">
        <f aca="false">'Player Data'!W943</f>
        <v>Club sporting director / first-team office</v>
      </c>
      <c r="Z943" s="28" t="str">
        <f aca="false">'Player Data'!X943</f>
        <v>AUF (Uruguayan Football Association) player registry</v>
      </c>
      <c r="AA943" s="19" t="str">
        <f aca="false">HYPERLINK("https://www.transfermarkt.com/schnellsuche/ergebnis/schnellsuche?query="&amp;SUBSTITUTE(A943," ","+"),"Search Transfermarkt")</f>
        <v>Search Transfermarkt</v>
      </c>
      <c r="AB943" s="29" t="n">
        <f aca="false">IFERROR('Player Data'!K943/('Player Data'!K943+'Player Data'!L943),0)</f>
        <v>0.672316384180791</v>
      </c>
      <c r="AC943" s="21" t="str">
        <f aca="false">IF(B943="GK",IF(AND(O943&gt;=Assumptions!$B$23,N943&gt;=Assumptions!$B$23),"Sweeper-Keeper / Build-from-the-Back",IF(O943&gt;=Assumptions!$B$23,"Sweeper-Keeper / High Line",IF(M943&gt;=Assumptions!$B$23,"Shot-Stopper / Traditional","Flexible / Multi-System"))),IF(AND(O943&gt;=Assumptions!$B$23,P943&gt;=Assumptions!$B$24),"High Press / Gegenpressing",IF(AND(N943&gt;=Assumptions!$B$23,AB943&gt;=Assumptions!$B$25),"Possession / Build-from-the-Back",IF(N943&gt;=Assumptions!$B$23,"Counter-Attack / Transition",IF(AND(O943&gt;=Assumptions!$B$23,N943&lt;Assumptions!$B$26),"Low Block / Park the Bus",IF(AND(B943="FW",M943&gt;=Assumptions!$B$23,N943&lt;Assumptions!$B$26),"Direct / Target Approach","Flexible / Multi-System"))))))</f>
        <v>Possession / Build-from-the-Back</v>
      </c>
      <c r="AD943" s="21" t="str">
        <f aca="false">'Player Data'!Y943</f>
        <v>2026-07-17</v>
      </c>
      <c r="AE943" s="21" t="str">
        <f aca="false">'Player Data'!Z943</f>
        <v>2026-07-17</v>
      </c>
      <c r="AF943" s="28" t="str">
        <f aca="false">IFERROR(INDEX(Assumptions!$B$30:$B$61,MATCH(C943,Assumptions!$A$30:$A$61,0)),"--")</f>
        <v>Argentina, Portugal</v>
      </c>
      <c r="AG943" s="30" t="str">
        <f aca="false">IF(R943&gt;=0.7,"Step-Up Candidate",IF(R943&gt;=0.4,"Lateral Move","Stay &amp; Develop"))</f>
        <v>Step-Up Candidate</v>
      </c>
    </row>
    <row r="944" customFormat="false" ht="23.85" hidden="false" customHeight="false" outlineLevel="0" collapsed="false">
      <c r="A944" s="21" t="str">
        <f aca="false">'Player Data'!A944</f>
        <v>Carlos Mendoza</v>
      </c>
      <c r="B944" s="21" t="str">
        <f aca="false">'Player Data'!F944</f>
        <v>GK</v>
      </c>
      <c r="C944" s="21" t="str">
        <f aca="false">'Player Data'!B944</f>
        <v>Ecuador</v>
      </c>
      <c r="D944" s="21" t="str">
        <f aca="false">'Player Data'!C944</f>
        <v>Ecuador Third Tier - South</v>
      </c>
      <c r="E944" s="21" t="n">
        <f aca="false">'Player Data'!D944</f>
        <v>4</v>
      </c>
      <c r="F944" s="21" t="n">
        <f aca="false">'Player Data'!G944</f>
        <v>26</v>
      </c>
      <c r="G944" s="21" t="n">
        <f aca="false">'Player Data'!H944</f>
        <v>2355</v>
      </c>
      <c r="H944" s="22" t="n">
        <f aca="false">IF(B944="GK",IFERROR(('Player Data'!N944-1.5*'Player Data'!O944)/'Player Data'!H944*90,0),IFERROR(('Player Data'!I944+'Player Data'!J944)/'Player Data'!H944*90,0))</f>
        <v>1.26114649681529</v>
      </c>
      <c r="I944" s="22" t="n">
        <f aca="false">IF(B944="GK",'Player Data'!P944,IFERROR(('Player Data'!K944+'Player Data'!L944)/'Player Data'!H944*90,0))</f>
        <v>85.2</v>
      </c>
      <c r="J944" s="22" t="n">
        <f aca="false">IF(B944="GK",IFERROR('Player Data'!Q944/'Player Data'!H944*90,0),IFERROR('Player Data'!M944/'Player Data'!H944*90,0))</f>
        <v>0.775796178343949</v>
      </c>
      <c r="K944" s="23" t="n">
        <f aca="false">'Player Data'!S944</f>
        <v>0</v>
      </c>
      <c r="L944" s="22" t="n">
        <f aca="false">INDEX(Assumptions!$B$13:$B$15,MATCH(E944,Assumptions!$A$13:$A$15,0))</f>
        <v>0.7</v>
      </c>
      <c r="M944" s="24" t="n">
        <f aca="false">IFERROR(SUMPRODUCT(($B$2:$B$1001=B944)*($H$2:$H$1001&lt;=H944))/SUMPRODUCT(($B$2:$B$1001=B944)*1),0)</f>
        <v>0.562841530054645</v>
      </c>
      <c r="N944" s="24" t="n">
        <f aca="false">IFERROR(SUMPRODUCT(($B$2:$B$1001=B944)*($I$2:$I$1001&lt;=I944))/SUMPRODUCT(($B$2:$B$1001=B944)*1),0)</f>
        <v>0.863387978142077</v>
      </c>
      <c r="O944" s="24" t="n">
        <f aca="false">IFERROR(SUMPRODUCT(($B$2:$B$1001=B944)*($J$2:$J$1001&lt;=J944))/SUMPRODUCT(($B$2:$B$1001=B944)*1),0)</f>
        <v>0.442622950819672</v>
      </c>
      <c r="P944" s="24" t="n">
        <f aca="false">IFERROR(SUMPRODUCT(($B$2:$B$1001=B944)*((0-$F$2:$F$1001)&lt;=(0-F944)))/SUMPRODUCT(($B$2:$B$1001=B944)*1),0)</f>
        <v>0.131147540983607</v>
      </c>
      <c r="Q944" s="25" t="n">
        <f aca="false">(M944*Assumptions!$B$5+N944*Assumptions!$B$6+O944*Assumptions!$B$7+P944*Assumptions!$B$8)*L944</f>
        <v>0.390355191256831</v>
      </c>
      <c r="R944" s="24" t="n">
        <f aca="false">IFERROR(SUMPRODUCT(($B$2:$B$1001=B944)*($Q$2:$Q$1001&lt;=Q944))/SUMPRODUCT(($B$2:$B$1001=B944)*1),0)</f>
        <v>0.344262295081967</v>
      </c>
      <c r="S944" s="24" t="n">
        <f aca="false">IFERROR(SUMPRODUCT(($B$2:$B$1001=B944)*($K$2:$K$1001&lt;=K944))/SUMPRODUCT(($B$2:$B$1001=B944)*1),0)</f>
        <v>0.218579234972678</v>
      </c>
      <c r="T944" s="26" t="n">
        <f aca="false">(R944-S944)*100</f>
        <v>12.568306010929</v>
      </c>
      <c r="U944" s="21" t="str">
        <f aca="false">'Player Data'!T944</f>
        <v>Yes</v>
      </c>
      <c r="V944" s="27" t="n">
        <f aca="false">'Player Data'!U944</f>
        <v>2028</v>
      </c>
      <c r="W944" s="21" t="str">
        <f aca="false">IF(AND(T944&gt;=Assumptions!$B$19,U944="No"),"High Priority - Unrepresented",IF(T944&gt;=Assumptions!$B$19,"High Priority",IF(AND(T944&gt;=Assumptions!$B$20,U944="No"),"Watchlist - Unrepresented",IF(T944&gt;=Assumptions!$B$20,"Watchlist",""))))</f>
        <v/>
      </c>
      <c r="X944" s="21" t="str">
        <f aca="false">'Player Data'!V944</f>
        <v>info@cuencasc.ec</v>
      </c>
      <c r="Y944" s="28" t="str">
        <f aca="false">'Player Data'!W944</f>
        <v>Go through the player's agent - ask the club to confirm representation first</v>
      </c>
      <c r="Z944" s="28" t="str">
        <f aca="false">'Player Data'!X944</f>
        <v>FEF (Ecuadorian Football Federation) player registry</v>
      </c>
      <c r="AA944" s="19" t="str">
        <f aca="false">HYPERLINK("https://www.transfermarkt.com/schnellsuche/ergebnis/schnellsuche?query="&amp;SUBSTITUTE(A944," ","+"),"Search Transfermarkt")</f>
        <v>Search Transfermarkt</v>
      </c>
      <c r="AB944" s="29" t="n">
        <f aca="false">IFERROR('Player Data'!K944/('Player Data'!K944+'Player Data'!L944),0)</f>
        <v>1</v>
      </c>
      <c r="AC944" s="21" t="str">
        <f aca="false">IF(B944="GK",IF(AND(O944&gt;=Assumptions!$B$23,N944&gt;=Assumptions!$B$23),"Sweeper-Keeper / Build-from-the-Back",IF(O944&gt;=Assumptions!$B$23,"Sweeper-Keeper / High Line",IF(M944&gt;=Assumptions!$B$23,"Shot-Stopper / Traditional","Flexible / Multi-System"))),IF(AND(O944&gt;=Assumptions!$B$23,P944&gt;=Assumptions!$B$24),"High Press / Gegenpressing",IF(AND(N944&gt;=Assumptions!$B$23,AB944&gt;=Assumptions!$B$25),"Possession / Build-from-the-Back",IF(N944&gt;=Assumptions!$B$23,"Counter-Attack / Transition",IF(AND(O944&gt;=Assumptions!$B$23,N944&lt;Assumptions!$B$26),"Low Block / Park the Bus",IF(AND(B944="FW",M944&gt;=Assumptions!$B$23,N944&lt;Assumptions!$B$26),"Direct / Target Approach","Flexible / Multi-System"))))))</f>
        <v>Flexible / Multi-System</v>
      </c>
      <c r="AD944" s="21" t="str">
        <f aca="false">'Player Data'!Y944</f>
        <v>2026-07-17</v>
      </c>
      <c r="AE944" s="21" t="str">
        <f aca="false">'Player Data'!Z944</f>
        <v>2026-07-17</v>
      </c>
      <c r="AF944" s="28" t="str">
        <f aca="false">IFERROR(INDEX(Assumptions!$B$30:$B$61,MATCH(C944,Assumptions!$A$30:$A$61,0)),"--")</f>
        <v>Argentina, Portugal</v>
      </c>
      <c r="AG944" s="30" t="str">
        <f aca="false">IF(R944&gt;=0.7,"Step-Up Candidate",IF(R944&gt;=0.4,"Lateral Move","Stay &amp; Develop"))</f>
        <v>Stay &amp; Develop</v>
      </c>
    </row>
    <row r="945" customFormat="false" ht="23.85" hidden="false" customHeight="false" outlineLevel="0" collapsed="false">
      <c r="A945" s="21" t="str">
        <f aca="false">'Player Data'!A945</f>
        <v>Amadou Traore 89</v>
      </c>
      <c r="B945" s="21" t="str">
        <f aca="false">'Player Data'!F945</f>
        <v>MF</v>
      </c>
      <c r="C945" s="21" t="str">
        <f aca="false">'Player Data'!B945</f>
        <v>Mali</v>
      </c>
      <c r="D945" s="21" t="str">
        <f aca="false">'Player Data'!C945</f>
        <v>Mali Reserve League</v>
      </c>
      <c r="E945" s="21" t="n">
        <f aca="false">'Player Data'!D945</f>
        <v>2</v>
      </c>
      <c r="F945" s="21" t="n">
        <f aca="false">'Player Data'!G945</f>
        <v>21</v>
      </c>
      <c r="G945" s="21" t="n">
        <f aca="false">'Player Data'!H945</f>
        <v>2172</v>
      </c>
      <c r="H945" s="22" t="n">
        <f aca="false">IF(B945="GK",IFERROR(('Player Data'!N945-1.5*'Player Data'!O945)/'Player Data'!H945*90,0),IFERROR(('Player Data'!I945+'Player Data'!J945)/'Player Data'!H945*90,0))</f>
        <v>0.497237569060773</v>
      </c>
      <c r="I945" s="22" t="n">
        <f aca="false">IF(B945="GK",'Player Data'!P945,IFERROR(('Player Data'!K945+'Player Data'!L945)/'Player Data'!H945*90,0))</f>
        <v>8.70165745856354</v>
      </c>
      <c r="J945" s="22" t="n">
        <f aca="false">IF(B945="GK",IFERROR('Player Data'!Q945/'Player Data'!H945*90,0),IFERROR('Player Data'!M945/'Player Data'!H945*90,0))</f>
        <v>1.57458563535912</v>
      </c>
      <c r="K945" s="23" t="n">
        <f aca="false">'Player Data'!S945</f>
        <v>0</v>
      </c>
      <c r="L945" s="22" t="n">
        <f aca="false">INDEX(Assumptions!$B$13:$B$15,MATCH(E945,Assumptions!$A$13:$A$15,0))</f>
        <v>1</v>
      </c>
      <c r="M945" s="24" t="n">
        <f aca="false">IFERROR(SUMPRODUCT(($B$2:$B$1001=B945)*($H$2:$H$1001&lt;=H945))/SUMPRODUCT(($B$2:$B$1001=B945)*1),0)</f>
        <v>0.218855218855219</v>
      </c>
      <c r="N945" s="24" t="n">
        <f aca="false">IFERROR(SUMPRODUCT(($B$2:$B$1001=B945)*($I$2:$I$1001&lt;=I945))/SUMPRODUCT(($B$2:$B$1001=B945)*1),0)</f>
        <v>0.232323232323232</v>
      </c>
      <c r="O945" s="24" t="n">
        <f aca="false">IFERROR(SUMPRODUCT(($B$2:$B$1001=B945)*($J$2:$J$1001&lt;=J945))/SUMPRODUCT(($B$2:$B$1001=B945)*1),0)</f>
        <v>0.205387205387205</v>
      </c>
      <c r="P945" s="24" t="n">
        <f aca="false">IFERROR(SUMPRODUCT(($B$2:$B$1001=B945)*((0-$F$2:$F$1001)&lt;=(0-F945)))/SUMPRODUCT(($B$2:$B$1001=B945)*1),0)</f>
        <v>0.61952861952862</v>
      </c>
      <c r="Q945" s="25" t="n">
        <f aca="false">(M945*Assumptions!$B$5+N945*Assumptions!$B$6+O945*Assumptions!$B$7+P945*Assumptions!$B$8)*L945</f>
        <v>0.301010101010101</v>
      </c>
      <c r="R945" s="24" t="n">
        <f aca="false">IFERROR(SUMPRODUCT(($B$2:$B$1001=B945)*($Q$2:$Q$1001&lt;=Q945))/SUMPRODUCT(($B$2:$B$1001=B945)*1),0)</f>
        <v>0.249158249158249</v>
      </c>
      <c r="S945" s="24" t="n">
        <f aca="false">IFERROR(SUMPRODUCT(($B$2:$B$1001=B945)*($K$2:$K$1001&lt;=K945))/SUMPRODUCT(($B$2:$B$1001=B945)*1),0)</f>
        <v>0.228956228956229</v>
      </c>
      <c r="T945" s="26" t="n">
        <f aca="false">(R945-S945)*100</f>
        <v>2.02020202020202</v>
      </c>
      <c r="U945" s="21" t="str">
        <f aca="false">'Player Data'!T945</f>
        <v>Yes</v>
      </c>
      <c r="V945" s="27" t="n">
        <f aca="false">'Player Data'!U945</f>
        <v>2028</v>
      </c>
      <c r="W945" s="21" t="str">
        <f aca="false">IF(AND(T945&gt;=Assumptions!$B$19,U945="No"),"High Priority - Unrepresented",IF(T945&gt;=Assumptions!$B$19,"High Priority",IF(AND(T945&gt;=Assumptions!$B$20,U945="No"),"Watchlist - Unrepresented",IF(T945&gt;=Assumptions!$B$20,"Watchlist",""))))</f>
        <v/>
      </c>
      <c r="X945" s="21" t="str">
        <f aca="false">'Player Data'!V945</f>
        <v>info@sikassoathletic.ml</v>
      </c>
      <c r="Y945" s="28" t="str">
        <f aca="false">'Player Data'!W945</f>
        <v>Go through the player's agent - ask the club to confirm representation first</v>
      </c>
      <c r="Z945" s="28" t="str">
        <f aca="false">'Player Data'!X945</f>
        <v>FEMAFOOT (Malian Football Federation) player registry</v>
      </c>
      <c r="AA945" s="19" t="str">
        <f aca="false">HYPERLINK("https://www.transfermarkt.com/schnellsuche/ergebnis/schnellsuche?query="&amp;SUBSTITUTE(A945," ","+"),"Search Transfermarkt")</f>
        <v>Search Transfermarkt</v>
      </c>
      <c r="AB945" s="29" t="n">
        <f aca="false">IFERROR('Player Data'!K945/('Player Data'!K945+'Player Data'!L945),0)</f>
        <v>0.647619047619048</v>
      </c>
      <c r="AC945" s="21" t="str">
        <f aca="false">IF(B945="GK",IF(AND(O945&gt;=Assumptions!$B$23,N945&gt;=Assumptions!$B$23),"Sweeper-Keeper / Build-from-the-Back",IF(O945&gt;=Assumptions!$B$23,"Sweeper-Keeper / High Line",IF(M945&gt;=Assumptions!$B$23,"Shot-Stopper / Traditional","Flexible / Multi-System"))),IF(AND(O945&gt;=Assumptions!$B$23,P945&gt;=Assumptions!$B$24),"High Press / Gegenpressing",IF(AND(N945&gt;=Assumptions!$B$23,AB945&gt;=Assumptions!$B$25),"Possession / Build-from-the-Back",IF(N945&gt;=Assumptions!$B$23,"Counter-Attack / Transition",IF(AND(O945&gt;=Assumptions!$B$23,N945&lt;Assumptions!$B$26),"Low Block / Park the Bus",IF(AND(B945="FW",M945&gt;=Assumptions!$B$23,N945&lt;Assumptions!$B$26),"Direct / Target Approach","Flexible / Multi-System"))))))</f>
        <v>Flexible / Multi-System</v>
      </c>
      <c r="AD945" s="21" t="str">
        <f aca="false">'Player Data'!Y945</f>
        <v>2026-07-17</v>
      </c>
      <c r="AE945" s="21" t="str">
        <f aca="false">'Player Data'!Z945</f>
        <v>2026-07-17</v>
      </c>
      <c r="AF945" s="28" t="str">
        <f aca="false">IFERROR(INDEX(Assumptions!$B$30:$B$61,MATCH(C945,Assumptions!$A$30:$A$61,0)),"--")</f>
        <v>Belgium, Portugal</v>
      </c>
      <c r="AG945" s="30" t="str">
        <f aca="false">IF(R945&gt;=0.7,"Step-Up Candidate",IF(R945&gt;=0.4,"Lateral Move","Stay &amp; Develop"))</f>
        <v>Stay &amp; Develop</v>
      </c>
    </row>
    <row r="946" customFormat="false" ht="23.85" hidden="false" customHeight="false" outlineLevel="0" collapsed="false">
      <c r="A946" s="21" t="str">
        <f aca="false">'Player Data'!A946</f>
        <v>Karlo Horvat</v>
      </c>
      <c r="B946" s="21" t="str">
        <f aca="false">'Player Data'!F946</f>
        <v>MF</v>
      </c>
      <c r="C946" s="21" t="str">
        <f aca="false">'Player Data'!B946</f>
        <v>Croatia</v>
      </c>
      <c r="D946" s="21" t="str">
        <f aca="false">'Player Data'!C946</f>
        <v>Croatia Regional League</v>
      </c>
      <c r="E946" s="21" t="n">
        <f aca="false">'Player Data'!D946</f>
        <v>3</v>
      </c>
      <c r="F946" s="21" t="n">
        <f aca="false">'Player Data'!G946</f>
        <v>24</v>
      </c>
      <c r="G946" s="21" t="n">
        <f aca="false">'Player Data'!H946</f>
        <v>1434</v>
      </c>
      <c r="H946" s="22" t="n">
        <f aca="false">IF(B946="GK",IFERROR(('Player Data'!N946-1.5*'Player Data'!O946)/'Player Data'!H946*90,0),IFERROR(('Player Data'!I946+'Player Data'!J946)/'Player Data'!H946*90,0))</f>
        <v>0.690376569037657</v>
      </c>
      <c r="I946" s="22" t="n">
        <f aca="false">IF(B946="GK",'Player Data'!P946,IFERROR(('Player Data'!K946+'Player Data'!L946)/'Player Data'!H946*90,0))</f>
        <v>15.5648535564854</v>
      </c>
      <c r="J946" s="22" t="n">
        <f aca="false">IF(B946="GK",IFERROR('Player Data'!Q946/'Player Data'!H946*90,0),IFERROR('Player Data'!M946/'Player Data'!H946*90,0))</f>
        <v>2.88702928870293</v>
      </c>
      <c r="K946" s="23" t="n">
        <f aca="false">'Player Data'!S946</f>
        <v>139638</v>
      </c>
      <c r="L946" s="22" t="n">
        <f aca="false">INDEX(Assumptions!$B$13:$B$15,MATCH(E946,Assumptions!$A$13:$A$15,0))</f>
        <v>0.85</v>
      </c>
      <c r="M946" s="24" t="n">
        <f aca="false">IFERROR(SUMPRODUCT(($B$2:$B$1001=B946)*($H$2:$H$1001&lt;=H946))/SUMPRODUCT(($B$2:$B$1001=B946)*1),0)</f>
        <v>0.444444444444444</v>
      </c>
      <c r="N946" s="24" t="n">
        <f aca="false">IFERROR(SUMPRODUCT(($B$2:$B$1001=B946)*($I$2:$I$1001&lt;=I946))/SUMPRODUCT(($B$2:$B$1001=B946)*1),0)</f>
        <v>0.771043771043771</v>
      </c>
      <c r="O946" s="24" t="n">
        <f aca="false">IFERROR(SUMPRODUCT(($B$2:$B$1001=B946)*($J$2:$J$1001&lt;=J946))/SUMPRODUCT(($B$2:$B$1001=B946)*1),0)</f>
        <v>0.760942760942761</v>
      </c>
      <c r="P946" s="24" t="n">
        <f aca="false">IFERROR(SUMPRODUCT(($B$2:$B$1001=B946)*((0-$F$2:$F$1001)&lt;=(0-F946)))/SUMPRODUCT(($B$2:$B$1001=B946)*1),0)</f>
        <v>0.326599326599327</v>
      </c>
      <c r="Q946" s="25" t="n">
        <f aca="false">(M946*Assumptions!$B$5+N946*Assumptions!$B$6+O946*Assumptions!$B$7+P946*Assumptions!$B$8)*L946</f>
        <v>0.508712121212121</v>
      </c>
      <c r="R946" s="24" t="n">
        <f aca="false">IFERROR(SUMPRODUCT(($B$2:$B$1001=B946)*($Q$2:$Q$1001&lt;=Q946))/SUMPRODUCT(($B$2:$B$1001=B946)*1),0)</f>
        <v>0.62962962962963</v>
      </c>
      <c r="S946" s="24" t="n">
        <f aca="false">IFERROR(SUMPRODUCT(($B$2:$B$1001=B946)*($K$2:$K$1001&lt;=K946))/SUMPRODUCT(($B$2:$B$1001=B946)*1),0)</f>
        <v>0.96969696969697</v>
      </c>
      <c r="T946" s="26" t="n">
        <f aca="false">(R946-S946)*100</f>
        <v>-34.006734006734</v>
      </c>
      <c r="U946" s="21" t="str">
        <f aca="false">'Player Data'!T946</f>
        <v>No</v>
      </c>
      <c r="V946" s="27" t="n">
        <f aca="false">'Player Data'!U946</f>
        <v>2026</v>
      </c>
      <c r="W946" s="21" t="str">
        <f aca="false">IF(AND(T946&gt;=Assumptions!$B$19,U946="No"),"High Priority - Unrepresented",IF(T946&gt;=Assumptions!$B$19,"High Priority",IF(AND(T946&gt;=Assumptions!$B$20,U946="No"),"Watchlist - Unrepresented",IF(T946&gt;=Assumptions!$B$20,"Watchlist",""))))</f>
        <v/>
      </c>
      <c r="X946" s="21" t="str">
        <f aca="false">'Player Data'!V946</f>
        <v>info@bijelobrdorovers.hr</v>
      </c>
      <c r="Y946" s="28" t="str">
        <f aca="false">'Player Data'!W946</f>
        <v>Club sporting director / first-team office</v>
      </c>
      <c r="Z946" s="28" t="str">
        <f aca="false">'Player Data'!X946</f>
        <v>HNS (Croatian Football Federation) player registry</v>
      </c>
      <c r="AA946" s="19" t="str">
        <f aca="false">HYPERLINK("https://www.transfermarkt.com/schnellsuche/ergebnis/schnellsuche?query="&amp;SUBSTITUTE(A946," ","+"),"Search Transfermarkt")</f>
        <v>Search Transfermarkt</v>
      </c>
      <c r="AB946" s="29" t="n">
        <f aca="false">IFERROR('Player Data'!K946/('Player Data'!K946+'Player Data'!L946),0)</f>
        <v>0.629032258064516</v>
      </c>
      <c r="AC946" s="21" t="str">
        <f aca="false">IF(B946="GK",IF(AND(O946&gt;=Assumptions!$B$23,N946&gt;=Assumptions!$B$23),"Sweeper-Keeper / Build-from-the-Back",IF(O946&gt;=Assumptions!$B$23,"Sweeper-Keeper / High Line",IF(M946&gt;=Assumptions!$B$23,"Shot-Stopper / Traditional","Flexible / Multi-System"))),IF(AND(O946&gt;=Assumptions!$B$23,P946&gt;=Assumptions!$B$24),"High Press / Gegenpressing",IF(AND(N946&gt;=Assumptions!$B$23,AB946&gt;=Assumptions!$B$25),"Possession / Build-from-the-Back",IF(N946&gt;=Assumptions!$B$23,"Counter-Attack / Transition",IF(AND(O946&gt;=Assumptions!$B$23,N946&lt;Assumptions!$B$26),"Low Block / Park the Bus",IF(AND(B946="FW",M946&gt;=Assumptions!$B$23,N946&lt;Assumptions!$B$26),"Direct / Target Approach","Flexible / Multi-System"))))))</f>
        <v>Possession / Build-from-the-Back</v>
      </c>
      <c r="AD946" s="21" t="str">
        <f aca="false">'Player Data'!Y946</f>
        <v>2026-07-17</v>
      </c>
      <c r="AE946" s="21" t="str">
        <f aca="false">'Player Data'!Z946</f>
        <v>2026-07-17</v>
      </c>
      <c r="AF946" s="28" t="str">
        <f aca="false">IFERROR(INDEX(Assumptions!$B$30:$B$61,MATCH(C946,Assumptions!$A$30:$A$61,0)),"--")</f>
        <v>Austria, Turkey</v>
      </c>
      <c r="AG946" s="30" t="str">
        <f aca="false">IF(R946&gt;=0.7,"Step-Up Candidate",IF(R946&gt;=0.4,"Lateral Move","Stay &amp; Develop"))</f>
        <v>Lateral Move</v>
      </c>
    </row>
    <row r="947" customFormat="false" ht="23.85" hidden="false" customHeight="false" outlineLevel="0" collapsed="false">
      <c r="A947" s="21" t="str">
        <f aca="false">'Player Data'!A947</f>
        <v>Andrej Vukotic</v>
      </c>
      <c r="B947" s="21" t="str">
        <f aca="false">'Player Data'!F947</f>
        <v>DF</v>
      </c>
      <c r="C947" s="21" t="str">
        <f aca="false">'Player Data'!B947</f>
        <v>Montenegro</v>
      </c>
      <c r="D947" s="21" t="str">
        <f aca="false">'Player Data'!C947</f>
        <v>Montenegro Second Division - West</v>
      </c>
      <c r="E947" s="21" t="n">
        <f aca="false">'Player Data'!D947</f>
        <v>3</v>
      </c>
      <c r="F947" s="21" t="n">
        <f aca="false">'Player Data'!G947</f>
        <v>21</v>
      </c>
      <c r="G947" s="21" t="n">
        <f aca="false">'Player Data'!H947</f>
        <v>2263</v>
      </c>
      <c r="H947" s="22" t="n">
        <f aca="false">IF(B947="GK",IFERROR(('Player Data'!N947-1.5*'Player Data'!O947)/'Player Data'!H947*90,0),IFERROR(('Player Data'!I947+'Player Data'!J947)/'Player Data'!H947*90,0))</f>
        <v>0.159080866106938</v>
      </c>
      <c r="I947" s="22" t="n">
        <f aca="false">IF(B947="GK",'Player Data'!P947,IFERROR(('Player Data'!K947+'Player Data'!L947)/'Player Data'!H947*90,0))</f>
        <v>2.90322580645161</v>
      </c>
      <c r="J947" s="22" t="n">
        <f aca="false">IF(B947="GK",IFERROR('Player Data'!Q947/'Player Data'!H947*90,0),IFERROR('Player Data'!M947/'Player Data'!H947*90,0))</f>
        <v>3.26115775519222</v>
      </c>
      <c r="K947" s="23" t="n">
        <f aca="false">'Player Data'!S947</f>
        <v>98196</v>
      </c>
      <c r="L947" s="22" t="n">
        <f aca="false">INDEX(Assumptions!$B$13:$B$15,MATCH(E947,Assumptions!$A$13:$A$15,0))</f>
        <v>0.85</v>
      </c>
      <c r="M947" s="24" t="n">
        <f aca="false">IFERROR(SUMPRODUCT(($B$2:$B$1001=B947)*($H$2:$H$1001&lt;=H947))/SUMPRODUCT(($B$2:$B$1001=B947)*1),0)</f>
        <v>0.384353741496599</v>
      </c>
      <c r="N947" s="24" t="n">
        <f aca="false">IFERROR(SUMPRODUCT(($B$2:$B$1001=B947)*($I$2:$I$1001&lt;=I947))/SUMPRODUCT(($B$2:$B$1001=B947)*1),0)</f>
        <v>0.054421768707483</v>
      </c>
      <c r="O947" s="24" t="n">
        <f aca="false">IFERROR(SUMPRODUCT(($B$2:$B$1001=B947)*($J$2:$J$1001&lt;=J947))/SUMPRODUCT(($B$2:$B$1001=B947)*1),0)</f>
        <v>0.0510204081632653</v>
      </c>
      <c r="P947" s="24" t="n">
        <f aca="false">IFERROR(SUMPRODUCT(($B$2:$B$1001=B947)*((0-$F$2:$F$1001)&lt;=(0-F947)))/SUMPRODUCT(($B$2:$B$1001=B947)*1),0)</f>
        <v>0.568027210884354</v>
      </c>
      <c r="Q947" s="25" t="n">
        <f aca="false">(M947*Assumptions!$B$5+N947*Assumptions!$B$6+O947*Assumptions!$B$7+P947*Assumptions!$B$8)*L947</f>
        <v>0.203103741496599</v>
      </c>
      <c r="R947" s="24" t="n">
        <f aca="false">IFERROR(SUMPRODUCT(($B$2:$B$1001=B947)*($Q$2:$Q$1001&lt;=Q947))/SUMPRODUCT(($B$2:$B$1001=B947)*1),0)</f>
        <v>0.0816326530612245</v>
      </c>
      <c r="S947" s="24" t="n">
        <f aca="false">IFERROR(SUMPRODUCT(($B$2:$B$1001=B947)*($K$2:$K$1001&lt;=K947))/SUMPRODUCT(($B$2:$B$1001=B947)*1),0)</f>
        <v>0.731292517006803</v>
      </c>
      <c r="T947" s="26" t="n">
        <f aca="false">(R947-S947)*100</f>
        <v>-64.9659863945578</v>
      </c>
      <c r="U947" s="21" t="str">
        <f aca="false">'Player Data'!T947</f>
        <v>Unknown</v>
      </c>
      <c r="V947" s="27" t="n">
        <f aca="false">'Player Data'!U947</f>
        <v>2027</v>
      </c>
      <c r="W947" s="21" t="str">
        <f aca="false">IF(AND(T947&gt;=Assumptions!$B$19,U947="No"),"High Priority - Unrepresented",IF(T947&gt;=Assumptions!$B$19,"High Priority",IF(AND(T947&gt;=Assumptions!$B$20,U947="No"),"Watchlist - Unrepresented",IF(T947&gt;=Assumptions!$B$20,"Watchlist",""))))</f>
        <v/>
      </c>
      <c r="X947" s="21" t="str">
        <f aca="false">'Player Data'!V947</f>
        <v>info@podgoricawanderers.me</v>
      </c>
      <c r="Y947" s="28" t="str">
        <f aca="false">'Player Data'!W947</f>
        <v>Club sporting director / first-team office</v>
      </c>
      <c r="Z947" s="28" t="str">
        <f aca="false">'Player Data'!X947</f>
        <v>FSCG (Football Association of Montenegro) player registry</v>
      </c>
      <c r="AA947" s="19" t="str">
        <f aca="false">HYPERLINK("https://www.transfermarkt.com/schnellsuche/ergebnis/schnellsuche?query="&amp;SUBSTITUTE(A947," ","+"),"Search Transfermarkt")</f>
        <v>Search Transfermarkt</v>
      </c>
      <c r="AB947" s="29" t="n">
        <f aca="false">IFERROR('Player Data'!K947/('Player Data'!K947+'Player Data'!L947),0)</f>
        <v>0.684931506849315</v>
      </c>
      <c r="AC947" s="21" t="str">
        <f aca="false">IF(B947="GK",IF(AND(O947&gt;=Assumptions!$B$23,N947&gt;=Assumptions!$B$23),"Sweeper-Keeper / Build-from-the-Back",IF(O947&gt;=Assumptions!$B$23,"Sweeper-Keeper / High Line",IF(M947&gt;=Assumptions!$B$23,"Shot-Stopper / Traditional","Flexible / Multi-System"))),IF(AND(O947&gt;=Assumptions!$B$23,P947&gt;=Assumptions!$B$24),"High Press / Gegenpressing",IF(AND(N947&gt;=Assumptions!$B$23,AB947&gt;=Assumptions!$B$25),"Possession / Build-from-the-Back",IF(N947&gt;=Assumptions!$B$23,"Counter-Attack / Transition",IF(AND(O947&gt;=Assumptions!$B$23,N947&lt;Assumptions!$B$26),"Low Block / Park the Bus",IF(AND(B947="FW",M947&gt;=Assumptions!$B$23,N947&lt;Assumptions!$B$26),"Direct / Target Approach","Flexible / Multi-System"))))))</f>
        <v>Flexible / Multi-System</v>
      </c>
      <c r="AD947" s="21" t="str">
        <f aca="false">'Player Data'!Y947</f>
        <v>2026-07-17</v>
      </c>
      <c r="AE947" s="21" t="str">
        <f aca="false">'Player Data'!Z947</f>
        <v>2026-07-17</v>
      </c>
      <c r="AF947" s="28" t="str">
        <f aca="false">IFERROR(INDEX(Assumptions!$B$30:$B$61,MATCH(C947,Assumptions!$A$30:$A$61,0)),"--")</f>
        <v>Austria, Turkey</v>
      </c>
      <c r="AG947" s="30" t="str">
        <f aca="false">IF(R947&gt;=0.7,"Step-Up Candidate",IF(R947&gt;=0.4,"Lateral Move","Stay &amp; Develop"))</f>
        <v>Stay &amp; Develop</v>
      </c>
    </row>
    <row r="948" customFormat="false" ht="23.85" hidden="false" customHeight="false" outlineLevel="0" collapsed="false">
      <c r="A948" s="21" t="str">
        <f aca="false">'Player Data'!A948</f>
        <v>Oumar Camara 95</v>
      </c>
      <c r="B948" s="21" t="str">
        <f aca="false">'Player Data'!F948</f>
        <v>DF</v>
      </c>
      <c r="C948" s="21" t="str">
        <f aca="false">'Player Data'!B948</f>
        <v>Mali</v>
      </c>
      <c r="D948" s="21" t="str">
        <f aca="false">'Player Data'!C948</f>
        <v>Mali Provincial League</v>
      </c>
      <c r="E948" s="21" t="n">
        <f aca="false">'Player Data'!D948</f>
        <v>3</v>
      </c>
      <c r="F948" s="21" t="n">
        <f aca="false">'Player Data'!G948</f>
        <v>20</v>
      </c>
      <c r="G948" s="21" t="n">
        <f aca="false">'Player Data'!H948</f>
        <v>1615</v>
      </c>
      <c r="H948" s="22" t="n">
        <f aca="false">IF(B948="GK",IFERROR(('Player Data'!N948-1.5*'Player Data'!O948)/'Player Data'!H948*90,0),IFERROR(('Player Data'!I948+'Player Data'!J948)/'Player Data'!H948*90,0))</f>
        <v>0.278637770897833</v>
      </c>
      <c r="I948" s="22" t="n">
        <f aca="false">IF(B948="GK",'Player Data'!P948,IFERROR(('Player Data'!K948+'Player Data'!L948)/'Player Data'!H948*90,0))</f>
        <v>3.84520123839009</v>
      </c>
      <c r="J948" s="22" t="n">
        <f aca="false">IF(B948="GK",IFERROR('Player Data'!Q948/'Player Data'!H948*90,0),IFERROR('Player Data'!M948/'Player Data'!H948*90,0))</f>
        <v>7.13312693498452</v>
      </c>
      <c r="K948" s="23" t="n">
        <f aca="false">'Player Data'!S948</f>
        <v>53607</v>
      </c>
      <c r="L948" s="22" t="n">
        <f aca="false">INDEX(Assumptions!$B$13:$B$15,MATCH(E948,Assumptions!$A$13:$A$15,0))</f>
        <v>0.85</v>
      </c>
      <c r="M948" s="24" t="n">
        <f aca="false">IFERROR(SUMPRODUCT(($B$2:$B$1001=B948)*($H$2:$H$1001&lt;=H948))/SUMPRODUCT(($B$2:$B$1001=B948)*1),0)</f>
        <v>0.714285714285714</v>
      </c>
      <c r="N948" s="24" t="n">
        <f aca="false">IFERROR(SUMPRODUCT(($B$2:$B$1001=B948)*($I$2:$I$1001&lt;=I948))/SUMPRODUCT(($B$2:$B$1001=B948)*1),0)</f>
        <v>0.360544217687075</v>
      </c>
      <c r="O948" s="24" t="n">
        <f aca="false">IFERROR(SUMPRODUCT(($B$2:$B$1001=B948)*($J$2:$J$1001&lt;=J948))/SUMPRODUCT(($B$2:$B$1001=B948)*1),0)</f>
        <v>0.758503401360544</v>
      </c>
      <c r="P948" s="24" t="n">
        <f aca="false">IFERROR(SUMPRODUCT(($B$2:$B$1001=B948)*((0-$F$2:$F$1001)&lt;=(0-F948)))/SUMPRODUCT(($B$2:$B$1001=B948)*1),0)</f>
        <v>0.656462585034014</v>
      </c>
      <c r="Q948" s="25" t="n">
        <f aca="false">(M948*Assumptions!$B$5+N948*Assumptions!$B$6+O948*Assumptions!$B$7+P948*Assumptions!$B$8)*L948</f>
        <v>0.499591836734694</v>
      </c>
      <c r="R948" s="24" t="n">
        <f aca="false">IFERROR(SUMPRODUCT(($B$2:$B$1001=B948)*($Q$2:$Q$1001&lt;=Q948))/SUMPRODUCT(($B$2:$B$1001=B948)*1),0)</f>
        <v>0.629251700680272</v>
      </c>
      <c r="S948" s="24" t="n">
        <f aca="false">IFERROR(SUMPRODUCT(($B$2:$B$1001=B948)*($K$2:$K$1001&lt;=K948))/SUMPRODUCT(($B$2:$B$1001=B948)*1),0)</f>
        <v>0.452380952380952</v>
      </c>
      <c r="T948" s="26" t="n">
        <f aca="false">(R948-S948)*100</f>
        <v>17.687074829932</v>
      </c>
      <c r="U948" s="21" t="str">
        <f aca="false">'Player Data'!T948</f>
        <v>Unknown</v>
      </c>
      <c r="V948" s="27" t="n">
        <f aca="false">'Player Data'!U948</f>
        <v>2027</v>
      </c>
      <c r="W948" s="21" t="str">
        <f aca="false">IF(AND(T948&gt;=Assumptions!$B$19,U948="No"),"High Priority - Unrepresented",IF(T948&gt;=Assumptions!$B$19,"High Priority",IF(AND(T948&gt;=Assumptions!$B$20,U948="No"),"Watchlist - Unrepresented",IF(T948&gt;=Assumptions!$B$20,"Watchlist",""))))</f>
        <v/>
      </c>
      <c r="X948" s="21" t="str">
        <f aca="false">'Player Data'!V948</f>
        <v>info@sikassofc.ml</v>
      </c>
      <c r="Y948" s="28" t="str">
        <f aca="false">'Player Data'!W948</f>
        <v>Club sporting director / first-team office</v>
      </c>
      <c r="Z948" s="28" t="str">
        <f aca="false">'Player Data'!X948</f>
        <v>FEMAFOOT (Malian Football Federation) player registry</v>
      </c>
      <c r="AA948" s="19" t="str">
        <f aca="false">HYPERLINK("https://www.transfermarkt.com/schnellsuche/ergebnis/schnellsuche?query="&amp;SUBSTITUTE(A948," ","+"),"Search Transfermarkt")</f>
        <v>Search Transfermarkt</v>
      </c>
      <c r="AB948" s="29" t="n">
        <f aca="false">IFERROR('Player Data'!K948/('Player Data'!K948+'Player Data'!L948),0)</f>
        <v>0.565217391304348</v>
      </c>
      <c r="AC948" s="21" t="str">
        <f aca="false">IF(B948="GK",IF(AND(O948&gt;=Assumptions!$B$23,N948&gt;=Assumptions!$B$23),"Sweeper-Keeper / Build-from-the-Back",IF(O948&gt;=Assumptions!$B$23,"Sweeper-Keeper / High Line",IF(M948&gt;=Assumptions!$B$23,"Shot-Stopper / Traditional","Flexible / Multi-System"))),IF(AND(O948&gt;=Assumptions!$B$23,P948&gt;=Assumptions!$B$24),"High Press / Gegenpressing",IF(AND(N948&gt;=Assumptions!$B$23,AB948&gt;=Assumptions!$B$25),"Possession / Build-from-the-Back",IF(N948&gt;=Assumptions!$B$23,"Counter-Attack / Transition",IF(AND(O948&gt;=Assumptions!$B$23,N948&lt;Assumptions!$B$26),"Low Block / Park the Bus",IF(AND(B948="FW",M948&gt;=Assumptions!$B$23,N948&lt;Assumptions!$B$26),"Direct / Target Approach","Flexible / Multi-System"))))))</f>
        <v>High Press / Gegenpressing</v>
      </c>
      <c r="AD948" s="21" t="str">
        <f aca="false">'Player Data'!Y948</f>
        <v>2026-07-17</v>
      </c>
      <c r="AE948" s="21" t="str">
        <f aca="false">'Player Data'!Z948</f>
        <v>2026-07-17</v>
      </c>
      <c r="AF948" s="28" t="str">
        <f aca="false">IFERROR(INDEX(Assumptions!$B$30:$B$61,MATCH(C948,Assumptions!$A$30:$A$61,0)),"--")</f>
        <v>Belgium, Portugal</v>
      </c>
      <c r="AG948" s="30" t="str">
        <f aca="false">IF(R948&gt;=0.7,"Step-Up Candidate",IF(R948&gt;=0.4,"Lateral Move","Stay &amp; Develop"))</f>
        <v>Lateral Move</v>
      </c>
    </row>
    <row r="949" customFormat="false" ht="23.85" hidden="false" customHeight="false" outlineLevel="0" collapsed="false">
      <c r="A949" s="21" t="str">
        <f aca="false">'Player Data'!A949</f>
        <v>Ziga Novak</v>
      </c>
      <c r="B949" s="21" t="str">
        <f aca="false">'Player Data'!F949</f>
        <v>FW</v>
      </c>
      <c r="C949" s="21" t="str">
        <f aca="false">'Player Data'!B949</f>
        <v>Slovenia</v>
      </c>
      <c r="D949" s="21" t="str">
        <f aca="false">'Player Data'!C949</f>
        <v>Slovenia Third Tier - South</v>
      </c>
      <c r="E949" s="21" t="n">
        <f aca="false">'Player Data'!D949</f>
        <v>4</v>
      </c>
      <c r="F949" s="21" t="n">
        <f aca="false">'Player Data'!G949</f>
        <v>20</v>
      </c>
      <c r="G949" s="21" t="n">
        <f aca="false">'Player Data'!H949</f>
        <v>1671</v>
      </c>
      <c r="H949" s="22" t="n">
        <f aca="false">IF(B949="GK",IFERROR(('Player Data'!N949-1.5*'Player Data'!O949)/'Player Data'!H949*90,0),IFERROR(('Player Data'!I949+'Player Data'!J949)/'Player Data'!H949*90,0))</f>
        <v>0.646319569120287</v>
      </c>
      <c r="I949" s="22" t="n">
        <f aca="false">IF(B949="GK",'Player Data'!P949,IFERROR(('Player Data'!K949+'Player Data'!L949)/'Player Data'!H949*90,0))</f>
        <v>6.46319569120287</v>
      </c>
      <c r="J949" s="22" t="n">
        <f aca="false">IF(B949="GK",IFERROR('Player Data'!Q949/'Player Data'!H949*90,0),IFERROR('Player Data'!M949/'Player Data'!H949*90,0))</f>
        <v>0.538599640933573</v>
      </c>
      <c r="K949" s="23" t="n">
        <f aca="false">'Player Data'!S949</f>
        <v>95299</v>
      </c>
      <c r="L949" s="22" t="n">
        <f aca="false">INDEX(Assumptions!$B$13:$B$15,MATCH(E949,Assumptions!$A$13:$A$15,0))</f>
        <v>0.7</v>
      </c>
      <c r="M949" s="24" t="n">
        <f aca="false">IFERROR(SUMPRODUCT(($B$2:$B$1001=B949)*($H$2:$H$1001&lt;=H949))/SUMPRODUCT(($B$2:$B$1001=B949)*1),0)</f>
        <v>0.194690265486726</v>
      </c>
      <c r="N949" s="24" t="n">
        <f aca="false">IFERROR(SUMPRODUCT(($B$2:$B$1001=B949)*($I$2:$I$1001&lt;=I949))/SUMPRODUCT(($B$2:$B$1001=B949)*1),0)</f>
        <v>0.486725663716814</v>
      </c>
      <c r="O949" s="24" t="n">
        <f aca="false">IFERROR(SUMPRODUCT(($B$2:$B$1001=B949)*($J$2:$J$1001&lt;=J949))/SUMPRODUCT(($B$2:$B$1001=B949)*1),0)</f>
        <v>0.557522123893805</v>
      </c>
      <c r="P949" s="24" t="n">
        <f aca="false">IFERROR(SUMPRODUCT(($B$2:$B$1001=B949)*((0-$F$2:$F$1001)&lt;=(0-F949)))/SUMPRODUCT(($B$2:$B$1001=B949)*1),0)</f>
        <v>0.712389380530973</v>
      </c>
      <c r="Q949" s="25" t="n">
        <f aca="false">(M949*Assumptions!$B$5+N949*Assumptions!$B$6+O949*Assumptions!$B$7+P949*Assumptions!$B$8)*L949</f>
        <v>0.331106194690265</v>
      </c>
      <c r="R949" s="24" t="n">
        <f aca="false">IFERROR(SUMPRODUCT(($B$2:$B$1001=B949)*($Q$2:$Q$1001&lt;=Q949))/SUMPRODUCT(($B$2:$B$1001=B949)*1),0)</f>
        <v>0.327433628318584</v>
      </c>
      <c r="S949" s="24" t="n">
        <f aca="false">IFERROR(SUMPRODUCT(($B$2:$B$1001=B949)*($K$2:$K$1001&lt;=K949))/SUMPRODUCT(($B$2:$B$1001=B949)*1),0)</f>
        <v>0.676991150442478</v>
      </c>
      <c r="T949" s="26" t="n">
        <f aca="false">(R949-S949)*100</f>
        <v>-34.9557522123894</v>
      </c>
      <c r="U949" s="21" t="str">
        <f aca="false">'Player Data'!T949</f>
        <v>No</v>
      </c>
      <c r="V949" s="27" t="n">
        <f aca="false">'Player Data'!U949</f>
        <v>2029</v>
      </c>
      <c r="W949" s="21" t="str">
        <f aca="false">IF(AND(T949&gt;=Assumptions!$B$19,U949="No"),"High Priority - Unrepresented",IF(T949&gt;=Assumptions!$B$19,"High Priority",IF(AND(T949&gt;=Assumptions!$B$20,U949="No"),"Watchlist - Unrepresented",IF(T949&gt;=Assumptions!$B$20,"Watchlist",""))))</f>
        <v/>
      </c>
      <c r="X949" s="21" t="str">
        <f aca="false">'Player Data'!V949</f>
        <v>info@ljubljanaathletic.si</v>
      </c>
      <c r="Y949" s="28" t="str">
        <f aca="false">'Player Data'!W949</f>
        <v>Club sporting director / first-team office</v>
      </c>
      <c r="Z949" s="28" t="str">
        <f aca="false">'Player Data'!X949</f>
        <v>NZS (Football Association of Slovenia) player registry</v>
      </c>
      <c r="AA949" s="19" t="str">
        <f aca="false">HYPERLINK("https://www.transfermarkt.com/schnellsuche/ergebnis/schnellsuche?query="&amp;SUBSTITUTE(A949," ","+"),"Search Transfermarkt")</f>
        <v>Search Transfermarkt</v>
      </c>
      <c r="AB949" s="29" t="n">
        <f aca="false">IFERROR('Player Data'!K949/('Player Data'!K949+'Player Data'!L949),0)</f>
        <v>0.425</v>
      </c>
      <c r="AC949" s="21" t="str">
        <f aca="false">IF(B949="GK",IF(AND(O949&gt;=Assumptions!$B$23,N949&gt;=Assumptions!$B$23),"Sweeper-Keeper / Build-from-the-Back",IF(O949&gt;=Assumptions!$B$23,"Sweeper-Keeper / High Line",IF(M949&gt;=Assumptions!$B$23,"Shot-Stopper / Traditional","Flexible / Multi-System"))),IF(AND(O949&gt;=Assumptions!$B$23,P949&gt;=Assumptions!$B$24),"High Press / Gegenpressing",IF(AND(N949&gt;=Assumptions!$B$23,AB949&gt;=Assumptions!$B$25),"Possession / Build-from-the-Back",IF(N949&gt;=Assumptions!$B$23,"Counter-Attack / Transition",IF(AND(O949&gt;=Assumptions!$B$23,N949&lt;Assumptions!$B$26),"Low Block / Park the Bus",IF(AND(B949="FW",M949&gt;=Assumptions!$B$23,N949&lt;Assumptions!$B$26),"Direct / Target Approach","Flexible / Multi-System"))))))</f>
        <v>Flexible / Multi-System</v>
      </c>
      <c r="AD949" s="21" t="str">
        <f aca="false">'Player Data'!Y949</f>
        <v>2026-07-17</v>
      </c>
      <c r="AE949" s="21" t="str">
        <f aca="false">'Player Data'!Z949</f>
        <v>2026-07-17</v>
      </c>
      <c r="AF949" s="28" t="str">
        <f aca="false">IFERROR(INDEX(Assumptions!$B$30:$B$61,MATCH(C949,Assumptions!$A$30:$A$61,0)),"--")</f>
        <v>Austria, Poland</v>
      </c>
      <c r="AG949" s="30" t="str">
        <f aca="false">IF(R949&gt;=0.7,"Step-Up Candidate",IF(R949&gt;=0.4,"Lateral Move","Stay &amp; Develop"))</f>
        <v>Stay &amp; Develop</v>
      </c>
    </row>
    <row r="950" customFormat="false" ht="23.85" hidden="false" customHeight="false" outlineLevel="0" collapsed="false">
      <c r="A950" s="21" t="str">
        <f aca="false">'Player Data'!A950</f>
        <v>Josip Kovac</v>
      </c>
      <c r="B950" s="21" t="str">
        <f aca="false">'Player Data'!F950</f>
        <v>DF</v>
      </c>
      <c r="C950" s="21" t="str">
        <f aca="false">'Player Data'!B950</f>
        <v>Croatia</v>
      </c>
      <c r="D950" s="21" t="str">
        <f aca="false">'Player Data'!C950</f>
        <v>Croatia Amateur League</v>
      </c>
      <c r="E950" s="21" t="n">
        <f aca="false">'Player Data'!D950</f>
        <v>2</v>
      </c>
      <c r="F950" s="21" t="n">
        <f aca="false">'Player Data'!G950</f>
        <v>26</v>
      </c>
      <c r="G950" s="21" t="n">
        <f aca="false">'Player Data'!H950</f>
        <v>1849</v>
      </c>
      <c r="H950" s="22" t="n">
        <f aca="false">IF(B950="GK",IFERROR(('Player Data'!N950-1.5*'Player Data'!O950)/'Player Data'!H950*90,0),IFERROR(('Player Data'!I950+'Player Data'!J950)/'Player Data'!H950*90,0))</f>
        <v>0.0486749594375338</v>
      </c>
      <c r="I950" s="22" t="n">
        <f aca="false">IF(B950="GK",'Player Data'!P950,IFERROR(('Player Data'!K950+'Player Data'!L950)/'Player Data'!H950*90,0))</f>
        <v>5.45159545700379</v>
      </c>
      <c r="J950" s="22" t="n">
        <f aca="false">IF(B950="GK",IFERROR('Player Data'!Q950/'Player Data'!H950*90,0),IFERROR('Player Data'!M950/'Player Data'!H950*90,0))</f>
        <v>5.93834505137912</v>
      </c>
      <c r="K950" s="23" t="n">
        <f aca="false">'Player Data'!S950</f>
        <v>114209</v>
      </c>
      <c r="L950" s="22" t="n">
        <f aca="false">INDEX(Assumptions!$B$13:$B$15,MATCH(E950,Assumptions!$A$13:$A$15,0))</f>
        <v>1</v>
      </c>
      <c r="M950" s="24" t="n">
        <f aca="false">IFERROR(SUMPRODUCT(($B$2:$B$1001=B950)*($H$2:$H$1001&lt;=H950))/SUMPRODUCT(($B$2:$B$1001=B950)*1),0)</f>
        <v>0.0646258503401361</v>
      </c>
      <c r="N950" s="24" t="n">
        <f aca="false">IFERROR(SUMPRODUCT(($B$2:$B$1001=B950)*($I$2:$I$1001&lt;=I950))/SUMPRODUCT(($B$2:$B$1001=B950)*1),0)</f>
        <v>0.670068027210884</v>
      </c>
      <c r="O950" s="24" t="n">
        <f aca="false">IFERROR(SUMPRODUCT(($B$2:$B$1001=B950)*($J$2:$J$1001&lt;=J950))/SUMPRODUCT(($B$2:$B$1001=B950)*1),0)</f>
        <v>0.608843537414966</v>
      </c>
      <c r="P950" s="24" t="n">
        <f aca="false">IFERROR(SUMPRODUCT(($B$2:$B$1001=B950)*((0-$F$2:$F$1001)&lt;=(0-F950)))/SUMPRODUCT(($B$2:$B$1001=B950)*1),0)</f>
        <v>0.0748299319727891</v>
      </c>
      <c r="Q950" s="25" t="n">
        <f aca="false">(M950*Assumptions!$B$5+N950*Assumptions!$B$6+O950*Assumptions!$B$7+P950*Assumptions!$B$8)*L950</f>
        <v>0.387414965986395</v>
      </c>
      <c r="R950" s="24" t="n">
        <f aca="false">IFERROR(SUMPRODUCT(($B$2:$B$1001=B950)*($Q$2:$Q$1001&lt;=Q950))/SUMPRODUCT(($B$2:$B$1001=B950)*1),0)</f>
        <v>0.421768707482993</v>
      </c>
      <c r="S950" s="24" t="n">
        <f aca="false">IFERROR(SUMPRODUCT(($B$2:$B$1001=B950)*($K$2:$K$1001&lt;=K950))/SUMPRODUCT(($B$2:$B$1001=B950)*1),0)</f>
        <v>0.819727891156463</v>
      </c>
      <c r="T950" s="26" t="n">
        <f aca="false">(R950-S950)*100</f>
        <v>-39.7959183673469</v>
      </c>
      <c r="U950" s="21" t="str">
        <f aca="false">'Player Data'!T950</f>
        <v>No</v>
      </c>
      <c r="V950" s="27" t="n">
        <f aca="false">'Player Data'!U950</f>
        <v>2027</v>
      </c>
      <c r="W950" s="21" t="str">
        <f aca="false">IF(AND(T950&gt;=Assumptions!$B$19,U950="No"),"High Priority - Unrepresented",IF(T950&gt;=Assumptions!$B$19,"High Priority",IF(AND(T950&gt;=Assumptions!$B$20,U950="No"),"Watchlist - Unrepresented",IF(T950&gt;=Assumptions!$B$20,"Watchlist",""))))</f>
        <v/>
      </c>
      <c r="X950" s="21" t="str">
        <f aca="false">'Player Data'!V950</f>
        <v>info@bijelobrdowanderers.hr</v>
      </c>
      <c r="Y950" s="28" t="str">
        <f aca="false">'Player Data'!W950</f>
        <v>Club sporting director / first-team office</v>
      </c>
      <c r="Z950" s="28" t="str">
        <f aca="false">'Player Data'!X950</f>
        <v>HNS (Croatian Football Federation) player registry</v>
      </c>
      <c r="AA950" s="19" t="str">
        <f aca="false">HYPERLINK("https://www.transfermarkt.com/schnellsuche/ergebnis/schnellsuche?query="&amp;SUBSTITUTE(A950," ","+"),"Search Transfermarkt")</f>
        <v>Search Transfermarkt</v>
      </c>
      <c r="AB950" s="29" t="n">
        <f aca="false">IFERROR('Player Data'!K950/('Player Data'!K950+'Player Data'!L950),0)</f>
        <v>0.607142857142857</v>
      </c>
      <c r="AC950" s="21" t="str">
        <f aca="false">IF(B950="GK",IF(AND(O950&gt;=Assumptions!$B$23,N950&gt;=Assumptions!$B$23),"Sweeper-Keeper / Build-from-the-Back",IF(O950&gt;=Assumptions!$B$23,"Sweeper-Keeper / High Line",IF(M950&gt;=Assumptions!$B$23,"Shot-Stopper / Traditional","Flexible / Multi-System"))),IF(AND(O950&gt;=Assumptions!$B$23,P950&gt;=Assumptions!$B$24),"High Press / Gegenpressing",IF(AND(N950&gt;=Assumptions!$B$23,AB950&gt;=Assumptions!$B$25),"Possession / Build-from-the-Back",IF(N950&gt;=Assumptions!$B$23,"Counter-Attack / Transition",IF(AND(O950&gt;=Assumptions!$B$23,N950&lt;Assumptions!$B$26),"Low Block / Park the Bus",IF(AND(B950="FW",M950&gt;=Assumptions!$B$23,N950&lt;Assumptions!$B$26),"Direct / Target Approach","Flexible / Multi-System"))))))</f>
        <v>Counter-Attack / Transition</v>
      </c>
      <c r="AD950" s="21" t="str">
        <f aca="false">'Player Data'!Y950</f>
        <v>2026-07-17</v>
      </c>
      <c r="AE950" s="21" t="str">
        <f aca="false">'Player Data'!Z950</f>
        <v>2026-07-17</v>
      </c>
      <c r="AF950" s="28" t="str">
        <f aca="false">IFERROR(INDEX(Assumptions!$B$30:$B$61,MATCH(C950,Assumptions!$A$30:$A$61,0)),"--")</f>
        <v>Austria, Turkey</v>
      </c>
      <c r="AG950" s="30" t="str">
        <f aca="false">IF(R950&gt;=0.7,"Step-Up Candidate",IF(R950&gt;=0.4,"Lateral Move","Stay &amp; Develop"))</f>
        <v>Lateral Move</v>
      </c>
    </row>
    <row r="951" customFormat="false" ht="23.85" hidden="false" customHeight="false" outlineLevel="0" collapsed="false">
      <c r="A951" s="21" t="str">
        <f aca="false">'Player Data'!A951</f>
        <v>Given Mwansa</v>
      </c>
      <c r="B951" s="21" t="str">
        <f aca="false">'Player Data'!F951</f>
        <v>DF</v>
      </c>
      <c r="C951" s="21" t="str">
        <f aca="false">'Player Data'!B951</f>
        <v>Zambia</v>
      </c>
      <c r="D951" s="21" t="str">
        <f aca="false">'Player Data'!C951</f>
        <v>Zambia Regional League</v>
      </c>
      <c r="E951" s="21" t="n">
        <f aca="false">'Player Data'!D951</f>
        <v>2</v>
      </c>
      <c r="F951" s="21" t="n">
        <f aca="false">'Player Data'!G951</f>
        <v>18</v>
      </c>
      <c r="G951" s="21" t="n">
        <f aca="false">'Player Data'!H951</f>
        <v>2572</v>
      </c>
      <c r="H951" s="22" t="n">
        <f aca="false">IF(B951="GK",IFERROR(('Player Data'!N951-1.5*'Player Data'!O951)/'Player Data'!H951*90,0),IFERROR(('Player Data'!I951+'Player Data'!J951)/'Player Data'!H951*90,0))</f>
        <v>0.139968895800933</v>
      </c>
      <c r="I951" s="22" t="n">
        <f aca="false">IF(B951="GK",'Player Data'!P951,IFERROR(('Player Data'!K951+'Player Data'!L951)/'Player Data'!H951*90,0))</f>
        <v>3.2542768273717</v>
      </c>
      <c r="J951" s="22" t="n">
        <f aca="false">IF(B951="GK",IFERROR('Player Data'!Q951/'Player Data'!H951*90,0),IFERROR('Player Data'!M951/'Player Data'!H951*90,0))</f>
        <v>4.47900466562986</v>
      </c>
      <c r="K951" s="23" t="n">
        <f aca="false">'Player Data'!S951</f>
        <v>104933</v>
      </c>
      <c r="L951" s="22" t="n">
        <f aca="false">INDEX(Assumptions!$B$13:$B$15,MATCH(E951,Assumptions!$A$13:$A$15,0))</f>
        <v>1</v>
      </c>
      <c r="M951" s="24" t="n">
        <f aca="false">IFERROR(SUMPRODUCT(($B$2:$B$1001=B951)*($H$2:$H$1001&lt;=H951))/SUMPRODUCT(($B$2:$B$1001=B951)*1),0)</f>
        <v>0.336734693877551</v>
      </c>
      <c r="N951" s="24" t="n">
        <f aca="false">IFERROR(SUMPRODUCT(($B$2:$B$1001=B951)*($I$2:$I$1001&lt;=I951))/SUMPRODUCT(($B$2:$B$1001=B951)*1),0)</f>
        <v>0.159863945578231</v>
      </c>
      <c r="O951" s="24" t="n">
        <f aca="false">IFERROR(SUMPRODUCT(($B$2:$B$1001=B951)*($J$2:$J$1001&lt;=J951))/SUMPRODUCT(($B$2:$B$1001=B951)*1),0)</f>
        <v>0.353741496598639</v>
      </c>
      <c r="P951" s="24" t="n">
        <f aca="false">IFERROR(SUMPRODUCT(($B$2:$B$1001=B951)*((0-$F$2:$F$1001)&lt;=(0-F951)))/SUMPRODUCT(($B$2:$B$1001=B951)*1),0)</f>
        <v>0.863945578231293</v>
      </c>
      <c r="Q951" s="25" t="n">
        <f aca="false">(M951*Assumptions!$B$5+N951*Assumptions!$B$6+O951*Assumptions!$B$7+P951*Assumptions!$B$8)*L951</f>
        <v>0.383673469387755</v>
      </c>
      <c r="R951" s="24" t="n">
        <f aca="false">IFERROR(SUMPRODUCT(($B$2:$B$1001=B951)*($Q$2:$Q$1001&lt;=Q951))/SUMPRODUCT(($B$2:$B$1001=B951)*1),0)</f>
        <v>0.408163265306122</v>
      </c>
      <c r="S951" s="24" t="n">
        <f aca="false">IFERROR(SUMPRODUCT(($B$2:$B$1001=B951)*($K$2:$K$1001&lt;=K951))/SUMPRODUCT(($B$2:$B$1001=B951)*1),0)</f>
        <v>0.775510204081633</v>
      </c>
      <c r="T951" s="26" t="n">
        <f aca="false">(R951-S951)*100</f>
        <v>-36.734693877551</v>
      </c>
      <c r="U951" s="21" t="str">
        <f aca="false">'Player Data'!T951</f>
        <v>Unknown</v>
      </c>
      <c r="V951" s="27" t="n">
        <f aca="false">'Player Data'!U951</f>
        <v>2028</v>
      </c>
      <c r="W951" s="21" t="str">
        <f aca="false">IF(AND(T951&gt;=Assumptions!$B$19,U951="No"),"High Priority - Unrepresented",IF(T951&gt;=Assumptions!$B$19,"High Priority",IF(AND(T951&gt;=Assumptions!$B$20,U951="No"),"Watchlist - Unrepresented",IF(T951&gt;=Assumptions!$B$20,"Watchlist",""))))</f>
        <v/>
      </c>
      <c r="X951" s="21" t="str">
        <f aca="false">'Player Data'!V951</f>
        <v>info@livingstonesc.zm</v>
      </c>
      <c r="Y951" s="28" t="str">
        <f aca="false">'Player Data'!W951</f>
        <v>Club sporting director / first-team office</v>
      </c>
      <c r="Z951" s="28" t="str">
        <f aca="false">'Player Data'!X951</f>
        <v>FAZ (Football Association of Zambia) player registry</v>
      </c>
      <c r="AA951" s="19" t="str">
        <f aca="false">HYPERLINK("https://www.transfermarkt.com/schnellsuche/ergebnis/schnellsuche?query="&amp;SUBSTITUTE(A951," ","+"),"Search Transfermarkt")</f>
        <v>Search Transfermarkt</v>
      </c>
      <c r="AB951" s="29" t="n">
        <f aca="false">IFERROR('Player Data'!K951/('Player Data'!K951+'Player Data'!L951),0)</f>
        <v>0.645161290322581</v>
      </c>
      <c r="AC951" s="21" t="str">
        <f aca="false">IF(B951="GK",IF(AND(O951&gt;=Assumptions!$B$23,N951&gt;=Assumptions!$B$23),"Sweeper-Keeper / Build-from-the-Back",IF(O951&gt;=Assumptions!$B$23,"Sweeper-Keeper / High Line",IF(M951&gt;=Assumptions!$B$23,"Shot-Stopper / Traditional","Flexible / Multi-System"))),IF(AND(O951&gt;=Assumptions!$B$23,P951&gt;=Assumptions!$B$24),"High Press / Gegenpressing",IF(AND(N951&gt;=Assumptions!$B$23,AB951&gt;=Assumptions!$B$25),"Possession / Build-from-the-Back",IF(N951&gt;=Assumptions!$B$23,"Counter-Attack / Transition",IF(AND(O951&gt;=Assumptions!$B$23,N951&lt;Assumptions!$B$26),"Low Block / Park the Bus",IF(AND(B951="FW",M951&gt;=Assumptions!$B$23,N951&lt;Assumptions!$B$26),"Direct / Target Approach","Flexible / Multi-System"))))))</f>
        <v>Flexible / Multi-System</v>
      </c>
      <c r="AD951" s="21" t="str">
        <f aca="false">'Player Data'!Y951</f>
        <v>2026-07-17</v>
      </c>
      <c r="AE951" s="21" t="str">
        <f aca="false">'Player Data'!Z951</f>
        <v>2026-07-17</v>
      </c>
      <c r="AF951" s="28" t="str">
        <f aca="false">IFERROR(INDEX(Assumptions!$B$30:$B$61,MATCH(C951,Assumptions!$A$30:$A$61,0)),"--")</f>
        <v>Belgium, Portugal</v>
      </c>
      <c r="AG951" s="30" t="str">
        <f aca="false">IF(R951&gt;=0.7,"Step-Up Candidate",IF(R951&gt;=0.4,"Lateral Move","Stay &amp; Develop"))</f>
        <v>Lateral Move</v>
      </c>
    </row>
    <row r="952" customFormat="false" ht="23.85" hidden="false" customHeight="false" outlineLevel="0" collapsed="false">
      <c r="A952" s="21" t="str">
        <f aca="false">'Player Data'!A952</f>
        <v>Bryan Zambrano</v>
      </c>
      <c r="B952" s="21" t="str">
        <f aca="false">'Player Data'!F952</f>
        <v>MF</v>
      </c>
      <c r="C952" s="21" t="str">
        <f aca="false">'Player Data'!B952</f>
        <v>Ecuador</v>
      </c>
      <c r="D952" s="21" t="str">
        <f aca="false">'Player Data'!C952</f>
        <v>Ecuador Provincial League</v>
      </c>
      <c r="E952" s="21" t="n">
        <f aca="false">'Player Data'!D952</f>
        <v>2</v>
      </c>
      <c r="F952" s="21" t="n">
        <f aca="false">'Player Data'!G952</f>
        <v>22</v>
      </c>
      <c r="G952" s="21" t="n">
        <f aca="false">'Player Data'!H952</f>
        <v>1051</v>
      </c>
      <c r="H952" s="22" t="n">
        <f aca="false">IF(B952="GK",IFERROR(('Player Data'!N952-1.5*'Player Data'!O952)/'Player Data'!H952*90,0),IFERROR(('Player Data'!I952+'Player Data'!J952)/'Player Data'!H952*90,0))</f>
        <v>1.45575642245481</v>
      </c>
      <c r="I952" s="22" t="n">
        <f aca="false">IF(B952="GK",'Player Data'!P952,IFERROR(('Player Data'!K952+'Player Data'!L952)/'Player Data'!H952*90,0))</f>
        <v>20.7231208372978</v>
      </c>
      <c r="J952" s="22" t="n">
        <f aca="false">IF(B952="GK",IFERROR('Player Data'!Q952/'Player Data'!H952*90,0),IFERROR('Player Data'!M952/'Player Data'!H952*90,0))</f>
        <v>4.70980019029496</v>
      </c>
      <c r="K952" s="23" t="n">
        <f aca="false">'Player Data'!S952</f>
        <v>0</v>
      </c>
      <c r="L952" s="22" t="n">
        <f aca="false">INDEX(Assumptions!$B$13:$B$15,MATCH(E952,Assumptions!$A$13:$A$15,0))</f>
        <v>1</v>
      </c>
      <c r="M952" s="24" t="n">
        <f aca="false">IFERROR(SUMPRODUCT(($B$2:$B$1001=B952)*($H$2:$H$1001&lt;=H952))/SUMPRODUCT(($B$2:$B$1001=B952)*1),0)</f>
        <v>0.919191919191919</v>
      </c>
      <c r="N952" s="24" t="n">
        <f aca="false">IFERROR(SUMPRODUCT(($B$2:$B$1001=B952)*($I$2:$I$1001&lt;=I952))/SUMPRODUCT(($B$2:$B$1001=B952)*1),0)</f>
        <v>0.915824915824916</v>
      </c>
      <c r="O952" s="24" t="n">
        <f aca="false">IFERROR(SUMPRODUCT(($B$2:$B$1001=B952)*($J$2:$J$1001&lt;=J952))/SUMPRODUCT(($B$2:$B$1001=B952)*1),0)</f>
        <v>0.973063973063973</v>
      </c>
      <c r="P952" s="24" t="n">
        <f aca="false">IFERROR(SUMPRODUCT(($B$2:$B$1001=B952)*((0-$F$2:$F$1001)&lt;=(0-F952)))/SUMPRODUCT(($B$2:$B$1001=B952)*1),0)</f>
        <v>0.515151515151515</v>
      </c>
      <c r="Q952" s="25" t="n">
        <f aca="false">(M952*Assumptions!$B$5+N952*Assumptions!$B$6+O952*Assumptions!$B$7+P952*Assumptions!$B$8)*L952</f>
        <v>0.847979797979798</v>
      </c>
      <c r="R952" s="24" t="n">
        <f aca="false">IFERROR(SUMPRODUCT(($B$2:$B$1001=B952)*($Q$2:$Q$1001&lt;=Q952))/SUMPRODUCT(($B$2:$B$1001=B952)*1),0)</f>
        <v>0.96969696969697</v>
      </c>
      <c r="S952" s="24" t="n">
        <f aca="false">IFERROR(SUMPRODUCT(($B$2:$B$1001=B952)*($K$2:$K$1001&lt;=K952))/SUMPRODUCT(($B$2:$B$1001=B952)*1),0)</f>
        <v>0.228956228956229</v>
      </c>
      <c r="T952" s="26" t="n">
        <f aca="false">(R952-S952)*100</f>
        <v>74.0740740740741</v>
      </c>
      <c r="U952" s="21" t="str">
        <f aca="false">'Player Data'!T952</f>
        <v>Unknown</v>
      </c>
      <c r="V952" s="27" t="n">
        <f aca="false">'Player Data'!U952</f>
        <v>2027</v>
      </c>
      <c r="W952" s="21" t="str">
        <f aca="false">IF(AND(T952&gt;=Assumptions!$B$19,U952="No"),"High Priority - Unrepresented",IF(T952&gt;=Assumptions!$B$19,"High Priority",IF(AND(T952&gt;=Assumptions!$B$20,U952="No"),"Watchlist - Unrepresented",IF(T952&gt;=Assumptions!$B$20,"Watchlist",""))))</f>
        <v>High Priority</v>
      </c>
      <c r="X952" s="21" t="str">
        <f aca="false">'Player Data'!V952</f>
        <v>info@guayaquilunited.ec</v>
      </c>
      <c r="Y952" s="28" t="str">
        <f aca="false">'Player Data'!W952</f>
        <v>Club sporting director / first-team office</v>
      </c>
      <c r="Z952" s="28" t="str">
        <f aca="false">'Player Data'!X952</f>
        <v>FEF (Ecuadorian Football Federation) player registry</v>
      </c>
      <c r="AA952" s="19" t="str">
        <f aca="false">HYPERLINK("https://www.transfermarkt.com/schnellsuche/ergebnis/schnellsuche?query="&amp;SUBSTITUTE(A952," ","+"),"Search Transfermarkt")</f>
        <v>Search Transfermarkt</v>
      </c>
      <c r="AB952" s="29" t="n">
        <f aca="false">IFERROR('Player Data'!K952/('Player Data'!K952+'Player Data'!L952),0)</f>
        <v>0.694214876033058</v>
      </c>
      <c r="AC952" s="21" t="str">
        <f aca="false">IF(B952="GK",IF(AND(O952&gt;=Assumptions!$B$23,N952&gt;=Assumptions!$B$23),"Sweeper-Keeper / Build-from-the-Back",IF(O952&gt;=Assumptions!$B$23,"Sweeper-Keeper / High Line",IF(M952&gt;=Assumptions!$B$23,"Shot-Stopper / Traditional","Flexible / Multi-System"))),IF(AND(O952&gt;=Assumptions!$B$23,P952&gt;=Assumptions!$B$24),"High Press / Gegenpressing",IF(AND(N952&gt;=Assumptions!$B$23,AB952&gt;=Assumptions!$B$25),"Possession / Build-from-the-Back",IF(N952&gt;=Assumptions!$B$23,"Counter-Attack / Transition",IF(AND(O952&gt;=Assumptions!$B$23,N952&lt;Assumptions!$B$26),"Low Block / Park the Bus",IF(AND(B952="FW",M952&gt;=Assumptions!$B$23,N952&lt;Assumptions!$B$26),"Direct / Target Approach","Flexible / Multi-System"))))))</f>
        <v>Possession / Build-from-the-Back</v>
      </c>
      <c r="AD952" s="21" t="str">
        <f aca="false">'Player Data'!Y952</f>
        <v>2026-07-17</v>
      </c>
      <c r="AE952" s="21" t="str">
        <f aca="false">'Player Data'!Z952</f>
        <v>2026-07-17</v>
      </c>
      <c r="AF952" s="28" t="str">
        <f aca="false">IFERROR(INDEX(Assumptions!$B$30:$B$61,MATCH(C952,Assumptions!$A$30:$A$61,0)),"--")</f>
        <v>Argentina, Portugal</v>
      </c>
      <c r="AG952" s="30" t="str">
        <f aca="false">IF(R952&gt;=0.7,"Step-Up Candidate",IF(R952&gt;=0.4,"Lateral Move","Stay &amp; Develop"))</f>
        <v>Step-Up Candidate</v>
      </c>
    </row>
    <row r="953" customFormat="false" ht="23.85" hidden="false" customHeight="false" outlineLevel="0" collapsed="false">
      <c r="A953" s="21" t="str">
        <f aca="false">'Player Data'!A953</f>
        <v>Quang Tran</v>
      </c>
      <c r="B953" s="21" t="str">
        <f aca="false">'Player Data'!F953</f>
        <v>MF</v>
      </c>
      <c r="C953" s="21" t="str">
        <f aca="false">'Player Data'!B953</f>
        <v>Vietnam</v>
      </c>
      <c r="D953" s="21" t="str">
        <f aca="false">'Player Data'!C953</f>
        <v>Vietnam Reserve League</v>
      </c>
      <c r="E953" s="21" t="n">
        <f aca="false">'Player Data'!D953</f>
        <v>4</v>
      </c>
      <c r="F953" s="21" t="n">
        <f aca="false">'Player Data'!G953</f>
        <v>22</v>
      </c>
      <c r="G953" s="21" t="n">
        <f aca="false">'Player Data'!H953</f>
        <v>2331</v>
      </c>
      <c r="H953" s="22" t="n">
        <f aca="false">IF(B953="GK",IFERROR(('Player Data'!N953-1.5*'Player Data'!O953)/'Player Data'!H953*90,0),IFERROR(('Player Data'!I953+'Player Data'!J953)/'Player Data'!H953*90,0))</f>
        <v>0.656370656370656</v>
      </c>
      <c r="I953" s="22" t="n">
        <f aca="false">IF(B953="GK",'Player Data'!P953,IFERROR(('Player Data'!K953+'Player Data'!L953)/'Player Data'!H953*90,0))</f>
        <v>8.8030888030888</v>
      </c>
      <c r="J953" s="22" t="n">
        <f aca="false">IF(B953="GK",IFERROR('Player Data'!Q953/'Player Data'!H953*90,0),IFERROR('Player Data'!M953/'Player Data'!H953*90,0))</f>
        <v>1.27413127413127</v>
      </c>
      <c r="K953" s="23" t="n">
        <f aca="false">'Player Data'!S953</f>
        <v>54276</v>
      </c>
      <c r="L953" s="22" t="n">
        <f aca="false">INDEX(Assumptions!$B$13:$B$15,MATCH(E953,Assumptions!$A$13:$A$15,0))</f>
        <v>0.7</v>
      </c>
      <c r="M953" s="24" t="n">
        <f aca="false">IFERROR(SUMPRODUCT(($B$2:$B$1001=B953)*($H$2:$H$1001&lt;=H953))/SUMPRODUCT(($B$2:$B$1001=B953)*1),0)</f>
        <v>0.397306397306397</v>
      </c>
      <c r="N953" s="24" t="n">
        <f aca="false">IFERROR(SUMPRODUCT(($B$2:$B$1001=B953)*($I$2:$I$1001&lt;=I953))/SUMPRODUCT(($B$2:$B$1001=B953)*1),0)</f>
        <v>0.252525252525253</v>
      </c>
      <c r="O953" s="24" t="n">
        <f aca="false">IFERROR(SUMPRODUCT(($B$2:$B$1001=B953)*($J$2:$J$1001&lt;=J953))/SUMPRODUCT(($B$2:$B$1001=B953)*1),0)</f>
        <v>0.0875420875420876</v>
      </c>
      <c r="P953" s="24" t="n">
        <f aca="false">IFERROR(SUMPRODUCT(($B$2:$B$1001=B953)*((0-$F$2:$F$1001)&lt;=(0-F953)))/SUMPRODUCT(($B$2:$B$1001=B953)*1),0)</f>
        <v>0.515151515151515</v>
      </c>
      <c r="Q953" s="25" t="n">
        <f aca="false">(M953*Assumptions!$B$5+N953*Assumptions!$B$6+O953*Assumptions!$B$7+P953*Assumptions!$B$8)*L953</f>
        <v>0.215774410774411</v>
      </c>
      <c r="R953" s="24" t="n">
        <f aca="false">IFERROR(SUMPRODUCT(($B$2:$B$1001=B953)*($Q$2:$Q$1001&lt;=Q953))/SUMPRODUCT(($B$2:$B$1001=B953)*1),0)</f>
        <v>0.114478114478114</v>
      </c>
      <c r="S953" s="24" t="n">
        <f aca="false">IFERROR(SUMPRODUCT(($B$2:$B$1001=B953)*($K$2:$K$1001&lt;=K953))/SUMPRODUCT(($B$2:$B$1001=B953)*1),0)</f>
        <v>0.478114478114478</v>
      </c>
      <c r="T953" s="26" t="n">
        <f aca="false">(R953-S953)*100</f>
        <v>-36.3636363636364</v>
      </c>
      <c r="U953" s="21" t="str">
        <f aca="false">'Player Data'!T953</f>
        <v>Yes</v>
      </c>
      <c r="V953" s="27" t="n">
        <f aca="false">'Player Data'!U953</f>
        <v>2026</v>
      </c>
      <c r="W953" s="21" t="str">
        <f aca="false">IF(AND(T953&gt;=Assumptions!$B$19,U953="No"),"High Priority - Unrepresented",IF(T953&gt;=Assumptions!$B$19,"High Priority",IF(AND(T953&gt;=Assumptions!$B$20,U953="No"),"Watchlist - Unrepresented",IF(T953&gt;=Assumptions!$B$20,"Watchlist",""))))</f>
        <v/>
      </c>
      <c r="X953" s="21" t="str">
        <f aca="false">'Player Data'!V953</f>
        <v>info@hanoitown.vn</v>
      </c>
      <c r="Y953" s="28" t="str">
        <f aca="false">'Player Data'!W953</f>
        <v>Go through the player's agent - ask the club to confirm representation first</v>
      </c>
      <c r="Z953" s="28" t="str">
        <f aca="false">'Player Data'!X953</f>
        <v>VFF (Vietnam Football Federation) player registry</v>
      </c>
      <c r="AA953" s="19" t="str">
        <f aca="false">HYPERLINK("https://www.transfermarkt.com/schnellsuche/ergebnis/schnellsuche?query="&amp;SUBSTITUTE(A953," ","+"),"Search Transfermarkt")</f>
        <v>Search Transfermarkt</v>
      </c>
      <c r="AB953" s="29" t="n">
        <f aca="false">IFERROR('Player Data'!K953/('Player Data'!K953+'Player Data'!L953),0)</f>
        <v>0.574561403508772</v>
      </c>
      <c r="AC953" s="21" t="str">
        <f aca="false">IF(B953="GK",IF(AND(O953&gt;=Assumptions!$B$23,N953&gt;=Assumptions!$B$23),"Sweeper-Keeper / Build-from-the-Back",IF(O953&gt;=Assumptions!$B$23,"Sweeper-Keeper / High Line",IF(M953&gt;=Assumptions!$B$23,"Shot-Stopper / Traditional","Flexible / Multi-System"))),IF(AND(O953&gt;=Assumptions!$B$23,P953&gt;=Assumptions!$B$24),"High Press / Gegenpressing",IF(AND(N953&gt;=Assumptions!$B$23,AB953&gt;=Assumptions!$B$25),"Possession / Build-from-the-Back",IF(N953&gt;=Assumptions!$B$23,"Counter-Attack / Transition",IF(AND(O953&gt;=Assumptions!$B$23,N953&lt;Assumptions!$B$26),"Low Block / Park the Bus",IF(AND(B953="FW",M953&gt;=Assumptions!$B$23,N953&lt;Assumptions!$B$26),"Direct / Target Approach","Flexible / Multi-System"))))))</f>
        <v>Flexible / Multi-System</v>
      </c>
      <c r="AD953" s="21" t="str">
        <f aca="false">'Player Data'!Y953</f>
        <v>2026-07-17</v>
      </c>
      <c r="AE953" s="21" t="str">
        <f aca="false">'Player Data'!Z953</f>
        <v>2026-07-17</v>
      </c>
      <c r="AF953" s="28" t="str">
        <f aca="false">IFERROR(INDEX(Assumptions!$B$30:$B$61,MATCH(C953,Assumptions!$A$30:$A$61,0)),"--")</f>
        <v>Australia, Saudi Arabia</v>
      </c>
      <c r="AG953" s="30" t="str">
        <f aca="false">IF(R953&gt;=0.7,"Step-Up Candidate",IF(R953&gt;=0.4,"Lateral Move","Stay &amp; Develop"))</f>
        <v>Stay &amp; Develop</v>
      </c>
    </row>
    <row r="954" customFormat="false" ht="23.85" hidden="false" customHeight="false" outlineLevel="0" collapsed="false">
      <c r="A954" s="21" t="str">
        <f aca="false">'Player Data'!A954</f>
        <v>Hoang Pham</v>
      </c>
      <c r="B954" s="21" t="str">
        <f aca="false">'Player Data'!F954</f>
        <v>MF</v>
      </c>
      <c r="C954" s="21" t="str">
        <f aca="false">'Player Data'!B954</f>
        <v>Vietnam</v>
      </c>
      <c r="D954" s="21" t="str">
        <f aca="false">'Player Data'!C954</f>
        <v>Vietnam Amateur League</v>
      </c>
      <c r="E954" s="21" t="n">
        <f aca="false">'Player Data'!D954</f>
        <v>3</v>
      </c>
      <c r="F954" s="21" t="n">
        <f aca="false">'Player Data'!G954</f>
        <v>21</v>
      </c>
      <c r="G954" s="21" t="n">
        <f aca="false">'Player Data'!H954</f>
        <v>2249</v>
      </c>
      <c r="H954" s="22" t="n">
        <f aca="false">IF(B954="GK",IFERROR(('Player Data'!N954-1.5*'Player Data'!O954)/'Player Data'!H954*90,0),IFERROR(('Player Data'!I954+'Player Data'!J954)/'Player Data'!H954*90,0))</f>
        <v>0.560248999555358</v>
      </c>
      <c r="I954" s="22" t="n">
        <f aca="false">IF(B954="GK",'Player Data'!P954,IFERROR(('Player Data'!K954+'Player Data'!L954)/'Player Data'!H954*90,0))</f>
        <v>9.00400177856825</v>
      </c>
      <c r="J954" s="22" t="n">
        <f aca="false">IF(B954="GK",IFERROR('Player Data'!Q954/'Player Data'!H954*90,0),IFERROR('Player Data'!M954/'Player Data'!H954*90,0))</f>
        <v>1.12049799911072</v>
      </c>
      <c r="K954" s="23" t="n">
        <f aca="false">'Player Data'!S954</f>
        <v>29579</v>
      </c>
      <c r="L954" s="22" t="n">
        <f aca="false">INDEX(Assumptions!$B$13:$B$15,MATCH(E954,Assumptions!$A$13:$A$15,0))</f>
        <v>0.85</v>
      </c>
      <c r="M954" s="24" t="n">
        <f aca="false">IFERROR(SUMPRODUCT(($B$2:$B$1001=B954)*($H$2:$H$1001&lt;=H954))/SUMPRODUCT(($B$2:$B$1001=B954)*1),0)</f>
        <v>0.279461279461279</v>
      </c>
      <c r="N954" s="24" t="n">
        <f aca="false">IFERROR(SUMPRODUCT(($B$2:$B$1001=B954)*($I$2:$I$1001&lt;=I954))/SUMPRODUCT(($B$2:$B$1001=B954)*1),0)</f>
        <v>0.286195286195286</v>
      </c>
      <c r="O954" s="24" t="n">
        <f aca="false">IFERROR(SUMPRODUCT(($B$2:$B$1001=B954)*($J$2:$J$1001&lt;=J954))/SUMPRODUCT(($B$2:$B$1001=B954)*1),0)</f>
        <v>0.0303030303030303</v>
      </c>
      <c r="P954" s="24" t="n">
        <f aca="false">IFERROR(SUMPRODUCT(($B$2:$B$1001=B954)*((0-$F$2:$F$1001)&lt;=(0-F954)))/SUMPRODUCT(($B$2:$B$1001=B954)*1),0)</f>
        <v>0.61952861952862</v>
      </c>
      <c r="Q954" s="25" t="n">
        <f aca="false">(M954*Assumptions!$B$5+N954*Assumptions!$B$6+O954*Assumptions!$B$7+P954*Assumptions!$B$8)*L954</f>
        <v>0.255</v>
      </c>
      <c r="R954" s="24" t="n">
        <f aca="false">IFERROR(SUMPRODUCT(($B$2:$B$1001=B954)*($Q$2:$Q$1001&lt;=Q954))/SUMPRODUCT(($B$2:$B$1001=B954)*1),0)</f>
        <v>0.185185185185185</v>
      </c>
      <c r="S954" s="24" t="n">
        <f aca="false">IFERROR(SUMPRODUCT(($B$2:$B$1001=B954)*($K$2:$K$1001&lt;=K954))/SUMPRODUCT(($B$2:$B$1001=B954)*1),0)</f>
        <v>0.31986531986532</v>
      </c>
      <c r="T954" s="26" t="n">
        <f aca="false">(R954-S954)*100</f>
        <v>-13.4680134680135</v>
      </c>
      <c r="U954" s="21" t="str">
        <f aca="false">'Player Data'!T954</f>
        <v>No</v>
      </c>
      <c r="V954" s="27" t="n">
        <f aca="false">'Player Data'!U954</f>
        <v>2028</v>
      </c>
      <c r="W954" s="21" t="str">
        <f aca="false">IF(AND(T954&gt;=Assumptions!$B$19,U954="No"),"High Priority - Unrepresented",IF(T954&gt;=Assumptions!$B$19,"High Priority",IF(AND(T954&gt;=Assumptions!$B$20,U954="No"),"Watchlist - Unrepresented",IF(T954&gt;=Assumptions!$B$20,"Watchlist",""))))</f>
        <v/>
      </c>
      <c r="X954" s="21" t="str">
        <f aca="false">'Player Data'!V954</f>
        <v>info@haiphongfc.vn</v>
      </c>
      <c r="Y954" s="28" t="str">
        <f aca="false">'Player Data'!W954</f>
        <v>Club sporting director / first-team office</v>
      </c>
      <c r="Z954" s="28" t="str">
        <f aca="false">'Player Data'!X954</f>
        <v>VFF (Vietnam Football Federation) player registry</v>
      </c>
      <c r="AA954" s="19" t="str">
        <f aca="false">HYPERLINK("https://www.transfermarkt.com/schnellsuche/ergebnis/schnellsuche?query="&amp;SUBSTITUTE(A954," ","+"),"Search Transfermarkt")</f>
        <v>Search Transfermarkt</v>
      </c>
      <c r="AB954" s="29" t="n">
        <f aca="false">IFERROR('Player Data'!K954/('Player Data'!K954+'Player Data'!L954),0)</f>
        <v>0.604444444444445</v>
      </c>
      <c r="AC954" s="21" t="str">
        <f aca="false">IF(B954="GK",IF(AND(O954&gt;=Assumptions!$B$23,N954&gt;=Assumptions!$B$23),"Sweeper-Keeper / Build-from-the-Back",IF(O954&gt;=Assumptions!$B$23,"Sweeper-Keeper / High Line",IF(M954&gt;=Assumptions!$B$23,"Shot-Stopper / Traditional","Flexible / Multi-System"))),IF(AND(O954&gt;=Assumptions!$B$23,P954&gt;=Assumptions!$B$24),"High Press / Gegenpressing",IF(AND(N954&gt;=Assumptions!$B$23,AB954&gt;=Assumptions!$B$25),"Possession / Build-from-the-Back",IF(N954&gt;=Assumptions!$B$23,"Counter-Attack / Transition",IF(AND(O954&gt;=Assumptions!$B$23,N954&lt;Assumptions!$B$26),"Low Block / Park the Bus",IF(AND(B954="FW",M954&gt;=Assumptions!$B$23,N954&lt;Assumptions!$B$26),"Direct / Target Approach","Flexible / Multi-System"))))))</f>
        <v>Flexible / Multi-System</v>
      </c>
      <c r="AD954" s="21" t="str">
        <f aca="false">'Player Data'!Y954</f>
        <v>2026-07-17</v>
      </c>
      <c r="AE954" s="21" t="str">
        <f aca="false">'Player Data'!Z954</f>
        <v>2026-07-17</v>
      </c>
      <c r="AF954" s="28" t="str">
        <f aca="false">IFERROR(INDEX(Assumptions!$B$30:$B$61,MATCH(C954,Assumptions!$A$30:$A$61,0)),"--")</f>
        <v>Australia, Saudi Arabia</v>
      </c>
      <c r="AG954" s="30" t="str">
        <f aca="false">IF(R954&gt;=0.7,"Step-Up Candidate",IF(R954&gt;=0.4,"Lateral Move","Stay &amp; Develop"))</f>
        <v>Stay &amp; Develop</v>
      </c>
    </row>
    <row r="955" customFormat="false" ht="23.85" hidden="false" customHeight="false" outlineLevel="0" collapsed="false">
      <c r="A955" s="21" t="str">
        <f aca="false">'Player Data'!A955</f>
        <v>Jean Ngoy</v>
      </c>
      <c r="B955" s="21" t="str">
        <f aca="false">'Player Data'!F955</f>
        <v>DF</v>
      </c>
      <c r="C955" s="21" t="str">
        <f aca="false">'Player Data'!B955</f>
        <v>Cameroon</v>
      </c>
      <c r="D955" s="21" t="str">
        <f aca="false">'Player Data'!C955</f>
        <v>Cameroon Reserve League</v>
      </c>
      <c r="E955" s="21" t="n">
        <f aca="false">'Player Data'!D955</f>
        <v>3</v>
      </c>
      <c r="F955" s="21" t="n">
        <f aca="false">'Player Data'!G955</f>
        <v>20</v>
      </c>
      <c r="G955" s="21" t="n">
        <f aca="false">'Player Data'!H955</f>
        <v>1332</v>
      </c>
      <c r="H955" s="22" t="n">
        <f aca="false">IF(B955="GK",IFERROR(('Player Data'!N955-1.5*'Player Data'!O955)/'Player Data'!H955*90,0),IFERROR(('Player Data'!I955+'Player Data'!J955)/'Player Data'!H955*90,0))</f>
        <v>0.202702702702703</v>
      </c>
      <c r="I955" s="22" t="n">
        <f aca="false">IF(B955="GK",'Player Data'!P955,IFERROR(('Player Data'!K955+'Player Data'!L955)/'Player Data'!H955*90,0))</f>
        <v>6.08108108108108</v>
      </c>
      <c r="J955" s="22" t="n">
        <f aca="false">IF(B955="GK",IFERROR('Player Data'!Q955/'Player Data'!H955*90,0),IFERROR('Player Data'!M955/'Player Data'!H955*90,0))</f>
        <v>8.58108108108108</v>
      </c>
      <c r="K955" s="23" t="n">
        <f aca="false">'Player Data'!S955</f>
        <v>40683</v>
      </c>
      <c r="L955" s="22" t="n">
        <f aca="false">INDEX(Assumptions!$B$13:$B$15,MATCH(E955,Assumptions!$A$13:$A$15,0))</f>
        <v>0.85</v>
      </c>
      <c r="M955" s="24" t="n">
        <f aca="false">IFERROR(SUMPRODUCT(($B$2:$B$1001=B955)*($H$2:$H$1001&lt;=H955))/SUMPRODUCT(($B$2:$B$1001=B955)*1),0)</f>
        <v>0.547619047619048</v>
      </c>
      <c r="N955" s="24" t="n">
        <f aca="false">IFERROR(SUMPRODUCT(($B$2:$B$1001=B955)*($I$2:$I$1001&lt;=I955))/SUMPRODUCT(($B$2:$B$1001=B955)*1),0)</f>
        <v>0.748299319727891</v>
      </c>
      <c r="O955" s="24" t="n">
        <f aca="false">IFERROR(SUMPRODUCT(($B$2:$B$1001=B955)*($J$2:$J$1001&lt;=J955))/SUMPRODUCT(($B$2:$B$1001=B955)*1),0)</f>
        <v>0.880952380952381</v>
      </c>
      <c r="P955" s="24" t="n">
        <f aca="false">IFERROR(SUMPRODUCT(($B$2:$B$1001=B955)*((0-$F$2:$F$1001)&lt;=(0-F955)))/SUMPRODUCT(($B$2:$B$1001=B955)*1),0)</f>
        <v>0.656462585034014</v>
      </c>
      <c r="Q955" s="25" t="n">
        <f aca="false">(M955*Assumptions!$B$5+N955*Assumptions!$B$6+O955*Assumptions!$B$7+P955*Assumptions!$B$8)*L955</f>
        <v>0.600348639455782</v>
      </c>
      <c r="R955" s="24" t="n">
        <f aca="false">IFERROR(SUMPRODUCT(($B$2:$B$1001=B955)*($Q$2:$Q$1001&lt;=Q955))/SUMPRODUCT(($B$2:$B$1001=B955)*1),0)</f>
        <v>0.768707482993197</v>
      </c>
      <c r="S955" s="24" t="n">
        <f aca="false">IFERROR(SUMPRODUCT(($B$2:$B$1001=B955)*($K$2:$K$1001&lt;=K955))/SUMPRODUCT(($B$2:$B$1001=B955)*1),0)</f>
        <v>0.397959183673469</v>
      </c>
      <c r="T955" s="26" t="n">
        <f aca="false">(R955-S955)*100</f>
        <v>37.0748299319728</v>
      </c>
      <c r="U955" s="21" t="str">
        <f aca="false">'Player Data'!T955</f>
        <v>Yes</v>
      </c>
      <c r="V955" s="27" t="n">
        <f aca="false">'Player Data'!U955</f>
        <v>2028</v>
      </c>
      <c r="W955" s="21" t="str">
        <f aca="false">IF(AND(T955&gt;=Assumptions!$B$19,U955="No"),"High Priority - Unrepresented",IF(T955&gt;=Assumptions!$B$19,"High Priority",IF(AND(T955&gt;=Assumptions!$B$20,U955="No"),"Watchlist - Unrepresented",IF(T955&gt;=Assumptions!$B$20,"Watchlist",""))))</f>
        <v>Watchlist</v>
      </c>
      <c r="X955" s="21" t="str">
        <f aca="false">'Player Data'!V955</f>
        <v>info@bafoussamtown.cm</v>
      </c>
      <c r="Y955" s="28" t="str">
        <f aca="false">'Player Data'!W955</f>
        <v>Go through the player's agent - ask the club to confirm representation first</v>
      </c>
      <c r="Z955" s="28" t="str">
        <f aca="false">'Player Data'!X955</f>
        <v>FECAFOOT (Cameroonian Football Federation) player registry</v>
      </c>
      <c r="AA955" s="19" t="str">
        <f aca="false">HYPERLINK("https://www.transfermarkt.com/schnellsuche/ergebnis/schnellsuche?query="&amp;SUBSTITUTE(A955," ","+"),"Search Transfermarkt")</f>
        <v>Search Transfermarkt</v>
      </c>
      <c r="AB955" s="29" t="n">
        <f aca="false">IFERROR('Player Data'!K955/('Player Data'!K955+'Player Data'!L955),0)</f>
        <v>0.666666666666667</v>
      </c>
      <c r="AC955" s="21" t="str">
        <f aca="false">IF(B955="GK",IF(AND(O955&gt;=Assumptions!$B$23,N955&gt;=Assumptions!$B$23),"Sweeper-Keeper / Build-from-the-Back",IF(O955&gt;=Assumptions!$B$23,"Sweeper-Keeper / High Line",IF(M955&gt;=Assumptions!$B$23,"Shot-Stopper / Traditional","Flexible / Multi-System"))),IF(AND(O955&gt;=Assumptions!$B$23,P955&gt;=Assumptions!$B$24),"High Press / Gegenpressing",IF(AND(N955&gt;=Assumptions!$B$23,AB955&gt;=Assumptions!$B$25),"Possession / Build-from-the-Back",IF(N955&gt;=Assumptions!$B$23,"Counter-Attack / Transition",IF(AND(O955&gt;=Assumptions!$B$23,N955&lt;Assumptions!$B$26),"Low Block / Park the Bus",IF(AND(B955="FW",M955&gt;=Assumptions!$B$23,N955&lt;Assumptions!$B$26),"Direct / Target Approach","Flexible / Multi-System"))))))</f>
        <v>High Press / Gegenpressing</v>
      </c>
      <c r="AD955" s="21" t="str">
        <f aca="false">'Player Data'!Y955</f>
        <v>2026-07-17</v>
      </c>
      <c r="AE955" s="21" t="str">
        <f aca="false">'Player Data'!Z955</f>
        <v>2026-07-17</v>
      </c>
      <c r="AF955" s="28" t="str">
        <f aca="false">IFERROR(INDEX(Assumptions!$B$30:$B$61,MATCH(C955,Assumptions!$A$30:$A$61,0)),"--")</f>
        <v>Belgium, Portugal</v>
      </c>
      <c r="AG955" s="30" t="str">
        <f aca="false">IF(R955&gt;=0.7,"Step-Up Candidate",IF(R955&gt;=0.4,"Lateral Move","Stay &amp; Develop"))</f>
        <v>Step-Up Candidate</v>
      </c>
    </row>
    <row r="956" customFormat="false" ht="23.85" hidden="false" customHeight="false" outlineLevel="0" collapsed="false">
      <c r="A956" s="21" t="str">
        <f aca="false">'Player Data'!A956</f>
        <v>Anon Srisawat</v>
      </c>
      <c r="B956" s="21" t="str">
        <f aca="false">'Player Data'!F956</f>
        <v>DF</v>
      </c>
      <c r="C956" s="21" t="str">
        <f aca="false">'Player Data'!B956</f>
        <v>Thailand</v>
      </c>
      <c r="D956" s="21" t="str">
        <f aca="false">'Player Data'!C956</f>
        <v>Thailand Regional League</v>
      </c>
      <c r="E956" s="21" t="n">
        <f aca="false">'Player Data'!D956</f>
        <v>2</v>
      </c>
      <c r="F956" s="21" t="n">
        <f aca="false">'Player Data'!G956</f>
        <v>22</v>
      </c>
      <c r="G956" s="21" t="n">
        <f aca="false">'Player Data'!H956</f>
        <v>2087</v>
      </c>
      <c r="H956" s="22" t="n">
        <f aca="false">IF(B956="GK",IFERROR(('Player Data'!N956-1.5*'Player Data'!O956)/'Player Data'!H956*90,0),IFERROR(('Player Data'!I956+'Player Data'!J956)/'Player Data'!H956*90,0))</f>
        <v>0.258744609487302</v>
      </c>
      <c r="I956" s="22" t="n">
        <f aca="false">IF(B956="GK",'Player Data'!P956,IFERROR(('Player Data'!K956+'Player Data'!L956)/'Player Data'!H956*90,0))</f>
        <v>3.66554863440345</v>
      </c>
      <c r="J956" s="22" t="n">
        <f aca="false">IF(B956="GK",IFERROR('Player Data'!Q956/'Player Data'!H956*90,0),IFERROR('Player Data'!M956/'Player Data'!H956*90,0))</f>
        <v>4.09678965021562</v>
      </c>
      <c r="K956" s="23" t="n">
        <f aca="false">'Player Data'!S956</f>
        <v>67978</v>
      </c>
      <c r="L956" s="22" t="n">
        <f aca="false">INDEX(Assumptions!$B$13:$B$15,MATCH(E956,Assumptions!$A$13:$A$15,0))</f>
        <v>1</v>
      </c>
      <c r="M956" s="24" t="n">
        <f aca="false">IFERROR(SUMPRODUCT(($B$2:$B$1001=B956)*($H$2:$H$1001&lt;=H956))/SUMPRODUCT(($B$2:$B$1001=B956)*1),0)</f>
        <v>0.680272108843537</v>
      </c>
      <c r="N956" s="24" t="n">
        <f aca="false">IFERROR(SUMPRODUCT(($B$2:$B$1001=B956)*($I$2:$I$1001&lt;=I956))/SUMPRODUCT(($B$2:$B$1001=B956)*1),0)</f>
        <v>0.295918367346939</v>
      </c>
      <c r="O956" s="24" t="n">
        <f aca="false">IFERROR(SUMPRODUCT(($B$2:$B$1001=B956)*($J$2:$J$1001&lt;=J956))/SUMPRODUCT(($B$2:$B$1001=B956)*1),0)</f>
        <v>0.241496598639456</v>
      </c>
      <c r="P956" s="24" t="n">
        <f aca="false">IFERROR(SUMPRODUCT(($B$2:$B$1001=B956)*((0-$F$2:$F$1001)&lt;=(0-F956)))/SUMPRODUCT(($B$2:$B$1001=B956)*1),0)</f>
        <v>0.493197278911565</v>
      </c>
      <c r="Q956" s="25" t="n">
        <f aca="false">(M956*Assumptions!$B$5+N956*Assumptions!$B$6+O956*Assumptions!$B$7+P956*Assumptions!$B$8)*L956</f>
        <v>0.420578231292517</v>
      </c>
      <c r="R956" s="24" t="n">
        <f aca="false">IFERROR(SUMPRODUCT(($B$2:$B$1001=B956)*($Q$2:$Q$1001&lt;=Q956))/SUMPRODUCT(($B$2:$B$1001=B956)*1),0)</f>
        <v>0.506802721088435</v>
      </c>
      <c r="S956" s="24" t="n">
        <f aca="false">IFERROR(SUMPRODUCT(($B$2:$B$1001=B956)*($K$2:$K$1001&lt;=K956))/SUMPRODUCT(($B$2:$B$1001=B956)*1),0)</f>
        <v>0.534013605442177</v>
      </c>
      <c r="T956" s="26" t="n">
        <f aca="false">(R956-S956)*100</f>
        <v>-2.72108843537415</v>
      </c>
      <c r="U956" s="21" t="str">
        <f aca="false">'Player Data'!T956</f>
        <v>No</v>
      </c>
      <c r="V956" s="27" t="n">
        <f aca="false">'Player Data'!U956</f>
        <v>2026</v>
      </c>
      <c r="W956" s="21" t="str">
        <f aca="false">IF(AND(T956&gt;=Assumptions!$B$19,U956="No"),"High Priority - Unrepresented",IF(T956&gt;=Assumptions!$B$19,"High Priority",IF(AND(T956&gt;=Assumptions!$B$20,U956="No"),"Watchlist - Unrepresented",IF(T956&gt;=Assumptions!$B$20,"Watchlist",""))))</f>
        <v/>
      </c>
      <c r="X956" s="21" t="str">
        <f aca="false">'Player Data'!V956</f>
        <v>info@nonthaburifc.th</v>
      </c>
      <c r="Y956" s="28" t="str">
        <f aca="false">'Player Data'!W956</f>
        <v>Club sporting director / first-team office</v>
      </c>
      <c r="Z956" s="28" t="str">
        <f aca="false">'Player Data'!X956</f>
        <v>FAT (Football Association of Thailand) player registry</v>
      </c>
      <c r="AA956" s="19" t="str">
        <f aca="false">HYPERLINK("https://www.transfermarkt.com/schnellsuche/ergebnis/schnellsuche?query="&amp;SUBSTITUTE(A956," ","+"),"Search Transfermarkt")</f>
        <v>Search Transfermarkt</v>
      </c>
      <c r="AB956" s="29" t="n">
        <f aca="false">IFERROR('Player Data'!K956/('Player Data'!K956+'Player Data'!L956),0)</f>
        <v>0.552941176470588</v>
      </c>
      <c r="AC956" s="21" t="str">
        <f aca="false">IF(B956="GK",IF(AND(O956&gt;=Assumptions!$B$23,N956&gt;=Assumptions!$B$23),"Sweeper-Keeper / Build-from-the-Back",IF(O956&gt;=Assumptions!$B$23,"Sweeper-Keeper / High Line",IF(M956&gt;=Assumptions!$B$23,"Shot-Stopper / Traditional","Flexible / Multi-System"))),IF(AND(O956&gt;=Assumptions!$B$23,P956&gt;=Assumptions!$B$24),"High Press / Gegenpressing",IF(AND(N956&gt;=Assumptions!$B$23,AB956&gt;=Assumptions!$B$25),"Possession / Build-from-the-Back",IF(N956&gt;=Assumptions!$B$23,"Counter-Attack / Transition",IF(AND(O956&gt;=Assumptions!$B$23,N956&lt;Assumptions!$B$26),"Low Block / Park the Bus",IF(AND(B956="FW",M956&gt;=Assumptions!$B$23,N956&lt;Assumptions!$B$26),"Direct / Target Approach","Flexible / Multi-System"))))))</f>
        <v>Flexible / Multi-System</v>
      </c>
      <c r="AD956" s="21" t="str">
        <f aca="false">'Player Data'!Y956</f>
        <v>2026-07-17</v>
      </c>
      <c r="AE956" s="21" t="str">
        <f aca="false">'Player Data'!Z956</f>
        <v>2026-07-17</v>
      </c>
      <c r="AF956" s="28" t="str">
        <f aca="false">IFERROR(INDEX(Assumptions!$B$30:$B$61,MATCH(C956,Assumptions!$A$30:$A$61,0)),"--")</f>
        <v>Australia, Saudi Arabia</v>
      </c>
      <c r="AG956" s="30" t="str">
        <f aca="false">IF(R956&gt;=0.7,"Step-Up Candidate",IF(R956&gt;=0.4,"Lateral Move","Stay &amp; Develop"))</f>
        <v>Lateral Move</v>
      </c>
    </row>
    <row r="957" customFormat="false" ht="23.85" hidden="false" customHeight="false" outlineLevel="0" collapsed="false">
      <c r="A957" s="21" t="str">
        <f aca="false">'Player Data'!A957</f>
        <v>Quang Le</v>
      </c>
      <c r="B957" s="21" t="str">
        <f aca="false">'Player Data'!F957</f>
        <v>GK</v>
      </c>
      <c r="C957" s="21" t="str">
        <f aca="false">'Player Data'!B957</f>
        <v>Vietnam</v>
      </c>
      <c r="D957" s="21" t="str">
        <f aca="false">'Player Data'!C957</f>
        <v>Vietnam Third Tier - South</v>
      </c>
      <c r="E957" s="21" t="n">
        <f aca="false">'Player Data'!D957</f>
        <v>3</v>
      </c>
      <c r="F957" s="21" t="n">
        <f aca="false">'Player Data'!G957</f>
        <v>17</v>
      </c>
      <c r="G957" s="21" t="n">
        <f aca="false">'Player Data'!H957</f>
        <v>1713</v>
      </c>
      <c r="H957" s="22" t="n">
        <f aca="false">IF(B957="GK",IFERROR(('Player Data'!N957-1.5*'Player Data'!O957)/'Player Data'!H957*90,0),IFERROR(('Player Data'!I957+'Player Data'!J957)/'Player Data'!H957*90,0))</f>
        <v>1.44483362521891</v>
      </c>
      <c r="I957" s="22" t="n">
        <f aca="false">IF(B957="GK",'Player Data'!P957,IFERROR(('Player Data'!K957+'Player Data'!L957)/'Player Data'!H957*90,0))</f>
        <v>86.3</v>
      </c>
      <c r="J957" s="22" t="n">
        <f aca="false">IF(B957="GK",IFERROR('Player Data'!Q957/'Player Data'!H957*90,0),IFERROR('Player Data'!M957/'Player Data'!H957*90,0))</f>
        <v>0.824868651488617</v>
      </c>
      <c r="K957" s="23" t="n">
        <f aca="false">'Player Data'!S957</f>
        <v>50718</v>
      </c>
      <c r="L957" s="22" t="n">
        <f aca="false">INDEX(Assumptions!$B$13:$B$15,MATCH(E957,Assumptions!$A$13:$A$15,0))</f>
        <v>0.85</v>
      </c>
      <c r="M957" s="24" t="n">
        <f aca="false">IFERROR(SUMPRODUCT(($B$2:$B$1001=B957)*($H$2:$H$1001&lt;=H957))/SUMPRODUCT(($B$2:$B$1001=B957)*1),0)</f>
        <v>0.66120218579235</v>
      </c>
      <c r="N957" s="24" t="n">
        <f aca="false">IFERROR(SUMPRODUCT(($B$2:$B$1001=B957)*($I$2:$I$1001&lt;=I957))/SUMPRODUCT(($B$2:$B$1001=B957)*1),0)</f>
        <v>0.885245901639344</v>
      </c>
      <c r="O957" s="24" t="n">
        <f aca="false">IFERROR(SUMPRODUCT(($B$2:$B$1001=B957)*($J$2:$J$1001&lt;=J957))/SUMPRODUCT(($B$2:$B$1001=B957)*1),0)</f>
        <v>0.469945355191257</v>
      </c>
      <c r="P957" s="24" t="n">
        <f aca="false">IFERROR(SUMPRODUCT(($B$2:$B$1001=B957)*((0-$F$2:$F$1001)&lt;=(0-F957)))/SUMPRODUCT(($B$2:$B$1001=B957)*1),0)</f>
        <v>1</v>
      </c>
      <c r="Q957" s="25" t="n">
        <f aca="false">(M957*Assumptions!$B$5+N957*Assumptions!$B$6+O957*Assumptions!$B$7+P957*Assumptions!$B$8)*L957</f>
        <v>0.653756830601093</v>
      </c>
      <c r="R957" s="24" t="n">
        <f aca="false">IFERROR(SUMPRODUCT(($B$2:$B$1001=B957)*($Q$2:$Q$1001&lt;=Q957))/SUMPRODUCT(($B$2:$B$1001=B957)*1),0)</f>
        <v>0.939890710382514</v>
      </c>
      <c r="S957" s="24" t="n">
        <f aca="false">IFERROR(SUMPRODUCT(($B$2:$B$1001=B957)*($K$2:$K$1001&lt;=K957))/SUMPRODUCT(($B$2:$B$1001=B957)*1),0)</f>
        <v>0.398907103825137</v>
      </c>
      <c r="T957" s="26" t="n">
        <f aca="false">(R957-S957)*100</f>
        <v>54.0983606557377</v>
      </c>
      <c r="U957" s="21" t="str">
        <f aca="false">'Player Data'!T957</f>
        <v>Unknown</v>
      </c>
      <c r="V957" s="27" t="n">
        <f aca="false">'Player Data'!U957</f>
        <v>2027</v>
      </c>
      <c r="W957" s="21" t="str">
        <f aca="false">IF(AND(T957&gt;=Assumptions!$B$19,U957="No"),"High Priority - Unrepresented",IF(T957&gt;=Assumptions!$B$19,"High Priority",IF(AND(T957&gt;=Assumptions!$B$20,U957="No"),"Watchlist - Unrepresented",IF(T957&gt;=Assumptions!$B$20,"Watchlist",""))))</f>
        <v>High Priority</v>
      </c>
      <c r="X957" s="21" t="str">
        <f aca="false">'Player Data'!V957</f>
        <v>info@haiphongrangers.vn</v>
      </c>
      <c r="Y957" s="28" t="str">
        <f aca="false">'Player Data'!W957</f>
        <v>Club youth/academy office ONLY - player is a minor, do not contact directly</v>
      </c>
      <c r="Z957" s="28" t="str">
        <f aca="false">'Player Data'!X957</f>
        <v>VFF (Vietnam Football Federation) player registry</v>
      </c>
      <c r="AA957" s="19" t="str">
        <f aca="false">HYPERLINK("https://www.transfermarkt.com/schnellsuche/ergebnis/schnellsuche?query="&amp;SUBSTITUTE(A957," ","+"),"Search Transfermarkt")</f>
        <v>Search Transfermarkt</v>
      </c>
      <c r="AB957" s="29" t="n">
        <f aca="false">IFERROR('Player Data'!K957/('Player Data'!K957+'Player Data'!L957),0)</f>
        <v>0.739130434782609</v>
      </c>
      <c r="AC957" s="21" t="str">
        <f aca="false">IF(B957="GK",IF(AND(O957&gt;=Assumptions!$B$23,N957&gt;=Assumptions!$B$23),"Sweeper-Keeper / Build-from-the-Back",IF(O957&gt;=Assumptions!$B$23,"Sweeper-Keeper / High Line",IF(M957&gt;=Assumptions!$B$23,"Shot-Stopper / Traditional","Flexible / Multi-System"))),IF(AND(O957&gt;=Assumptions!$B$23,P957&gt;=Assumptions!$B$24),"High Press / Gegenpressing",IF(AND(N957&gt;=Assumptions!$B$23,AB957&gt;=Assumptions!$B$25),"Possession / Build-from-the-Back",IF(N957&gt;=Assumptions!$B$23,"Counter-Attack / Transition",IF(AND(O957&gt;=Assumptions!$B$23,N957&lt;Assumptions!$B$26),"Low Block / Park the Bus",IF(AND(B957="FW",M957&gt;=Assumptions!$B$23,N957&lt;Assumptions!$B$26),"Direct / Target Approach","Flexible / Multi-System"))))))</f>
        <v>Shot-Stopper / Traditional</v>
      </c>
      <c r="AD957" s="21" t="str">
        <f aca="false">'Player Data'!Y957</f>
        <v>2026-07-17</v>
      </c>
      <c r="AE957" s="21" t="str">
        <f aca="false">'Player Data'!Z957</f>
        <v>2026-07-17</v>
      </c>
      <c r="AF957" s="28" t="str">
        <f aca="false">IFERROR(INDEX(Assumptions!$B$30:$B$61,MATCH(C957,Assumptions!$A$30:$A$61,0)),"--")</f>
        <v>Australia, Saudi Arabia</v>
      </c>
      <c r="AG957" s="30" t="str">
        <f aca="false">IF(R957&gt;=0.7,"Step-Up Candidate",IF(R957&gt;=0.4,"Lateral Move","Stay &amp; Develop"))</f>
        <v>Step-Up Candidate</v>
      </c>
    </row>
    <row r="958" customFormat="false" ht="23.85" hidden="false" customHeight="false" outlineLevel="0" collapsed="false">
      <c r="A958" s="21" t="str">
        <f aca="false">'Player Data'!A958</f>
        <v>Matias Perez</v>
      </c>
      <c r="B958" s="21" t="str">
        <f aca="false">'Player Data'!F958</f>
        <v>MF</v>
      </c>
      <c r="C958" s="21" t="str">
        <f aca="false">'Player Data'!B958</f>
        <v>Paraguay</v>
      </c>
      <c r="D958" s="21" t="str">
        <f aca="false">'Player Data'!C958</f>
        <v>Paraguay Second Division - West</v>
      </c>
      <c r="E958" s="21" t="n">
        <f aca="false">'Player Data'!D958</f>
        <v>3</v>
      </c>
      <c r="F958" s="21" t="n">
        <f aca="false">'Player Data'!G958</f>
        <v>25</v>
      </c>
      <c r="G958" s="21" t="n">
        <f aca="false">'Player Data'!H958</f>
        <v>2694</v>
      </c>
      <c r="H958" s="22" t="n">
        <f aca="false">IF(B958="GK",IFERROR(('Player Data'!N958-1.5*'Player Data'!O958)/'Player Data'!H958*90,0),IFERROR(('Player Data'!I958+'Player Data'!J958)/'Player Data'!H958*90,0))</f>
        <v>0.534521158129176</v>
      </c>
      <c r="I958" s="22" t="n">
        <f aca="false">IF(B958="GK",'Player Data'!P958,IFERROR(('Player Data'!K958+'Player Data'!L958)/'Player Data'!H958*90,0))</f>
        <v>5.71269487750557</v>
      </c>
      <c r="J958" s="22" t="n">
        <f aca="false">IF(B958="GK",IFERROR('Player Data'!Q958/'Player Data'!H958*90,0),IFERROR('Player Data'!M958/'Player Data'!H958*90,0))</f>
        <v>1.23608017817372</v>
      </c>
      <c r="K958" s="23" t="n">
        <f aca="false">'Player Data'!S958</f>
        <v>32213</v>
      </c>
      <c r="L958" s="22" t="n">
        <f aca="false">INDEX(Assumptions!$B$13:$B$15,MATCH(E958,Assumptions!$A$13:$A$15,0))</f>
        <v>0.85</v>
      </c>
      <c r="M958" s="24" t="n">
        <f aca="false">IFERROR(SUMPRODUCT(($B$2:$B$1001=B958)*($H$2:$H$1001&lt;=H958))/SUMPRODUCT(($B$2:$B$1001=B958)*1),0)</f>
        <v>0.252525252525253</v>
      </c>
      <c r="N958" s="24" t="n">
        <f aca="false">IFERROR(SUMPRODUCT(($B$2:$B$1001=B958)*($I$2:$I$1001&lt;=I958))/SUMPRODUCT(($B$2:$B$1001=B958)*1),0)</f>
        <v>0.00336700336700337</v>
      </c>
      <c r="O958" s="24" t="n">
        <f aca="false">IFERROR(SUMPRODUCT(($B$2:$B$1001=B958)*($J$2:$J$1001&lt;=J958))/SUMPRODUCT(($B$2:$B$1001=B958)*1),0)</f>
        <v>0.0774410774410774</v>
      </c>
      <c r="P958" s="24" t="n">
        <f aca="false">IFERROR(SUMPRODUCT(($B$2:$B$1001=B958)*((0-$F$2:$F$1001)&lt;=(0-F958)))/SUMPRODUCT(($B$2:$B$1001=B958)*1),0)</f>
        <v>0.202020202020202</v>
      </c>
      <c r="Q958" s="25" t="n">
        <f aca="false">(M958*Assumptions!$B$5+N958*Assumptions!$B$6+O958*Assumptions!$B$7+P958*Assumptions!$B$8)*L958</f>
        <v>0.102171717171717</v>
      </c>
      <c r="R958" s="24" t="n">
        <f aca="false">IFERROR(SUMPRODUCT(($B$2:$B$1001=B958)*($Q$2:$Q$1001&lt;=Q958))/SUMPRODUCT(($B$2:$B$1001=B958)*1),0)</f>
        <v>0.0134680134680135</v>
      </c>
      <c r="S958" s="24" t="n">
        <f aca="false">IFERROR(SUMPRODUCT(($B$2:$B$1001=B958)*($K$2:$K$1001&lt;=K958))/SUMPRODUCT(($B$2:$B$1001=B958)*1),0)</f>
        <v>0.333333333333333</v>
      </c>
      <c r="T958" s="26" t="n">
        <f aca="false">(R958-S958)*100</f>
        <v>-31.986531986532</v>
      </c>
      <c r="U958" s="21" t="str">
        <f aca="false">'Player Data'!T958</f>
        <v>No</v>
      </c>
      <c r="V958" s="27" t="n">
        <f aca="false">'Player Data'!U958</f>
        <v>2028</v>
      </c>
      <c r="W958" s="21" t="str">
        <f aca="false">IF(AND(T958&gt;=Assumptions!$B$19,U958="No"),"High Priority - Unrepresented",IF(T958&gt;=Assumptions!$B$19,"High Priority",IF(AND(T958&gt;=Assumptions!$B$20,U958="No"),"Watchlist - Unrepresented",IF(T958&gt;=Assumptions!$B$20,"Watchlist",""))))</f>
        <v/>
      </c>
      <c r="X958" s="21" t="str">
        <f aca="false">'Player Data'!V958</f>
        <v>info@encarnacionfc.py</v>
      </c>
      <c r="Y958" s="28" t="str">
        <f aca="false">'Player Data'!W958</f>
        <v>Club sporting director / first-team office</v>
      </c>
      <c r="Z958" s="28" t="str">
        <f aca="false">'Player Data'!X958</f>
        <v>APF (Paraguayan Football Association) player registry</v>
      </c>
      <c r="AA958" s="19" t="str">
        <f aca="false">HYPERLINK("https://www.transfermarkt.com/schnellsuche/ergebnis/schnellsuche?query="&amp;SUBSTITUTE(A958," ","+"),"Search Transfermarkt")</f>
        <v>Search Transfermarkt</v>
      </c>
      <c r="AB958" s="29" t="n">
        <f aca="false">IFERROR('Player Data'!K958/('Player Data'!K958+'Player Data'!L958),0)</f>
        <v>0.64327485380117</v>
      </c>
      <c r="AC958" s="21" t="str">
        <f aca="false">IF(B958="GK",IF(AND(O958&gt;=Assumptions!$B$23,N958&gt;=Assumptions!$B$23),"Sweeper-Keeper / Build-from-the-Back",IF(O958&gt;=Assumptions!$B$23,"Sweeper-Keeper / High Line",IF(M958&gt;=Assumptions!$B$23,"Shot-Stopper / Traditional","Flexible / Multi-System"))),IF(AND(O958&gt;=Assumptions!$B$23,P958&gt;=Assumptions!$B$24),"High Press / Gegenpressing",IF(AND(N958&gt;=Assumptions!$B$23,AB958&gt;=Assumptions!$B$25),"Possession / Build-from-the-Back",IF(N958&gt;=Assumptions!$B$23,"Counter-Attack / Transition",IF(AND(O958&gt;=Assumptions!$B$23,N958&lt;Assumptions!$B$26),"Low Block / Park the Bus",IF(AND(B958="FW",M958&gt;=Assumptions!$B$23,N958&lt;Assumptions!$B$26),"Direct / Target Approach","Flexible / Multi-System"))))))</f>
        <v>Flexible / Multi-System</v>
      </c>
      <c r="AD958" s="21" t="str">
        <f aca="false">'Player Data'!Y958</f>
        <v>2026-07-17</v>
      </c>
      <c r="AE958" s="21" t="str">
        <f aca="false">'Player Data'!Z958</f>
        <v>2026-07-17</v>
      </c>
      <c r="AF958" s="28" t="str">
        <f aca="false">IFERROR(INDEX(Assumptions!$B$30:$B$61,MATCH(C958,Assumptions!$A$30:$A$61,0)),"--")</f>
        <v>Argentina, Portugal</v>
      </c>
      <c r="AG958" s="30" t="str">
        <f aca="false">IF(R958&gt;=0.7,"Step-Up Candidate",IF(R958&gt;=0.4,"Lateral Move","Stay &amp; Develop"))</f>
        <v>Stay &amp; Develop</v>
      </c>
    </row>
    <row r="959" customFormat="false" ht="23.85" hidden="false" customHeight="false" outlineLevel="0" collapsed="false">
      <c r="A959" s="21" t="str">
        <f aca="false">'Player Data'!A959</f>
        <v>Bledi Duro</v>
      </c>
      <c r="B959" s="21" t="str">
        <f aca="false">'Player Data'!F959</f>
        <v>GK</v>
      </c>
      <c r="C959" s="21" t="str">
        <f aca="false">'Player Data'!B959</f>
        <v>Albania</v>
      </c>
      <c r="D959" s="21" t="str">
        <f aca="false">'Player Data'!C959</f>
        <v>Albania Amateur League</v>
      </c>
      <c r="E959" s="21" t="n">
        <f aca="false">'Player Data'!D959</f>
        <v>2</v>
      </c>
      <c r="F959" s="21" t="n">
        <f aca="false">'Player Data'!G959</f>
        <v>25</v>
      </c>
      <c r="G959" s="21" t="n">
        <f aca="false">'Player Data'!H959</f>
        <v>1113</v>
      </c>
      <c r="H959" s="22" t="n">
        <f aca="false">IF(B959="GK",IFERROR(('Player Data'!N959-1.5*'Player Data'!O959)/'Player Data'!H959*90,0),IFERROR(('Player Data'!I959+'Player Data'!J959)/'Player Data'!H959*90,0))</f>
        <v>2.54716981132076</v>
      </c>
      <c r="I959" s="22" t="n">
        <f aca="false">IF(B959="GK",'Player Data'!P959,IFERROR(('Player Data'!K959+'Player Data'!L959)/'Player Data'!H959*90,0))</f>
        <v>58.4</v>
      </c>
      <c r="J959" s="22" t="n">
        <f aca="false">IF(B959="GK",IFERROR('Player Data'!Q959/'Player Data'!H959*90,0),IFERROR('Player Data'!M959/'Player Data'!H959*90,0))</f>
        <v>1.40700808625337</v>
      </c>
      <c r="K959" s="23" t="n">
        <f aca="false">'Player Data'!S959</f>
        <v>56494</v>
      </c>
      <c r="L959" s="22" t="n">
        <f aca="false">INDEX(Assumptions!$B$13:$B$15,MATCH(E959,Assumptions!$A$13:$A$15,0))</f>
        <v>1</v>
      </c>
      <c r="M959" s="24" t="n">
        <f aca="false">IFERROR(SUMPRODUCT(($B$2:$B$1001=B959)*($H$2:$H$1001&lt;=H959))/SUMPRODUCT(($B$2:$B$1001=B959)*1),0)</f>
        <v>0.983606557377049</v>
      </c>
      <c r="N959" s="24" t="n">
        <f aca="false">IFERROR(SUMPRODUCT(($B$2:$B$1001=B959)*($I$2:$I$1001&lt;=I959))/SUMPRODUCT(($B$2:$B$1001=B959)*1),0)</f>
        <v>0.0819672131147541</v>
      </c>
      <c r="O959" s="24" t="n">
        <f aca="false">IFERROR(SUMPRODUCT(($B$2:$B$1001=B959)*($J$2:$J$1001&lt;=J959))/SUMPRODUCT(($B$2:$B$1001=B959)*1),0)</f>
        <v>0.912568306010929</v>
      </c>
      <c r="P959" s="24" t="n">
        <f aca="false">IFERROR(SUMPRODUCT(($B$2:$B$1001=B959)*((0-$F$2:$F$1001)&lt;=(0-F959)))/SUMPRODUCT(($B$2:$B$1001=B959)*1),0)</f>
        <v>0.240437158469945</v>
      </c>
      <c r="Q959" s="25" t="n">
        <f aca="false">(M959*Assumptions!$B$5+N959*Assumptions!$B$6+O959*Assumptions!$B$7+P959*Assumptions!$B$8)*L959</f>
        <v>0.505191256830601</v>
      </c>
      <c r="R959" s="24" t="n">
        <f aca="false">IFERROR(SUMPRODUCT(($B$2:$B$1001=B959)*($Q$2:$Q$1001&lt;=Q959))/SUMPRODUCT(($B$2:$B$1001=B959)*1),0)</f>
        <v>0.644808743169399</v>
      </c>
      <c r="S959" s="24" t="n">
        <f aca="false">IFERROR(SUMPRODUCT(($B$2:$B$1001=B959)*($K$2:$K$1001&lt;=K959))/SUMPRODUCT(($B$2:$B$1001=B959)*1),0)</f>
        <v>0.426229508196721</v>
      </c>
      <c r="T959" s="26" t="n">
        <f aca="false">(R959-S959)*100</f>
        <v>21.8579234972678</v>
      </c>
      <c r="U959" s="21" t="str">
        <f aca="false">'Player Data'!T959</f>
        <v>Yes</v>
      </c>
      <c r="V959" s="27" t="n">
        <f aca="false">'Player Data'!U959</f>
        <v>2027</v>
      </c>
      <c r="W959" s="21" t="str">
        <f aca="false">IF(AND(T959&gt;=Assumptions!$B$19,U959="No"),"High Priority - Unrepresented",IF(T959&gt;=Assumptions!$B$19,"High Priority",IF(AND(T959&gt;=Assumptions!$B$20,U959="No"),"Watchlist - Unrepresented",IF(T959&gt;=Assumptions!$B$20,"Watchlist",""))))</f>
        <v>Watchlist</v>
      </c>
      <c r="X959" s="21" t="str">
        <f aca="false">'Player Data'!V959</f>
        <v>info@shkodersc.al</v>
      </c>
      <c r="Y959" s="28" t="str">
        <f aca="false">'Player Data'!W959</f>
        <v>Go through the player's agent - ask the club to confirm representation first</v>
      </c>
      <c r="Z959" s="28" t="str">
        <f aca="false">'Player Data'!X959</f>
        <v>FSHF (Albanian Football Association) player registry</v>
      </c>
      <c r="AA959" s="19" t="str">
        <f aca="false">HYPERLINK("https://www.transfermarkt.com/schnellsuche/ergebnis/schnellsuche?query="&amp;SUBSTITUTE(A959," ","+"),"Search Transfermarkt")</f>
        <v>Search Transfermarkt</v>
      </c>
      <c r="AB959" s="29" t="n">
        <f aca="false">IFERROR('Player Data'!K959/('Player Data'!K959+'Player Data'!L959),0)</f>
        <v>0.545454545454545</v>
      </c>
      <c r="AC959" s="21" t="str">
        <f aca="false">IF(B959="GK",IF(AND(O959&gt;=Assumptions!$B$23,N959&gt;=Assumptions!$B$23),"Sweeper-Keeper / Build-from-the-Back",IF(O959&gt;=Assumptions!$B$23,"Sweeper-Keeper / High Line",IF(M959&gt;=Assumptions!$B$23,"Shot-Stopper / Traditional","Flexible / Multi-System"))),IF(AND(O959&gt;=Assumptions!$B$23,P959&gt;=Assumptions!$B$24),"High Press / Gegenpressing",IF(AND(N959&gt;=Assumptions!$B$23,AB959&gt;=Assumptions!$B$25),"Possession / Build-from-the-Back",IF(N959&gt;=Assumptions!$B$23,"Counter-Attack / Transition",IF(AND(O959&gt;=Assumptions!$B$23,N959&lt;Assumptions!$B$26),"Low Block / Park the Bus",IF(AND(B959="FW",M959&gt;=Assumptions!$B$23,N959&lt;Assumptions!$B$26),"Direct / Target Approach","Flexible / Multi-System"))))))</f>
        <v>Sweeper-Keeper / High Line</v>
      </c>
      <c r="AD959" s="21" t="str">
        <f aca="false">'Player Data'!Y959</f>
        <v>2026-07-17</v>
      </c>
      <c r="AE959" s="21" t="str">
        <f aca="false">'Player Data'!Z959</f>
        <v>2026-07-17</v>
      </c>
      <c r="AF959" s="28" t="str">
        <f aca="false">IFERROR(INDEX(Assumptions!$B$30:$B$61,MATCH(C959,Assumptions!$A$30:$A$61,0)),"--")</f>
        <v>Turkey, Poland</v>
      </c>
      <c r="AG959" s="30" t="str">
        <f aca="false">IF(R959&gt;=0.7,"Step-Up Candidate",IF(R959&gt;=0.4,"Lateral Move","Stay &amp; Develop"))</f>
        <v>Lateral Move</v>
      </c>
    </row>
    <row r="960" customFormat="false" ht="23.85" hidden="false" customHeight="false" outlineLevel="0" collapsed="false">
      <c r="A960" s="21" t="str">
        <f aca="false">'Player Data'!A960</f>
        <v>Shamar Powell</v>
      </c>
      <c r="B960" s="21" t="str">
        <f aca="false">'Player Data'!F960</f>
        <v>FW</v>
      </c>
      <c r="C960" s="21" t="str">
        <f aca="false">'Player Data'!B960</f>
        <v>Jamaica</v>
      </c>
      <c r="D960" s="21" t="str">
        <f aca="false">'Player Data'!C960</f>
        <v>Jamaica Second Division - East</v>
      </c>
      <c r="E960" s="21" t="n">
        <f aca="false">'Player Data'!D960</f>
        <v>3</v>
      </c>
      <c r="F960" s="21" t="n">
        <f aca="false">'Player Data'!G960</f>
        <v>21</v>
      </c>
      <c r="G960" s="21" t="n">
        <f aca="false">'Player Data'!H960</f>
        <v>1453</v>
      </c>
      <c r="H960" s="22" t="n">
        <f aca="false">IF(B960="GK",IFERROR(('Player Data'!N960-1.5*'Player Data'!O960)/'Player Data'!H960*90,0),IFERROR(('Player Data'!I960+'Player Data'!J960)/'Player Data'!H960*90,0))</f>
        <v>1.54852030282175</v>
      </c>
      <c r="I960" s="22" t="n">
        <f aca="false">IF(B960="GK",'Player Data'!P960,IFERROR(('Player Data'!K960+'Player Data'!L960)/'Player Data'!H960*90,0))</f>
        <v>8.2381280110117</v>
      </c>
      <c r="J960" s="22" t="n">
        <f aca="false">IF(B960="GK",IFERROR('Player Data'!Q960/'Player Data'!H960*90,0),IFERROR('Player Data'!M960/'Player Data'!H960*90,0))</f>
        <v>0.495526496902959</v>
      </c>
      <c r="K960" s="23" t="n">
        <f aca="false">'Player Data'!S960</f>
        <v>135052</v>
      </c>
      <c r="L960" s="22" t="n">
        <f aca="false">INDEX(Assumptions!$B$13:$B$15,MATCH(E960,Assumptions!$A$13:$A$15,0))</f>
        <v>0.85</v>
      </c>
      <c r="M960" s="24" t="n">
        <f aca="false">IFERROR(SUMPRODUCT(($B$2:$B$1001=B960)*($H$2:$H$1001&lt;=H960))/SUMPRODUCT(($B$2:$B$1001=B960)*1),0)</f>
        <v>0.86283185840708</v>
      </c>
      <c r="N960" s="24" t="n">
        <f aca="false">IFERROR(SUMPRODUCT(($B$2:$B$1001=B960)*($I$2:$I$1001&lt;=I960))/SUMPRODUCT(($B$2:$B$1001=B960)*1),0)</f>
        <v>0.685840707964602</v>
      </c>
      <c r="O960" s="24" t="n">
        <f aca="false">IFERROR(SUMPRODUCT(($B$2:$B$1001=B960)*($J$2:$J$1001&lt;=J960))/SUMPRODUCT(($B$2:$B$1001=B960)*1),0)</f>
        <v>0.5</v>
      </c>
      <c r="P960" s="24" t="n">
        <f aca="false">IFERROR(SUMPRODUCT(($B$2:$B$1001=B960)*((0-$F$2:$F$1001)&lt;=(0-F960)))/SUMPRODUCT(($B$2:$B$1001=B960)*1),0)</f>
        <v>0.579646017699115</v>
      </c>
      <c r="Q960" s="25" t="n">
        <f aca="false">(M960*Assumptions!$B$5+N960*Assumptions!$B$6+O960*Assumptions!$B$7+P960*Assumptions!$B$8)*L960</f>
        <v>0.570929203539823</v>
      </c>
      <c r="R960" s="24" t="n">
        <f aca="false">IFERROR(SUMPRODUCT(($B$2:$B$1001=B960)*($Q$2:$Q$1001&lt;=Q960))/SUMPRODUCT(($B$2:$B$1001=B960)*1),0)</f>
        <v>0.712389380530973</v>
      </c>
      <c r="S960" s="24" t="n">
        <f aca="false">IFERROR(SUMPRODUCT(($B$2:$B$1001=B960)*($K$2:$K$1001&lt;=K960))/SUMPRODUCT(($B$2:$B$1001=B960)*1),0)</f>
        <v>0.929203539823009</v>
      </c>
      <c r="T960" s="26" t="n">
        <f aca="false">(R960-S960)*100</f>
        <v>-21.6814159292035</v>
      </c>
      <c r="U960" s="21" t="str">
        <f aca="false">'Player Data'!T960</f>
        <v>Yes</v>
      </c>
      <c r="V960" s="27" t="n">
        <f aca="false">'Player Data'!U960</f>
        <v>2027</v>
      </c>
      <c r="W960" s="21" t="str">
        <f aca="false">IF(AND(T960&gt;=Assumptions!$B$19,U960="No"),"High Priority - Unrepresented",IF(T960&gt;=Assumptions!$B$19,"High Priority",IF(AND(T960&gt;=Assumptions!$B$20,U960="No"),"Watchlist - Unrepresented",IF(T960&gt;=Assumptions!$B$20,"Watchlist",""))))</f>
        <v/>
      </c>
      <c r="X960" s="21" t="str">
        <f aca="false">'Player Data'!V960</f>
        <v>info@maypentown.jm</v>
      </c>
      <c r="Y960" s="28" t="str">
        <f aca="false">'Player Data'!W960</f>
        <v>Go through the player's agent - ask the club to confirm representation first</v>
      </c>
      <c r="Z960" s="28" t="str">
        <f aca="false">'Player Data'!X960</f>
        <v>JFF (Jamaica Football Federation) player registry</v>
      </c>
      <c r="AA960" s="19" t="str">
        <f aca="false">HYPERLINK("https://www.transfermarkt.com/schnellsuche/ergebnis/schnellsuche?query="&amp;SUBSTITUTE(A960," ","+"),"Search Transfermarkt")</f>
        <v>Search Transfermarkt</v>
      </c>
      <c r="AB960" s="29" t="n">
        <f aca="false">IFERROR('Player Data'!K960/('Player Data'!K960+'Player Data'!L960),0)</f>
        <v>0.330827067669173</v>
      </c>
      <c r="AC960" s="21" t="str">
        <f aca="false">IF(B960="GK",IF(AND(O960&gt;=Assumptions!$B$23,N960&gt;=Assumptions!$B$23),"Sweeper-Keeper / Build-from-the-Back",IF(O960&gt;=Assumptions!$B$23,"Sweeper-Keeper / High Line",IF(M960&gt;=Assumptions!$B$23,"Shot-Stopper / Traditional","Flexible / Multi-System"))),IF(AND(O960&gt;=Assumptions!$B$23,P960&gt;=Assumptions!$B$24),"High Press / Gegenpressing",IF(AND(N960&gt;=Assumptions!$B$23,AB960&gt;=Assumptions!$B$25),"Possession / Build-from-the-Back",IF(N960&gt;=Assumptions!$B$23,"Counter-Attack / Transition",IF(AND(O960&gt;=Assumptions!$B$23,N960&lt;Assumptions!$B$26),"Low Block / Park the Bus",IF(AND(B960="FW",M960&gt;=Assumptions!$B$23,N960&lt;Assumptions!$B$26),"Direct / Target Approach","Flexible / Multi-System"))))))</f>
        <v>Counter-Attack / Transition</v>
      </c>
      <c r="AD960" s="21" t="str">
        <f aca="false">'Player Data'!Y960</f>
        <v>2026-07-17</v>
      </c>
      <c r="AE960" s="21" t="str">
        <f aca="false">'Player Data'!Z960</f>
        <v>2026-07-17</v>
      </c>
      <c r="AF960" s="28" t="str">
        <f aca="false">IFERROR(INDEX(Assumptions!$B$30:$B$61,MATCH(C960,Assumptions!$A$30:$A$61,0)),"--")</f>
        <v>United States, Mexico</v>
      </c>
      <c r="AG960" s="30" t="str">
        <f aca="false">IF(R960&gt;=0.7,"Step-Up Candidate",IF(R960&gt;=0.4,"Lateral Move","Stay &amp; Develop"))</f>
        <v>Step-Up Candidate</v>
      </c>
    </row>
    <row r="961" customFormat="false" ht="23.85" hidden="false" customHeight="false" outlineLevel="0" collapsed="false">
      <c r="A961" s="21" t="str">
        <f aca="false">'Player Data'!A961</f>
        <v>Vladimir Petrovic</v>
      </c>
      <c r="B961" s="21" t="str">
        <f aca="false">'Player Data'!F961</f>
        <v>MF</v>
      </c>
      <c r="C961" s="21" t="str">
        <f aca="false">'Player Data'!B961</f>
        <v>Serbia</v>
      </c>
      <c r="D961" s="21" t="str">
        <f aca="false">'Player Data'!C961</f>
        <v>Serbia Reserve League</v>
      </c>
      <c r="E961" s="21" t="n">
        <f aca="false">'Player Data'!D961</f>
        <v>3</v>
      </c>
      <c r="F961" s="21" t="n">
        <f aca="false">'Player Data'!G961</f>
        <v>21</v>
      </c>
      <c r="G961" s="21" t="n">
        <f aca="false">'Player Data'!H961</f>
        <v>1430</v>
      </c>
      <c r="H961" s="22" t="n">
        <f aca="false">IF(B961="GK",IFERROR(('Player Data'!N961-1.5*'Player Data'!O961)/'Player Data'!H961*90,0),IFERROR(('Player Data'!I961+'Player Data'!J961)/'Player Data'!H961*90,0))</f>
        <v>0.440559440559441</v>
      </c>
      <c r="I961" s="22" t="n">
        <f aca="false">IF(B961="GK",'Player Data'!P961,IFERROR(('Player Data'!K961+'Player Data'!L961)/'Player Data'!H961*90,0))</f>
        <v>12.7762237762238</v>
      </c>
      <c r="J961" s="22" t="n">
        <f aca="false">IF(B961="GK",IFERROR('Player Data'!Q961/'Player Data'!H961*90,0),IFERROR('Player Data'!M961/'Player Data'!H961*90,0))</f>
        <v>3.58741258741259</v>
      </c>
      <c r="K961" s="23" t="n">
        <f aca="false">'Player Data'!S961</f>
        <v>62327</v>
      </c>
      <c r="L961" s="22" t="n">
        <f aca="false">INDEX(Assumptions!$B$13:$B$15,MATCH(E961,Assumptions!$A$13:$A$15,0))</f>
        <v>0.85</v>
      </c>
      <c r="M961" s="24" t="n">
        <f aca="false">IFERROR(SUMPRODUCT(($B$2:$B$1001=B961)*($H$2:$H$1001&lt;=H961))/SUMPRODUCT(($B$2:$B$1001=B961)*1),0)</f>
        <v>0.144781144781145</v>
      </c>
      <c r="N961" s="24" t="n">
        <f aca="false">IFERROR(SUMPRODUCT(($B$2:$B$1001=B961)*($I$2:$I$1001&lt;=I961))/SUMPRODUCT(($B$2:$B$1001=B961)*1),0)</f>
        <v>0.643097643097643</v>
      </c>
      <c r="O961" s="24" t="n">
        <f aca="false">IFERROR(SUMPRODUCT(($B$2:$B$1001=B961)*($J$2:$J$1001&lt;=J961))/SUMPRODUCT(($B$2:$B$1001=B961)*1),0)</f>
        <v>0.878787878787879</v>
      </c>
      <c r="P961" s="24" t="n">
        <f aca="false">IFERROR(SUMPRODUCT(($B$2:$B$1001=B961)*((0-$F$2:$F$1001)&lt;=(0-F961)))/SUMPRODUCT(($B$2:$B$1001=B961)*1),0)</f>
        <v>0.61952861952862</v>
      </c>
      <c r="Q961" s="25" t="n">
        <f aca="false">(M961*Assumptions!$B$5+N961*Assumptions!$B$6+O961*Assumptions!$B$7+P961*Assumptions!$B$8)*L961</f>
        <v>0.476801346801347</v>
      </c>
      <c r="R961" s="24" t="n">
        <f aca="false">IFERROR(SUMPRODUCT(($B$2:$B$1001=B961)*($Q$2:$Q$1001&lt;=Q961))/SUMPRODUCT(($B$2:$B$1001=B961)*1),0)</f>
        <v>0.585858585858586</v>
      </c>
      <c r="S961" s="24" t="n">
        <f aca="false">IFERROR(SUMPRODUCT(($B$2:$B$1001=B961)*($K$2:$K$1001&lt;=K961))/SUMPRODUCT(($B$2:$B$1001=B961)*1),0)</f>
        <v>0.518518518518519</v>
      </c>
      <c r="T961" s="26" t="n">
        <f aca="false">(R961-S961)*100</f>
        <v>6.73400673400674</v>
      </c>
      <c r="U961" s="21" t="str">
        <f aca="false">'Player Data'!T961</f>
        <v>Unknown</v>
      </c>
      <c r="V961" s="27" t="n">
        <f aca="false">'Player Data'!U961</f>
        <v>2028</v>
      </c>
      <c r="W961" s="21" t="str">
        <f aca="false">IF(AND(T961&gt;=Assumptions!$B$19,U961="No"),"High Priority - Unrepresented",IF(T961&gt;=Assumptions!$B$19,"High Priority",IF(AND(T961&gt;=Assumptions!$B$20,U961="No"),"Watchlist - Unrepresented",IF(T961&gt;=Assumptions!$B$20,"Watchlist",""))))</f>
        <v/>
      </c>
      <c r="X961" s="21" t="str">
        <f aca="false">'Player Data'!V961</f>
        <v>info@dobanovciathletic.rs</v>
      </c>
      <c r="Y961" s="28" t="str">
        <f aca="false">'Player Data'!W961</f>
        <v>Club sporting director / first-team office</v>
      </c>
      <c r="Z961" s="28" t="str">
        <f aca="false">'Player Data'!X961</f>
        <v>FSS (Football Association of Serbia) player registry</v>
      </c>
      <c r="AA961" s="19" t="str">
        <f aca="false">HYPERLINK("https://www.transfermarkt.com/schnellsuche/ergebnis/schnellsuche?query="&amp;SUBSTITUTE(A961," ","+"),"Search Transfermarkt")</f>
        <v>Search Transfermarkt</v>
      </c>
      <c r="AB961" s="29" t="n">
        <f aca="false">IFERROR('Player Data'!K961/('Player Data'!K961+'Player Data'!L961),0)</f>
        <v>0.600985221674877</v>
      </c>
      <c r="AC961" s="21" t="str">
        <f aca="false">IF(B961="GK",IF(AND(O961&gt;=Assumptions!$B$23,N961&gt;=Assumptions!$B$23),"Sweeper-Keeper / Build-from-the-Back",IF(O961&gt;=Assumptions!$B$23,"Sweeper-Keeper / High Line",IF(M961&gt;=Assumptions!$B$23,"Shot-Stopper / Traditional","Flexible / Multi-System"))),IF(AND(O961&gt;=Assumptions!$B$23,P961&gt;=Assumptions!$B$24),"High Press / Gegenpressing",IF(AND(N961&gt;=Assumptions!$B$23,AB961&gt;=Assumptions!$B$25),"Possession / Build-from-the-Back",IF(N961&gt;=Assumptions!$B$23,"Counter-Attack / Transition",IF(AND(O961&gt;=Assumptions!$B$23,N961&lt;Assumptions!$B$26),"Low Block / Park the Bus",IF(AND(B961="FW",M961&gt;=Assumptions!$B$23,N961&lt;Assumptions!$B$26),"Direct / Target Approach","Flexible / Multi-System"))))))</f>
        <v>High Press / Gegenpressing</v>
      </c>
      <c r="AD961" s="21" t="str">
        <f aca="false">'Player Data'!Y961</f>
        <v>2026-07-17</v>
      </c>
      <c r="AE961" s="21" t="str">
        <f aca="false">'Player Data'!Z961</f>
        <v>2026-07-17</v>
      </c>
      <c r="AF961" s="28" t="str">
        <f aca="false">IFERROR(INDEX(Assumptions!$B$30:$B$61,MATCH(C961,Assumptions!$A$30:$A$61,0)),"--")</f>
        <v>Austria, Turkey</v>
      </c>
      <c r="AG961" s="30" t="str">
        <f aca="false">IF(R961&gt;=0.7,"Step-Up Candidate",IF(R961&gt;=0.4,"Lateral Move","Stay &amp; Develop"))</f>
        <v>Lateral Move</v>
      </c>
    </row>
    <row r="962" customFormat="false" ht="23.85" hidden="false" customHeight="false" outlineLevel="0" collapsed="false">
      <c r="A962" s="21" t="str">
        <f aca="false">'Player Data'!A962</f>
        <v>Kofi Owusu</v>
      </c>
      <c r="B962" s="21" t="str">
        <f aca="false">'Player Data'!F962</f>
        <v>MF</v>
      </c>
      <c r="C962" s="21" t="str">
        <f aca="false">'Player Data'!B962</f>
        <v>Ghana</v>
      </c>
      <c r="D962" s="21" t="str">
        <f aca="false">'Player Data'!C962</f>
        <v>Ghana Second Division - East</v>
      </c>
      <c r="E962" s="21" t="n">
        <f aca="false">'Player Data'!D962</f>
        <v>2</v>
      </c>
      <c r="F962" s="21" t="n">
        <f aca="false">'Player Data'!G962</f>
        <v>26</v>
      </c>
      <c r="G962" s="21" t="n">
        <f aca="false">'Player Data'!H962</f>
        <v>1957</v>
      </c>
      <c r="H962" s="22" t="n">
        <f aca="false">IF(B962="GK",IFERROR(('Player Data'!N962-1.5*'Player Data'!O962)/'Player Data'!H962*90,0),IFERROR(('Player Data'!I962+'Player Data'!J962)/'Player Data'!H962*90,0))</f>
        <v>0.781808891159939</v>
      </c>
      <c r="I962" s="22" t="n">
        <f aca="false">IF(B962="GK",'Player Data'!P962,IFERROR(('Player Data'!K962+'Player Data'!L962)/'Player Data'!H962*90,0))</f>
        <v>10.8993357179356</v>
      </c>
      <c r="J962" s="22" t="n">
        <f aca="false">IF(B962="GK",IFERROR('Player Data'!Q962/'Player Data'!H962*90,0),IFERROR('Player Data'!M962/'Player Data'!H962*90,0))</f>
        <v>1.79356157383751</v>
      </c>
      <c r="K962" s="23" t="n">
        <f aca="false">'Player Data'!S962</f>
        <v>61576</v>
      </c>
      <c r="L962" s="22" t="n">
        <f aca="false">INDEX(Assumptions!$B$13:$B$15,MATCH(E962,Assumptions!$A$13:$A$15,0))</f>
        <v>1</v>
      </c>
      <c r="M962" s="24" t="n">
        <f aca="false">IFERROR(SUMPRODUCT(($B$2:$B$1001=B962)*($H$2:$H$1001&lt;=H962))/SUMPRODUCT(($B$2:$B$1001=B962)*1),0)</f>
        <v>0.569023569023569</v>
      </c>
      <c r="N962" s="24" t="n">
        <f aca="false">IFERROR(SUMPRODUCT(($B$2:$B$1001=B962)*($I$2:$I$1001&lt;=I962))/SUMPRODUCT(($B$2:$B$1001=B962)*1),0)</f>
        <v>0.498316498316498</v>
      </c>
      <c r="O962" s="24" t="n">
        <f aca="false">IFERROR(SUMPRODUCT(($B$2:$B$1001=B962)*($J$2:$J$1001&lt;=J962))/SUMPRODUCT(($B$2:$B$1001=B962)*1),0)</f>
        <v>0.313131313131313</v>
      </c>
      <c r="P962" s="24" t="n">
        <f aca="false">IFERROR(SUMPRODUCT(($B$2:$B$1001=B962)*((0-$F$2:$F$1001)&lt;=(0-F962)))/SUMPRODUCT(($B$2:$B$1001=B962)*1),0)</f>
        <v>0.0909090909090909</v>
      </c>
      <c r="Q962" s="25" t="n">
        <f aca="false">(M962*Assumptions!$B$5+N962*Assumptions!$B$6+O962*Assumptions!$B$7+P962*Assumptions!$B$8)*L962</f>
        <v>0.397474747474748</v>
      </c>
      <c r="R962" s="24" t="n">
        <f aca="false">IFERROR(SUMPRODUCT(($B$2:$B$1001=B962)*($Q$2:$Q$1001&lt;=Q962))/SUMPRODUCT(($B$2:$B$1001=B962)*1),0)</f>
        <v>0.414141414141414</v>
      </c>
      <c r="S962" s="24" t="n">
        <f aca="false">IFERROR(SUMPRODUCT(($B$2:$B$1001=B962)*($K$2:$K$1001&lt;=K962))/SUMPRODUCT(($B$2:$B$1001=B962)*1),0)</f>
        <v>0.511784511784512</v>
      </c>
      <c r="T962" s="26" t="n">
        <f aca="false">(R962-S962)*100</f>
        <v>-9.76430976430977</v>
      </c>
      <c r="U962" s="21" t="str">
        <f aca="false">'Player Data'!T962</f>
        <v>Unknown</v>
      </c>
      <c r="V962" s="27" t="n">
        <f aca="false">'Player Data'!U962</f>
        <v>2028</v>
      </c>
      <c r="W962" s="21" t="str">
        <f aca="false">IF(AND(T962&gt;=Assumptions!$B$19,U962="No"),"High Priority - Unrepresented",IF(T962&gt;=Assumptions!$B$19,"High Priority",IF(AND(T962&gt;=Assumptions!$B$20,U962="No"),"Watchlist - Unrepresented",IF(T962&gt;=Assumptions!$B$20,"Watchlist",""))))</f>
        <v/>
      </c>
      <c r="X962" s="21" t="str">
        <f aca="false">'Player Data'!V962</f>
        <v>info@sekondifc.gh</v>
      </c>
      <c r="Y962" s="28" t="str">
        <f aca="false">'Player Data'!W962</f>
        <v>Club sporting director / first-team office</v>
      </c>
      <c r="Z962" s="28" t="str">
        <f aca="false">'Player Data'!X962</f>
        <v>GFA (Ghana Football Association) player registry</v>
      </c>
      <c r="AA962" s="19" t="str">
        <f aca="false">HYPERLINK("https://www.transfermarkt.com/schnellsuche/ergebnis/schnellsuche?query="&amp;SUBSTITUTE(A962," ","+"),"Search Transfermarkt")</f>
        <v>Search Transfermarkt</v>
      </c>
      <c r="AB962" s="29" t="n">
        <f aca="false">IFERROR('Player Data'!K962/('Player Data'!K962+'Player Data'!L962),0)</f>
        <v>0.658227848101266</v>
      </c>
      <c r="AC962" s="21" t="str">
        <f aca="false">IF(B962="GK",IF(AND(O962&gt;=Assumptions!$B$23,N962&gt;=Assumptions!$B$23),"Sweeper-Keeper / Build-from-the-Back",IF(O962&gt;=Assumptions!$B$23,"Sweeper-Keeper / High Line",IF(M962&gt;=Assumptions!$B$23,"Shot-Stopper / Traditional","Flexible / Multi-System"))),IF(AND(O962&gt;=Assumptions!$B$23,P962&gt;=Assumptions!$B$24),"High Press / Gegenpressing",IF(AND(N962&gt;=Assumptions!$B$23,AB962&gt;=Assumptions!$B$25),"Possession / Build-from-the-Back",IF(N962&gt;=Assumptions!$B$23,"Counter-Attack / Transition",IF(AND(O962&gt;=Assumptions!$B$23,N962&lt;Assumptions!$B$26),"Low Block / Park the Bus",IF(AND(B962="FW",M962&gt;=Assumptions!$B$23,N962&lt;Assumptions!$B$26),"Direct / Target Approach","Flexible / Multi-System"))))))</f>
        <v>Flexible / Multi-System</v>
      </c>
      <c r="AD962" s="21" t="str">
        <f aca="false">'Player Data'!Y962</f>
        <v>2026-07-17</v>
      </c>
      <c r="AE962" s="21" t="str">
        <f aca="false">'Player Data'!Z962</f>
        <v>2026-07-17</v>
      </c>
      <c r="AF962" s="28" t="str">
        <f aca="false">IFERROR(INDEX(Assumptions!$B$30:$B$61,MATCH(C962,Assumptions!$A$30:$A$61,0)),"--")</f>
        <v>Belgium, Portugal</v>
      </c>
      <c r="AG962" s="30" t="str">
        <f aca="false">IF(R962&gt;=0.7,"Step-Up Candidate",IF(R962&gt;=0.4,"Lateral Move","Stay &amp; Develop"))</f>
        <v>Lateral Move</v>
      </c>
    </row>
    <row r="963" customFormat="false" ht="23.85" hidden="false" customHeight="false" outlineLevel="0" collapsed="false">
      <c r="A963" s="21" t="str">
        <f aca="false">'Player Data'!A963</f>
        <v>Giorgi Kapanadze 99</v>
      </c>
      <c r="B963" s="21" t="str">
        <f aca="false">'Player Data'!F963</f>
        <v>MF</v>
      </c>
      <c r="C963" s="21" t="str">
        <f aca="false">'Player Data'!B963</f>
        <v>Georgia</v>
      </c>
      <c r="D963" s="21" t="str">
        <f aca="false">'Player Data'!C963</f>
        <v>Georgia Second Division</v>
      </c>
      <c r="E963" s="21" t="n">
        <f aca="false">'Player Data'!D963</f>
        <v>4</v>
      </c>
      <c r="F963" s="21" t="n">
        <f aca="false">'Player Data'!G963</f>
        <v>26</v>
      </c>
      <c r="G963" s="21" t="n">
        <f aca="false">'Player Data'!H963</f>
        <v>1457</v>
      </c>
      <c r="H963" s="22" t="n">
        <f aca="false">IF(B963="GK",IFERROR(('Player Data'!N963-1.5*'Player Data'!O963)/'Player Data'!H963*90,0),IFERROR(('Player Data'!I963+'Player Data'!J963)/'Player Data'!H963*90,0))</f>
        <v>0.803019903912148</v>
      </c>
      <c r="I963" s="22" t="n">
        <f aca="false">IF(B963="GK",'Player Data'!P963,IFERROR(('Player Data'!K963+'Player Data'!L963)/'Player Data'!H963*90,0))</f>
        <v>12.1070693205216</v>
      </c>
      <c r="J963" s="22" t="n">
        <f aca="false">IF(B963="GK",IFERROR('Player Data'!Q963/'Player Data'!H963*90,0),IFERROR('Player Data'!M963/'Player Data'!H963*90,0))</f>
        <v>2.28551818805765</v>
      </c>
      <c r="K963" s="23" t="n">
        <f aca="false">'Player Data'!S963</f>
        <v>16032</v>
      </c>
      <c r="L963" s="22" t="n">
        <f aca="false">INDEX(Assumptions!$B$13:$B$15,MATCH(E963,Assumptions!$A$13:$A$15,0))</f>
        <v>0.7</v>
      </c>
      <c r="M963" s="24" t="n">
        <f aca="false">IFERROR(SUMPRODUCT(($B$2:$B$1001=B963)*($H$2:$H$1001&lt;=H963))/SUMPRODUCT(($B$2:$B$1001=B963)*1),0)</f>
        <v>0.602693602693603</v>
      </c>
      <c r="N963" s="24" t="n">
        <f aca="false">IFERROR(SUMPRODUCT(($B$2:$B$1001=B963)*($I$2:$I$1001&lt;=I963))/SUMPRODUCT(($B$2:$B$1001=B963)*1),0)</f>
        <v>0.599326599326599</v>
      </c>
      <c r="O963" s="24" t="n">
        <f aca="false">IFERROR(SUMPRODUCT(($B$2:$B$1001=B963)*($J$2:$J$1001&lt;=J963))/SUMPRODUCT(($B$2:$B$1001=B963)*1),0)</f>
        <v>0.552188552188552</v>
      </c>
      <c r="P963" s="24" t="n">
        <f aca="false">IFERROR(SUMPRODUCT(($B$2:$B$1001=B963)*((0-$F$2:$F$1001)&lt;=(0-F963)))/SUMPRODUCT(($B$2:$B$1001=B963)*1),0)</f>
        <v>0.0909090909090909</v>
      </c>
      <c r="Q963" s="25" t="n">
        <f aca="false">(M963*Assumptions!$B$5+N963*Assumptions!$B$6+O963*Assumptions!$B$7+P963*Assumptions!$B$8)*L963</f>
        <v>0.342340067340067</v>
      </c>
      <c r="R963" s="24" t="n">
        <f aca="false">IFERROR(SUMPRODUCT(($B$2:$B$1001=B963)*($Q$2:$Q$1001&lt;=Q963))/SUMPRODUCT(($B$2:$B$1001=B963)*1),0)</f>
        <v>0.316498316498317</v>
      </c>
      <c r="S963" s="24" t="n">
        <f aca="false">IFERROR(SUMPRODUCT(($B$2:$B$1001=B963)*($K$2:$K$1001&lt;=K963))/SUMPRODUCT(($B$2:$B$1001=B963)*1),0)</f>
        <v>0.262626262626263</v>
      </c>
      <c r="T963" s="26" t="n">
        <f aca="false">(R963-S963)*100</f>
        <v>5.38720538720539</v>
      </c>
      <c r="U963" s="21" t="str">
        <f aca="false">'Player Data'!T963</f>
        <v>Unknown</v>
      </c>
      <c r="V963" s="27" t="n">
        <f aca="false">'Player Data'!U963</f>
        <v>2027</v>
      </c>
      <c r="W963" s="21" t="str">
        <f aca="false">IF(AND(T963&gt;=Assumptions!$B$19,U963="No"),"High Priority - Unrepresented",IF(T963&gt;=Assumptions!$B$19,"High Priority",IF(AND(T963&gt;=Assumptions!$B$20,U963="No"),"Watchlist - Unrepresented",IF(T963&gt;=Assumptions!$B$20,"Watchlist",""))))</f>
        <v/>
      </c>
      <c r="X963" s="21" t="str">
        <f aca="false">'Player Data'!V963</f>
        <v>info@batumiwanderers.ge</v>
      </c>
      <c r="Y963" s="28" t="str">
        <f aca="false">'Player Data'!W963</f>
        <v>Club sporting director / first-team office</v>
      </c>
      <c r="Z963" s="28" t="str">
        <f aca="false">'Player Data'!X963</f>
        <v>GFF (Georgian Football Federation) player registry</v>
      </c>
      <c r="AA963" s="19" t="str">
        <f aca="false">HYPERLINK("https://www.transfermarkt.com/schnellsuche/ergebnis/schnellsuche?query="&amp;SUBSTITUTE(A963," ","+"),"Search Transfermarkt")</f>
        <v>Search Transfermarkt</v>
      </c>
      <c r="AB963" s="29" t="n">
        <f aca="false">IFERROR('Player Data'!K963/('Player Data'!K963+'Player Data'!L963),0)</f>
        <v>0.709183673469388</v>
      </c>
      <c r="AC963" s="21" t="str">
        <f aca="false">IF(B963="GK",IF(AND(O963&gt;=Assumptions!$B$23,N963&gt;=Assumptions!$B$23),"Sweeper-Keeper / Build-from-the-Back",IF(O963&gt;=Assumptions!$B$23,"Sweeper-Keeper / High Line",IF(M963&gt;=Assumptions!$B$23,"Shot-Stopper / Traditional","Flexible / Multi-System"))),IF(AND(O963&gt;=Assumptions!$B$23,P963&gt;=Assumptions!$B$24),"High Press / Gegenpressing",IF(AND(N963&gt;=Assumptions!$B$23,AB963&gt;=Assumptions!$B$25),"Possession / Build-from-the-Back",IF(N963&gt;=Assumptions!$B$23,"Counter-Attack / Transition",IF(AND(O963&gt;=Assumptions!$B$23,N963&lt;Assumptions!$B$26),"Low Block / Park the Bus",IF(AND(B963="FW",M963&gt;=Assumptions!$B$23,N963&lt;Assumptions!$B$26),"Direct / Target Approach","Flexible / Multi-System"))))))</f>
        <v>Flexible / Multi-System</v>
      </c>
      <c r="AD963" s="21" t="str">
        <f aca="false">'Player Data'!Y963</f>
        <v>2026-07-17</v>
      </c>
      <c r="AE963" s="21" t="str">
        <f aca="false">'Player Data'!Z963</f>
        <v>2026-07-17</v>
      </c>
      <c r="AF963" s="28" t="str">
        <f aca="false">IFERROR(INDEX(Assumptions!$B$30:$B$61,MATCH(C963,Assumptions!$A$30:$A$61,0)),"--")</f>
        <v>Turkey, Poland</v>
      </c>
      <c r="AG963" s="30" t="str">
        <f aca="false">IF(R963&gt;=0.7,"Step-Up Candidate",IF(R963&gt;=0.4,"Lateral Move","Stay &amp; Develop"))</f>
        <v>Stay &amp; Develop</v>
      </c>
    </row>
    <row r="964" customFormat="false" ht="23.85" hidden="false" customHeight="false" outlineLevel="0" collapsed="false">
      <c r="A964" s="21" t="str">
        <f aca="false">'Player Data'!A964</f>
        <v>Do-yun Jung</v>
      </c>
      <c r="B964" s="21" t="str">
        <f aca="false">'Player Data'!F964</f>
        <v>MF</v>
      </c>
      <c r="C964" s="21" t="str">
        <f aca="false">'Player Data'!B964</f>
        <v>South Korea</v>
      </c>
      <c r="D964" s="21" t="str">
        <f aca="false">'Player Data'!C964</f>
        <v>South Korea Regional League</v>
      </c>
      <c r="E964" s="21" t="n">
        <f aca="false">'Player Data'!D964</f>
        <v>2</v>
      </c>
      <c r="F964" s="21" t="n">
        <f aca="false">'Player Data'!G964</f>
        <v>20</v>
      </c>
      <c r="G964" s="21" t="n">
        <f aca="false">'Player Data'!H964</f>
        <v>2307</v>
      </c>
      <c r="H964" s="22" t="n">
        <f aca="false">IF(B964="GK",IFERROR(('Player Data'!N964-1.5*'Player Data'!O964)/'Player Data'!H964*90,0),IFERROR(('Player Data'!I964+'Player Data'!J964)/'Player Data'!H964*90,0))</f>
        <v>0.897269180754226</v>
      </c>
      <c r="I964" s="22" t="n">
        <f aca="false">IF(B964="GK",'Player Data'!P964,IFERROR(('Player Data'!K964+'Player Data'!L964)/'Player Data'!H964*90,0))</f>
        <v>6.78803641092328</v>
      </c>
      <c r="J964" s="22" t="n">
        <f aca="false">IF(B964="GK",IFERROR('Player Data'!Q964/'Player Data'!H964*90,0),IFERROR('Player Data'!M964/'Player Data'!H964*90,0))</f>
        <v>1.1703511053316</v>
      </c>
      <c r="K964" s="23" t="n">
        <f aca="false">'Player Data'!S964</f>
        <v>23933</v>
      </c>
      <c r="L964" s="22" t="n">
        <f aca="false">INDEX(Assumptions!$B$13:$B$15,MATCH(E964,Assumptions!$A$13:$A$15,0))</f>
        <v>1</v>
      </c>
      <c r="M964" s="24" t="n">
        <f aca="false">IFERROR(SUMPRODUCT(($B$2:$B$1001=B964)*($H$2:$H$1001&lt;=H964))/SUMPRODUCT(($B$2:$B$1001=B964)*1),0)</f>
        <v>0.68013468013468</v>
      </c>
      <c r="N964" s="24" t="n">
        <f aca="false">IFERROR(SUMPRODUCT(($B$2:$B$1001=B964)*($I$2:$I$1001&lt;=I964))/SUMPRODUCT(($B$2:$B$1001=B964)*1),0)</f>
        <v>0.037037037037037</v>
      </c>
      <c r="O964" s="24" t="n">
        <f aca="false">IFERROR(SUMPRODUCT(($B$2:$B$1001=B964)*($J$2:$J$1001&lt;=J964))/SUMPRODUCT(($B$2:$B$1001=B964)*1),0)</f>
        <v>0.0505050505050505</v>
      </c>
      <c r="P964" s="24" t="n">
        <f aca="false">IFERROR(SUMPRODUCT(($B$2:$B$1001=B964)*((0-$F$2:$F$1001)&lt;=(0-F964)))/SUMPRODUCT(($B$2:$B$1001=B964)*1),0)</f>
        <v>0.734006734006734</v>
      </c>
      <c r="Q964" s="25" t="n">
        <f aca="false">(M964*Assumptions!$B$5+N964*Assumptions!$B$6+O964*Assumptions!$B$7+P964*Assumptions!$B$8)*L964</f>
        <v>0.33989898989899</v>
      </c>
      <c r="R964" s="24" t="n">
        <f aca="false">IFERROR(SUMPRODUCT(($B$2:$B$1001=B964)*($Q$2:$Q$1001&lt;=Q964))/SUMPRODUCT(($B$2:$B$1001=B964)*1),0)</f>
        <v>0.313131313131313</v>
      </c>
      <c r="S964" s="24" t="n">
        <f aca="false">IFERROR(SUMPRODUCT(($B$2:$B$1001=B964)*($K$2:$K$1001&lt;=K964))/SUMPRODUCT(($B$2:$B$1001=B964)*1),0)</f>
        <v>0.292929292929293</v>
      </c>
      <c r="T964" s="26" t="n">
        <f aca="false">(R964-S964)*100</f>
        <v>2.02020202020202</v>
      </c>
      <c r="U964" s="21" t="str">
        <f aca="false">'Player Data'!T964</f>
        <v>Unknown</v>
      </c>
      <c r="V964" s="27" t="n">
        <f aca="false">'Player Data'!U964</f>
        <v>2028</v>
      </c>
      <c r="W964" s="21" t="str">
        <f aca="false">IF(AND(T964&gt;=Assumptions!$B$19,U964="No"),"High Priority - Unrepresented",IF(T964&gt;=Assumptions!$B$19,"High Priority",IF(AND(T964&gt;=Assumptions!$B$20,U964="No"),"Watchlist - Unrepresented",IF(T964&gt;=Assumptions!$B$20,"Watchlist",""))))</f>
        <v/>
      </c>
      <c r="X964" s="21" t="str">
        <f aca="false">'Player Data'!V964</f>
        <v>info@daegucity.kr</v>
      </c>
      <c r="Y964" s="28" t="str">
        <f aca="false">'Player Data'!W964</f>
        <v>Club sporting director / first-team office</v>
      </c>
      <c r="Z964" s="28" t="str">
        <f aca="false">'Player Data'!X964</f>
        <v>KFA (Korea Football Association) player registry</v>
      </c>
      <c r="AA964" s="19" t="str">
        <f aca="false">HYPERLINK("https://www.transfermarkt.com/schnellsuche/ergebnis/schnellsuche?query="&amp;SUBSTITUTE(A964," ","+"),"Search Transfermarkt")</f>
        <v>Search Transfermarkt</v>
      </c>
      <c r="AB964" s="29" t="n">
        <f aca="false">IFERROR('Player Data'!K964/('Player Data'!K964+'Player Data'!L964),0)</f>
        <v>0.655172413793103</v>
      </c>
      <c r="AC964" s="21" t="str">
        <f aca="false">IF(B964="GK",IF(AND(O964&gt;=Assumptions!$B$23,N964&gt;=Assumptions!$B$23),"Sweeper-Keeper / Build-from-the-Back",IF(O964&gt;=Assumptions!$B$23,"Sweeper-Keeper / High Line",IF(M964&gt;=Assumptions!$B$23,"Shot-Stopper / Traditional","Flexible / Multi-System"))),IF(AND(O964&gt;=Assumptions!$B$23,P964&gt;=Assumptions!$B$24),"High Press / Gegenpressing",IF(AND(N964&gt;=Assumptions!$B$23,AB964&gt;=Assumptions!$B$25),"Possession / Build-from-the-Back",IF(N964&gt;=Assumptions!$B$23,"Counter-Attack / Transition",IF(AND(O964&gt;=Assumptions!$B$23,N964&lt;Assumptions!$B$26),"Low Block / Park the Bus",IF(AND(B964="FW",M964&gt;=Assumptions!$B$23,N964&lt;Assumptions!$B$26),"Direct / Target Approach","Flexible / Multi-System"))))))</f>
        <v>Flexible / Multi-System</v>
      </c>
      <c r="AD964" s="21" t="str">
        <f aca="false">'Player Data'!Y964</f>
        <v>2026-07-17</v>
      </c>
      <c r="AE964" s="21" t="str">
        <f aca="false">'Player Data'!Z964</f>
        <v>2026-07-17</v>
      </c>
      <c r="AF964" s="28" t="str">
        <f aca="false">IFERROR(INDEX(Assumptions!$B$30:$B$61,MATCH(C964,Assumptions!$A$30:$A$61,0)),"--")</f>
        <v>Belgium, Saudi Arabia</v>
      </c>
      <c r="AG964" s="30" t="str">
        <f aca="false">IF(R964&gt;=0.7,"Step-Up Candidate",IF(R964&gt;=0.4,"Lateral Move","Stay &amp; Develop"))</f>
        <v>Stay &amp; Develop</v>
      </c>
    </row>
    <row r="965" customFormat="false" ht="23.85" hidden="false" customHeight="false" outlineLevel="0" collapsed="false">
      <c r="A965" s="21" t="str">
        <f aca="false">'Player Data'!A965</f>
        <v>Igor Mitrovski</v>
      </c>
      <c r="B965" s="21" t="str">
        <f aca="false">'Player Data'!F965</f>
        <v>MF</v>
      </c>
      <c r="C965" s="21" t="str">
        <f aca="false">'Player Data'!B965</f>
        <v>North Macedonia</v>
      </c>
      <c r="D965" s="21" t="str">
        <f aca="false">'Player Data'!C965</f>
        <v>North Macedonia Provincial League</v>
      </c>
      <c r="E965" s="21" t="n">
        <f aca="false">'Player Data'!D965</f>
        <v>3</v>
      </c>
      <c r="F965" s="21" t="n">
        <f aca="false">'Player Data'!G965</f>
        <v>24</v>
      </c>
      <c r="G965" s="21" t="n">
        <f aca="false">'Player Data'!H965</f>
        <v>2459</v>
      </c>
      <c r="H965" s="22" t="n">
        <f aca="false">IF(B965="GK",IFERROR(('Player Data'!N965-1.5*'Player Data'!O965)/'Player Data'!H965*90,0),IFERROR(('Player Data'!I965+'Player Data'!J965)/'Player Data'!H965*90,0))</f>
        <v>0.366002440016267</v>
      </c>
      <c r="I965" s="22" t="n">
        <f aca="false">IF(B965="GK",'Player Data'!P965,IFERROR(('Player Data'!K965+'Player Data'!L965)/'Player Data'!H965*90,0))</f>
        <v>8.235054900366</v>
      </c>
      <c r="J965" s="22" t="n">
        <f aca="false">IF(B965="GK",IFERROR('Player Data'!Q965/'Player Data'!H965*90,0),IFERROR('Player Data'!M965/'Player Data'!H965*90,0))</f>
        <v>2.01301342008947</v>
      </c>
      <c r="K965" s="23" t="n">
        <f aca="false">'Player Data'!S965</f>
        <v>74806</v>
      </c>
      <c r="L965" s="22" t="n">
        <f aca="false">INDEX(Assumptions!$B$13:$B$15,MATCH(E965,Assumptions!$A$13:$A$15,0))</f>
        <v>0.85</v>
      </c>
      <c r="M965" s="24" t="n">
        <f aca="false">IFERROR(SUMPRODUCT(($B$2:$B$1001=B965)*($H$2:$H$1001&lt;=H965))/SUMPRODUCT(($B$2:$B$1001=B965)*1),0)</f>
        <v>0.0808080808080808</v>
      </c>
      <c r="N965" s="24" t="n">
        <f aca="false">IFERROR(SUMPRODUCT(($B$2:$B$1001=B965)*($I$2:$I$1001&lt;=I965))/SUMPRODUCT(($B$2:$B$1001=B965)*1),0)</f>
        <v>0.185185185185185</v>
      </c>
      <c r="O965" s="24" t="n">
        <f aca="false">IFERROR(SUMPRODUCT(($B$2:$B$1001=B965)*($J$2:$J$1001&lt;=J965))/SUMPRODUCT(($B$2:$B$1001=B965)*1),0)</f>
        <v>0.434343434343434</v>
      </c>
      <c r="P965" s="24" t="n">
        <f aca="false">IFERROR(SUMPRODUCT(($B$2:$B$1001=B965)*((0-$F$2:$F$1001)&lt;=(0-F965)))/SUMPRODUCT(($B$2:$B$1001=B965)*1),0)</f>
        <v>0.326599326599327</v>
      </c>
      <c r="Q965" s="25" t="n">
        <f aca="false">(M965*Assumptions!$B$5+N965*Assumptions!$B$6+O965*Assumptions!$B$7+P965*Assumptions!$B$8)*L965</f>
        <v>0.201624579124579</v>
      </c>
      <c r="R965" s="24" t="n">
        <f aca="false">IFERROR(SUMPRODUCT(($B$2:$B$1001=B965)*($Q$2:$Q$1001&lt;=Q965))/SUMPRODUCT(($B$2:$B$1001=B965)*1),0)</f>
        <v>0.0909090909090909</v>
      </c>
      <c r="S965" s="24" t="n">
        <f aca="false">IFERROR(SUMPRODUCT(($B$2:$B$1001=B965)*($K$2:$K$1001&lt;=K965))/SUMPRODUCT(($B$2:$B$1001=B965)*1),0)</f>
        <v>0.599326599326599</v>
      </c>
      <c r="T965" s="26" t="n">
        <f aca="false">(R965-S965)*100</f>
        <v>-50.8417508417508</v>
      </c>
      <c r="U965" s="21" t="str">
        <f aca="false">'Player Data'!T965</f>
        <v>Yes</v>
      </c>
      <c r="V965" s="27" t="n">
        <f aca="false">'Player Data'!U965</f>
        <v>2026</v>
      </c>
      <c r="W965" s="21" t="str">
        <f aca="false">IF(AND(T965&gt;=Assumptions!$B$19,U965="No"),"High Priority - Unrepresented",IF(T965&gt;=Assumptions!$B$19,"High Priority",IF(AND(T965&gt;=Assumptions!$B$20,U965="No"),"Watchlist - Unrepresented",IF(T965&gt;=Assumptions!$B$20,"Watchlist",""))))</f>
        <v/>
      </c>
      <c r="X965" s="21" t="str">
        <f aca="false">'Player Data'!V965</f>
        <v>info@tetovocity.mk</v>
      </c>
      <c r="Y965" s="28" t="str">
        <f aca="false">'Player Data'!W965</f>
        <v>Go through the player's agent - ask the club to confirm representation first</v>
      </c>
      <c r="Z965" s="28" t="str">
        <f aca="false">'Player Data'!X965</f>
        <v>FFM (Football Federation of North Macedonia) player registry</v>
      </c>
      <c r="AA965" s="19" t="str">
        <f aca="false">HYPERLINK("https://www.transfermarkt.com/schnellsuche/ergebnis/schnellsuche?query="&amp;SUBSTITUTE(A965," ","+"),"Search Transfermarkt")</f>
        <v>Search Transfermarkt</v>
      </c>
      <c r="AB965" s="29" t="n">
        <f aca="false">IFERROR('Player Data'!K965/('Player Data'!K965+'Player Data'!L965),0)</f>
        <v>0.631111111111111</v>
      </c>
      <c r="AC965" s="21" t="str">
        <f aca="false">IF(B965="GK",IF(AND(O965&gt;=Assumptions!$B$23,N965&gt;=Assumptions!$B$23),"Sweeper-Keeper / Build-from-the-Back",IF(O965&gt;=Assumptions!$B$23,"Sweeper-Keeper / High Line",IF(M965&gt;=Assumptions!$B$23,"Shot-Stopper / Traditional","Flexible / Multi-System"))),IF(AND(O965&gt;=Assumptions!$B$23,P965&gt;=Assumptions!$B$24),"High Press / Gegenpressing",IF(AND(N965&gt;=Assumptions!$B$23,AB965&gt;=Assumptions!$B$25),"Possession / Build-from-the-Back",IF(N965&gt;=Assumptions!$B$23,"Counter-Attack / Transition",IF(AND(O965&gt;=Assumptions!$B$23,N965&lt;Assumptions!$B$26),"Low Block / Park the Bus",IF(AND(B965="FW",M965&gt;=Assumptions!$B$23,N965&lt;Assumptions!$B$26),"Direct / Target Approach","Flexible / Multi-System"))))))</f>
        <v>Flexible / Multi-System</v>
      </c>
      <c r="AD965" s="21" t="str">
        <f aca="false">'Player Data'!Y965</f>
        <v>2026-07-17</v>
      </c>
      <c r="AE965" s="21" t="str">
        <f aca="false">'Player Data'!Z965</f>
        <v>2026-07-17</v>
      </c>
      <c r="AF965" s="28" t="str">
        <f aca="false">IFERROR(INDEX(Assumptions!$B$30:$B$61,MATCH(C965,Assumptions!$A$30:$A$61,0)),"--")</f>
        <v>Austria, Turkey</v>
      </c>
      <c r="AG965" s="30" t="str">
        <f aca="false">IF(R965&gt;=0.7,"Step-Up Candidate",IF(R965&gt;=0.4,"Lateral Move","Stay &amp; Develop"))</f>
        <v>Stay &amp; Develop</v>
      </c>
    </row>
    <row r="966" customFormat="false" ht="23.85" hidden="false" customHeight="false" outlineLevel="0" collapsed="false">
      <c r="A966" s="21" t="str">
        <f aca="false">'Player Data'!A966</f>
        <v>Haruto Ito</v>
      </c>
      <c r="B966" s="21" t="str">
        <f aca="false">'Player Data'!F966</f>
        <v>FW</v>
      </c>
      <c r="C966" s="21" t="str">
        <f aca="false">'Player Data'!B966</f>
        <v>Japan</v>
      </c>
      <c r="D966" s="21" t="str">
        <f aca="false">'Player Data'!C966</f>
        <v>Japan Second Division - East</v>
      </c>
      <c r="E966" s="21" t="n">
        <f aca="false">'Player Data'!D966</f>
        <v>3</v>
      </c>
      <c r="F966" s="21" t="n">
        <f aca="false">'Player Data'!G966</f>
        <v>20</v>
      </c>
      <c r="G966" s="21" t="n">
        <f aca="false">'Player Data'!H966</f>
        <v>1210</v>
      </c>
      <c r="H966" s="22" t="n">
        <f aca="false">IF(B966="GK",IFERROR(('Player Data'!N966-1.5*'Player Data'!O966)/'Player Data'!H966*90,0),IFERROR(('Player Data'!I966+'Player Data'!J966)/'Player Data'!H966*90,0))</f>
        <v>1.78512396694215</v>
      </c>
      <c r="I966" s="22" t="n">
        <f aca="false">IF(B966="GK",'Player Data'!P966,IFERROR(('Player Data'!K966+'Player Data'!L966)/'Player Data'!H966*90,0))</f>
        <v>8.10743801652893</v>
      </c>
      <c r="J966" s="22" t="n">
        <f aca="false">IF(B966="GK",IFERROR('Player Data'!Q966/'Player Data'!H966*90,0),IFERROR('Player Data'!M966/'Player Data'!H966*90,0))</f>
        <v>1.11570247933884</v>
      </c>
      <c r="K966" s="23" t="n">
        <f aca="false">'Player Data'!S966</f>
        <v>117939</v>
      </c>
      <c r="L966" s="22" t="n">
        <f aca="false">INDEX(Assumptions!$B$13:$B$15,MATCH(E966,Assumptions!$A$13:$A$15,0))</f>
        <v>0.85</v>
      </c>
      <c r="M966" s="24" t="n">
        <f aca="false">IFERROR(SUMPRODUCT(($B$2:$B$1001=B966)*($H$2:$H$1001&lt;=H966))/SUMPRODUCT(($B$2:$B$1001=B966)*1),0)</f>
        <v>0.920353982300885</v>
      </c>
      <c r="N966" s="24" t="n">
        <f aca="false">IFERROR(SUMPRODUCT(($B$2:$B$1001=B966)*($I$2:$I$1001&lt;=I966))/SUMPRODUCT(($B$2:$B$1001=B966)*1),0)</f>
        <v>0.672566371681416</v>
      </c>
      <c r="O966" s="24" t="n">
        <f aca="false">IFERROR(SUMPRODUCT(($B$2:$B$1001=B966)*($J$2:$J$1001&lt;=J966))/SUMPRODUCT(($B$2:$B$1001=B966)*1),0)</f>
        <v>0.933628318584071</v>
      </c>
      <c r="P966" s="24" t="n">
        <f aca="false">IFERROR(SUMPRODUCT(($B$2:$B$1001=B966)*((0-$F$2:$F$1001)&lt;=(0-F966)))/SUMPRODUCT(($B$2:$B$1001=B966)*1),0)</f>
        <v>0.712389380530973</v>
      </c>
      <c r="Q966" s="25" t="n">
        <f aca="false">(M966*Assumptions!$B$5+N966*Assumptions!$B$6+O966*Assumptions!$B$7+P966*Assumptions!$B$8)*L966</f>
        <v>0.675486725663717</v>
      </c>
      <c r="R966" s="24" t="n">
        <f aca="false">IFERROR(SUMPRODUCT(($B$2:$B$1001=B966)*($Q$2:$Q$1001&lt;=Q966))/SUMPRODUCT(($B$2:$B$1001=B966)*1),0)</f>
        <v>0.849557522123894</v>
      </c>
      <c r="S966" s="24" t="n">
        <f aca="false">IFERROR(SUMPRODUCT(($B$2:$B$1001=B966)*($K$2:$K$1001&lt;=K966))/SUMPRODUCT(($B$2:$B$1001=B966)*1),0)</f>
        <v>0.81858407079646</v>
      </c>
      <c r="T966" s="26" t="n">
        <f aca="false">(R966-S966)*100</f>
        <v>3.09734513274336</v>
      </c>
      <c r="U966" s="21" t="str">
        <f aca="false">'Player Data'!T966</f>
        <v>No</v>
      </c>
      <c r="V966" s="27" t="n">
        <f aca="false">'Player Data'!U966</f>
        <v>2028</v>
      </c>
      <c r="W966" s="21" t="str">
        <f aca="false">IF(AND(T966&gt;=Assumptions!$B$19,U966="No"),"High Priority - Unrepresented",IF(T966&gt;=Assumptions!$B$19,"High Priority",IF(AND(T966&gt;=Assumptions!$B$20,U966="No"),"Watchlist - Unrepresented",IF(T966&gt;=Assumptions!$B$20,"Watchlist",""))))</f>
        <v/>
      </c>
      <c r="X966" s="21" t="str">
        <f aca="false">'Player Data'!V966</f>
        <v>info@fukuokarovers.jp</v>
      </c>
      <c r="Y966" s="28" t="str">
        <f aca="false">'Player Data'!W966</f>
        <v>Club sporting director / first-team office</v>
      </c>
      <c r="Z966" s="28" t="str">
        <f aca="false">'Player Data'!X966</f>
        <v>JFA (Japan Football Association) player registry</v>
      </c>
      <c r="AA966" s="19" t="str">
        <f aca="false">HYPERLINK("https://www.transfermarkt.com/schnellsuche/ergebnis/schnellsuche?query="&amp;SUBSTITUTE(A966," ","+"),"Search Transfermarkt")</f>
        <v>Search Transfermarkt</v>
      </c>
      <c r="AB966" s="29" t="n">
        <f aca="false">IFERROR('Player Data'!K966/('Player Data'!K966+'Player Data'!L966),0)</f>
        <v>0.412844036697248</v>
      </c>
      <c r="AC966" s="21" t="str">
        <f aca="false">IF(B966="GK",IF(AND(O966&gt;=Assumptions!$B$23,N966&gt;=Assumptions!$B$23),"Sweeper-Keeper / Build-from-the-Back",IF(O966&gt;=Assumptions!$B$23,"Sweeper-Keeper / High Line",IF(M966&gt;=Assumptions!$B$23,"Shot-Stopper / Traditional","Flexible / Multi-System"))),IF(AND(O966&gt;=Assumptions!$B$23,P966&gt;=Assumptions!$B$24),"High Press / Gegenpressing",IF(AND(N966&gt;=Assumptions!$B$23,AB966&gt;=Assumptions!$B$25),"Possession / Build-from-the-Back",IF(N966&gt;=Assumptions!$B$23,"Counter-Attack / Transition",IF(AND(O966&gt;=Assumptions!$B$23,N966&lt;Assumptions!$B$26),"Low Block / Park the Bus",IF(AND(B966="FW",M966&gt;=Assumptions!$B$23,N966&lt;Assumptions!$B$26),"Direct / Target Approach","Flexible / Multi-System"))))))</f>
        <v>High Press / Gegenpressing</v>
      </c>
      <c r="AD966" s="21" t="str">
        <f aca="false">'Player Data'!Y966</f>
        <v>2026-07-17</v>
      </c>
      <c r="AE966" s="21" t="str">
        <f aca="false">'Player Data'!Z966</f>
        <v>2026-07-17</v>
      </c>
      <c r="AF966" s="28" t="str">
        <f aca="false">IFERROR(INDEX(Assumptions!$B$30:$B$61,MATCH(C966,Assumptions!$A$30:$A$61,0)),"--")</f>
        <v>Belgium, Australia</v>
      </c>
      <c r="AG966" s="30" t="str">
        <f aca="false">IF(R966&gt;=0.7,"Step-Up Candidate",IF(R966&gt;=0.4,"Lateral Move","Stay &amp; Develop"))</f>
        <v>Step-Up Candidate</v>
      </c>
    </row>
    <row r="967" customFormat="false" ht="23.85" hidden="false" customHeight="false" outlineLevel="0" collapsed="false">
      <c r="A967" s="21" t="str">
        <f aca="false">'Player Data'!A967</f>
        <v>Edgars Liepa 93</v>
      </c>
      <c r="B967" s="21" t="str">
        <f aca="false">'Player Data'!F967</f>
        <v>GK</v>
      </c>
      <c r="C967" s="21" t="str">
        <f aca="false">'Player Data'!B967</f>
        <v>Latvia</v>
      </c>
      <c r="D967" s="21" t="str">
        <f aca="false">'Player Data'!C967</f>
        <v>Latvia Third Tier - South</v>
      </c>
      <c r="E967" s="21" t="n">
        <f aca="false">'Player Data'!D967</f>
        <v>4</v>
      </c>
      <c r="F967" s="21" t="n">
        <f aca="false">'Player Data'!G967</f>
        <v>24</v>
      </c>
      <c r="G967" s="21" t="n">
        <f aca="false">'Player Data'!H967</f>
        <v>2613</v>
      </c>
      <c r="H967" s="22" t="n">
        <f aca="false">IF(B967="GK",IFERROR(('Player Data'!N967-1.5*'Player Data'!O967)/'Player Data'!H967*90,0),IFERROR(('Player Data'!I967+'Player Data'!J967)/'Player Data'!H967*90,0))</f>
        <v>1.29161882893226</v>
      </c>
      <c r="I967" s="22" t="n">
        <f aca="false">IF(B967="GK",'Player Data'!P967,IFERROR(('Player Data'!K967+'Player Data'!L967)/'Player Data'!H967*90,0))</f>
        <v>72.9</v>
      </c>
      <c r="J967" s="22" t="n">
        <f aca="false">IF(B967="GK",IFERROR('Player Data'!Q967/'Player Data'!H967*90,0),IFERROR('Player Data'!M967/'Player Data'!H967*90,0))</f>
        <v>0.278989667049369</v>
      </c>
      <c r="K967" s="23" t="n">
        <f aca="false">'Player Data'!S967</f>
        <v>62764</v>
      </c>
      <c r="L967" s="22" t="n">
        <f aca="false">INDEX(Assumptions!$B$13:$B$15,MATCH(E967,Assumptions!$A$13:$A$15,0))</f>
        <v>0.7</v>
      </c>
      <c r="M967" s="24" t="n">
        <f aca="false">IFERROR(SUMPRODUCT(($B$2:$B$1001=B967)*($H$2:$H$1001&lt;=H967))/SUMPRODUCT(($B$2:$B$1001=B967)*1),0)</f>
        <v>0.579234972677596</v>
      </c>
      <c r="N967" s="24" t="n">
        <f aca="false">IFERROR(SUMPRODUCT(($B$2:$B$1001=B967)*($I$2:$I$1001&lt;=I967))/SUMPRODUCT(($B$2:$B$1001=B967)*1),0)</f>
        <v>0.508196721311475</v>
      </c>
      <c r="O967" s="24" t="n">
        <f aca="false">IFERROR(SUMPRODUCT(($B$2:$B$1001=B967)*($J$2:$J$1001&lt;=J967))/SUMPRODUCT(($B$2:$B$1001=B967)*1),0)</f>
        <v>0.12568306010929</v>
      </c>
      <c r="P967" s="24" t="n">
        <f aca="false">IFERROR(SUMPRODUCT(($B$2:$B$1001=B967)*((0-$F$2:$F$1001)&lt;=(0-F967)))/SUMPRODUCT(($B$2:$B$1001=B967)*1),0)</f>
        <v>0.300546448087432</v>
      </c>
      <c r="Q967" s="25" t="n">
        <f aca="false">(M967*Assumptions!$B$5+N967*Assumptions!$B$6+O967*Assumptions!$B$7+P967*Assumptions!$B$8)*L967</f>
        <v>0.285546448087432</v>
      </c>
      <c r="R967" s="24" t="n">
        <f aca="false">IFERROR(SUMPRODUCT(($B$2:$B$1001=B967)*($Q$2:$Q$1001&lt;=Q967))/SUMPRODUCT(($B$2:$B$1001=B967)*1),0)</f>
        <v>0.103825136612022</v>
      </c>
      <c r="S967" s="24" t="n">
        <f aca="false">IFERROR(SUMPRODUCT(($B$2:$B$1001=B967)*($K$2:$K$1001&lt;=K967))/SUMPRODUCT(($B$2:$B$1001=B967)*1),0)</f>
        <v>0.475409836065574</v>
      </c>
      <c r="T967" s="26" t="n">
        <f aca="false">(R967-S967)*100</f>
        <v>-37.1584699453552</v>
      </c>
      <c r="U967" s="21" t="str">
        <f aca="false">'Player Data'!T967</f>
        <v>No</v>
      </c>
      <c r="V967" s="27" t="n">
        <f aca="false">'Player Data'!U967</f>
        <v>2028</v>
      </c>
      <c r="W967" s="21" t="str">
        <f aca="false">IF(AND(T967&gt;=Assumptions!$B$19,U967="No"),"High Priority - Unrepresented",IF(T967&gt;=Assumptions!$B$19,"High Priority",IF(AND(T967&gt;=Assumptions!$B$20,U967="No"),"Watchlist - Unrepresented",IF(T967&gt;=Assumptions!$B$20,"Watchlist",""))))</f>
        <v/>
      </c>
      <c r="X967" s="21" t="str">
        <f aca="false">'Player Data'!V967</f>
        <v>info@jelgavacity.lv</v>
      </c>
      <c r="Y967" s="28" t="str">
        <f aca="false">'Player Data'!W967</f>
        <v>Club sporting director / first-team office</v>
      </c>
      <c r="Z967" s="28" t="str">
        <f aca="false">'Player Data'!X967</f>
        <v>LFF (Latvian Football Federation) player registry</v>
      </c>
      <c r="AA967" s="19" t="str">
        <f aca="false">HYPERLINK("https://www.transfermarkt.com/schnellsuche/ergebnis/schnellsuche?query="&amp;SUBSTITUTE(A967," ","+"),"Search Transfermarkt")</f>
        <v>Search Transfermarkt</v>
      </c>
      <c r="AB967" s="29" t="n">
        <f aca="false">IFERROR('Player Data'!K967/('Player Data'!K967+'Player Data'!L967),0)</f>
        <v>0.923076923076923</v>
      </c>
      <c r="AC967" s="21" t="str">
        <f aca="false">IF(B967="GK",IF(AND(O967&gt;=Assumptions!$B$23,N967&gt;=Assumptions!$B$23),"Sweeper-Keeper / Build-from-the-Back",IF(O967&gt;=Assumptions!$B$23,"Sweeper-Keeper / High Line",IF(M967&gt;=Assumptions!$B$23,"Shot-Stopper / Traditional","Flexible / Multi-System"))),IF(AND(O967&gt;=Assumptions!$B$23,P967&gt;=Assumptions!$B$24),"High Press / Gegenpressing",IF(AND(N967&gt;=Assumptions!$B$23,AB967&gt;=Assumptions!$B$25),"Possession / Build-from-the-Back",IF(N967&gt;=Assumptions!$B$23,"Counter-Attack / Transition",IF(AND(O967&gt;=Assumptions!$B$23,N967&lt;Assumptions!$B$26),"Low Block / Park the Bus",IF(AND(B967="FW",M967&gt;=Assumptions!$B$23,N967&lt;Assumptions!$B$26),"Direct / Target Approach","Flexible / Multi-System"))))))</f>
        <v>Flexible / Multi-System</v>
      </c>
      <c r="AD967" s="21" t="str">
        <f aca="false">'Player Data'!Y967</f>
        <v>2026-07-17</v>
      </c>
      <c r="AE967" s="21" t="str">
        <f aca="false">'Player Data'!Z967</f>
        <v>2026-07-17</v>
      </c>
      <c r="AF967" s="28" t="str">
        <f aca="false">IFERROR(INDEX(Assumptions!$B$30:$B$61,MATCH(C967,Assumptions!$A$30:$A$61,0)),"--")</f>
        <v>Poland, Norway</v>
      </c>
      <c r="AG967" s="30" t="str">
        <f aca="false">IF(R967&gt;=0.7,"Step-Up Candidate",IF(R967&gt;=0.4,"Lateral Move","Stay &amp; Develop"))</f>
        <v>Stay &amp; Develop</v>
      </c>
    </row>
    <row r="968" customFormat="false" ht="23.85" hidden="false" customHeight="false" outlineLevel="0" collapsed="false">
      <c r="A968" s="21" t="str">
        <f aca="false">'Player Data'!A968</f>
        <v>Facundo Pereira 32</v>
      </c>
      <c r="B968" s="21" t="str">
        <f aca="false">'Player Data'!F968</f>
        <v>DF</v>
      </c>
      <c r="C968" s="21" t="str">
        <f aca="false">'Player Data'!B968</f>
        <v>Uruguay</v>
      </c>
      <c r="D968" s="21" t="str">
        <f aca="false">'Player Data'!C968</f>
        <v>Uruguay Third Tier - North</v>
      </c>
      <c r="E968" s="21" t="n">
        <f aca="false">'Player Data'!D968</f>
        <v>3</v>
      </c>
      <c r="F968" s="21" t="n">
        <f aca="false">'Player Data'!G968</f>
        <v>20</v>
      </c>
      <c r="G968" s="21" t="n">
        <f aca="false">'Player Data'!H968</f>
        <v>2213</v>
      </c>
      <c r="H968" s="22" t="n">
        <f aca="false">IF(B968="GK",IFERROR(('Player Data'!N968-1.5*'Player Data'!O968)/'Player Data'!H968*90,0),IFERROR(('Player Data'!I968+'Player Data'!J968)/'Player Data'!H968*90,0))</f>
        <v>0.162675101671939</v>
      </c>
      <c r="I968" s="22" t="n">
        <f aca="false">IF(B968="GK",'Player Data'!P968,IFERROR(('Player Data'!K968+'Player Data'!L968)/'Player Data'!H968*90,0))</f>
        <v>3.74152733845459</v>
      </c>
      <c r="J968" s="22" t="n">
        <f aca="false">IF(B968="GK",IFERROR('Player Data'!Q968/'Player Data'!H968*90,0),IFERROR('Player Data'!M968/'Player Data'!H968*90,0))</f>
        <v>3.7008585630366</v>
      </c>
      <c r="K968" s="23" t="n">
        <f aca="false">'Player Data'!S968</f>
        <v>0</v>
      </c>
      <c r="L968" s="22" t="n">
        <f aca="false">INDEX(Assumptions!$B$13:$B$15,MATCH(E968,Assumptions!$A$13:$A$15,0))</f>
        <v>0.85</v>
      </c>
      <c r="M968" s="24" t="n">
        <f aca="false">IFERROR(SUMPRODUCT(($B$2:$B$1001=B968)*($H$2:$H$1001&lt;=H968))/SUMPRODUCT(($B$2:$B$1001=B968)*1),0)</f>
        <v>0.397959183673469</v>
      </c>
      <c r="N968" s="24" t="n">
        <f aca="false">IFERROR(SUMPRODUCT(($B$2:$B$1001=B968)*($I$2:$I$1001&lt;=I968))/SUMPRODUCT(($B$2:$B$1001=B968)*1),0)</f>
        <v>0.329931972789116</v>
      </c>
      <c r="O968" s="24" t="n">
        <f aca="false">IFERROR(SUMPRODUCT(($B$2:$B$1001=B968)*($J$2:$J$1001&lt;=J968))/SUMPRODUCT(($B$2:$B$1001=B968)*1),0)</f>
        <v>0.170068027210884</v>
      </c>
      <c r="P968" s="24" t="n">
        <f aca="false">IFERROR(SUMPRODUCT(($B$2:$B$1001=B968)*((0-$F$2:$F$1001)&lt;=(0-F968)))/SUMPRODUCT(($B$2:$B$1001=B968)*1),0)</f>
        <v>0.656462585034014</v>
      </c>
      <c r="Q968" s="25" t="n">
        <f aca="false">(M968*Assumptions!$B$5+N968*Assumptions!$B$6+O968*Assumptions!$B$7+P968*Assumptions!$B$8)*L968</f>
        <v>0.323231292517007</v>
      </c>
      <c r="R968" s="24" t="n">
        <f aca="false">IFERROR(SUMPRODUCT(($B$2:$B$1001=B968)*($Q$2:$Q$1001&lt;=Q968))/SUMPRODUCT(($B$2:$B$1001=B968)*1),0)</f>
        <v>0.299319727891156</v>
      </c>
      <c r="S968" s="24" t="n">
        <f aca="false">IFERROR(SUMPRODUCT(($B$2:$B$1001=B968)*($K$2:$K$1001&lt;=K968))/SUMPRODUCT(($B$2:$B$1001=B968)*1),0)</f>
        <v>0.248299319727891</v>
      </c>
      <c r="T968" s="26" t="n">
        <f aca="false">(R968-S968)*100</f>
        <v>5.10204081632653</v>
      </c>
      <c r="U968" s="21" t="str">
        <f aca="false">'Player Data'!T968</f>
        <v>No</v>
      </c>
      <c r="V968" s="27" t="n">
        <f aca="false">'Player Data'!U968</f>
        <v>2027</v>
      </c>
      <c r="W968" s="21" t="str">
        <f aca="false">IF(AND(T968&gt;=Assumptions!$B$19,U968="No"),"High Priority - Unrepresented",IF(T968&gt;=Assumptions!$B$19,"High Priority",IF(AND(T968&gt;=Assumptions!$B$20,U968="No"),"Watchlist - Unrepresented",IF(T968&gt;=Assumptions!$B$20,"Watchlist",""))))</f>
        <v/>
      </c>
      <c r="X968" s="21" t="str">
        <f aca="false">'Player Data'!V968</f>
        <v>info@paysandusc.uy</v>
      </c>
      <c r="Y968" s="28" t="str">
        <f aca="false">'Player Data'!W968</f>
        <v>Club sporting director / first-team office</v>
      </c>
      <c r="Z968" s="28" t="str">
        <f aca="false">'Player Data'!X968</f>
        <v>AUF (Uruguayan Football Association) player registry</v>
      </c>
      <c r="AA968" s="19" t="str">
        <f aca="false">HYPERLINK("https://www.transfermarkt.com/schnellsuche/ergebnis/schnellsuche?query="&amp;SUBSTITUTE(A968," ","+"),"Search Transfermarkt")</f>
        <v>Search Transfermarkt</v>
      </c>
      <c r="AB968" s="29" t="n">
        <f aca="false">IFERROR('Player Data'!K968/('Player Data'!K968+'Player Data'!L968),0)</f>
        <v>0.771739130434783</v>
      </c>
      <c r="AC968" s="21" t="str">
        <f aca="false">IF(B968="GK",IF(AND(O968&gt;=Assumptions!$B$23,N968&gt;=Assumptions!$B$23),"Sweeper-Keeper / Build-from-the-Back",IF(O968&gt;=Assumptions!$B$23,"Sweeper-Keeper / High Line",IF(M968&gt;=Assumptions!$B$23,"Shot-Stopper / Traditional","Flexible / Multi-System"))),IF(AND(O968&gt;=Assumptions!$B$23,P968&gt;=Assumptions!$B$24),"High Press / Gegenpressing",IF(AND(N968&gt;=Assumptions!$B$23,AB968&gt;=Assumptions!$B$25),"Possession / Build-from-the-Back",IF(N968&gt;=Assumptions!$B$23,"Counter-Attack / Transition",IF(AND(O968&gt;=Assumptions!$B$23,N968&lt;Assumptions!$B$26),"Low Block / Park the Bus",IF(AND(B968="FW",M968&gt;=Assumptions!$B$23,N968&lt;Assumptions!$B$26),"Direct / Target Approach","Flexible / Multi-System"))))))</f>
        <v>Flexible / Multi-System</v>
      </c>
      <c r="AD968" s="21" t="str">
        <f aca="false">'Player Data'!Y968</f>
        <v>2026-07-17</v>
      </c>
      <c r="AE968" s="21" t="str">
        <f aca="false">'Player Data'!Z968</f>
        <v>2026-07-17</v>
      </c>
      <c r="AF968" s="28" t="str">
        <f aca="false">IFERROR(INDEX(Assumptions!$B$30:$B$61,MATCH(C968,Assumptions!$A$30:$A$61,0)),"--")</f>
        <v>Argentina, Portugal</v>
      </c>
      <c r="AG968" s="30" t="str">
        <f aca="false">IF(R968&gt;=0.7,"Step-Up Candidate",IF(R968&gt;=0.4,"Lateral Move","Stay &amp; Develop"))</f>
        <v>Stay &amp; Develop</v>
      </c>
    </row>
    <row r="969" customFormat="false" ht="23.85" hidden="false" customHeight="false" outlineLevel="0" collapsed="false">
      <c r="A969" s="21" t="str">
        <f aca="false">'Player Data'!A969</f>
        <v>Franck Toure 21</v>
      </c>
      <c r="B969" s="21" t="str">
        <f aca="false">'Player Data'!F969</f>
        <v>FW</v>
      </c>
      <c r="C969" s="21" t="str">
        <f aca="false">'Player Data'!B969</f>
        <v>Ivory Coast</v>
      </c>
      <c r="D969" s="21" t="str">
        <f aca="false">'Player Data'!C969</f>
        <v>Ivory Coast Third Tier - North</v>
      </c>
      <c r="E969" s="21" t="n">
        <f aca="false">'Player Data'!D969</f>
        <v>2</v>
      </c>
      <c r="F969" s="21" t="n">
        <f aca="false">'Player Data'!G969</f>
        <v>24</v>
      </c>
      <c r="G969" s="21" t="n">
        <f aca="false">'Player Data'!H969</f>
        <v>2543</v>
      </c>
      <c r="H969" s="22" t="n">
        <f aca="false">IF(B969="GK",IFERROR(('Player Data'!N969-1.5*'Player Data'!O969)/'Player Data'!H969*90,0),IFERROR(('Player Data'!I969+'Player Data'!J969)/'Player Data'!H969*90,0))</f>
        <v>0.49547778214707</v>
      </c>
      <c r="I969" s="22" t="n">
        <f aca="false">IF(B969="GK",'Player Data'!P969,IFERROR(('Player Data'!K969+'Player Data'!L969)/'Player Data'!H969*90,0))</f>
        <v>5.30869052300433</v>
      </c>
      <c r="J969" s="22" t="n">
        <f aca="false">IF(B969="GK",IFERROR('Player Data'!Q969/'Player Data'!H969*90,0),IFERROR('Player Data'!M969/'Player Data'!H969*90,0))</f>
        <v>0.283130161226897</v>
      </c>
      <c r="K969" s="23" t="n">
        <f aca="false">'Player Data'!S969</f>
        <v>88911</v>
      </c>
      <c r="L969" s="22" t="n">
        <f aca="false">INDEX(Assumptions!$B$13:$B$15,MATCH(E969,Assumptions!$A$13:$A$15,0))</f>
        <v>1</v>
      </c>
      <c r="M969" s="24" t="n">
        <f aca="false">IFERROR(SUMPRODUCT(($B$2:$B$1001=B969)*($H$2:$H$1001&lt;=H969))/SUMPRODUCT(($B$2:$B$1001=B969)*1),0)</f>
        <v>0.0663716814159292</v>
      </c>
      <c r="N969" s="24" t="n">
        <f aca="false">IFERROR(SUMPRODUCT(($B$2:$B$1001=B969)*($I$2:$I$1001&lt;=I969))/SUMPRODUCT(($B$2:$B$1001=B969)*1),0)</f>
        <v>0.269911504424779</v>
      </c>
      <c r="O969" s="24" t="n">
        <f aca="false">IFERROR(SUMPRODUCT(($B$2:$B$1001=B969)*($J$2:$J$1001&lt;=J969))/SUMPRODUCT(($B$2:$B$1001=B969)*1),0)</f>
        <v>0.154867256637168</v>
      </c>
      <c r="P969" s="24" t="n">
        <f aca="false">IFERROR(SUMPRODUCT(($B$2:$B$1001=B969)*((0-$F$2:$F$1001)&lt;=(0-F969)))/SUMPRODUCT(($B$2:$B$1001=B969)*1),0)</f>
        <v>0.305309734513274</v>
      </c>
      <c r="Q969" s="25" t="n">
        <f aca="false">(M969*Assumptions!$B$5+N969*Assumptions!$B$6+O969*Assumptions!$B$7+P969*Assumptions!$B$8)*L969</f>
        <v>0.203097345132743</v>
      </c>
      <c r="R969" s="24" t="n">
        <f aca="false">IFERROR(SUMPRODUCT(($B$2:$B$1001=B969)*($Q$2:$Q$1001&lt;=Q969))/SUMPRODUCT(($B$2:$B$1001=B969)*1),0)</f>
        <v>0.0884955752212389</v>
      </c>
      <c r="S969" s="24" t="n">
        <f aca="false">IFERROR(SUMPRODUCT(($B$2:$B$1001=B969)*($K$2:$K$1001&lt;=K969))/SUMPRODUCT(($B$2:$B$1001=B969)*1),0)</f>
        <v>0.63716814159292</v>
      </c>
      <c r="T969" s="26" t="n">
        <f aca="false">(R969-S969)*100</f>
        <v>-54.8672566371681</v>
      </c>
      <c r="U969" s="21" t="str">
        <f aca="false">'Player Data'!T969</f>
        <v>No</v>
      </c>
      <c r="V969" s="27" t="n">
        <f aca="false">'Player Data'!U969</f>
        <v>2029</v>
      </c>
      <c r="W969" s="21" t="str">
        <f aca="false">IF(AND(T969&gt;=Assumptions!$B$19,U969="No"),"High Priority - Unrepresented",IF(T969&gt;=Assumptions!$B$19,"High Priority",IF(AND(T969&gt;=Assumptions!$B$20,U969="No"),"Watchlist - Unrepresented",IF(T969&gt;=Assumptions!$B$20,"Watchlist",""))))</f>
        <v/>
      </c>
      <c r="X969" s="21" t="str">
        <f aca="false">'Player Data'!V969</f>
        <v>info@sanpedrotown.ci</v>
      </c>
      <c r="Y969" s="28" t="str">
        <f aca="false">'Player Data'!W969</f>
        <v>Club sporting director / first-team office</v>
      </c>
      <c r="Z969" s="28" t="str">
        <f aca="false">'Player Data'!X969</f>
        <v>FIF (Ivorian Football Federation) player registry</v>
      </c>
      <c r="AA969" s="19" t="str">
        <f aca="false">HYPERLINK("https://www.transfermarkt.com/schnellsuche/ergebnis/schnellsuche?query="&amp;SUBSTITUTE(A969," ","+"),"Search Transfermarkt")</f>
        <v>Search Transfermarkt</v>
      </c>
      <c r="AB969" s="29" t="n">
        <f aca="false">IFERROR('Player Data'!K969/('Player Data'!K969+'Player Data'!L969),0)</f>
        <v>0.366666666666667</v>
      </c>
      <c r="AC969" s="21" t="str">
        <f aca="false">IF(B969="GK",IF(AND(O969&gt;=Assumptions!$B$23,N969&gt;=Assumptions!$B$23),"Sweeper-Keeper / Build-from-the-Back",IF(O969&gt;=Assumptions!$B$23,"Sweeper-Keeper / High Line",IF(M969&gt;=Assumptions!$B$23,"Shot-Stopper / Traditional","Flexible / Multi-System"))),IF(AND(O969&gt;=Assumptions!$B$23,P969&gt;=Assumptions!$B$24),"High Press / Gegenpressing",IF(AND(N969&gt;=Assumptions!$B$23,AB969&gt;=Assumptions!$B$25),"Possession / Build-from-the-Back",IF(N969&gt;=Assumptions!$B$23,"Counter-Attack / Transition",IF(AND(O969&gt;=Assumptions!$B$23,N969&lt;Assumptions!$B$26),"Low Block / Park the Bus",IF(AND(B969="FW",M969&gt;=Assumptions!$B$23,N969&lt;Assumptions!$B$26),"Direct / Target Approach","Flexible / Multi-System"))))))</f>
        <v>Flexible / Multi-System</v>
      </c>
      <c r="AD969" s="21" t="str">
        <f aca="false">'Player Data'!Y969</f>
        <v>2026-07-17</v>
      </c>
      <c r="AE969" s="21" t="str">
        <f aca="false">'Player Data'!Z969</f>
        <v>2026-07-17</v>
      </c>
      <c r="AF969" s="28" t="str">
        <f aca="false">IFERROR(INDEX(Assumptions!$B$30:$B$61,MATCH(C969,Assumptions!$A$30:$A$61,0)),"--")</f>
        <v>Belgium, Portugal</v>
      </c>
      <c r="AG969" s="30" t="str">
        <f aca="false">IF(R969&gt;=0.7,"Step-Up Candidate",IF(R969&gt;=0.4,"Lateral Move","Stay &amp; Develop"))</f>
        <v>Stay &amp; Develop</v>
      </c>
    </row>
    <row r="970" customFormat="false" ht="23.85" hidden="false" customHeight="false" outlineLevel="0" collapsed="false">
      <c r="A970" s="21" t="str">
        <f aca="false">'Player Data'!A970</f>
        <v>Cristian Cardozo</v>
      </c>
      <c r="B970" s="21" t="str">
        <f aca="false">'Player Data'!F970</f>
        <v>GK</v>
      </c>
      <c r="C970" s="21" t="str">
        <f aca="false">'Player Data'!B970</f>
        <v>Paraguay</v>
      </c>
      <c r="D970" s="21" t="str">
        <f aca="false">'Player Data'!C970</f>
        <v>Paraguay Regional League</v>
      </c>
      <c r="E970" s="21" t="n">
        <f aca="false">'Player Data'!D970</f>
        <v>2</v>
      </c>
      <c r="F970" s="21" t="n">
        <f aca="false">'Player Data'!G970</f>
        <v>26</v>
      </c>
      <c r="G970" s="21" t="n">
        <f aca="false">'Player Data'!H970</f>
        <v>2543</v>
      </c>
      <c r="H970" s="22" t="n">
        <f aca="false">IF(B970="GK",IFERROR(('Player Data'!N970-1.5*'Player Data'!O970)/'Player Data'!H970*90,0),IFERROR(('Player Data'!I970+'Player Data'!J970)/'Player Data'!H970*90,0))</f>
        <v>2.2473456547385</v>
      </c>
      <c r="I970" s="22" t="n">
        <f aca="false">IF(B970="GK",'Player Data'!P970,IFERROR(('Player Data'!K970+'Player Data'!L970)/'Player Data'!H970*90,0))</f>
        <v>71.5</v>
      </c>
      <c r="J970" s="22" t="n">
        <f aca="false">IF(B970="GK",IFERROR('Player Data'!Q970/'Player Data'!H970*90,0),IFERROR('Player Data'!M970/'Player Data'!H970*90,0))</f>
        <v>0.52379079826976</v>
      </c>
      <c r="K970" s="23" t="n">
        <f aca="false">'Player Data'!S970</f>
        <v>69184</v>
      </c>
      <c r="L970" s="22" t="n">
        <f aca="false">INDEX(Assumptions!$B$13:$B$15,MATCH(E970,Assumptions!$A$13:$A$15,0))</f>
        <v>1</v>
      </c>
      <c r="M970" s="24" t="n">
        <f aca="false">IFERROR(SUMPRODUCT(($B$2:$B$1001=B970)*($H$2:$H$1001&lt;=H970))/SUMPRODUCT(($B$2:$B$1001=B970)*1),0)</f>
        <v>0.945355191256831</v>
      </c>
      <c r="N970" s="24" t="n">
        <f aca="false">IFERROR(SUMPRODUCT(($B$2:$B$1001=B970)*($I$2:$I$1001&lt;=I970))/SUMPRODUCT(($B$2:$B$1001=B970)*1),0)</f>
        <v>0.453551912568306</v>
      </c>
      <c r="O970" s="24" t="n">
        <f aca="false">IFERROR(SUMPRODUCT(($B$2:$B$1001=B970)*($J$2:$J$1001&lt;=J970))/SUMPRODUCT(($B$2:$B$1001=B970)*1),0)</f>
        <v>0.273224043715847</v>
      </c>
      <c r="P970" s="24" t="n">
        <f aca="false">IFERROR(SUMPRODUCT(($B$2:$B$1001=B970)*((0-$F$2:$F$1001)&lt;=(0-F970)))/SUMPRODUCT(($B$2:$B$1001=B970)*1),0)</f>
        <v>0.131147540983607</v>
      </c>
      <c r="Q970" s="25" t="n">
        <f aca="false">(M970*Assumptions!$B$5+N970*Assumptions!$B$6+O970*Assumptions!$B$7+P970*Assumptions!$B$8)*L970</f>
        <v>0.475956284153005</v>
      </c>
      <c r="R970" s="24" t="n">
        <f aca="false">IFERROR(SUMPRODUCT(($B$2:$B$1001=B970)*($Q$2:$Q$1001&lt;=Q970))/SUMPRODUCT(($B$2:$B$1001=B970)*1),0)</f>
        <v>0.540983606557377</v>
      </c>
      <c r="S970" s="24" t="n">
        <f aca="false">IFERROR(SUMPRODUCT(($B$2:$B$1001=B970)*($K$2:$K$1001&lt;=K970))/SUMPRODUCT(($B$2:$B$1001=B970)*1),0)</f>
        <v>0.513661202185792</v>
      </c>
      <c r="T970" s="26" t="n">
        <f aca="false">(R970-S970)*100</f>
        <v>2.73224043715847</v>
      </c>
      <c r="U970" s="21" t="str">
        <f aca="false">'Player Data'!T970</f>
        <v>No</v>
      </c>
      <c r="V970" s="27" t="n">
        <f aca="false">'Player Data'!U970</f>
        <v>2026</v>
      </c>
      <c r="W970" s="21" t="str">
        <f aca="false">IF(AND(T970&gt;=Assumptions!$B$19,U970="No"),"High Priority - Unrepresented",IF(T970&gt;=Assumptions!$B$19,"High Priority",IF(AND(T970&gt;=Assumptions!$B$20,U970="No"),"Watchlist - Unrepresented",IF(T970&gt;=Assumptions!$B$20,"Watchlist",""))))</f>
        <v/>
      </c>
      <c r="X970" s="21" t="str">
        <f aca="false">'Player Data'!V970</f>
        <v>info@luquesc.py</v>
      </c>
      <c r="Y970" s="28" t="str">
        <f aca="false">'Player Data'!W970</f>
        <v>Club sporting director / first-team office</v>
      </c>
      <c r="Z970" s="28" t="str">
        <f aca="false">'Player Data'!X970</f>
        <v>APF (Paraguayan Football Association) player registry</v>
      </c>
      <c r="AA970" s="19" t="str">
        <f aca="false">HYPERLINK("https://www.transfermarkt.com/schnellsuche/ergebnis/schnellsuche?query="&amp;SUBSTITUTE(A970," ","+"),"Search Transfermarkt")</f>
        <v>Search Transfermarkt</v>
      </c>
      <c r="AB970" s="29" t="n">
        <f aca="false">IFERROR('Player Data'!K970/('Player Data'!K970+'Player Data'!L970),0)</f>
        <v>1</v>
      </c>
      <c r="AC970" s="21" t="str">
        <f aca="false">IF(B970="GK",IF(AND(O970&gt;=Assumptions!$B$23,N970&gt;=Assumptions!$B$23),"Sweeper-Keeper / Build-from-the-Back",IF(O970&gt;=Assumptions!$B$23,"Sweeper-Keeper / High Line",IF(M970&gt;=Assumptions!$B$23,"Shot-Stopper / Traditional","Flexible / Multi-System"))),IF(AND(O970&gt;=Assumptions!$B$23,P970&gt;=Assumptions!$B$24),"High Press / Gegenpressing",IF(AND(N970&gt;=Assumptions!$B$23,AB970&gt;=Assumptions!$B$25),"Possession / Build-from-the-Back",IF(N970&gt;=Assumptions!$B$23,"Counter-Attack / Transition",IF(AND(O970&gt;=Assumptions!$B$23,N970&lt;Assumptions!$B$26),"Low Block / Park the Bus",IF(AND(B970="FW",M970&gt;=Assumptions!$B$23,N970&lt;Assumptions!$B$26),"Direct / Target Approach","Flexible / Multi-System"))))))</f>
        <v>Shot-Stopper / Traditional</v>
      </c>
      <c r="AD970" s="21" t="str">
        <f aca="false">'Player Data'!Y970</f>
        <v>2026-07-17</v>
      </c>
      <c r="AE970" s="21" t="str">
        <f aca="false">'Player Data'!Z970</f>
        <v>2026-07-17</v>
      </c>
      <c r="AF970" s="28" t="str">
        <f aca="false">IFERROR(INDEX(Assumptions!$B$30:$B$61,MATCH(C970,Assumptions!$A$30:$A$61,0)),"--")</f>
        <v>Argentina, Portugal</v>
      </c>
      <c r="AG970" s="30" t="str">
        <f aca="false">IF(R970&gt;=0.7,"Step-Up Candidate",IF(R970&gt;=0.4,"Lateral Move","Stay &amp; Develop"))</f>
        <v>Lateral Move</v>
      </c>
    </row>
    <row r="971" customFormat="false" ht="23.85" hidden="false" customHeight="false" outlineLevel="0" collapsed="false">
      <c r="A971" s="21" t="str">
        <f aca="false">'Player Data'!A971</f>
        <v>Sekou Traore 67</v>
      </c>
      <c r="B971" s="21" t="str">
        <f aca="false">'Player Data'!F971</f>
        <v>FW</v>
      </c>
      <c r="C971" s="21" t="str">
        <f aca="false">'Player Data'!B971</f>
        <v>Mali</v>
      </c>
      <c r="D971" s="21" t="str">
        <f aca="false">'Player Data'!C971</f>
        <v>Mali Provincial League</v>
      </c>
      <c r="E971" s="21" t="n">
        <f aca="false">'Player Data'!D971</f>
        <v>4</v>
      </c>
      <c r="F971" s="21" t="n">
        <f aca="false">'Player Data'!G971</f>
        <v>25</v>
      </c>
      <c r="G971" s="21" t="n">
        <f aca="false">'Player Data'!H971</f>
        <v>1626</v>
      </c>
      <c r="H971" s="22" t="n">
        <f aca="false">IF(B971="GK",IFERROR(('Player Data'!N971-1.5*'Player Data'!O971)/'Player Data'!H971*90,0),IFERROR(('Player Data'!I971+'Player Data'!J971)/'Player Data'!H971*90,0))</f>
        <v>1.32841328413284</v>
      </c>
      <c r="I971" s="22" t="n">
        <f aca="false">IF(B971="GK",'Player Data'!P971,IFERROR(('Player Data'!K971+'Player Data'!L971)/'Player Data'!H971*90,0))</f>
        <v>6.86346863468635</v>
      </c>
      <c r="J971" s="22" t="n">
        <f aca="false">IF(B971="GK",IFERROR('Player Data'!Q971/'Player Data'!H971*90,0),IFERROR('Player Data'!M971/'Player Data'!H971*90,0))</f>
        <v>0.33210332103321</v>
      </c>
      <c r="K971" s="23" t="n">
        <f aca="false">'Player Data'!S971</f>
        <v>0</v>
      </c>
      <c r="L971" s="22" t="n">
        <f aca="false">INDEX(Assumptions!$B$13:$B$15,MATCH(E971,Assumptions!$A$13:$A$15,0))</f>
        <v>0.7</v>
      </c>
      <c r="M971" s="24" t="n">
        <f aca="false">IFERROR(SUMPRODUCT(($B$2:$B$1001=B971)*($H$2:$H$1001&lt;=H971))/SUMPRODUCT(($B$2:$B$1001=B971)*1),0)</f>
        <v>0.752212389380531</v>
      </c>
      <c r="N971" s="24" t="n">
        <f aca="false">IFERROR(SUMPRODUCT(($B$2:$B$1001=B971)*($I$2:$I$1001&lt;=I971))/SUMPRODUCT(($B$2:$B$1001=B971)*1),0)</f>
        <v>0.553097345132743</v>
      </c>
      <c r="O971" s="24" t="n">
        <f aca="false">IFERROR(SUMPRODUCT(($B$2:$B$1001=B971)*($J$2:$J$1001&lt;=J971))/SUMPRODUCT(($B$2:$B$1001=B971)*1),0)</f>
        <v>0.216814159292035</v>
      </c>
      <c r="P971" s="24" t="n">
        <f aca="false">IFERROR(SUMPRODUCT(($B$2:$B$1001=B971)*((0-$F$2:$F$1001)&lt;=(0-F971)))/SUMPRODUCT(($B$2:$B$1001=B971)*1),0)</f>
        <v>0.194690265486726</v>
      </c>
      <c r="Q971" s="25" t="n">
        <f aca="false">(M971*Assumptions!$B$5+N971*Assumptions!$B$6+O971*Assumptions!$B$7+P971*Assumptions!$B$8)*L971</f>
        <v>0.324756637168142</v>
      </c>
      <c r="R971" s="24" t="n">
        <f aca="false">IFERROR(SUMPRODUCT(($B$2:$B$1001=B971)*($Q$2:$Q$1001&lt;=Q971))/SUMPRODUCT(($B$2:$B$1001=B971)*1),0)</f>
        <v>0.31858407079646</v>
      </c>
      <c r="S971" s="24" t="n">
        <f aca="false">IFERROR(SUMPRODUCT(($B$2:$B$1001=B971)*($K$2:$K$1001&lt;=K971))/SUMPRODUCT(($B$2:$B$1001=B971)*1),0)</f>
        <v>0.261061946902655</v>
      </c>
      <c r="T971" s="26" t="n">
        <f aca="false">(R971-S971)*100</f>
        <v>5.75221238938053</v>
      </c>
      <c r="U971" s="21" t="str">
        <f aca="false">'Player Data'!T971</f>
        <v>No</v>
      </c>
      <c r="V971" s="27" t="n">
        <f aca="false">'Player Data'!U971</f>
        <v>2028</v>
      </c>
      <c r="W971" s="21" t="str">
        <f aca="false">IF(AND(T971&gt;=Assumptions!$B$19,U971="No"),"High Priority - Unrepresented",IF(T971&gt;=Assumptions!$B$19,"High Priority",IF(AND(T971&gt;=Assumptions!$B$20,U971="No"),"Watchlist - Unrepresented",IF(T971&gt;=Assumptions!$B$20,"Watchlist",""))))</f>
        <v/>
      </c>
      <c r="X971" s="21" t="str">
        <f aca="false">'Player Data'!V971</f>
        <v>info@moptirovers.ml</v>
      </c>
      <c r="Y971" s="28" t="str">
        <f aca="false">'Player Data'!W971</f>
        <v>Club sporting director / first-team office</v>
      </c>
      <c r="Z971" s="28" t="str">
        <f aca="false">'Player Data'!X971</f>
        <v>FEMAFOOT (Malian Football Federation) player registry</v>
      </c>
      <c r="AA971" s="19" t="str">
        <f aca="false">HYPERLINK("https://www.transfermarkt.com/schnellsuche/ergebnis/schnellsuche?query="&amp;SUBSTITUTE(A971," ","+"),"Search Transfermarkt")</f>
        <v>Search Transfermarkt</v>
      </c>
      <c r="AB971" s="29" t="n">
        <f aca="false">IFERROR('Player Data'!K971/('Player Data'!K971+'Player Data'!L971),0)</f>
        <v>0.411290322580645</v>
      </c>
      <c r="AC971" s="21" t="str">
        <f aca="false">IF(B971="GK",IF(AND(O971&gt;=Assumptions!$B$23,N971&gt;=Assumptions!$B$23),"Sweeper-Keeper / Build-from-the-Back",IF(O971&gt;=Assumptions!$B$23,"Sweeper-Keeper / High Line",IF(M971&gt;=Assumptions!$B$23,"Shot-Stopper / Traditional","Flexible / Multi-System"))),IF(AND(O971&gt;=Assumptions!$B$23,P971&gt;=Assumptions!$B$24),"High Press / Gegenpressing",IF(AND(N971&gt;=Assumptions!$B$23,AB971&gt;=Assumptions!$B$25),"Possession / Build-from-the-Back",IF(N971&gt;=Assumptions!$B$23,"Counter-Attack / Transition",IF(AND(O971&gt;=Assumptions!$B$23,N971&lt;Assumptions!$B$26),"Low Block / Park the Bus",IF(AND(B971="FW",M971&gt;=Assumptions!$B$23,N971&lt;Assumptions!$B$26),"Direct / Target Approach","Flexible / Multi-System"))))))</f>
        <v>Flexible / Multi-System</v>
      </c>
      <c r="AD971" s="21" t="str">
        <f aca="false">'Player Data'!Y971</f>
        <v>2026-07-17</v>
      </c>
      <c r="AE971" s="21" t="str">
        <f aca="false">'Player Data'!Z971</f>
        <v>2026-07-17</v>
      </c>
      <c r="AF971" s="28" t="str">
        <f aca="false">IFERROR(INDEX(Assumptions!$B$30:$B$61,MATCH(C971,Assumptions!$A$30:$A$61,0)),"--")</f>
        <v>Belgium, Portugal</v>
      </c>
      <c r="AG971" s="30" t="str">
        <f aca="false">IF(R971&gt;=0.7,"Step-Up Candidate",IF(R971&gt;=0.4,"Lateral Move","Stay &amp; Develop"))</f>
        <v>Stay &amp; Develop</v>
      </c>
    </row>
    <row r="972" customFormat="false" ht="23.85" hidden="false" customHeight="false" outlineLevel="0" collapsed="false">
      <c r="A972" s="21" t="str">
        <f aca="false">'Player Data'!A972</f>
        <v>Ibrahim Mensah</v>
      </c>
      <c r="B972" s="21" t="str">
        <f aca="false">'Player Data'!F972</f>
        <v>GK</v>
      </c>
      <c r="C972" s="21" t="str">
        <f aca="false">'Player Data'!B972</f>
        <v>Ghana</v>
      </c>
      <c r="D972" s="21" t="str">
        <f aca="false">'Player Data'!C972</f>
        <v>Ghana Second Division - West</v>
      </c>
      <c r="E972" s="21" t="n">
        <f aca="false">'Player Data'!D972</f>
        <v>3</v>
      </c>
      <c r="F972" s="21" t="n">
        <f aca="false">'Player Data'!G972</f>
        <v>24</v>
      </c>
      <c r="G972" s="21" t="n">
        <f aca="false">'Player Data'!H972</f>
        <v>2467</v>
      </c>
      <c r="H972" s="22" t="n">
        <f aca="false">IF(B972="GK",IFERROR(('Player Data'!N972-1.5*'Player Data'!O972)/'Player Data'!H972*90,0),IFERROR(('Player Data'!I972+'Player Data'!J972)/'Player Data'!H972*90,0))</f>
        <v>1.02148358329955</v>
      </c>
      <c r="I972" s="22" t="n">
        <f aca="false">IF(B972="GK",'Player Data'!P972,IFERROR(('Player Data'!K972+'Player Data'!L972)/'Player Data'!H972*90,0))</f>
        <v>59.8</v>
      </c>
      <c r="J972" s="22" t="n">
        <f aca="false">IF(B972="GK",IFERROR('Player Data'!Q972/'Player Data'!H972*90,0),IFERROR('Player Data'!M972/'Player Data'!H972*90,0))</f>
        <v>1.43737332792866</v>
      </c>
      <c r="K972" s="23" t="n">
        <f aca="false">'Player Data'!S972</f>
        <v>100895</v>
      </c>
      <c r="L972" s="22" t="n">
        <f aca="false">INDEX(Assumptions!$B$13:$B$15,MATCH(E972,Assumptions!$A$13:$A$15,0))</f>
        <v>0.85</v>
      </c>
      <c r="M972" s="24" t="n">
        <f aca="false">IFERROR(SUMPRODUCT(($B$2:$B$1001=B972)*($H$2:$H$1001&lt;=H972))/SUMPRODUCT(($B$2:$B$1001=B972)*1),0)</f>
        <v>0.437158469945355</v>
      </c>
      <c r="N972" s="24" t="n">
        <f aca="false">IFERROR(SUMPRODUCT(($B$2:$B$1001=B972)*($I$2:$I$1001&lt;=I972))/SUMPRODUCT(($B$2:$B$1001=B972)*1),0)</f>
        <v>0.153005464480874</v>
      </c>
      <c r="O972" s="24" t="n">
        <f aca="false">IFERROR(SUMPRODUCT(($B$2:$B$1001=B972)*($J$2:$J$1001&lt;=J972))/SUMPRODUCT(($B$2:$B$1001=B972)*1),0)</f>
        <v>0.950819672131148</v>
      </c>
      <c r="P972" s="24" t="n">
        <f aca="false">IFERROR(SUMPRODUCT(($B$2:$B$1001=B972)*((0-$F$2:$F$1001)&lt;=(0-F972)))/SUMPRODUCT(($B$2:$B$1001=B972)*1),0)</f>
        <v>0.300546448087432</v>
      </c>
      <c r="Q972" s="25" t="n">
        <f aca="false">(M972*Assumptions!$B$5+N972*Assumptions!$B$6+O972*Assumptions!$B$7+P972*Assumptions!$B$8)*L972</f>
        <v>0.351147540983607</v>
      </c>
      <c r="R972" s="24" t="n">
        <f aca="false">IFERROR(SUMPRODUCT(($B$2:$B$1001=B972)*($Q$2:$Q$1001&lt;=Q972))/SUMPRODUCT(($B$2:$B$1001=B972)*1),0)</f>
        <v>0.234972677595628</v>
      </c>
      <c r="S972" s="24" t="n">
        <f aca="false">IFERROR(SUMPRODUCT(($B$2:$B$1001=B972)*($K$2:$K$1001&lt;=K972))/SUMPRODUCT(($B$2:$B$1001=B972)*1),0)</f>
        <v>0.721311475409836</v>
      </c>
      <c r="T972" s="26" t="n">
        <f aca="false">(R972-S972)*100</f>
        <v>-48.6338797814208</v>
      </c>
      <c r="U972" s="21" t="str">
        <f aca="false">'Player Data'!T972</f>
        <v>No</v>
      </c>
      <c r="V972" s="27" t="n">
        <f aca="false">'Player Data'!U972</f>
        <v>2027</v>
      </c>
      <c r="W972" s="21" t="str">
        <f aca="false">IF(AND(T972&gt;=Assumptions!$B$19,U972="No"),"High Priority - Unrepresented",IF(T972&gt;=Assumptions!$B$19,"High Priority",IF(AND(T972&gt;=Assumptions!$B$20,U972="No"),"Watchlist - Unrepresented",IF(T972&gt;=Assumptions!$B$20,"Watchlist",""))))</f>
        <v/>
      </c>
      <c r="X972" s="21" t="str">
        <f aca="false">'Player Data'!V972</f>
        <v>info@kumasisc.gh</v>
      </c>
      <c r="Y972" s="28" t="str">
        <f aca="false">'Player Data'!W972</f>
        <v>Club sporting director / first-team office</v>
      </c>
      <c r="Z972" s="28" t="str">
        <f aca="false">'Player Data'!X972</f>
        <v>GFA (Ghana Football Association) player registry</v>
      </c>
      <c r="AA972" s="19" t="str">
        <f aca="false">HYPERLINK("https://www.transfermarkt.com/schnellsuche/ergebnis/schnellsuche?query="&amp;SUBSTITUTE(A972," ","+"),"Search Transfermarkt")</f>
        <v>Search Transfermarkt</v>
      </c>
      <c r="AB972" s="29" t="n">
        <f aca="false">IFERROR('Player Data'!K972/('Player Data'!K972+'Player Data'!L972),0)</f>
        <v>0.75</v>
      </c>
      <c r="AC972" s="21" t="str">
        <f aca="false">IF(B972="GK",IF(AND(O972&gt;=Assumptions!$B$23,N972&gt;=Assumptions!$B$23),"Sweeper-Keeper / Build-from-the-Back",IF(O972&gt;=Assumptions!$B$23,"Sweeper-Keeper / High Line",IF(M972&gt;=Assumptions!$B$23,"Shot-Stopper / Traditional","Flexible / Multi-System"))),IF(AND(O972&gt;=Assumptions!$B$23,P972&gt;=Assumptions!$B$24),"High Press / Gegenpressing",IF(AND(N972&gt;=Assumptions!$B$23,AB972&gt;=Assumptions!$B$25),"Possession / Build-from-the-Back",IF(N972&gt;=Assumptions!$B$23,"Counter-Attack / Transition",IF(AND(O972&gt;=Assumptions!$B$23,N972&lt;Assumptions!$B$26),"Low Block / Park the Bus",IF(AND(B972="FW",M972&gt;=Assumptions!$B$23,N972&lt;Assumptions!$B$26),"Direct / Target Approach","Flexible / Multi-System"))))))</f>
        <v>Sweeper-Keeper / High Line</v>
      </c>
      <c r="AD972" s="21" t="str">
        <f aca="false">'Player Data'!Y972</f>
        <v>2026-07-17</v>
      </c>
      <c r="AE972" s="21" t="str">
        <f aca="false">'Player Data'!Z972</f>
        <v>2026-07-17</v>
      </c>
      <c r="AF972" s="28" t="str">
        <f aca="false">IFERROR(INDEX(Assumptions!$B$30:$B$61,MATCH(C972,Assumptions!$A$30:$A$61,0)),"--")</f>
        <v>Belgium, Portugal</v>
      </c>
      <c r="AG972" s="30" t="str">
        <f aca="false">IF(R972&gt;=0.7,"Step-Up Candidate",IF(R972&gt;=0.4,"Lateral Move","Stay &amp; Develop"))</f>
        <v>Stay &amp; Develop</v>
      </c>
    </row>
    <row r="973" customFormat="false" ht="23.85" hidden="false" customHeight="false" outlineLevel="0" collapsed="false">
      <c r="A973" s="21" t="str">
        <f aca="false">'Player Data'!A973</f>
        <v>Ethan Brown</v>
      </c>
      <c r="B973" s="21" t="str">
        <f aca="false">'Player Data'!F973</f>
        <v>GK</v>
      </c>
      <c r="C973" s="21" t="str">
        <f aca="false">'Player Data'!B973</f>
        <v>New Zealand</v>
      </c>
      <c r="D973" s="21" t="str">
        <f aca="false">'Player Data'!C973</f>
        <v>New Zealand Regional League</v>
      </c>
      <c r="E973" s="21" t="n">
        <f aca="false">'Player Data'!D973</f>
        <v>4</v>
      </c>
      <c r="F973" s="21" t="n">
        <f aca="false">'Player Data'!G973</f>
        <v>17</v>
      </c>
      <c r="G973" s="21" t="n">
        <f aca="false">'Player Data'!H973</f>
        <v>2653</v>
      </c>
      <c r="H973" s="22" t="n">
        <f aca="false">IF(B973="GK",IFERROR(('Player Data'!N973-1.5*'Player Data'!O973)/'Player Data'!H973*90,0),IFERROR(('Player Data'!I973+'Player Data'!J973)/'Player Data'!H973*90,0))</f>
        <v>1.20429702223897</v>
      </c>
      <c r="I973" s="22" t="n">
        <f aca="false">IF(B973="GK",'Player Data'!P973,IFERROR(('Player Data'!K973+'Player Data'!L973)/'Player Data'!H973*90,0))</f>
        <v>82.1</v>
      </c>
      <c r="J973" s="22" t="n">
        <f aca="false">IF(B973="GK",IFERROR('Player Data'!Q973/'Player Data'!H973*90,0),IFERROR('Player Data'!M973/'Player Data'!H973*90,0))</f>
        <v>0.854881266490765</v>
      </c>
      <c r="K973" s="23" t="n">
        <f aca="false">'Player Data'!S973</f>
        <v>37502</v>
      </c>
      <c r="L973" s="22" t="n">
        <f aca="false">INDEX(Assumptions!$B$13:$B$15,MATCH(E973,Assumptions!$A$13:$A$15,0))</f>
        <v>0.7</v>
      </c>
      <c r="M973" s="24" t="n">
        <f aca="false">IFERROR(SUMPRODUCT(($B$2:$B$1001=B973)*($H$2:$H$1001&lt;=H973))/SUMPRODUCT(($B$2:$B$1001=B973)*1),0)</f>
        <v>0.53551912568306</v>
      </c>
      <c r="N973" s="24" t="n">
        <f aca="false">IFERROR(SUMPRODUCT(($B$2:$B$1001=B973)*($I$2:$I$1001&lt;=I973))/SUMPRODUCT(($B$2:$B$1001=B973)*1),0)</f>
        <v>0.73224043715847</v>
      </c>
      <c r="O973" s="24" t="n">
        <f aca="false">IFERROR(SUMPRODUCT(($B$2:$B$1001=B973)*($J$2:$J$1001&lt;=J973))/SUMPRODUCT(($B$2:$B$1001=B973)*1),0)</f>
        <v>0.502732240437159</v>
      </c>
      <c r="P973" s="24" t="n">
        <f aca="false">IFERROR(SUMPRODUCT(($B$2:$B$1001=B973)*((0-$F$2:$F$1001)&lt;=(0-F973)))/SUMPRODUCT(($B$2:$B$1001=B973)*1),0)</f>
        <v>1</v>
      </c>
      <c r="Q973" s="25" t="n">
        <f aca="false">(M973*Assumptions!$B$5+N973*Assumptions!$B$6+O973*Assumptions!$B$7+P973*Assumptions!$B$8)*L973</f>
        <v>0.483497267759563</v>
      </c>
      <c r="R973" s="24" t="n">
        <f aca="false">IFERROR(SUMPRODUCT(($B$2:$B$1001=B973)*($Q$2:$Q$1001&lt;=Q973))/SUMPRODUCT(($B$2:$B$1001=B973)*1),0)</f>
        <v>0.562841530054645</v>
      </c>
      <c r="S973" s="24" t="n">
        <f aca="false">IFERROR(SUMPRODUCT(($B$2:$B$1001=B973)*($K$2:$K$1001&lt;=K973))/SUMPRODUCT(($B$2:$B$1001=B973)*1),0)</f>
        <v>0.344262295081967</v>
      </c>
      <c r="T973" s="26" t="n">
        <f aca="false">(R973-S973)*100</f>
        <v>21.8579234972678</v>
      </c>
      <c r="U973" s="21" t="str">
        <f aca="false">'Player Data'!T973</f>
        <v>Yes</v>
      </c>
      <c r="V973" s="27" t="n">
        <f aca="false">'Player Data'!U973</f>
        <v>2028</v>
      </c>
      <c r="W973" s="21" t="str">
        <f aca="false">IF(AND(T973&gt;=Assumptions!$B$19,U973="No"),"High Priority - Unrepresented",IF(T973&gt;=Assumptions!$B$19,"High Priority",IF(AND(T973&gt;=Assumptions!$B$20,U973="No"),"Watchlist - Unrepresented",IF(T973&gt;=Assumptions!$B$20,"Watchlist",""))))</f>
        <v>Watchlist</v>
      </c>
      <c r="X973" s="21" t="str">
        <f aca="false">'Player Data'!V973</f>
        <v>info@aucklandrangers.nz</v>
      </c>
      <c r="Y973" s="28" t="str">
        <f aca="false">'Player Data'!W973</f>
        <v>Club youth/academy office ONLY - player is a minor, do not contact directly</v>
      </c>
      <c r="Z973" s="28" t="str">
        <f aca="false">'Player Data'!X973</f>
        <v>NZF (New Zealand Football) player registry</v>
      </c>
      <c r="AA973" s="19" t="str">
        <f aca="false">HYPERLINK("https://www.transfermarkt.com/schnellsuche/ergebnis/schnellsuche?query="&amp;SUBSTITUTE(A973," ","+"),"Search Transfermarkt")</f>
        <v>Search Transfermarkt</v>
      </c>
      <c r="AB973" s="29" t="n">
        <f aca="false">IFERROR('Player Data'!K973/('Player Data'!K973+'Player Data'!L973),0)</f>
        <v>0.909090909090909</v>
      </c>
      <c r="AC973" s="21" t="str">
        <f aca="false">IF(B973="GK",IF(AND(O973&gt;=Assumptions!$B$23,N973&gt;=Assumptions!$B$23),"Sweeper-Keeper / Build-from-the-Back",IF(O973&gt;=Assumptions!$B$23,"Sweeper-Keeper / High Line",IF(M973&gt;=Assumptions!$B$23,"Shot-Stopper / Traditional","Flexible / Multi-System"))),IF(AND(O973&gt;=Assumptions!$B$23,P973&gt;=Assumptions!$B$24),"High Press / Gegenpressing",IF(AND(N973&gt;=Assumptions!$B$23,AB973&gt;=Assumptions!$B$25),"Possession / Build-from-the-Back",IF(N973&gt;=Assumptions!$B$23,"Counter-Attack / Transition",IF(AND(O973&gt;=Assumptions!$B$23,N973&lt;Assumptions!$B$26),"Low Block / Park the Bus",IF(AND(B973="FW",M973&gt;=Assumptions!$B$23,N973&lt;Assumptions!$B$26),"Direct / Target Approach","Flexible / Multi-System"))))))</f>
        <v>Flexible / Multi-System</v>
      </c>
      <c r="AD973" s="21" t="str">
        <f aca="false">'Player Data'!Y973</f>
        <v>2026-07-17</v>
      </c>
      <c r="AE973" s="21" t="str">
        <f aca="false">'Player Data'!Z973</f>
        <v>2026-07-17</v>
      </c>
      <c r="AF973" s="28" t="str">
        <f aca="false">IFERROR(INDEX(Assumptions!$B$30:$B$61,MATCH(C973,Assumptions!$A$30:$A$61,0)),"--")</f>
        <v>Australia, United States</v>
      </c>
      <c r="AG973" s="30" t="str">
        <f aca="false">IF(R973&gt;=0.7,"Step-Up Candidate",IF(R973&gt;=0.4,"Lateral Move","Stay &amp; Develop"))</f>
        <v>Lateral Move</v>
      </c>
    </row>
    <row r="974" customFormat="false" ht="23.85" hidden="false" customHeight="false" outlineLevel="0" collapsed="false">
      <c r="A974" s="21" t="str">
        <f aca="false">'Player Data'!A974</f>
        <v>Jesus Martinez</v>
      </c>
      <c r="B974" s="21" t="str">
        <f aca="false">'Player Data'!F974</f>
        <v>MF</v>
      </c>
      <c r="C974" s="21" t="str">
        <f aca="false">'Player Data'!B974</f>
        <v>Venezuela</v>
      </c>
      <c r="D974" s="21" t="str">
        <f aca="false">'Player Data'!C974</f>
        <v>Venezuela Third Tier - South</v>
      </c>
      <c r="E974" s="21" t="n">
        <f aca="false">'Player Data'!D974</f>
        <v>4</v>
      </c>
      <c r="F974" s="21" t="n">
        <f aca="false">'Player Data'!G974</f>
        <v>26</v>
      </c>
      <c r="G974" s="21" t="n">
        <f aca="false">'Player Data'!H974</f>
        <v>2237</v>
      </c>
      <c r="H974" s="22" t="n">
        <f aca="false">IF(B974="GK",IFERROR(('Player Data'!N974-1.5*'Player Data'!O974)/'Player Data'!H974*90,0),IFERROR(('Player Data'!I974+'Player Data'!J974)/'Player Data'!H974*90,0))</f>
        <v>0.56325435851587</v>
      </c>
      <c r="I974" s="22" t="n">
        <f aca="false">IF(B974="GK",'Player Data'!P974,IFERROR(('Player Data'!K974+'Player Data'!L974)/'Player Data'!H974*90,0))</f>
        <v>9.49485918641037</v>
      </c>
      <c r="J974" s="22" t="n">
        <f aca="false">IF(B974="GK",IFERROR('Player Data'!Q974/'Player Data'!H974*90,0),IFERROR('Player Data'!M974/'Player Data'!H974*90,0))</f>
        <v>1.20697362539115</v>
      </c>
      <c r="K974" s="23" t="n">
        <f aca="false">'Player Data'!S974</f>
        <v>0</v>
      </c>
      <c r="L974" s="22" t="n">
        <f aca="false">INDEX(Assumptions!$B$13:$B$15,MATCH(E974,Assumptions!$A$13:$A$15,0))</f>
        <v>0.7</v>
      </c>
      <c r="M974" s="24" t="n">
        <f aca="false">IFERROR(SUMPRODUCT(($B$2:$B$1001=B974)*($H$2:$H$1001&lt;=H974))/SUMPRODUCT(($B$2:$B$1001=B974)*1),0)</f>
        <v>0.286195286195286</v>
      </c>
      <c r="N974" s="24" t="n">
        <f aca="false">IFERROR(SUMPRODUCT(($B$2:$B$1001=B974)*($I$2:$I$1001&lt;=I974))/SUMPRODUCT(($B$2:$B$1001=B974)*1),0)</f>
        <v>0.373737373737374</v>
      </c>
      <c r="O974" s="24" t="n">
        <f aca="false">IFERROR(SUMPRODUCT(($B$2:$B$1001=B974)*($J$2:$J$1001&lt;=J974))/SUMPRODUCT(($B$2:$B$1001=B974)*1),0)</f>
        <v>0.0606060606060606</v>
      </c>
      <c r="P974" s="24" t="n">
        <f aca="false">IFERROR(SUMPRODUCT(($B$2:$B$1001=B974)*((0-$F$2:$F$1001)&lt;=(0-F974)))/SUMPRODUCT(($B$2:$B$1001=B974)*1),0)</f>
        <v>0.0909090909090909</v>
      </c>
      <c r="Q974" s="25" t="n">
        <f aca="false">(M974*Assumptions!$B$5+N974*Assumptions!$B$6+O974*Assumptions!$B$7+P974*Assumptions!$B$8)*L974</f>
        <v>0.162861952861953</v>
      </c>
      <c r="R974" s="24" t="n">
        <f aca="false">IFERROR(SUMPRODUCT(($B$2:$B$1001=B974)*($Q$2:$Q$1001&lt;=Q974))/SUMPRODUCT(($B$2:$B$1001=B974)*1),0)</f>
        <v>0.0437710437710438</v>
      </c>
      <c r="S974" s="24" t="n">
        <f aca="false">IFERROR(SUMPRODUCT(($B$2:$B$1001=B974)*($K$2:$K$1001&lt;=K974))/SUMPRODUCT(($B$2:$B$1001=B974)*1),0)</f>
        <v>0.228956228956229</v>
      </c>
      <c r="T974" s="26" t="n">
        <f aca="false">(R974-S974)*100</f>
        <v>-18.5185185185185</v>
      </c>
      <c r="U974" s="21" t="str">
        <f aca="false">'Player Data'!T974</f>
        <v>Yes</v>
      </c>
      <c r="V974" s="27" t="n">
        <f aca="false">'Player Data'!U974</f>
        <v>2026</v>
      </c>
      <c r="W974" s="21" t="str">
        <f aca="false">IF(AND(T974&gt;=Assumptions!$B$19,U974="No"),"High Priority - Unrepresented",IF(T974&gt;=Assumptions!$B$19,"High Priority",IF(AND(T974&gt;=Assumptions!$B$20,U974="No"),"Watchlist - Unrepresented",IF(T974&gt;=Assumptions!$B$20,"Watchlist",""))))</f>
        <v/>
      </c>
      <c r="X974" s="21" t="str">
        <f aca="false">'Player Data'!V974</f>
        <v>info@barquisimetotown.ve</v>
      </c>
      <c r="Y974" s="28" t="str">
        <f aca="false">'Player Data'!W974</f>
        <v>Go through the player's agent - ask the club to confirm representation first</v>
      </c>
      <c r="Z974" s="28" t="str">
        <f aca="false">'Player Data'!X974</f>
        <v>FVF (Venezuelan Football Federation) player registry</v>
      </c>
      <c r="AA974" s="19" t="str">
        <f aca="false">HYPERLINK("https://www.transfermarkt.com/schnellsuche/ergebnis/schnellsuche?query="&amp;SUBSTITUTE(A974," ","+"),"Search Transfermarkt")</f>
        <v>Search Transfermarkt</v>
      </c>
      <c r="AB974" s="29" t="n">
        <f aca="false">IFERROR('Player Data'!K974/('Player Data'!K974+'Player Data'!L974),0)</f>
        <v>0.652542372881356</v>
      </c>
      <c r="AC974" s="21" t="str">
        <f aca="false">IF(B974="GK",IF(AND(O974&gt;=Assumptions!$B$23,N974&gt;=Assumptions!$B$23),"Sweeper-Keeper / Build-from-the-Back",IF(O974&gt;=Assumptions!$B$23,"Sweeper-Keeper / High Line",IF(M974&gt;=Assumptions!$B$23,"Shot-Stopper / Traditional","Flexible / Multi-System"))),IF(AND(O974&gt;=Assumptions!$B$23,P974&gt;=Assumptions!$B$24),"High Press / Gegenpressing",IF(AND(N974&gt;=Assumptions!$B$23,AB974&gt;=Assumptions!$B$25),"Possession / Build-from-the-Back",IF(N974&gt;=Assumptions!$B$23,"Counter-Attack / Transition",IF(AND(O974&gt;=Assumptions!$B$23,N974&lt;Assumptions!$B$26),"Low Block / Park the Bus",IF(AND(B974="FW",M974&gt;=Assumptions!$B$23,N974&lt;Assumptions!$B$26),"Direct / Target Approach","Flexible / Multi-System"))))))</f>
        <v>Flexible / Multi-System</v>
      </c>
      <c r="AD974" s="21" t="str">
        <f aca="false">'Player Data'!Y974</f>
        <v>2026-07-17</v>
      </c>
      <c r="AE974" s="21" t="str">
        <f aca="false">'Player Data'!Z974</f>
        <v>2026-07-17</v>
      </c>
      <c r="AF974" s="28" t="str">
        <f aca="false">IFERROR(INDEX(Assumptions!$B$30:$B$61,MATCH(C974,Assumptions!$A$30:$A$61,0)),"--")</f>
        <v>Argentina, Portugal</v>
      </c>
      <c r="AG974" s="30" t="str">
        <f aca="false">IF(R974&gt;=0.7,"Step-Up Candidate",IF(R974&gt;=0.4,"Lateral Move","Stay &amp; Develop"))</f>
        <v>Stay &amp; Develop</v>
      </c>
    </row>
    <row r="975" customFormat="false" ht="23.85" hidden="false" customHeight="false" outlineLevel="0" collapsed="false">
      <c r="A975" s="21" t="str">
        <f aca="false">'Player Data'!A975</f>
        <v>Kevin Pikk</v>
      </c>
      <c r="B975" s="21" t="str">
        <f aca="false">'Player Data'!F975</f>
        <v>MF</v>
      </c>
      <c r="C975" s="21" t="str">
        <f aca="false">'Player Data'!B975</f>
        <v>Estonia</v>
      </c>
      <c r="D975" s="21" t="str">
        <f aca="false">'Player Data'!C975</f>
        <v>Estonia Regional League</v>
      </c>
      <c r="E975" s="21" t="n">
        <f aca="false">'Player Data'!D975</f>
        <v>4</v>
      </c>
      <c r="F975" s="21" t="n">
        <f aca="false">'Player Data'!G975</f>
        <v>17</v>
      </c>
      <c r="G975" s="21" t="n">
        <f aca="false">'Player Data'!H975</f>
        <v>917</v>
      </c>
      <c r="H975" s="22" t="n">
        <f aca="false">IF(B975="GK",IFERROR(('Player Data'!N975-1.5*'Player Data'!O975)/'Player Data'!H975*90,0),IFERROR(('Player Data'!I975+'Player Data'!J975)/'Player Data'!H975*90,0))</f>
        <v>1.9629225736096</v>
      </c>
      <c r="I975" s="22" t="n">
        <f aca="false">IF(B975="GK",'Player Data'!P975,IFERROR(('Player Data'!K975+'Player Data'!L975)/'Player Data'!H975*90,0))</f>
        <v>24.0458015267176</v>
      </c>
      <c r="J975" s="22" t="n">
        <f aca="false">IF(B975="GK",IFERROR('Player Data'!Q975/'Player Data'!H975*90,0),IFERROR('Player Data'!M975/'Player Data'!H975*90,0))</f>
        <v>4.71101417666303</v>
      </c>
      <c r="K975" s="23" t="n">
        <f aca="false">'Player Data'!S975</f>
        <v>129706</v>
      </c>
      <c r="L975" s="22" t="n">
        <f aca="false">INDEX(Assumptions!$B$13:$B$15,MATCH(E975,Assumptions!$A$13:$A$15,0))</f>
        <v>0.7</v>
      </c>
      <c r="M975" s="24" t="n">
        <f aca="false">IFERROR(SUMPRODUCT(($B$2:$B$1001=B975)*($H$2:$H$1001&lt;=H975))/SUMPRODUCT(($B$2:$B$1001=B975)*1),0)</f>
        <v>0.996632996632997</v>
      </c>
      <c r="N975" s="24" t="n">
        <f aca="false">IFERROR(SUMPRODUCT(($B$2:$B$1001=B975)*($I$2:$I$1001&lt;=I975))/SUMPRODUCT(($B$2:$B$1001=B975)*1),0)</f>
        <v>0.976430976430976</v>
      </c>
      <c r="O975" s="24" t="n">
        <f aca="false">IFERROR(SUMPRODUCT(($B$2:$B$1001=B975)*($J$2:$J$1001&lt;=J975))/SUMPRODUCT(($B$2:$B$1001=B975)*1),0)</f>
        <v>0.976430976430976</v>
      </c>
      <c r="P975" s="24" t="n">
        <f aca="false">IFERROR(SUMPRODUCT(($B$2:$B$1001=B975)*((0-$F$2:$F$1001)&lt;=(0-F975)))/SUMPRODUCT(($B$2:$B$1001=B975)*1),0)</f>
        <v>1</v>
      </c>
      <c r="Q975" s="25" t="n">
        <f aca="false">(M975*Assumptions!$B$5+N975*Assumptions!$B$6+O975*Assumptions!$B$7+P975*Assumptions!$B$8)*L975</f>
        <v>0.6903367003367</v>
      </c>
      <c r="R975" s="24" t="n">
        <f aca="false">IFERROR(SUMPRODUCT(($B$2:$B$1001=B975)*($Q$2:$Q$1001&lt;=Q975))/SUMPRODUCT(($B$2:$B$1001=B975)*1),0)</f>
        <v>0.865319865319865</v>
      </c>
      <c r="S975" s="24" t="n">
        <f aca="false">IFERROR(SUMPRODUCT(($B$2:$B$1001=B975)*($K$2:$K$1001&lt;=K975))/SUMPRODUCT(($B$2:$B$1001=B975)*1),0)</f>
        <v>0.915824915824916</v>
      </c>
      <c r="T975" s="26" t="n">
        <f aca="false">(R975-S975)*100</f>
        <v>-5.05050505050506</v>
      </c>
      <c r="U975" s="21" t="str">
        <f aca="false">'Player Data'!T975</f>
        <v>No</v>
      </c>
      <c r="V975" s="27" t="n">
        <f aca="false">'Player Data'!U975</f>
        <v>2027</v>
      </c>
      <c r="W975" s="21" t="str">
        <f aca="false">IF(AND(T975&gt;=Assumptions!$B$19,U975="No"),"High Priority - Unrepresented",IF(T975&gt;=Assumptions!$B$19,"High Priority",IF(AND(T975&gt;=Assumptions!$B$20,U975="No"),"Watchlist - Unrepresented",IF(T975&gt;=Assumptions!$B$20,"Watchlist",""))))</f>
        <v/>
      </c>
      <c r="X975" s="21" t="str">
        <f aca="false">'Player Data'!V975</f>
        <v>info@tartuathletic.ee</v>
      </c>
      <c r="Y975" s="28" t="str">
        <f aca="false">'Player Data'!W975</f>
        <v>Club youth/academy office ONLY - player is a minor, do not contact directly</v>
      </c>
      <c r="Z975" s="28" t="str">
        <f aca="false">'Player Data'!X975</f>
        <v>EJL (Estonian Football Association) player registry</v>
      </c>
      <c r="AA975" s="19" t="str">
        <f aca="false">HYPERLINK("https://www.transfermarkt.com/schnellsuche/ergebnis/schnellsuche?query="&amp;SUBSTITUTE(A975," ","+"),"Search Transfermarkt")</f>
        <v>Search Transfermarkt</v>
      </c>
      <c r="AB975" s="29" t="n">
        <f aca="false">IFERROR('Player Data'!K975/('Player Data'!K975+'Player Data'!L975),0)</f>
        <v>0.693877551020408</v>
      </c>
      <c r="AC975" s="21" t="str">
        <f aca="false">IF(B975="GK",IF(AND(O975&gt;=Assumptions!$B$23,N975&gt;=Assumptions!$B$23),"Sweeper-Keeper / Build-from-the-Back",IF(O975&gt;=Assumptions!$B$23,"Sweeper-Keeper / High Line",IF(M975&gt;=Assumptions!$B$23,"Shot-Stopper / Traditional","Flexible / Multi-System"))),IF(AND(O975&gt;=Assumptions!$B$23,P975&gt;=Assumptions!$B$24),"High Press / Gegenpressing",IF(AND(N975&gt;=Assumptions!$B$23,AB975&gt;=Assumptions!$B$25),"Possession / Build-from-the-Back",IF(N975&gt;=Assumptions!$B$23,"Counter-Attack / Transition",IF(AND(O975&gt;=Assumptions!$B$23,N975&lt;Assumptions!$B$26),"Low Block / Park the Bus",IF(AND(B975="FW",M975&gt;=Assumptions!$B$23,N975&lt;Assumptions!$B$26),"Direct / Target Approach","Flexible / Multi-System"))))))</f>
        <v>High Press / Gegenpressing</v>
      </c>
      <c r="AD975" s="21" t="str">
        <f aca="false">'Player Data'!Y975</f>
        <v>2026-07-17</v>
      </c>
      <c r="AE975" s="21" t="str">
        <f aca="false">'Player Data'!Z975</f>
        <v>2026-07-17</v>
      </c>
      <c r="AF975" s="28" t="str">
        <f aca="false">IFERROR(INDEX(Assumptions!$B$30:$B$61,MATCH(C975,Assumptions!$A$30:$A$61,0)),"--")</f>
        <v>Poland, Norway</v>
      </c>
      <c r="AG975" s="30" t="str">
        <f aca="false">IF(R975&gt;=0.7,"Step-Up Candidate",IF(R975&gt;=0.4,"Lateral Move","Stay &amp; Develop"))</f>
        <v>Step-Up Candidate</v>
      </c>
    </row>
    <row r="976" customFormat="false" ht="23.85" hidden="false" customHeight="false" outlineLevel="0" collapsed="false">
      <c r="A976" s="21" t="str">
        <f aca="false">'Player Data'!A976</f>
        <v>Franco Fernandez</v>
      </c>
      <c r="B976" s="21" t="str">
        <f aca="false">'Player Data'!F976</f>
        <v>MF</v>
      </c>
      <c r="C976" s="21" t="str">
        <f aca="false">'Player Data'!B976</f>
        <v>Bolivia</v>
      </c>
      <c r="D976" s="21" t="str">
        <f aca="false">'Player Data'!C976</f>
        <v>Bolivia Regional League</v>
      </c>
      <c r="E976" s="21" t="n">
        <f aca="false">'Player Data'!D976</f>
        <v>2</v>
      </c>
      <c r="F976" s="21" t="n">
        <f aca="false">'Player Data'!G976</f>
        <v>24</v>
      </c>
      <c r="G976" s="21" t="n">
        <f aca="false">'Player Data'!H976</f>
        <v>909</v>
      </c>
      <c r="H976" s="22" t="n">
        <f aca="false">IF(B976="GK",IFERROR(('Player Data'!N976-1.5*'Player Data'!O976)/'Player Data'!H976*90,0),IFERROR(('Player Data'!I976+'Player Data'!J976)/'Player Data'!H976*90,0))</f>
        <v>1.88118811881188</v>
      </c>
      <c r="I976" s="22" t="n">
        <f aca="false">IF(B976="GK",'Player Data'!P976,IFERROR(('Player Data'!K976+'Player Data'!L976)/'Player Data'!H976*90,0))</f>
        <v>25.7425742574257</v>
      </c>
      <c r="J976" s="22" t="n">
        <f aca="false">IF(B976="GK",IFERROR('Player Data'!Q976/'Player Data'!H976*90,0),IFERROR('Player Data'!M976/'Player Data'!H976*90,0))</f>
        <v>4.45544554455446</v>
      </c>
      <c r="K976" s="23" t="n">
        <f aca="false">'Player Data'!S976</f>
        <v>0</v>
      </c>
      <c r="L976" s="22" t="n">
        <f aca="false">INDEX(Assumptions!$B$13:$B$15,MATCH(E976,Assumptions!$A$13:$A$15,0))</f>
        <v>1</v>
      </c>
      <c r="M976" s="24" t="n">
        <f aca="false">IFERROR(SUMPRODUCT(($B$2:$B$1001=B976)*($H$2:$H$1001&lt;=H976))/SUMPRODUCT(($B$2:$B$1001=B976)*1),0)</f>
        <v>0.98989898989899</v>
      </c>
      <c r="N976" s="24" t="n">
        <f aca="false">IFERROR(SUMPRODUCT(($B$2:$B$1001=B976)*($I$2:$I$1001&lt;=I976))/SUMPRODUCT(($B$2:$B$1001=B976)*1),0)</f>
        <v>0.993265993265993</v>
      </c>
      <c r="O976" s="24" t="n">
        <f aca="false">IFERROR(SUMPRODUCT(($B$2:$B$1001=B976)*($J$2:$J$1001&lt;=J976))/SUMPRODUCT(($B$2:$B$1001=B976)*1),0)</f>
        <v>0.95959595959596</v>
      </c>
      <c r="P976" s="24" t="n">
        <f aca="false">IFERROR(SUMPRODUCT(($B$2:$B$1001=B976)*((0-$F$2:$F$1001)&lt;=(0-F976)))/SUMPRODUCT(($B$2:$B$1001=B976)*1),0)</f>
        <v>0.326599326599327</v>
      </c>
      <c r="Q976" s="25" t="n">
        <f aca="false">(M976*Assumptions!$B$5+N976*Assumptions!$B$6+O976*Assumptions!$B$7+P976*Assumptions!$B$8)*L976</f>
        <v>0.852356902356902</v>
      </c>
      <c r="R976" s="24" t="n">
        <f aca="false">IFERROR(SUMPRODUCT(($B$2:$B$1001=B976)*($Q$2:$Q$1001&lt;=Q976))/SUMPRODUCT(($B$2:$B$1001=B976)*1),0)</f>
        <v>0.973063973063973</v>
      </c>
      <c r="S976" s="24" t="n">
        <f aca="false">IFERROR(SUMPRODUCT(($B$2:$B$1001=B976)*($K$2:$K$1001&lt;=K976))/SUMPRODUCT(($B$2:$B$1001=B976)*1),0)</f>
        <v>0.228956228956229</v>
      </c>
      <c r="T976" s="26" t="n">
        <f aca="false">(R976-S976)*100</f>
        <v>74.4107744107744</v>
      </c>
      <c r="U976" s="21" t="str">
        <f aca="false">'Player Data'!T976</f>
        <v>No</v>
      </c>
      <c r="V976" s="27" t="n">
        <f aca="false">'Player Data'!U976</f>
        <v>2026</v>
      </c>
      <c r="W976" s="21" t="str">
        <f aca="false">IF(AND(T976&gt;=Assumptions!$B$19,U976="No"),"High Priority - Unrepresented",IF(T976&gt;=Assumptions!$B$19,"High Priority",IF(AND(T976&gt;=Assumptions!$B$20,U976="No"),"Watchlist - Unrepresented",IF(T976&gt;=Assumptions!$B$20,"Watchlist",""))))</f>
        <v>High Priority - Unrepresented</v>
      </c>
      <c r="X976" s="21" t="str">
        <f aca="false">'Player Data'!V976</f>
        <v>info@orurofc.bo</v>
      </c>
      <c r="Y976" s="28" t="str">
        <f aca="false">'Player Data'!W976</f>
        <v>Club sporting director / first-team office</v>
      </c>
      <c r="Z976" s="28" t="str">
        <f aca="false">'Player Data'!X976</f>
        <v>FBF (Bolivian Football Federation) player registry</v>
      </c>
      <c r="AA976" s="19" t="str">
        <f aca="false">HYPERLINK("https://www.transfermarkt.com/schnellsuche/ergebnis/schnellsuche?query="&amp;SUBSTITUTE(A976," ","+"),"Search Transfermarkt")</f>
        <v>Search Transfermarkt</v>
      </c>
      <c r="AB976" s="29" t="n">
        <f aca="false">IFERROR('Player Data'!K976/('Player Data'!K976+'Player Data'!L976),0)</f>
        <v>0.673076923076923</v>
      </c>
      <c r="AC976" s="21" t="str">
        <f aca="false">IF(B976="GK",IF(AND(O976&gt;=Assumptions!$B$23,N976&gt;=Assumptions!$B$23),"Sweeper-Keeper / Build-from-the-Back",IF(O976&gt;=Assumptions!$B$23,"Sweeper-Keeper / High Line",IF(M976&gt;=Assumptions!$B$23,"Shot-Stopper / Traditional","Flexible / Multi-System"))),IF(AND(O976&gt;=Assumptions!$B$23,P976&gt;=Assumptions!$B$24),"High Press / Gegenpressing",IF(AND(N976&gt;=Assumptions!$B$23,AB976&gt;=Assumptions!$B$25),"Possession / Build-from-the-Back",IF(N976&gt;=Assumptions!$B$23,"Counter-Attack / Transition",IF(AND(O976&gt;=Assumptions!$B$23,N976&lt;Assumptions!$B$26),"Low Block / Park the Bus",IF(AND(B976="FW",M976&gt;=Assumptions!$B$23,N976&lt;Assumptions!$B$26),"Direct / Target Approach","Flexible / Multi-System"))))))</f>
        <v>Possession / Build-from-the-Back</v>
      </c>
      <c r="AD976" s="21" t="str">
        <f aca="false">'Player Data'!Y976</f>
        <v>2026-07-17</v>
      </c>
      <c r="AE976" s="21" t="str">
        <f aca="false">'Player Data'!Z976</f>
        <v>2026-07-17</v>
      </c>
      <c r="AF976" s="28" t="str">
        <f aca="false">IFERROR(INDEX(Assumptions!$B$30:$B$61,MATCH(C976,Assumptions!$A$30:$A$61,0)),"--")</f>
        <v>Argentina, Portugal</v>
      </c>
      <c r="AG976" s="30" t="str">
        <f aca="false">IF(R976&gt;=0.7,"Step-Up Candidate",IF(R976&gt;=0.4,"Lateral Move","Stay &amp; Develop"))</f>
        <v>Step-Up Candidate</v>
      </c>
    </row>
    <row r="977" customFormat="false" ht="23.85" hidden="false" customHeight="false" outlineLevel="0" collapsed="false">
      <c r="A977" s="21" t="str">
        <f aca="false">'Player Data'!A977</f>
        <v>Bryan Chirinos</v>
      </c>
      <c r="B977" s="21" t="str">
        <f aca="false">'Player Data'!F977</f>
        <v>MF</v>
      </c>
      <c r="C977" s="21" t="str">
        <f aca="false">'Player Data'!B977</f>
        <v>Honduras</v>
      </c>
      <c r="D977" s="21" t="str">
        <f aca="false">'Player Data'!C977</f>
        <v>Honduras Reserve League</v>
      </c>
      <c r="E977" s="21" t="n">
        <f aca="false">'Player Data'!D977</f>
        <v>3</v>
      </c>
      <c r="F977" s="21" t="n">
        <f aca="false">'Player Data'!G977</f>
        <v>26</v>
      </c>
      <c r="G977" s="21" t="n">
        <f aca="false">'Player Data'!H977</f>
        <v>909</v>
      </c>
      <c r="H977" s="22" t="n">
        <f aca="false">IF(B977="GK",IFERROR(('Player Data'!N977-1.5*'Player Data'!O977)/'Player Data'!H977*90,0),IFERROR(('Player Data'!I977+'Player Data'!J977)/'Player Data'!H977*90,0))</f>
        <v>1.48514851485149</v>
      </c>
      <c r="I977" s="22" t="n">
        <f aca="false">IF(B977="GK",'Player Data'!P977,IFERROR(('Player Data'!K977+'Player Data'!L977)/'Player Data'!H977*90,0))</f>
        <v>19.3069306930693</v>
      </c>
      <c r="J977" s="22" t="n">
        <f aca="false">IF(B977="GK",IFERROR('Player Data'!Q977/'Player Data'!H977*90,0),IFERROR('Player Data'!M977/'Player Data'!H977*90,0))</f>
        <v>3.46534653465347</v>
      </c>
      <c r="K977" s="23" t="n">
        <f aca="false">'Player Data'!S977</f>
        <v>0</v>
      </c>
      <c r="L977" s="22" t="n">
        <f aca="false">INDEX(Assumptions!$B$13:$B$15,MATCH(E977,Assumptions!$A$13:$A$15,0))</f>
        <v>0.85</v>
      </c>
      <c r="M977" s="24" t="n">
        <f aca="false">IFERROR(SUMPRODUCT(($B$2:$B$1001=B977)*($H$2:$H$1001&lt;=H977))/SUMPRODUCT(($B$2:$B$1001=B977)*1),0)</f>
        <v>0.942760942760943</v>
      </c>
      <c r="N977" s="24" t="n">
        <f aca="false">IFERROR(SUMPRODUCT(($B$2:$B$1001=B977)*($I$2:$I$1001&lt;=I977))/SUMPRODUCT(($B$2:$B$1001=B977)*1),0)</f>
        <v>0.892255892255892</v>
      </c>
      <c r="O977" s="24" t="n">
        <f aca="false">IFERROR(SUMPRODUCT(($B$2:$B$1001=B977)*($J$2:$J$1001&lt;=J977))/SUMPRODUCT(($B$2:$B$1001=B977)*1),0)</f>
        <v>0.861952861952862</v>
      </c>
      <c r="P977" s="24" t="n">
        <f aca="false">IFERROR(SUMPRODUCT(($B$2:$B$1001=B977)*((0-$F$2:$F$1001)&lt;=(0-F977)))/SUMPRODUCT(($B$2:$B$1001=B977)*1),0)</f>
        <v>0.0909090909090909</v>
      </c>
      <c r="Q977" s="25" t="n">
        <f aca="false">(M977*Assumptions!$B$5+N977*Assumptions!$B$6+O977*Assumptions!$B$7+P977*Assumptions!$B$8)*L977</f>
        <v>0.62776936026936</v>
      </c>
      <c r="R977" s="24" t="n">
        <f aca="false">IFERROR(SUMPRODUCT(($B$2:$B$1001=B977)*($Q$2:$Q$1001&lt;=Q977))/SUMPRODUCT(($B$2:$B$1001=B977)*1),0)</f>
        <v>0.801346801346801</v>
      </c>
      <c r="S977" s="24" t="n">
        <f aca="false">IFERROR(SUMPRODUCT(($B$2:$B$1001=B977)*($K$2:$K$1001&lt;=K977))/SUMPRODUCT(($B$2:$B$1001=B977)*1),0)</f>
        <v>0.228956228956229</v>
      </c>
      <c r="T977" s="26" t="n">
        <f aca="false">(R977-S977)*100</f>
        <v>57.2390572390572</v>
      </c>
      <c r="U977" s="21" t="str">
        <f aca="false">'Player Data'!T977</f>
        <v>Unknown</v>
      </c>
      <c r="V977" s="27" t="n">
        <f aca="false">'Player Data'!U977</f>
        <v>2029</v>
      </c>
      <c r="W977" s="21" t="str">
        <f aca="false">IF(AND(T977&gt;=Assumptions!$B$19,U977="No"),"High Priority - Unrepresented",IF(T977&gt;=Assumptions!$B$19,"High Priority",IF(AND(T977&gt;=Assumptions!$B$20,U977="No"),"Watchlist - Unrepresented",IF(T977&gt;=Assumptions!$B$20,"Watchlist",""))))</f>
        <v>High Priority</v>
      </c>
      <c r="X977" s="21" t="str">
        <f aca="false">'Player Data'!V977</f>
        <v>info@cholutecasc.hn</v>
      </c>
      <c r="Y977" s="28" t="str">
        <f aca="false">'Player Data'!W977</f>
        <v>Club sporting director / first-team office</v>
      </c>
      <c r="Z977" s="28" t="str">
        <f aca="false">'Player Data'!X977</f>
        <v>FENAFUTH (Honduran Football Federation) player registry</v>
      </c>
      <c r="AA977" s="19" t="str">
        <f aca="false">HYPERLINK("https://www.transfermarkt.com/schnellsuche/ergebnis/schnellsuche?query="&amp;SUBSTITUTE(A977," ","+"),"Search Transfermarkt")</f>
        <v>Search Transfermarkt</v>
      </c>
      <c r="AB977" s="29" t="n">
        <f aca="false">IFERROR('Player Data'!K977/('Player Data'!K977+'Player Data'!L977),0)</f>
        <v>0.635897435897436</v>
      </c>
      <c r="AC977" s="21" t="str">
        <f aca="false">IF(B977="GK",IF(AND(O977&gt;=Assumptions!$B$23,N977&gt;=Assumptions!$B$23),"Sweeper-Keeper / Build-from-the-Back",IF(O977&gt;=Assumptions!$B$23,"Sweeper-Keeper / High Line",IF(M977&gt;=Assumptions!$B$23,"Shot-Stopper / Traditional","Flexible / Multi-System"))),IF(AND(O977&gt;=Assumptions!$B$23,P977&gt;=Assumptions!$B$24),"High Press / Gegenpressing",IF(AND(N977&gt;=Assumptions!$B$23,AB977&gt;=Assumptions!$B$25),"Possession / Build-from-the-Back",IF(N977&gt;=Assumptions!$B$23,"Counter-Attack / Transition",IF(AND(O977&gt;=Assumptions!$B$23,N977&lt;Assumptions!$B$26),"Low Block / Park the Bus",IF(AND(B977="FW",M977&gt;=Assumptions!$B$23,N977&lt;Assumptions!$B$26),"Direct / Target Approach","Flexible / Multi-System"))))))</f>
        <v>Possession / Build-from-the-Back</v>
      </c>
      <c r="AD977" s="21" t="str">
        <f aca="false">'Player Data'!Y977</f>
        <v>2026-07-17</v>
      </c>
      <c r="AE977" s="21" t="str">
        <f aca="false">'Player Data'!Z977</f>
        <v>2026-07-17</v>
      </c>
      <c r="AF977" s="28" t="str">
        <f aca="false">IFERROR(INDEX(Assumptions!$B$30:$B$61,MATCH(C977,Assumptions!$A$30:$A$61,0)),"--")</f>
        <v>Mexico, United States</v>
      </c>
      <c r="AG977" s="30" t="str">
        <f aca="false">IF(R977&gt;=0.7,"Step-Up Candidate",IF(R977&gt;=0.4,"Lateral Move","Stay &amp; Develop"))</f>
        <v>Step-Up Candidate</v>
      </c>
    </row>
    <row r="978" customFormat="false" ht="23.85" hidden="false" customHeight="false" outlineLevel="0" collapsed="false">
      <c r="A978" s="21" t="str">
        <f aca="false">'Player Data'!A978</f>
        <v>Max Bamba 20</v>
      </c>
      <c r="B978" s="21" t="str">
        <f aca="false">'Player Data'!F978</f>
        <v>MF</v>
      </c>
      <c r="C978" s="21" t="str">
        <f aca="false">'Player Data'!B978</f>
        <v>Ivory Coast</v>
      </c>
      <c r="D978" s="21" t="str">
        <f aca="false">'Player Data'!C978</f>
        <v>Ivory Coast Second Division</v>
      </c>
      <c r="E978" s="21" t="n">
        <f aca="false">'Player Data'!D978</f>
        <v>2</v>
      </c>
      <c r="F978" s="21" t="n">
        <f aca="false">'Player Data'!G978</f>
        <v>25</v>
      </c>
      <c r="G978" s="21" t="n">
        <f aca="false">'Player Data'!H978</f>
        <v>838</v>
      </c>
      <c r="H978" s="22" t="n">
        <f aca="false">IF(B978="GK",IFERROR(('Player Data'!N978-1.5*'Player Data'!O978)/'Player Data'!H978*90,0),IFERROR(('Player Data'!I978+'Player Data'!J978)/'Player Data'!H978*90,0))</f>
        <v>1.5035799522673</v>
      </c>
      <c r="I978" s="22" t="n">
        <f aca="false">IF(B978="GK",'Player Data'!P978,IFERROR(('Player Data'!K978+'Player Data'!L978)/'Player Data'!H978*90,0))</f>
        <v>22.3389021479714</v>
      </c>
      <c r="J978" s="22" t="n">
        <f aca="false">IF(B978="GK",IFERROR('Player Data'!Q978/'Player Data'!H978*90,0),IFERROR('Player Data'!M978/'Player Data'!H978*90,0))</f>
        <v>4.51073985680191</v>
      </c>
      <c r="K978" s="23" t="n">
        <f aca="false">'Player Data'!S978</f>
        <v>0</v>
      </c>
      <c r="L978" s="22" t="n">
        <f aca="false">INDEX(Assumptions!$B$13:$B$15,MATCH(E978,Assumptions!$A$13:$A$15,0))</f>
        <v>1</v>
      </c>
      <c r="M978" s="24" t="n">
        <f aca="false">IFERROR(SUMPRODUCT(($B$2:$B$1001=B978)*($H$2:$H$1001&lt;=H978))/SUMPRODUCT(($B$2:$B$1001=B978)*1),0)</f>
        <v>0.946127946127946</v>
      </c>
      <c r="N978" s="24" t="n">
        <f aca="false">IFERROR(SUMPRODUCT(($B$2:$B$1001=B978)*($I$2:$I$1001&lt;=I978))/SUMPRODUCT(($B$2:$B$1001=B978)*1),0)</f>
        <v>0.952861952861953</v>
      </c>
      <c r="O978" s="24" t="n">
        <f aca="false">IFERROR(SUMPRODUCT(($B$2:$B$1001=B978)*($J$2:$J$1001&lt;=J978))/SUMPRODUCT(($B$2:$B$1001=B978)*1),0)</f>
        <v>0.962962962962963</v>
      </c>
      <c r="P978" s="24" t="n">
        <f aca="false">IFERROR(SUMPRODUCT(($B$2:$B$1001=B978)*((0-$F$2:$F$1001)&lt;=(0-F978)))/SUMPRODUCT(($B$2:$B$1001=B978)*1),0)</f>
        <v>0.202020202020202</v>
      </c>
      <c r="Q978" s="25" t="n">
        <f aca="false">(M978*Assumptions!$B$5+N978*Assumptions!$B$6+O978*Assumptions!$B$7+P978*Assumptions!$B$8)*L978</f>
        <v>0.803030303030303</v>
      </c>
      <c r="R978" s="24" t="n">
        <f aca="false">IFERROR(SUMPRODUCT(($B$2:$B$1001=B978)*($Q$2:$Q$1001&lt;=Q978))/SUMPRODUCT(($B$2:$B$1001=B978)*1),0)</f>
        <v>0.94949494949495</v>
      </c>
      <c r="S978" s="24" t="n">
        <f aca="false">IFERROR(SUMPRODUCT(($B$2:$B$1001=B978)*($K$2:$K$1001&lt;=K978))/SUMPRODUCT(($B$2:$B$1001=B978)*1),0)</f>
        <v>0.228956228956229</v>
      </c>
      <c r="T978" s="26" t="n">
        <f aca="false">(R978-S978)*100</f>
        <v>72.0538720538721</v>
      </c>
      <c r="U978" s="21" t="str">
        <f aca="false">'Player Data'!T978</f>
        <v>No</v>
      </c>
      <c r="V978" s="27" t="n">
        <f aca="false">'Player Data'!U978</f>
        <v>2028</v>
      </c>
      <c r="W978" s="21" t="str">
        <f aca="false">IF(AND(T978&gt;=Assumptions!$B$19,U978="No"),"High Priority - Unrepresented",IF(T978&gt;=Assumptions!$B$19,"High Priority",IF(AND(T978&gt;=Assumptions!$B$20,U978="No"),"Watchlist - Unrepresented",IF(T978&gt;=Assumptions!$B$20,"Watchlist",""))))</f>
        <v>High Priority - Unrepresented</v>
      </c>
      <c r="X978" s="21" t="str">
        <f aca="false">'Player Data'!V978</f>
        <v>info@sanpedrofc.ci</v>
      </c>
      <c r="Y978" s="28" t="str">
        <f aca="false">'Player Data'!W978</f>
        <v>Club sporting director / first-team office</v>
      </c>
      <c r="Z978" s="28" t="str">
        <f aca="false">'Player Data'!X978</f>
        <v>FIF (Ivorian Football Federation) player registry</v>
      </c>
      <c r="AA978" s="19" t="str">
        <f aca="false">HYPERLINK("https://www.transfermarkt.com/schnellsuche/ergebnis/schnellsuche?query="&amp;SUBSTITUTE(A978," ","+"),"Search Transfermarkt")</f>
        <v>Search Transfermarkt</v>
      </c>
      <c r="AB978" s="29" t="n">
        <f aca="false">IFERROR('Player Data'!K978/('Player Data'!K978+'Player Data'!L978),0)</f>
        <v>0.653846153846154</v>
      </c>
      <c r="AC978" s="21" t="str">
        <f aca="false">IF(B978="GK",IF(AND(O978&gt;=Assumptions!$B$23,N978&gt;=Assumptions!$B$23),"Sweeper-Keeper / Build-from-the-Back",IF(O978&gt;=Assumptions!$B$23,"Sweeper-Keeper / High Line",IF(M978&gt;=Assumptions!$B$23,"Shot-Stopper / Traditional","Flexible / Multi-System"))),IF(AND(O978&gt;=Assumptions!$B$23,P978&gt;=Assumptions!$B$24),"High Press / Gegenpressing",IF(AND(N978&gt;=Assumptions!$B$23,AB978&gt;=Assumptions!$B$25),"Possession / Build-from-the-Back",IF(N978&gt;=Assumptions!$B$23,"Counter-Attack / Transition",IF(AND(O978&gt;=Assumptions!$B$23,N978&lt;Assumptions!$B$26),"Low Block / Park the Bus",IF(AND(B978="FW",M978&gt;=Assumptions!$B$23,N978&lt;Assumptions!$B$26),"Direct / Target Approach","Flexible / Multi-System"))))))</f>
        <v>Possession / Build-from-the-Back</v>
      </c>
      <c r="AD978" s="21" t="str">
        <f aca="false">'Player Data'!Y978</f>
        <v>2026-07-17</v>
      </c>
      <c r="AE978" s="21" t="str">
        <f aca="false">'Player Data'!Z978</f>
        <v>2026-07-17</v>
      </c>
      <c r="AF978" s="28" t="str">
        <f aca="false">IFERROR(INDEX(Assumptions!$B$30:$B$61,MATCH(C978,Assumptions!$A$30:$A$61,0)),"--")</f>
        <v>Belgium, Portugal</v>
      </c>
      <c r="AG978" s="30" t="str">
        <f aca="false">IF(R978&gt;=0.7,"Step-Up Candidate",IF(R978&gt;=0.4,"Lateral Move","Stay &amp; Develop"))</f>
        <v>Step-Up Candidate</v>
      </c>
    </row>
    <row r="979" customFormat="false" ht="23.85" hidden="false" customHeight="false" outlineLevel="0" collapsed="false">
      <c r="A979" s="21" t="str">
        <f aca="false">'Player Data'!A979</f>
        <v>Duc Hoang</v>
      </c>
      <c r="B979" s="21" t="str">
        <f aca="false">'Player Data'!F979</f>
        <v>MF</v>
      </c>
      <c r="C979" s="21" t="str">
        <f aca="false">'Player Data'!B979</f>
        <v>Vietnam</v>
      </c>
      <c r="D979" s="21" t="str">
        <f aca="false">'Player Data'!C979</f>
        <v>Vietnam Third Tier - South</v>
      </c>
      <c r="E979" s="21" t="n">
        <f aca="false">'Player Data'!D979</f>
        <v>3</v>
      </c>
      <c r="F979" s="21" t="n">
        <f aca="false">'Player Data'!G979</f>
        <v>17</v>
      </c>
      <c r="G979" s="21" t="n">
        <f aca="false">'Player Data'!H979</f>
        <v>914</v>
      </c>
      <c r="H979" s="22" t="n">
        <f aca="false">IF(B979="GK",IFERROR(('Player Data'!N979-1.5*'Player Data'!O979)/'Player Data'!H979*90,0),IFERROR(('Player Data'!I979+'Player Data'!J979)/'Player Data'!H979*90,0))</f>
        <v>1.2800875273523</v>
      </c>
      <c r="I979" s="22" t="n">
        <f aca="false">IF(B979="GK",'Player Data'!P979,IFERROR(('Player Data'!K979+'Player Data'!L979)/'Player Data'!H979*90,0))</f>
        <v>20.4814004376368</v>
      </c>
      <c r="J979" s="22" t="n">
        <f aca="false">IF(B979="GK",IFERROR('Player Data'!Q979/'Player Data'!H979*90,0),IFERROR('Player Data'!M979/'Player Data'!H979*90,0))</f>
        <v>3.7417943107221</v>
      </c>
      <c r="K979" s="23" t="n">
        <f aca="false">'Player Data'!S979</f>
        <v>0</v>
      </c>
      <c r="L979" s="22" t="n">
        <f aca="false">INDEX(Assumptions!$B$13:$B$15,MATCH(E979,Assumptions!$A$13:$A$15,0))</f>
        <v>0.85</v>
      </c>
      <c r="M979" s="24" t="n">
        <f aca="false">IFERROR(SUMPRODUCT(($B$2:$B$1001=B979)*($H$2:$H$1001&lt;=H979))/SUMPRODUCT(($B$2:$B$1001=B979)*1),0)</f>
        <v>0.868686868686869</v>
      </c>
      <c r="N979" s="24" t="n">
        <f aca="false">IFERROR(SUMPRODUCT(($B$2:$B$1001=B979)*($I$2:$I$1001&lt;=I979))/SUMPRODUCT(($B$2:$B$1001=B979)*1),0)</f>
        <v>0.912457912457912</v>
      </c>
      <c r="O979" s="24" t="n">
        <f aca="false">IFERROR(SUMPRODUCT(($B$2:$B$1001=B979)*($J$2:$J$1001&lt;=J979))/SUMPRODUCT(($B$2:$B$1001=B979)*1),0)</f>
        <v>0.892255892255892</v>
      </c>
      <c r="P979" s="24" t="n">
        <f aca="false">IFERROR(SUMPRODUCT(($B$2:$B$1001=B979)*((0-$F$2:$F$1001)&lt;=(0-F979)))/SUMPRODUCT(($B$2:$B$1001=B979)*1),0)</f>
        <v>1</v>
      </c>
      <c r="Q979" s="25" t="n">
        <f aca="false">(M979*Assumptions!$B$5+N979*Assumptions!$B$6+O979*Assumptions!$B$7+P979*Assumptions!$B$8)*L979</f>
        <v>0.77773569023569</v>
      </c>
      <c r="R979" s="24" t="n">
        <f aca="false">IFERROR(SUMPRODUCT(($B$2:$B$1001=B979)*($Q$2:$Q$1001&lt;=Q979))/SUMPRODUCT(($B$2:$B$1001=B979)*1),0)</f>
        <v>0.925925925925926</v>
      </c>
      <c r="S979" s="24" t="n">
        <f aca="false">IFERROR(SUMPRODUCT(($B$2:$B$1001=B979)*($K$2:$K$1001&lt;=K979))/SUMPRODUCT(($B$2:$B$1001=B979)*1),0)</f>
        <v>0.228956228956229</v>
      </c>
      <c r="T979" s="26" t="n">
        <f aca="false">(R979-S979)*100</f>
        <v>69.6969696969697</v>
      </c>
      <c r="U979" s="21" t="str">
        <f aca="false">'Player Data'!T979</f>
        <v>Unknown</v>
      </c>
      <c r="V979" s="27" t="n">
        <f aca="false">'Player Data'!U979</f>
        <v>2027</v>
      </c>
      <c r="W979" s="21" t="str">
        <f aca="false">IF(AND(T979&gt;=Assumptions!$B$19,U979="No"),"High Priority - Unrepresented",IF(T979&gt;=Assumptions!$B$19,"High Priority",IF(AND(T979&gt;=Assumptions!$B$20,U979="No"),"Watchlist - Unrepresented",IF(T979&gt;=Assumptions!$B$20,"Watchlist",""))))</f>
        <v>High Priority</v>
      </c>
      <c r="X979" s="21" t="str">
        <f aca="false">'Player Data'!V979</f>
        <v>info@hanoitown.vn</v>
      </c>
      <c r="Y979" s="28" t="str">
        <f aca="false">'Player Data'!W979</f>
        <v>Club youth/academy office ONLY - player is a minor, do not contact directly</v>
      </c>
      <c r="Z979" s="28" t="str">
        <f aca="false">'Player Data'!X979</f>
        <v>VFF (Vietnam Football Federation) player registry</v>
      </c>
      <c r="AA979" s="19" t="str">
        <f aca="false">HYPERLINK("https://www.transfermarkt.com/schnellsuche/ergebnis/schnellsuche?query="&amp;SUBSTITUTE(A979," ","+"),"Search Transfermarkt")</f>
        <v>Search Transfermarkt</v>
      </c>
      <c r="AB979" s="29" t="n">
        <f aca="false">IFERROR('Player Data'!K979/('Player Data'!K979+'Player Data'!L979),0)</f>
        <v>0.591346153846154</v>
      </c>
      <c r="AC979" s="21" t="str">
        <f aca="false">IF(B979="GK",IF(AND(O979&gt;=Assumptions!$B$23,N979&gt;=Assumptions!$B$23),"Sweeper-Keeper / Build-from-the-Back",IF(O979&gt;=Assumptions!$B$23,"Sweeper-Keeper / High Line",IF(M979&gt;=Assumptions!$B$23,"Shot-Stopper / Traditional","Flexible / Multi-System"))),IF(AND(O979&gt;=Assumptions!$B$23,P979&gt;=Assumptions!$B$24),"High Press / Gegenpressing",IF(AND(N979&gt;=Assumptions!$B$23,AB979&gt;=Assumptions!$B$25),"Possession / Build-from-the-Back",IF(N979&gt;=Assumptions!$B$23,"Counter-Attack / Transition",IF(AND(O979&gt;=Assumptions!$B$23,N979&lt;Assumptions!$B$26),"Low Block / Park the Bus",IF(AND(B979="FW",M979&gt;=Assumptions!$B$23,N979&lt;Assumptions!$B$26),"Direct / Target Approach","Flexible / Multi-System"))))))</f>
        <v>High Press / Gegenpressing</v>
      </c>
      <c r="AD979" s="21" t="str">
        <f aca="false">'Player Data'!Y979</f>
        <v>2026-07-17</v>
      </c>
      <c r="AE979" s="21" t="str">
        <f aca="false">'Player Data'!Z979</f>
        <v>2026-07-17</v>
      </c>
      <c r="AF979" s="28" t="str">
        <f aca="false">IFERROR(INDEX(Assumptions!$B$30:$B$61,MATCH(C979,Assumptions!$A$30:$A$61,0)),"--")</f>
        <v>Australia, Saudi Arabia</v>
      </c>
      <c r="AG979" s="30" t="str">
        <f aca="false">IF(R979&gt;=0.7,"Step-Up Candidate",IF(R979&gt;=0.4,"Lateral Move","Stay &amp; Develop"))</f>
        <v>Step-Up Candidate</v>
      </c>
    </row>
    <row r="980" customFormat="false" ht="23.85" hidden="false" customHeight="false" outlineLevel="0" collapsed="false">
      <c r="A980" s="21" t="str">
        <f aca="false">'Player Data'!A980</f>
        <v>Sander Saar</v>
      </c>
      <c r="B980" s="21" t="str">
        <f aca="false">'Player Data'!F980</f>
        <v>MF</v>
      </c>
      <c r="C980" s="21" t="str">
        <f aca="false">'Player Data'!B980</f>
        <v>Estonia</v>
      </c>
      <c r="D980" s="21" t="str">
        <f aca="false">'Player Data'!C980</f>
        <v>Estonia Third Tier - South</v>
      </c>
      <c r="E980" s="21" t="n">
        <f aca="false">'Player Data'!D980</f>
        <v>4</v>
      </c>
      <c r="F980" s="21" t="n">
        <f aca="false">'Player Data'!G980</f>
        <v>20</v>
      </c>
      <c r="G980" s="21" t="n">
        <f aca="false">'Player Data'!H980</f>
        <v>2197</v>
      </c>
      <c r="H980" s="22" t="n">
        <f aca="false">IF(B980="GK",IFERROR(('Player Data'!N980-1.5*'Player Data'!O980)/'Player Data'!H980*90,0),IFERROR(('Player Data'!I980+'Player Data'!J980)/'Player Data'!H980*90,0))</f>
        <v>0.368684569868002</v>
      </c>
      <c r="I980" s="22" t="n">
        <f aca="false">IF(B980="GK",'Player Data'!P980,IFERROR(('Player Data'!K980+'Player Data'!L980)/'Player Data'!H980*90,0))</f>
        <v>8.68456986800182</v>
      </c>
      <c r="J980" s="22" t="n">
        <f aca="false">IF(B980="GK",IFERROR('Player Data'!Q980/'Player Data'!H980*90,0),IFERROR('Player Data'!M980/'Player Data'!H980*90,0))</f>
        <v>2.21210741920801</v>
      </c>
      <c r="K980" s="23" t="n">
        <f aca="false">'Player Data'!S980</f>
        <v>76650</v>
      </c>
      <c r="L980" s="22" t="n">
        <f aca="false">INDEX(Assumptions!$B$13:$B$15,MATCH(E980,Assumptions!$A$13:$A$15,0))</f>
        <v>0.7</v>
      </c>
      <c r="M980" s="24" t="n">
        <f aca="false">IFERROR(SUMPRODUCT(($B$2:$B$1001=B980)*($H$2:$H$1001&lt;=H980))/SUMPRODUCT(($B$2:$B$1001=B980)*1),0)</f>
        <v>0.0841750841750842</v>
      </c>
      <c r="N980" s="24" t="n">
        <f aca="false">IFERROR(SUMPRODUCT(($B$2:$B$1001=B980)*($I$2:$I$1001&lt;=I980))/SUMPRODUCT(($B$2:$B$1001=B980)*1),0)</f>
        <v>0.225589225589226</v>
      </c>
      <c r="O980" s="24" t="n">
        <f aca="false">IFERROR(SUMPRODUCT(($B$2:$B$1001=B980)*($J$2:$J$1001&lt;=J980))/SUMPRODUCT(($B$2:$B$1001=B980)*1),0)</f>
        <v>0.515151515151515</v>
      </c>
      <c r="P980" s="24" t="n">
        <f aca="false">IFERROR(SUMPRODUCT(($B$2:$B$1001=B980)*((0-$F$2:$F$1001)&lt;=(0-F980)))/SUMPRODUCT(($B$2:$B$1001=B980)*1),0)</f>
        <v>0.734006734006734</v>
      </c>
      <c r="Q980" s="25" t="n">
        <f aca="false">(M980*Assumptions!$B$5+N980*Assumptions!$B$6+O980*Assumptions!$B$7+P980*Assumptions!$B$8)*L980</f>
        <v>0.244882154882155</v>
      </c>
      <c r="R980" s="24" t="n">
        <f aca="false">IFERROR(SUMPRODUCT(($B$2:$B$1001=B980)*($Q$2:$Q$1001&lt;=Q980))/SUMPRODUCT(($B$2:$B$1001=B980)*1),0)</f>
        <v>0.168350168350168</v>
      </c>
      <c r="S980" s="24" t="n">
        <f aca="false">IFERROR(SUMPRODUCT(($B$2:$B$1001=B980)*($K$2:$K$1001&lt;=K980))/SUMPRODUCT(($B$2:$B$1001=B980)*1),0)</f>
        <v>0.606060606060606</v>
      </c>
      <c r="T980" s="26" t="n">
        <f aca="false">(R980-S980)*100</f>
        <v>-43.7710437710438</v>
      </c>
      <c r="U980" s="21" t="str">
        <f aca="false">'Player Data'!T980</f>
        <v>Yes</v>
      </c>
      <c r="V980" s="27" t="n">
        <f aca="false">'Player Data'!U980</f>
        <v>2028</v>
      </c>
      <c r="W980" s="21" t="str">
        <f aca="false">IF(AND(T980&gt;=Assumptions!$B$19,U980="No"),"High Priority - Unrepresented",IF(T980&gt;=Assumptions!$B$19,"High Priority",IF(AND(T980&gt;=Assumptions!$B$20,U980="No"),"Watchlist - Unrepresented",IF(T980&gt;=Assumptions!$B$20,"Watchlist",""))))</f>
        <v/>
      </c>
      <c r="X980" s="21" t="str">
        <f aca="false">'Player Data'!V980</f>
        <v>info@parnuathletic.ee</v>
      </c>
      <c r="Y980" s="28" t="str">
        <f aca="false">'Player Data'!W980</f>
        <v>Go through the player's agent - ask the club to confirm representation first</v>
      </c>
      <c r="Z980" s="28" t="str">
        <f aca="false">'Player Data'!X980</f>
        <v>EJL (Estonian Football Association) player registry</v>
      </c>
      <c r="AA980" s="19" t="str">
        <f aca="false">HYPERLINK("https://www.transfermarkt.com/schnellsuche/ergebnis/schnellsuche?query="&amp;SUBSTITUTE(A980," ","+"),"Search Transfermarkt")</f>
        <v>Search Transfermarkt</v>
      </c>
      <c r="AB980" s="29" t="n">
        <f aca="false">IFERROR('Player Data'!K980/('Player Data'!K980+'Player Data'!L980),0)</f>
        <v>0.594339622641509</v>
      </c>
      <c r="AC980" s="21" t="str">
        <f aca="false">IF(B980="GK",IF(AND(O980&gt;=Assumptions!$B$23,N980&gt;=Assumptions!$B$23),"Sweeper-Keeper / Build-from-the-Back",IF(O980&gt;=Assumptions!$B$23,"Sweeper-Keeper / High Line",IF(M980&gt;=Assumptions!$B$23,"Shot-Stopper / Traditional","Flexible / Multi-System"))),IF(AND(O980&gt;=Assumptions!$B$23,P980&gt;=Assumptions!$B$24),"High Press / Gegenpressing",IF(AND(N980&gt;=Assumptions!$B$23,AB980&gt;=Assumptions!$B$25),"Possession / Build-from-the-Back",IF(N980&gt;=Assumptions!$B$23,"Counter-Attack / Transition",IF(AND(O980&gt;=Assumptions!$B$23,N980&lt;Assumptions!$B$26),"Low Block / Park the Bus",IF(AND(B980="FW",M980&gt;=Assumptions!$B$23,N980&lt;Assumptions!$B$26),"Direct / Target Approach","Flexible / Multi-System"))))))</f>
        <v>Flexible / Multi-System</v>
      </c>
      <c r="AD980" s="21" t="str">
        <f aca="false">'Player Data'!Y980</f>
        <v>2026-07-17</v>
      </c>
      <c r="AE980" s="21" t="str">
        <f aca="false">'Player Data'!Z980</f>
        <v>2026-07-17</v>
      </c>
      <c r="AF980" s="28" t="str">
        <f aca="false">IFERROR(INDEX(Assumptions!$B$30:$B$61,MATCH(C980,Assumptions!$A$30:$A$61,0)),"--")</f>
        <v>Poland, Norway</v>
      </c>
      <c r="AG980" s="30" t="str">
        <f aca="false">IF(R980&gt;=0.7,"Step-Up Candidate",IF(R980&gt;=0.4,"Lateral Move","Stay &amp; Develop"))</f>
        <v>Stay &amp; Develop</v>
      </c>
    </row>
    <row r="981" customFormat="false" ht="23.85" hidden="false" customHeight="false" outlineLevel="0" collapsed="false">
      <c r="A981" s="21" t="str">
        <f aca="false">'Player Data'!A981</f>
        <v>Souleymane Diarra 90</v>
      </c>
      <c r="B981" s="21" t="str">
        <f aca="false">'Player Data'!F981</f>
        <v>MF</v>
      </c>
      <c r="C981" s="21" t="str">
        <f aca="false">'Player Data'!B981</f>
        <v>Mali</v>
      </c>
      <c r="D981" s="21" t="str">
        <f aca="false">'Player Data'!C981</f>
        <v>Mali Second Division - East</v>
      </c>
      <c r="E981" s="21" t="n">
        <f aca="false">'Player Data'!D981</f>
        <v>2</v>
      </c>
      <c r="F981" s="21" t="n">
        <f aca="false">'Player Data'!G981</f>
        <v>17</v>
      </c>
      <c r="G981" s="21" t="n">
        <f aca="false">'Player Data'!H981</f>
        <v>885</v>
      </c>
      <c r="H981" s="22" t="n">
        <f aca="false">IF(B981="GK",IFERROR(('Player Data'!N981-1.5*'Player Data'!O981)/'Player Data'!H981*90,0),IFERROR(('Player Data'!I981+'Player Data'!J981)/'Player Data'!H981*90,0))</f>
        <v>0.915254237288136</v>
      </c>
      <c r="I981" s="22" t="n">
        <f aca="false">IF(B981="GK",'Player Data'!P981,IFERROR(('Player Data'!K981+'Player Data'!L981)/'Player Data'!H981*90,0))</f>
        <v>25.2203389830508</v>
      </c>
      <c r="J981" s="22" t="n">
        <f aca="false">IF(B981="GK",IFERROR('Player Data'!Q981/'Player Data'!H981*90,0),IFERROR('Player Data'!M981/'Player Data'!H981*90,0))</f>
        <v>3.76271186440678</v>
      </c>
      <c r="K981" s="23" t="n">
        <f aca="false">'Player Data'!S981</f>
        <v>65657</v>
      </c>
      <c r="L981" s="22" t="n">
        <f aca="false">INDEX(Assumptions!$B$13:$B$15,MATCH(E981,Assumptions!$A$13:$A$15,0))</f>
        <v>1</v>
      </c>
      <c r="M981" s="24" t="n">
        <f aca="false">IFERROR(SUMPRODUCT(($B$2:$B$1001=B981)*($H$2:$H$1001&lt;=H981))/SUMPRODUCT(($B$2:$B$1001=B981)*1),0)</f>
        <v>0.69023569023569</v>
      </c>
      <c r="N981" s="24" t="n">
        <f aca="false">IFERROR(SUMPRODUCT(($B$2:$B$1001=B981)*($I$2:$I$1001&lt;=I981))/SUMPRODUCT(($B$2:$B$1001=B981)*1),0)</f>
        <v>0.983164983164983</v>
      </c>
      <c r="O981" s="24" t="n">
        <f aca="false">IFERROR(SUMPRODUCT(($B$2:$B$1001=B981)*($J$2:$J$1001&lt;=J981))/SUMPRODUCT(($B$2:$B$1001=B981)*1),0)</f>
        <v>0.898989898989899</v>
      </c>
      <c r="P981" s="24" t="n">
        <f aca="false">IFERROR(SUMPRODUCT(($B$2:$B$1001=B981)*((0-$F$2:$F$1001)&lt;=(0-F981)))/SUMPRODUCT(($B$2:$B$1001=B981)*1),0)</f>
        <v>1</v>
      </c>
      <c r="Q981" s="25" t="n">
        <f aca="false">(M981*Assumptions!$B$5+N981*Assumptions!$B$6+O981*Assumptions!$B$7+P981*Assumptions!$B$8)*L981</f>
        <v>0.896464646464646</v>
      </c>
      <c r="R981" s="24" t="n">
        <f aca="false">IFERROR(SUMPRODUCT(($B$2:$B$1001=B981)*($Q$2:$Q$1001&lt;=Q981))/SUMPRODUCT(($B$2:$B$1001=B981)*1),0)</f>
        <v>0.983164983164983</v>
      </c>
      <c r="S981" s="24" t="n">
        <f aca="false">IFERROR(SUMPRODUCT(($B$2:$B$1001=B981)*($K$2:$K$1001&lt;=K981))/SUMPRODUCT(($B$2:$B$1001=B981)*1),0)</f>
        <v>0.542087542087542</v>
      </c>
      <c r="T981" s="26" t="n">
        <f aca="false">(R981-S981)*100</f>
        <v>44.1077441077441</v>
      </c>
      <c r="U981" s="21" t="str">
        <f aca="false">'Player Data'!T981</f>
        <v>Yes</v>
      </c>
      <c r="V981" s="27" t="n">
        <f aca="false">'Player Data'!U981</f>
        <v>2028</v>
      </c>
      <c r="W981" s="21" t="str">
        <f aca="false">IF(AND(T981&gt;=Assumptions!$B$19,U981="No"),"High Priority - Unrepresented",IF(T981&gt;=Assumptions!$B$19,"High Priority",IF(AND(T981&gt;=Assumptions!$B$20,U981="No"),"Watchlist - Unrepresented",IF(T981&gt;=Assumptions!$B$20,"Watchlist",""))))</f>
        <v>High Priority</v>
      </c>
      <c r="X981" s="21" t="str">
        <f aca="false">'Player Data'!V981</f>
        <v>info@bamakosc.ml</v>
      </c>
      <c r="Y981" s="28" t="str">
        <f aca="false">'Player Data'!W981</f>
        <v>Club youth/academy office ONLY - player is a minor, do not contact directly</v>
      </c>
      <c r="Z981" s="28" t="str">
        <f aca="false">'Player Data'!X981</f>
        <v>FEMAFOOT (Malian Football Federation) player registry</v>
      </c>
      <c r="AA981" s="19" t="str">
        <f aca="false">HYPERLINK("https://www.transfermarkt.com/schnellsuche/ergebnis/schnellsuche?query="&amp;SUBSTITUTE(A981," ","+"),"Search Transfermarkt")</f>
        <v>Search Transfermarkt</v>
      </c>
      <c r="AB981" s="29" t="n">
        <f aca="false">IFERROR('Player Data'!K981/('Player Data'!K981+'Player Data'!L981),0)</f>
        <v>0.709677419354839</v>
      </c>
      <c r="AC981" s="21" t="str">
        <f aca="false">IF(B981="GK",IF(AND(O981&gt;=Assumptions!$B$23,N981&gt;=Assumptions!$B$23),"Sweeper-Keeper / Build-from-the-Back",IF(O981&gt;=Assumptions!$B$23,"Sweeper-Keeper / High Line",IF(M981&gt;=Assumptions!$B$23,"Shot-Stopper / Traditional","Flexible / Multi-System"))),IF(AND(O981&gt;=Assumptions!$B$23,P981&gt;=Assumptions!$B$24),"High Press / Gegenpressing",IF(AND(N981&gt;=Assumptions!$B$23,AB981&gt;=Assumptions!$B$25),"Possession / Build-from-the-Back",IF(N981&gt;=Assumptions!$B$23,"Counter-Attack / Transition",IF(AND(O981&gt;=Assumptions!$B$23,N981&lt;Assumptions!$B$26),"Low Block / Park the Bus",IF(AND(B981="FW",M981&gt;=Assumptions!$B$23,N981&lt;Assumptions!$B$26),"Direct / Target Approach","Flexible / Multi-System"))))))</f>
        <v>High Press / Gegenpressing</v>
      </c>
      <c r="AD981" s="21" t="str">
        <f aca="false">'Player Data'!Y981</f>
        <v>2026-07-17</v>
      </c>
      <c r="AE981" s="21" t="str">
        <f aca="false">'Player Data'!Z981</f>
        <v>2026-07-17</v>
      </c>
      <c r="AF981" s="28" t="str">
        <f aca="false">IFERROR(INDEX(Assumptions!$B$30:$B$61,MATCH(C981,Assumptions!$A$30:$A$61,0)),"--")</f>
        <v>Belgium, Portugal</v>
      </c>
      <c r="AG981" s="30" t="str">
        <f aca="false">IF(R981&gt;=0.7,"Step-Up Candidate",IF(R981&gt;=0.4,"Lateral Move","Stay &amp; Develop"))</f>
        <v>Step-Up Candidate</v>
      </c>
    </row>
    <row r="982" customFormat="false" ht="23.85" hidden="false" customHeight="false" outlineLevel="0" collapsed="false">
      <c r="A982" s="21" t="str">
        <f aca="false">'Player Data'!A982</f>
        <v>Oumar Coulibaly 59</v>
      </c>
      <c r="B982" s="21" t="str">
        <f aca="false">'Player Data'!F982</f>
        <v>MF</v>
      </c>
      <c r="C982" s="21" t="str">
        <f aca="false">'Player Data'!B982</f>
        <v>Mali</v>
      </c>
      <c r="D982" s="21" t="str">
        <f aca="false">'Player Data'!C982</f>
        <v>Mali Provincial League</v>
      </c>
      <c r="E982" s="21" t="n">
        <f aca="false">'Player Data'!D982</f>
        <v>3</v>
      </c>
      <c r="F982" s="21" t="n">
        <f aca="false">'Player Data'!G982</f>
        <v>20</v>
      </c>
      <c r="G982" s="21" t="n">
        <f aca="false">'Player Data'!H982</f>
        <v>1897</v>
      </c>
      <c r="H982" s="22" t="n">
        <f aca="false">IF(B982="GK",IFERROR(('Player Data'!N982-1.5*'Player Data'!O982)/'Player Data'!H982*90,0),IFERROR(('Player Data'!I982+'Player Data'!J982)/'Player Data'!H982*90,0))</f>
        <v>0.664206642066421</v>
      </c>
      <c r="I982" s="22" t="n">
        <f aca="false">IF(B982="GK",'Player Data'!P982,IFERROR(('Player Data'!K982+'Player Data'!L982)/'Player Data'!H982*90,0))</f>
        <v>10.6747496046389</v>
      </c>
      <c r="J982" s="22" t="n">
        <f aca="false">IF(B982="GK",IFERROR('Player Data'!Q982/'Player Data'!H982*90,0),IFERROR('Player Data'!M982/'Player Data'!H982*90,0))</f>
        <v>2.70426989984186</v>
      </c>
      <c r="K982" s="23" t="n">
        <f aca="false">'Player Data'!S982</f>
        <v>84596</v>
      </c>
      <c r="L982" s="22" t="n">
        <f aca="false">INDEX(Assumptions!$B$13:$B$15,MATCH(E982,Assumptions!$A$13:$A$15,0))</f>
        <v>0.85</v>
      </c>
      <c r="M982" s="24" t="n">
        <f aca="false">IFERROR(SUMPRODUCT(($B$2:$B$1001=B982)*($H$2:$H$1001&lt;=H982))/SUMPRODUCT(($B$2:$B$1001=B982)*1),0)</f>
        <v>0.414141414141414</v>
      </c>
      <c r="N982" s="24" t="n">
        <f aca="false">IFERROR(SUMPRODUCT(($B$2:$B$1001=B982)*($I$2:$I$1001&lt;=I982))/SUMPRODUCT(($B$2:$B$1001=B982)*1),0)</f>
        <v>0.481481481481481</v>
      </c>
      <c r="O982" s="24" t="n">
        <f aca="false">IFERROR(SUMPRODUCT(($B$2:$B$1001=B982)*($J$2:$J$1001&lt;=J982))/SUMPRODUCT(($B$2:$B$1001=B982)*1),0)</f>
        <v>0.707070707070707</v>
      </c>
      <c r="P982" s="24" t="n">
        <f aca="false">IFERROR(SUMPRODUCT(($B$2:$B$1001=B982)*((0-$F$2:$F$1001)&lt;=(0-F982)))/SUMPRODUCT(($B$2:$B$1001=B982)*1),0)</f>
        <v>0.734006734006734</v>
      </c>
      <c r="Q982" s="25" t="n">
        <f aca="false">(M982*Assumptions!$B$5+N982*Assumptions!$B$6+O982*Assumptions!$B$7+P982*Assumptions!$B$8)*L982</f>
        <v>0.476228956228956</v>
      </c>
      <c r="R982" s="24" t="n">
        <f aca="false">IFERROR(SUMPRODUCT(($B$2:$B$1001=B982)*($Q$2:$Q$1001&lt;=Q982))/SUMPRODUCT(($B$2:$B$1001=B982)*1),0)</f>
        <v>0.582491582491583</v>
      </c>
      <c r="S982" s="24" t="n">
        <f aca="false">IFERROR(SUMPRODUCT(($B$2:$B$1001=B982)*($K$2:$K$1001&lt;=K982))/SUMPRODUCT(($B$2:$B$1001=B982)*1),0)</f>
        <v>0.666666666666667</v>
      </c>
      <c r="T982" s="26" t="n">
        <f aca="false">(R982-S982)*100</f>
        <v>-8.41750841750841</v>
      </c>
      <c r="U982" s="21" t="str">
        <f aca="false">'Player Data'!T982</f>
        <v>Unknown</v>
      </c>
      <c r="V982" s="27" t="n">
        <f aca="false">'Player Data'!U982</f>
        <v>2028</v>
      </c>
      <c r="W982" s="21" t="str">
        <f aca="false">IF(AND(T982&gt;=Assumptions!$B$19,U982="No"),"High Priority - Unrepresented",IF(T982&gt;=Assumptions!$B$19,"High Priority",IF(AND(T982&gt;=Assumptions!$B$20,U982="No"),"Watchlist - Unrepresented",IF(T982&gt;=Assumptions!$B$20,"Watchlist",""))))</f>
        <v/>
      </c>
      <c r="X982" s="21" t="str">
        <f aca="false">'Player Data'!V982</f>
        <v>info@sikassorovers.ml</v>
      </c>
      <c r="Y982" s="28" t="str">
        <f aca="false">'Player Data'!W982</f>
        <v>Club sporting director / first-team office</v>
      </c>
      <c r="Z982" s="28" t="str">
        <f aca="false">'Player Data'!X982</f>
        <v>FEMAFOOT (Malian Football Federation) player registry</v>
      </c>
      <c r="AA982" s="19" t="str">
        <f aca="false">HYPERLINK("https://www.transfermarkt.com/schnellsuche/ergebnis/schnellsuche?query="&amp;SUBSTITUTE(A982," ","+"),"Search Transfermarkt")</f>
        <v>Search Transfermarkt</v>
      </c>
      <c r="AB982" s="29" t="n">
        <f aca="false">IFERROR('Player Data'!K982/('Player Data'!K982+'Player Data'!L982),0)</f>
        <v>0.653333333333333</v>
      </c>
      <c r="AC982" s="21" t="str">
        <f aca="false">IF(B982="GK",IF(AND(O982&gt;=Assumptions!$B$23,N982&gt;=Assumptions!$B$23),"Sweeper-Keeper / Build-from-the-Back",IF(O982&gt;=Assumptions!$B$23,"Sweeper-Keeper / High Line",IF(M982&gt;=Assumptions!$B$23,"Shot-Stopper / Traditional","Flexible / Multi-System"))),IF(AND(O982&gt;=Assumptions!$B$23,P982&gt;=Assumptions!$B$24),"High Press / Gegenpressing",IF(AND(N982&gt;=Assumptions!$B$23,AB982&gt;=Assumptions!$B$25),"Possession / Build-from-the-Back",IF(N982&gt;=Assumptions!$B$23,"Counter-Attack / Transition",IF(AND(O982&gt;=Assumptions!$B$23,N982&lt;Assumptions!$B$26),"Low Block / Park the Bus",IF(AND(B982="FW",M982&gt;=Assumptions!$B$23,N982&lt;Assumptions!$B$26),"Direct / Target Approach","Flexible / Multi-System"))))))</f>
        <v>High Press / Gegenpressing</v>
      </c>
      <c r="AD982" s="21" t="str">
        <f aca="false">'Player Data'!Y982</f>
        <v>2026-07-17</v>
      </c>
      <c r="AE982" s="21" t="str">
        <f aca="false">'Player Data'!Z982</f>
        <v>2026-07-17</v>
      </c>
      <c r="AF982" s="28" t="str">
        <f aca="false">IFERROR(INDEX(Assumptions!$B$30:$B$61,MATCH(C982,Assumptions!$A$30:$A$61,0)),"--")</f>
        <v>Belgium, Portugal</v>
      </c>
      <c r="AG982" s="30" t="str">
        <f aca="false">IF(R982&gt;=0.7,"Step-Up Candidate",IF(R982&gt;=0.4,"Lateral Move","Stay &amp; Develop"))</f>
        <v>Lateral Move</v>
      </c>
    </row>
    <row r="983" customFormat="false" ht="23.85" hidden="false" customHeight="false" outlineLevel="0" collapsed="false">
      <c r="A983" s="21" t="str">
        <f aca="false">'Player Data'!A983</f>
        <v>Bojan Ilic</v>
      </c>
      <c r="B983" s="21" t="str">
        <f aca="false">'Player Data'!F983</f>
        <v>GK</v>
      </c>
      <c r="C983" s="21" t="str">
        <f aca="false">'Player Data'!B983</f>
        <v>Serbia</v>
      </c>
      <c r="D983" s="21" t="str">
        <f aca="false">'Player Data'!C983</f>
        <v>Serbia Amateur League</v>
      </c>
      <c r="E983" s="21" t="n">
        <f aca="false">'Player Data'!D983</f>
        <v>3</v>
      </c>
      <c r="F983" s="21" t="n">
        <f aca="false">'Player Data'!G983</f>
        <v>19</v>
      </c>
      <c r="G983" s="21" t="n">
        <f aca="false">'Player Data'!H983</f>
        <v>812</v>
      </c>
      <c r="H983" s="22" t="n">
        <f aca="false">IF(B983="GK",IFERROR(('Player Data'!N983-1.5*'Player Data'!O983)/'Player Data'!H983*90,0),IFERROR(('Player Data'!I983+'Player Data'!J983)/'Player Data'!H983*90,0))</f>
        <v>1.77339901477833</v>
      </c>
      <c r="I983" s="22" t="n">
        <f aca="false">IF(B983="GK",'Player Data'!P983,IFERROR(('Player Data'!K983+'Player Data'!L983)/'Player Data'!H983*90,0))</f>
        <v>72.1</v>
      </c>
      <c r="J983" s="22" t="n">
        <f aca="false">IF(B983="GK",IFERROR('Player Data'!Q983/'Player Data'!H983*90,0),IFERROR('Player Data'!M983/'Player Data'!H983*90,0))</f>
        <v>0.676108374384236</v>
      </c>
      <c r="K983" s="23" t="n">
        <f aca="false">'Player Data'!S983</f>
        <v>0</v>
      </c>
      <c r="L983" s="22" t="n">
        <f aca="false">INDEX(Assumptions!$B$13:$B$15,MATCH(E983,Assumptions!$A$13:$A$15,0))</f>
        <v>0.85</v>
      </c>
      <c r="M983" s="24" t="n">
        <f aca="false">IFERROR(SUMPRODUCT(($B$2:$B$1001=B983)*($H$2:$H$1001&lt;=H983))/SUMPRODUCT(($B$2:$B$1001=B983)*1),0)</f>
        <v>0.808743169398907</v>
      </c>
      <c r="N983" s="24" t="n">
        <f aca="false">IFERROR(SUMPRODUCT(($B$2:$B$1001=B983)*($I$2:$I$1001&lt;=I983))/SUMPRODUCT(($B$2:$B$1001=B983)*1),0)</f>
        <v>0.475409836065574</v>
      </c>
      <c r="O983" s="24" t="n">
        <f aca="false">IFERROR(SUMPRODUCT(($B$2:$B$1001=B983)*($J$2:$J$1001&lt;=J983))/SUMPRODUCT(($B$2:$B$1001=B983)*1),0)</f>
        <v>0.33879781420765</v>
      </c>
      <c r="P983" s="24" t="n">
        <f aca="false">IFERROR(SUMPRODUCT(($B$2:$B$1001=B983)*((0-$F$2:$F$1001)&lt;=(0-F983)))/SUMPRODUCT(($B$2:$B$1001=B983)*1),0)</f>
        <v>0.770491803278689</v>
      </c>
      <c r="Q983" s="25" t="n">
        <f aca="false">(M983*Assumptions!$B$5+N983*Assumptions!$B$6+O983*Assumptions!$B$7+P983*Assumptions!$B$8)*L983</f>
        <v>0.501871584699454</v>
      </c>
      <c r="R983" s="24" t="n">
        <f aca="false">IFERROR(SUMPRODUCT(($B$2:$B$1001=B983)*($Q$2:$Q$1001&lt;=Q983))/SUMPRODUCT(($B$2:$B$1001=B983)*1),0)</f>
        <v>0.622950819672131</v>
      </c>
      <c r="S983" s="24" t="n">
        <f aca="false">IFERROR(SUMPRODUCT(($B$2:$B$1001=B983)*($K$2:$K$1001&lt;=K983))/SUMPRODUCT(($B$2:$B$1001=B983)*1),0)</f>
        <v>0.218579234972678</v>
      </c>
      <c r="T983" s="26" t="n">
        <f aca="false">(R983-S983)*100</f>
        <v>40.4371584699454</v>
      </c>
      <c r="U983" s="21" t="str">
        <f aca="false">'Player Data'!T983</f>
        <v>Unknown</v>
      </c>
      <c r="V983" s="27" t="n">
        <f aca="false">'Player Data'!U983</f>
        <v>2029</v>
      </c>
      <c r="W983" s="21" t="str">
        <f aca="false">IF(AND(T983&gt;=Assumptions!$B$19,U983="No"),"High Priority - Unrepresented",IF(T983&gt;=Assumptions!$B$19,"High Priority",IF(AND(T983&gt;=Assumptions!$B$20,U983="No"),"Watchlist - Unrepresented",IF(T983&gt;=Assumptions!$B$20,"Watchlist",""))))</f>
        <v>High Priority</v>
      </c>
      <c r="X983" s="21" t="str">
        <f aca="false">'Player Data'!V983</f>
        <v>info@dobanovcitown.rs</v>
      </c>
      <c r="Y983" s="28" t="str">
        <f aca="false">'Player Data'!W983</f>
        <v>Club sporting director / first-team office</v>
      </c>
      <c r="Z983" s="28" t="str">
        <f aca="false">'Player Data'!X983</f>
        <v>FSS (Football Association of Serbia) player registry</v>
      </c>
      <c r="AA983" s="19" t="str">
        <f aca="false">HYPERLINK("https://www.transfermarkt.com/schnellsuche/ergebnis/schnellsuche?query="&amp;SUBSTITUTE(A983," ","+"),"Search Transfermarkt")</f>
        <v>Search Transfermarkt</v>
      </c>
      <c r="AB983" s="29" t="n">
        <f aca="false">IFERROR('Player Data'!K983/('Player Data'!K983+'Player Data'!L983),0)</f>
        <v>1</v>
      </c>
      <c r="AC983" s="21" t="str">
        <f aca="false">IF(B983="GK",IF(AND(O983&gt;=Assumptions!$B$23,N983&gt;=Assumptions!$B$23),"Sweeper-Keeper / Build-from-the-Back",IF(O983&gt;=Assumptions!$B$23,"Sweeper-Keeper / High Line",IF(M983&gt;=Assumptions!$B$23,"Shot-Stopper / Traditional","Flexible / Multi-System"))),IF(AND(O983&gt;=Assumptions!$B$23,P983&gt;=Assumptions!$B$24),"High Press / Gegenpressing",IF(AND(N983&gt;=Assumptions!$B$23,AB983&gt;=Assumptions!$B$25),"Possession / Build-from-the-Back",IF(N983&gt;=Assumptions!$B$23,"Counter-Attack / Transition",IF(AND(O983&gt;=Assumptions!$B$23,N983&lt;Assumptions!$B$26),"Low Block / Park the Bus",IF(AND(B983="FW",M983&gt;=Assumptions!$B$23,N983&lt;Assumptions!$B$26),"Direct / Target Approach","Flexible / Multi-System"))))))</f>
        <v>Shot-Stopper / Traditional</v>
      </c>
      <c r="AD983" s="21" t="str">
        <f aca="false">'Player Data'!Y983</f>
        <v>2026-07-17</v>
      </c>
      <c r="AE983" s="21" t="str">
        <f aca="false">'Player Data'!Z983</f>
        <v>2026-07-17</v>
      </c>
      <c r="AF983" s="28" t="str">
        <f aca="false">IFERROR(INDEX(Assumptions!$B$30:$B$61,MATCH(C983,Assumptions!$A$30:$A$61,0)),"--")</f>
        <v>Austria, Turkey</v>
      </c>
      <c r="AG983" s="30" t="str">
        <f aca="false">IF(R983&gt;=0.7,"Step-Up Candidate",IF(R983&gt;=0.4,"Lateral Move","Stay &amp; Develop"))</f>
        <v>Lateral Move</v>
      </c>
    </row>
    <row r="984" customFormat="false" ht="23.85" hidden="false" customHeight="false" outlineLevel="0" collapsed="false">
      <c r="A984" s="21" t="str">
        <f aca="false">'Player Data'!A984</f>
        <v>Arturs Berzins 17</v>
      </c>
      <c r="B984" s="21" t="str">
        <f aca="false">'Player Data'!F984</f>
        <v>MF</v>
      </c>
      <c r="C984" s="21" t="str">
        <f aca="false">'Player Data'!B984</f>
        <v>Latvia</v>
      </c>
      <c r="D984" s="21" t="str">
        <f aca="false">'Player Data'!C984</f>
        <v>Latvia Second Division - East</v>
      </c>
      <c r="E984" s="21" t="n">
        <f aca="false">'Player Data'!D984</f>
        <v>3</v>
      </c>
      <c r="F984" s="21" t="n">
        <f aca="false">'Player Data'!G984</f>
        <v>20</v>
      </c>
      <c r="G984" s="21" t="n">
        <f aca="false">'Player Data'!H984</f>
        <v>1169</v>
      </c>
      <c r="H984" s="22" t="n">
        <f aca="false">IF(B984="GK",IFERROR(('Player Data'!N984-1.5*'Player Data'!O984)/'Player Data'!H984*90,0),IFERROR(('Player Data'!I984+'Player Data'!J984)/'Player Data'!H984*90,0))</f>
        <v>1.3857998289136</v>
      </c>
      <c r="I984" s="22" t="n">
        <f aca="false">IF(B984="GK",'Player Data'!P984,IFERROR(('Player Data'!K984+'Player Data'!L984)/'Player Data'!H984*90,0))</f>
        <v>18.169375534645</v>
      </c>
      <c r="J984" s="22" t="n">
        <f aca="false">IF(B984="GK",IFERROR('Player Data'!Q984/'Player Data'!H984*90,0),IFERROR('Player Data'!M984/'Player Data'!H984*90,0))</f>
        <v>4.00342172797263</v>
      </c>
      <c r="K984" s="23" t="n">
        <f aca="false">'Player Data'!S984</f>
        <v>65119</v>
      </c>
      <c r="L984" s="22" t="n">
        <f aca="false">INDEX(Assumptions!$B$13:$B$15,MATCH(E984,Assumptions!$A$13:$A$15,0))</f>
        <v>0.85</v>
      </c>
      <c r="M984" s="24" t="n">
        <f aca="false">IFERROR(SUMPRODUCT(($B$2:$B$1001=B984)*($H$2:$H$1001&lt;=H984))/SUMPRODUCT(($B$2:$B$1001=B984)*1),0)</f>
        <v>0.902356902356902</v>
      </c>
      <c r="N984" s="24" t="n">
        <f aca="false">IFERROR(SUMPRODUCT(($B$2:$B$1001=B984)*($I$2:$I$1001&lt;=I984))/SUMPRODUCT(($B$2:$B$1001=B984)*1),0)</f>
        <v>0.855218855218855</v>
      </c>
      <c r="O984" s="24" t="n">
        <f aca="false">IFERROR(SUMPRODUCT(($B$2:$B$1001=B984)*($J$2:$J$1001&lt;=J984))/SUMPRODUCT(($B$2:$B$1001=B984)*1),0)</f>
        <v>0.929292929292929</v>
      </c>
      <c r="P984" s="24" t="n">
        <f aca="false">IFERROR(SUMPRODUCT(($B$2:$B$1001=B984)*((0-$F$2:$F$1001)&lt;=(0-F984)))/SUMPRODUCT(($B$2:$B$1001=B984)*1),0)</f>
        <v>0.734006734006734</v>
      </c>
      <c r="Q984" s="25" t="n">
        <f aca="false">(M984*Assumptions!$B$5+N984*Assumptions!$B$6+O984*Assumptions!$B$7+P984*Assumptions!$B$8)*L984</f>
        <v>0.728939393939394</v>
      </c>
      <c r="R984" s="24" t="n">
        <f aca="false">IFERROR(SUMPRODUCT(($B$2:$B$1001=B984)*($Q$2:$Q$1001&lt;=Q984))/SUMPRODUCT(($B$2:$B$1001=B984)*1),0)</f>
        <v>0.892255892255892</v>
      </c>
      <c r="S984" s="24" t="n">
        <f aca="false">IFERROR(SUMPRODUCT(($B$2:$B$1001=B984)*($K$2:$K$1001&lt;=K984))/SUMPRODUCT(($B$2:$B$1001=B984)*1),0)</f>
        <v>0.538720538720539</v>
      </c>
      <c r="T984" s="26" t="n">
        <f aca="false">(R984-S984)*100</f>
        <v>35.3535353535354</v>
      </c>
      <c r="U984" s="21" t="str">
        <f aca="false">'Player Data'!T984</f>
        <v>Unknown</v>
      </c>
      <c r="V984" s="27" t="n">
        <f aca="false">'Player Data'!U984</f>
        <v>2028</v>
      </c>
      <c r="W984" s="21" t="str">
        <f aca="false">IF(AND(T984&gt;=Assumptions!$B$19,U984="No"),"High Priority - Unrepresented",IF(T984&gt;=Assumptions!$B$19,"High Priority",IF(AND(T984&gt;=Assumptions!$B$20,U984="No"),"Watchlist - Unrepresented",IF(T984&gt;=Assumptions!$B$20,"Watchlist",""))))</f>
        <v>Watchlist</v>
      </c>
      <c r="X984" s="21" t="str">
        <f aca="false">'Player Data'!V984</f>
        <v>info@rigacity.lv</v>
      </c>
      <c r="Y984" s="28" t="str">
        <f aca="false">'Player Data'!W984</f>
        <v>Club sporting director / first-team office</v>
      </c>
      <c r="Z984" s="28" t="str">
        <f aca="false">'Player Data'!X984</f>
        <v>LFF (Latvian Football Federation) player registry</v>
      </c>
      <c r="AA984" s="19" t="str">
        <f aca="false">HYPERLINK("https://www.transfermarkt.com/schnellsuche/ergebnis/schnellsuche?query="&amp;SUBSTITUTE(A984," ","+"),"Search Transfermarkt")</f>
        <v>Search Transfermarkt</v>
      </c>
      <c r="AB984" s="29" t="n">
        <f aca="false">IFERROR('Player Data'!K984/('Player Data'!K984+'Player Data'!L984),0)</f>
        <v>0.690677966101695</v>
      </c>
      <c r="AC984" s="21" t="str">
        <f aca="false">IF(B984="GK",IF(AND(O984&gt;=Assumptions!$B$23,N984&gt;=Assumptions!$B$23),"Sweeper-Keeper / Build-from-the-Back",IF(O984&gt;=Assumptions!$B$23,"Sweeper-Keeper / High Line",IF(M984&gt;=Assumptions!$B$23,"Shot-Stopper / Traditional","Flexible / Multi-System"))),IF(AND(O984&gt;=Assumptions!$B$23,P984&gt;=Assumptions!$B$24),"High Press / Gegenpressing",IF(AND(N984&gt;=Assumptions!$B$23,AB984&gt;=Assumptions!$B$25),"Possession / Build-from-the-Back",IF(N984&gt;=Assumptions!$B$23,"Counter-Attack / Transition",IF(AND(O984&gt;=Assumptions!$B$23,N984&lt;Assumptions!$B$26),"Low Block / Park the Bus",IF(AND(B984="FW",M984&gt;=Assumptions!$B$23,N984&lt;Assumptions!$B$26),"Direct / Target Approach","Flexible / Multi-System"))))))</f>
        <v>High Press / Gegenpressing</v>
      </c>
      <c r="AD984" s="21" t="str">
        <f aca="false">'Player Data'!Y984</f>
        <v>2026-07-17</v>
      </c>
      <c r="AE984" s="21" t="str">
        <f aca="false">'Player Data'!Z984</f>
        <v>2026-07-17</v>
      </c>
      <c r="AF984" s="28" t="str">
        <f aca="false">IFERROR(INDEX(Assumptions!$B$30:$B$61,MATCH(C984,Assumptions!$A$30:$A$61,0)),"--")</f>
        <v>Poland, Norway</v>
      </c>
      <c r="AG984" s="30" t="str">
        <f aca="false">IF(R984&gt;=0.7,"Step-Up Candidate",IF(R984&gt;=0.4,"Lateral Move","Stay &amp; Develop"))</f>
        <v>Step-Up Candidate</v>
      </c>
    </row>
    <row r="985" customFormat="false" ht="23.85" hidden="false" customHeight="false" outlineLevel="0" collapsed="false">
      <c r="A985" s="21" t="str">
        <f aca="false">'Player Data'!A985</f>
        <v>Kristijan Naumovski</v>
      </c>
      <c r="B985" s="21" t="str">
        <f aca="false">'Player Data'!F985</f>
        <v>FW</v>
      </c>
      <c r="C985" s="21" t="str">
        <f aca="false">'Player Data'!B985</f>
        <v>North Macedonia</v>
      </c>
      <c r="D985" s="21" t="str">
        <f aca="false">'Player Data'!C985</f>
        <v>North Macedonia Second Division - East</v>
      </c>
      <c r="E985" s="21" t="n">
        <f aca="false">'Player Data'!D985</f>
        <v>3</v>
      </c>
      <c r="F985" s="21" t="n">
        <f aca="false">'Player Data'!G985</f>
        <v>19</v>
      </c>
      <c r="G985" s="21" t="n">
        <f aca="false">'Player Data'!H985</f>
        <v>1569</v>
      </c>
      <c r="H985" s="22" t="n">
        <f aca="false">IF(B985="GK",IFERROR(('Player Data'!N985-1.5*'Player Data'!O985)/'Player Data'!H985*90,0),IFERROR(('Player Data'!I985+'Player Data'!J985)/'Player Data'!H985*90,0))</f>
        <v>1.1472275334608</v>
      </c>
      <c r="I985" s="22" t="n">
        <f aca="false">IF(B985="GK",'Player Data'!P985,IFERROR(('Player Data'!K985+'Player Data'!L985)/'Player Data'!H985*90,0))</f>
        <v>6.02294455066922</v>
      </c>
      <c r="J985" s="22" t="n">
        <f aca="false">IF(B985="GK",IFERROR('Player Data'!Q985/'Player Data'!H985*90,0),IFERROR('Player Data'!M985/'Player Data'!H985*90,0))</f>
        <v>0.803059273422562</v>
      </c>
      <c r="K985" s="23" t="n">
        <f aca="false">'Player Data'!S985</f>
        <v>0</v>
      </c>
      <c r="L985" s="22" t="n">
        <f aca="false">INDEX(Assumptions!$B$13:$B$15,MATCH(E985,Assumptions!$A$13:$A$15,0))</f>
        <v>0.85</v>
      </c>
      <c r="M985" s="24" t="n">
        <f aca="false">IFERROR(SUMPRODUCT(($B$2:$B$1001=B985)*($H$2:$H$1001&lt;=H985))/SUMPRODUCT(($B$2:$B$1001=B985)*1),0)</f>
        <v>0.654867256637168</v>
      </c>
      <c r="N985" s="24" t="n">
        <f aca="false">IFERROR(SUMPRODUCT(($B$2:$B$1001=B985)*($I$2:$I$1001&lt;=I985))/SUMPRODUCT(($B$2:$B$1001=B985)*1),0)</f>
        <v>0.415929203539823</v>
      </c>
      <c r="O985" s="24" t="n">
        <f aca="false">IFERROR(SUMPRODUCT(($B$2:$B$1001=B985)*($J$2:$J$1001&lt;=J985))/SUMPRODUCT(($B$2:$B$1001=B985)*1),0)</f>
        <v>0.787610619469027</v>
      </c>
      <c r="P985" s="24" t="n">
        <f aca="false">IFERROR(SUMPRODUCT(($B$2:$B$1001=B985)*((0-$F$2:$F$1001)&lt;=(0-F985)))/SUMPRODUCT(($B$2:$B$1001=B985)*1),0)</f>
        <v>0.831858407079646</v>
      </c>
      <c r="Q985" s="25" t="n">
        <f aca="false">(M985*Assumptions!$B$5+N985*Assumptions!$B$6+O985*Assumptions!$B$7+P985*Assumptions!$B$8)*L985</f>
        <v>0.53820796460177</v>
      </c>
      <c r="R985" s="24" t="n">
        <f aca="false">IFERROR(SUMPRODUCT(($B$2:$B$1001=B985)*($Q$2:$Q$1001&lt;=Q985))/SUMPRODUCT(($B$2:$B$1001=B985)*1),0)</f>
        <v>0.668141592920354</v>
      </c>
      <c r="S985" s="24" t="n">
        <f aca="false">IFERROR(SUMPRODUCT(($B$2:$B$1001=B985)*($K$2:$K$1001&lt;=K985))/SUMPRODUCT(($B$2:$B$1001=B985)*1),0)</f>
        <v>0.261061946902655</v>
      </c>
      <c r="T985" s="26" t="n">
        <f aca="false">(R985-S985)*100</f>
        <v>40.7079646017699</v>
      </c>
      <c r="U985" s="21" t="str">
        <f aca="false">'Player Data'!T985</f>
        <v>Unknown</v>
      </c>
      <c r="V985" s="27" t="n">
        <f aca="false">'Player Data'!U985</f>
        <v>2028</v>
      </c>
      <c r="W985" s="21" t="str">
        <f aca="false">IF(AND(T985&gt;=Assumptions!$B$19,U985="No"),"High Priority - Unrepresented",IF(T985&gt;=Assumptions!$B$19,"High Priority",IF(AND(T985&gt;=Assumptions!$B$20,U985="No"),"Watchlist - Unrepresented",IF(T985&gt;=Assumptions!$B$20,"Watchlist",""))))</f>
        <v>High Priority</v>
      </c>
      <c r="X985" s="21" t="str">
        <f aca="false">'Player Data'!V985</f>
        <v>info@ohridsc.mk</v>
      </c>
      <c r="Y985" s="28" t="str">
        <f aca="false">'Player Data'!W985</f>
        <v>Club sporting director / first-team office</v>
      </c>
      <c r="Z985" s="28" t="str">
        <f aca="false">'Player Data'!X985</f>
        <v>FFM (Football Federation of North Macedonia) player registry</v>
      </c>
      <c r="AA985" s="19" t="str">
        <f aca="false">HYPERLINK("https://www.transfermarkt.com/schnellsuche/ergebnis/schnellsuche?query="&amp;SUBSTITUTE(A985," ","+"),"Search Transfermarkt")</f>
        <v>Search Transfermarkt</v>
      </c>
      <c r="AB985" s="29" t="n">
        <f aca="false">IFERROR('Player Data'!K985/('Player Data'!K985+'Player Data'!L985),0)</f>
        <v>0.361904761904762</v>
      </c>
      <c r="AC985" s="21" t="str">
        <f aca="false">IF(B985="GK",IF(AND(O985&gt;=Assumptions!$B$23,N985&gt;=Assumptions!$B$23),"Sweeper-Keeper / Build-from-the-Back",IF(O985&gt;=Assumptions!$B$23,"Sweeper-Keeper / High Line",IF(M985&gt;=Assumptions!$B$23,"Shot-Stopper / Traditional","Flexible / Multi-System"))),IF(AND(O985&gt;=Assumptions!$B$23,P985&gt;=Assumptions!$B$24),"High Press / Gegenpressing",IF(AND(N985&gt;=Assumptions!$B$23,AB985&gt;=Assumptions!$B$25),"Possession / Build-from-the-Back",IF(N985&gt;=Assumptions!$B$23,"Counter-Attack / Transition",IF(AND(O985&gt;=Assumptions!$B$23,N985&lt;Assumptions!$B$26),"Low Block / Park the Bus",IF(AND(B985="FW",M985&gt;=Assumptions!$B$23,N985&lt;Assumptions!$B$26),"Direct / Target Approach","Flexible / Multi-System"))))))</f>
        <v>High Press / Gegenpressing</v>
      </c>
      <c r="AD985" s="21" t="str">
        <f aca="false">'Player Data'!Y985</f>
        <v>2026-07-17</v>
      </c>
      <c r="AE985" s="21" t="str">
        <f aca="false">'Player Data'!Z985</f>
        <v>2026-07-17</v>
      </c>
      <c r="AF985" s="28" t="str">
        <f aca="false">IFERROR(INDEX(Assumptions!$B$30:$B$61,MATCH(C985,Assumptions!$A$30:$A$61,0)),"--")</f>
        <v>Austria, Turkey</v>
      </c>
      <c r="AG985" s="30" t="str">
        <f aca="false">IF(R985&gt;=0.7,"Step-Up Candidate",IF(R985&gt;=0.4,"Lateral Move","Stay &amp; Develop"))</f>
        <v>Lateral Move</v>
      </c>
    </row>
    <row r="986" customFormat="false" ht="23.85" hidden="false" customHeight="false" outlineLevel="0" collapsed="false">
      <c r="A986" s="21" t="str">
        <f aca="false">'Player Data'!A986</f>
        <v>Kwame Agyemang</v>
      </c>
      <c r="B986" s="21" t="str">
        <f aca="false">'Player Data'!F986</f>
        <v>GK</v>
      </c>
      <c r="C986" s="21" t="str">
        <f aca="false">'Player Data'!B986</f>
        <v>Ghana</v>
      </c>
      <c r="D986" s="21" t="str">
        <f aca="false">'Player Data'!C986</f>
        <v>Ghana Second Division - East</v>
      </c>
      <c r="E986" s="21" t="n">
        <f aca="false">'Player Data'!D986</f>
        <v>2</v>
      </c>
      <c r="F986" s="21" t="n">
        <f aca="false">'Player Data'!G986</f>
        <v>26</v>
      </c>
      <c r="G986" s="21" t="n">
        <f aca="false">'Player Data'!H986</f>
        <v>2515</v>
      </c>
      <c r="H986" s="22" t="n">
        <f aca="false">IF(B986="GK",IFERROR(('Player Data'!N986-1.5*'Player Data'!O986)/'Player Data'!H986*90,0),IFERROR(('Player Data'!I986+'Player Data'!J986)/'Player Data'!H986*90,0))</f>
        <v>1.86083499005964</v>
      </c>
      <c r="I986" s="22" t="n">
        <f aca="false">IF(B986="GK",'Player Data'!P986,IFERROR(('Player Data'!K986+'Player Data'!L986)/'Player Data'!H986*90,0))</f>
        <v>70.4</v>
      </c>
      <c r="J986" s="22" t="n">
        <f aca="false">IF(B986="GK",IFERROR('Player Data'!Q986/'Player Data'!H986*90,0),IFERROR('Player Data'!M986/'Player Data'!H986*90,0))</f>
        <v>0.765805168986084</v>
      </c>
      <c r="K986" s="23" t="n">
        <f aca="false">'Player Data'!S986</f>
        <v>85421</v>
      </c>
      <c r="L986" s="22" t="n">
        <f aca="false">INDEX(Assumptions!$B$13:$B$15,MATCH(E986,Assumptions!$A$13:$A$15,0))</f>
        <v>1</v>
      </c>
      <c r="M986" s="24" t="n">
        <f aca="false">IFERROR(SUMPRODUCT(($B$2:$B$1001=B986)*($H$2:$H$1001&lt;=H986))/SUMPRODUCT(($B$2:$B$1001=B986)*1),0)</f>
        <v>0.836065573770492</v>
      </c>
      <c r="N986" s="24" t="n">
        <f aca="false">IFERROR(SUMPRODUCT(($B$2:$B$1001=B986)*($I$2:$I$1001&lt;=I986))/SUMPRODUCT(($B$2:$B$1001=B986)*1),0)</f>
        <v>0.420765027322404</v>
      </c>
      <c r="O986" s="24" t="n">
        <f aca="false">IFERROR(SUMPRODUCT(($B$2:$B$1001=B986)*($J$2:$J$1001&lt;=J986))/SUMPRODUCT(($B$2:$B$1001=B986)*1),0)</f>
        <v>0.437158469945355</v>
      </c>
      <c r="P986" s="24" t="n">
        <f aca="false">IFERROR(SUMPRODUCT(($B$2:$B$1001=B986)*((0-$F$2:$F$1001)&lt;=(0-F986)))/SUMPRODUCT(($B$2:$B$1001=B986)*1),0)</f>
        <v>0.131147540983607</v>
      </c>
      <c r="Q986" s="25" t="n">
        <f aca="false">(M986*Assumptions!$B$5+N986*Assumptions!$B$6+O986*Assumptions!$B$7+P986*Assumptions!$B$8)*L986</f>
        <v>0.469945355191257</v>
      </c>
      <c r="R986" s="24" t="n">
        <f aca="false">IFERROR(SUMPRODUCT(($B$2:$B$1001=B986)*($Q$2:$Q$1001&lt;=Q986))/SUMPRODUCT(($B$2:$B$1001=B986)*1),0)</f>
        <v>0.502732240437159</v>
      </c>
      <c r="S986" s="24" t="n">
        <f aca="false">IFERROR(SUMPRODUCT(($B$2:$B$1001=B986)*($K$2:$K$1001&lt;=K986))/SUMPRODUCT(($B$2:$B$1001=B986)*1),0)</f>
        <v>0.60655737704918</v>
      </c>
      <c r="T986" s="26" t="n">
        <f aca="false">(R986-S986)*100</f>
        <v>-10.3825136612022</v>
      </c>
      <c r="U986" s="21" t="str">
        <f aca="false">'Player Data'!T986</f>
        <v>No</v>
      </c>
      <c r="V986" s="27" t="n">
        <f aca="false">'Player Data'!U986</f>
        <v>2027</v>
      </c>
      <c r="W986" s="21" t="str">
        <f aca="false">IF(AND(T986&gt;=Assumptions!$B$19,U986="No"),"High Priority - Unrepresented",IF(T986&gt;=Assumptions!$B$19,"High Priority",IF(AND(T986&gt;=Assumptions!$B$20,U986="No"),"Watchlist - Unrepresented",IF(T986&gt;=Assumptions!$B$20,"Watchlist",""))))</f>
        <v/>
      </c>
      <c r="X986" s="21" t="str">
        <f aca="false">'Player Data'!V986</f>
        <v>info@accratown.gh</v>
      </c>
      <c r="Y986" s="28" t="str">
        <f aca="false">'Player Data'!W986</f>
        <v>Club sporting director / first-team office</v>
      </c>
      <c r="Z986" s="28" t="str">
        <f aca="false">'Player Data'!X986</f>
        <v>GFA (Ghana Football Association) player registry</v>
      </c>
      <c r="AA986" s="19" t="str">
        <f aca="false">HYPERLINK("https://www.transfermarkt.com/schnellsuche/ergebnis/schnellsuche?query="&amp;SUBSTITUTE(A986," ","+"),"Search Transfermarkt")</f>
        <v>Search Transfermarkt</v>
      </c>
      <c r="AB986" s="29" t="n">
        <f aca="false">IFERROR('Player Data'!K986/('Player Data'!K986+'Player Data'!L986),0)</f>
        <v>0.9</v>
      </c>
      <c r="AC986" s="21" t="str">
        <f aca="false">IF(B986="GK",IF(AND(O986&gt;=Assumptions!$B$23,N986&gt;=Assumptions!$B$23),"Sweeper-Keeper / Build-from-the-Back",IF(O986&gt;=Assumptions!$B$23,"Sweeper-Keeper / High Line",IF(M986&gt;=Assumptions!$B$23,"Shot-Stopper / Traditional","Flexible / Multi-System"))),IF(AND(O986&gt;=Assumptions!$B$23,P986&gt;=Assumptions!$B$24),"High Press / Gegenpressing",IF(AND(N986&gt;=Assumptions!$B$23,AB986&gt;=Assumptions!$B$25),"Possession / Build-from-the-Back",IF(N986&gt;=Assumptions!$B$23,"Counter-Attack / Transition",IF(AND(O986&gt;=Assumptions!$B$23,N986&lt;Assumptions!$B$26),"Low Block / Park the Bus",IF(AND(B986="FW",M986&gt;=Assumptions!$B$23,N986&lt;Assumptions!$B$26),"Direct / Target Approach","Flexible / Multi-System"))))))</f>
        <v>Shot-Stopper / Traditional</v>
      </c>
      <c r="AD986" s="21" t="str">
        <f aca="false">'Player Data'!Y986</f>
        <v>2026-07-17</v>
      </c>
      <c r="AE986" s="21" t="str">
        <f aca="false">'Player Data'!Z986</f>
        <v>2026-07-17</v>
      </c>
      <c r="AF986" s="28" t="str">
        <f aca="false">IFERROR(INDEX(Assumptions!$B$30:$B$61,MATCH(C986,Assumptions!$A$30:$A$61,0)),"--")</f>
        <v>Belgium, Portugal</v>
      </c>
      <c r="AG986" s="30" t="str">
        <f aca="false">IF(R986&gt;=0.7,"Step-Up Candidate",IF(R986&gt;=0.4,"Lateral Move","Stay &amp; Develop"))</f>
        <v>Lateral Move</v>
      </c>
    </row>
    <row r="987" customFormat="false" ht="23.85" hidden="false" customHeight="false" outlineLevel="0" collapsed="false">
      <c r="A987" s="21" t="str">
        <f aca="false">'Player Data'!A987</f>
        <v>Oumar Traore 36</v>
      </c>
      <c r="B987" s="21" t="str">
        <f aca="false">'Player Data'!F987</f>
        <v>DF</v>
      </c>
      <c r="C987" s="21" t="str">
        <f aca="false">'Player Data'!B987</f>
        <v>Mali</v>
      </c>
      <c r="D987" s="21" t="str">
        <f aca="false">'Player Data'!C987</f>
        <v>Mali Amateur League</v>
      </c>
      <c r="E987" s="21" t="n">
        <f aca="false">'Player Data'!D987</f>
        <v>2</v>
      </c>
      <c r="F987" s="21" t="n">
        <f aca="false">'Player Data'!G987</f>
        <v>20</v>
      </c>
      <c r="G987" s="21" t="n">
        <f aca="false">'Player Data'!H987</f>
        <v>1614</v>
      </c>
      <c r="H987" s="22" t="n">
        <f aca="false">IF(B987="GK",IFERROR(('Player Data'!N987-1.5*'Player Data'!O987)/'Player Data'!H987*90,0),IFERROR(('Player Data'!I987+'Player Data'!J987)/'Player Data'!H987*90,0))</f>
        <v>0.16728624535316</v>
      </c>
      <c r="I987" s="22" t="n">
        <f aca="false">IF(B987="GK",'Player Data'!P987,IFERROR(('Player Data'!K987+'Player Data'!L987)/'Player Data'!H987*90,0))</f>
        <v>5.13011152416357</v>
      </c>
      <c r="J987" s="22" t="n">
        <f aca="false">IF(B987="GK",IFERROR('Player Data'!Q987/'Player Data'!H987*90,0),IFERROR('Player Data'!M987/'Player Data'!H987*90,0))</f>
        <v>6.69144981412639</v>
      </c>
      <c r="K987" s="23" t="n">
        <f aca="false">'Player Data'!S987</f>
        <v>115300</v>
      </c>
      <c r="L987" s="22" t="n">
        <f aca="false">INDEX(Assumptions!$B$13:$B$15,MATCH(E987,Assumptions!$A$13:$A$15,0))</f>
        <v>1</v>
      </c>
      <c r="M987" s="24" t="n">
        <f aca="false">IFERROR(SUMPRODUCT(($B$2:$B$1001=B987)*($H$2:$H$1001&lt;=H987))/SUMPRODUCT(($B$2:$B$1001=B987)*1),0)</f>
        <v>0.414965986394558</v>
      </c>
      <c r="N987" s="24" t="n">
        <f aca="false">IFERROR(SUMPRODUCT(($B$2:$B$1001=B987)*($I$2:$I$1001&lt;=I987))/SUMPRODUCT(($B$2:$B$1001=B987)*1),0)</f>
        <v>0.612244897959184</v>
      </c>
      <c r="O987" s="24" t="n">
        <f aca="false">IFERROR(SUMPRODUCT(($B$2:$B$1001=B987)*($J$2:$J$1001&lt;=J987))/SUMPRODUCT(($B$2:$B$1001=B987)*1),0)</f>
        <v>0.707482993197279</v>
      </c>
      <c r="P987" s="24" t="n">
        <f aca="false">IFERROR(SUMPRODUCT(($B$2:$B$1001=B987)*((0-$F$2:$F$1001)&lt;=(0-F987)))/SUMPRODUCT(($B$2:$B$1001=B987)*1),0)</f>
        <v>0.656462585034014</v>
      </c>
      <c r="Q987" s="25" t="n">
        <f aca="false">(M987*Assumptions!$B$5+N987*Assumptions!$B$6+O987*Assumptions!$B$7+P987*Assumptions!$B$8)*L987</f>
        <v>0.590816326530612</v>
      </c>
      <c r="R987" s="24" t="n">
        <f aca="false">IFERROR(SUMPRODUCT(($B$2:$B$1001=B987)*($Q$2:$Q$1001&lt;=Q987))/SUMPRODUCT(($B$2:$B$1001=B987)*1),0)</f>
        <v>0.73469387755102</v>
      </c>
      <c r="S987" s="24" t="n">
        <f aca="false">IFERROR(SUMPRODUCT(($B$2:$B$1001=B987)*($K$2:$K$1001&lt;=K987))/SUMPRODUCT(($B$2:$B$1001=B987)*1),0)</f>
        <v>0.82312925170068</v>
      </c>
      <c r="T987" s="26" t="n">
        <f aca="false">(R987-S987)*100</f>
        <v>-8.84353741496599</v>
      </c>
      <c r="U987" s="21" t="str">
        <f aca="false">'Player Data'!T987</f>
        <v>No</v>
      </c>
      <c r="V987" s="27" t="n">
        <f aca="false">'Player Data'!U987</f>
        <v>2027</v>
      </c>
      <c r="W987" s="21" t="str">
        <f aca="false">IF(AND(T987&gt;=Assumptions!$B$19,U987="No"),"High Priority - Unrepresented",IF(T987&gt;=Assumptions!$B$19,"High Priority",IF(AND(T987&gt;=Assumptions!$B$20,U987="No"),"Watchlist - Unrepresented",IF(T987&gt;=Assumptions!$B$20,"Watchlist",""))))</f>
        <v/>
      </c>
      <c r="X987" s="21" t="str">
        <f aca="false">'Player Data'!V987</f>
        <v>info@bamakocity.ml</v>
      </c>
      <c r="Y987" s="28" t="str">
        <f aca="false">'Player Data'!W987</f>
        <v>Club sporting director / first-team office</v>
      </c>
      <c r="Z987" s="28" t="str">
        <f aca="false">'Player Data'!X987</f>
        <v>FEMAFOOT (Malian Football Federation) player registry</v>
      </c>
      <c r="AA987" s="19" t="str">
        <f aca="false">HYPERLINK("https://www.transfermarkt.com/schnellsuche/ergebnis/schnellsuche?query="&amp;SUBSTITUTE(A987," ","+"),"Search Transfermarkt")</f>
        <v>Search Transfermarkt</v>
      </c>
      <c r="AB987" s="29" t="n">
        <f aca="false">IFERROR('Player Data'!K987/('Player Data'!K987+'Player Data'!L987),0)</f>
        <v>0.543478260869565</v>
      </c>
      <c r="AC987" s="21" t="str">
        <f aca="false">IF(B987="GK",IF(AND(O987&gt;=Assumptions!$B$23,N987&gt;=Assumptions!$B$23),"Sweeper-Keeper / Build-from-the-Back",IF(O987&gt;=Assumptions!$B$23,"Sweeper-Keeper / High Line",IF(M987&gt;=Assumptions!$B$23,"Shot-Stopper / Traditional","Flexible / Multi-System"))),IF(AND(O987&gt;=Assumptions!$B$23,P987&gt;=Assumptions!$B$24),"High Press / Gegenpressing",IF(AND(N987&gt;=Assumptions!$B$23,AB987&gt;=Assumptions!$B$25),"Possession / Build-from-the-Back",IF(N987&gt;=Assumptions!$B$23,"Counter-Attack / Transition",IF(AND(O987&gt;=Assumptions!$B$23,N987&lt;Assumptions!$B$26),"Low Block / Park the Bus",IF(AND(B987="FW",M987&gt;=Assumptions!$B$23,N987&lt;Assumptions!$B$26),"Direct / Target Approach","Flexible / Multi-System"))))))</f>
        <v>High Press / Gegenpressing</v>
      </c>
      <c r="AD987" s="21" t="str">
        <f aca="false">'Player Data'!Y987</f>
        <v>2026-07-17</v>
      </c>
      <c r="AE987" s="21" t="str">
        <f aca="false">'Player Data'!Z987</f>
        <v>2026-07-17</v>
      </c>
      <c r="AF987" s="28" t="str">
        <f aca="false">IFERROR(INDEX(Assumptions!$B$30:$B$61,MATCH(C987,Assumptions!$A$30:$A$61,0)),"--")</f>
        <v>Belgium, Portugal</v>
      </c>
      <c r="AG987" s="30" t="str">
        <f aca="false">IF(R987&gt;=0.7,"Step-Up Candidate",IF(R987&gt;=0.4,"Lateral Move","Stay &amp; Develop"))</f>
        <v>Step-Up Candidate</v>
      </c>
    </row>
    <row r="988" customFormat="false" ht="23.85" hidden="false" customHeight="false" outlineLevel="0" collapsed="false">
      <c r="A988" s="21" t="str">
        <f aca="false">'Player Data'!A988</f>
        <v>Edgars Berzins 27</v>
      </c>
      <c r="B988" s="21" t="str">
        <f aca="false">'Player Data'!F988</f>
        <v>DF</v>
      </c>
      <c r="C988" s="21" t="str">
        <f aca="false">'Player Data'!B988</f>
        <v>Latvia</v>
      </c>
      <c r="D988" s="21" t="str">
        <f aca="false">'Player Data'!C988</f>
        <v>Latvia Amateur League</v>
      </c>
      <c r="E988" s="21" t="n">
        <f aca="false">'Player Data'!D988</f>
        <v>4</v>
      </c>
      <c r="F988" s="21" t="n">
        <f aca="false">'Player Data'!G988</f>
        <v>25</v>
      </c>
      <c r="G988" s="21" t="n">
        <f aca="false">'Player Data'!H988</f>
        <v>1333</v>
      </c>
      <c r="H988" s="22" t="n">
        <f aca="false">IF(B988="GK",IFERROR(('Player Data'!N988-1.5*'Player Data'!O988)/'Player Data'!H988*90,0),IFERROR(('Player Data'!I988+'Player Data'!J988)/'Player Data'!H988*90,0))</f>
        <v>0.472618154538635</v>
      </c>
      <c r="I988" s="22" t="n">
        <f aca="false">IF(B988="GK",'Player Data'!P988,IFERROR(('Player Data'!K988+'Player Data'!L988)/'Player Data'!H988*90,0))</f>
        <v>6.34658664666167</v>
      </c>
      <c r="J988" s="22" t="n">
        <f aca="false">IF(B988="GK",IFERROR('Player Data'!Q988/'Player Data'!H988*90,0),IFERROR('Player Data'!M988/'Player Data'!H988*90,0))</f>
        <v>7.89947486871718</v>
      </c>
      <c r="K988" s="23" t="n">
        <f aca="false">'Player Data'!S988</f>
        <v>0</v>
      </c>
      <c r="L988" s="22" t="n">
        <f aca="false">INDEX(Assumptions!$B$13:$B$15,MATCH(E988,Assumptions!$A$13:$A$15,0))</f>
        <v>0.7</v>
      </c>
      <c r="M988" s="24" t="n">
        <f aca="false">IFERROR(SUMPRODUCT(($B$2:$B$1001=B988)*($H$2:$H$1001&lt;=H988))/SUMPRODUCT(($B$2:$B$1001=B988)*1),0)</f>
        <v>0.942176870748299</v>
      </c>
      <c r="N988" s="24" t="n">
        <f aca="false">IFERROR(SUMPRODUCT(($B$2:$B$1001=B988)*($I$2:$I$1001&lt;=I988))/SUMPRODUCT(($B$2:$B$1001=B988)*1),0)</f>
        <v>0.775510204081633</v>
      </c>
      <c r="O988" s="24" t="n">
        <f aca="false">IFERROR(SUMPRODUCT(($B$2:$B$1001=B988)*($J$2:$J$1001&lt;=J988))/SUMPRODUCT(($B$2:$B$1001=B988)*1),0)</f>
        <v>0.833333333333333</v>
      </c>
      <c r="P988" s="24" t="n">
        <f aca="false">IFERROR(SUMPRODUCT(($B$2:$B$1001=B988)*((0-$F$2:$F$1001)&lt;=(0-F988)))/SUMPRODUCT(($B$2:$B$1001=B988)*1),0)</f>
        <v>0.146258503401361</v>
      </c>
      <c r="Q988" s="25" t="n">
        <f aca="false">(M988*Assumptions!$B$5+N988*Assumptions!$B$6+O988*Assumptions!$B$7+P988*Assumptions!$B$8)*L988</f>
        <v>0.49202380952381</v>
      </c>
      <c r="R988" s="24" t="n">
        <f aca="false">IFERROR(SUMPRODUCT(($B$2:$B$1001=B988)*($Q$2:$Q$1001&lt;=Q988))/SUMPRODUCT(($B$2:$B$1001=B988)*1),0)</f>
        <v>0.622448979591837</v>
      </c>
      <c r="S988" s="24" t="n">
        <f aca="false">IFERROR(SUMPRODUCT(($B$2:$B$1001=B988)*($K$2:$K$1001&lt;=K988))/SUMPRODUCT(($B$2:$B$1001=B988)*1),0)</f>
        <v>0.248299319727891</v>
      </c>
      <c r="T988" s="26" t="n">
        <f aca="false">(R988-S988)*100</f>
        <v>37.4149659863946</v>
      </c>
      <c r="U988" s="21" t="str">
        <f aca="false">'Player Data'!T988</f>
        <v>Unknown</v>
      </c>
      <c r="V988" s="27" t="n">
        <f aca="false">'Player Data'!U988</f>
        <v>2026</v>
      </c>
      <c r="W988" s="21" t="str">
        <f aca="false">IF(AND(T988&gt;=Assumptions!$B$19,U988="No"),"High Priority - Unrepresented",IF(T988&gt;=Assumptions!$B$19,"High Priority",IF(AND(T988&gt;=Assumptions!$B$20,U988="No"),"Watchlist - Unrepresented",IF(T988&gt;=Assumptions!$B$20,"Watchlist",""))))</f>
        <v>Watchlist</v>
      </c>
      <c r="X988" s="21" t="str">
        <f aca="false">'Player Data'!V988</f>
        <v>info@daugavpilssc.lv</v>
      </c>
      <c r="Y988" s="28" t="str">
        <f aca="false">'Player Data'!W988</f>
        <v>Club sporting director / first-team office</v>
      </c>
      <c r="Z988" s="28" t="str">
        <f aca="false">'Player Data'!X988</f>
        <v>LFF (Latvian Football Federation) player registry</v>
      </c>
      <c r="AA988" s="19" t="str">
        <f aca="false">HYPERLINK("https://www.transfermarkt.com/schnellsuche/ergebnis/schnellsuche?query="&amp;SUBSTITUTE(A988," ","+"),"Search Transfermarkt")</f>
        <v>Search Transfermarkt</v>
      </c>
      <c r="AB988" s="29" t="n">
        <f aca="false">IFERROR('Player Data'!K988/('Player Data'!K988+'Player Data'!L988),0)</f>
        <v>0.659574468085106</v>
      </c>
      <c r="AC988" s="21" t="str">
        <f aca="false">IF(B988="GK",IF(AND(O988&gt;=Assumptions!$B$23,N988&gt;=Assumptions!$B$23),"Sweeper-Keeper / Build-from-the-Back",IF(O988&gt;=Assumptions!$B$23,"Sweeper-Keeper / High Line",IF(M988&gt;=Assumptions!$B$23,"Shot-Stopper / Traditional","Flexible / Multi-System"))),IF(AND(O988&gt;=Assumptions!$B$23,P988&gt;=Assumptions!$B$24),"High Press / Gegenpressing",IF(AND(N988&gt;=Assumptions!$B$23,AB988&gt;=Assumptions!$B$25),"Possession / Build-from-the-Back",IF(N988&gt;=Assumptions!$B$23,"Counter-Attack / Transition",IF(AND(O988&gt;=Assumptions!$B$23,N988&lt;Assumptions!$B$26),"Low Block / Park the Bus",IF(AND(B988="FW",M988&gt;=Assumptions!$B$23,N988&lt;Assumptions!$B$26),"Direct / Target Approach","Flexible / Multi-System"))))))</f>
        <v>Possession / Build-from-the-Back</v>
      </c>
      <c r="AD988" s="21" t="str">
        <f aca="false">'Player Data'!Y988</f>
        <v>2026-07-17</v>
      </c>
      <c r="AE988" s="21" t="str">
        <f aca="false">'Player Data'!Z988</f>
        <v>2026-07-17</v>
      </c>
      <c r="AF988" s="28" t="str">
        <f aca="false">IFERROR(INDEX(Assumptions!$B$30:$B$61,MATCH(C988,Assumptions!$A$30:$A$61,0)),"--")</f>
        <v>Poland, Norway</v>
      </c>
      <c r="AG988" s="30" t="str">
        <f aca="false">IF(R988&gt;=0.7,"Step-Up Candidate",IF(R988&gt;=0.4,"Lateral Move","Stay &amp; Develop"))</f>
        <v>Lateral Move</v>
      </c>
    </row>
    <row r="989" customFormat="false" ht="23.85" hidden="false" customHeight="false" outlineLevel="0" collapsed="false">
      <c r="A989" s="21" t="str">
        <f aca="false">'Player Data'!A989</f>
        <v>Luis Vargas</v>
      </c>
      <c r="B989" s="21" t="str">
        <f aca="false">'Player Data'!F989</f>
        <v>FW</v>
      </c>
      <c r="C989" s="21" t="str">
        <f aca="false">'Player Data'!B989</f>
        <v>Costa Rica</v>
      </c>
      <c r="D989" s="21" t="str">
        <f aca="false">'Player Data'!C989</f>
        <v>Costa Rica Regional League</v>
      </c>
      <c r="E989" s="21" t="n">
        <f aca="false">'Player Data'!D989</f>
        <v>3</v>
      </c>
      <c r="F989" s="21" t="n">
        <f aca="false">'Player Data'!G989</f>
        <v>20</v>
      </c>
      <c r="G989" s="21" t="n">
        <f aca="false">'Player Data'!H989</f>
        <v>1949</v>
      </c>
      <c r="H989" s="22" t="n">
        <f aca="false">IF(B989="GK",IFERROR(('Player Data'!N989-1.5*'Player Data'!O989)/'Player Data'!H989*90,0),IFERROR(('Player Data'!I989+'Player Data'!J989)/'Player Data'!H989*90,0))</f>
        <v>1.33914828116983</v>
      </c>
      <c r="I989" s="22" t="n">
        <f aca="false">IF(B989="GK",'Player Data'!P989,IFERROR(('Player Data'!K989+'Player Data'!L989)/'Player Data'!H989*90,0))</f>
        <v>5.86454592098512</v>
      </c>
      <c r="J989" s="22" t="n">
        <f aca="false">IF(B989="GK",IFERROR('Player Data'!Q989/'Player Data'!H989*90,0),IFERROR('Player Data'!M989/'Player Data'!H989*90,0))</f>
        <v>0.554130323242689</v>
      </c>
      <c r="K989" s="23" t="n">
        <f aca="false">'Player Data'!S989</f>
        <v>107517</v>
      </c>
      <c r="L989" s="22" t="n">
        <f aca="false">INDEX(Assumptions!$B$13:$B$15,MATCH(E989,Assumptions!$A$13:$A$15,0))</f>
        <v>0.85</v>
      </c>
      <c r="M989" s="24" t="n">
        <f aca="false">IFERROR(SUMPRODUCT(($B$2:$B$1001=B989)*($H$2:$H$1001&lt;=H989))/SUMPRODUCT(($B$2:$B$1001=B989)*1),0)</f>
        <v>0.761061946902655</v>
      </c>
      <c r="N989" s="24" t="n">
        <f aca="false">IFERROR(SUMPRODUCT(($B$2:$B$1001=B989)*($I$2:$I$1001&lt;=I989))/SUMPRODUCT(($B$2:$B$1001=B989)*1),0)</f>
        <v>0.393805309734513</v>
      </c>
      <c r="O989" s="24" t="n">
        <f aca="false">IFERROR(SUMPRODUCT(($B$2:$B$1001=B989)*($J$2:$J$1001&lt;=J989))/SUMPRODUCT(($B$2:$B$1001=B989)*1),0)</f>
        <v>0.570796460176991</v>
      </c>
      <c r="P989" s="24" t="n">
        <f aca="false">IFERROR(SUMPRODUCT(($B$2:$B$1001=B989)*((0-$F$2:$F$1001)&lt;=(0-F989)))/SUMPRODUCT(($B$2:$B$1001=B989)*1),0)</f>
        <v>0.712389380530973</v>
      </c>
      <c r="Q989" s="25" t="n">
        <f aca="false">(M989*Assumptions!$B$5+N989*Assumptions!$B$6+O989*Assumptions!$B$7+P989*Assumptions!$B$8)*L989</f>
        <v>0.497024336283186</v>
      </c>
      <c r="R989" s="24" t="n">
        <f aca="false">IFERROR(SUMPRODUCT(($B$2:$B$1001=B989)*($Q$2:$Q$1001&lt;=Q989))/SUMPRODUCT(($B$2:$B$1001=B989)*1),0)</f>
        <v>0.606194690265487</v>
      </c>
      <c r="S989" s="24" t="n">
        <f aca="false">IFERROR(SUMPRODUCT(($B$2:$B$1001=B989)*($K$2:$K$1001&lt;=K989))/SUMPRODUCT(($B$2:$B$1001=B989)*1),0)</f>
        <v>0.765486725663717</v>
      </c>
      <c r="T989" s="26" t="n">
        <f aca="false">(R989-S989)*100</f>
        <v>-15.929203539823</v>
      </c>
      <c r="U989" s="21" t="str">
        <f aca="false">'Player Data'!T989</f>
        <v>Yes</v>
      </c>
      <c r="V989" s="27" t="n">
        <f aca="false">'Player Data'!U989</f>
        <v>2027</v>
      </c>
      <c r="W989" s="21" t="str">
        <f aca="false">IF(AND(T989&gt;=Assumptions!$B$19,U989="No"),"High Priority - Unrepresented",IF(T989&gt;=Assumptions!$B$19,"High Priority",IF(AND(T989&gt;=Assumptions!$B$20,U989="No"),"Watchlist - Unrepresented",IF(T989&gt;=Assumptions!$B$20,"Watchlist",""))))</f>
        <v/>
      </c>
      <c r="X989" s="21" t="str">
        <f aca="false">'Player Data'!V989</f>
        <v>info@sanjosetown.cr</v>
      </c>
      <c r="Y989" s="28" t="str">
        <f aca="false">'Player Data'!W989</f>
        <v>Go through the player's agent - ask the club to confirm representation first</v>
      </c>
      <c r="Z989" s="28" t="str">
        <f aca="false">'Player Data'!X989</f>
        <v>FEDEFUTBOL (Costa Rican Football Federation) player registry</v>
      </c>
      <c r="AA989" s="19" t="str">
        <f aca="false">HYPERLINK("https://www.transfermarkt.com/schnellsuche/ergebnis/schnellsuche?query="&amp;SUBSTITUTE(A989," ","+"),"Search Transfermarkt")</f>
        <v>Search Transfermarkt</v>
      </c>
      <c r="AB989" s="29" t="n">
        <f aca="false">IFERROR('Player Data'!K989/('Player Data'!K989+'Player Data'!L989),0)</f>
        <v>0.52755905511811</v>
      </c>
      <c r="AC989" s="21" t="str">
        <f aca="false">IF(B989="GK",IF(AND(O989&gt;=Assumptions!$B$23,N989&gt;=Assumptions!$B$23),"Sweeper-Keeper / Build-from-the-Back",IF(O989&gt;=Assumptions!$B$23,"Sweeper-Keeper / High Line",IF(M989&gt;=Assumptions!$B$23,"Shot-Stopper / Traditional","Flexible / Multi-System"))),IF(AND(O989&gt;=Assumptions!$B$23,P989&gt;=Assumptions!$B$24),"High Press / Gegenpressing",IF(AND(N989&gt;=Assumptions!$B$23,AB989&gt;=Assumptions!$B$25),"Possession / Build-from-the-Back",IF(N989&gt;=Assumptions!$B$23,"Counter-Attack / Transition",IF(AND(O989&gt;=Assumptions!$B$23,N989&lt;Assumptions!$B$26),"Low Block / Park the Bus",IF(AND(B989="FW",M989&gt;=Assumptions!$B$23,N989&lt;Assumptions!$B$26),"Direct / Target Approach","Flexible / Multi-System"))))))</f>
        <v>Direct / Target Approach</v>
      </c>
      <c r="AD989" s="21" t="str">
        <f aca="false">'Player Data'!Y989</f>
        <v>2026-07-17</v>
      </c>
      <c r="AE989" s="21" t="str">
        <f aca="false">'Player Data'!Z989</f>
        <v>2026-07-17</v>
      </c>
      <c r="AF989" s="28" t="str">
        <f aca="false">IFERROR(INDEX(Assumptions!$B$30:$B$61,MATCH(C989,Assumptions!$A$30:$A$61,0)),"--")</f>
        <v>Mexico, United States</v>
      </c>
      <c r="AG989" s="30" t="str">
        <f aca="false">IF(R989&gt;=0.7,"Step-Up Candidate",IF(R989&gt;=0.4,"Lateral Move","Stay &amp; Develop"))</f>
        <v>Lateral Move</v>
      </c>
    </row>
    <row r="990" customFormat="false" ht="23.85" hidden="false" customHeight="false" outlineLevel="0" collapsed="false">
      <c r="A990" s="21" t="str">
        <f aca="false">'Player Data'!A990</f>
        <v>Kevin Mejia</v>
      </c>
      <c r="B990" s="21" t="str">
        <f aca="false">'Player Data'!F990</f>
        <v>MF</v>
      </c>
      <c r="C990" s="21" t="str">
        <f aca="false">'Player Data'!B990</f>
        <v>Honduras</v>
      </c>
      <c r="D990" s="21" t="str">
        <f aca="false">'Player Data'!C990</f>
        <v>Honduras Amateur League</v>
      </c>
      <c r="E990" s="21" t="n">
        <f aca="false">'Player Data'!D990</f>
        <v>2</v>
      </c>
      <c r="F990" s="21" t="n">
        <f aca="false">'Player Data'!G990</f>
        <v>17</v>
      </c>
      <c r="G990" s="21" t="n">
        <f aca="false">'Player Data'!H990</f>
        <v>943</v>
      </c>
      <c r="H990" s="22" t="n">
        <f aca="false">IF(B990="GK",IFERROR(('Player Data'!N990-1.5*'Player Data'!O990)/'Player Data'!H990*90,0),IFERROR(('Player Data'!I990+'Player Data'!J990)/'Player Data'!H990*90,0))</f>
        <v>1.71792152704136</v>
      </c>
      <c r="I990" s="22" t="n">
        <f aca="false">IF(B990="GK",'Player Data'!P990,IFERROR(('Player Data'!K990+'Player Data'!L990)/'Player Data'!H990*90,0))</f>
        <v>23.4782608695652</v>
      </c>
      <c r="J990" s="22" t="n">
        <f aca="false">IF(B990="GK",IFERROR('Player Data'!Q990/'Player Data'!H990*90,0),IFERROR('Player Data'!M990/'Player Data'!H990*90,0))</f>
        <v>3.53128313891835</v>
      </c>
      <c r="K990" s="23" t="n">
        <f aca="false">'Player Data'!S990</f>
        <v>67694</v>
      </c>
      <c r="L990" s="22" t="n">
        <f aca="false">INDEX(Assumptions!$B$13:$B$15,MATCH(E990,Assumptions!$A$13:$A$15,0))</f>
        <v>1</v>
      </c>
      <c r="M990" s="24" t="n">
        <f aca="false">IFERROR(SUMPRODUCT(($B$2:$B$1001=B990)*($H$2:$H$1001&lt;=H990))/SUMPRODUCT(($B$2:$B$1001=B990)*1),0)</f>
        <v>0.976430976430976</v>
      </c>
      <c r="N990" s="24" t="n">
        <f aca="false">IFERROR(SUMPRODUCT(($B$2:$B$1001=B990)*($I$2:$I$1001&lt;=I990))/SUMPRODUCT(($B$2:$B$1001=B990)*1),0)</f>
        <v>0.973063973063973</v>
      </c>
      <c r="O990" s="24" t="n">
        <f aca="false">IFERROR(SUMPRODUCT(($B$2:$B$1001=B990)*($J$2:$J$1001&lt;=J990))/SUMPRODUCT(($B$2:$B$1001=B990)*1),0)</f>
        <v>0.868686868686869</v>
      </c>
      <c r="P990" s="24" t="n">
        <f aca="false">IFERROR(SUMPRODUCT(($B$2:$B$1001=B990)*((0-$F$2:$F$1001)&lt;=(0-F990)))/SUMPRODUCT(($B$2:$B$1001=B990)*1),0)</f>
        <v>1</v>
      </c>
      <c r="Q990" s="25" t="n">
        <f aca="false">(M990*Assumptions!$B$5+N990*Assumptions!$B$6+O990*Assumptions!$B$7+P990*Assumptions!$B$8)*L990</f>
        <v>0.958417508417508</v>
      </c>
      <c r="R990" s="24" t="n">
        <f aca="false">IFERROR(SUMPRODUCT(($B$2:$B$1001=B990)*($Q$2:$Q$1001&lt;=Q990))/SUMPRODUCT(($B$2:$B$1001=B990)*1),0)</f>
        <v>0.996632996632997</v>
      </c>
      <c r="S990" s="24" t="n">
        <f aca="false">IFERROR(SUMPRODUCT(($B$2:$B$1001=B990)*($K$2:$K$1001&lt;=K990))/SUMPRODUCT(($B$2:$B$1001=B990)*1),0)</f>
        <v>0.562289562289562</v>
      </c>
      <c r="T990" s="26" t="n">
        <f aca="false">(R990-S990)*100</f>
        <v>43.4343434343434</v>
      </c>
      <c r="U990" s="21" t="str">
        <f aca="false">'Player Data'!T990</f>
        <v>Unknown</v>
      </c>
      <c r="V990" s="27" t="n">
        <f aca="false">'Player Data'!U990</f>
        <v>2029</v>
      </c>
      <c r="W990" s="21" t="str">
        <f aca="false">IF(AND(T990&gt;=Assumptions!$B$19,U990="No"),"High Priority - Unrepresented",IF(T990&gt;=Assumptions!$B$19,"High Priority",IF(AND(T990&gt;=Assumptions!$B$20,U990="No"),"Watchlist - Unrepresented",IF(T990&gt;=Assumptions!$B$20,"Watchlist",""))))</f>
        <v>High Priority</v>
      </c>
      <c r="X990" s="21" t="str">
        <f aca="false">'Player Data'!V990</f>
        <v>info@tegucigalpafc.hn</v>
      </c>
      <c r="Y990" s="28" t="str">
        <f aca="false">'Player Data'!W990</f>
        <v>Club youth/academy office ONLY - player is a minor, do not contact directly</v>
      </c>
      <c r="Z990" s="28" t="str">
        <f aca="false">'Player Data'!X990</f>
        <v>FENAFUTH (Honduran Football Federation) player registry</v>
      </c>
      <c r="AA990" s="19" t="str">
        <f aca="false">HYPERLINK("https://www.transfermarkt.com/schnellsuche/ergebnis/schnellsuche?query="&amp;SUBSTITUTE(A990," ","+"),"Search Transfermarkt")</f>
        <v>Search Transfermarkt</v>
      </c>
      <c r="AB990" s="29" t="n">
        <f aca="false">IFERROR('Player Data'!K990/('Player Data'!K990+'Player Data'!L990),0)</f>
        <v>0.617886178861789</v>
      </c>
      <c r="AC990" s="21" t="str">
        <f aca="false">IF(B990="GK",IF(AND(O990&gt;=Assumptions!$B$23,N990&gt;=Assumptions!$B$23),"Sweeper-Keeper / Build-from-the-Back",IF(O990&gt;=Assumptions!$B$23,"Sweeper-Keeper / High Line",IF(M990&gt;=Assumptions!$B$23,"Shot-Stopper / Traditional","Flexible / Multi-System"))),IF(AND(O990&gt;=Assumptions!$B$23,P990&gt;=Assumptions!$B$24),"High Press / Gegenpressing",IF(AND(N990&gt;=Assumptions!$B$23,AB990&gt;=Assumptions!$B$25),"Possession / Build-from-the-Back",IF(N990&gt;=Assumptions!$B$23,"Counter-Attack / Transition",IF(AND(O990&gt;=Assumptions!$B$23,N990&lt;Assumptions!$B$26),"Low Block / Park the Bus",IF(AND(B990="FW",M990&gt;=Assumptions!$B$23,N990&lt;Assumptions!$B$26),"Direct / Target Approach","Flexible / Multi-System"))))))</f>
        <v>High Press / Gegenpressing</v>
      </c>
      <c r="AD990" s="21" t="str">
        <f aca="false">'Player Data'!Y990</f>
        <v>2026-07-17</v>
      </c>
      <c r="AE990" s="21" t="str">
        <f aca="false">'Player Data'!Z990</f>
        <v>2026-07-17</v>
      </c>
      <c r="AF990" s="28" t="str">
        <f aca="false">IFERROR(INDEX(Assumptions!$B$30:$B$61,MATCH(C990,Assumptions!$A$30:$A$61,0)),"--")</f>
        <v>Mexico, United States</v>
      </c>
      <c r="AG990" s="30" t="str">
        <f aca="false">IF(R990&gt;=0.7,"Step-Up Candidate",IF(R990&gt;=0.4,"Lateral Move","Stay &amp; Develop"))</f>
        <v>Step-Up Candidate</v>
      </c>
    </row>
    <row r="991" customFormat="false" ht="23.85" hidden="false" customHeight="false" outlineLevel="0" collapsed="false">
      <c r="A991" s="21" t="str">
        <f aca="false">'Player Data'!A991</f>
        <v>Karim Abbas</v>
      </c>
      <c r="B991" s="21" t="str">
        <f aca="false">'Player Data'!F991</f>
        <v>MF</v>
      </c>
      <c r="C991" s="21" t="str">
        <f aca="false">'Player Data'!B991</f>
        <v>Iraq</v>
      </c>
      <c r="D991" s="21" t="str">
        <f aca="false">'Player Data'!C991</f>
        <v>Iraq Second Division - East</v>
      </c>
      <c r="E991" s="21" t="n">
        <f aca="false">'Player Data'!D991</f>
        <v>3</v>
      </c>
      <c r="F991" s="21" t="n">
        <f aca="false">'Player Data'!G991</f>
        <v>24</v>
      </c>
      <c r="G991" s="21" t="n">
        <f aca="false">'Player Data'!H991</f>
        <v>1972</v>
      </c>
      <c r="H991" s="22" t="n">
        <f aca="false">IF(B991="GK",IFERROR(('Player Data'!N991-1.5*'Player Data'!O991)/'Player Data'!H991*90,0),IFERROR(('Player Data'!I991+'Player Data'!J991)/'Player Data'!H991*90,0))</f>
        <v>0.775862068965517</v>
      </c>
      <c r="I991" s="22" t="n">
        <f aca="false">IF(B991="GK",'Player Data'!P991,IFERROR(('Player Data'!K991+'Player Data'!L991)/'Player Data'!H991*90,0))</f>
        <v>8.58012170385396</v>
      </c>
      <c r="J991" s="22" t="n">
        <f aca="false">IF(B991="GK",IFERROR('Player Data'!Q991/'Player Data'!H991*90,0),IFERROR('Player Data'!M991/'Player Data'!H991*90,0))</f>
        <v>2.51014198782961</v>
      </c>
      <c r="K991" s="23" t="n">
        <f aca="false">'Player Data'!S991</f>
        <v>27091</v>
      </c>
      <c r="L991" s="22" t="n">
        <f aca="false">INDEX(Assumptions!$B$13:$B$15,MATCH(E991,Assumptions!$A$13:$A$15,0))</f>
        <v>0.85</v>
      </c>
      <c r="M991" s="24" t="n">
        <f aca="false">IFERROR(SUMPRODUCT(($B$2:$B$1001=B991)*($H$2:$H$1001&lt;=H991))/SUMPRODUCT(($B$2:$B$1001=B991)*1),0)</f>
        <v>0.565656565656566</v>
      </c>
      <c r="N991" s="24" t="n">
        <f aca="false">IFERROR(SUMPRODUCT(($B$2:$B$1001=B991)*($I$2:$I$1001&lt;=I991))/SUMPRODUCT(($B$2:$B$1001=B991)*1),0)</f>
        <v>0.208754208754209</v>
      </c>
      <c r="O991" s="24" t="n">
        <f aca="false">IFERROR(SUMPRODUCT(($B$2:$B$1001=B991)*($J$2:$J$1001&lt;=J991))/SUMPRODUCT(($B$2:$B$1001=B991)*1),0)</f>
        <v>0.646464646464647</v>
      </c>
      <c r="P991" s="24" t="n">
        <f aca="false">IFERROR(SUMPRODUCT(($B$2:$B$1001=B991)*((0-$F$2:$F$1001)&lt;=(0-F991)))/SUMPRODUCT(($B$2:$B$1001=B991)*1),0)</f>
        <v>0.326599326599327</v>
      </c>
      <c r="Q991" s="25" t="n">
        <f aca="false">(M991*Assumptions!$B$5+N991*Assumptions!$B$6+O991*Assumptions!$B$7+P991*Assumptions!$B$8)*L991</f>
        <v>0.347727272727273</v>
      </c>
      <c r="R991" s="24" t="n">
        <f aca="false">IFERROR(SUMPRODUCT(($B$2:$B$1001=B991)*($Q$2:$Q$1001&lt;=Q991))/SUMPRODUCT(($B$2:$B$1001=B991)*1),0)</f>
        <v>0.32996632996633</v>
      </c>
      <c r="S991" s="24" t="n">
        <f aca="false">IFERROR(SUMPRODUCT(($B$2:$B$1001=B991)*($K$2:$K$1001&lt;=K991))/SUMPRODUCT(($B$2:$B$1001=B991)*1),0)</f>
        <v>0.2996632996633</v>
      </c>
      <c r="T991" s="26" t="n">
        <f aca="false">(R991-S991)*100</f>
        <v>3.03030303030303</v>
      </c>
      <c r="U991" s="21" t="str">
        <f aca="false">'Player Data'!T991</f>
        <v>No</v>
      </c>
      <c r="V991" s="27" t="n">
        <f aca="false">'Player Data'!U991</f>
        <v>2027</v>
      </c>
      <c r="W991" s="21" t="str">
        <f aca="false">IF(AND(T991&gt;=Assumptions!$B$19,U991="No"),"High Priority - Unrepresented",IF(T991&gt;=Assumptions!$B$19,"High Priority",IF(AND(T991&gt;=Assumptions!$B$20,U991="No"),"Watchlist - Unrepresented",IF(T991&gt;=Assumptions!$B$20,"Watchlist",""))))</f>
        <v/>
      </c>
      <c r="X991" s="21" t="str">
        <f aca="false">'Player Data'!V991</f>
        <v>info@najaftown.iq</v>
      </c>
      <c r="Y991" s="28" t="str">
        <f aca="false">'Player Data'!W991</f>
        <v>Club sporting director / first-team office</v>
      </c>
      <c r="Z991" s="28" t="str">
        <f aca="false">'Player Data'!X991</f>
        <v>IFA (Iraq Football Association) player registry</v>
      </c>
      <c r="AA991" s="19" t="str">
        <f aca="false">HYPERLINK("https://www.transfermarkt.com/schnellsuche/ergebnis/schnellsuche?query="&amp;SUBSTITUTE(A991," ","+"),"Search Transfermarkt")</f>
        <v>Search Transfermarkt</v>
      </c>
      <c r="AB991" s="29" t="n">
        <f aca="false">IFERROR('Player Data'!K991/('Player Data'!K991+'Player Data'!L991),0)</f>
        <v>0.718085106382979</v>
      </c>
      <c r="AC991" s="21" t="str">
        <f aca="false">IF(B991="GK",IF(AND(O991&gt;=Assumptions!$B$23,N991&gt;=Assumptions!$B$23),"Sweeper-Keeper / Build-from-the-Back",IF(O991&gt;=Assumptions!$B$23,"Sweeper-Keeper / High Line",IF(M991&gt;=Assumptions!$B$23,"Shot-Stopper / Traditional","Flexible / Multi-System"))),IF(AND(O991&gt;=Assumptions!$B$23,P991&gt;=Assumptions!$B$24),"High Press / Gegenpressing",IF(AND(N991&gt;=Assumptions!$B$23,AB991&gt;=Assumptions!$B$25),"Possession / Build-from-the-Back",IF(N991&gt;=Assumptions!$B$23,"Counter-Attack / Transition",IF(AND(O991&gt;=Assumptions!$B$23,N991&lt;Assumptions!$B$26),"Low Block / Park the Bus",IF(AND(B991="FW",M991&gt;=Assumptions!$B$23,N991&lt;Assumptions!$B$26),"Direct / Target Approach","Flexible / Multi-System"))))))</f>
        <v>Flexible / Multi-System</v>
      </c>
      <c r="AD991" s="21" t="str">
        <f aca="false">'Player Data'!Y991</f>
        <v>2026-07-17</v>
      </c>
      <c r="AE991" s="21" t="str">
        <f aca="false">'Player Data'!Z991</f>
        <v>2026-07-17</v>
      </c>
      <c r="AF991" s="28" t="str">
        <f aca="false">IFERROR(INDEX(Assumptions!$B$30:$B$61,MATCH(C991,Assumptions!$A$30:$A$61,0)),"--")</f>
        <v>Turkey, Saudi Arabia</v>
      </c>
      <c r="AG991" s="30" t="str">
        <f aca="false">IF(R991&gt;=0.7,"Step-Up Candidate",IF(R991&gt;=0.4,"Lateral Move","Stay &amp; Develop"))</f>
        <v>Stay &amp; Develop</v>
      </c>
    </row>
    <row r="992" customFormat="false" ht="23.85" hidden="false" customHeight="false" outlineLevel="0" collapsed="false">
      <c r="A992" s="21" t="str">
        <f aca="false">'Player Data'!A992</f>
        <v>Kristijan Stojanovski</v>
      </c>
      <c r="B992" s="21" t="str">
        <f aca="false">'Player Data'!F992</f>
        <v>MF</v>
      </c>
      <c r="C992" s="21" t="str">
        <f aca="false">'Player Data'!B992</f>
        <v>North Macedonia</v>
      </c>
      <c r="D992" s="21" t="str">
        <f aca="false">'Player Data'!C992</f>
        <v>North Macedonia Reserve League</v>
      </c>
      <c r="E992" s="21" t="n">
        <f aca="false">'Player Data'!D992</f>
        <v>2</v>
      </c>
      <c r="F992" s="21" t="n">
        <f aca="false">'Player Data'!G992</f>
        <v>17</v>
      </c>
      <c r="G992" s="21" t="n">
        <f aca="false">'Player Data'!H992</f>
        <v>1840</v>
      </c>
      <c r="H992" s="22" t="n">
        <f aca="false">IF(B992="GK",IFERROR(('Player Data'!N992-1.5*'Player Data'!O992)/'Player Data'!H992*90,0),IFERROR(('Player Data'!I992+'Player Data'!J992)/'Player Data'!H992*90,0))</f>
        <v>1.02717391304348</v>
      </c>
      <c r="I992" s="22" t="n">
        <f aca="false">IF(B992="GK",'Player Data'!P992,IFERROR(('Player Data'!K992+'Player Data'!L992)/'Player Data'!H992*90,0))</f>
        <v>9.92934782608696</v>
      </c>
      <c r="J992" s="22" t="n">
        <f aca="false">IF(B992="GK",IFERROR('Player Data'!Q992/'Player Data'!H992*90,0),IFERROR('Player Data'!M992/'Player Data'!H992*90,0))</f>
        <v>2.10326086956522</v>
      </c>
      <c r="K992" s="23" t="n">
        <f aca="false">'Player Data'!S992</f>
        <v>70044</v>
      </c>
      <c r="L992" s="22" t="n">
        <f aca="false">INDEX(Assumptions!$B$13:$B$15,MATCH(E992,Assumptions!$A$13:$A$15,0))</f>
        <v>1</v>
      </c>
      <c r="M992" s="24" t="n">
        <f aca="false">IFERROR(SUMPRODUCT(($B$2:$B$1001=B992)*($H$2:$H$1001&lt;=H992))/SUMPRODUCT(($B$2:$B$1001=B992)*1),0)</f>
        <v>0.794612794612795</v>
      </c>
      <c r="N992" s="24" t="n">
        <f aca="false">IFERROR(SUMPRODUCT(($B$2:$B$1001=B992)*($I$2:$I$1001&lt;=I992))/SUMPRODUCT(($B$2:$B$1001=B992)*1),0)</f>
        <v>0.414141414141414</v>
      </c>
      <c r="O992" s="24" t="n">
        <f aca="false">IFERROR(SUMPRODUCT(($B$2:$B$1001=B992)*($J$2:$J$1001&lt;=J992))/SUMPRODUCT(($B$2:$B$1001=B992)*1),0)</f>
        <v>0.474747474747475</v>
      </c>
      <c r="P992" s="24" t="n">
        <f aca="false">IFERROR(SUMPRODUCT(($B$2:$B$1001=B992)*((0-$F$2:$F$1001)&lt;=(0-F992)))/SUMPRODUCT(($B$2:$B$1001=B992)*1),0)</f>
        <v>1</v>
      </c>
      <c r="Q992" s="25" t="n">
        <f aca="false">(M992*Assumptions!$B$5+N992*Assumptions!$B$6+O992*Assumptions!$B$7+P992*Assumptions!$B$8)*L992</f>
        <v>0.638552188552189</v>
      </c>
      <c r="R992" s="24" t="n">
        <f aca="false">IFERROR(SUMPRODUCT(($B$2:$B$1001=B992)*($Q$2:$Q$1001&lt;=Q992))/SUMPRODUCT(($B$2:$B$1001=B992)*1),0)</f>
        <v>0.828282828282828</v>
      </c>
      <c r="S992" s="24" t="n">
        <f aca="false">IFERROR(SUMPRODUCT(($B$2:$B$1001=B992)*($K$2:$K$1001&lt;=K992))/SUMPRODUCT(($B$2:$B$1001=B992)*1),0)</f>
        <v>0.582491582491583</v>
      </c>
      <c r="T992" s="26" t="n">
        <f aca="false">(R992-S992)*100</f>
        <v>24.5791245791246</v>
      </c>
      <c r="U992" s="21" t="str">
        <f aca="false">'Player Data'!T992</f>
        <v>Yes</v>
      </c>
      <c r="V992" s="27" t="n">
        <f aca="false">'Player Data'!U992</f>
        <v>2028</v>
      </c>
      <c r="W992" s="21" t="str">
        <f aca="false">IF(AND(T992&gt;=Assumptions!$B$19,U992="No"),"High Priority - Unrepresented",IF(T992&gt;=Assumptions!$B$19,"High Priority",IF(AND(T992&gt;=Assumptions!$B$20,U992="No"),"Watchlist - Unrepresented",IF(T992&gt;=Assumptions!$B$20,"Watchlist",""))))</f>
        <v>Watchlist</v>
      </c>
      <c r="X992" s="21" t="str">
        <f aca="false">'Player Data'!V992</f>
        <v>info@bitolawanderers.mk</v>
      </c>
      <c r="Y992" s="28" t="str">
        <f aca="false">'Player Data'!W992</f>
        <v>Club youth/academy office ONLY - player is a minor, do not contact directly</v>
      </c>
      <c r="Z992" s="28" t="str">
        <f aca="false">'Player Data'!X992</f>
        <v>FFM (Football Federation of North Macedonia) player registry</v>
      </c>
      <c r="AA992" s="19" t="str">
        <f aca="false">HYPERLINK("https://www.transfermarkt.com/schnellsuche/ergebnis/schnellsuche?query="&amp;SUBSTITUTE(A992," ","+"),"Search Transfermarkt")</f>
        <v>Search Transfermarkt</v>
      </c>
      <c r="AB992" s="29" t="n">
        <f aca="false">IFERROR('Player Data'!K992/('Player Data'!K992+'Player Data'!L992),0)</f>
        <v>0.640394088669951</v>
      </c>
      <c r="AC992" s="21" t="str">
        <f aca="false">IF(B992="GK",IF(AND(O992&gt;=Assumptions!$B$23,N992&gt;=Assumptions!$B$23),"Sweeper-Keeper / Build-from-the-Back",IF(O992&gt;=Assumptions!$B$23,"Sweeper-Keeper / High Line",IF(M992&gt;=Assumptions!$B$23,"Shot-Stopper / Traditional","Flexible / Multi-System"))),IF(AND(O992&gt;=Assumptions!$B$23,P992&gt;=Assumptions!$B$24),"High Press / Gegenpressing",IF(AND(N992&gt;=Assumptions!$B$23,AB992&gt;=Assumptions!$B$25),"Possession / Build-from-the-Back",IF(N992&gt;=Assumptions!$B$23,"Counter-Attack / Transition",IF(AND(O992&gt;=Assumptions!$B$23,N992&lt;Assumptions!$B$26),"Low Block / Park the Bus",IF(AND(B992="FW",M992&gt;=Assumptions!$B$23,N992&lt;Assumptions!$B$26),"Direct / Target Approach","Flexible / Multi-System"))))))</f>
        <v>Flexible / Multi-System</v>
      </c>
      <c r="AD992" s="21" t="str">
        <f aca="false">'Player Data'!Y992</f>
        <v>2026-07-17</v>
      </c>
      <c r="AE992" s="21" t="str">
        <f aca="false">'Player Data'!Z992</f>
        <v>2026-07-17</v>
      </c>
      <c r="AF992" s="28" t="str">
        <f aca="false">IFERROR(INDEX(Assumptions!$B$30:$B$61,MATCH(C992,Assumptions!$A$30:$A$61,0)),"--")</f>
        <v>Austria, Turkey</v>
      </c>
      <c r="AG992" s="30" t="str">
        <f aca="false">IF(R992&gt;=0.7,"Step-Up Candidate",IF(R992&gt;=0.4,"Lateral Move","Stay &amp; Develop"))</f>
        <v>Step-Up Candidate</v>
      </c>
    </row>
    <row r="993" customFormat="false" ht="23.85" hidden="false" customHeight="false" outlineLevel="0" collapsed="false">
      <c r="A993" s="21" t="str">
        <f aca="false">'Player Data'!A993</f>
        <v>Seo-jun Park</v>
      </c>
      <c r="B993" s="21" t="str">
        <f aca="false">'Player Data'!F993</f>
        <v>MF</v>
      </c>
      <c r="C993" s="21" t="str">
        <f aca="false">'Player Data'!B993</f>
        <v>South Korea</v>
      </c>
      <c r="D993" s="21" t="str">
        <f aca="false">'Player Data'!C993</f>
        <v>South Korea Regional League</v>
      </c>
      <c r="E993" s="21" t="n">
        <f aca="false">'Player Data'!D993</f>
        <v>2</v>
      </c>
      <c r="F993" s="21" t="n">
        <f aca="false">'Player Data'!G993</f>
        <v>22</v>
      </c>
      <c r="G993" s="21" t="n">
        <f aca="false">'Player Data'!H993</f>
        <v>2562</v>
      </c>
      <c r="H993" s="22" t="n">
        <f aca="false">IF(B993="GK",IFERROR(('Player Data'!N993-1.5*'Player Data'!O993)/'Player Data'!H993*90,0),IFERROR(('Player Data'!I993+'Player Data'!J993)/'Player Data'!H993*90,0))</f>
        <v>0.526932084309134</v>
      </c>
      <c r="I993" s="22" t="n">
        <f aca="false">IF(B993="GK",'Player Data'!P993,IFERROR(('Player Data'!K993+'Player Data'!L993)/'Player Data'!H993*90,0))</f>
        <v>8.71194379391101</v>
      </c>
      <c r="J993" s="22" t="n">
        <f aca="false">IF(B993="GK",IFERROR('Player Data'!Q993/'Player Data'!H993*90,0),IFERROR('Player Data'!M993/'Player Data'!H993*90,0))</f>
        <v>1.22950819672131</v>
      </c>
      <c r="K993" s="23" t="n">
        <f aca="false">'Player Data'!S993</f>
        <v>63132</v>
      </c>
      <c r="L993" s="22" t="n">
        <f aca="false">INDEX(Assumptions!$B$13:$B$15,MATCH(E993,Assumptions!$A$13:$A$15,0))</f>
        <v>1</v>
      </c>
      <c r="M993" s="24" t="n">
        <f aca="false">IFERROR(SUMPRODUCT(($B$2:$B$1001=B993)*($H$2:$H$1001&lt;=H993))/SUMPRODUCT(($B$2:$B$1001=B993)*1),0)</f>
        <v>0.249158249158249</v>
      </c>
      <c r="N993" s="24" t="n">
        <f aca="false">IFERROR(SUMPRODUCT(($B$2:$B$1001=B993)*($I$2:$I$1001&lt;=I993))/SUMPRODUCT(($B$2:$B$1001=B993)*1),0)</f>
        <v>0.245791245791246</v>
      </c>
      <c r="O993" s="24" t="n">
        <f aca="false">IFERROR(SUMPRODUCT(($B$2:$B$1001=B993)*($J$2:$J$1001&lt;=J993))/SUMPRODUCT(($B$2:$B$1001=B993)*1),0)</f>
        <v>0.0740740740740741</v>
      </c>
      <c r="P993" s="24" t="n">
        <f aca="false">IFERROR(SUMPRODUCT(($B$2:$B$1001=B993)*((0-$F$2:$F$1001)&lt;=(0-F993)))/SUMPRODUCT(($B$2:$B$1001=B993)*1),0)</f>
        <v>0.515151515151515</v>
      </c>
      <c r="Q993" s="25" t="n">
        <f aca="false">(M993*Assumptions!$B$5+N993*Assumptions!$B$6+O993*Assumptions!$B$7+P993*Assumptions!$B$8)*L993</f>
        <v>0.266161616161616</v>
      </c>
      <c r="R993" s="24" t="n">
        <f aca="false">IFERROR(SUMPRODUCT(($B$2:$B$1001=B993)*($Q$2:$Q$1001&lt;=Q993))/SUMPRODUCT(($B$2:$B$1001=B993)*1),0)</f>
        <v>0.202020202020202</v>
      </c>
      <c r="S993" s="24" t="n">
        <f aca="false">IFERROR(SUMPRODUCT(($B$2:$B$1001=B993)*($K$2:$K$1001&lt;=K993))/SUMPRODUCT(($B$2:$B$1001=B993)*1),0)</f>
        <v>0.525252525252525</v>
      </c>
      <c r="T993" s="26" t="n">
        <f aca="false">(R993-S993)*100</f>
        <v>-32.3232323232323</v>
      </c>
      <c r="U993" s="21" t="str">
        <f aca="false">'Player Data'!T993</f>
        <v>Unknown</v>
      </c>
      <c r="V993" s="27" t="n">
        <f aca="false">'Player Data'!U993</f>
        <v>2028</v>
      </c>
      <c r="W993" s="21" t="str">
        <f aca="false">IF(AND(T993&gt;=Assumptions!$B$19,U993="No"),"High Priority - Unrepresented",IF(T993&gt;=Assumptions!$B$19,"High Priority",IF(AND(T993&gt;=Assumptions!$B$20,U993="No"),"Watchlist - Unrepresented",IF(T993&gt;=Assumptions!$B$20,"Watchlist",""))))</f>
        <v/>
      </c>
      <c r="X993" s="21" t="str">
        <f aca="false">'Player Data'!V993</f>
        <v>info@daeguathletic.kr</v>
      </c>
      <c r="Y993" s="28" t="str">
        <f aca="false">'Player Data'!W993</f>
        <v>Club sporting director / first-team office</v>
      </c>
      <c r="Z993" s="28" t="str">
        <f aca="false">'Player Data'!X993</f>
        <v>KFA (Korea Football Association) player registry</v>
      </c>
      <c r="AA993" s="19" t="str">
        <f aca="false">HYPERLINK("https://www.transfermarkt.com/schnellsuche/ergebnis/schnellsuche?query="&amp;SUBSTITUTE(A993," ","+"),"Search Transfermarkt")</f>
        <v>Search Transfermarkt</v>
      </c>
      <c r="AB993" s="29" t="n">
        <f aca="false">IFERROR('Player Data'!K993/('Player Data'!K993+'Player Data'!L993),0)</f>
        <v>0.629032258064516</v>
      </c>
      <c r="AC993" s="21" t="str">
        <f aca="false">IF(B993="GK",IF(AND(O993&gt;=Assumptions!$B$23,N993&gt;=Assumptions!$B$23),"Sweeper-Keeper / Build-from-the-Back",IF(O993&gt;=Assumptions!$B$23,"Sweeper-Keeper / High Line",IF(M993&gt;=Assumptions!$B$23,"Shot-Stopper / Traditional","Flexible / Multi-System"))),IF(AND(O993&gt;=Assumptions!$B$23,P993&gt;=Assumptions!$B$24),"High Press / Gegenpressing",IF(AND(N993&gt;=Assumptions!$B$23,AB993&gt;=Assumptions!$B$25),"Possession / Build-from-the-Back",IF(N993&gt;=Assumptions!$B$23,"Counter-Attack / Transition",IF(AND(O993&gt;=Assumptions!$B$23,N993&lt;Assumptions!$B$26),"Low Block / Park the Bus",IF(AND(B993="FW",M993&gt;=Assumptions!$B$23,N993&lt;Assumptions!$B$26),"Direct / Target Approach","Flexible / Multi-System"))))))</f>
        <v>Flexible / Multi-System</v>
      </c>
      <c r="AD993" s="21" t="str">
        <f aca="false">'Player Data'!Y993</f>
        <v>2026-07-17</v>
      </c>
      <c r="AE993" s="21" t="str">
        <f aca="false">'Player Data'!Z993</f>
        <v>2026-07-17</v>
      </c>
      <c r="AF993" s="28" t="str">
        <f aca="false">IFERROR(INDEX(Assumptions!$B$30:$B$61,MATCH(C993,Assumptions!$A$30:$A$61,0)),"--")</f>
        <v>Belgium, Saudi Arabia</v>
      </c>
      <c r="AG993" s="30" t="str">
        <f aca="false">IF(R993&gt;=0.7,"Step-Up Candidate",IF(R993&gt;=0.4,"Lateral Move","Stay &amp; Develop"))</f>
        <v>Stay &amp; Develop</v>
      </c>
    </row>
    <row r="994" customFormat="false" ht="23.85" hidden="false" customHeight="false" outlineLevel="0" collapsed="false">
      <c r="A994" s="21" t="str">
        <f aca="false">'Player Data'!A994</f>
        <v>Kofi Boateng</v>
      </c>
      <c r="B994" s="21" t="str">
        <f aca="false">'Player Data'!F994</f>
        <v>DF</v>
      </c>
      <c r="C994" s="21" t="str">
        <f aca="false">'Player Data'!B994</f>
        <v>Ghana</v>
      </c>
      <c r="D994" s="21" t="str">
        <f aca="false">'Player Data'!C994</f>
        <v>Ghana Second Division - West</v>
      </c>
      <c r="E994" s="21" t="n">
        <f aca="false">'Player Data'!D994</f>
        <v>2</v>
      </c>
      <c r="F994" s="21" t="n">
        <f aca="false">'Player Data'!G994</f>
        <v>23</v>
      </c>
      <c r="G994" s="21" t="n">
        <f aca="false">'Player Data'!H994</f>
        <v>1554</v>
      </c>
      <c r="H994" s="22" t="n">
        <f aca="false">IF(B994="GK",IFERROR(('Player Data'!N994-1.5*'Player Data'!O994)/'Player Data'!H994*90,0),IFERROR(('Player Data'!I994+'Player Data'!J994)/'Player Data'!H994*90,0))</f>
        <v>0.28957528957529</v>
      </c>
      <c r="I994" s="22" t="n">
        <f aca="false">IF(B994="GK",'Player Data'!P994,IFERROR(('Player Data'!K994+'Player Data'!L994)/'Player Data'!H994*90,0))</f>
        <v>6.66023166023166</v>
      </c>
      <c r="J994" s="22" t="n">
        <f aca="false">IF(B994="GK",IFERROR('Player Data'!Q994/'Player Data'!H994*90,0),IFERROR('Player Data'!M994/'Player Data'!H994*90,0))</f>
        <v>6.1969111969112</v>
      </c>
      <c r="K994" s="23" t="n">
        <f aca="false">'Player Data'!S994</f>
        <v>128693</v>
      </c>
      <c r="L994" s="22" t="n">
        <f aca="false">INDEX(Assumptions!$B$13:$B$15,MATCH(E994,Assumptions!$A$13:$A$15,0))</f>
        <v>1</v>
      </c>
      <c r="M994" s="24" t="n">
        <f aca="false">IFERROR(SUMPRODUCT(($B$2:$B$1001=B994)*($H$2:$H$1001&lt;=H994))/SUMPRODUCT(($B$2:$B$1001=B994)*1),0)</f>
        <v>0.751700680272109</v>
      </c>
      <c r="N994" s="24" t="n">
        <f aca="false">IFERROR(SUMPRODUCT(($B$2:$B$1001=B994)*($I$2:$I$1001&lt;=I994))/SUMPRODUCT(($B$2:$B$1001=B994)*1),0)</f>
        <v>0.806122448979592</v>
      </c>
      <c r="O994" s="24" t="n">
        <f aca="false">IFERROR(SUMPRODUCT(($B$2:$B$1001=B994)*($J$2:$J$1001&lt;=J994))/SUMPRODUCT(($B$2:$B$1001=B994)*1),0)</f>
        <v>0.649659863945578</v>
      </c>
      <c r="P994" s="24" t="n">
        <f aca="false">IFERROR(SUMPRODUCT(($B$2:$B$1001=B994)*((0-$F$2:$F$1001)&lt;=(0-F994)))/SUMPRODUCT(($B$2:$B$1001=B994)*1),0)</f>
        <v>0.374149659863946</v>
      </c>
      <c r="Q994" s="25" t="n">
        <f aca="false">(M994*Assumptions!$B$5+N994*Assumptions!$B$6+O994*Assumptions!$B$7+P994*Assumptions!$B$8)*L994</f>
        <v>0.674829931972789</v>
      </c>
      <c r="R994" s="24" t="n">
        <f aca="false">IFERROR(SUMPRODUCT(($B$2:$B$1001=B994)*($Q$2:$Q$1001&lt;=Q994))/SUMPRODUCT(($B$2:$B$1001=B994)*1),0)</f>
        <v>0.850340136054422</v>
      </c>
      <c r="S994" s="24" t="n">
        <f aca="false">IFERROR(SUMPRODUCT(($B$2:$B$1001=B994)*($K$2:$K$1001&lt;=K994))/SUMPRODUCT(($B$2:$B$1001=B994)*1),0)</f>
        <v>0.904761904761905</v>
      </c>
      <c r="T994" s="26" t="n">
        <f aca="false">(R994-S994)*100</f>
        <v>-5.44217687074831</v>
      </c>
      <c r="U994" s="21" t="str">
        <f aca="false">'Player Data'!T994</f>
        <v>Yes</v>
      </c>
      <c r="V994" s="27" t="n">
        <f aca="false">'Player Data'!U994</f>
        <v>2027</v>
      </c>
      <c r="W994" s="21" t="str">
        <f aca="false">IF(AND(T994&gt;=Assumptions!$B$19,U994="No"),"High Priority - Unrepresented",IF(T994&gt;=Assumptions!$B$19,"High Priority",IF(AND(T994&gt;=Assumptions!$B$20,U994="No"),"Watchlist - Unrepresented",IF(T994&gt;=Assumptions!$B$20,"Watchlist",""))))</f>
        <v/>
      </c>
      <c r="X994" s="21" t="str">
        <f aca="false">'Player Data'!V994</f>
        <v>info@kumasisc.gh</v>
      </c>
      <c r="Y994" s="28" t="str">
        <f aca="false">'Player Data'!W994</f>
        <v>Go through the player's agent - ask the club to confirm representation first</v>
      </c>
      <c r="Z994" s="28" t="str">
        <f aca="false">'Player Data'!X994</f>
        <v>GFA (Ghana Football Association) player registry</v>
      </c>
      <c r="AA994" s="19" t="str">
        <f aca="false">HYPERLINK("https://www.transfermarkt.com/schnellsuche/ergebnis/schnellsuche?query="&amp;SUBSTITUTE(A994," ","+"),"Search Transfermarkt")</f>
        <v>Search Transfermarkt</v>
      </c>
      <c r="AB994" s="29" t="n">
        <f aca="false">IFERROR('Player Data'!K994/('Player Data'!K994+'Player Data'!L994),0)</f>
        <v>0.626086956521739</v>
      </c>
      <c r="AC994" s="21" t="str">
        <f aca="false">IF(B994="GK",IF(AND(O994&gt;=Assumptions!$B$23,N994&gt;=Assumptions!$B$23),"Sweeper-Keeper / Build-from-the-Back",IF(O994&gt;=Assumptions!$B$23,"Sweeper-Keeper / High Line",IF(M994&gt;=Assumptions!$B$23,"Shot-Stopper / Traditional","Flexible / Multi-System"))),IF(AND(O994&gt;=Assumptions!$B$23,P994&gt;=Assumptions!$B$24),"High Press / Gegenpressing",IF(AND(N994&gt;=Assumptions!$B$23,AB994&gt;=Assumptions!$B$25),"Possession / Build-from-the-Back",IF(N994&gt;=Assumptions!$B$23,"Counter-Attack / Transition",IF(AND(O994&gt;=Assumptions!$B$23,N994&lt;Assumptions!$B$26),"Low Block / Park the Bus",IF(AND(B994="FW",M994&gt;=Assumptions!$B$23,N994&lt;Assumptions!$B$26),"Direct / Target Approach","Flexible / Multi-System"))))))</f>
        <v>Possession / Build-from-the-Back</v>
      </c>
      <c r="AD994" s="21" t="str">
        <f aca="false">'Player Data'!Y994</f>
        <v>2026-07-17</v>
      </c>
      <c r="AE994" s="21" t="str">
        <f aca="false">'Player Data'!Z994</f>
        <v>2026-07-17</v>
      </c>
      <c r="AF994" s="28" t="str">
        <f aca="false">IFERROR(INDEX(Assumptions!$B$30:$B$61,MATCH(C994,Assumptions!$A$30:$A$61,0)),"--")</f>
        <v>Belgium, Portugal</v>
      </c>
      <c r="AG994" s="30" t="str">
        <f aca="false">IF(R994&gt;=0.7,"Step-Up Candidate",IF(R994&gt;=0.4,"Lateral Move","Stay &amp; Develop"))</f>
        <v>Step-Up Candidate</v>
      </c>
    </row>
    <row r="995" customFormat="false" ht="23.85" hidden="false" customHeight="false" outlineLevel="0" collapsed="false">
      <c r="A995" s="21" t="str">
        <f aca="false">'Player Data'!A995</f>
        <v>Minh Tran</v>
      </c>
      <c r="B995" s="21" t="str">
        <f aca="false">'Player Data'!F995</f>
        <v>MF</v>
      </c>
      <c r="C995" s="21" t="str">
        <f aca="false">'Player Data'!B995</f>
        <v>Vietnam</v>
      </c>
      <c r="D995" s="21" t="str">
        <f aca="false">'Player Data'!C995</f>
        <v>Vietnam Third Tier - North</v>
      </c>
      <c r="E995" s="21" t="n">
        <f aca="false">'Player Data'!D995</f>
        <v>3</v>
      </c>
      <c r="F995" s="21" t="n">
        <f aca="false">'Player Data'!G995</f>
        <v>20</v>
      </c>
      <c r="G995" s="21" t="n">
        <f aca="false">'Player Data'!H995</f>
        <v>2554</v>
      </c>
      <c r="H995" s="22" t="n">
        <f aca="false">IF(B995="GK",IFERROR(('Player Data'!N995-1.5*'Player Data'!O995)/'Player Data'!H995*90,0),IFERROR(('Player Data'!I995+'Player Data'!J995)/'Player Data'!H995*90,0))</f>
        <v>0.352388410336727</v>
      </c>
      <c r="I995" s="22" t="n">
        <f aca="false">IF(B995="GK",'Player Data'!P995,IFERROR(('Player Data'!K995+'Player Data'!L995)/'Player Data'!H995*90,0))</f>
        <v>8.66875489428348</v>
      </c>
      <c r="J995" s="22" t="n">
        <f aca="false">IF(B995="GK",IFERROR('Player Data'!Q995/'Player Data'!H995*90,0),IFERROR('Player Data'!M995/'Player Data'!H995*90,0))</f>
        <v>1.33907595927956</v>
      </c>
      <c r="K995" s="23" t="n">
        <f aca="false">'Player Data'!S995</f>
        <v>125776</v>
      </c>
      <c r="L995" s="22" t="n">
        <f aca="false">INDEX(Assumptions!$B$13:$B$15,MATCH(E995,Assumptions!$A$13:$A$15,0))</f>
        <v>0.85</v>
      </c>
      <c r="M995" s="24" t="n">
        <f aca="false">IFERROR(SUMPRODUCT(($B$2:$B$1001=B995)*($H$2:$H$1001&lt;=H995))/SUMPRODUCT(($B$2:$B$1001=B995)*1),0)</f>
        <v>0.0740740740740741</v>
      </c>
      <c r="N995" s="24" t="n">
        <f aca="false">IFERROR(SUMPRODUCT(($B$2:$B$1001=B995)*($I$2:$I$1001&lt;=I995))/SUMPRODUCT(($B$2:$B$1001=B995)*1),0)</f>
        <v>0.218855218855219</v>
      </c>
      <c r="O995" s="24" t="n">
        <f aca="false">IFERROR(SUMPRODUCT(($B$2:$B$1001=B995)*($J$2:$J$1001&lt;=J995))/SUMPRODUCT(($B$2:$B$1001=B995)*1),0)</f>
        <v>0.111111111111111</v>
      </c>
      <c r="P995" s="24" t="n">
        <f aca="false">IFERROR(SUMPRODUCT(($B$2:$B$1001=B995)*((0-$F$2:$F$1001)&lt;=(0-F995)))/SUMPRODUCT(($B$2:$B$1001=B995)*1),0)</f>
        <v>0.734006734006734</v>
      </c>
      <c r="Q995" s="25" t="n">
        <f aca="false">(M995*Assumptions!$B$5+N995*Assumptions!$B$6+O995*Assumptions!$B$7+P995*Assumptions!$B$8)*L995</f>
        <v>0.224520202020202</v>
      </c>
      <c r="R995" s="24" t="n">
        <f aca="false">IFERROR(SUMPRODUCT(($B$2:$B$1001=B995)*($Q$2:$Q$1001&lt;=Q995))/SUMPRODUCT(($B$2:$B$1001=B995)*1),0)</f>
        <v>0.127946127946128</v>
      </c>
      <c r="S995" s="24" t="n">
        <f aca="false">IFERROR(SUMPRODUCT(($B$2:$B$1001=B995)*($K$2:$K$1001&lt;=K995))/SUMPRODUCT(($B$2:$B$1001=B995)*1),0)</f>
        <v>0.885521885521886</v>
      </c>
      <c r="T995" s="26" t="n">
        <f aca="false">(R995-S995)*100</f>
        <v>-75.7575757575758</v>
      </c>
      <c r="U995" s="21" t="str">
        <f aca="false">'Player Data'!T995</f>
        <v>Yes</v>
      </c>
      <c r="V995" s="27" t="n">
        <f aca="false">'Player Data'!U995</f>
        <v>2026</v>
      </c>
      <c r="W995" s="21" t="str">
        <f aca="false">IF(AND(T995&gt;=Assumptions!$B$19,U995="No"),"High Priority - Unrepresented",IF(T995&gt;=Assumptions!$B$19,"High Priority",IF(AND(T995&gt;=Assumptions!$B$20,U995="No"),"Watchlist - Unrepresented",IF(T995&gt;=Assumptions!$B$20,"Watchlist",""))))</f>
        <v/>
      </c>
      <c r="X995" s="21" t="str">
        <f aca="false">'Player Data'!V995</f>
        <v>info@haiphongwanderers.vn</v>
      </c>
      <c r="Y995" s="28" t="str">
        <f aca="false">'Player Data'!W995</f>
        <v>Go through the player's agent - ask the club to confirm representation first</v>
      </c>
      <c r="Z995" s="28" t="str">
        <f aca="false">'Player Data'!X995</f>
        <v>VFF (Vietnam Football Federation) player registry</v>
      </c>
      <c r="AA995" s="19" t="str">
        <f aca="false">HYPERLINK("https://www.transfermarkt.com/schnellsuche/ergebnis/schnellsuche?query="&amp;SUBSTITUTE(A995," ","+"),"Search Transfermarkt")</f>
        <v>Search Transfermarkt</v>
      </c>
      <c r="AB995" s="29" t="n">
        <f aca="false">IFERROR('Player Data'!K995/('Player Data'!K995+'Player Data'!L995),0)</f>
        <v>0.654471544715447</v>
      </c>
      <c r="AC995" s="21" t="str">
        <f aca="false">IF(B995="GK",IF(AND(O995&gt;=Assumptions!$B$23,N995&gt;=Assumptions!$B$23),"Sweeper-Keeper / Build-from-the-Back",IF(O995&gt;=Assumptions!$B$23,"Sweeper-Keeper / High Line",IF(M995&gt;=Assumptions!$B$23,"Shot-Stopper / Traditional","Flexible / Multi-System"))),IF(AND(O995&gt;=Assumptions!$B$23,P995&gt;=Assumptions!$B$24),"High Press / Gegenpressing",IF(AND(N995&gt;=Assumptions!$B$23,AB995&gt;=Assumptions!$B$25),"Possession / Build-from-the-Back",IF(N995&gt;=Assumptions!$B$23,"Counter-Attack / Transition",IF(AND(O995&gt;=Assumptions!$B$23,N995&lt;Assumptions!$B$26),"Low Block / Park the Bus",IF(AND(B995="FW",M995&gt;=Assumptions!$B$23,N995&lt;Assumptions!$B$26),"Direct / Target Approach","Flexible / Multi-System"))))))</f>
        <v>Flexible / Multi-System</v>
      </c>
      <c r="AD995" s="21" t="str">
        <f aca="false">'Player Data'!Y995</f>
        <v>2026-07-17</v>
      </c>
      <c r="AE995" s="21" t="str">
        <f aca="false">'Player Data'!Z995</f>
        <v>2026-07-17</v>
      </c>
      <c r="AF995" s="28" t="str">
        <f aca="false">IFERROR(INDEX(Assumptions!$B$30:$B$61,MATCH(C995,Assumptions!$A$30:$A$61,0)),"--")</f>
        <v>Australia, Saudi Arabia</v>
      </c>
      <c r="AG995" s="30" t="str">
        <f aca="false">IF(R995&gt;=0.7,"Step-Up Candidate",IF(R995&gt;=0.4,"Lateral Move","Stay &amp; Develop"))</f>
        <v>Stay &amp; Develop</v>
      </c>
    </row>
    <row r="996" customFormat="false" ht="23.85" hidden="false" customHeight="false" outlineLevel="0" collapsed="false">
      <c r="A996" s="21" t="str">
        <f aca="false">'Player Data'!A996</f>
        <v>Arturs Kalns 23</v>
      </c>
      <c r="B996" s="21" t="str">
        <f aca="false">'Player Data'!F996</f>
        <v>FW</v>
      </c>
      <c r="C996" s="21" t="str">
        <f aca="false">'Player Data'!B996</f>
        <v>Latvia</v>
      </c>
      <c r="D996" s="21" t="str">
        <f aca="false">'Player Data'!C996</f>
        <v>Latvia Third Tier - South</v>
      </c>
      <c r="E996" s="21" t="n">
        <f aca="false">'Player Data'!D996</f>
        <v>3</v>
      </c>
      <c r="F996" s="21" t="n">
        <f aca="false">'Player Data'!G996</f>
        <v>26</v>
      </c>
      <c r="G996" s="21" t="n">
        <f aca="false">'Player Data'!H996</f>
        <v>2203</v>
      </c>
      <c r="H996" s="22" t="n">
        <f aca="false">IF(B996="GK",IFERROR(('Player Data'!N996-1.5*'Player Data'!O996)/'Player Data'!H996*90,0),IFERROR(('Player Data'!I996+'Player Data'!J996)/'Player Data'!H996*90,0))</f>
        <v>0.857921016795279</v>
      </c>
      <c r="I996" s="22" t="n">
        <f aca="false">IF(B996="GK",'Player Data'!P996,IFERROR(('Player Data'!K996+'Player Data'!L996)/'Player Data'!H996*90,0))</f>
        <v>4.77984566500227</v>
      </c>
      <c r="J996" s="22" t="n">
        <f aca="false">IF(B996="GK",IFERROR('Player Data'!Q996/'Player Data'!H996*90,0),IFERROR('Player Data'!M996/'Player Data'!H996*90,0))</f>
        <v>0.449387199273718</v>
      </c>
      <c r="K996" s="23" t="n">
        <f aca="false">'Player Data'!S996</f>
        <v>49197</v>
      </c>
      <c r="L996" s="22" t="n">
        <f aca="false">INDEX(Assumptions!$B$13:$B$15,MATCH(E996,Assumptions!$A$13:$A$15,0))</f>
        <v>0.85</v>
      </c>
      <c r="M996" s="24" t="n">
        <f aca="false">IFERROR(SUMPRODUCT(($B$2:$B$1001=B996)*($H$2:$H$1001&lt;=H996))/SUMPRODUCT(($B$2:$B$1001=B996)*1),0)</f>
        <v>0.371681415929204</v>
      </c>
      <c r="N996" s="24" t="n">
        <f aca="false">IFERROR(SUMPRODUCT(($B$2:$B$1001=B996)*($I$2:$I$1001&lt;=I996))/SUMPRODUCT(($B$2:$B$1001=B996)*1),0)</f>
        <v>0.168141592920354</v>
      </c>
      <c r="O996" s="24" t="n">
        <f aca="false">IFERROR(SUMPRODUCT(($B$2:$B$1001=B996)*($J$2:$J$1001&lt;=J996))/SUMPRODUCT(($B$2:$B$1001=B996)*1),0)</f>
        <v>0.411504424778761</v>
      </c>
      <c r="P996" s="24" t="n">
        <f aca="false">IFERROR(SUMPRODUCT(($B$2:$B$1001=B996)*((0-$F$2:$F$1001)&lt;=(0-F996)))/SUMPRODUCT(($B$2:$B$1001=B996)*1),0)</f>
        <v>0.0929203539823009</v>
      </c>
      <c r="Q996" s="25" t="n">
        <f aca="false">(M996*Assumptions!$B$5+N996*Assumptions!$B$6+O996*Assumptions!$B$7+P996*Assumptions!$B$8)*L996</f>
        <v>0.214756637168142</v>
      </c>
      <c r="R996" s="24" t="n">
        <f aca="false">IFERROR(SUMPRODUCT(($B$2:$B$1001=B996)*($Q$2:$Q$1001&lt;=Q996))/SUMPRODUCT(($B$2:$B$1001=B996)*1),0)</f>
        <v>0.101769911504425</v>
      </c>
      <c r="S996" s="24" t="n">
        <f aca="false">IFERROR(SUMPRODUCT(($B$2:$B$1001=B996)*($K$2:$K$1001&lt;=K996))/SUMPRODUCT(($B$2:$B$1001=B996)*1),0)</f>
        <v>0.460176991150442</v>
      </c>
      <c r="T996" s="26" t="n">
        <f aca="false">(R996-S996)*100</f>
        <v>-35.8407079646018</v>
      </c>
      <c r="U996" s="21" t="str">
        <f aca="false">'Player Data'!T996</f>
        <v>No</v>
      </c>
      <c r="V996" s="27" t="n">
        <f aca="false">'Player Data'!U996</f>
        <v>2028</v>
      </c>
      <c r="W996" s="21" t="str">
        <f aca="false">IF(AND(T996&gt;=Assumptions!$B$19,U996="No"),"High Priority - Unrepresented",IF(T996&gt;=Assumptions!$B$19,"High Priority",IF(AND(T996&gt;=Assumptions!$B$20,U996="No"),"Watchlist - Unrepresented",IF(T996&gt;=Assumptions!$B$20,"Watchlist",""))))</f>
        <v/>
      </c>
      <c r="X996" s="21" t="str">
        <f aca="false">'Player Data'!V996</f>
        <v>info@jelgavasc.lv</v>
      </c>
      <c r="Y996" s="28" t="str">
        <f aca="false">'Player Data'!W996</f>
        <v>Club sporting director / first-team office</v>
      </c>
      <c r="Z996" s="28" t="str">
        <f aca="false">'Player Data'!X996</f>
        <v>LFF (Latvian Football Federation) player registry</v>
      </c>
      <c r="AA996" s="19" t="str">
        <f aca="false">HYPERLINK("https://www.transfermarkt.com/schnellsuche/ergebnis/schnellsuche?query="&amp;SUBSTITUTE(A996," ","+"),"Search Transfermarkt")</f>
        <v>Search Transfermarkt</v>
      </c>
      <c r="AB996" s="29" t="n">
        <f aca="false">IFERROR('Player Data'!K996/('Player Data'!K996+'Player Data'!L996),0)</f>
        <v>0.452991452991453</v>
      </c>
      <c r="AC996" s="21" t="str">
        <f aca="false">IF(B996="GK",IF(AND(O996&gt;=Assumptions!$B$23,N996&gt;=Assumptions!$B$23),"Sweeper-Keeper / Build-from-the-Back",IF(O996&gt;=Assumptions!$B$23,"Sweeper-Keeper / High Line",IF(M996&gt;=Assumptions!$B$23,"Shot-Stopper / Traditional","Flexible / Multi-System"))),IF(AND(O996&gt;=Assumptions!$B$23,P996&gt;=Assumptions!$B$24),"High Press / Gegenpressing",IF(AND(N996&gt;=Assumptions!$B$23,AB996&gt;=Assumptions!$B$25),"Possession / Build-from-the-Back",IF(N996&gt;=Assumptions!$B$23,"Counter-Attack / Transition",IF(AND(O996&gt;=Assumptions!$B$23,N996&lt;Assumptions!$B$26),"Low Block / Park the Bus",IF(AND(B996="FW",M996&gt;=Assumptions!$B$23,N996&lt;Assumptions!$B$26),"Direct / Target Approach","Flexible / Multi-System"))))))</f>
        <v>Flexible / Multi-System</v>
      </c>
      <c r="AD996" s="21" t="str">
        <f aca="false">'Player Data'!Y996</f>
        <v>2026-07-17</v>
      </c>
      <c r="AE996" s="21" t="str">
        <f aca="false">'Player Data'!Z996</f>
        <v>2026-07-17</v>
      </c>
      <c r="AF996" s="28" t="str">
        <f aca="false">IFERROR(INDEX(Assumptions!$B$30:$B$61,MATCH(C996,Assumptions!$A$30:$A$61,0)),"--")</f>
        <v>Poland, Norway</v>
      </c>
      <c r="AG996" s="30" t="str">
        <f aca="false">IF(R996&gt;=0.7,"Step-Up Candidate",IF(R996&gt;=0.4,"Lateral Move","Stay &amp; Develop"))</f>
        <v>Stay &amp; Develop</v>
      </c>
    </row>
    <row r="997" customFormat="false" ht="23.85" hidden="false" customHeight="false" outlineLevel="0" collapsed="false">
      <c r="A997" s="21" t="str">
        <f aca="false">'Player Data'!A997</f>
        <v>Maximiliano Pereira 77</v>
      </c>
      <c r="B997" s="21" t="str">
        <f aca="false">'Player Data'!F997</f>
        <v>DF</v>
      </c>
      <c r="C997" s="21" t="str">
        <f aca="false">'Player Data'!B997</f>
        <v>Uruguay</v>
      </c>
      <c r="D997" s="21" t="str">
        <f aca="false">'Player Data'!C997</f>
        <v>Uruguay Amateur League</v>
      </c>
      <c r="E997" s="21" t="n">
        <f aca="false">'Player Data'!D997</f>
        <v>3</v>
      </c>
      <c r="F997" s="21" t="n">
        <f aca="false">'Player Data'!G997</f>
        <v>17</v>
      </c>
      <c r="G997" s="21" t="n">
        <f aca="false">'Player Data'!H997</f>
        <v>1596</v>
      </c>
      <c r="H997" s="22" t="n">
        <f aca="false">IF(B997="GK",IFERROR(('Player Data'!N997-1.5*'Player Data'!O997)/'Player Data'!H997*90,0),IFERROR(('Player Data'!I997+'Player Data'!J997)/'Player Data'!H997*90,0))</f>
        <v>0.056390977443609</v>
      </c>
      <c r="I997" s="22" t="n">
        <f aca="false">IF(B997="GK",'Player Data'!P997,IFERROR(('Player Data'!K997+'Player Data'!L997)/'Player Data'!H997*90,0))</f>
        <v>4.17293233082707</v>
      </c>
      <c r="J997" s="22" t="n">
        <f aca="false">IF(B997="GK",IFERROR('Player Data'!Q997/'Player Data'!H997*90,0),IFERROR('Player Data'!M997/'Player Data'!H997*90,0))</f>
        <v>5.0187969924812</v>
      </c>
      <c r="K997" s="23" t="n">
        <f aca="false">'Player Data'!S997</f>
        <v>69231</v>
      </c>
      <c r="L997" s="22" t="n">
        <f aca="false">INDEX(Assumptions!$B$13:$B$15,MATCH(E997,Assumptions!$A$13:$A$15,0))</f>
        <v>0.85</v>
      </c>
      <c r="M997" s="24" t="n">
        <f aca="false">IFERROR(SUMPRODUCT(($B$2:$B$1001=B997)*($H$2:$H$1001&lt;=H997))/SUMPRODUCT(($B$2:$B$1001=B997)*1),0)</f>
        <v>0.0782312925170068</v>
      </c>
      <c r="N997" s="24" t="n">
        <f aca="false">IFERROR(SUMPRODUCT(($B$2:$B$1001=B997)*($I$2:$I$1001&lt;=I997))/SUMPRODUCT(($B$2:$B$1001=B997)*1),0)</f>
        <v>0.431972789115646</v>
      </c>
      <c r="O997" s="24" t="n">
        <f aca="false">IFERROR(SUMPRODUCT(($B$2:$B$1001=B997)*($J$2:$J$1001&lt;=J997))/SUMPRODUCT(($B$2:$B$1001=B997)*1),0)</f>
        <v>0.452380952380952</v>
      </c>
      <c r="P997" s="24" t="n">
        <f aca="false">IFERROR(SUMPRODUCT(($B$2:$B$1001=B997)*((0-$F$2:$F$1001)&lt;=(0-F997)))/SUMPRODUCT(($B$2:$B$1001=B997)*1),0)</f>
        <v>1</v>
      </c>
      <c r="Q997" s="25" t="n">
        <f aca="false">(M997*Assumptions!$B$5+N997*Assumptions!$B$6+O997*Assumptions!$B$7+P997*Assumptions!$B$8)*L997</f>
        <v>0.392040816326531</v>
      </c>
      <c r="R997" s="24" t="n">
        <f aca="false">IFERROR(SUMPRODUCT(($B$2:$B$1001=B997)*($Q$2:$Q$1001&lt;=Q997))/SUMPRODUCT(($B$2:$B$1001=B997)*1),0)</f>
        <v>0.435374149659864</v>
      </c>
      <c r="S997" s="24" t="n">
        <f aca="false">IFERROR(SUMPRODUCT(($B$2:$B$1001=B997)*($K$2:$K$1001&lt;=K997))/SUMPRODUCT(($B$2:$B$1001=B997)*1),0)</f>
        <v>0.54421768707483</v>
      </c>
      <c r="T997" s="26" t="n">
        <f aca="false">(R997-S997)*100</f>
        <v>-10.8843537414966</v>
      </c>
      <c r="U997" s="21" t="str">
        <f aca="false">'Player Data'!T997</f>
        <v>No</v>
      </c>
      <c r="V997" s="27" t="n">
        <f aca="false">'Player Data'!U997</f>
        <v>2029</v>
      </c>
      <c r="W997" s="21" t="str">
        <f aca="false">IF(AND(T997&gt;=Assumptions!$B$19,U997="No"),"High Priority - Unrepresented",IF(T997&gt;=Assumptions!$B$19,"High Priority",IF(AND(T997&gt;=Assumptions!$B$20,U997="No"),"Watchlist - Unrepresented",IF(T997&gt;=Assumptions!$B$20,"Watchlist",""))))</f>
        <v/>
      </c>
      <c r="X997" s="21" t="str">
        <f aca="false">'Player Data'!V997</f>
        <v>info@paysanducity.uy</v>
      </c>
      <c r="Y997" s="28" t="str">
        <f aca="false">'Player Data'!W997</f>
        <v>Club youth/academy office ONLY - player is a minor, do not contact directly</v>
      </c>
      <c r="Z997" s="28" t="str">
        <f aca="false">'Player Data'!X997</f>
        <v>AUF (Uruguayan Football Association) player registry</v>
      </c>
      <c r="AA997" s="19" t="str">
        <f aca="false">HYPERLINK("https://www.transfermarkt.com/schnellsuche/ergebnis/schnellsuche?query="&amp;SUBSTITUTE(A997," ","+"),"Search Transfermarkt")</f>
        <v>Search Transfermarkt</v>
      </c>
      <c r="AB997" s="29" t="n">
        <f aca="false">IFERROR('Player Data'!K997/('Player Data'!K997+'Player Data'!L997),0)</f>
        <v>0.702702702702703</v>
      </c>
      <c r="AC997" s="21" t="str">
        <f aca="false">IF(B997="GK",IF(AND(O997&gt;=Assumptions!$B$23,N997&gt;=Assumptions!$B$23),"Sweeper-Keeper / Build-from-the-Back",IF(O997&gt;=Assumptions!$B$23,"Sweeper-Keeper / High Line",IF(M997&gt;=Assumptions!$B$23,"Shot-Stopper / Traditional","Flexible / Multi-System"))),IF(AND(O997&gt;=Assumptions!$B$23,P997&gt;=Assumptions!$B$24),"High Press / Gegenpressing",IF(AND(N997&gt;=Assumptions!$B$23,AB997&gt;=Assumptions!$B$25),"Possession / Build-from-the-Back",IF(N997&gt;=Assumptions!$B$23,"Counter-Attack / Transition",IF(AND(O997&gt;=Assumptions!$B$23,N997&lt;Assumptions!$B$26),"Low Block / Park the Bus",IF(AND(B997="FW",M997&gt;=Assumptions!$B$23,N997&lt;Assumptions!$B$26),"Direct / Target Approach","Flexible / Multi-System"))))))</f>
        <v>Flexible / Multi-System</v>
      </c>
      <c r="AD997" s="21" t="str">
        <f aca="false">'Player Data'!Y997</f>
        <v>2026-07-17</v>
      </c>
      <c r="AE997" s="21" t="str">
        <f aca="false">'Player Data'!Z997</f>
        <v>2026-07-17</v>
      </c>
      <c r="AF997" s="28" t="str">
        <f aca="false">IFERROR(INDEX(Assumptions!$B$30:$B$61,MATCH(C997,Assumptions!$A$30:$A$61,0)),"--")</f>
        <v>Argentina, Portugal</v>
      </c>
      <c r="AG997" s="30" t="str">
        <f aca="false">IF(R997&gt;=0.7,"Step-Up Candidate",IF(R997&gt;=0.4,"Lateral Move","Stay &amp; Develop"))</f>
        <v>Lateral Move</v>
      </c>
    </row>
    <row r="998" customFormat="false" ht="23.85" hidden="false" customHeight="false" outlineLevel="0" collapsed="false">
      <c r="A998" s="21" t="str">
        <f aca="false">'Player Data'!A998</f>
        <v>Patrick Etoo</v>
      </c>
      <c r="B998" s="21" t="str">
        <f aca="false">'Player Data'!F998</f>
        <v>DF</v>
      </c>
      <c r="C998" s="21" t="str">
        <f aca="false">'Player Data'!B998</f>
        <v>Cameroon</v>
      </c>
      <c r="D998" s="21" t="str">
        <f aca="false">'Player Data'!C998</f>
        <v>Cameroon Third Tier - North</v>
      </c>
      <c r="E998" s="21" t="n">
        <f aca="false">'Player Data'!D998</f>
        <v>2</v>
      </c>
      <c r="F998" s="21" t="n">
        <f aca="false">'Player Data'!G998</f>
        <v>22</v>
      </c>
      <c r="G998" s="21" t="n">
        <f aca="false">'Player Data'!H998</f>
        <v>858</v>
      </c>
      <c r="H998" s="22" t="n">
        <f aca="false">IF(B998="GK",IFERROR(('Player Data'!N998-1.5*'Player Data'!O998)/'Player Data'!H998*90,0),IFERROR(('Player Data'!I998+'Player Data'!J998)/'Player Data'!H998*90,0))</f>
        <v>0.314685314685315</v>
      </c>
      <c r="I998" s="22" t="n">
        <f aca="false">IF(B998="GK",'Player Data'!P998,IFERROR(('Player Data'!K998+'Player Data'!L998)/'Player Data'!H998*90,0))</f>
        <v>11.7482517482517</v>
      </c>
      <c r="J998" s="22" t="n">
        <f aca="false">IF(B998="GK",IFERROR('Player Data'!Q998/'Player Data'!H998*90,0),IFERROR('Player Data'!M998/'Player Data'!H998*90,0))</f>
        <v>10.2797202797203</v>
      </c>
      <c r="K998" s="23" t="n">
        <f aca="false">'Player Data'!S998</f>
        <v>0</v>
      </c>
      <c r="L998" s="22" t="n">
        <f aca="false">INDEX(Assumptions!$B$13:$B$15,MATCH(E998,Assumptions!$A$13:$A$15,0))</f>
        <v>1</v>
      </c>
      <c r="M998" s="24" t="n">
        <f aca="false">IFERROR(SUMPRODUCT(($B$2:$B$1001=B998)*($H$2:$H$1001&lt;=H998))/SUMPRODUCT(($B$2:$B$1001=B998)*1),0)</f>
        <v>0.802721088435374</v>
      </c>
      <c r="N998" s="24" t="n">
        <f aca="false">IFERROR(SUMPRODUCT(($B$2:$B$1001=B998)*($I$2:$I$1001&lt;=I998))/SUMPRODUCT(($B$2:$B$1001=B998)*1),0)</f>
        <v>1</v>
      </c>
      <c r="O998" s="24" t="n">
        <f aca="false">IFERROR(SUMPRODUCT(($B$2:$B$1001=B998)*($J$2:$J$1001&lt;=J998))/SUMPRODUCT(($B$2:$B$1001=B998)*1),0)</f>
        <v>0.942176870748299</v>
      </c>
      <c r="P998" s="24" t="n">
        <f aca="false">IFERROR(SUMPRODUCT(($B$2:$B$1001=B998)*((0-$F$2:$F$1001)&lt;=(0-F998)))/SUMPRODUCT(($B$2:$B$1001=B998)*1),0)</f>
        <v>0.493197278911565</v>
      </c>
      <c r="Q998" s="25" t="n">
        <f aca="false">(M998*Assumptions!$B$5+N998*Assumptions!$B$6+O998*Assumptions!$B$7+P998*Assumptions!$B$8)*L998</f>
        <v>0.837755102040816</v>
      </c>
      <c r="R998" s="24" t="n">
        <f aca="false">IFERROR(SUMPRODUCT(($B$2:$B$1001=B998)*($Q$2:$Q$1001&lt;=Q998))/SUMPRODUCT(($B$2:$B$1001=B998)*1),0)</f>
        <v>0.976190476190476</v>
      </c>
      <c r="S998" s="24" t="n">
        <f aca="false">IFERROR(SUMPRODUCT(($B$2:$B$1001=B998)*($K$2:$K$1001&lt;=K998))/SUMPRODUCT(($B$2:$B$1001=B998)*1),0)</f>
        <v>0.248299319727891</v>
      </c>
      <c r="T998" s="26" t="n">
        <f aca="false">(R998-S998)*100</f>
        <v>72.7891156462585</v>
      </c>
      <c r="U998" s="21" t="str">
        <f aca="false">'Player Data'!T998</f>
        <v>Yes</v>
      </c>
      <c r="V998" s="27" t="n">
        <f aca="false">'Player Data'!U998</f>
        <v>2027</v>
      </c>
      <c r="W998" s="21" t="str">
        <f aca="false">IF(AND(T998&gt;=Assumptions!$B$19,U998="No"),"High Priority - Unrepresented",IF(T998&gt;=Assumptions!$B$19,"High Priority",IF(AND(T998&gt;=Assumptions!$B$20,U998="No"),"Watchlist - Unrepresented",IF(T998&gt;=Assumptions!$B$20,"Watchlist",""))))</f>
        <v>High Priority</v>
      </c>
      <c r="X998" s="21" t="str">
        <f aca="false">'Player Data'!V998</f>
        <v>info@doualaathletic.cm</v>
      </c>
      <c r="Y998" s="28" t="str">
        <f aca="false">'Player Data'!W998</f>
        <v>Go through the player's agent - ask the club to confirm representation first</v>
      </c>
      <c r="Z998" s="28" t="str">
        <f aca="false">'Player Data'!X998</f>
        <v>FECAFOOT (Cameroonian Football Federation) player registry</v>
      </c>
      <c r="AA998" s="19" t="str">
        <f aca="false">HYPERLINK("https://www.transfermarkt.com/schnellsuche/ergebnis/schnellsuche?query="&amp;SUBSTITUTE(A998," ","+"),"Search Transfermarkt")</f>
        <v>Search Transfermarkt</v>
      </c>
      <c r="AB998" s="29" t="n">
        <f aca="false">IFERROR('Player Data'!K998/('Player Data'!K998+'Player Data'!L998),0)</f>
        <v>0.589285714285714</v>
      </c>
      <c r="AC998" s="21" t="str">
        <f aca="false">IF(B998="GK",IF(AND(O998&gt;=Assumptions!$B$23,N998&gt;=Assumptions!$B$23),"Sweeper-Keeper / Build-from-the-Back",IF(O998&gt;=Assumptions!$B$23,"Sweeper-Keeper / High Line",IF(M998&gt;=Assumptions!$B$23,"Shot-Stopper / Traditional","Flexible / Multi-System"))),IF(AND(O998&gt;=Assumptions!$B$23,P998&gt;=Assumptions!$B$24),"High Press / Gegenpressing",IF(AND(N998&gt;=Assumptions!$B$23,AB998&gt;=Assumptions!$B$25),"Possession / Build-from-the-Back",IF(N998&gt;=Assumptions!$B$23,"Counter-Attack / Transition",IF(AND(O998&gt;=Assumptions!$B$23,N998&lt;Assumptions!$B$26),"Low Block / Park the Bus",IF(AND(B998="FW",M998&gt;=Assumptions!$B$23,N998&lt;Assumptions!$B$26),"Direct / Target Approach","Flexible / Multi-System"))))))</f>
        <v>Counter-Attack / Transition</v>
      </c>
      <c r="AD998" s="21" t="str">
        <f aca="false">'Player Data'!Y998</f>
        <v>2026-07-17</v>
      </c>
      <c r="AE998" s="21" t="str">
        <f aca="false">'Player Data'!Z998</f>
        <v>2026-07-17</v>
      </c>
      <c r="AF998" s="28" t="str">
        <f aca="false">IFERROR(INDEX(Assumptions!$B$30:$B$61,MATCH(C998,Assumptions!$A$30:$A$61,0)),"--")</f>
        <v>Belgium, Portugal</v>
      </c>
      <c r="AG998" s="30" t="str">
        <f aca="false">IF(R998&gt;=0.7,"Step-Up Candidate",IF(R998&gt;=0.4,"Lateral Move","Stay &amp; Develop"))</f>
        <v>Step-Up Candidate</v>
      </c>
    </row>
    <row r="999" customFormat="false" ht="23.85" hidden="false" customHeight="false" outlineLevel="0" collapsed="false">
      <c r="A999" s="21" t="str">
        <f aca="false">'Player Data'!A999</f>
        <v>Wesly Palacios</v>
      </c>
      <c r="B999" s="21" t="str">
        <f aca="false">'Player Data'!F999</f>
        <v>MF</v>
      </c>
      <c r="C999" s="21" t="str">
        <f aca="false">'Player Data'!B999</f>
        <v>Honduras</v>
      </c>
      <c r="D999" s="21" t="str">
        <f aca="false">'Player Data'!C999</f>
        <v>Honduras Second Division - West</v>
      </c>
      <c r="E999" s="21" t="n">
        <f aca="false">'Player Data'!D999</f>
        <v>3</v>
      </c>
      <c r="F999" s="21" t="n">
        <f aca="false">'Player Data'!G999</f>
        <v>20</v>
      </c>
      <c r="G999" s="21" t="n">
        <f aca="false">'Player Data'!H999</f>
        <v>1861</v>
      </c>
      <c r="H999" s="22" t="n">
        <f aca="false">IF(B999="GK",IFERROR(('Player Data'!N999-1.5*'Player Data'!O999)/'Player Data'!H999*90,0),IFERROR(('Player Data'!I999+'Player Data'!J999)/'Player Data'!H999*90,0))</f>
        <v>0.483610961848469</v>
      </c>
      <c r="I999" s="22" t="n">
        <f aca="false">IF(B999="GK",'Player Data'!P999,IFERROR(('Player Data'!K999+'Player Data'!L999)/'Player Data'!H999*90,0))</f>
        <v>11.5583019881784</v>
      </c>
      <c r="J999" s="22" t="n">
        <f aca="false">IF(B999="GK",IFERROR('Player Data'!Q999/'Player Data'!H999*90,0),IFERROR('Player Data'!M999/'Player Data'!H999*90,0))</f>
        <v>2.56313809779688</v>
      </c>
      <c r="K999" s="23" t="n">
        <f aca="false">'Player Data'!S999</f>
        <v>107774</v>
      </c>
      <c r="L999" s="22" t="n">
        <f aca="false">INDEX(Assumptions!$B$13:$B$15,MATCH(E999,Assumptions!$A$13:$A$15,0))</f>
        <v>0.85</v>
      </c>
      <c r="M999" s="24" t="n">
        <f aca="false">IFERROR(SUMPRODUCT(($B$2:$B$1001=B999)*($H$2:$H$1001&lt;=H999))/SUMPRODUCT(($B$2:$B$1001=B999)*1),0)</f>
        <v>0.205387205387205</v>
      </c>
      <c r="N999" s="24" t="n">
        <f aca="false">IFERROR(SUMPRODUCT(($B$2:$B$1001=B999)*($I$2:$I$1001&lt;=I999))/SUMPRODUCT(($B$2:$B$1001=B999)*1),0)</f>
        <v>0.542087542087542</v>
      </c>
      <c r="O999" s="24" t="n">
        <f aca="false">IFERROR(SUMPRODUCT(($B$2:$B$1001=B999)*($J$2:$J$1001&lt;=J999))/SUMPRODUCT(($B$2:$B$1001=B999)*1),0)</f>
        <v>0.653198653198653</v>
      </c>
      <c r="P999" s="24" t="n">
        <f aca="false">IFERROR(SUMPRODUCT(($B$2:$B$1001=B999)*((0-$F$2:$F$1001)&lt;=(0-F999)))/SUMPRODUCT(($B$2:$B$1001=B999)*1),0)</f>
        <v>0.734006734006734</v>
      </c>
      <c r="Q999" s="25" t="n">
        <f aca="false">(M999*Assumptions!$B$5+N999*Assumptions!$B$6+O999*Assumptions!$B$7+P999*Assumptions!$B$8)*L999</f>
        <v>0.440740740740741</v>
      </c>
      <c r="R999" s="24" t="n">
        <f aca="false">IFERROR(SUMPRODUCT(($B$2:$B$1001=B999)*($Q$2:$Q$1001&lt;=Q999))/SUMPRODUCT(($B$2:$B$1001=B999)*1),0)</f>
        <v>0.515151515151515</v>
      </c>
      <c r="S999" s="24" t="n">
        <f aca="false">IFERROR(SUMPRODUCT(($B$2:$B$1001=B999)*($K$2:$K$1001&lt;=K999))/SUMPRODUCT(($B$2:$B$1001=B999)*1),0)</f>
        <v>0.774410774410774</v>
      </c>
      <c r="T999" s="26" t="n">
        <f aca="false">(R999-S999)*100</f>
        <v>-25.9259259259259</v>
      </c>
      <c r="U999" s="21" t="str">
        <f aca="false">'Player Data'!T999</f>
        <v>Unknown</v>
      </c>
      <c r="V999" s="27" t="n">
        <f aca="false">'Player Data'!U999</f>
        <v>2028</v>
      </c>
      <c r="W999" s="21" t="str">
        <f aca="false">IF(AND(T999&gt;=Assumptions!$B$19,U999="No"),"High Priority - Unrepresented",IF(T999&gt;=Assumptions!$B$19,"High Priority",IF(AND(T999&gt;=Assumptions!$B$20,U999="No"),"Watchlist - Unrepresented",IF(T999&gt;=Assumptions!$B$20,"Watchlist",""))))</f>
        <v/>
      </c>
      <c r="X999" s="21" t="str">
        <f aca="false">'Player Data'!V999</f>
        <v>info@sanpedrosulafc.hn</v>
      </c>
      <c r="Y999" s="28" t="str">
        <f aca="false">'Player Data'!W999</f>
        <v>Club sporting director / first-team office</v>
      </c>
      <c r="Z999" s="28" t="str">
        <f aca="false">'Player Data'!X999</f>
        <v>FENAFUTH (Honduran Football Federation) player registry</v>
      </c>
      <c r="AA999" s="19" t="str">
        <f aca="false">HYPERLINK("https://www.transfermarkt.com/schnellsuche/ergebnis/schnellsuche?query="&amp;SUBSTITUTE(A999," ","+"),"Search Transfermarkt")</f>
        <v>Search Transfermarkt</v>
      </c>
      <c r="AB999" s="29" t="n">
        <f aca="false">IFERROR('Player Data'!K999/('Player Data'!K999+'Player Data'!L999),0)</f>
        <v>0.661087866108787</v>
      </c>
      <c r="AC999" s="21" t="str">
        <f aca="false">IF(B999="GK",IF(AND(O999&gt;=Assumptions!$B$23,N999&gt;=Assumptions!$B$23),"Sweeper-Keeper / Build-from-the-Back",IF(O999&gt;=Assumptions!$B$23,"Sweeper-Keeper / High Line",IF(M999&gt;=Assumptions!$B$23,"Shot-Stopper / Traditional","Flexible / Multi-System"))),IF(AND(O999&gt;=Assumptions!$B$23,P999&gt;=Assumptions!$B$24),"High Press / Gegenpressing",IF(AND(N999&gt;=Assumptions!$B$23,AB999&gt;=Assumptions!$B$25),"Possession / Build-from-the-Back",IF(N999&gt;=Assumptions!$B$23,"Counter-Attack / Transition",IF(AND(O999&gt;=Assumptions!$B$23,N999&lt;Assumptions!$B$26),"Low Block / Park the Bus",IF(AND(B999="FW",M999&gt;=Assumptions!$B$23,N999&lt;Assumptions!$B$26),"Direct / Target Approach","Flexible / Multi-System"))))))</f>
        <v>High Press / Gegenpressing</v>
      </c>
      <c r="AD999" s="21" t="str">
        <f aca="false">'Player Data'!Y999</f>
        <v>2026-07-17</v>
      </c>
      <c r="AE999" s="21" t="str">
        <f aca="false">'Player Data'!Z999</f>
        <v>2026-07-17</v>
      </c>
      <c r="AF999" s="28" t="str">
        <f aca="false">IFERROR(INDEX(Assumptions!$B$30:$B$61,MATCH(C999,Assumptions!$A$30:$A$61,0)),"--")</f>
        <v>Mexico, United States</v>
      </c>
      <c r="AG999" s="30" t="str">
        <f aca="false">IF(R999&gt;=0.7,"Step-Up Candidate",IF(R999&gt;=0.4,"Lateral Move","Stay &amp; Develop"))</f>
        <v>Lateral Move</v>
      </c>
    </row>
    <row r="1000" customFormat="false" ht="23.85" hidden="false" customHeight="false" outlineLevel="0" collapsed="false">
      <c r="A1000" s="21" t="str">
        <f aca="false">'Player Data'!A1000</f>
        <v>Kwabena Mensah</v>
      </c>
      <c r="B1000" s="21" t="str">
        <f aca="false">'Player Data'!F1000</f>
        <v>MF</v>
      </c>
      <c r="C1000" s="21" t="str">
        <f aca="false">'Player Data'!B1000</f>
        <v>Ghana</v>
      </c>
      <c r="D1000" s="21" t="str">
        <f aca="false">'Player Data'!C1000</f>
        <v>Ghana Third Tier - South</v>
      </c>
      <c r="E1000" s="21" t="n">
        <f aca="false">'Player Data'!D1000</f>
        <v>3</v>
      </c>
      <c r="F1000" s="21" t="n">
        <f aca="false">'Player Data'!G1000</f>
        <v>19</v>
      </c>
      <c r="G1000" s="21" t="n">
        <f aca="false">'Player Data'!H1000</f>
        <v>1871</v>
      </c>
      <c r="H1000" s="22" t="n">
        <f aca="false">IF(B1000="GK",IFERROR(('Player Data'!N1000-1.5*'Player Data'!O1000)/'Player Data'!H1000*90,0),IFERROR(('Player Data'!I1000+'Player Data'!J1000)/'Player Data'!H1000*90,0))</f>
        <v>0.769641902725815</v>
      </c>
      <c r="I1000" s="22" t="n">
        <f aca="false">IF(B1000="GK",'Player Data'!P1000,IFERROR(('Player Data'!K1000+'Player Data'!L1000)/'Player Data'!H1000*90,0))</f>
        <v>7.93693212185997</v>
      </c>
      <c r="J1000" s="22" t="n">
        <f aca="false">IF(B1000="GK",IFERROR('Player Data'!Q1000/'Player Data'!H1000*90,0),IFERROR('Player Data'!M1000/'Player Data'!H1000*90,0))</f>
        <v>2.35702832709781</v>
      </c>
      <c r="K1000" s="23" t="n">
        <f aca="false">'Player Data'!S1000</f>
        <v>0</v>
      </c>
      <c r="L1000" s="22" t="n">
        <f aca="false">INDEX(Assumptions!$B$13:$B$15,MATCH(E1000,Assumptions!$A$13:$A$15,0))</f>
        <v>0.85</v>
      </c>
      <c r="M1000" s="24" t="n">
        <f aca="false">IFERROR(SUMPRODUCT(($B$2:$B$1001=B1000)*($H$2:$H$1001&lt;=H1000))/SUMPRODUCT(($B$2:$B$1001=B1000)*1),0)</f>
        <v>0.548821548821549</v>
      </c>
      <c r="N1000" s="24" t="n">
        <f aca="false">IFERROR(SUMPRODUCT(($B$2:$B$1001=B1000)*($I$2:$I$1001&lt;=I1000))/SUMPRODUCT(($B$2:$B$1001=B1000)*1),0)</f>
        <v>0.151515151515152</v>
      </c>
      <c r="O1000" s="24" t="n">
        <f aca="false">IFERROR(SUMPRODUCT(($B$2:$B$1001=B1000)*($J$2:$J$1001&lt;=J1000))/SUMPRODUCT(($B$2:$B$1001=B1000)*1),0)</f>
        <v>0.582491582491583</v>
      </c>
      <c r="P1000" s="24" t="n">
        <f aca="false">IFERROR(SUMPRODUCT(($B$2:$B$1001=B1000)*((0-$F$2:$F$1001)&lt;=(0-F1000)))/SUMPRODUCT(($B$2:$B$1001=B1000)*1),0)</f>
        <v>0.868686868686869</v>
      </c>
      <c r="Q1000" s="25" t="n">
        <f aca="false">(M1000*Assumptions!$B$5+N1000*Assumptions!$B$6+O1000*Assumptions!$B$7+P1000*Assumptions!$B$8)*L1000</f>
        <v>0.408400673400673</v>
      </c>
      <c r="R1000" s="24" t="n">
        <f aca="false">IFERROR(SUMPRODUCT(($B$2:$B$1001=B1000)*($Q$2:$Q$1001&lt;=Q1000))/SUMPRODUCT(($B$2:$B$1001=B1000)*1),0)</f>
        <v>0.437710437710438</v>
      </c>
      <c r="S1000" s="24" t="n">
        <f aca="false">IFERROR(SUMPRODUCT(($B$2:$B$1001=B1000)*($K$2:$K$1001&lt;=K1000))/SUMPRODUCT(($B$2:$B$1001=B1000)*1),0)</f>
        <v>0.228956228956229</v>
      </c>
      <c r="T1000" s="26" t="n">
        <f aca="false">(R1000-S1000)*100</f>
        <v>20.8754208754209</v>
      </c>
      <c r="U1000" s="21" t="str">
        <f aca="false">'Player Data'!T1000</f>
        <v>No</v>
      </c>
      <c r="V1000" s="27" t="n">
        <f aca="false">'Player Data'!U1000</f>
        <v>2029</v>
      </c>
      <c r="W1000" s="21" t="str">
        <f aca="false">IF(AND(T1000&gt;=Assumptions!$B$19,U1000="No"),"High Priority - Unrepresented",IF(T1000&gt;=Assumptions!$B$19,"High Priority",IF(AND(T1000&gt;=Assumptions!$B$20,U1000="No"),"Watchlist - Unrepresented",IF(T1000&gt;=Assumptions!$B$20,"Watchlist",""))))</f>
        <v>Watchlist - Unrepresented</v>
      </c>
      <c r="X1000" s="21" t="str">
        <f aca="false">'Player Data'!V1000</f>
        <v>info@tamalerangers.gh</v>
      </c>
      <c r="Y1000" s="28" t="str">
        <f aca="false">'Player Data'!W1000</f>
        <v>Club sporting director / first-team office</v>
      </c>
      <c r="Z1000" s="28" t="str">
        <f aca="false">'Player Data'!X1000</f>
        <v>GFA (Ghana Football Association) player registry</v>
      </c>
      <c r="AA1000" s="19" t="str">
        <f aca="false">HYPERLINK("https://www.transfermarkt.com/schnellsuche/ergebnis/schnellsuche?query="&amp;SUBSTITUTE(A1000," ","+"),"Search Transfermarkt")</f>
        <v>Search Transfermarkt</v>
      </c>
      <c r="AB1000" s="29" t="n">
        <f aca="false">IFERROR('Player Data'!K1000/('Player Data'!K1000+'Player Data'!L1000),0)</f>
        <v>0.636363636363636</v>
      </c>
      <c r="AC1000" s="21" t="str">
        <f aca="false">IF(B1000="GK",IF(AND(O1000&gt;=Assumptions!$B$23,N1000&gt;=Assumptions!$B$23),"Sweeper-Keeper / Build-from-the-Back",IF(O1000&gt;=Assumptions!$B$23,"Sweeper-Keeper / High Line",IF(M1000&gt;=Assumptions!$B$23,"Shot-Stopper / Traditional","Flexible / Multi-System"))),IF(AND(O1000&gt;=Assumptions!$B$23,P1000&gt;=Assumptions!$B$24),"High Press / Gegenpressing",IF(AND(N1000&gt;=Assumptions!$B$23,AB1000&gt;=Assumptions!$B$25),"Possession / Build-from-the-Back",IF(N1000&gt;=Assumptions!$B$23,"Counter-Attack / Transition",IF(AND(O1000&gt;=Assumptions!$B$23,N1000&lt;Assumptions!$B$26),"Low Block / Park the Bus",IF(AND(B1000="FW",M1000&gt;=Assumptions!$B$23,N1000&lt;Assumptions!$B$26),"Direct / Target Approach","Flexible / Multi-System"))))))</f>
        <v>Flexible / Multi-System</v>
      </c>
      <c r="AD1000" s="21" t="str">
        <f aca="false">'Player Data'!Y1000</f>
        <v>2026-07-17</v>
      </c>
      <c r="AE1000" s="21" t="str">
        <f aca="false">'Player Data'!Z1000</f>
        <v>2026-07-17</v>
      </c>
      <c r="AF1000" s="28" t="str">
        <f aca="false">IFERROR(INDEX(Assumptions!$B$30:$B$61,MATCH(C1000,Assumptions!$A$30:$A$61,0)),"--")</f>
        <v>Belgium, Portugal</v>
      </c>
      <c r="AG1000" s="30" t="str">
        <f aca="false">IF(R1000&gt;=0.7,"Step-Up Candidate",IF(R1000&gt;=0.4,"Lateral Move","Stay &amp; Develop"))</f>
        <v>Lateral Move</v>
      </c>
    </row>
    <row r="1001" customFormat="false" ht="23.85" hidden="false" customHeight="false" outlineLevel="0" collapsed="false">
      <c r="A1001" s="21" t="str">
        <f aca="false">'Player Data'!A1001</f>
        <v>Mateo Martinez 25</v>
      </c>
      <c r="B1001" s="21" t="str">
        <f aca="false">'Player Data'!F1001</f>
        <v>DF</v>
      </c>
      <c r="C1001" s="21" t="str">
        <f aca="false">'Player Data'!B1001</f>
        <v>Bolivia</v>
      </c>
      <c r="D1001" s="21" t="str">
        <f aca="false">'Player Data'!C1001</f>
        <v>Bolivia Provincial League</v>
      </c>
      <c r="E1001" s="21" t="n">
        <f aca="false">'Player Data'!D1001</f>
        <v>4</v>
      </c>
      <c r="F1001" s="21" t="n">
        <f aca="false">'Player Data'!G1001</f>
        <v>21</v>
      </c>
      <c r="G1001" s="21" t="n">
        <f aca="false">'Player Data'!H1001</f>
        <v>1403</v>
      </c>
      <c r="H1001" s="22" t="n">
        <f aca="false">IF(B1001="GK",IFERROR(('Player Data'!N1001-1.5*'Player Data'!O1001)/'Player Data'!H1001*90,0),IFERROR(('Player Data'!I1001+'Player Data'!J1001)/'Player Data'!H1001*90,0))</f>
        <v>0.256593014967926</v>
      </c>
      <c r="I1001" s="22" t="n">
        <f aca="false">IF(B1001="GK",'Player Data'!P1001,IFERROR(('Player Data'!K1001+'Player Data'!L1001)/'Player Data'!H1001*90,0))</f>
        <v>5.51674982181041</v>
      </c>
      <c r="J1001" s="22" t="n">
        <f aca="false">IF(B1001="GK",IFERROR('Player Data'!Q1001/'Player Data'!H1001*90,0),IFERROR('Player Data'!M1001/'Player Data'!H1001*90,0))</f>
        <v>5.1960085531005</v>
      </c>
      <c r="K1001" s="23" t="n">
        <f aca="false">'Player Data'!S1001</f>
        <v>0</v>
      </c>
      <c r="L1001" s="22" t="n">
        <f aca="false">INDEX(Assumptions!$B$13:$B$15,MATCH(E1001,Assumptions!$A$13:$A$15,0))</f>
        <v>0.7</v>
      </c>
      <c r="M1001" s="24" t="n">
        <f aca="false">IFERROR(SUMPRODUCT(($B$2:$B$1001=B1001)*($H$2:$H$1001&lt;=H1001))/SUMPRODUCT(($B$2:$B$1001=B1001)*1),0)</f>
        <v>0.673469387755102</v>
      </c>
      <c r="N1001" s="24" t="n">
        <f aca="false">IFERROR(SUMPRODUCT(($B$2:$B$1001=B1001)*($I$2:$I$1001&lt;=I1001))/SUMPRODUCT(($B$2:$B$1001=B1001)*1),0)</f>
        <v>0.67687074829932</v>
      </c>
      <c r="O1001" s="24" t="n">
        <f aca="false">IFERROR(SUMPRODUCT(($B$2:$B$1001=B1001)*($J$2:$J$1001&lt;=J1001))/SUMPRODUCT(($B$2:$B$1001=B1001)*1),0)</f>
        <v>0.472789115646259</v>
      </c>
      <c r="P1001" s="24" t="n">
        <f aca="false">IFERROR(SUMPRODUCT(($B$2:$B$1001=B1001)*((0-$F$2:$F$1001)&lt;=(0-F1001)))/SUMPRODUCT(($B$2:$B$1001=B1001)*1),0)</f>
        <v>0.568027210884354</v>
      </c>
      <c r="Q1001" s="25" t="n">
        <f aca="false">(M1001*Assumptions!$B$5+N1001*Assumptions!$B$6+O1001*Assumptions!$B$7+P1001*Assumptions!$B$8)*L1001</f>
        <v>0.429404761904762</v>
      </c>
      <c r="R1001" s="24" t="n">
        <f aca="false">IFERROR(SUMPRODUCT(($B$2:$B$1001=B1001)*($Q$2:$Q$1001&lt;=Q1001))/SUMPRODUCT(($B$2:$B$1001=B1001)*1),0)</f>
        <v>0.537414965986395</v>
      </c>
      <c r="S1001" s="24" t="n">
        <f aca="false">IFERROR(SUMPRODUCT(($B$2:$B$1001=B1001)*($K$2:$K$1001&lt;=K1001))/SUMPRODUCT(($B$2:$B$1001=B1001)*1),0)</f>
        <v>0.248299319727891</v>
      </c>
      <c r="T1001" s="26" t="n">
        <f aca="false">(R1001-S1001)*100</f>
        <v>28.9115646258503</v>
      </c>
      <c r="U1001" s="21" t="str">
        <f aca="false">'Player Data'!T1001</f>
        <v>Yes</v>
      </c>
      <c r="V1001" s="27" t="n">
        <f aca="false">'Player Data'!U1001</f>
        <v>2027</v>
      </c>
      <c r="W1001" s="21" t="str">
        <f aca="false">IF(AND(T1001&gt;=Assumptions!$B$19,U1001="No"),"High Priority - Unrepresented",IF(T1001&gt;=Assumptions!$B$19,"High Priority",IF(AND(T1001&gt;=Assumptions!$B$20,U1001="No"),"Watchlist - Unrepresented",IF(T1001&gt;=Assumptions!$B$20,"Watchlist",""))))</f>
        <v>Watchlist</v>
      </c>
      <c r="X1001" s="21" t="str">
        <f aca="false">'Player Data'!V1001</f>
        <v>info@sucrerangers.bo</v>
      </c>
      <c r="Y1001" s="28" t="str">
        <f aca="false">'Player Data'!W1001</f>
        <v>Go through the player's agent - ask the club to confirm representation first</v>
      </c>
      <c r="Z1001" s="28" t="str">
        <f aca="false">'Player Data'!X1001</f>
        <v>FBF (Bolivian Football Federation) player registry</v>
      </c>
      <c r="AA1001" s="19" t="str">
        <f aca="false">HYPERLINK("https://www.transfermarkt.com/schnellsuche/ergebnis/schnellsuche?query="&amp;SUBSTITUTE(A1001," ","+"),"Search Transfermarkt")</f>
        <v>Search Transfermarkt</v>
      </c>
      <c r="AB1001" s="29" t="n">
        <f aca="false">IFERROR('Player Data'!K1001/('Player Data'!K1001+'Player Data'!L1001),0)</f>
        <v>0.755813953488372</v>
      </c>
      <c r="AC1001" s="21" t="str">
        <f aca="false">IF(B1001="GK",IF(AND(O1001&gt;=Assumptions!$B$23,N1001&gt;=Assumptions!$B$23),"Sweeper-Keeper / Build-from-the-Back",IF(O1001&gt;=Assumptions!$B$23,"Sweeper-Keeper / High Line",IF(M1001&gt;=Assumptions!$B$23,"Shot-Stopper / Traditional","Flexible / Multi-System"))),IF(AND(O1001&gt;=Assumptions!$B$23,P1001&gt;=Assumptions!$B$24),"High Press / Gegenpressing",IF(AND(N1001&gt;=Assumptions!$B$23,AB1001&gt;=Assumptions!$B$25),"Possession / Build-from-the-Back",IF(N1001&gt;=Assumptions!$B$23,"Counter-Attack / Transition",IF(AND(O1001&gt;=Assumptions!$B$23,N1001&lt;Assumptions!$B$26),"Low Block / Park the Bus",IF(AND(B1001="FW",M1001&gt;=Assumptions!$B$23,N1001&lt;Assumptions!$B$26),"Direct / Target Approach","Flexible / Multi-System"))))))</f>
        <v>Possession / Build-from-the-Back</v>
      </c>
      <c r="AD1001" s="21" t="str">
        <f aca="false">'Player Data'!Y1001</f>
        <v>2026-07-17</v>
      </c>
      <c r="AE1001" s="21" t="str">
        <f aca="false">'Player Data'!Z1001</f>
        <v>2026-07-17</v>
      </c>
      <c r="AF1001" s="28" t="str">
        <f aca="false">IFERROR(INDEX(Assumptions!$B$30:$B$61,MATCH(C1001,Assumptions!$A$30:$A$61,0)),"--")</f>
        <v>Argentina, Portugal</v>
      </c>
      <c r="AG1001" s="30" t="str">
        <f aca="false">IF(R1001&gt;=0.7,"Step-Up Candidate",IF(R1001&gt;=0.4,"Lateral Move","Stay &amp; Develop"))</f>
        <v>Lateral Move</v>
      </c>
    </row>
  </sheetData>
  <autoFilter ref="A1:AG1001"/>
  <conditionalFormatting sqref="T2:T1001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W2:W1001">
    <cfRule type="cellIs" priority="3" operator="equal" aboveAverage="0" equalAverage="0" bottom="0" percent="0" rank="0" text="" dxfId="292">
      <formula>"High Priority - Unrepresented"</formula>
    </cfRule>
    <cfRule type="cellIs" priority="4" operator="equal" aboveAverage="0" equalAverage="0" bottom="0" percent="0" rank="0" text="" dxfId="293">
      <formula>"High Priority"</formula>
    </cfRule>
    <cfRule type="cellIs" priority="5" operator="equal" aboveAverage="0" equalAverage="0" bottom="0" percent="0" rank="0" text="" dxfId="294">
      <formula>"Watchlist - Unrepresented"</formula>
    </cfRule>
  </conditionalFormatting>
  <conditionalFormatting sqref="U2:U1001">
    <cfRule type="cellIs" priority="6" operator="equal" aboveAverage="0" equalAverage="0" bottom="0" percent="0" rank="0" text="" dxfId="295">
      <formula>"No"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2026-07-22T00:52:12Z</dcterms:created>
  <dc:creator>openpyxl</dc:creator>
  <dc:description/>
  <dc:language>en-US</dc:language>
  <cp:lastModifiedBy/>
  <dcterms:modified xsi:type="dcterms:W3CDTF">2026-07-22T00:52:13Z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